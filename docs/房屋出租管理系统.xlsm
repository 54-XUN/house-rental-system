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theme/themeOverride2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345" windowHeight="12465" firstSheet="1" activeTab="1"/>
  </bookViews>
  <sheets>
    <sheet name="分析看板" sheetId="2" r:id="rId1"/>
    <sheet name="房源列表" sheetId="3" r:id="rId2"/>
    <sheet name="添加房源" sheetId="4" r:id="rId3"/>
    <sheet name="房源明细" sheetId="5" r:id="rId4"/>
    <sheet name="添加交易" sheetId="7" r:id="rId5"/>
    <sheet name="客户管理" sheetId="6" r:id="rId6"/>
    <sheet name="交易流水" sheetId="9" r:id="rId7"/>
    <sheet name="参数设置" sheetId="10" r:id="rId8"/>
    <sheet name="看板数据" sheetId="13" r:id="rId9"/>
    <sheet name="版权说明页" sheetId="14" r:id="rId10"/>
    <sheet name="房源模板" sheetId="11" state="hidden" r:id="rId11"/>
  </sheets>
  <definedNames>
    <definedName name="_xlnm._FilterDatabase" localSheetId="3" hidden="1">房源明细!$C$4:$P$999</definedName>
    <definedName name="_xlnm._FilterDatabase" localSheetId="5" hidden="1">客户管理!$C$4:$J$39</definedName>
  </definedNames>
  <calcPr calcId="144525"/>
</workbook>
</file>

<file path=xl/sharedStrings.xml><?xml version="1.0" encoding="utf-8"?>
<sst xmlns="http://schemas.openxmlformats.org/spreadsheetml/2006/main" count="1599" uniqueCount="505">
  <si>
    <t>数据概览</t>
  </si>
  <si>
    <t>当前房源数量</t>
  </si>
  <si>
    <t>本月成交金额</t>
  </si>
  <si>
    <t>本月成交数量</t>
  </si>
  <si>
    <t>客户数量</t>
  </si>
  <si>
    <t>成交金额</t>
  </si>
  <si>
    <t>房源分布</t>
  </si>
  <si>
    <t>出租率</t>
  </si>
  <si>
    <t>新增客户</t>
  </si>
  <si>
    <t>小区排名</t>
  </si>
  <si>
    <t>9月新增客户最高 61人</t>
  </si>
  <si>
    <t>房源列表</t>
  </si>
  <si>
    <t>-</t>
  </si>
  <si>
    <t>小区名称E</t>
  </si>
  <si>
    <t>132号楼3单元802</t>
  </si>
  <si>
    <t>164号楼2单元603</t>
  </si>
  <si>
    <t>106号楼5单元101</t>
  </si>
  <si>
    <t>172号楼5单元203</t>
  </si>
  <si>
    <t>97号楼3单元701</t>
  </si>
  <si>
    <t>114号楼4单元201</t>
  </si>
  <si>
    <t>户型：</t>
  </si>
  <si>
    <t>2室2厅</t>
  </si>
  <si>
    <t>3室1厅</t>
  </si>
  <si>
    <t>1室1厅</t>
  </si>
  <si>
    <t>2室1厅</t>
  </si>
  <si>
    <t>面积：</t>
  </si>
  <si>
    <r>
      <rPr>
        <sz val="12"/>
        <color theme="1" tint="0.349986266670736"/>
        <rFont val="阿里巴巴普惠体 2.0 45 Light"/>
        <charset val="134"/>
      </rPr>
      <t>89m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</si>
  <si>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FY00001</t>
  </si>
  <si>
    <r>
      <rPr>
        <sz val="12"/>
        <color theme="1" tint="0.349986266670736"/>
        <rFont val="阿里巴巴普惠体 2.0 45 Light"/>
        <charset val="134"/>
      </rPr>
      <t>51m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</si>
  <si>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98m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</si>
  <si>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FY00007</t>
  </si>
  <si>
    <r>
      <rPr>
        <sz val="12"/>
        <color theme="1" tint="0.349986266670736"/>
        <rFont val="阿里巴巴普惠体 2.0 45 Light"/>
        <charset val="134"/>
      </rPr>
      <t>131m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</si>
  <si>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FY00012</t>
  </si>
  <si>
    <r>
      <rPr>
        <sz val="12"/>
        <color theme="1" tint="0.349986266670736"/>
        <rFont val="阿里巴巴普惠体 2.0 45 Light"/>
        <charset val="134"/>
      </rPr>
      <t>65m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</si>
  <si>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FY00013</t>
  </si>
  <si>
    <r>
      <rPr>
        <sz val="12"/>
        <color theme="1" tint="0.349986266670736"/>
        <rFont val="阿里巴巴普惠体 2.0 45 Light"/>
        <charset val="134"/>
      </rPr>
      <t>114m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</si>
  <si>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FY00016</t>
  </si>
  <si>
    <r>
      <rPr>
        <sz val="12"/>
        <color theme="1" tint="0.349986266670736"/>
        <rFont val="阿里巴巴普惠体 2.0 45 Light"/>
        <charset val="134"/>
      </rPr>
      <t>45m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</si>
  <si>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FY00018</t>
  </si>
  <si>
    <t>租金：</t>
  </si>
  <si>
    <t>1000元</t>
  </si>
  <si>
    <t>详情</t>
  </si>
  <si>
    <t>1500元</t>
  </si>
  <si>
    <t>1600元</t>
  </si>
  <si>
    <t>1800元</t>
  </si>
  <si>
    <t>2100元</t>
  </si>
  <si>
    <t>2900元</t>
  </si>
  <si>
    <t>66号楼1单元803</t>
  </si>
  <si>
    <t>103号楼4单元603</t>
  </si>
  <si>
    <r>
      <rPr>
        <sz val="12"/>
        <color theme="1" tint="0.349986266670736"/>
        <rFont val="阿里巴巴普惠体 2.0 45 Light"/>
        <charset val="134"/>
      </rPr>
      <t>70m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</si>
  <si>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FY00020</t>
  </si>
  <si>
    <r>
      <rPr>
        <sz val="12"/>
        <color theme="1" tint="0.349986266670736"/>
        <rFont val="阿里巴巴普惠体 2.0 45 Light"/>
        <charset val="134"/>
      </rPr>
      <t>130m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</si>
  <si>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FY00036</t>
  </si>
  <si>
    <t>2300元</t>
  </si>
  <si>
    <t>1400元</t>
  </si>
  <si>
    <t>小区名称F</t>
  </si>
  <si>
    <t>81号楼4单元1903</t>
  </si>
  <si>
    <t>156号楼2单元1202</t>
  </si>
  <si>
    <t>190号楼1单元2102</t>
  </si>
  <si>
    <t>75号楼1单元203</t>
  </si>
  <si>
    <t>66号楼2单元1001</t>
  </si>
  <si>
    <r>
      <rPr>
        <sz val="12"/>
        <color theme="1" tint="0.349986266670736"/>
        <rFont val="阿里巴巴普惠体 2.0 45 Light"/>
        <charset val="134"/>
      </rPr>
      <t>136m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</si>
  <si>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110m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</si>
  <si>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118m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</si>
  <si>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95m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</si>
  <si>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123m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</si>
  <si>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FY00022</t>
  </si>
  <si>
    <r>
      <rPr>
        <sz val="12"/>
        <color theme="1" tint="0.349986266670736"/>
        <rFont val="阿里巴巴普惠体 2.0 45 Light"/>
        <charset val="134"/>
      </rPr>
      <t>88m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</si>
  <si>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FY00030</t>
  </si>
  <si>
    <r>
      <rPr>
        <sz val="12"/>
        <color theme="1" tint="0.349986266670736"/>
        <rFont val="阿里巴巴普惠体 2.0 45 Light"/>
        <charset val="134"/>
      </rPr>
      <t>73m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</si>
  <si>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FY00038</t>
  </si>
  <si>
    <t>2600元</t>
  </si>
  <si>
    <t>2700元</t>
  </si>
  <si>
    <t>2800元</t>
  </si>
  <si>
    <t>800元</t>
  </si>
  <si>
    <r>
      <rPr>
        <sz val="12"/>
        <color theme="1" tint="0.349986266670736"/>
        <rFont val="阿里巴巴普惠体 2.0 45 Light"/>
        <charset val="134"/>
      </rPr>
      <t>42m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</si>
  <si>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FY00046</t>
  </si>
  <si>
    <t>1700元</t>
  </si>
  <si>
    <t>小区名称C</t>
  </si>
  <si>
    <t>61号楼4单元1801</t>
  </si>
  <si>
    <t>154号楼3单元302</t>
  </si>
  <si>
    <t>40号楼3单元101</t>
  </si>
  <si>
    <t>53号楼3单元2201</t>
  </si>
  <si>
    <t>51号楼3单元1102</t>
  </si>
  <si>
    <t>1室2厅</t>
  </si>
  <si>
    <r>
      <rPr>
        <sz val="12"/>
        <color theme="1" tint="0.349986266670736"/>
        <rFont val="阿里巴巴普惠体 2.0 45 Light"/>
        <charset val="134"/>
      </rPr>
      <t>102m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</si>
  <si>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64m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</si>
  <si>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49m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</si>
  <si>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145m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</si>
  <si>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FY00002</t>
  </si>
  <si>
    <r>
      <rPr>
        <sz val="12"/>
        <color theme="1" tint="0.349986266670736"/>
        <rFont val="阿里巴巴普惠体 2.0 45 Light"/>
        <charset val="134"/>
      </rPr>
      <t>141m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</si>
  <si>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FY00025</t>
  </si>
  <si>
    <r>
      <rPr>
        <sz val="12"/>
        <color theme="1" tint="0.349986266670736"/>
        <rFont val="阿里巴巴普惠体 2.0 45 Light"/>
        <charset val="134"/>
      </rPr>
      <t>106m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</si>
  <si>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FY00031</t>
  </si>
  <si>
    <r>
      <rPr>
        <sz val="12"/>
        <color theme="1" tint="0.349986266670736"/>
        <rFont val="阿里巴巴普惠体 2.0 45 Light"/>
        <charset val="134"/>
      </rPr>
      <t>46m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</si>
  <si>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FY00041</t>
  </si>
  <si>
    <t>900元</t>
  </si>
  <si>
    <t>1300元</t>
  </si>
  <si>
    <t>2500元</t>
  </si>
  <si>
    <r>
      <rPr>
        <sz val="12"/>
        <color theme="1" tint="0.349986266670736"/>
        <rFont val="阿里巴巴普惠体 2.0 45 Light"/>
        <charset val="134"/>
      </rPr>
      <t>101m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</si>
  <si>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FY00047</t>
  </si>
  <si>
    <t>1100元</t>
  </si>
  <si>
    <t>小区名称A</t>
  </si>
  <si>
    <t>186号楼4单元702</t>
  </si>
  <si>
    <t>45号楼4单元2103</t>
  </si>
  <si>
    <t>181号楼5单元603</t>
  </si>
  <si>
    <t>86号楼2单元1001</t>
  </si>
  <si>
    <t>170号楼4单元1502</t>
  </si>
  <si>
    <r>
      <rPr>
        <sz val="12"/>
        <color theme="1" tint="0.349986266670736"/>
        <rFont val="阿里巴巴普惠体 2.0 45 Light"/>
        <charset val="134"/>
      </rPr>
      <t>91m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</si>
  <si>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47m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</si>
  <si>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121m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</si>
  <si>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116m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</si>
  <si>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FY00004</t>
  </si>
  <si>
    <r>
      <rPr>
        <sz val="12"/>
        <color theme="1" tint="0.349986266670736"/>
        <rFont val="阿里巴巴普惠体 2.0 45 Light"/>
        <charset val="134"/>
      </rPr>
      <t>90m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</si>
  <si>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FY00005</t>
  </si>
  <si>
    <r>
      <rPr>
        <sz val="12"/>
        <color theme="1" tint="0.349986266670736"/>
        <rFont val="阿里巴巴普惠体 2.0 45 Light"/>
        <charset val="134"/>
      </rPr>
      <t>92m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</si>
  <si>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FY00015</t>
  </si>
  <si>
    <t>3000元</t>
  </si>
  <si>
    <r>
      <rPr>
        <sz val="12"/>
        <color theme="1" tint="0.349986266670736"/>
        <rFont val="阿里巴巴普惠体 2.0 45 Light"/>
        <charset val="134"/>
      </rPr>
      <t>59m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</si>
  <si>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FY00026</t>
  </si>
  <si>
    <r>
      <rPr>
        <sz val="12"/>
        <color theme="1" tint="0.349986266670736"/>
        <rFont val="阿里巴巴普惠体 2.0 45 Light"/>
        <charset val="134"/>
      </rPr>
      <t>119m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</si>
  <si>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FY00027</t>
  </si>
  <si>
    <t>FY00033</t>
  </si>
  <si>
    <r>
      <rPr>
        <sz val="12"/>
        <color theme="1" tint="0.349986266670736"/>
        <rFont val="阿里巴巴普惠体 2.0 45 Light"/>
        <charset val="134"/>
      </rPr>
      <t>67m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</si>
  <si>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FY00034</t>
  </si>
  <si>
    <r>
      <rPr>
        <sz val="12"/>
        <color theme="1" tint="0.349986266670736"/>
        <rFont val="阿里巴巴普惠体 2.0 45 Light"/>
        <charset val="134"/>
      </rPr>
      <t>105m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</si>
  <si>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FY00042</t>
  </si>
  <si>
    <t>FY00043</t>
  </si>
  <si>
    <t>FY00049</t>
  </si>
  <si>
    <t>小区名称D</t>
  </si>
  <si>
    <t>71号楼3单元2101</t>
  </si>
  <si>
    <t>49号楼5单元402</t>
  </si>
  <si>
    <r>
      <rPr>
        <sz val="12"/>
        <color theme="1" tint="0.349986266670736"/>
        <rFont val="阿里巴巴普惠体 2.0 45 Light"/>
        <charset val="134"/>
      </rPr>
      <t>85m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</si>
  <si>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147m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</si>
  <si>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129m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</si>
  <si>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FY00029</t>
  </si>
  <si>
    <r>
      <rPr>
        <sz val="12"/>
        <color theme="1" tint="0.349986266670736"/>
        <rFont val="阿里巴巴普惠体 2.0 45 Light"/>
        <charset val="134"/>
      </rPr>
      <t>150m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</si>
  <si>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FY00045</t>
  </si>
  <si>
    <t>小区名称G</t>
  </si>
  <si>
    <t>155号楼4单元503</t>
  </si>
  <si>
    <t>176号楼1单元203</t>
  </si>
  <si>
    <t>156号楼4单元1403</t>
  </si>
  <si>
    <t>58号楼5单元2303</t>
  </si>
  <si>
    <t>120号楼2单元903</t>
  </si>
  <si>
    <t>186号楼4单元1003</t>
  </si>
  <si>
    <r>
      <rPr>
        <sz val="12"/>
        <color theme="1" tint="0.349986266670736"/>
        <rFont val="阿里巴巴普惠体 2.0 45 Light"/>
        <charset val="134"/>
      </rPr>
      <t>78m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</si>
  <si>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48m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</si>
  <si>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r>
      <rPr>
        <sz val="12"/>
        <color theme="1" tint="0.349986266670736"/>
        <rFont val="阿里巴巴普惠体 2.0 45 Light"/>
        <charset val="134"/>
      </rPr>
      <t>132m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</si>
  <si>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FY00006</t>
  </si>
  <si>
    <t>FY00017</t>
  </si>
  <si>
    <t>FY00021</t>
  </si>
  <si>
    <t>1200元</t>
  </si>
  <si>
    <r>
      <rPr>
        <sz val="12"/>
        <color theme="1" tint="0.349986266670736"/>
        <rFont val="阿里巴巴普惠体 2.0 45 Light"/>
        <charset val="134"/>
      </rPr>
      <t>93m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</si>
  <si>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FY00023</t>
  </si>
  <si>
    <r>
      <rPr>
        <sz val="12"/>
        <color theme="1" tint="0.349986266670736"/>
        <rFont val="阿里巴巴普惠体 2.0 45 Light"/>
        <charset val="134"/>
      </rPr>
      <t>75m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</si>
  <si>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FY00024</t>
  </si>
  <si>
    <r>
      <rPr>
        <sz val="12"/>
        <color theme="1" tint="0.349986266670736"/>
        <rFont val="阿里巴巴普惠体 2.0 45 Light"/>
        <charset val="134"/>
      </rPr>
      <t>55m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</si>
  <si>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FY00028</t>
  </si>
  <si>
    <t>FY00035</t>
  </si>
  <si>
    <t>FY00037</t>
  </si>
  <si>
    <t>FY00039</t>
  </si>
  <si>
    <t>FY00040</t>
  </si>
  <si>
    <t>2400元</t>
  </si>
  <si>
    <r>
      <rPr>
        <sz val="12"/>
        <color theme="1" tint="0.349986266670736"/>
        <rFont val="阿里巴巴普惠体 2.0 45 Light"/>
        <charset val="134"/>
      </rPr>
      <t>135m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</si>
  <si>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FY00044</t>
  </si>
  <si>
    <t>小区名称B</t>
  </si>
  <si>
    <t>107号楼4单元1903</t>
  </si>
  <si>
    <r>
      <rPr>
        <sz val="12"/>
        <color theme="1" tint="0.349986266670736"/>
        <rFont val="阿里巴巴普惠体 2.0 45 Light"/>
        <charset val="134"/>
      </rPr>
      <t>134m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</si>
  <si>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FY00003</t>
  </si>
  <si>
    <r>
      <rPr>
        <sz val="12"/>
        <color theme="1" tint="0.349986266670736"/>
        <rFont val="阿里巴巴普惠体 2.0 45 Light"/>
        <charset val="134"/>
      </rPr>
      <t>103m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</si>
  <si>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FY00010</t>
  </si>
  <si>
    <t>FY00011</t>
  </si>
  <si>
    <r>
      <rPr>
        <sz val="12"/>
        <color theme="1" tint="0.349986266670736"/>
        <rFont val="阿里巴巴普惠体 2.0 45 Light"/>
        <charset val="134"/>
      </rPr>
      <t>108m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</si>
  <si>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FY00014</t>
  </si>
  <si>
    <r>
      <rPr>
        <sz val="12"/>
        <color theme="1" tint="0.349986266670736"/>
        <rFont val="阿里巴巴普惠体 2.0 45 Light"/>
        <charset val="134"/>
      </rPr>
      <t>53m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</si>
  <si>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FY00032</t>
  </si>
  <si>
    <r>
      <rPr>
        <sz val="12"/>
        <color theme="1" tint="0.349986266670736"/>
        <rFont val="阿里巴巴普惠体 2.0 45 Light"/>
        <charset val="134"/>
      </rPr>
      <t>139m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</si>
  <si>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FY00048</t>
  </si>
  <si>
    <t>小区名称H</t>
  </si>
  <si>
    <t>25号楼4单元902</t>
  </si>
  <si>
    <r>
      <rPr>
        <sz val="12"/>
        <color theme="1" tint="0.349986266670736"/>
        <rFont val="阿里巴巴普惠体 2.0 45 Light"/>
        <charset val="134"/>
      </rPr>
      <t>84m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</si>
  <si>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FY00008</t>
  </si>
  <si>
    <t>FY00009</t>
  </si>
  <si>
    <r>
      <rPr>
        <sz val="12"/>
        <color theme="1" tint="0.349986266670736"/>
        <rFont val="阿里巴巴普惠体 2.0 45 Light"/>
        <charset val="134"/>
      </rPr>
      <t>144m</t>
    </r>
    <r>
      <rPr>
        <vertAlign val="superscript"/>
        <sz val="12"/>
        <color theme="1" tint="0.349986266670736"/>
        <rFont val="阿里巴巴普惠体 2.0 45 Light"/>
        <charset val="134"/>
      </rPr>
      <t>2</t>
    </r>
  </si>
  <si>
    <t>FY00019</t>
  </si>
  <si>
    <t>房源明细</t>
  </si>
  <si>
    <t>添加房源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</si>
  <si>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房源编号：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</si>
  <si>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小区名称：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</si>
  <si>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详细地址：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</si>
  <si>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楼层：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</si>
  <si>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室：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</si>
  <si>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厅：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</si>
  <si>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面积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</si>
  <si>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租金：</t>
    </r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</si>
  <si>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添加日期</t>
    </r>
  </si>
  <si>
    <t xml:space="preserve">  房源标签：</t>
  </si>
  <si>
    <t>添加日期</t>
  </si>
  <si>
    <t>房源编号</t>
  </si>
  <si>
    <t>小区名称</t>
  </si>
  <si>
    <t>详细地址</t>
  </si>
  <si>
    <t>楼层</t>
  </si>
  <si>
    <t>室</t>
  </si>
  <si>
    <t>厅</t>
  </si>
  <si>
    <t>面积</t>
  </si>
  <si>
    <t>租金</t>
  </si>
  <si>
    <t>房源标签</t>
  </si>
  <si>
    <t>当前合同编号</t>
  </si>
  <si>
    <t>到期日</t>
  </si>
  <si>
    <t>房屋状态</t>
  </si>
  <si>
    <t>操作</t>
  </si>
  <si>
    <t>楼层低 | 近地铁 | 有空调 | 精装修 | 随时看房</t>
  </si>
  <si>
    <t>空闲</t>
  </si>
  <si>
    <t>查看|开单</t>
  </si>
  <si>
    <t>楼层低 | 近地铁 | 有空调</t>
  </si>
  <si>
    <t>楼层低 | 有电梯 | 有家具</t>
  </si>
  <si>
    <t>精装修 | 民水民电 | 随时看房</t>
  </si>
  <si>
    <t>楼层低 | 有电梯民水民电 | 随时看房</t>
  </si>
  <si>
    <t>楼层低 | 有电梯 | 有家具 | 精装修 | 民水民电 | 随时看房</t>
  </si>
  <si>
    <t xml:space="preserve">楼层低 | 有电梯 | 有家具 | </t>
  </si>
  <si>
    <t>民水民电 | 随时看房</t>
  </si>
  <si>
    <t>楼层低 | 民水民电 | 随时看房</t>
  </si>
  <si>
    <t>楼层低 | 有电梯 | 有家具随时看房</t>
  </si>
  <si>
    <t>有电梯 | 有家具 | 民水民电 | 随时看房</t>
  </si>
  <si>
    <t>民水民电 | 随时看房 | 有空调</t>
  </si>
  <si>
    <t>近地铁 | 有空调 | 随时看房</t>
  </si>
  <si>
    <t>精装修 | 随时看房</t>
  </si>
  <si>
    <t>交易流水</t>
  </si>
  <si>
    <t>合同信息</t>
  </si>
  <si>
    <t>房源信息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</si>
  <si>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合同编号：</t>
    </r>
  </si>
  <si>
    <t xml:space="preserve">  小区名称：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</si>
  <si>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租住月数：</t>
    </r>
  </si>
  <si>
    <t xml:space="preserve">  详细地址：</t>
  </si>
  <si>
    <t xml:space="preserve">  楼层：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</si>
  <si>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起始日期：</t>
    </r>
  </si>
  <si>
    <t xml:space="preserve">  室：</t>
  </si>
  <si>
    <t xml:space="preserve">  厅：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</si>
  <si>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结束日期</t>
    </r>
  </si>
  <si>
    <t xml:space="preserve">  面积</t>
  </si>
  <si>
    <t xml:space="preserve">  押金金额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</si>
  <si>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合同金额</t>
    </r>
  </si>
  <si>
    <t>客户信息</t>
  </si>
  <si>
    <r>
      <rPr>
        <sz val="12"/>
        <color rgb="FFFF0000"/>
        <rFont val="阿里巴巴普惠体 2.0 55 Regular"/>
        <charset val="134"/>
      </rPr>
      <t>*</t>
    </r>
    <r>
      <rPr>
        <sz val="12"/>
        <color theme="1" tint="0.249977111117893"/>
        <rFont val="阿里巴巴普惠体 2.0 55 Regular"/>
        <charset val="134"/>
      </rPr>
      <t xml:space="preserve"> 客户编号：</t>
    </r>
  </si>
  <si>
    <t xml:space="preserve">  身份证号：</t>
  </si>
  <si>
    <t xml:space="preserve">  客户姓名：</t>
  </si>
  <si>
    <t xml:space="preserve">  联系电话：</t>
  </si>
  <si>
    <t>客户明细</t>
  </si>
  <si>
    <t>客户编号</t>
  </si>
  <si>
    <t>客户姓名</t>
  </si>
  <si>
    <t>身份证号</t>
  </si>
  <si>
    <t>联系电话</t>
  </si>
  <si>
    <t>微信</t>
  </si>
  <si>
    <t>标签</t>
  </si>
  <si>
    <t>状态</t>
  </si>
  <si>
    <t>F00001</t>
  </si>
  <si>
    <t>姓名1</t>
  </si>
  <si>
    <t>230211XXXXXXXX3215</t>
  </si>
  <si>
    <t>132XXXX7376</t>
  </si>
  <si>
    <t>微信1</t>
  </si>
  <si>
    <t>有电梯 | 有家具 | 有车位 | 民水民电</t>
  </si>
  <si>
    <t>跟进中</t>
  </si>
  <si>
    <t>F00002</t>
  </si>
  <si>
    <t>姓名2</t>
  </si>
  <si>
    <t>132XXXX7377</t>
  </si>
  <si>
    <t>微信2</t>
  </si>
  <si>
    <t>F00003</t>
  </si>
  <si>
    <t>姓名3</t>
  </si>
  <si>
    <t>132XXXX7378</t>
  </si>
  <si>
    <t>微信3</t>
  </si>
  <si>
    <t>F00004</t>
  </si>
  <si>
    <t>姓名4</t>
  </si>
  <si>
    <t>132XXXX7379</t>
  </si>
  <si>
    <t>微信4</t>
  </si>
  <si>
    <t>F00005</t>
  </si>
  <si>
    <t>姓名5</t>
  </si>
  <si>
    <t>132XXXX7380</t>
  </si>
  <si>
    <t>微信5</t>
  </si>
  <si>
    <t>F00006</t>
  </si>
  <si>
    <t>姓名6</t>
  </si>
  <si>
    <t>132XXXX7381</t>
  </si>
  <si>
    <t>微信6</t>
  </si>
  <si>
    <t>F00007</t>
  </si>
  <si>
    <t>姓名7</t>
  </si>
  <si>
    <t>132XXXX7382</t>
  </si>
  <si>
    <t>微信7</t>
  </si>
  <si>
    <t>F00008</t>
  </si>
  <si>
    <t>姓名8</t>
  </si>
  <si>
    <t>132XXXX7383</t>
  </si>
  <si>
    <t>微信8</t>
  </si>
  <si>
    <t>F00009</t>
  </si>
  <si>
    <t>姓名9</t>
  </si>
  <si>
    <t>132XXXX7384</t>
  </si>
  <si>
    <t>微信9</t>
  </si>
  <si>
    <t>F00010</t>
  </si>
  <si>
    <t>姓名10</t>
  </si>
  <si>
    <t>132XXXX7385</t>
  </si>
  <si>
    <t>微信10</t>
  </si>
  <si>
    <t>F00011</t>
  </si>
  <si>
    <t>姓名11</t>
  </si>
  <si>
    <t>132XXXX7386</t>
  </si>
  <si>
    <t>微信11</t>
  </si>
  <si>
    <t>F00012</t>
  </si>
  <si>
    <t>姓名12</t>
  </si>
  <si>
    <t>132XXXX7387</t>
  </si>
  <si>
    <t>微信12</t>
  </si>
  <si>
    <t>F00013</t>
  </si>
  <si>
    <t>姓名13</t>
  </si>
  <si>
    <t>132XXXX7388</t>
  </si>
  <si>
    <t>微信13</t>
  </si>
  <si>
    <t>F00014</t>
  </si>
  <si>
    <t>姓名14</t>
  </si>
  <si>
    <t>132XXXX7389</t>
  </si>
  <si>
    <t>微信14</t>
  </si>
  <si>
    <t>F00015</t>
  </si>
  <si>
    <t>姓名15</t>
  </si>
  <si>
    <t>132XXXX7390</t>
  </si>
  <si>
    <t>微信15</t>
  </si>
  <si>
    <t>F00016</t>
  </si>
  <si>
    <t>姓名16</t>
  </si>
  <si>
    <t>132XXXX7391</t>
  </si>
  <si>
    <t>微信16</t>
  </si>
  <si>
    <t>F00017</t>
  </si>
  <si>
    <t>姓名17</t>
  </si>
  <si>
    <t>132XXXX7392</t>
  </si>
  <si>
    <t>微信17</t>
  </si>
  <si>
    <t>F00018</t>
  </si>
  <si>
    <t>姓名18</t>
  </si>
  <si>
    <t>132XXXX7393</t>
  </si>
  <si>
    <t>微信18</t>
  </si>
  <si>
    <t>F00019</t>
  </si>
  <si>
    <t>姓名19</t>
  </si>
  <si>
    <t>132XXXX7394</t>
  </si>
  <si>
    <t>微信19</t>
  </si>
  <si>
    <t>F00020</t>
  </si>
  <si>
    <t>姓名20</t>
  </si>
  <si>
    <t>132XXXX7395</t>
  </si>
  <si>
    <t>微信20</t>
  </si>
  <si>
    <t>F00021</t>
  </si>
  <si>
    <t>姓名21</t>
  </si>
  <si>
    <t>132XXXX7396</t>
  </si>
  <si>
    <t>微信21</t>
  </si>
  <si>
    <t>已签单</t>
  </si>
  <si>
    <t>F00022</t>
  </si>
  <si>
    <t>姓名22</t>
  </si>
  <si>
    <t>132XXXX7397</t>
  </si>
  <si>
    <t>微信22</t>
  </si>
  <si>
    <t>F00023</t>
  </si>
  <si>
    <t>姓名23</t>
  </si>
  <si>
    <t>132XXXX7398</t>
  </si>
  <si>
    <t>微信23</t>
  </si>
  <si>
    <t>F00024</t>
  </si>
  <si>
    <t>姓名24</t>
  </si>
  <si>
    <t>132XXXX7399</t>
  </si>
  <si>
    <t>微信24</t>
  </si>
  <si>
    <t>F00025</t>
  </si>
  <si>
    <t>姓名25</t>
  </si>
  <si>
    <t>132XXXX7400</t>
  </si>
  <si>
    <t>微信25</t>
  </si>
  <si>
    <t>F00026</t>
  </si>
  <si>
    <t>姓名26</t>
  </si>
  <si>
    <t>132XXXX7401</t>
  </si>
  <si>
    <t>微信26</t>
  </si>
  <si>
    <t>F00027</t>
  </si>
  <si>
    <t>姓名27</t>
  </si>
  <si>
    <t>132XXXX7402</t>
  </si>
  <si>
    <t>微信27</t>
  </si>
  <si>
    <t>已放弃</t>
  </si>
  <si>
    <t>F00028</t>
  </si>
  <si>
    <t>姓名28</t>
  </si>
  <si>
    <t>230211XXXXXXXX3216</t>
  </si>
  <si>
    <t>132XXXX7403</t>
  </si>
  <si>
    <t>微信28</t>
  </si>
  <si>
    <t>F00029</t>
  </si>
  <si>
    <t>姓名29</t>
  </si>
  <si>
    <t>230211XXXXXXXX3217</t>
  </si>
  <si>
    <t>132XXXX7404</t>
  </si>
  <si>
    <t>微信29</t>
  </si>
  <si>
    <t>F00030</t>
  </si>
  <si>
    <t>姓名30</t>
  </si>
  <si>
    <t>230211XXXXXXXX3218</t>
  </si>
  <si>
    <t>132XXXX7405</t>
  </si>
  <si>
    <t>微信30</t>
  </si>
  <si>
    <t>F00031</t>
  </si>
  <si>
    <t>姓名31</t>
  </si>
  <si>
    <t>230211XXXXXXXX3219</t>
  </si>
  <si>
    <t>132XXXX7406</t>
  </si>
  <si>
    <t>微信31</t>
  </si>
  <si>
    <t>F00032</t>
  </si>
  <si>
    <t>姓名32</t>
  </si>
  <si>
    <t>230211XXXXXXXX3220</t>
  </si>
  <si>
    <t>132XXXX7407</t>
  </si>
  <si>
    <t>微信32</t>
  </si>
  <si>
    <t>F00033</t>
  </si>
  <si>
    <t>姓名33</t>
  </si>
  <si>
    <t>230211XXXXXXXX3221</t>
  </si>
  <si>
    <t>132XXXX7408</t>
  </si>
  <si>
    <t>微信33</t>
  </si>
  <si>
    <t>F00034</t>
  </si>
  <si>
    <t>姓名34</t>
  </si>
  <si>
    <t>230211XXXXXXXX3222</t>
  </si>
  <si>
    <t>132XXXX7409</t>
  </si>
  <si>
    <t>微信34</t>
  </si>
  <si>
    <t>F00035</t>
  </si>
  <si>
    <t>姓名35</t>
  </si>
  <si>
    <t>230211XXXXXXXX3223</t>
  </si>
  <si>
    <t>132XXXX7410</t>
  </si>
  <si>
    <t>微信35</t>
  </si>
  <si>
    <t>签订日期</t>
  </si>
  <si>
    <t>合同编号</t>
  </si>
  <si>
    <t>租住月数</t>
  </si>
  <si>
    <t>起始日期</t>
  </si>
  <si>
    <t>结束日期</t>
  </si>
  <si>
    <t>押金金额</t>
  </si>
  <si>
    <t>合同金额</t>
  </si>
  <si>
    <t>每月租金</t>
  </si>
  <si>
    <t>FYH0001</t>
  </si>
  <si>
    <t>查看</t>
  </si>
  <si>
    <t>FYH0002</t>
  </si>
  <si>
    <t>FYH0003</t>
  </si>
  <si>
    <t>FYH0004</t>
  </si>
  <si>
    <t>FYH0005</t>
  </si>
  <si>
    <t>FYH0006</t>
  </si>
  <si>
    <t>FYH0007</t>
  </si>
  <si>
    <t>FYH0008</t>
  </si>
  <si>
    <t>FYH0009</t>
  </si>
  <si>
    <t>FYH0010</t>
  </si>
  <si>
    <t>FYH0011</t>
  </si>
  <si>
    <t>FYH0012</t>
  </si>
  <si>
    <t>FYH0013</t>
  </si>
  <si>
    <t>FYH0014</t>
  </si>
  <si>
    <t>FYH0015</t>
  </si>
  <si>
    <t>FYH0016</t>
  </si>
  <si>
    <t>FYH0017</t>
  </si>
  <si>
    <t>FYH0018</t>
  </si>
  <si>
    <t>FYH0019</t>
  </si>
  <si>
    <t>FYH0020</t>
  </si>
  <si>
    <t>FYH0021</t>
  </si>
  <si>
    <t>FYH0022</t>
  </si>
  <si>
    <t>FYH0023</t>
  </si>
  <si>
    <t>FYH0024</t>
  </si>
  <si>
    <t>FYH0025</t>
  </si>
  <si>
    <t>FYH0026</t>
  </si>
  <si>
    <t>FYH0027</t>
  </si>
  <si>
    <t>FYH0028</t>
  </si>
  <si>
    <t>FYH0029</t>
  </si>
  <si>
    <t>FYH0030</t>
  </si>
  <si>
    <t>F00036</t>
  </si>
  <si>
    <t>FYH0031</t>
  </si>
  <si>
    <t>F00037</t>
  </si>
  <si>
    <t>FYH0032</t>
  </si>
  <si>
    <t>F00038</t>
  </si>
  <si>
    <t>FYH0033</t>
  </si>
  <si>
    <t>F00039</t>
  </si>
  <si>
    <t>FYH0034</t>
  </si>
  <si>
    <t>F00040</t>
  </si>
  <si>
    <t>FYH0035</t>
  </si>
  <si>
    <t>F00041</t>
  </si>
  <si>
    <t>FYH0036</t>
  </si>
  <si>
    <t>F00042</t>
  </si>
  <si>
    <t>FYH0037</t>
  </si>
  <si>
    <t>F00043</t>
  </si>
  <si>
    <t>FYH0038</t>
  </si>
  <si>
    <t>F00044</t>
  </si>
  <si>
    <t>FYH0039</t>
  </si>
  <si>
    <t>F00045</t>
  </si>
  <si>
    <t>FYH0040</t>
  </si>
  <si>
    <t>F00046</t>
  </si>
  <si>
    <t>FYH0041</t>
  </si>
  <si>
    <t>FY00050</t>
  </si>
  <si>
    <t>F00047</t>
  </si>
  <si>
    <t>列表卡片设置</t>
  </si>
  <si>
    <t>字段设置</t>
  </si>
  <si>
    <t>模板初始化</t>
  </si>
  <si>
    <t>列表卡片列数</t>
  </si>
  <si>
    <t>楼层低</t>
  </si>
  <si>
    <t>房源空闲样式</t>
  </si>
  <si>
    <t>WPS</t>
  </si>
  <si>
    <t>有电梯</t>
  </si>
  <si>
    <t>注：初始化功能会将【房源明细】、【客户管理】、【交易流水】这三个工作中的数据清空，同时列表卡片恢复默认设置，操作前请数据备份！</t>
  </si>
  <si>
    <t>近地铁</t>
  </si>
  <si>
    <t>房源已租样式</t>
  </si>
  <si>
    <t>有家具</t>
  </si>
  <si>
    <t>有空调</t>
  </si>
  <si>
    <t>房源即将到期样式</t>
  </si>
  <si>
    <t>有车位</t>
  </si>
  <si>
    <t>精装修</t>
  </si>
  <si>
    <t>即将到期提醒天数</t>
  </si>
  <si>
    <t>民水民电</t>
  </si>
  <si>
    <t>随时看房</t>
  </si>
  <si>
    <t>字段</t>
  </si>
  <si>
    <t>显示值</t>
  </si>
  <si>
    <t>值</t>
  </si>
  <si>
    <t>日期</t>
  </si>
  <si>
    <t>年月</t>
  </si>
  <si>
    <t>值2</t>
  </si>
  <si>
    <t>小区</t>
  </si>
  <si>
    <t>即将到期</t>
  </si>
  <si>
    <t>已租</t>
  </si>
  <si>
    <t>最高日期</t>
  </si>
  <si>
    <t>房源模板</t>
  </si>
  <si>
    <t>绿城花园</t>
  </si>
  <si>
    <t>两室一厅</t>
  </si>
  <si>
    <t>75m²</t>
  </si>
  <si>
    <t>2000元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</si>
</sst>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176" formatCode="m/d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7" formatCode="yyyy&quot;年&quot;mm&quot;月&quot;;@"/>
  </numFmts>
  <fonts count="65">
    <font>
      <sz val="11"/>
      <color theme="1"/>
      <name val="宋体"/>
      <charset val="134"/>
      <scheme val="minor"/>
    </font>
    <font>
      <sz val="11"/>
      <color theme="1"/>
      <name val="阿里巴巴普惠体 2.0 65 Medium"/>
      <charset val="134"/>
    </font>
    <font>
      <b/>
      <sz val="18"/>
      <color theme="1"/>
      <name val="阿里巴巴普惠体 2.0 95 ExtraBold"/>
      <charset val="134"/>
    </font>
    <font>
      <sz val="12"/>
      <name val="阿里巴巴普惠体 2.0 65 Medium"/>
      <charset val="134"/>
    </font>
    <font>
      <b/>
      <sz val="18"/>
      <color theme="8"/>
      <name val="阿里巴巴普惠体 2.0 95 ExtraBold"/>
      <charset val="134"/>
    </font>
    <font>
      <b/>
      <sz val="18"/>
      <name val="阿里巴巴普惠体 2.0 65 Medium"/>
      <charset val="134"/>
    </font>
    <font>
      <sz val="16"/>
      <color rgb="FFFFFFFF"/>
      <name val="阿里巴巴普惠体 2.0 65 Medium"/>
      <charset val="134"/>
    </font>
    <font>
      <sz val="16"/>
      <color theme="0"/>
      <name val="阿里巴巴普惠体 2.0 65 Medium"/>
      <charset val="134"/>
    </font>
    <font>
      <sz val="12"/>
      <color theme="1" tint="0.349986266670736"/>
      <name val="阿里巴巴普惠体 2.0 45 Light"/>
      <charset val="134"/>
    </font>
    <font>
      <sz val="11"/>
      <color theme="1" tint="0.349986266670736"/>
      <name val="阿里巴巴普惠体 2.0 65 Medium"/>
      <charset val="134"/>
    </font>
    <font>
      <sz val="12"/>
      <color theme="0"/>
      <name val="阿里巴巴普惠体 2.0 45 Light"/>
      <charset val="134"/>
    </font>
    <font>
      <b/>
      <sz val="11"/>
      <color theme="1" tint="0.14996795556505"/>
      <name val="阿里巴巴普惠体 2.0 45 Light"/>
      <charset val="134"/>
    </font>
    <font>
      <sz val="16"/>
      <color rgb="FFFF0000"/>
      <name val="阿里巴巴普惠体 2.0 65 Medium"/>
      <charset val="134"/>
    </font>
    <font>
      <sz val="11"/>
      <name val="阿里巴巴普惠体 2.0 65 Medium"/>
      <charset val="134"/>
    </font>
    <font>
      <sz val="11"/>
      <name val="阿里巴巴普惠体 2.0 55 Regular"/>
      <charset val="134"/>
    </font>
    <font>
      <sz val="16"/>
      <name val="阿里巴巴普惠体 2.0 65 Medium"/>
      <charset val="134"/>
    </font>
    <font>
      <sz val="12"/>
      <name val="阿里巴巴普惠体 2.0 45 Light"/>
      <charset val="134"/>
    </font>
    <font>
      <b/>
      <sz val="12"/>
      <name val="阿里巴巴普惠体 2.0 65 Medium"/>
      <charset val="134"/>
    </font>
    <font>
      <sz val="11"/>
      <color theme="1" tint="0.499984740745262"/>
      <name val="阿里巴巴普惠体 2.0 65 Medium"/>
      <charset val="134"/>
    </font>
    <font>
      <sz val="16"/>
      <color theme="1" tint="0.499984740745262"/>
      <name val="阿里巴巴普惠体 2.0 65 Medium"/>
      <charset val="134"/>
    </font>
    <font>
      <sz val="11"/>
      <color rgb="FFFFFFFF"/>
      <name val="阿里巴巴普惠体 2.0 65 Medium"/>
      <charset val="134"/>
    </font>
    <font>
      <sz val="12"/>
      <color theme="1" tint="0.499984740745262"/>
      <name val="阿里巴巴普惠体 2.0 45 Light"/>
      <charset val="134"/>
    </font>
    <font>
      <b/>
      <sz val="20"/>
      <name val="阿里巴巴普惠体 2.0 65 Medium"/>
      <charset val="134"/>
    </font>
    <font>
      <sz val="11"/>
      <color theme="1" tint="0.5"/>
      <name val="阿里巴巴普惠体 2.0 45 Light"/>
      <charset val="134"/>
    </font>
    <font>
      <b/>
      <sz val="11"/>
      <name val="阿里巴巴普惠体 2.0 65 Medium"/>
      <charset val="134"/>
    </font>
    <font>
      <b/>
      <sz val="11"/>
      <color theme="1"/>
      <name val="阿里巴巴普惠体 2.0 65 Medium"/>
      <charset val="134"/>
    </font>
    <font>
      <b/>
      <sz val="11"/>
      <color rgb="FF0070C0"/>
      <name val="阿里巴巴普惠体 2.0 65 Medium"/>
      <charset val="134"/>
    </font>
    <font>
      <b/>
      <sz val="11"/>
      <color theme="8"/>
      <name val="阿里巴巴普惠体 2.0 65 Medium"/>
      <charset val="134"/>
    </font>
    <font>
      <sz val="11"/>
      <color theme="1"/>
      <name val="阿里巴巴普惠体 2.0 55 Regular"/>
      <charset val="134"/>
    </font>
    <font>
      <sz val="12"/>
      <color theme="1" tint="0.249977111117893"/>
      <name val="阿里巴巴普惠体 2.0 55 Regular"/>
      <charset val="134"/>
    </font>
    <font>
      <b/>
      <sz val="12"/>
      <name val="阿里巴巴普惠体 2.0 55 Regular"/>
      <charset val="134"/>
    </font>
    <font>
      <sz val="12"/>
      <color rgb="FFFF0000"/>
      <name val="阿里巴巴普惠体 2.0 55 Regular"/>
      <charset val="134"/>
    </font>
    <font>
      <sz val="12"/>
      <name val="阿里巴巴普惠体 2.0 55 Regular"/>
      <charset val="134"/>
    </font>
    <font>
      <b/>
      <sz val="12"/>
      <color theme="1" tint="0.249977111117893"/>
      <name val="阿里巴巴普惠体 2.0 55 Regular"/>
      <charset val="134"/>
    </font>
    <font>
      <sz val="11"/>
      <color theme="0" tint="-0.0499893185216834"/>
      <name val="阿里巴巴普惠体 2.0 65 Medium"/>
      <charset val="134"/>
    </font>
    <font>
      <b/>
      <sz val="11"/>
      <color rgb="FF377EB8"/>
      <name val="阿里巴巴普惠体 2.0 55 Regular"/>
      <charset val="134"/>
    </font>
    <font>
      <b/>
      <sz val="11"/>
      <color rgb="FF0070C0"/>
      <name val="阿里巴巴普惠体 2.0 55 Regular"/>
      <charset val="134"/>
    </font>
    <font>
      <sz val="12"/>
      <color theme="0"/>
      <name val="阿里巴巴普惠体 2.0 65 Medium"/>
      <charset val="134"/>
    </font>
    <font>
      <sz val="12"/>
      <color theme="1"/>
      <name val="阿里巴巴普惠体 2.0 65 Medium"/>
      <charset val="134"/>
    </font>
    <font>
      <sz val="36"/>
      <color theme="0"/>
      <name val="阿里巴巴普惠体 2.0 65 Medium"/>
      <charset val="134"/>
    </font>
    <font>
      <sz val="10"/>
      <color theme="1" tint="0.349986266670736"/>
      <name val="阿里巴巴普惠体 2.0 55 Regular"/>
      <charset val="134"/>
    </font>
    <font>
      <b/>
      <sz val="20"/>
      <color theme="1" tint="0.349986266670736"/>
      <name val="阿里巴巴普惠体 2.0 95 ExtraBold"/>
      <charset val="134"/>
    </font>
    <font>
      <sz val="16"/>
      <color theme="1" tint="0.349986266670736"/>
      <name val="阿里巴巴普惠体 2.0 95 ExtraBold"/>
      <charset val="134"/>
    </font>
    <font>
      <b/>
      <sz val="22"/>
      <color theme="1" tint="0.349986266670736"/>
      <name val="阿里巴巴普惠体 2.0 95 ExtraBold"/>
      <charset val="134"/>
    </font>
    <font>
      <b/>
      <sz val="11"/>
      <color theme="1" tint="0.349986266670736"/>
      <name val="阿里巴巴普惠体 2.0 55 Regular"/>
      <charset val="134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vertAlign val="superscript"/>
      <sz val="12"/>
      <color theme="1" tint="0.349986266670736"/>
      <name val="阿里巴巴普惠体 2.0 45 Light"/>
      <charset val="134"/>
    </font>
  </fonts>
  <fills count="47">
    <fill>
      <patternFill patternType="none"/>
    </fill>
    <fill>
      <patternFill patternType="gray125"/>
    </fill>
    <fill>
      <patternFill patternType="gray125">
        <bgColor theme="3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1C9E77"/>
        <bgColor indexed="64"/>
      </patternFill>
    </fill>
    <fill>
      <gradientFill degree="270">
        <stop position="0">
          <color theme="0" tint="-0.0499893185216834"/>
        </stop>
        <stop position="1">
          <color theme="0" tint="-0.249977111117893"/>
        </stop>
      </gradient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rgb="FF1C9E7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14996795556505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/>
      <diagonal/>
    </border>
    <border>
      <left style="thin">
        <color theme="0" tint="-0.14996795556505"/>
      </left>
      <right style="thin">
        <color theme="0" tint="-0.14996795556505"/>
      </right>
      <top/>
      <bottom style="thin">
        <color theme="0" tint="-0.14996795556505"/>
      </bottom>
      <diagonal/>
    </border>
    <border>
      <left style="thin">
        <color theme="0" tint="-0.14996795556505"/>
      </left>
      <right/>
      <top style="thin">
        <color theme="0" tint="-0.14996795556505"/>
      </top>
      <bottom/>
      <diagonal/>
    </border>
    <border>
      <left/>
      <right/>
      <top style="thin">
        <color theme="0" tint="-0.14996795556505"/>
      </top>
      <bottom/>
      <diagonal/>
    </border>
    <border>
      <left/>
      <right style="thin">
        <color theme="0" tint="-0.14996795556505"/>
      </right>
      <top style="thin">
        <color theme="0" tint="-0.14996795556505"/>
      </top>
      <bottom/>
      <diagonal/>
    </border>
    <border>
      <left style="thin">
        <color theme="0" tint="-0.14996795556505"/>
      </left>
      <right/>
      <top/>
      <bottom style="thin">
        <color theme="0" tint="-0.14996795556505"/>
      </bottom>
      <diagonal/>
    </border>
    <border>
      <left/>
      <right style="thin">
        <color theme="0" tint="-0.14996795556505"/>
      </right>
      <top/>
      <bottom style="thin">
        <color theme="0" tint="-0.14996795556505"/>
      </bottom>
      <diagonal/>
    </border>
    <border>
      <left style="thin">
        <color theme="0" tint="-0.14996795556505"/>
      </left>
      <right/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theme="0" tint="-0.14996795556505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3" fillId="25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1" fillId="28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0" fillId="29" borderId="20" applyNumberFormat="0" applyFont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>
      <alignment vertical="center"/>
    </xf>
    <xf numFmtId="0" fontId="57" fillId="0" borderId="17" applyNumberFormat="0" applyFill="0" applyAlignment="0" applyProtection="0">
      <alignment vertical="center"/>
    </xf>
    <xf numFmtId="0" fontId="51" fillId="32" borderId="0" applyNumberFormat="0" applyBorder="0" applyAlignment="0" applyProtection="0">
      <alignment vertical="center"/>
    </xf>
    <xf numFmtId="0" fontId="45" fillId="0" borderId="16" applyNumberFormat="0" applyFill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61" fillId="31" borderId="22" applyNumberFormat="0" applyAlignment="0" applyProtection="0">
      <alignment vertical="center"/>
    </xf>
    <xf numFmtId="0" fontId="59" fillId="31" borderId="18" applyNumberFormat="0" applyAlignment="0" applyProtection="0">
      <alignment vertical="center"/>
    </xf>
    <xf numFmtId="0" fontId="55" fillId="27" borderId="19" applyNumberFormat="0" applyAlignment="0" applyProtection="0">
      <alignment vertical="center"/>
    </xf>
    <xf numFmtId="0" fontId="50" fillId="34" borderId="0" applyNumberFormat="0" applyBorder="0" applyAlignment="0" applyProtection="0">
      <alignment vertical="center"/>
    </xf>
    <xf numFmtId="0" fontId="51" fillId="37" borderId="0" applyNumberFormat="0" applyBorder="0" applyAlignment="0" applyProtection="0">
      <alignment vertical="center"/>
    </xf>
    <xf numFmtId="0" fontId="63" fillId="0" borderId="23" applyNumberFormat="0" applyFill="0" applyAlignment="0" applyProtection="0">
      <alignment vertical="center"/>
    </xf>
    <xf numFmtId="0" fontId="60" fillId="0" borderId="21" applyNumberFormat="0" applyFill="0" applyAlignment="0" applyProtection="0">
      <alignment vertical="center"/>
    </xf>
    <xf numFmtId="0" fontId="62" fillId="39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0" fillId="40" borderId="0" applyNumberFormat="0" applyBorder="0" applyAlignment="0" applyProtection="0">
      <alignment vertical="center"/>
    </xf>
    <xf numFmtId="0" fontId="51" fillId="36" borderId="0" applyNumberFormat="0" applyBorder="0" applyAlignment="0" applyProtection="0">
      <alignment vertical="center"/>
    </xf>
    <xf numFmtId="0" fontId="50" fillId="3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30" borderId="0" applyNumberFormat="0" applyBorder="0" applyAlignment="0" applyProtection="0">
      <alignment vertical="center"/>
    </xf>
    <xf numFmtId="0" fontId="50" fillId="35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1" fillId="41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51" fillId="42" borderId="0" applyNumberFormat="0" applyBorder="0" applyAlignment="0" applyProtection="0">
      <alignment vertical="center"/>
    </xf>
    <xf numFmtId="0" fontId="51" fillId="45" borderId="0" applyNumberFormat="0" applyBorder="0" applyAlignment="0" applyProtection="0">
      <alignment vertical="center"/>
    </xf>
    <xf numFmtId="0" fontId="50" fillId="46" borderId="0" applyNumberFormat="0" applyBorder="0" applyAlignment="0" applyProtection="0">
      <alignment vertical="center"/>
    </xf>
    <xf numFmtId="0" fontId="51" fillId="44" borderId="0" applyNumberFormat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 wrapText="1" indent="1"/>
    </xf>
    <xf numFmtId="0" fontId="1" fillId="5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>
      <alignment vertical="center"/>
    </xf>
    <xf numFmtId="0" fontId="2" fillId="3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>
      <alignment vertical="center"/>
    </xf>
    <xf numFmtId="0" fontId="9" fillId="3" borderId="0" xfId="0" applyFont="1" applyFill="1">
      <alignment vertical="center"/>
    </xf>
    <xf numFmtId="0" fontId="10" fillId="5" borderId="0" xfId="0" applyFont="1" applyFill="1" applyAlignment="1">
      <alignment vertical="center" shrinkToFit="1"/>
    </xf>
    <xf numFmtId="0" fontId="8" fillId="5" borderId="0" xfId="0" applyFont="1" applyFill="1" applyBorder="1" applyAlignment="1">
      <alignment horizontal="right"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>
      <alignment vertical="center"/>
    </xf>
    <xf numFmtId="0" fontId="1" fillId="8" borderId="0" xfId="0" applyFont="1" applyFill="1">
      <alignment vertical="center"/>
    </xf>
    <xf numFmtId="0" fontId="6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3" fillId="5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vertical="center"/>
    </xf>
    <xf numFmtId="0" fontId="13" fillId="13" borderId="2" xfId="0" applyFont="1" applyFill="1" applyBorder="1" applyAlignment="1">
      <alignment horizontal="center" vertical="center"/>
    </xf>
    <xf numFmtId="14" fontId="14" fillId="0" borderId="2" xfId="0" applyNumberFormat="1" applyFont="1" applyFill="1" applyBorder="1" applyAlignment="1">
      <alignment horizontal="center" vertical="center"/>
    </xf>
    <xf numFmtId="14" fontId="14" fillId="0" borderId="2" xfId="0" applyNumberFormat="1" applyFont="1" applyFill="1" applyBorder="1" applyAlignment="1">
      <alignment horizontal="left" vertical="center" indent="1"/>
    </xf>
    <xf numFmtId="0" fontId="14" fillId="0" borderId="2" xfId="0" applyNumberFormat="1" applyFont="1" applyFill="1" applyBorder="1" applyAlignment="1">
      <alignment horizontal="center" vertical="center"/>
    </xf>
    <xf numFmtId="0" fontId="15" fillId="5" borderId="0" xfId="0" applyFont="1" applyFill="1" applyAlignment="1">
      <alignment vertical="center"/>
    </xf>
    <xf numFmtId="0" fontId="16" fillId="5" borderId="0" xfId="0" applyFont="1" applyFill="1" applyAlignment="1">
      <alignment vertical="center"/>
    </xf>
    <xf numFmtId="10" fontId="14" fillId="0" borderId="2" xfId="11" applyNumberFormat="1" applyFont="1" applyFill="1" applyBorder="1" applyAlignment="1">
      <alignment horizontal="center" vertical="center"/>
    </xf>
    <xf numFmtId="177" fontId="14" fillId="0" borderId="2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left" vertical="center" wrapText="1"/>
    </xf>
    <xf numFmtId="0" fontId="18" fillId="5" borderId="0" xfId="0" applyFont="1" applyFill="1" applyAlignment="1">
      <alignment vertical="center"/>
    </xf>
    <xf numFmtId="0" fontId="15" fillId="13" borderId="3" xfId="0" applyFont="1" applyFill="1" applyBorder="1" applyAlignment="1">
      <alignment horizontal="center" vertical="center"/>
    </xf>
    <xf numFmtId="0" fontId="13" fillId="3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20" fillId="6" borderId="3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13" fillId="5" borderId="0" xfId="0" applyFont="1" applyFill="1" applyAlignment="1">
      <alignment horizontal="center" vertical="center"/>
    </xf>
    <xf numFmtId="0" fontId="16" fillId="5" borderId="0" xfId="0" applyFont="1" applyFill="1" applyBorder="1" applyAlignment="1">
      <alignment vertical="center"/>
    </xf>
    <xf numFmtId="0" fontId="20" fillId="9" borderId="3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vertical="center"/>
    </xf>
    <xf numFmtId="0" fontId="20" fillId="11" borderId="3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vertical="center"/>
    </xf>
    <xf numFmtId="0" fontId="22" fillId="5" borderId="0" xfId="0" applyFont="1" applyFill="1" applyAlignment="1">
      <alignment vertical="center"/>
    </xf>
    <xf numFmtId="0" fontId="16" fillId="3" borderId="0" xfId="0" applyFont="1" applyFill="1" applyBorder="1" applyAlignment="1">
      <alignment horizontal="right" vertical="center"/>
    </xf>
    <xf numFmtId="0" fontId="16" fillId="3" borderId="0" xfId="0" applyFont="1" applyFill="1" applyBorder="1">
      <alignment vertical="center"/>
    </xf>
    <xf numFmtId="0" fontId="13" fillId="3" borderId="0" xfId="0" applyFont="1" applyFill="1">
      <alignment vertical="center"/>
    </xf>
    <xf numFmtId="0" fontId="23" fillId="5" borderId="0" xfId="0" applyFont="1" applyFill="1" applyAlignment="1">
      <alignment horizontal="left" vertical="center" wrapText="1"/>
    </xf>
    <xf numFmtId="0" fontId="24" fillId="3" borderId="0" xfId="0" applyFont="1" applyFill="1">
      <alignment vertical="center"/>
    </xf>
    <xf numFmtId="0" fontId="13" fillId="13" borderId="3" xfId="0" applyFont="1" applyFill="1" applyBorder="1" applyAlignment="1">
      <alignment horizontal="center" vertical="center"/>
    </xf>
    <xf numFmtId="14" fontId="13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25" fillId="2" borderId="1" xfId="0" applyFont="1" applyFill="1" applyBorder="1">
      <alignment vertical="center"/>
    </xf>
    <xf numFmtId="0" fontId="25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6" fillId="0" borderId="3" xfId="0" applyFont="1" applyFill="1" applyBorder="1" applyAlignment="1">
      <alignment horizontal="center" vertical="center"/>
    </xf>
    <xf numFmtId="0" fontId="27" fillId="0" borderId="3" xfId="0" applyFont="1" applyFill="1" applyBorder="1" applyAlignment="1">
      <alignment horizontal="center" vertical="center"/>
    </xf>
    <xf numFmtId="0" fontId="24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28" fillId="5" borderId="0" xfId="0" applyFont="1" applyFill="1">
      <alignment vertical="center"/>
    </xf>
    <xf numFmtId="49" fontId="28" fillId="5" borderId="0" xfId="0" applyNumberFormat="1" applyFont="1" applyFill="1">
      <alignment vertical="center"/>
    </xf>
    <xf numFmtId="49" fontId="1" fillId="2" borderId="1" xfId="0" applyNumberFormat="1" applyFont="1" applyFill="1" applyBorder="1">
      <alignment vertical="center"/>
    </xf>
    <xf numFmtId="49" fontId="1" fillId="3" borderId="0" xfId="0" applyNumberFormat="1" applyFont="1" applyFill="1">
      <alignment vertical="center"/>
    </xf>
    <xf numFmtId="49" fontId="3" fillId="5" borderId="0" xfId="0" applyNumberFormat="1" applyFont="1" applyFill="1" applyAlignment="1">
      <alignment horizontal="left" vertical="center" wrapText="1"/>
    </xf>
    <xf numFmtId="0" fontId="13" fillId="13" borderId="4" xfId="0" applyFont="1" applyFill="1" applyBorder="1" applyAlignment="1">
      <alignment horizontal="center" vertical="center"/>
    </xf>
    <xf numFmtId="49" fontId="13" fillId="13" borderId="4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3" fillId="5" borderId="5" xfId="0" applyFont="1" applyFill="1" applyBorder="1" applyAlignment="1">
      <alignment horizontal="left" vertical="center" wrapText="1"/>
    </xf>
    <xf numFmtId="0" fontId="22" fillId="5" borderId="5" xfId="0" applyFont="1" applyFill="1" applyBorder="1" applyAlignment="1">
      <alignment vertical="center"/>
    </xf>
    <xf numFmtId="0" fontId="29" fillId="5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30" fillId="5" borderId="0" xfId="0" applyFont="1" applyFill="1" applyAlignment="1">
      <alignment vertical="center"/>
    </xf>
    <xf numFmtId="0" fontId="31" fillId="5" borderId="0" xfId="0" applyFont="1" applyFill="1" applyAlignment="1">
      <alignment vertical="center"/>
    </xf>
    <xf numFmtId="0" fontId="29" fillId="5" borderId="2" xfId="0" applyFont="1" applyFill="1" applyBorder="1" applyAlignment="1" applyProtection="1">
      <alignment horizontal="left" vertical="center" indent="1"/>
      <protection locked="0"/>
    </xf>
    <xf numFmtId="0" fontId="30" fillId="3" borderId="0" xfId="0" applyFont="1" applyFill="1" applyAlignment="1">
      <alignment vertical="center"/>
    </xf>
    <xf numFmtId="0" fontId="29" fillId="5" borderId="0" xfId="0" applyFont="1" applyFill="1" applyAlignment="1">
      <alignment horizontal="left" vertical="center" indent="1"/>
    </xf>
    <xf numFmtId="0" fontId="32" fillId="3" borderId="0" xfId="0" applyFont="1" applyFill="1" applyAlignment="1">
      <alignment vertical="center"/>
    </xf>
    <xf numFmtId="14" fontId="29" fillId="5" borderId="2" xfId="0" applyNumberFormat="1" applyFont="1" applyFill="1" applyBorder="1" applyAlignment="1" applyProtection="1">
      <alignment horizontal="left" vertical="center" indent="1"/>
      <protection locked="0"/>
    </xf>
    <xf numFmtId="0" fontId="33" fillId="5" borderId="0" xfId="0" applyFont="1" applyFill="1" applyAlignment="1">
      <alignment vertical="center"/>
    </xf>
    <xf numFmtId="0" fontId="29" fillId="5" borderId="0" xfId="0" applyFont="1" applyFill="1" applyAlignment="1" applyProtection="1">
      <alignment horizontal="left" vertical="center" indent="1"/>
      <protection locked="0"/>
    </xf>
    <xf numFmtId="0" fontId="29" fillId="5" borderId="0" xfId="0" applyFont="1" applyFill="1" applyAlignment="1">
      <alignment horizontal="left" vertical="top" wrapText="1" indent="1"/>
    </xf>
    <xf numFmtId="0" fontId="29" fillId="5" borderId="6" xfId="0" applyFont="1" applyFill="1" applyBorder="1" applyAlignment="1">
      <alignment horizontal="left" vertical="center" wrapText="1" indent="1"/>
    </xf>
    <xf numFmtId="0" fontId="29" fillId="5" borderId="7" xfId="0" applyFont="1" applyFill="1" applyBorder="1" applyAlignment="1">
      <alignment horizontal="left" vertical="center" wrapText="1" indent="1"/>
    </xf>
    <xf numFmtId="0" fontId="32" fillId="5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29" fillId="5" borderId="8" xfId="0" applyFont="1" applyFill="1" applyBorder="1" applyAlignment="1">
      <alignment horizontal="left" vertical="top" wrapText="1" indent="1"/>
    </xf>
    <xf numFmtId="0" fontId="29" fillId="5" borderId="9" xfId="0" applyFont="1" applyFill="1" applyBorder="1" applyAlignment="1">
      <alignment horizontal="left" vertical="top" wrapText="1" indent="1"/>
    </xf>
    <xf numFmtId="0" fontId="29" fillId="5" borderId="10" xfId="0" applyFont="1" applyFill="1" applyBorder="1" applyAlignment="1">
      <alignment horizontal="left" vertical="top" wrapText="1" indent="1"/>
    </xf>
    <xf numFmtId="0" fontId="29" fillId="5" borderId="11" xfId="0" applyFont="1" applyFill="1" applyBorder="1" applyAlignment="1">
      <alignment horizontal="left" vertical="top" wrapText="1" indent="1"/>
    </xf>
    <xf numFmtId="0" fontId="29" fillId="5" borderId="5" xfId="0" applyFont="1" applyFill="1" applyBorder="1" applyAlignment="1">
      <alignment horizontal="left" vertical="top" wrapText="1" indent="1"/>
    </xf>
    <xf numFmtId="0" fontId="29" fillId="5" borderId="12" xfId="0" applyFont="1" applyFill="1" applyBorder="1" applyAlignment="1">
      <alignment horizontal="left" vertical="top" wrapText="1" indent="1"/>
    </xf>
    <xf numFmtId="49" fontId="29" fillId="5" borderId="2" xfId="0" applyNumberFormat="1" applyFont="1" applyFill="1" applyBorder="1" applyAlignment="1" applyProtection="1">
      <alignment horizontal="left" vertical="center" indent="1"/>
      <protection locked="0"/>
    </xf>
    <xf numFmtId="0" fontId="34" fillId="3" borderId="0" xfId="0" applyFont="1" applyFill="1">
      <alignment vertical="center"/>
    </xf>
    <xf numFmtId="0" fontId="28" fillId="5" borderId="0" xfId="0" applyFont="1" applyFill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4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>
      <alignment horizontal="center" vertical="top" wrapText="1"/>
    </xf>
    <xf numFmtId="0" fontId="29" fillId="5" borderId="12" xfId="0" applyFont="1" applyFill="1" applyBorder="1" applyAlignment="1">
      <alignment horizontal="center" vertical="top" wrapText="1"/>
    </xf>
    <xf numFmtId="0" fontId="2" fillId="5" borderId="0" xfId="0" applyFont="1" applyFill="1" applyAlignment="1">
      <alignment horizontal="center" vertical="center"/>
    </xf>
    <xf numFmtId="0" fontId="1" fillId="3" borderId="0" xfId="0" applyFont="1" applyFill="1" applyAlignment="1"/>
    <xf numFmtId="0" fontId="1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1" fillId="14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37" fillId="6" borderId="0" xfId="0" applyFont="1" applyFill="1" applyAlignment="1">
      <alignment horizontal="left" vertical="center" indent="1"/>
    </xf>
    <xf numFmtId="0" fontId="38" fillId="5" borderId="0" xfId="0" applyFont="1" applyFill="1" applyAlignment="1">
      <alignment vertical="center"/>
    </xf>
    <xf numFmtId="0" fontId="37" fillId="14" borderId="0" xfId="0" applyFont="1" applyFill="1" applyAlignment="1">
      <alignment horizontal="left" vertical="center" indent="1"/>
    </xf>
    <xf numFmtId="0" fontId="37" fillId="5" borderId="0" xfId="0" applyFont="1" applyFill="1" applyAlignment="1">
      <alignment vertical="center"/>
    </xf>
    <xf numFmtId="0" fontId="39" fillId="6" borderId="0" xfId="0" applyFont="1" applyFill="1" applyAlignment="1">
      <alignment horizontal="left" vertical="center" indent="1"/>
    </xf>
    <xf numFmtId="0" fontId="39" fillId="5" borderId="0" xfId="0" applyFont="1" applyFill="1" applyAlignment="1">
      <alignment horizontal="left" vertical="center" indent="1"/>
    </xf>
    <xf numFmtId="0" fontId="39" fillId="14" borderId="0" xfId="0" applyFont="1" applyFill="1" applyAlignment="1">
      <alignment horizontal="left" vertical="center" indent="1"/>
    </xf>
    <xf numFmtId="0" fontId="8" fillId="5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8" fillId="14" borderId="0" xfId="0" applyFont="1" applyFill="1" applyAlignment="1">
      <alignment vertical="center"/>
    </xf>
    <xf numFmtId="0" fontId="8" fillId="5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vertical="center"/>
    </xf>
    <xf numFmtId="0" fontId="3" fillId="5" borderId="0" xfId="0" applyFont="1" applyFill="1" applyAlignment="1">
      <alignment horizontal="left" wrapText="1"/>
    </xf>
    <xf numFmtId="0" fontId="1" fillId="5" borderId="0" xfId="0" applyFont="1" applyFill="1" applyAlignment="1"/>
    <xf numFmtId="0" fontId="7" fillId="5" borderId="0" xfId="0" applyFont="1" applyFill="1" applyAlignment="1">
      <alignment horizontal="center"/>
    </xf>
    <xf numFmtId="0" fontId="40" fillId="5" borderId="0" xfId="0" applyFont="1" applyFill="1" applyAlignment="1">
      <alignment vertical="center"/>
    </xf>
    <xf numFmtId="0" fontId="8" fillId="5" borderId="0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7" fillId="5" borderId="15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5" borderId="15" xfId="0" applyFont="1" applyFill="1" applyBorder="1" applyAlignment="1">
      <alignment vertical="center"/>
    </xf>
    <xf numFmtId="0" fontId="1" fillId="5" borderId="15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7" fillId="5" borderId="15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8" fillId="5" borderId="12" xfId="0" applyFont="1" applyFill="1" applyBorder="1" applyAlignment="1">
      <alignment vertical="center"/>
    </xf>
    <xf numFmtId="0" fontId="1" fillId="15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37" fillId="15" borderId="0" xfId="0" applyFont="1" applyFill="1" applyAlignment="1">
      <alignment horizontal="left" vertical="center" indent="1"/>
    </xf>
    <xf numFmtId="0" fontId="37" fillId="11" borderId="0" xfId="0" applyFont="1" applyFill="1" applyAlignment="1">
      <alignment horizontal="left" vertical="center" indent="1"/>
    </xf>
    <xf numFmtId="0" fontId="39" fillId="15" borderId="0" xfId="0" applyFont="1" applyFill="1" applyAlignment="1">
      <alignment horizontal="left" vertical="center" indent="1"/>
    </xf>
    <xf numFmtId="0" fontId="39" fillId="11" borderId="0" xfId="0" applyFont="1" applyFill="1" applyAlignment="1">
      <alignment horizontal="left" vertical="center" indent="1"/>
    </xf>
    <xf numFmtId="0" fontId="9" fillId="15" borderId="0" xfId="0" applyFont="1" applyFill="1" applyAlignment="1">
      <alignment vertical="center"/>
    </xf>
    <xf numFmtId="0" fontId="8" fillId="11" borderId="0" xfId="0" applyFont="1" applyFill="1" applyAlignment="1">
      <alignment vertical="center"/>
    </xf>
    <xf numFmtId="0" fontId="3" fillId="5" borderId="0" xfId="0" applyFont="1" applyFill="1" applyAlignment="1">
      <alignment horizontal="left"/>
    </xf>
    <xf numFmtId="0" fontId="3" fillId="5" borderId="0" xfId="0" applyFont="1" applyFill="1" applyAlignment="1">
      <alignment horizontal="left" wrapText="1" indent="1"/>
    </xf>
    <xf numFmtId="0" fontId="40" fillId="5" borderId="0" xfId="0" applyFont="1" applyFill="1" applyAlignment="1">
      <alignment horizontal="left" vertical="center"/>
    </xf>
    <xf numFmtId="10" fontId="8" fillId="5" borderId="0" xfId="11" applyNumberFormat="1" applyFont="1" applyFill="1" applyAlignment="1">
      <alignment vertical="center"/>
    </xf>
    <xf numFmtId="10" fontId="41" fillId="5" borderId="0" xfId="11" applyNumberFormat="1" applyFont="1" applyFill="1" applyAlignment="1">
      <alignment vertical="center"/>
    </xf>
    <xf numFmtId="10" fontId="42" fillId="5" borderId="0" xfId="11" applyNumberFormat="1" applyFont="1" applyFill="1" applyAlignment="1">
      <alignment horizontal="center" vertical="center"/>
    </xf>
    <xf numFmtId="10" fontId="43" fillId="5" borderId="0" xfId="11" applyNumberFormat="1" applyFont="1" applyFill="1" applyAlignment="1">
      <alignment horizontal="center" vertical="center"/>
    </xf>
    <xf numFmtId="0" fontId="44" fillId="5" borderId="0" xfId="0" applyFont="1" applyFill="1" applyAlignment="1">
      <alignment vertical="center" wrapText="1"/>
    </xf>
    <xf numFmtId="0" fontId="1" fillId="5" borderId="15" xfId="0" applyFont="1" applyFill="1" applyBorder="1">
      <alignment vertical="center"/>
    </xf>
    <xf numFmtId="14" fontId="1" fillId="3" borderId="0" xfId="0" applyNumberFormat="1" applyFont="1" applyFill="1">
      <alignment vertical="center"/>
    </xf>
    <xf numFmtId="0" fontId="9" fillId="5" borderId="15" xfId="0" applyFont="1" applyFill="1" applyBorder="1" applyAlignment="1">
      <alignment vertical="center"/>
    </xf>
    <xf numFmtId="0" fontId="9" fillId="5" borderId="12" xfId="0" applyFont="1" applyFill="1" applyBorder="1" applyAlignment="1">
      <alignment vertical="center"/>
    </xf>
    <xf numFmtId="0" fontId="1" fillId="5" borderId="15" xfId="0" applyFont="1" applyFill="1" applyBorder="1" applyAlignment="1"/>
    <xf numFmtId="176" fontId="1" fillId="3" borderId="0" xfId="0" applyNumberFormat="1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none"/>
      </fill>
      <border>
        <left style="thin">
          <color theme="0" tint="-0.14996795556505"/>
        </left>
        <right style="thin">
          <color theme="0" tint="-0.14996795556505"/>
        </right>
        <top style="thin">
          <color theme="0" tint="-0.14996795556505"/>
        </top>
        <bottom style="thin">
          <color theme="0" tint="-0.14996795556505"/>
        </bottom>
      </border>
    </dxf>
  </dxfs>
  <tableStyles count="0" defaultTableStyle="TableStyleMedium2" defaultPivotStyle="PivotStyleLight16"/>
  <colors>
    <mruColors>
      <color rgb="00FB7F72"/>
      <color rgb="00FECC5C"/>
      <color rgb="0066C2A4"/>
      <color rgb="00377EB8"/>
      <color rgb="00000000"/>
      <color rgb="001C9E7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ColorStyle" Target="colors3.xml"/><Relationship Id="rId2" Type="http://schemas.microsoft.com/office/2011/relationships/chartStyle" Target="style3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ColorStyle" Target="colors4.xml"/><Relationship Id="rId2" Type="http://schemas.microsoft.com/office/2011/relationships/chartStyle" Target="style4.xml"/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71752683158568"/>
          <c:y val="0.0197424987884298"/>
          <c:w val="0.549085080806732"/>
          <c:h val="0.966839134524929"/>
        </c:manualLayout>
      </c:layout>
      <c:doughnutChart>
        <c:varyColors val="1"/>
        <c:ser>
          <c:idx val="0"/>
          <c:order val="0"/>
          <c:tx>
            <c:strRef>
              <c:f>0</c:f>
              <c:strCache>
                <c:ptCount val="1"/>
                <c:pt idx="0">
                  <c:v>0</c:v>
                </c:pt>
              </c:strCache>
            </c:strRef>
          </c:tx>
          <c:spPr>
            <a:ln w="19050">
              <a:noFill/>
            </a:ln>
            <a:sp3d contourW="69850"/>
          </c:spPr>
          <c:explosion val="0"/>
          <c:dPt>
            <c:idx val="0"/>
            <c:bubble3D val="0"/>
            <c:spPr>
              <a:solidFill>
                <a:srgbClr val="66C2A4"/>
              </a:solidFill>
              <a:ln w="19050">
                <a:solidFill>
                  <a:srgbClr val="66C2A4"/>
                </a:solidFill>
              </a:ln>
              <a:effectLst/>
              <a:sp3d contourW="69850"/>
            </c:spPr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  <a:sp3d contourW="69850"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  <a:sp3d contourW="69850"/>
            </c:spPr>
          </c:dPt>
          <c:dLbls>
            <c:delete val="1"/>
          </c:dLbls>
          <c:cat>
            <c:strRef>
              <c:f>看板数据!$D$5:$D$7</c:f>
              <c:strCache>
                <c:ptCount val="3"/>
                <c:pt idx="0" c:formatCode="yyyy/m/d">
                  <c:v>空闲数量：67</c:v>
                </c:pt>
                <c:pt idx="1" c:formatCode="yyyy/m/d">
                  <c:v>即将到期数量：0</c:v>
                </c:pt>
                <c:pt idx="2" c:formatCode="yyyy/m/d">
                  <c:v>已租数量：0</c:v>
                </c:pt>
              </c:strCache>
            </c:strRef>
          </c:cat>
          <c:val>
            <c:numRef>
              <c:f>看板数据!$E$5:$E$7</c:f>
              <c:numCache>
                <c:formatCode>General</c:formatCode>
                <c:ptCount val="3"/>
                <c:pt idx="0">
                  <c:v>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1"/>
          <c:tx>
            <c:strRef>
              <c:f>1</c:f>
              <c:strCache>
                <c:ptCount val="1"/>
                <c:pt idx="0">
                  <c:v>1</c:v>
                </c:pt>
              </c:strCache>
            </c:strRef>
          </c:tx>
          <c:spPr>
            <a:ln w="19050">
              <a:noFill/>
            </a:ln>
          </c:spPr>
          <c:explosion val="0"/>
          <c:dPt>
            <c:idx val="0"/>
            <c:bubble3D val="0"/>
            <c:spPr>
              <a:solidFill>
                <a:srgbClr val="66C2A4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dLbls>
            <c:delete val="1"/>
          </c:dLbls>
          <c:cat>
            <c:strRef>
              <c:f>看板数据!$D$5:$D$7</c:f>
              <c:strCache>
                <c:ptCount val="3"/>
                <c:pt idx="0" c:formatCode="yyyy/m/d">
                  <c:v>空闲数量：67</c:v>
                </c:pt>
                <c:pt idx="1" c:formatCode="yyyy/m/d">
                  <c:v>即将到期数量：0</c:v>
                </c:pt>
                <c:pt idx="2" c:formatCode="yyyy/m/d">
                  <c:v>已租数量：0</c:v>
                </c:pt>
              </c:strCache>
            </c:strRef>
          </c:cat>
          <c:val>
            <c:numRef>
              <c:f>看板数据!$E$5:$E$7</c:f>
              <c:numCache>
                <c:formatCode>General</c:formatCode>
                <c:ptCount val="3"/>
                <c:pt idx="0">
                  <c:v>67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l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阿里巴巴普惠体 2.0 65 Medium" panose="00020600040101010101" charset="-122"/>
                <a:ea typeface="阿里巴巴普惠体 2.0 65 Medium" panose="00020600040101010101" charset="-122"/>
                <a:cs typeface="阿里巴巴普惠体 2.0 65 Medium" panose="00020600040101010101" charset="-122"/>
                <a:sym typeface="阿里巴巴普惠体 2.0 65 Medium" panose="00020600040101010101" charset="-122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阿里巴巴普惠体 2.0 65 Medium" panose="00020600040101010101" charset="-122"/>
                <a:ea typeface="阿里巴巴普惠体 2.0 65 Medium" panose="00020600040101010101" charset="-122"/>
                <a:cs typeface="阿里巴巴普惠体 2.0 65 Medium" panose="00020600040101010101" charset="-122"/>
                <a:sym typeface="阿里巴巴普惠体 2.0 65 Medium" panose="00020600040101010101" charset="-122"/>
              </a:defRPr>
            </a:pPr>
          </a:p>
        </c:txPr>
      </c:legendEntry>
      <c:legendEntry>
        <c:idx val="2"/>
        <c:txPr>
          <a:bodyPr rot="0" spcFirstLastPara="0" vertOverflow="ellipsis" vert="horz" wrap="square" anchor="ctr" anchorCtr="1"/>
          <a:lstStyle/>
          <a:p>
            <a:pPr>
              <a:defRPr lang="zh-CN"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阿里巴巴普惠体 2.0 65 Medium" panose="00020600040101010101" charset="-122"/>
                <a:ea typeface="阿里巴巴普惠体 2.0 65 Medium" panose="00020600040101010101" charset="-122"/>
                <a:cs typeface="阿里巴巴普惠体 2.0 65 Medium" panose="00020600040101010101" charset="-122"/>
                <a:sym typeface="阿里巴巴普惠体 2.0 65 Medium" panose="00020600040101010101" charset="-122"/>
              </a:defRPr>
            </a:pPr>
          </a:p>
        </c:txPr>
      </c:legendEntry>
      <c:layout>
        <c:manualLayout>
          <c:xMode val="edge"/>
          <c:yMode val="edge"/>
          <c:x val="0.0162888557078865"/>
          <c:y val="0.268579492003763"/>
          <c:w val="0.323876747658477"/>
          <c:h val="0.43038570084666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阿里巴巴普惠体 2.0 65 Medium" panose="00020600040101010101" charset="-122"/>
              <a:ea typeface="阿里巴巴普惠体 2.0 65 Medium" panose="00020600040101010101" charset="-122"/>
              <a:cs typeface="阿里巴巴普惠体 2.0 65 Medium" panose="00020600040101010101" charset="-122"/>
              <a:sym typeface="阿里巴巴普惠体 2.0 65 Medium" panose="00020600040101010101" charset="-122"/>
            </a:defRPr>
          </a:pPr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 sz="1000">
          <a:latin typeface="阿里巴巴普惠体 2.0 65 Medium" panose="00020600040101010101" charset="-122"/>
          <a:ea typeface="阿里巴巴普惠体 2.0 65 Medium" panose="00020600040101010101" charset="-122"/>
          <a:cs typeface="阿里巴巴普惠体 2.0 65 Medium" panose="00020600040101010101" charset="-122"/>
          <a:sym typeface="阿里巴巴普惠体 2.0 65 Medium" panose="00020600040101010101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377EB8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377EB8"/>
                </a:solidFill>
              </a:ln>
              <a:effectLst/>
            </c:spPr>
          </c:marker>
          <c:dLbls>
            <c:delete val="1"/>
          </c:dLbls>
          <c:cat>
            <c:numRef>
              <c:f>看板数据!$I$5:$I$14</c:f>
              <c:numCache>
                <c:formatCode>yyyy/m/d</c:formatCode>
                <c:ptCount val="10"/>
                <c:pt idx="0" c:formatCode="yyyy/m/d">
                  <c:v>44692</c:v>
                </c:pt>
                <c:pt idx="1" c:formatCode="yyyy/m/d">
                  <c:v>44693</c:v>
                </c:pt>
                <c:pt idx="2" c:formatCode="yyyy/m/d">
                  <c:v>44694</c:v>
                </c:pt>
                <c:pt idx="3" c:formatCode="yyyy/m/d">
                  <c:v>44695</c:v>
                </c:pt>
                <c:pt idx="4" c:formatCode="yyyy/m/d">
                  <c:v>44696</c:v>
                </c:pt>
                <c:pt idx="5" c:formatCode="yyyy/m/d">
                  <c:v>44697</c:v>
                </c:pt>
                <c:pt idx="6" c:formatCode="yyyy/m/d">
                  <c:v>44698</c:v>
                </c:pt>
                <c:pt idx="7" c:formatCode="yyyy/m/d">
                  <c:v>44699</c:v>
                </c:pt>
                <c:pt idx="8" c:formatCode="yyyy/m/d">
                  <c:v>44700</c:v>
                </c:pt>
                <c:pt idx="9" c:formatCode="yyyy/m/d">
                  <c:v>44701</c:v>
                </c:pt>
              </c:numCache>
            </c:numRef>
          </c:cat>
          <c:val>
            <c:numRef>
              <c:f>看板数据!$J$5:$J$14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1"/>
        <c:axId val="323803392"/>
        <c:axId val="323809280"/>
      </c:lineChart>
      <c:dateAx>
        <c:axId val="323803392"/>
        <c:scaling>
          <c:orientation val="minMax"/>
        </c:scaling>
        <c:delete val="0"/>
        <c:axPos val="b"/>
        <c:numFmt formatCode="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3809280"/>
        <c:crosses val="autoZero"/>
        <c:auto val="1"/>
        <c:lblOffset val="100"/>
        <c:baseTimeUnit val="days"/>
      </c:dateAx>
      <c:valAx>
        <c:axId val="3238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380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0286995515695067"/>
          <c:y val="0.048661800486618"/>
          <c:w val="0.942401594419532"/>
          <c:h val="0.85396593673965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66C2A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195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阿里巴巴普惠体 2.0 55 Regular" panose="00020600040101010101" charset="-122"/>
                    <a:ea typeface="阿里巴巴普惠体 2.0 55 Regular" panose="00020600040101010101" charset="-122"/>
                    <a:cs typeface="阿里巴巴普惠体 2.0 55 Regular" panose="00020600040101010101" charset="-122"/>
                    <a:sym typeface="阿里巴巴普惠体 2.0 55 Regular" panose="00020600040101010101" charset="-122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看板数据!$N$5:$N$10</c:f>
              <c:numCache>
                <c:formatCode>yyyy"年"mm"月";@</c:formatCode>
                <c:ptCount val="6"/>
                <c:pt idx="0" c:formatCode="yyyy&quot;年&quot;mm&quot;月&quot;;@">
                  <c:v>44531</c:v>
                </c:pt>
                <c:pt idx="1" c:formatCode="yyyy&quot;年&quot;mm&quot;月&quot;;@">
                  <c:v>44562</c:v>
                </c:pt>
                <c:pt idx="2" c:formatCode="yyyy&quot;年&quot;mm&quot;月&quot;;@">
                  <c:v>44593</c:v>
                </c:pt>
                <c:pt idx="3" c:formatCode="yyyy&quot;年&quot;mm&quot;月&quot;;@">
                  <c:v>44621</c:v>
                </c:pt>
                <c:pt idx="4" c:formatCode="yyyy&quot;年&quot;mm&quot;月&quot;;@">
                  <c:v>44652</c:v>
                </c:pt>
                <c:pt idx="5" c:formatCode="yyyy&quot;年&quot;mm&quot;月&quot;;@">
                  <c:v>44682</c:v>
                </c:pt>
              </c:numCache>
            </c:numRef>
          </c:cat>
          <c:val>
            <c:numRef>
              <c:f>看板数据!$O$5:$O$10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557056"/>
        <c:axId val="324562944"/>
      </c:barChart>
      <c:barChart>
        <c:barDir val="col"/>
        <c:grouping val="clustered"/>
        <c:varyColors val="0"/>
        <c:ser>
          <c:idx val="0"/>
          <c:order val="1"/>
          <c:tx>
            <c:strRef>
              <c:f>"B"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B7F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分析看板!$X$14:$X$19</c:f>
              <c:numCache>
                <c:formatCode>General</c:formatCode>
                <c:ptCount val="6"/>
              </c:numCache>
            </c:numRef>
          </c:cat>
          <c:val>
            <c:numRef>
              <c:f>看板数据!$P$5:$P$10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564480"/>
        <c:axId val="324566016"/>
      </c:barChart>
      <c:dateAx>
        <c:axId val="324557056"/>
        <c:scaling>
          <c:orientation val="minMax"/>
        </c:scaling>
        <c:delete val="0"/>
        <c:axPos val="b"/>
        <c:numFmt formatCode="yyyy&quot;年&quot;mm&quot;月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zh-CN" sz="8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4562944"/>
        <c:crosses val="autoZero"/>
        <c:auto val="1"/>
        <c:lblOffset val="100"/>
        <c:baseTimeUnit val="months"/>
      </c:dateAx>
      <c:valAx>
        <c:axId val="324562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95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4557056"/>
        <c:crosses val="autoZero"/>
        <c:crossBetween val="between"/>
      </c:valAx>
      <c:catAx>
        <c:axId val="324564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95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4566016"/>
        <c:crosses val="autoZero"/>
        <c:auto val="1"/>
        <c:lblAlgn val="ctr"/>
        <c:lblOffset val="100"/>
        <c:noMultiLvlLbl val="0"/>
      </c:catAx>
      <c:valAx>
        <c:axId val="324566016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195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阿里巴巴普惠体 2.0 55 Regular" panose="00020600040101010101" charset="-122"/>
                <a:ea typeface="阿里巴巴普惠体 2.0 55 Regular" panose="00020600040101010101" charset="-122"/>
                <a:cs typeface="阿里巴巴普惠体 2.0 55 Regular" panose="00020600040101010101" charset="-122"/>
                <a:sym typeface="阿里巴巴普惠体 2.0 55 Regular" panose="00020600040101010101" charset="-122"/>
              </a:defRPr>
            </a:pPr>
          </a:p>
        </c:txPr>
        <c:crossAx val="324564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zh-CN">
          <a:solidFill>
            <a:schemeClr val="tx1">
              <a:lumMod val="85000"/>
              <a:lumOff val="15000"/>
            </a:schemeClr>
          </a:solidFill>
          <a:latin typeface="阿里巴巴普惠体 2.0 55 Regular" panose="00020600040101010101" charset="-122"/>
          <a:ea typeface="阿里巴巴普惠体 2.0 55 Regular" panose="00020600040101010101" charset="-122"/>
          <a:cs typeface="阿里巴巴普惠体 2.0 55 Regular" panose="00020600040101010101" charset="-122"/>
          <a:sym typeface="阿里巴巴普惠体 2.0 55 Regular" panose="00020600040101010101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00373831775700935"/>
          <c:y val="0.0417690417690418"/>
          <c:w val="0.927227414330218"/>
          <c:h val="0.91132454768818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ECC5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 forceAA="0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7" charset="0"/>
                    <a:ea typeface="Arial" panose="020B0604020202020204" pitchFamily="7" charset="0"/>
                    <a:cs typeface="Arial" panose="020B0604020202020204" pitchFamily="7" charset="0"/>
                    <a:sym typeface="Arial" panose="020B0604020202020204" pitchFamily="7" charset="0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看板数据!$T$5:$T$9</c:f>
              <c:strCache>
                <c:ptCount val="5"/>
                <c:pt idx="0" c:formatCode="yyyy/m/d">
                  <c:v>小区名称G</c:v>
                </c:pt>
                <c:pt idx="1" c:formatCode="yyyy/m/d">
                  <c:v>小区名称A</c:v>
                </c:pt>
                <c:pt idx="2" c:formatCode="yyyy/m/d">
                  <c:v>小区名称E</c:v>
                </c:pt>
                <c:pt idx="3" c:formatCode="yyyy/m/d">
                  <c:v>小区名称F</c:v>
                </c:pt>
                <c:pt idx="4" c:formatCode="yyyy/m/d">
                  <c:v>小区名称C</c:v>
                </c:pt>
              </c:strCache>
            </c:strRef>
          </c:cat>
          <c:val>
            <c:numRef>
              <c:f>看板数据!$U$5:$U$9</c:f>
              <c:numCache>
                <c:formatCode>General</c:formatCode>
                <c:ptCount val="5"/>
                <c:pt idx="0">
                  <c:v>15</c:v>
                </c:pt>
                <c:pt idx="1">
                  <c:v>14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20"/>
        <c:axId val="324401792"/>
        <c:axId val="324587904"/>
      </c:barChart>
      <c:catAx>
        <c:axId val="324401792"/>
        <c:scaling>
          <c:orientation val="maxMin"/>
        </c:scaling>
        <c:delete val="1"/>
        <c:axPos val="l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324587904"/>
        <c:crosses val="autoZero"/>
        <c:auto val="1"/>
        <c:lblAlgn val="ctr"/>
        <c:lblOffset val="100"/>
        <c:noMultiLvlLbl val="0"/>
      </c:catAx>
      <c:valAx>
        <c:axId val="324587904"/>
        <c:scaling>
          <c:orientation val="minMax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3244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>
      <a:outerShdw blurRad="63500" dist="37357" dir="2700000" sx="0" sy="0" rotWithShape="0">
        <a:scrgbClr r="0" g="0" b="0"/>
      </a:outerShdw>
    </a:effectLst>
  </c:spPr>
  <c:txPr>
    <a:bodyPr/>
    <a:lstStyle/>
    <a:p>
      <a:pPr>
        <a:defRPr lang="zh-CN">
          <a:solidFill>
            <a:sysClr val="windowText" lastClr="000000"/>
          </a:solidFill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5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5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5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5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5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5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5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5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5.png"/><Relationship Id="rId8" Type="http://schemas.openxmlformats.org/officeDocument/2006/relationships/image" Target="../media/image4.png"/><Relationship Id="rId7" Type="http://schemas.openxmlformats.org/officeDocument/2006/relationships/image" Target="../media/image3.png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ocer.com/designer/detail/7536665" TargetMode="External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9</xdr:col>
      <xdr:colOff>212725</xdr:colOff>
      <xdr:row>0</xdr:row>
      <xdr:rowOff>162560</xdr:rowOff>
    </xdr:from>
    <xdr:to>
      <xdr:col>10</xdr:col>
      <xdr:colOff>241300</xdr:colOff>
      <xdr:row>0</xdr:row>
      <xdr:rowOff>524510</xdr:rowOff>
    </xdr:to>
    <xdr:sp macro="[0]!kkkk">
      <xdr:nvSpPr>
        <xdr:cNvPr id="14" name="流程图: 终止 13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1110615</xdr:colOff>
      <xdr:row>0</xdr:row>
      <xdr:rowOff>172085</xdr:rowOff>
    </xdr:from>
    <xdr:to>
      <xdr:col>5</xdr:col>
      <xdr:colOff>2139315</xdr:colOff>
      <xdr:row>0</xdr:row>
      <xdr:rowOff>534035</xdr:rowOff>
    </xdr:to>
    <xdr:sp macro="[0]!kkkk">
      <xdr:nvSpPr>
        <xdr:cNvPr id="15" name="流程图: 终止 14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220980</xdr:colOff>
      <xdr:row>0</xdr:row>
      <xdr:rowOff>162560</xdr:rowOff>
    </xdr:from>
    <xdr:to>
      <xdr:col>13</xdr:col>
      <xdr:colOff>773430</xdr:colOff>
      <xdr:row>0</xdr:row>
      <xdr:rowOff>524510</xdr:rowOff>
    </xdr:to>
    <xdr:sp macro="[0]!kkkk">
      <xdr:nvSpPr>
        <xdr:cNvPr id="3" name="流程图: 终止 2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13</xdr:col>
      <xdr:colOff>1104900</xdr:colOff>
      <xdr:row>0</xdr:row>
      <xdr:rowOff>162560</xdr:rowOff>
    </xdr:from>
    <xdr:to>
      <xdr:col>15</xdr:col>
      <xdr:colOff>743585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10448925" y="162560"/>
          <a:ext cx="1029335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2</xdr:col>
      <xdr:colOff>1808480</xdr:colOff>
      <xdr:row>0</xdr:row>
      <xdr:rowOff>162560</xdr:rowOff>
    </xdr:from>
    <xdr:to>
      <xdr:col>3</xdr:col>
      <xdr:colOff>503555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房源列表</a:t>
          </a:r>
          <a:endParaRPr lang="zh-CN" altLang="en-US" sz="1100" b="1"/>
        </a:p>
      </xdr:txBody>
    </xdr:sp>
    <xdr:clientData/>
  </xdr:twoCellAnchor>
  <xdr:twoCellAnchor editAs="absolute">
    <xdr:from>
      <xdr:col>6</xdr:col>
      <xdr:colOff>137795</xdr:colOff>
      <xdr:row>0</xdr:row>
      <xdr:rowOff>162560</xdr:rowOff>
    </xdr:from>
    <xdr:to>
      <xdr:col>8</xdr:col>
      <xdr:colOff>80645</xdr:colOff>
      <xdr:row>0</xdr:row>
      <xdr:rowOff>524510</xdr:rowOff>
    </xdr:to>
    <xdr:sp macro="[0]!kkkk">
      <xdr:nvSpPr>
        <xdr:cNvPr id="8" name="流程图: 终止 7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4</xdr:col>
      <xdr:colOff>26035</xdr:colOff>
      <xdr:row>0</xdr:row>
      <xdr:rowOff>171450</xdr:rowOff>
    </xdr:from>
    <xdr:to>
      <xdr:col>5</xdr:col>
      <xdr:colOff>778510</xdr:colOff>
      <xdr:row>0</xdr:row>
      <xdr:rowOff>533400</xdr:rowOff>
    </xdr:to>
    <xdr:sp macro="[0]!kkkk">
      <xdr:nvSpPr>
        <xdr:cNvPr id="9" name="流程图: 终止 8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447675</xdr:colOff>
      <xdr:row>0</xdr:row>
      <xdr:rowOff>162560</xdr:rowOff>
    </xdr:from>
    <xdr:to>
      <xdr:col>2</xdr:col>
      <xdr:colOff>1476375</xdr:colOff>
      <xdr:row>0</xdr:row>
      <xdr:rowOff>524510</xdr:rowOff>
    </xdr:to>
    <xdr:sp macro="[0]!kkkk">
      <xdr:nvSpPr>
        <xdr:cNvPr id="10" name="流程图: 终止 9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分析看板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2</xdr:col>
      <xdr:colOff>2246630</xdr:colOff>
      <xdr:row>4</xdr:row>
      <xdr:rowOff>208280</xdr:rowOff>
    </xdr:from>
    <xdr:to>
      <xdr:col>3</xdr:col>
      <xdr:colOff>561975</xdr:colOff>
      <xdr:row>5</xdr:row>
      <xdr:rowOff>542925</xdr:rowOff>
    </xdr:to>
    <xdr:grpSp>
      <xdr:nvGrpSpPr>
        <xdr:cNvPr id="24" name="组合 23"/>
        <xdr:cNvGrpSpPr/>
      </xdr:nvGrpSpPr>
      <xdr:grpSpPr>
        <a:xfrm>
          <a:off x="2722880" y="1783080"/>
          <a:ext cx="648970" cy="651510"/>
          <a:chOff x="3928" y="2878"/>
          <a:chExt cx="1022" cy="1022"/>
        </a:xfrm>
      </xdr:grpSpPr>
      <xdr:sp>
        <xdr:nvSpPr>
          <xdr:cNvPr id="2" name="椭圆 1"/>
          <xdr:cNvSpPr/>
        </xdr:nvSpPr>
        <xdr:spPr>
          <a:xfrm>
            <a:off x="3928" y="2878"/>
            <a:ext cx="1022" cy="1022"/>
          </a:xfrm>
          <a:prstGeom prst="ellipse">
            <a:avLst/>
          </a:prstGeom>
          <a:solidFill>
            <a:schemeClr val="tx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pic>
        <xdr:nvPicPr>
          <xdr:cNvPr id="4" name="图片 3" descr="C:\Users\Administrator\Desktop\人才公寓 (1).png人才公寓 (1)"/>
          <xdr:cNvPicPr>
            <a:picLocks noChangeAspect="1"/>
          </xdr:cNvPicPr>
        </xdr:nvPicPr>
        <xdr:blipFill>
          <a:blip r:embed="rId5" cstate="print"/>
          <a:srcRect/>
          <a:stretch>
            <a:fillRect/>
          </a:stretch>
        </xdr:blipFill>
        <xdr:spPr>
          <a:xfrm flipH="1">
            <a:off x="4116" y="3069"/>
            <a:ext cx="645" cy="64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2237105</xdr:colOff>
      <xdr:row>4</xdr:row>
      <xdr:rowOff>208280</xdr:rowOff>
    </xdr:from>
    <xdr:to>
      <xdr:col>6</xdr:col>
      <xdr:colOff>552450</xdr:colOff>
      <xdr:row>5</xdr:row>
      <xdr:rowOff>542925</xdr:rowOff>
    </xdr:to>
    <xdr:grpSp>
      <xdr:nvGrpSpPr>
        <xdr:cNvPr id="20" name="组合 19"/>
        <xdr:cNvGrpSpPr/>
      </xdr:nvGrpSpPr>
      <xdr:grpSpPr>
        <a:xfrm>
          <a:off x="6132830" y="1783080"/>
          <a:ext cx="648970" cy="651510"/>
          <a:chOff x="8833" y="2878"/>
          <a:chExt cx="1022" cy="1022"/>
        </a:xfrm>
      </xdr:grpSpPr>
      <xdr:sp>
        <xdr:nvSpPr>
          <xdr:cNvPr id="5" name="椭圆 4"/>
          <xdr:cNvSpPr/>
        </xdr:nvSpPr>
        <xdr:spPr>
          <a:xfrm>
            <a:off x="8833" y="2878"/>
            <a:ext cx="1022" cy="1022"/>
          </a:xfrm>
          <a:prstGeom prst="ellipse">
            <a:avLst/>
          </a:prstGeom>
          <a:solidFill>
            <a:schemeClr val="tx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pic>
        <xdr:nvPicPr>
          <xdr:cNvPr id="11" name="图片 10" descr="C:\Users\Administrator\Desktop\岗位补贴.png岗位补贴"/>
          <xdr:cNvPicPr>
            <a:picLocks noChangeAspect="1"/>
          </xdr:cNvPicPr>
        </xdr:nvPicPr>
        <xdr:blipFill>
          <a:blip r:embed="rId6" cstate="print"/>
          <a:srcRect/>
          <a:stretch>
            <a:fillRect/>
          </a:stretch>
        </xdr:blipFill>
        <xdr:spPr>
          <a:xfrm flipH="1">
            <a:off x="9020" y="3072"/>
            <a:ext cx="645" cy="646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236855</xdr:colOff>
      <xdr:row>4</xdr:row>
      <xdr:rowOff>208280</xdr:rowOff>
    </xdr:from>
    <xdr:to>
      <xdr:col>13</xdr:col>
      <xdr:colOff>885825</xdr:colOff>
      <xdr:row>5</xdr:row>
      <xdr:rowOff>542925</xdr:rowOff>
    </xdr:to>
    <xdr:grpSp>
      <xdr:nvGrpSpPr>
        <xdr:cNvPr id="23" name="组合 22"/>
        <xdr:cNvGrpSpPr/>
      </xdr:nvGrpSpPr>
      <xdr:grpSpPr>
        <a:xfrm>
          <a:off x="9580880" y="1783080"/>
          <a:ext cx="648970" cy="651510"/>
          <a:chOff x="13528" y="2878"/>
          <a:chExt cx="1022" cy="1022"/>
        </a:xfrm>
      </xdr:grpSpPr>
      <xdr:sp>
        <xdr:nvSpPr>
          <xdr:cNvPr id="12" name="椭圆 11"/>
          <xdr:cNvSpPr/>
        </xdr:nvSpPr>
        <xdr:spPr>
          <a:xfrm>
            <a:off x="13528" y="2878"/>
            <a:ext cx="1022" cy="1022"/>
          </a:xfrm>
          <a:prstGeom prst="ellipse">
            <a:avLst/>
          </a:prstGeom>
          <a:solidFill>
            <a:schemeClr val="tx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pic>
        <xdr:nvPicPr>
          <xdr:cNvPr id="13" name="图片 12" descr="C:\Users\Administrator\Desktop\租房服务.png租房服务"/>
          <xdr:cNvPicPr>
            <a:picLocks noChangeAspect="1"/>
          </xdr:cNvPicPr>
        </xdr:nvPicPr>
        <xdr:blipFill>
          <a:blip r:embed="rId7" cstate="print"/>
          <a:srcRect/>
          <a:stretch>
            <a:fillRect/>
          </a:stretch>
        </xdr:blipFill>
        <xdr:spPr>
          <a:xfrm flipH="1">
            <a:off x="13716" y="3067"/>
            <a:ext cx="645" cy="63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2256155</xdr:colOff>
      <xdr:row>4</xdr:row>
      <xdr:rowOff>208280</xdr:rowOff>
    </xdr:from>
    <xdr:to>
      <xdr:col>16</xdr:col>
      <xdr:colOff>571500</xdr:colOff>
      <xdr:row>5</xdr:row>
      <xdr:rowOff>542925</xdr:rowOff>
    </xdr:to>
    <xdr:grpSp>
      <xdr:nvGrpSpPr>
        <xdr:cNvPr id="18" name="组合 17"/>
        <xdr:cNvGrpSpPr/>
      </xdr:nvGrpSpPr>
      <xdr:grpSpPr>
        <a:xfrm>
          <a:off x="12990830" y="1783080"/>
          <a:ext cx="648970" cy="651510"/>
          <a:chOff x="18463" y="2878"/>
          <a:chExt cx="1022" cy="1022"/>
        </a:xfrm>
      </xdr:grpSpPr>
      <xdr:sp>
        <xdr:nvSpPr>
          <xdr:cNvPr id="16" name="椭圆 15"/>
          <xdr:cNvSpPr/>
        </xdr:nvSpPr>
        <xdr:spPr>
          <a:xfrm>
            <a:off x="18463" y="2878"/>
            <a:ext cx="1022" cy="1022"/>
          </a:xfrm>
          <a:prstGeom prst="ellipse">
            <a:avLst/>
          </a:prstGeom>
          <a:solidFill>
            <a:schemeClr val="tx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  <xdr:pic>
        <xdr:nvPicPr>
          <xdr:cNvPr id="17" name="图片 16" descr="C:\Users\Administrator\Desktop\落户服务 (1).png落户服务 (1)"/>
          <xdr:cNvPicPr>
            <a:picLocks noChangeAspect="1"/>
          </xdr:cNvPicPr>
        </xdr:nvPicPr>
        <xdr:blipFill>
          <a:blip r:embed="rId8" cstate="print"/>
          <a:srcRect/>
          <a:stretch>
            <a:fillRect/>
          </a:stretch>
        </xdr:blipFill>
        <xdr:spPr>
          <a:xfrm flipH="1">
            <a:off x="18638" y="3071"/>
            <a:ext cx="635" cy="63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94615</xdr:colOff>
      <xdr:row>10</xdr:row>
      <xdr:rowOff>132080</xdr:rowOff>
    </xdr:from>
    <xdr:to>
      <xdr:col>17</xdr:col>
      <xdr:colOff>114935</xdr:colOff>
      <xdr:row>19</xdr:row>
      <xdr:rowOff>184150</xdr:rowOff>
    </xdr:to>
    <xdr:graphicFrame>
      <xdr:nvGraphicFramePr>
        <xdr:cNvPr id="19" name="图表 18"/>
        <xdr:cNvGraphicFramePr/>
      </xdr:nvGraphicFramePr>
      <xdr:xfrm>
        <a:off x="9238615" y="3658235"/>
        <a:ext cx="4754245" cy="2707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79375</xdr:colOff>
      <xdr:row>11</xdr:row>
      <xdr:rowOff>66040</xdr:rowOff>
    </xdr:from>
    <xdr:to>
      <xdr:col>10</xdr:col>
      <xdr:colOff>116840</xdr:colOff>
      <xdr:row>19</xdr:row>
      <xdr:rowOff>259715</xdr:rowOff>
    </xdr:to>
    <xdr:graphicFrame>
      <xdr:nvGraphicFramePr>
        <xdr:cNvPr id="31" name="图表 30"/>
        <xdr:cNvGraphicFramePr/>
      </xdr:nvGraphicFramePr>
      <xdr:xfrm>
        <a:off x="555625" y="3809365"/>
        <a:ext cx="8076565" cy="26320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165100</xdr:colOff>
      <xdr:row>23</xdr:row>
      <xdr:rowOff>34925</xdr:rowOff>
    </xdr:from>
    <xdr:to>
      <xdr:col>6</xdr:col>
      <xdr:colOff>640715</xdr:colOff>
      <xdr:row>28</xdr:row>
      <xdr:rowOff>206375</xdr:rowOff>
    </xdr:to>
    <xdr:graphicFrame>
      <xdr:nvGraphicFramePr>
        <xdr:cNvPr id="22" name="图表 21" descr="7b0a202020202263686172745265734964223a202234363130333534220a7d0a"/>
        <xdr:cNvGraphicFramePr/>
      </xdr:nvGraphicFramePr>
      <xdr:xfrm>
        <a:off x="441325" y="7336790"/>
        <a:ext cx="6428740" cy="2708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41910</xdr:colOff>
      <xdr:row>22</xdr:row>
      <xdr:rowOff>61595</xdr:rowOff>
    </xdr:from>
    <xdr:to>
      <xdr:col>17</xdr:col>
      <xdr:colOff>22225</xdr:colOff>
      <xdr:row>28</xdr:row>
      <xdr:rowOff>161925</xdr:rowOff>
    </xdr:to>
    <xdr:graphicFrame>
      <xdr:nvGraphicFramePr>
        <xdr:cNvPr id="28" name="图表 27" descr="7b0a202020202263686172745265734964223a20223230333532363935220a7d0a"/>
        <xdr:cNvGraphicFramePr/>
      </xdr:nvGraphicFramePr>
      <xdr:xfrm>
        <a:off x="8557260" y="7146290"/>
        <a:ext cx="5342890" cy="2854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403860</xdr:colOff>
      <xdr:row>2</xdr:row>
      <xdr:rowOff>65405</xdr:rowOff>
    </xdr:from>
    <xdr:to>
      <xdr:col>16</xdr:col>
      <xdr:colOff>794385</xdr:colOff>
      <xdr:row>2</xdr:row>
      <xdr:rowOff>450215</xdr:rowOff>
    </xdr:to>
    <xdr:pic macro="[0]!分析看板_看板数据">
      <xdr:nvPicPr>
        <xdr:cNvPr id="21" name="ID_6F97F0992C9043DCA6DD9C5779590667" descr="数据"/>
        <xdr:cNvPicPr>
          <a:picLocks noChangeAspect="1"/>
        </xdr:cNvPicPr>
      </xdr:nvPicPr>
      <xdr:blipFill>
        <a:blip r:embed="rId9" cstate="print"/>
        <a:stretch>
          <a:fillRect/>
        </a:stretch>
      </xdr:blipFill>
      <xdr:spPr>
        <a:xfrm>
          <a:off x="13472160" y="953770"/>
          <a:ext cx="390525" cy="384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11</xdr:col>
      <xdr:colOff>184150</xdr:colOff>
      <xdr:row>0</xdr:row>
      <xdr:rowOff>162560</xdr:rowOff>
    </xdr:from>
    <xdr:to>
      <xdr:col>13</xdr:col>
      <xdr:colOff>508000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7</xdr:col>
      <xdr:colOff>120015</xdr:colOff>
      <xdr:row>0</xdr:row>
      <xdr:rowOff>172085</xdr:rowOff>
    </xdr:from>
    <xdr:to>
      <xdr:col>9</xdr:col>
      <xdr:colOff>443865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14</xdr:col>
      <xdr:colOff>78105</xdr:colOff>
      <xdr:row>0</xdr:row>
      <xdr:rowOff>162560</xdr:rowOff>
    </xdr:from>
    <xdr:to>
      <xdr:col>14</xdr:col>
      <xdr:colOff>1106805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15</xdr:col>
      <xdr:colOff>248285</xdr:colOff>
      <xdr:row>0</xdr:row>
      <xdr:rowOff>162560</xdr:rowOff>
    </xdr:from>
    <xdr:to>
      <xdr:col>17</xdr:col>
      <xdr:colOff>572135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55880</xdr:colOff>
      <xdr:row>0</xdr:row>
      <xdr:rowOff>162560</xdr:rowOff>
    </xdr:from>
    <xdr:to>
      <xdr:col>5</xdr:col>
      <xdr:colOff>379730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房源列表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10</xdr:col>
      <xdr:colOff>13970</xdr:colOff>
      <xdr:row>0</xdr:row>
      <xdr:rowOff>162560</xdr:rowOff>
    </xdr:from>
    <xdr:to>
      <xdr:col>10</xdr:col>
      <xdr:colOff>1042670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711835</xdr:colOff>
      <xdr:row>0</xdr:row>
      <xdr:rowOff>171450</xdr:rowOff>
    </xdr:from>
    <xdr:to>
      <xdr:col>6</xdr:col>
      <xdr:colOff>978535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647700</xdr:colOff>
      <xdr:row>0</xdr:row>
      <xdr:rowOff>162560</xdr:rowOff>
    </xdr:from>
    <xdr:to>
      <xdr:col>2</xdr:col>
      <xdr:colOff>914400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130175</xdr:colOff>
      <xdr:row>2</xdr:row>
      <xdr:rowOff>114300</xdr:rowOff>
    </xdr:from>
    <xdr:to>
      <xdr:col>18</xdr:col>
      <xdr:colOff>3175</xdr:colOff>
      <xdr:row>2</xdr:row>
      <xdr:rowOff>409575</xdr:rowOff>
    </xdr:to>
    <xdr:sp macro="[0]!房源列表_展开折叠">
      <xdr:nvSpPr>
        <xdr:cNvPr id="11" name="s"/>
        <xdr:cNvSpPr/>
      </xdr:nvSpPr>
      <xdr:spPr>
        <a:xfrm>
          <a:off x="11036300" y="1002665"/>
          <a:ext cx="635000" cy="29527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全部折叠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18</xdr:col>
      <xdr:colOff>146050</xdr:colOff>
      <xdr:row>2</xdr:row>
      <xdr:rowOff>114300</xdr:rowOff>
    </xdr:from>
    <xdr:to>
      <xdr:col>18</xdr:col>
      <xdr:colOff>781050</xdr:colOff>
      <xdr:row>2</xdr:row>
      <xdr:rowOff>409575</xdr:rowOff>
    </xdr:to>
    <xdr:sp macro="[0]!房源列表刷新_全部">
      <xdr:nvSpPr>
        <xdr:cNvPr id="12" name="s2"/>
        <xdr:cNvSpPr/>
      </xdr:nvSpPr>
      <xdr:spPr>
        <a:xfrm>
          <a:off x="11814175" y="1002665"/>
          <a:ext cx="635000" cy="29527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全部房源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18</xdr:col>
      <xdr:colOff>923925</xdr:colOff>
      <xdr:row>2</xdr:row>
      <xdr:rowOff>114300</xdr:rowOff>
    </xdr:from>
    <xdr:to>
      <xdr:col>19</xdr:col>
      <xdr:colOff>368300</xdr:colOff>
      <xdr:row>2</xdr:row>
      <xdr:rowOff>409575</xdr:rowOff>
    </xdr:to>
    <xdr:sp macro="[0]!房源列表刷新_高级筛选">
      <xdr:nvSpPr>
        <xdr:cNvPr id="13" name="s3"/>
        <xdr:cNvSpPr/>
      </xdr:nvSpPr>
      <xdr:spPr>
        <a:xfrm>
          <a:off x="12592050" y="1002665"/>
          <a:ext cx="635000" cy="29527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高级筛选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8</xdr:col>
      <xdr:colOff>260350</xdr:colOff>
      <xdr:row>0</xdr:row>
      <xdr:rowOff>162560</xdr:rowOff>
    </xdr:from>
    <xdr:to>
      <xdr:col>9</xdr:col>
      <xdr:colOff>1012825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729615</xdr:colOff>
      <xdr:row>0</xdr:row>
      <xdr:rowOff>172085</xdr:rowOff>
    </xdr:from>
    <xdr:to>
      <xdr:col>6</xdr:col>
      <xdr:colOff>643890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1344930</xdr:colOff>
      <xdr:row>0</xdr:row>
      <xdr:rowOff>162560</xdr:rowOff>
    </xdr:from>
    <xdr:to>
      <xdr:col>10</xdr:col>
      <xdr:colOff>925830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10</xdr:col>
      <xdr:colOff>1257935</xdr:colOff>
      <xdr:row>0</xdr:row>
      <xdr:rowOff>162560</xdr:rowOff>
    </xdr:from>
    <xdr:to>
      <xdr:col>11</xdr:col>
      <xdr:colOff>181610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617855</xdr:colOff>
      <xdr:row>0</xdr:row>
      <xdr:rowOff>162560</xdr:rowOff>
    </xdr:from>
    <xdr:to>
      <xdr:col>3</xdr:col>
      <xdr:colOff>1646555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975995</xdr:colOff>
      <xdr:row>0</xdr:row>
      <xdr:rowOff>162560</xdr:rowOff>
    </xdr:from>
    <xdr:to>
      <xdr:col>7</xdr:col>
      <xdr:colOff>280670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1978660</xdr:colOff>
      <xdr:row>0</xdr:row>
      <xdr:rowOff>171450</xdr:rowOff>
    </xdr:from>
    <xdr:to>
      <xdr:col>5</xdr:col>
      <xdr:colOff>397510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添加房源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3</xdr:col>
      <xdr:colOff>285750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257175</xdr:rowOff>
    </xdr:from>
    <xdr:to>
      <xdr:col>3</xdr:col>
      <xdr:colOff>667385</xdr:colOff>
      <xdr:row>18</xdr:row>
      <xdr:rowOff>16510</xdr:rowOff>
    </xdr:to>
    <xdr:sp macro="[0]!添加房源_保存">
      <xdr:nvSpPr>
        <xdr:cNvPr id="10" name="入库保存"/>
        <xdr:cNvSpPr/>
      </xdr:nvSpPr>
      <xdr:spPr>
        <a:xfrm>
          <a:off x="1666875" y="5434965"/>
          <a:ext cx="667385" cy="321310"/>
        </a:xfrm>
        <a:prstGeom prst="roundRect">
          <a:avLst/>
        </a:prstGeom>
        <a:solidFill>
          <a:srgbClr val="1C9E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latin typeface="阿里巴巴普惠体 2.0 55 Regular" panose="00020600040101010101" charset="-122"/>
              <a:ea typeface="阿里巴巴普惠体 2.0 55 Regular" panose="00020600040101010101" charset="-122"/>
            </a:rPr>
            <a:t>保存</a:t>
          </a:r>
          <a:endParaRPr lang="zh-CN" altLang="en-US" sz="1000" b="1"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3</xdr:col>
      <xdr:colOff>1000760</xdr:colOff>
      <xdr:row>16</xdr:row>
      <xdr:rowOff>257175</xdr:rowOff>
    </xdr:from>
    <xdr:to>
      <xdr:col>3</xdr:col>
      <xdr:colOff>1668145</xdr:colOff>
      <xdr:row>18</xdr:row>
      <xdr:rowOff>16510</xdr:rowOff>
    </xdr:to>
    <xdr:sp macro="[0]!添加房源_重置">
      <xdr:nvSpPr>
        <xdr:cNvPr id="11" name="圆角矩形 10"/>
        <xdr:cNvSpPr/>
      </xdr:nvSpPr>
      <xdr:spPr>
        <a:xfrm>
          <a:off x="2667635" y="5434965"/>
          <a:ext cx="667385" cy="321310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00B0F0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bg1">
                  <a:lumMod val="50000"/>
                </a:schemeClr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重置</a:t>
          </a:r>
          <a:endParaRPr lang="zh-CN" altLang="en-US" sz="1000" b="1">
            <a:solidFill>
              <a:schemeClr val="bg1">
                <a:lumMod val="50000"/>
              </a:schemeClr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oneCell">
    <xdr:from>
      <xdr:col>3</xdr:col>
      <xdr:colOff>1762125</xdr:colOff>
      <xdr:row>12</xdr:row>
      <xdr:rowOff>47625</xdr:rowOff>
    </xdr:from>
    <xdr:to>
      <xdr:col>3</xdr:col>
      <xdr:colOff>1971675</xdr:colOff>
      <xdr:row>12</xdr:row>
      <xdr:rowOff>256540</xdr:rowOff>
    </xdr:to>
    <xdr:pic macro="[0]!日期01">
      <xdr:nvPicPr>
        <xdr:cNvPr id="12" name="图片 11" descr="C:\Users\Administrator\Desktop\日历,日期.png日历,日期"/>
        <xdr:cNvPicPr>
          <a:picLocks noChangeAspect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429000" y="4008120"/>
          <a:ext cx="209550" cy="2089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85725</xdr:colOff>
      <xdr:row>14</xdr:row>
      <xdr:rowOff>38100</xdr:rowOff>
    </xdr:from>
    <xdr:to>
      <xdr:col>7</xdr:col>
      <xdr:colOff>295275</xdr:colOff>
      <xdr:row>14</xdr:row>
      <xdr:rowOff>254000</xdr:rowOff>
    </xdr:to>
    <xdr:pic macro="[0]!标签">
      <xdr:nvPicPr>
        <xdr:cNvPr id="13" name="图片 12" descr="选择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7200900" y="4608195"/>
          <a:ext cx="209550" cy="215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10</xdr:col>
      <xdr:colOff>441325</xdr:colOff>
      <xdr:row>0</xdr:row>
      <xdr:rowOff>162560</xdr:rowOff>
    </xdr:from>
    <xdr:to>
      <xdr:col>11</xdr:col>
      <xdr:colOff>812800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1215390</xdr:colOff>
      <xdr:row>0</xdr:row>
      <xdr:rowOff>172085</xdr:rowOff>
    </xdr:from>
    <xdr:to>
      <xdr:col>7</xdr:col>
      <xdr:colOff>262890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房源明细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11</xdr:col>
      <xdr:colOff>1144905</xdr:colOff>
      <xdr:row>0</xdr:row>
      <xdr:rowOff>162560</xdr:rowOff>
    </xdr:from>
    <xdr:to>
      <xdr:col>11</xdr:col>
      <xdr:colOff>2173605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11</xdr:col>
      <xdr:colOff>2505710</xdr:colOff>
      <xdr:row>0</xdr:row>
      <xdr:rowOff>162560</xdr:rowOff>
    </xdr:from>
    <xdr:to>
      <xdr:col>11</xdr:col>
      <xdr:colOff>3534410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541655</xdr:colOff>
      <xdr:row>0</xdr:row>
      <xdr:rowOff>162560</xdr:rowOff>
    </xdr:from>
    <xdr:to>
      <xdr:col>4</xdr:col>
      <xdr:colOff>608330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90170</xdr:colOff>
      <xdr:row>0</xdr:row>
      <xdr:rowOff>162560</xdr:rowOff>
    </xdr:from>
    <xdr:to>
      <xdr:col>10</xdr:col>
      <xdr:colOff>109220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4</xdr:col>
      <xdr:colOff>940435</xdr:colOff>
      <xdr:row>0</xdr:row>
      <xdr:rowOff>171450</xdr:rowOff>
    </xdr:from>
    <xdr:to>
      <xdr:col>5</xdr:col>
      <xdr:colOff>883285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3</xdr:col>
      <xdr:colOff>209550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2609215</xdr:colOff>
      <xdr:row>2</xdr:row>
      <xdr:rowOff>79375</xdr:rowOff>
    </xdr:from>
    <xdr:to>
      <xdr:col>7</xdr:col>
      <xdr:colOff>3209925</xdr:colOff>
      <xdr:row>2</xdr:row>
      <xdr:rowOff>374650</xdr:rowOff>
    </xdr:to>
    <xdr:sp macro="[0]!kh_9">
      <xdr:nvSpPr>
        <xdr:cNvPr id="10" name="圆角矩形 9"/>
        <xdr:cNvSpPr/>
      </xdr:nvSpPr>
      <xdr:spPr>
        <a:xfrm>
          <a:off x="6276975" y="929640"/>
          <a:ext cx="0" cy="295275"/>
        </a:xfrm>
        <a:prstGeom prst="roundRect">
          <a:avLst/>
        </a:prstGeom>
        <a:solidFill>
          <a:srgbClr val="D9D9D9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8F8F8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已签单</a:t>
          </a:r>
          <a:endParaRPr lang="zh-CN" altLang="en-US" sz="900">
            <a:solidFill>
              <a:srgbClr val="8F8F8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15</xdr:col>
      <xdr:colOff>152400</xdr:colOff>
      <xdr:row>2</xdr:row>
      <xdr:rowOff>117475</xdr:rowOff>
    </xdr:from>
    <xdr:to>
      <xdr:col>15</xdr:col>
      <xdr:colOff>787400</xdr:colOff>
      <xdr:row>2</xdr:row>
      <xdr:rowOff>412750</xdr:rowOff>
    </xdr:to>
    <xdr:sp macro="[0]!房源明细刷新_按钮">
      <xdr:nvSpPr>
        <xdr:cNvPr id="11" name="s2"/>
        <xdr:cNvSpPr/>
      </xdr:nvSpPr>
      <xdr:spPr>
        <a:xfrm>
          <a:off x="15230475" y="967740"/>
          <a:ext cx="635000" cy="29527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状态刷新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9</xdr:col>
      <xdr:colOff>136525</xdr:colOff>
      <xdr:row>0</xdr:row>
      <xdr:rowOff>162560</xdr:rowOff>
    </xdr:from>
    <xdr:to>
      <xdr:col>10</xdr:col>
      <xdr:colOff>736600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添加交易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7</xdr:col>
      <xdr:colOff>558165</xdr:colOff>
      <xdr:row>0</xdr:row>
      <xdr:rowOff>172085</xdr:rowOff>
    </xdr:from>
    <xdr:to>
      <xdr:col>8</xdr:col>
      <xdr:colOff>472440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1068705</xdr:colOff>
      <xdr:row>0</xdr:row>
      <xdr:rowOff>162560</xdr:rowOff>
    </xdr:from>
    <xdr:to>
      <xdr:col>11</xdr:col>
      <xdr:colOff>982980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11</xdr:col>
      <xdr:colOff>1315085</xdr:colOff>
      <xdr:row>0</xdr:row>
      <xdr:rowOff>162560</xdr:rowOff>
    </xdr:from>
    <xdr:to>
      <xdr:col>13</xdr:col>
      <xdr:colOff>38735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617855</xdr:colOff>
      <xdr:row>0</xdr:row>
      <xdr:rowOff>162560</xdr:rowOff>
    </xdr:from>
    <xdr:to>
      <xdr:col>3</xdr:col>
      <xdr:colOff>1646555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804545</xdr:colOff>
      <xdr:row>0</xdr:row>
      <xdr:rowOff>162560</xdr:rowOff>
    </xdr:from>
    <xdr:to>
      <xdr:col>8</xdr:col>
      <xdr:colOff>1833245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1978660</xdr:colOff>
      <xdr:row>0</xdr:row>
      <xdr:rowOff>171450</xdr:rowOff>
    </xdr:from>
    <xdr:to>
      <xdr:col>7</xdr:col>
      <xdr:colOff>226060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3</xdr:col>
      <xdr:colOff>285750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371475</xdr:colOff>
      <xdr:row>18</xdr:row>
      <xdr:rowOff>9525</xdr:rowOff>
    </xdr:from>
    <xdr:to>
      <xdr:col>2</xdr:col>
      <xdr:colOff>1038860</xdr:colOff>
      <xdr:row>19</xdr:row>
      <xdr:rowOff>26035</xdr:rowOff>
    </xdr:to>
    <xdr:sp macro="[0]!添加交易_保存">
      <xdr:nvSpPr>
        <xdr:cNvPr id="10" name="入库保存"/>
        <xdr:cNvSpPr/>
      </xdr:nvSpPr>
      <xdr:spPr>
        <a:xfrm>
          <a:off x="923925" y="5634990"/>
          <a:ext cx="667385" cy="321310"/>
        </a:xfrm>
        <a:prstGeom prst="roundRect">
          <a:avLst/>
        </a:prstGeom>
        <a:solidFill>
          <a:srgbClr val="1C9E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latin typeface="阿里巴巴普惠体 2.0 55 Regular" panose="00020600040101010101" charset="-122"/>
              <a:ea typeface="阿里巴巴普惠体 2.0 55 Regular" panose="00020600040101010101" charset="-122"/>
            </a:rPr>
            <a:t>保存</a:t>
          </a:r>
          <a:endParaRPr lang="zh-CN" altLang="en-US" sz="1000" b="1"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3</xdr:col>
      <xdr:colOff>90805</xdr:colOff>
      <xdr:row>18</xdr:row>
      <xdr:rowOff>9525</xdr:rowOff>
    </xdr:from>
    <xdr:to>
      <xdr:col>3</xdr:col>
      <xdr:colOff>758190</xdr:colOff>
      <xdr:row>19</xdr:row>
      <xdr:rowOff>26035</xdr:rowOff>
    </xdr:to>
    <xdr:sp macro="[0]!添加交易_重置">
      <xdr:nvSpPr>
        <xdr:cNvPr id="11" name="圆角矩形 10"/>
        <xdr:cNvSpPr/>
      </xdr:nvSpPr>
      <xdr:spPr>
        <a:xfrm>
          <a:off x="1757680" y="5634990"/>
          <a:ext cx="667385" cy="321310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00B0F0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bg1">
                  <a:lumMod val="50000"/>
                </a:schemeClr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重置</a:t>
          </a:r>
          <a:endParaRPr lang="zh-CN" altLang="en-US" sz="1000" b="1">
            <a:solidFill>
              <a:schemeClr val="bg1">
                <a:lumMod val="50000"/>
              </a:schemeClr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3</xdr:col>
      <xdr:colOff>924560</xdr:colOff>
      <xdr:row>18</xdr:row>
      <xdr:rowOff>9525</xdr:rowOff>
    </xdr:from>
    <xdr:to>
      <xdr:col>3</xdr:col>
      <xdr:colOff>1591945</xdr:colOff>
      <xdr:row>19</xdr:row>
      <xdr:rowOff>26035</xdr:rowOff>
    </xdr:to>
    <xdr:sp macro="[0]!添加交易_返回">
      <xdr:nvSpPr>
        <xdr:cNvPr id="12" name="圆角矩形 11"/>
        <xdr:cNvSpPr/>
      </xdr:nvSpPr>
      <xdr:spPr>
        <a:xfrm>
          <a:off x="2591435" y="5634990"/>
          <a:ext cx="667385" cy="321310"/>
        </a:xfrm>
        <a:prstGeom prst="roundRect">
          <a:avLst/>
        </a:prstGeom>
        <a:noFill/>
        <a:ln>
          <a:solidFill>
            <a:schemeClr val="bg1">
              <a:lumMod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00B0F0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bg1">
                  <a:lumMod val="50000"/>
                </a:schemeClr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返回</a:t>
          </a:r>
          <a:endParaRPr lang="zh-CN" altLang="en-US" sz="1000" b="1">
            <a:solidFill>
              <a:schemeClr val="bg1">
                <a:lumMod val="50000"/>
              </a:schemeClr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oneCell">
    <xdr:from>
      <xdr:col>8</xdr:col>
      <xdr:colOff>1769745</xdr:colOff>
      <xdr:row>18</xdr:row>
      <xdr:rowOff>48895</xdr:rowOff>
    </xdr:from>
    <xdr:to>
      <xdr:col>8</xdr:col>
      <xdr:colOff>1979295</xdr:colOff>
      <xdr:row>18</xdr:row>
      <xdr:rowOff>264795</xdr:rowOff>
    </xdr:to>
    <xdr:pic macro="[0]!选择客户">
      <xdr:nvPicPr>
        <xdr:cNvPr id="13" name="图片 12" descr="选择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7332345" y="5674360"/>
          <a:ext cx="209550" cy="2159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1771650</xdr:colOff>
      <xdr:row>8</xdr:row>
      <xdr:rowOff>47625</xdr:rowOff>
    </xdr:from>
    <xdr:to>
      <xdr:col>3</xdr:col>
      <xdr:colOff>1981200</xdr:colOff>
      <xdr:row>8</xdr:row>
      <xdr:rowOff>256540</xdr:rowOff>
    </xdr:to>
    <xdr:pic macro="[0]!添加交易_日期">
      <xdr:nvPicPr>
        <xdr:cNvPr id="14" name="图片 13" descr="C:\Users\Administrator\Desktop\日历,日期.png日历,日期"/>
        <xdr:cNvPicPr>
          <a:picLocks noChangeAspect="1"/>
        </xdr:cNvPicPr>
      </xdr:nvPicPr>
      <xdr:blipFill>
        <a:blip r:embed="rId2" cstate="print"/>
        <a:srcRect/>
        <a:stretch>
          <a:fillRect/>
        </a:stretch>
      </xdr:blipFill>
      <xdr:spPr>
        <a:xfrm>
          <a:off x="3438525" y="2929255"/>
          <a:ext cx="209550" cy="208915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7</xdr:col>
      <xdr:colOff>679450</xdr:colOff>
      <xdr:row>0</xdr:row>
      <xdr:rowOff>162560</xdr:rowOff>
    </xdr:from>
    <xdr:to>
      <xdr:col>8</xdr:col>
      <xdr:colOff>288925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1129665</xdr:colOff>
      <xdr:row>0</xdr:row>
      <xdr:rowOff>172085</xdr:rowOff>
    </xdr:from>
    <xdr:to>
      <xdr:col>6</xdr:col>
      <xdr:colOff>405765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621030</xdr:colOff>
      <xdr:row>0</xdr:row>
      <xdr:rowOff>162560</xdr:rowOff>
    </xdr:from>
    <xdr:to>
      <xdr:col>8</xdr:col>
      <xdr:colOff>1649730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8</xdr:col>
      <xdr:colOff>1981835</xdr:colOff>
      <xdr:row>0</xdr:row>
      <xdr:rowOff>162560</xdr:rowOff>
    </xdr:from>
    <xdr:to>
      <xdr:col>8</xdr:col>
      <xdr:colOff>3010535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541655</xdr:colOff>
      <xdr:row>0</xdr:row>
      <xdr:rowOff>162560</xdr:rowOff>
    </xdr:from>
    <xdr:to>
      <xdr:col>4</xdr:col>
      <xdr:colOff>398780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737870</xdr:colOff>
      <xdr:row>0</xdr:row>
      <xdr:rowOff>162560</xdr:rowOff>
    </xdr:from>
    <xdr:to>
      <xdr:col>7</xdr:col>
      <xdr:colOff>347345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客户管理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4</xdr:col>
      <xdr:colOff>730885</xdr:colOff>
      <xdr:row>0</xdr:row>
      <xdr:rowOff>171450</xdr:rowOff>
    </xdr:from>
    <xdr:to>
      <xdr:col>5</xdr:col>
      <xdr:colOff>797560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3</xdr:col>
      <xdr:colOff>209550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2279015</xdr:colOff>
      <xdr:row>2</xdr:row>
      <xdr:rowOff>107950</xdr:rowOff>
    </xdr:from>
    <xdr:to>
      <xdr:col>8</xdr:col>
      <xdr:colOff>2837180</xdr:colOff>
      <xdr:row>2</xdr:row>
      <xdr:rowOff>403225</xdr:rowOff>
    </xdr:to>
    <xdr:sp macro="[0]!kh_9">
      <xdr:nvSpPr>
        <xdr:cNvPr id="10" name="圆角矩形 9"/>
        <xdr:cNvSpPr/>
      </xdr:nvSpPr>
      <xdr:spPr>
        <a:xfrm>
          <a:off x="10746740" y="958215"/>
          <a:ext cx="558165" cy="295275"/>
        </a:xfrm>
        <a:prstGeom prst="roundRect">
          <a:avLst/>
        </a:prstGeom>
        <a:solidFill>
          <a:srgbClr val="D9D9D9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zh-CN" altLang="en-US" sz="900">
              <a:solidFill>
                <a:srgbClr val="8F8F8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已签单</a:t>
          </a:r>
          <a:endParaRPr lang="zh-CN" altLang="en-US" sz="900">
            <a:solidFill>
              <a:srgbClr val="8F8F8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absolute">
    <xdr:from>
      <xdr:col>8</xdr:col>
      <xdr:colOff>2919730</xdr:colOff>
      <xdr:row>2</xdr:row>
      <xdr:rowOff>107950</xdr:rowOff>
    </xdr:from>
    <xdr:to>
      <xdr:col>8</xdr:col>
      <xdr:colOff>3468370</xdr:colOff>
      <xdr:row>2</xdr:row>
      <xdr:rowOff>403225</xdr:rowOff>
    </xdr:to>
    <xdr:sp macro="[0]!kh_10">
      <xdr:nvSpPr>
        <xdr:cNvPr id="11" name="圆角矩形 10"/>
        <xdr:cNvSpPr/>
      </xdr:nvSpPr>
      <xdr:spPr>
        <a:xfrm>
          <a:off x="11387455" y="958215"/>
          <a:ext cx="548640" cy="295275"/>
        </a:xfrm>
        <a:prstGeom prst="roundRect">
          <a:avLst/>
        </a:prstGeom>
        <a:solidFill>
          <a:srgbClr val="D9D9D9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8F8F8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跟进中</a:t>
          </a:r>
          <a:endParaRPr lang="zh-CN" altLang="en-US" sz="900">
            <a:solidFill>
              <a:srgbClr val="8F8F8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absolute">
    <xdr:from>
      <xdr:col>8</xdr:col>
      <xdr:colOff>3550920</xdr:colOff>
      <xdr:row>2</xdr:row>
      <xdr:rowOff>107950</xdr:rowOff>
    </xdr:from>
    <xdr:to>
      <xdr:col>9</xdr:col>
      <xdr:colOff>299085</xdr:colOff>
      <xdr:row>2</xdr:row>
      <xdr:rowOff>403225</xdr:rowOff>
    </xdr:to>
    <xdr:sp macro="[0]!kh_11">
      <xdr:nvSpPr>
        <xdr:cNvPr id="12" name="圆角矩形 11"/>
        <xdr:cNvSpPr/>
      </xdr:nvSpPr>
      <xdr:spPr>
        <a:xfrm>
          <a:off x="12018645" y="958215"/>
          <a:ext cx="548640" cy="295275"/>
        </a:xfrm>
        <a:prstGeom prst="roundRect">
          <a:avLst/>
        </a:prstGeom>
        <a:solidFill>
          <a:srgbClr val="D9D9D9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8F8F8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已放弃</a:t>
          </a:r>
          <a:endParaRPr lang="zh-CN" altLang="en-US" sz="900">
            <a:solidFill>
              <a:srgbClr val="8F8F8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absolute">
    <xdr:from>
      <xdr:col>9</xdr:col>
      <xdr:colOff>381635</xdr:colOff>
      <xdr:row>2</xdr:row>
      <xdr:rowOff>107950</xdr:rowOff>
    </xdr:from>
    <xdr:to>
      <xdr:col>9</xdr:col>
      <xdr:colOff>930275</xdr:colOff>
      <xdr:row>2</xdr:row>
      <xdr:rowOff>403225</xdr:rowOff>
    </xdr:to>
    <xdr:sp macro="[0]!kh_12">
      <xdr:nvSpPr>
        <xdr:cNvPr id="13" name="圆角矩形 12"/>
        <xdr:cNvSpPr/>
      </xdr:nvSpPr>
      <xdr:spPr>
        <a:xfrm>
          <a:off x="12649835" y="958215"/>
          <a:ext cx="548640" cy="295275"/>
        </a:xfrm>
        <a:prstGeom prst="roundRect">
          <a:avLst/>
        </a:prstGeom>
        <a:solidFill>
          <a:srgbClr val="44546A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全部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 editAs="absolute">
    <xdr:from>
      <xdr:col>8</xdr:col>
      <xdr:colOff>1647825</xdr:colOff>
      <xdr:row>2</xdr:row>
      <xdr:rowOff>107950</xdr:rowOff>
    </xdr:from>
    <xdr:to>
      <xdr:col>8</xdr:col>
      <xdr:colOff>2196465</xdr:colOff>
      <xdr:row>2</xdr:row>
      <xdr:rowOff>403225</xdr:rowOff>
    </xdr:to>
    <xdr:sp macro="[0]!添加客户">
      <xdr:nvSpPr>
        <xdr:cNvPr id="14" name="圆角矩形 13"/>
        <xdr:cNvSpPr/>
      </xdr:nvSpPr>
      <xdr:spPr>
        <a:xfrm>
          <a:off x="10115550" y="958215"/>
          <a:ext cx="548640" cy="295275"/>
        </a:xfrm>
        <a:prstGeom prst="roundRect">
          <a:avLst/>
        </a:prstGeom>
        <a:solidFill>
          <a:srgbClr val="1C9E77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添加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8</xdr:col>
      <xdr:colOff>679450</xdr:colOff>
      <xdr:row>0</xdr:row>
      <xdr:rowOff>162560</xdr:rowOff>
    </xdr:from>
    <xdr:to>
      <xdr:col>9</xdr:col>
      <xdr:colOff>708025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6</xdr:col>
      <xdr:colOff>148590</xdr:colOff>
      <xdr:row>0</xdr:row>
      <xdr:rowOff>172085</xdr:rowOff>
    </xdr:from>
    <xdr:to>
      <xdr:col>6</xdr:col>
      <xdr:colOff>1177290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40005</xdr:colOff>
      <xdr:row>0</xdr:row>
      <xdr:rowOff>162560</xdr:rowOff>
    </xdr:from>
    <xdr:to>
      <xdr:col>11</xdr:col>
      <xdr:colOff>68580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交易流水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11</xdr:col>
      <xdr:colOff>400685</xdr:colOff>
      <xdr:row>0</xdr:row>
      <xdr:rowOff>162560</xdr:rowOff>
    </xdr:from>
    <xdr:to>
      <xdr:col>12</xdr:col>
      <xdr:colOff>429260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541655</xdr:colOff>
      <xdr:row>0</xdr:row>
      <xdr:rowOff>162560</xdr:rowOff>
    </xdr:from>
    <xdr:to>
      <xdr:col>4</xdr:col>
      <xdr:colOff>608330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318770</xdr:colOff>
      <xdr:row>0</xdr:row>
      <xdr:rowOff>162560</xdr:rowOff>
    </xdr:from>
    <xdr:to>
      <xdr:col>8</xdr:col>
      <xdr:colOff>347345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4</xdr:col>
      <xdr:colOff>940435</xdr:colOff>
      <xdr:row>0</xdr:row>
      <xdr:rowOff>171450</xdr:rowOff>
    </xdr:from>
    <xdr:to>
      <xdr:col>5</xdr:col>
      <xdr:colOff>1007110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3</xdr:col>
      <xdr:colOff>209550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9</xdr:col>
      <xdr:colOff>22225</xdr:colOff>
      <xdr:row>0</xdr:row>
      <xdr:rowOff>162560</xdr:rowOff>
    </xdr:from>
    <xdr:to>
      <xdr:col>12</xdr:col>
      <xdr:colOff>222250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7</xdr:col>
      <xdr:colOff>1053465</xdr:colOff>
      <xdr:row>0</xdr:row>
      <xdr:rowOff>172085</xdr:rowOff>
    </xdr:from>
    <xdr:to>
      <xdr:col>8</xdr:col>
      <xdr:colOff>205740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554355</xdr:colOff>
      <xdr:row>0</xdr:row>
      <xdr:rowOff>162560</xdr:rowOff>
    </xdr:from>
    <xdr:to>
      <xdr:col>13</xdr:col>
      <xdr:colOff>773430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14</xdr:col>
      <xdr:colOff>295275</xdr:colOff>
      <xdr:row>0</xdr:row>
      <xdr:rowOff>162560</xdr:rowOff>
    </xdr:from>
    <xdr:to>
      <xdr:col>14</xdr:col>
      <xdr:colOff>1324610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8925" y="162560"/>
          <a:ext cx="1029335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参数设置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3</xdr:col>
      <xdr:colOff>274955</xdr:colOff>
      <xdr:row>0</xdr:row>
      <xdr:rowOff>162560</xdr:rowOff>
    </xdr:from>
    <xdr:to>
      <xdr:col>4</xdr:col>
      <xdr:colOff>189230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房源列表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537845</xdr:colOff>
      <xdr:row>0</xdr:row>
      <xdr:rowOff>162560</xdr:rowOff>
    </xdr:from>
    <xdr:to>
      <xdr:col>8</xdr:col>
      <xdr:colOff>1566545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245110</xdr:colOff>
      <xdr:row>0</xdr:row>
      <xdr:rowOff>171450</xdr:rowOff>
    </xdr:from>
    <xdr:to>
      <xdr:col>7</xdr:col>
      <xdr:colOff>721360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371475</xdr:colOff>
      <xdr:row>0</xdr:row>
      <xdr:rowOff>162560</xdr:rowOff>
    </xdr:from>
    <xdr:to>
      <xdr:col>2</xdr:col>
      <xdr:colOff>1400175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475615</xdr:colOff>
      <xdr:row>3</xdr:row>
      <xdr:rowOff>78740</xdr:rowOff>
    </xdr:from>
    <xdr:to>
      <xdr:col>14</xdr:col>
      <xdr:colOff>1291590</xdr:colOff>
      <xdr:row>4</xdr:row>
      <xdr:rowOff>240030</xdr:rowOff>
    </xdr:to>
    <xdr:sp macro="[0]!初始化">
      <xdr:nvSpPr>
        <xdr:cNvPr id="10" name="s2"/>
        <xdr:cNvSpPr/>
      </xdr:nvSpPr>
      <xdr:spPr>
        <a:xfrm>
          <a:off x="9819640" y="1436370"/>
          <a:ext cx="1625600" cy="466090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0" r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solidFill>
                <a:srgbClr val="FFFFFF"/>
              </a:solidFill>
              <a:latin typeface="阿里巴巴普惠体 2.0 55 Regular" panose="00020600040101010101" charset="-122"/>
              <a:ea typeface="阿里巴巴普惠体 2.0 55 Regular" panose="00020600040101010101" charset="-122"/>
            </a:rPr>
            <a:t>初始化</a:t>
          </a:r>
          <a:endParaRPr lang="zh-CN" altLang="en-US" sz="900">
            <a:solidFill>
              <a:srgbClr val="FFFFFF"/>
            </a:solidFill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  <xdr:twoCellAnchor>
    <xdr:from>
      <xdr:col>2</xdr:col>
      <xdr:colOff>457200</xdr:colOff>
      <xdr:row>13</xdr:row>
      <xdr:rowOff>200025</xdr:rowOff>
    </xdr:from>
    <xdr:to>
      <xdr:col>3</xdr:col>
      <xdr:colOff>685800</xdr:colOff>
      <xdr:row>14</xdr:row>
      <xdr:rowOff>273050</xdr:rowOff>
    </xdr:to>
    <xdr:sp macro="[0]!默认设置">
      <xdr:nvSpPr>
        <xdr:cNvPr id="11" name="入库保存"/>
        <xdr:cNvSpPr/>
      </xdr:nvSpPr>
      <xdr:spPr>
        <a:xfrm>
          <a:off x="1009650" y="4605655"/>
          <a:ext cx="1685925" cy="37782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latin typeface="阿里巴巴普惠体 2.0 55 Regular" panose="00020600040101010101" charset="-122"/>
              <a:ea typeface="阿里巴巴普惠体 2.0 55 Regular" panose="00020600040101010101" charset="-122"/>
            </a:rPr>
            <a:t>列表卡片恢复默认设置</a:t>
          </a:r>
          <a:endParaRPr lang="en-US" altLang="zh-CN" sz="1000" b="1">
            <a:latin typeface="阿里巴巴普惠体 2.0 55 Regular" panose="00020600040101010101" charset="-122"/>
            <a:ea typeface="阿里巴巴普惠体 2.0 55 Regular" panose="00020600040101010101" charset="-122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2</xdr:col>
      <xdr:colOff>447675</xdr:colOff>
      <xdr:row>0</xdr:row>
      <xdr:rowOff>162560</xdr:rowOff>
    </xdr:from>
    <xdr:to>
      <xdr:col>3</xdr:col>
      <xdr:colOff>361950</xdr:colOff>
      <xdr:row>0</xdr:row>
      <xdr:rowOff>524510</xdr:rowOff>
    </xdr:to>
    <xdr:sp macro="[0]!分析看板_返回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返回</a:t>
          </a:r>
          <a:endParaRPr lang="en-US" altLang="zh-CN" sz="1100" b="1">
            <a:solidFill>
              <a:schemeClr val="accent4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563880</xdr:colOff>
      <xdr:row>2</xdr:row>
      <xdr:rowOff>88900</xdr:rowOff>
    </xdr:from>
    <xdr:to>
      <xdr:col>16</xdr:col>
      <xdr:colOff>374015</xdr:colOff>
      <xdr:row>72</xdr:row>
      <xdr:rowOff>33655</xdr:rowOff>
    </xdr:to>
    <xdr:sp>
      <xdr:nvSpPr>
        <xdr:cNvPr id="2" name="矩形 1"/>
        <xdr:cNvSpPr/>
      </xdr:nvSpPr>
      <xdr:spPr>
        <a:xfrm>
          <a:off x="1241425" y="431800"/>
          <a:ext cx="9973310" cy="1194625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127000" sx="101000" sy="101000" algn="ctr" rotWithShape="0">
            <a:schemeClr val="bg1">
              <a:lumMod val="75000"/>
              <a:alpha val="3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sp>
    <xdr:clientData/>
  </xdr:twoCellAnchor>
  <xdr:twoCellAnchor editAs="oneCell">
    <xdr:from>
      <xdr:col>2</xdr:col>
      <xdr:colOff>315595</xdr:colOff>
      <xdr:row>28</xdr:row>
      <xdr:rowOff>53975</xdr:rowOff>
    </xdr:from>
    <xdr:to>
      <xdr:col>7</xdr:col>
      <xdr:colOff>328930</xdr:colOff>
      <xdr:row>35</xdr:row>
      <xdr:rowOff>24130</xdr:rowOff>
    </xdr:to>
    <xdr:pic>
      <xdr:nvPicPr>
        <xdr:cNvPr id="4" name="图片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70685" y="4854575"/>
          <a:ext cx="3401060" cy="11703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</xdr:col>
      <xdr:colOff>558165</xdr:colOff>
      <xdr:row>5</xdr:row>
      <xdr:rowOff>137795</xdr:rowOff>
    </xdr:from>
    <xdr:to>
      <xdr:col>9</xdr:col>
      <xdr:colOff>28575</xdr:colOff>
      <xdr:row>10</xdr:row>
      <xdr:rowOff>16510</xdr:rowOff>
    </xdr:to>
    <xdr:grpSp>
      <xdr:nvGrpSpPr>
        <xdr:cNvPr id="5" name="组合 102"/>
        <xdr:cNvGrpSpPr/>
      </xdr:nvGrpSpPr>
      <xdr:grpSpPr>
        <a:xfrm rot="0">
          <a:off x="1235710" y="995045"/>
          <a:ext cx="4890770" cy="735965"/>
          <a:chOff x="-48" y="701"/>
          <a:chExt cx="6845" cy="1248"/>
        </a:xfrm>
      </xdr:grpSpPr>
      <xdr:sp>
        <xdr:nvSpPr>
          <xdr:cNvPr id="6" name="矩形 5"/>
          <xdr:cNvSpPr/>
        </xdr:nvSpPr>
        <xdr:spPr>
          <a:xfrm>
            <a:off x="-48" y="717"/>
            <a:ext cx="170" cy="737"/>
          </a:xfrm>
          <a:prstGeom prst="rect">
            <a:avLst/>
          </a:prstGeom>
          <a:solidFill>
            <a:srgbClr val="FF283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</xdr:sp>
      <xdr:sp>
        <xdr:nvSpPr>
          <xdr:cNvPr id="7" name="文本框 6"/>
          <xdr:cNvSpPr txBox="1"/>
        </xdr:nvSpPr>
        <xdr:spPr>
          <a:xfrm>
            <a:off x="166" y="701"/>
            <a:ext cx="6631" cy="103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zh-CN" altLang="en-US" sz="26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表格</a:t>
            </a:r>
            <a:r>
              <a:rPr lang="en-US" altLang="zh-CN" sz="26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模板使用说明</a:t>
            </a:r>
            <a:endParaRPr lang="en-US" altLang="zh-CN" sz="2600" kern="100"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  <xdr:sp>
        <xdr:nvSpPr>
          <xdr:cNvPr id="8" name="文本框 7"/>
          <xdr:cNvSpPr txBox="1"/>
        </xdr:nvSpPr>
        <xdr:spPr>
          <a:xfrm>
            <a:off x="74" y="1481"/>
            <a:ext cx="5912" cy="46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sz="12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（本页为说明页，用户使用模板时可删除本页内容）</a:t>
            </a:r>
            <a:endParaRPr lang="en-US" altLang="zh-CN" sz="12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</xdr:grpSp>
    <xdr:clientData/>
  </xdr:twoCellAnchor>
  <xdr:twoCellAnchor>
    <xdr:from>
      <xdr:col>2</xdr:col>
      <xdr:colOff>214630</xdr:colOff>
      <xdr:row>11</xdr:row>
      <xdr:rowOff>12700</xdr:rowOff>
    </xdr:from>
    <xdr:to>
      <xdr:col>7</xdr:col>
      <xdr:colOff>238760</xdr:colOff>
      <xdr:row>15</xdr:row>
      <xdr:rowOff>19050</xdr:rowOff>
    </xdr:to>
    <xdr:grpSp>
      <xdr:nvGrpSpPr>
        <xdr:cNvPr id="9" name="组合 8"/>
        <xdr:cNvGrpSpPr/>
      </xdr:nvGrpSpPr>
      <xdr:grpSpPr>
        <a:xfrm rot="0">
          <a:off x="1569720" y="1898650"/>
          <a:ext cx="3411855" cy="692150"/>
          <a:chOff x="1212" y="2209"/>
          <a:chExt cx="4839" cy="1158"/>
        </a:xfrm>
      </xdr:grpSpPr>
      <xdr:sp>
        <xdr:nvSpPr>
          <xdr:cNvPr id="10" name="文本框 9"/>
          <xdr:cNvSpPr txBox="1"/>
        </xdr:nvSpPr>
        <xdr:spPr>
          <a:xfrm>
            <a:off x="1212" y="2209"/>
            <a:ext cx="1555" cy="115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sz="3800" b="1" kern="1200">
                <a:solidFill>
                  <a:srgbClr val="FF283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01</a:t>
            </a:r>
            <a:endParaRPr lang="en-US" altLang="zh-CN" sz="3800" b="1" kern="1200">
              <a:solidFill>
                <a:srgbClr val="FF2832"/>
              </a:solidFill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  <xdr:sp>
        <xdr:nvSpPr>
          <xdr:cNvPr id="11" name="文本框 10"/>
          <xdr:cNvSpPr txBox="1"/>
        </xdr:nvSpPr>
        <xdr:spPr>
          <a:xfrm>
            <a:off x="2218" y="2404"/>
            <a:ext cx="3833" cy="7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>
              <a:buClrTx/>
              <a:buSzTx/>
              <a:buFontTx/>
            </a:pPr>
            <a:r>
              <a:rPr lang="en-US" altLang="zh-CN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基础操作</a:t>
            </a:r>
            <a:r>
              <a:rPr lang="zh-CN" altLang="en-US" sz="2200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Times New Roman" panose="02020603050405020304" pitchFamily="12"/>
                <a:sym typeface="Times New Roman" panose="02020603050405020304" pitchFamily="12"/>
              </a:rPr>
              <a:t>指南</a:t>
            </a:r>
            <a:endParaRPr lang="en-US" altLang="zh-CN" sz="2200" b="1" kern="1200">
              <a:solidFill>
                <a:srgbClr val="222222"/>
              </a:solidFill>
              <a:latin typeface="黑体" panose="02010609060101010101" charset="-122"/>
              <a:ea typeface="黑体" panose="02010609060101010101" charset="-122"/>
              <a:cs typeface="Times New Roman" panose="02020603050405020304" pitchFamily="12"/>
              <a:sym typeface="Times New Roman" panose="02020603050405020304" pitchFamily="12"/>
            </a:endParaRPr>
          </a:p>
        </xdr:txBody>
      </xdr:sp>
    </xdr:grpSp>
    <xdr:clientData/>
  </xdr:twoCellAnchor>
  <xdr:twoCellAnchor>
    <xdr:from>
      <xdr:col>10</xdr:col>
      <xdr:colOff>97790</xdr:colOff>
      <xdr:row>14</xdr:row>
      <xdr:rowOff>81280</xdr:rowOff>
    </xdr:from>
    <xdr:to>
      <xdr:col>10</xdr:col>
      <xdr:colOff>97790</xdr:colOff>
      <xdr:row>68</xdr:row>
      <xdr:rowOff>9525</xdr:rowOff>
    </xdr:to>
    <xdr:cxnSp>
      <xdr:nvCxnSpPr>
        <xdr:cNvPr id="12" name="直接连接符 11"/>
        <xdr:cNvCxnSpPr/>
      </xdr:nvCxnSpPr>
      <xdr:spPr>
        <a:xfrm>
          <a:off x="6873240" y="2481580"/>
          <a:ext cx="0" cy="9186545"/>
        </a:xfrm>
        <a:prstGeom prst="line">
          <a:avLst/>
        </a:prstGeom>
        <a:ln w="9525">
          <a:solidFill>
            <a:srgbClr val="222222">
              <a:alpha val="8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284480</xdr:colOff>
      <xdr:row>15</xdr:row>
      <xdr:rowOff>161925</xdr:rowOff>
    </xdr:from>
    <xdr:to>
      <xdr:col>7</xdr:col>
      <xdr:colOff>189230</xdr:colOff>
      <xdr:row>19</xdr:row>
      <xdr:rowOff>73660</xdr:rowOff>
    </xdr:to>
    <xdr:grpSp>
      <xdr:nvGrpSpPr>
        <xdr:cNvPr id="37" name="组合 69"/>
        <xdr:cNvGrpSpPr/>
      </xdr:nvGrpSpPr>
      <xdr:grpSpPr>
        <a:xfrm rot="0">
          <a:off x="1639570" y="2733675"/>
          <a:ext cx="3292475" cy="597535"/>
          <a:chOff x="7139" y="3569"/>
          <a:chExt cx="4652" cy="1008"/>
        </a:xfrm>
      </xdr:grpSpPr>
      <xdr:sp>
        <xdr:nvSpPr>
          <xdr:cNvPr id="38" name="文本框 37"/>
          <xdr:cNvSpPr txBox="1"/>
        </xdr:nvSpPr>
        <xdr:spPr>
          <a:xfrm>
            <a:off x="7139" y="3569"/>
            <a:ext cx="3308" cy="44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如何撤销工作表保护？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>
        <xdr:nvSpPr>
          <xdr:cNvPr id="39" name="文本框 38"/>
          <xdr:cNvSpPr txBox="1"/>
        </xdr:nvSpPr>
        <xdr:spPr>
          <a:xfrm>
            <a:off x="7197" y="3960"/>
            <a:ext cx="4594" cy="61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1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选中对应工作表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2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点击：「审阅---撤销工作表」保护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</xdr:grpSp>
    <xdr:clientData/>
  </xdr:twoCellAnchor>
  <xdr:twoCellAnchor>
    <xdr:from>
      <xdr:col>2</xdr:col>
      <xdr:colOff>273050</xdr:colOff>
      <xdr:row>25</xdr:row>
      <xdr:rowOff>19050</xdr:rowOff>
    </xdr:from>
    <xdr:to>
      <xdr:col>8</xdr:col>
      <xdr:colOff>96520</xdr:colOff>
      <xdr:row>28</xdr:row>
      <xdr:rowOff>106680</xdr:rowOff>
    </xdr:to>
    <xdr:grpSp>
      <xdr:nvGrpSpPr>
        <xdr:cNvPr id="40" name="组合 77"/>
        <xdr:cNvGrpSpPr/>
      </xdr:nvGrpSpPr>
      <xdr:grpSpPr>
        <a:xfrm rot="0">
          <a:off x="1628140" y="4305300"/>
          <a:ext cx="3888740" cy="601980"/>
          <a:chOff x="7127" y="5903"/>
          <a:chExt cx="5482" cy="1014"/>
        </a:xfrm>
      </xdr:grpSpPr>
      <xdr:sp>
        <xdr:nvSpPr>
          <xdr:cNvPr id="41" name="文本框 40"/>
          <xdr:cNvSpPr txBox="1"/>
        </xdr:nvSpPr>
        <xdr:spPr>
          <a:xfrm>
            <a:off x="7127" y="5903"/>
            <a:ext cx="2426" cy="438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如何增加行数？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>
        <xdr:nvSpPr>
          <xdr:cNvPr id="42" name="文本框 41"/>
          <xdr:cNvSpPr txBox="1"/>
        </xdr:nvSpPr>
        <xdr:spPr>
          <a:xfrm>
            <a:off x="7197" y="6292"/>
            <a:ext cx="5412" cy="62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1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、选中最后一行，鼠标放在选中区域右下角。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eaLnBrk="1" fontAlgn="t">
              <a:lnSpc>
                <a:spcPct val="100000"/>
              </a:lnSpc>
            </a:pP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2</a:t>
            </a:r>
            <a:r>
              <a:rPr lang="zh-CN" altLang="en-US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、当鼠标箭头变成黑色十字形时，点击鼠标左键下拉即可</a:t>
            </a:r>
            <a:r>
              <a:rPr lang="en-US" altLang="zh-CN" sz="900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sz="900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</xdr:grpSp>
    <xdr:clientData/>
  </xdr:twoCellAnchor>
  <xdr:twoCellAnchor editAs="oneCell">
    <xdr:from>
      <xdr:col>2</xdr:col>
      <xdr:colOff>395605</xdr:colOff>
      <xdr:row>19</xdr:row>
      <xdr:rowOff>131445</xdr:rowOff>
    </xdr:from>
    <xdr:to>
      <xdr:col>9</xdr:col>
      <xdr:colOff>154305</xdr:colOff>
      <xdr:row>23</xdr:row>
      <xdr:rowOff>105410</xdr:rowOff>
    </xdr:to>
    <xdr:pic>
      <xdr:nvPicPr>
        <xdr:cNvPr id="43" name="图片 42" descr="WPS图片编辑4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750695" y="3388995"/>
          <a:ext cx="4501515" cy="659765"/>
        </a:xfrm>
        <a:prstGeom prst="rect">
          <a:avLst/>
        </a:prstGeom>
        <a:effectLst>
          <a:outerShdw blurRad="38100" sx="101000" sy="101000" algn="ctr" rotWithShape="0">
            <a:schemeClr val="bg1">
              <a:lumMod val="75000"/>
              <a:alpha val="40000"/>
            </a:schemeClr>
          </a:outerShdw>
        </a:effectLst>
      </xdr:spPr>
    </xdr:pic>
    <xdr:clientData/>
  </xdr:twoCellAnchor>
  <xdr:twoCellAnchor>
    <xdr:from>
      <xdr:col>7</xdr:col>
      <xdr:colOff>331470</xdr:colOff>
      <xdr:row>64</xdr:row>
      <xdr:rowOff>147320</xdr:rowOff>
    </xdr:from>
    <xdr:to>
      <xdr:col>9</xdr:col>
      <xdr:colOff>187960</xdr:colOff>
      <xdr:row>66</xdr:row>
      <xdr:rowOff>81280</xdr:rowOff>
    </xdr:to>
    <xdr:sp>
      <xdr:nvSpPr>
        <xdr:cNvPr id="45" name="矩形 44">
          <a:hlinkClick xmlns:r="http://schemas.openxmlformats.org/officeDocument/2006/relationships" r:id="rId3"/>
        </xdr:cNvPr>
        <xdr:cNvSpPr/>
      </xdr:nvSpPr>
      <xdr:spPr>
        <a:xfrm>
          <a:off x="5074285" y="11120120"/>
          <a:ext cx="1211580" cy="27686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作者：会飞的鱼</a:t>
          </a:r>
          <a:endParaRPr lang="zh-CN" altLang="en-US" sz="9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273050</xdr:colOff>
      <xdr:row>35</xdr:row>
      <xdr:rowOff>10160</xdr:rowOff>
    </xdr:from>
    <xdr:to>
      <xdr:col>9</xdr:col>
      <xdr:colOff>277495</xdr:colOff>
      <xdr:row>63</xdr:row>
      <xdr:rowOff>101600</xdr:rowOff>
    </xdr:to>
    <xdr:grpSp>
      <xdr:nvGrpSpPr>
        <xdr:cNvPr id="55" name="组合 77"/>
        <xdr:cNvGrpSpPr/>
      </xdr:nvGrpSpPr>
      <xdr:grpSpPr>
        <a:xfrm rot="0">
          <a:off x="1628140" y="6010910"/>
          <a:ext cx="4747260" cy="4892040"/>
          <a:chOff x="7127" y="5903"/>
          <a:chExt cx="5482" cy="693"/>
        </a:xfrm>
      </xdr:grpSpPr>
      <xdr:sp>
        <xdr:nvSpPr>
          <xdr:cNvPr id="56" name="文本框 55"/>
          <xdr:cNvSpPr txBox="1"/>
        </xdr:nvSpPr>
        <xdr:spPr>
          <a:xfrm>
            <a:off x="7127" y="5903"/>
            <a:ext cx="2426" cy="157"/>
          </a:xfrm>
          <a:prstGeom prst="rect">
            <a:avLst/>
          </a:prstGeom>
          <a:noFill/>
        </xdr:spPr>
        <xdr:txBody>
          <a:bodyPr wrap="square" rtlCol="0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eaLnBrk="1"/>
            <a:r>
              <a:rPr lang="en-US" altLang="zh-CN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· </a:t>
            </a:r>
            <a:r>
              <a:rPr lang="zh-CN" altLang="en-US" b="1" kern="1200">
                <a:solidFill>
                  <a:srgbClr val="222222"/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使用说明</a:t>
            </a:r>
            <a:endParaRPr lang="en-US" altLang="zh-CN" kern="1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  <xdr:sp>
        <xdr:nvSpPr>
          <xdr:cNvPr id="57" name="文本框 56"/>
          <xdr:cNvSpPr txBox="1"/>
        </xdr:nvSpPr>
        <xdr:spPr>
          <a:xfrm>
            <a:off x="7197" y="5937"/>
            <a:ext cx="5412" cy="659"/>
          </a:xfrm>
          <a:prstGeom prst="rect">
            <a:avLst/>
          </a:prstGeom>
          <a:noFill/>
        </xdr:spPr>
        <xdr:txBody>
          <a:bodyPr wrap="square" rtlCol="0"/>
          <a:lstStyle>
            <a:defPPr>
              <a:defRPr lang="zh-CN"/>
            </a:defPPr>
            <a:lvl1pPr marL="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latin typeface="+mn-lt"/>
                <a:ea typeface="+mn-ea"/>
                <a:cs typeface="+mn-cs"/>
              </a:defRPr>
            </a:lvl9pPr>
          </a:lstStyle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1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、到【参数设置】表设置房源卡片样式及到期提醒天数。</a:t>
            </a:r>
            <a:endParaRPr lang="en-US" altLang="zh-CN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2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、到【参数设置】表设置字段参数，添加小区和房源标签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。</a:t>
            </a:r>
            <a:endParaRPr lang="en-US" altLang="zh-CN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3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、到【添加房源】表添加房源信息。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4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、到【客户管理】表添加客户信息及修改客户状态，可通过右上角的按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钮快速选择不同状态客户。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5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、到【添加交易】表添加租房合同信息，房源信息可通过【房源明细】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表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查看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|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开单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或通过【房源列表】表中的卡片详细快速添加房源信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息。客户信息通过选择窗体选择即可快速录入，输入合同编码、租住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月份等信息，其中带红色星号为必填项，确认信息无误后保存信息。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6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、【房源列表】表按小区分类，三种标签红色分别对应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空闲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已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租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即将到期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三种状态，单击全部房源按钮可以刷新当前部分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房源，也可以通过高级筛选来多条件筛选房源，可单击小区名称左边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的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“+”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“-”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按钮来实现折叠展开，也可以通过按钮全部折叠展开。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7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、分析看板根据业务数据自动生成，请勿修改删除，可通过右上角数据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钮查看看板数据。</a:t>
            </a:r>
            <a:endParaRPr lang="zh-CN" altLang="en-US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  <a:p>
            <a:pPr marL="0" algn="l" fontAlgn="t">
              <a:lnSpc>
                <a:spcPct val="150000"/>
              </a:lnSpc>
            </a:pP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8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、交易流水只记录必要信息，可通过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“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查看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”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按钮来查看详细合同</a:t>
            </a:r>
            <a:r>
              <a:rPr lang="en-US" altLang="zh-CN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 </a:t>
            </a:r>
            <a:r>
              <a:rPr lang="zh-CN" altLang="en-US" kern="1200">
                <a:solidFill>
                  <a:srgbClr val="222222">
                    <a:alpha val="60000"/>
                  </a:srgb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Times New Roman" panose="02020603050405020304" pitchFamily="12"/>
              </a:rPr>
              <a:t>信息。</a:t>
            </a:r>
            <a:endParaRPr lang="en-US" altLang="zh-CN" kern="1200">
              <a:solidFill>
                <a:srgbClr val="222222">
                  <a:alpha val="60000"/>
                </a:srgbClr>
              </a:solidFill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Times New Roman" panose="02020603050405020304" pitchFamily="12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11</xdr:col>
      <xdr:colOff>184150</xdr:colOff>
      <xdr:row>0</xdr:row>
      <xdr:rowOff>162560</xdr:rowOff>
    </xdr:from>
    <xdr:to>
      <xdr:col>13</xdr:col>
      <xdr:colOff>508000</xdr:colOff>
      <xdr:row>0</xdr:row>
      <xdr:rowOff>524510</xdr:rowOff>
    </xdr:to>
    <xdr:sp macro="[0]!kkkk">
      <xdr:nvSpPr>
        <xdr:cNvPr id="2" name="流程图: 终止 1"/>
        <xdr:cNvSpPr/>
      </xdr:nvSpPr>
      <xdr:spPr>
        <a:xfrm>
          <a:off x="772795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添加交易</a:t>
          </a:r>
          <a:endParaRPr lang="zh-CN" altLang="en-US" sz="1100" b="1"/>
        </a:p>
      </xdr:txBody>
    </xdr:sp>
    <xdr:clientData/>
  </xdr:twoCellAnchor>
  <xdr:twoCellAnchor editAs="absolute">
    <xdr:from>
      <xdr:col>7</xdr:col>
      <xdr:colOff>120015</xdr:colOff>
      <xdr:row>0</xdr:row>
      <xdr:rowOff>172085</xdr:rowOff>
    </xdr:from>
    <xdr:to>
      <xdr:col>9</xdr:col>
      <xdr:colOff>443865</xdr:colOff>
      <xdr:row>0</xdr:row>
      <xdr:rowOff>534035</xdr:rowOff>
    </xdr:to>
    <xdr:sp macro="[0]!kkkk">
      <xdr:nvSpPr>
        <xdr:cNvPr id="3" name="流程图: 终止 2"/>
        <xdr:cNvSpPr/>
      </xdr:nvSpPr>
      <xdr:spPr>
        <a:xfrm>
          <a:off x="5006340" y="172085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房源明细</a:t>
          </a:r>
          <a:endParaRPr lang="en-US" altLang="zh-CN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14</xdr:col>
      <xdr:colOff>78105</xdr:colOff>
      <xdr:row>0</xdr:row>
      <xdr:rowOff>162560</xdr:rowOff>
    </xdr:from>
    <xdr:to>
      <xdr:col>14</xdr:col>
      <xdr:colOff>1106805</xdr:colOff>
      <xdr:row>0</xdr:row>
      <xdr:rowOff>524510</xdr:rowOff>
    </xdr:to>
    <xdr:sp macro="[0]!kkkk">
      <xdr:nvSpPr>
        <xdr:cNvPr id="4" name="流程图: 终止 3"/>
        <xdr:cNvSpPr/>
      </xdr:nvSpPr>
      <xdr:spPr>
        <a:xfrm>
          <a:off x="908875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交易流水</a:t>
          </a:r>
          <a:endParaRPr lang="zh-CN" altLang="en-US" sz="1100" b="1"/>
        </a:p>
      </xdr:txBody>
    </xdr:sp>
    <xdr:clientData/>
  </xdr:twoCellAnchor>
  <xdr:twoCellAnchor editAs="absolute">
    <xdr:from>
      <xdr:col>15</xdr:col>
      <xdr:colOff>248285</xdr:colOff>
      <xdr:row>0</xdr:row>
      <xdr:rowOff>162560</xdr:rowOff>
    </xdr:from>
    <xdr:to>
      <xdr:col>17</xdr:col>
      <xdr:colOff>572135</xdr:colOff>
      <xdr:row>0</xdr:row>
      <xdr:rowOff>524510</xdr:rowOff>
    </xdr:to>
    <xdr:sp macro="[0]!kkkk">
      <xdr:nvSpPr>
        <xdr:cNvPr id="5" name="流程图: 终止 4"/>
        <xdr:cNvSpPr/>
      </xdr:nvSpPr>
      <xdr:spPr>
        <a:xfrm>
          <a:off x="1044956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参数设置</a:t>
          </a:r>
          <a:endParaRPr lang="zh-CN" altLang="en-US" sz="1100" b="1"/>
        </a:p>
      </xdr:txBody>
    </xdr:sp>
    <xdr:clientData/>
  </xdr:twoCellAnchor>
  <xdr:twoCellAnchor editAs="absolute">
    <xdr:from>
      <xdr:col>3</xdr:col>
      <xdr:colOff>55880</xdr:colOff>
      <xdr:row>0</xdr:row>
      <xdr:rowOff>162560</xdr:rowOff>
    </xdr:from>
    <xdr:to>
      <xdr:col>5</xdr:col>
      <xdr:colOff>379730</xdr:colOff>
      <xdr:row>0</xdr:row>
      <xdr:rowOff>524510</xdr:rowOff>
    </xdr:to>
    <xdr:sp macro="[0]!kkkk">
      <xdr:nvSpPr>
        <xdr:cNvPr id="6" name="流程图: 终止 5"/>
        <xdr:cNvSpPr/>
      </xdr:nvSpPr>
      <xdr:spPr>
        <a:xfrm>
          <a:off x="2284730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accent4"/>
              </a:solidFill>
            </a:rPr>
            <a:t>房源列表</a:t>
          </a:r>
          <a:endParaRPr lang="zh-CN" altLang="en-US" sz="1100" b="1">
            <a:solidFill>
              <a:schemeClr val="accent4"/>
            </a:solidFill>
          </a:endParaRPr>
        </a:p>
      </xdr:txBody>
    </xdr:sp>
    <xdr:clientData/>
  </xdr:twoCellAnchor>
  <xdr:twoCellAnchor editAs="absolute">
    <xdr:from>
      <xdr:col>10</xdr:col>
      <xdr:colOff>13970</xdr:colOff>
      <xdr:row>0</xdr:row>
      <xdr:rowOff>162560</xdr:rowOff>
    </xdr:from>
    <xdr:to>
      <xdr:col>10</xdr:col>
      <xdr:colOff>1042670</xdr:colOff>
      <xdr:row>0</xdr:row>
      <xdr:rowOff>524510</xdr:rowOff>
    </xdr:to>
    <xdr:sp macro="[0]!kkkk">
      <xdr:nvSpPr>
        <xdr:cNvPr id="7" name="流程图: 终止 6"/>
        <xdr:cNvSpPr/>
      </xdr:nvSpPr>
      <xdr:spPr>
        <a:xfrm>
          <a:off x="636714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/>
            <a:t>客户管理</a:t>
          </a:r>
          <a:endParaRPr lang="zh-CN" altLang="en-US" sz="1100" b="1"/>
        </a:p>
      </xdr:txBody>
    </xdr:sp>
    <xdr:clientData/>
  </xdr:twoCellAnchor>
  <xdr:twoCellAnchor editAs="absolute">
    <xdr:from>
      <xdr:col>5</xdr:col>
      <xdr:colOff>711835</xdr:colOff>
      <xdr:row>0</xdr:row>
      <xdr:rowOff>171450</xdr:rowOff>
    </xdr:from>
    <xdr:to>
      <xdr:col>6</xdr:col>
      <xdr:colOff>978535</xdr:colOff>
      <xdr:row>0</xdr:row>
      <xdr:rowOff>533400</xdr:rowOff>
    </xdr:to>
    <xdr:sp macro="[0]!kkkk">
      <xdr:nvSpPr>
        <xdr:cNvPr id="8" name="流程图: 终止 7"/>
        <xdr:cNvSpPr/>
      </xdr:nvSpPr>
      <xdr:spPr>
        <a:xfrm>
          <a:off x="3645535" y="17145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添加房源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647700</xdr:colOff>
      <xdr:row>0</xdr:row>
      <xdr:rowOff>162560</xdr:rowOff>
    </xdr:from>
    <xdr:to>
      <xdr:col>2</xdr:col>
      <xdr:colOff>914400</xdr:colOff>
      <xdr:row>0</xdr:row>
      <xdr:rowOff>524510</xdr:rowOff>
    </xdr:to>
    <xdr:sp macro="[0]!kkkk">
      <xdr:nvSpPr>
        <xdr:cNvPr id="9" name="流程图: 终止 8"/>
        <xdr:cNvSpPr/>
      </xdr:nvSpPr>
      <xdr:spPr>
        <a:xfrm>
          <a:off x="923925" y="162560"/>
          <a:ext cx="1028700" cy="361950"/>
        </a:xfrm>
        <a:prstGeom prst="flowChartTerminator">
          <a:avLst/>
        </a:prstGeom>
        <a:solidFill>
          <a:schemeClr val="tx1">
            <a:alpha val="20000"/>
          </a:schemeClr>
        </a:solidFill>
        <a:ln>
          <a:gradFill>
            <a:gsLst>
              <a:gs pos="3896">
                <a:srgbClr val="F2E6CD"/>
              </a:gs>
              <a:gs pos="97000">
                <a:srgbClr val="E3B84B"/>
              </a:gs>
            </a:gsLst>
            <a:lin ang="5400000" scaled="1"/>
          </a:gradFill>
        </a:ln>
        <a:effectLst>
          <a:outerShdw blurRad="25400" dist="25400" dir="5400000" algn="t" rotWithShape="0">
            <a:prstClr val="black">
              <a:alpha val="10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 b="1">
              <a:solidFill>
                <a:schemeClr val="bg1"/>
              </a:solidFill>
            </a:rPr>
            <a:t>分析看板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自定义 3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7DB964"/>
    </a:accent1>
    <a:accent2>
      <a:srgbClr val="36A29B"/>
    </a:accent2>
    <a:accent3>
      <a:srgbClr val="E9B229"/>
    </a:accent3>
    <a:accent4>
      <a:srgbClr val="E16247"/>
    </a:accent4>
    <a:accent5>
      <a:srgbClr val="9076B9"/>
    </a:accent5>
    <a:accent6>
      <a:srgbClr val="D9D9D9"/>
    </a:accent6>
    <a:hlink>
      <a:srgbClr val="0563C1"/>
    </a:hlink>
    <a:folHlink>
      <a:srgbClr val="954F72"/>
    </a:folHlink>
  </a:clrScheme>
  <a:fontScheme name="自定义 1">
    <a:majorFont>
      <a:latin typeface="Arial Black"/>
      <a:ea typeface="微软雅黑"/>
      <a:cs typeface=""/>
    </a:majorFont>
    <a:minorFont>
      <a:latin typeface="Arial"/>
      <a:ea typeface="微软雅黑 Light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AA29"/>
  <sheetViews>
    <sheetView workbookViewId="0">
      <selection activeCell="Y22" sqref="Y22"/>
    </sheetView>
  </sheetViews>
  <sheetFormatPr defaultColWidth="9" defaultRowHeight="13.5"/>
  <cols>
    <col min="1" max="1" width="3.625" style="2" customWidth="1"/>
    <col min="2" max="2" width="2.625" style="2" customWidth="1"/>
    <col min="3" max="3" width="30.625" style="2" customWidth="1"/>
    <col min="4" max="4" width="10.625" style="2" customWidth="1"/>
    <col min="5" max="5" width="3.625" style="2" customWidth="1"/>
    <col min="6" max="6" width="30.625" style="2" customWidth="1"/>
    <col min="7" max="7" width="10.625" style="2" customWidth="1"/>
    <col min="8" max="8" width="3.625" style="2" customWidth="1"/>
    <col min="9" max="9" width="2.625" style="2" customWidth="1"/>
    <col min="10" max="10" width="13.125" style="2" customWidth="1"/>
    <col min="11" max="11" width="4.625" style="2" customWidth="1"/>
    <col min="12" max="12" width="3.625" style="2" customWidth="1"/>
    <col min="13" max="13" width="2.625" style="2" customWidth="1"/>
    <col min="14" max="14" width="14.625" style="2" customWidth="1"/>
    <col min="15" max="15" width="3.625" style="2" customWidth="1"/>
    <col min="16" max="16" width="30.625" style="2" customWidth="1"/>
    <col min="17" max="17" width="10.625" style="2" customWidth="1"/>
    <col min="18" max="18" width="2.625" style="2" customWidth="1"/>
    <col min="19" max="19" width="3.625" style="2" customWidth="1"/>
    <col min="20" max="20" width="9" style="2"/>
    <col min="21" max="21" width="17.75" style="2" customWidth="1"/>
    <col min="22" max="22" width="12.375" style="2"/>
    <col min="23" max="23" width="9" style="2"/>
    <col min="24" max="24" width="21.125" style="2" customWidth="1"/>
    <col min="25" max="26" width="9" style="2"/>
    <col min="27" max="27" width="14.125" style="2"/>
    <col min="28" max="16384" width="9" style="2"/>
  </cols>
  <sheetData>
    <row r="1" s="1" customFormat="1" ht="57" customHeight="1"/>
    <row r="2" ht="12.95" customHeight="1"/>
    <row r="3" ht="39.95" customHeight="1" spans="2:18">
      <c r="B3" s="36"/>
      <c r="C3" s="26" t="s">
        <v>0</v>
      </c>
      <c r="D3" s="26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70"/>
    </row>
    <row r="4" ht="14.1" customHeight="1" spans="2:18">
      <c r="B4" s="122"/>
      <c r="C4" s="123"/>
      <c r="D4" s="123"/>
      <c r="E4" s="122"/>
      <c r="F4" s="124"/>
      <c r="G4" s="124"/>
      <c r="H4" s="122"/>
      <c r="I4" s="154"/>
      <c r="J4" s="154"/>
      <c r="K4" s="154"/>
      <c r="L4" s="154"/>
      <c r="M4" s="154"/>
      <c r="N4" s="154"/>
      <c r="O4" s="122"/>
      <c r="P4" s="155"/>
      <c r="Q4" s="155"/>
      <c r="R4" s="149"/>
    </row>
    <row r="5" ht="24.95" customHeight="1" spans="2:22">
      <c r="B5" s="125"/>
      <c r="C5" s="126" t="s">
        <v>1</v>
      </c>
      <c r="D5" s="126"/>
      <c r="E5" s="127"/>
      <c r="F5" s="128" t="s">
        <v>2</v>
      </c>
      <c r="G5" s="128"/>
      <c r="H5" s="129"/>
      <c r="I5" s="156" t="s">
        <v>3</v>
      </c>
      <c r="J5" s="156"/>
      <c r="K5" s="156"/>
      <c r="L5" s="156"/>
      <c r="M5" s="156"/>
      <c r="N5" s="156"/>
      <c r="O5" s="129"/>
      <c r="P5" s="157" t="s">
        <v>4</v>
      </c>
      <c r="Q5" s="157"/>
      <c r="R5" s="149"/>
      <c r="V5" s="171"/>
    </row>
    <row r="6" ht="48" customHeight="1" spans="2:18">
      <c r="B6" s="125"/>
      <c r="C6" s="130">
        <f>COUNTA(房源明细!D:D)-1</f>
        <v>67</v>
      </c>
      <c r="D6" s="130"/>
      <c r="E6" s="131"/>
      <c r="F6" s="132">
        <f ca="1">SUMIFS(交易流水!I:I,交易流水!C:C,"&gt;"&amp;EOMONTH(TODAY(),-1),交易流水!C:C,"&lt;="&amp;EOMONTH(TODAY(),0))</f>
        <v>0</v>
      </c>
      <c r="G6" s="132"/>
      <c r="H6" s="131"/>
      <c r="I6" s="158">
        <f ca="1">COUNTIFS(交易流水!C:C,"&gt;"&amp;EOMONTH(TODAY(),-1),交易流水!C:C,"&lt;="&amp;EOMONTH(TODAY(),0))</f>
        <v>0</v>
      </c>
      <c r="J6" s="158"/>
      <c r="K6" s="158"/>
      <c r="L6" s="158"/>
      <c r="M6" s="158"/>
      <c r="N6" s="158"/>
      <c r="O6" s="131"/>
      <c r="P6" s="159">
        <f>COUNTA(客户管理!D:D)-1</f>
        <v>35</v>
      </c>
      <c r="Q6" s="159"/>
      <c r="R6" s="149"/>
    </row>
    <row r="7" ht="20.1" customHeight="1" spans="2:18">
      <c r="B7" s="133"/>
      <c r="C7" s="134"/>
      <c r="D7" s="134"/>
      <c r="E7" s="135"/>
      <c r="F7" s="136"/>
      <c r="G7" s="136"/>
      <c r="H7" s="133"/>
      <c r="I7" s="160"/>
      <c r="J7" s="160"/>
      <c r="K7" s="160"/>
      <c r="L7" s="160"/>
      <c r="M7" s="160"/>
      <c r="N7" s="160"/>
      <c r="O7" s="133"/>
      <c r="P7" s="161"/>
      <c r="Q7" s="161"/>
      <c r="R7" s="172"/>
    </row>
    <row r="8" ht="20.1" customHeight="1" spans="2:18">
      <c r="B8" s="137"/>
      <c r="C8" s="137"/>
      <c r="D8" s="137"/>
      <c r="E8" s="138"/>
      <c r="F8" s="137"/>
      <c r="G8" s="137"/>
      <c r="H8" s="137"/>
      <c r="I8" s="137"/>
      <c r="J8" s="137"/>
      <c r="K8" s="137"/>
      <c r="L8" s="137"/>
      <c r="M8" s="138"/>
      <c r="N8" s="138"/>
      <c r="O8" s="137"/>
      <c r="P8" s="137"/>
      <c r="Q8" s="137"/>
      <c r="R8" s="173"/>
    </row>
    <row r="10" s="121" customFormat="1" ht="27" customHeight="1" spans="2:18">
      <c r="B10" s="139"/>
      <c r="C10" s="139" t="s">
        <v>5</v>
      </c>
      <c r="D10" s="139"/>
      <c r="E10" s="140"/>
      <c r="F10" s="141">
        <v>0</v>
      </c>
      <c r="G10" s="141"/>
      <c r="H10" s="141"/>
      <c r="I10" s="141"/>
      <c r="J10" s="141"/>
      <c r="K10" s="146"/>
      <c r="L10" s="2"/>
      <c r="M10" s="162"/>
      <c r="N10" s="162" t="s">
        <v>6</v>
      </c>
      <c r="O10" s="141"/>
      <c r="P10" s="163"/>
      <c r="Q10" s="141"/>
      <c r="R10" s="174"/>
    </row>
    <row r="11" ht="17.1" customHeight="1" spans="2:18">
      <c r="B11" s="133"/>
      <c r="C11" s="142" t="str">
        <f ca="1">TEXT(看板数据!I17,"mm月dd日")&amp;"成交金额最高 "&amp;看板数据!J17&amp;"元"</f>
        <v>05月11日成交金额最高 0元</v>
      </c>
      <c r="D11" s="133"/>
      <c r="E11" s="135"/>
      <c r="F11" s="133"/>
      <c r="G11" s="133"/>
      <c r="H11" s="133"/>
      <c r="I11" s="133"/>
      <c r="J11" s="133"/>
      <c r="K11" s="148"/>
      <c r="L11" s="144"/>
      <c r="M11" s="164"/>
      <c r="N11" s="164" t="str">
        <f>看板数据!D6</f>
        <v>即将到期数量：0</v>
      </c>
      <c r="O11" s="133"/>
      <c r="P11" s="133"/>
      <c r="Q11" s="133"/>
      <c r="R11" s="172"/>
    </row>
    <row r="12" ht="24" customHeight="1" spans="2:18">
      <c r="B12" s="133"/>
      <c r="C12" s="133"/>
      <c r="D12" s="133"/>
      <c r="E12" s="135"/>
      <c r="F12" s="133"/>
      <c r="G12" s="133"/>
      <c r="H12" s="133"/>
      <c r="I12" s="133"/>
      <c r="J12" s="133"/>
      <c r="K12" s="148"/>
      <c r="L12" s="144"/>
      <c r="M12" s="135"/>
      <c r="N12" s="135"/>
      <c r="O12" s="133"/>
      <c r="P12" s="133"/>
      <c r="Q12" s="133"/>
      <c r="R12" s="172"/>
    </row>
    <row r="13" ht="24" customHeight="1" spans="2:18">
      <c r="B13" s="143"/>
      <c r="C13" s="143"/>
      <c r="D13" s="133"/>
      <c r="E13" s="135"/>
      <c r="F13" s="143"/>
      <c r="G13" s="143"/>
      <c r="H13" s="143"/>
      <c r="I13" s="133"/>
      <c r="J13" s="133"/>
      <c r="K13" s="148"/>
      <c r="L13" s="144"/>
      <c r="M13" s="135"/>
      <c r="N13" s="135"/>
      <c r="O13" s="143"/>
      <c r="P13" s="165"/>
      <c r="Q13" s="165"/>
      <c r="R13" s="172"/>
    </row>
    <row r="14" ht="24" customHeight="1" spans="2:21">
      <c r="B14" s="122"/>
      <c r="C14" s="122"/>
      <c r="D14" s="122"/>
      <c r="E14" s="122"/>
      <c r="F14" s="122"/>
      <c r="G14" s="122"/>
      <c r="H14" s="122"/>
      <c r="I14" s="122"/>
      <c r="J14" s="122"/>
      <c r="K14" s="149"/>
      <c r="L14" s="150"/>
      <c r="M14" s="122"/>
      <c r="N14" s="122"/>
      <c r="O14" s="122"/>
      <c r="P14" s="166"/>
      <c r="Q14" s="165"/>
      <c r="R14" s="149"/>
      <c r="U14" s="175"/>
    </row>
    <row r="15" ht="24" customHeight="1" spans="2:21">
      <c r="B15" s="122"/>
      <c r="C15" s="122"/>
      <c r="D15" s="122"/>
      <c r="E15" s="122"/>
      <c r="F15" s="122"/>
      <c r="G15" s="122"/>
      <c r="H15" s="122"/>
      <c r="I15" s="122"/>
      <c r="J15" s="122"/>
      <c r="K15" s="149"/>
      <c r="L15" s="150"/>
      <c r="M15" s="122"/>
      <c r="N15" s="122"/>
      <c r="O15" s="122"/>
      <c r="P15" s="167" t="s">
        <v>7</v>
      </c>
      <c r="Q15" s="167"/>
      <c r="R15" s="149"/>
      <c r="U15" s="175"/>
    </row>
    <row r="16" ht="24" customHeight="1" spans="2:21">
      <c r="B16" s="52"/>
      <c r="C16" s="122"/>
      <c r="D16" s="122"/>
      <c r="E16" s="122"/>
      <c r="F16" s="122"/>
      <c r="G16" s="122"/>
      <c r="H16" s="122"/>
      <c r="I16" s="122"/>
      <c r="J16" s="122"/>
      <c r="K16" s="149"/>
      <c r="L16" s="150"/>
      <c r="M16" s="122"/>
      <c r="N16" s="122"/>
      <c r="O16" s="122"/>
      <c r="P16" s="168">
        <f>看板数据!E8</f>
        <v>0</v>
      </c>
      <c r="Q16" s="168"/>
      <c r="R16" s="149"/>
      <c r="U16" s="175"/>
    </row>
    <row r="17" ht="24" customHeight="1" spans="2:21">
      <c r="B17" s="122"/>
      <c r="C17" s="122"/>
      <c r="D17" s="122"/>
      <c r="E17" s="122"/>
      <c r="F17" s="122"/>
      <c r="G17" s="122"/>
      <c r="H17" s="122"/>
      <c r="I17" s="122"/>
      <c r="J17" s="122"/>
      <c r="K17" s="149"/>
      <c r="L17" s="150"/>
      <c r="M17" s="122"/>
      <c r="N17" s="122"/>
      <c r="O17" s="122"/>
      <c r="P17" s="166"/>
      <c r="Q17" s="165"/>
      <c r="R17" s="149"/>
      <c r="U17" s="175"/>
    </row>
    <row r="18" ht="24" customHeight="1" spans="2:21">
      <c r="B18" s="125"/>
      <c r="C18" s="125"/>
      <c r="D18" s="125"/>
      <c r="E18" s="122"/>
      <c r="F18" s="125"/>
      <c r="G18" s="125"/>
      <c r="H18" s="125"/>
      <c r="I18" s="125"/>
      <c r="J18" s="125"/>
      <c r="K18" s="151"/>
      <c r="L18" s="152"/>
      <c r="M18" s="122"/>
      <c r="N18" s="122"/>
      <c r="O18" s="125"/>
      <c r="P18" s="125"/>
      <c r="Q18" s="125"/>
      <c r="R18" s="149"/>
      <c r="U18" s="175"/>
    </row>
    <row r="19" ht="24" customHeight="1" spans="2:21">
      <c r="B19" s="125"/>
      <c r="C19" s="125"/>
      <c r="D19" s="125"/>
      <c r="E19" s="122"/>
      <c r="F19" s="125"/>
      <c r="G19" s="125"/>
      <c r="H19" s="125"/>
      <c r="I19" s="125"/>
      <c r="J19" s="125"/>
      <c r="K19" s="151"/>
      <c r="L19" s="152"/>
      <c r="M19" s="122"/>
      <c r="N19" s="122"/>
      <c r="O19" s="125"/>
      <c r="P19" s="125"/>
      <c r="Q19" s="125"/>
      <c r="R19" s="149"/>
      <c r="U19" s="175"/>
    </row>
    <row r="20" ht="24" customHeight="1" spans="2:21">
      <c r="B20" s="137"/>
      <c r="C20" s="137"/>
      <c r="D20" s="137"/>
      <c r="E20" s="138"/>
      <c r="F20" s="137"/>
      <c r="G20" s="137"/>
      <c r="H20" s="137"/>
      <c r="I20" s="137"/>
      <c r="J20" s="137"/>
      <c r="K20" s="153"/>
      <c r="L20" s="144"/>
      <c r="M20" s="138"/>
      <c r="N20" s="138"/>
      <c r="O20" s="137"/>
      <c r="P20" s="137"/>
      <c r="Q20" s="137"/>
      <c r="R20" s="173"/>
      <c r="U20" s="175"/>
    </row>
    <row r="21" ht="20.1" customHeight="1" spans="2:21">
      <c r="B21" s="144"/>
      <c r="C21" s="144"/>
      <c r="D21" s="144"/>
      <c r="E21" s="145"/>
      <c r="F21" s="144"/>
      <c r="G21" s="144"/>
      <c r="H21" s="144"/>
      <c r="I21" s="144"/>
      <c r="J21" s="144"/>
      <c r="K21" s="144"/>
      <c r="L21" s="144"/>
      <c r="M21" s="145"/>
      <c r="N21" s="145"/>
      <c r="O21" s="144"/>
      <c r="P21" s="144"/>
      <c r="Q21" s="144"/>
      <c r="R21" s="145"/>
      <c r="U21" s="175"/>
    </row>
    <row r="22" s="121" customFormat="1" ht="27" customHeight="1" spans="2:23">
      <c r="B22" s="139"/>
      <c r="C22" s="139" t="s">
        <v>8</v>
      </c>
      <c r="D22" s="139"/>
      <c r="E22" s="140"/>
      <c r="F22" s="141"/>
      <c r="G22" s="146"/>
      <c r="H22" s="147"/>
      <c r="I22" s="141"/>
      <c r="J22" s="139" t="s">
        <v>9</v>
      </c>
      <c r="K22" s="141"/>
      <c r="L22" s="133"/>
      <c r="M22" s="135"/>
      <c r="N22" s="140"/>
      <c r="O22" s="141"/>
      <c r="P22" s="163"/>
      <c r="Q22" s="141"/>
      <c r="R22" s="174"/>
      <c r="U22" s="175"/>
      <c r="V22" s="2"/>
      <c r="W22" s="2"/>
    </row>
    <row r="23" ht="17.1" customHeight="1" spans="2:27">
      <c r="B23" s="133"/>
      <c r="C23" s="142" t="s">
        <v>10</v>
      </c>
      <c r="D23" s="133"/>
      <c r="E23" s="135"/>
      <c r="F23" s="133"/>
      <c r="G23" s="148"/>
      <c r="H23" s="144"/>
      <c r="I23" s="133"/>
      <c r="J23" s="142" t="str">
        <f>J24&amp;"房源最多 "&amp;看板数据!U5&amp;"套"</f>
        <v>小区名称G房源最多 15套</v>
      </c>
      <c r="K23" s="133"/>
      <c r="L23" s="133"/>
      <c r="M23" s="135"/>
      <c r="N23" s="135"/>
      <c r="O23" s="133"/>
      <c r="P23" s="133"/>
      <c r="Q23" s="133"/>
      <c r="R23" s="172"/>
      <c r="U23" s="175"/>
      <c r="Y23" s="121"/>
      <c r="Z23" s="121"/>
      <c r="AA23" s="121"/>
    </row>
    <row r="24" ht="39.95" customHeight="1" spans="2:27">
      <c r="B24" s="133"/>
      <c r="C24" s="133"/>
      <c r="D24" s="133"/>
      <c r="E24" s="135"/>
      <c r="F24" s="133"/>
      <c r="G24" s="148"/>
      <c r="H24" s="144"/>
      <c r="I24" s="133"/>
      <c r="J24" s="169" t="str">
        <f>看板数据!T5&amp;""</f>
        <v>小区名称G</v>
      </c>
      <c r="K24" s="133"/>
      <c r="L24" s="133"/>
      <c r="M24" s="135"/>
      <c r="N24" s="135"/>
      <c r="O24" s="133"/>
      <c r="P24" s="133"/>
      <c r="Q24" s="133"/>
      <c r="R24" s="172"/>
      <c r="U24" s="175"/>
      <c r="Y24" s="121"/>
      <c r="Z24" s="121"/>
      <c r="AA24" s="121"/>
    </row>
    <row r="25" ht="39.95" customHeight="1" spans="2:27">
      <c r="B25" s="143"/>
      <c r="C25" s="143"/>
      <c r="D25" s="133"/>
      <c r="E25" s="135"/>
      <c r="F25" s="143"/>
      <c r="G25" s="148"/>
      <c r="H25" s="144"/>
      <c r="I25" s="133"/>
      <c r="J25" s="169" t="str">
        <f>看板数据!T6&amp;""</f>
        <v>小区名称A</v>
      </c>
      <c r="K25" s="133"/>
      <c r="L25" s="133"/>
      <c r="M25" s="135"/>
      <c r="N25" s="135"/>
      <c r="O25" s="143"/>
      <c r="P25" s="143"/>
      <c r="Q25" s="133"/>
      <c r="R25" s="172"/>
      <c r="U25" s="175"/>
      <c r="Y25" s="121"/>
      <c r="Z25" s="121"/>
      <c r="AA25" s="121"/>
    </row>
    <row r="26" ht="39.95" customHeight="1" spans="2:27">
      <c r="B26" s="122"/>
      <c r="C26" s="122"/>
      <c r="D26" s="122"/>
      <c r="E26" s="122"/>
      <c r="F26" s="122"/>
      <c r="G26" s="149"/>
      <c r="H26" s="150"/>
      <c r="I26" s="122"/>
      <c r="J26" s="169" t="str">
        <f>看板数据!T7&amp;""</f>
        <v>小区名称E</v>
      </c>
      <c r="K26" s="122"/>
      <c r="L26" s="122"/>
      <c r="M26" s="122"/>
      <c r="N26" s="122"/>
      <c r="O26" s="122"/>
      <c r="P26" s="122"/>
      <c r="Q26" s="122"/>
      <c r="R26" s="149"/>
      <c r="Y26" s="121"/>
      <c r="Z26" s="121"/>
      <c r="AA26" s="121"/>
    </row>
    <row r="27" ht="39.95" customHeight="1" spans="2:18">
      <c r="B27" s="122"/>
      <c r="C27" s="122"/>
      <c r="D27" s="122"/>
      <c r="E27" s="122"/>
      <c r="F27" s="122"/>
      <c r="G27" s="149"/>
      <c r="H27" s="150"/>
      <c r="I27" s="122"/>
      <c r="J27" s="169" t="str">
        <f>看板数据!T8&amp;""</f>
        <v>小区名称F</v>
      </c>
      <c r="K27" s="122"/>
      <c r="L27" s="122"/>
      <c r="M27" s="122"/>
      <c r="N27" s="122"/>
      <c r="O27" s="122"/>
      <c r="P27" s="122"/>
      <c r="Q27" s="122"/>
      <c r="R27" s="149"/>
    </row>
    <row r="28" ht="39.95" customHeight="1" spans="2:18">
      <c r="B28" s="125"/>
      <c r="C28" s="125"/>
      <c r="D28" s="125"/>
      <c r="E28" s="122"/>
      <c r="F28" s="125"/>
      <c r="G28" s="151"/>
      <c r="H28" s="152"/>
      <c r="I28" s="125"/>
      <c r="J28" s="169" t="str">
        <f>看板数据!T9&amp;""</f>
        <v>小区名称C</v>
      </c>
      <c r="K28" s="125"/>
      <c r="L28" s="125"/>
      <c r="M28" s="122"/>
      <c r="N28" s="122"/>
      <c r="O28" s="125"/>
      <c r="P28" s="125"/>
      <c r="Q28" s="125"/>
      <c r="R28" s="149"/>
    </row>
    <row r="29" ht="24" customHeight="1" spans="2:18">
      <c r="B29" s="137"/>
      <c r="C29" s="137"/>
      <c r="D29" s="137"/>
      <c r="E29" s="138"/>
      <c r="F29" s="137"/>
      <c r="G29" s="153"/>
      <c r="H29" s="144"/>
      <c r="I29" s="137"/>
      <c r="J29" s="137"/>
      <c r="K29" s="137"/>
      <c r="L29" s="137"/>
      <c r="M29" s="138"/>
      <c r="N29" s="138"/>
      <c r="O29" s="137"/>
      <c r="P29" s="137"/>
      <c r="Q29" s="137"/>
      <c r="R29" s="173"/>
    </row>
  </sheetData>
  <mergeCells count="3">
    <mergeCell ref="I6:M6"/>
    <mergeCell ref="P15:Q15"/>
    <mergeCell ref="P16:Q16"/>
  </mergeCells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K104"/>
  <sheetViews>
    <sheetView tabSelected="1" workbookViewId="0">
      <pane ySplit="4" topLeftCell="A5" activePane="bottomLeft" state="frozen"/>
      <selection/>
      <selection pane="bottomLeft" activeCell="A4" sqref="A4"/>
    </sheetView>
  </sheetViews>
  <sheetFormatPr defaultColWidth="9" defaultRowHeight="22.5"/>
  <cols>
    <col min="1" max="1" width="3.625" style="3" customWidth="1"/>
    <col min="2" max="2" width="10" style="2" customWidth="1"/>
    <col min="3" max="3" width="15.625" style="2" customWidth="1"/>
    <col min="4" max="4" width="5.625" style="2" customWidth="1"/>
    <col min="5" max="5" width="3.625" style="2" customWidth="1"/>
    <col min="6" max="6" width="10" style="2" customWidth="1"/>
    <col min="7" max="7" width="15.625" style="2" customWidth="1"/>
    <col min="8" max="8" width="5.625" style="2" customWidth="1"/>
    <col min="9" max="9" width="3.625" style="2" customWidth="1"/>
    <col min="10" max="10" width="10" style="2" customWidth="1"/>
    <col min="11" max="11" width="15.625" style="2" customWidth="1"/>
    <col min="12" max="12" width="5.625" style="2" customWidth="1"/>
    <col min="13" max="13" width="3.625" style="2" customWidth="1"/>
    <col min="14" max="14" width="10" style="2" customWidth="1"/>
    <col min="15" max="15" width="15.625" style="2" customWidth="1"/>
    <col min="16" max="16" width="5.625" style="2" customWidth="1"/>
    <col min="17" max="17" width="3.625" style="2" customWidth="1"/>
    <col min="18" max="18" width="10" style="2" customWidth="1"/>
    <col min="19" max="19" width="15.625" style="2" customWidth="1"/>
    <col min="20" max="20" width="5.625" style="2" customWidth="1"/>
    <col min="21" max="21" width="3.625" style="2" customWidth="1"/>
    <col min="22" max="22" width="10" style="2" customWidth="1"/>
    <col min="23" max="23" width="15.625" style="2" customWidth="1"/>
    <col min="24" max="24" width="5.625" style="2" customWidth="1"/>
    <col min="25" max="25" width="3.625" style="2" customWidth="1"/>
    <col min="26" max="26" width="10" style="2" customWidth="1"/>
    <col min="27" max="27" width="15.625" style="2" customWidth="1"/>
    <col min="28" max="28" width="5.625" style="2" customWidth="1"/>
    <col min="29" max="29" width="3.625" style="2" customWidth="1"/>
    <col min="30" max="30" width="10" style="2" customWidth="1"/>
    <col min="31" max="31" width="15.625" style="2" customWidth="1"/>
    <col min="32" max="32" width="5.625" style="2" customWidth="1"/>
    <col min="33" max="33" width="3.625" style="2" customWidth="1"/>
    <col min="34" max="34" width="10" style="2" customWidth="1"/>
    <col min="35" max="35" width="15.625" style="2" customWidth="1"/>
    <col min="36" max="36" width="5.625" style="2" customWidth="1"/>
    <col min="37" max="37" width="3.625" style="2" customWidth="1"/>
    <col min="38" max="38" width="10" style="2" customWidth="1"/>
    <col min="39" max="39" width="15.625" style="2" customWidth="1"/>
    <col min="40" max="40" width="5.625" style="2" customWidth="1"/>
    <col min="41" max="41" width="3.625" style="2" customWidth="1"/>
    <col min="42" max="42" width="10" style="2" customWidth="1"/>
    <col min="43" max="43" width="15.625" style="2" customWidth="1"/>
    <col min="44" max="44" width="5.625" style="2" customWidth="1"/>
    <col min="45" max="45" width="3.625" style="2" customWidth="1"/>
    <col min="46" max="46" width="10" style="2" customWidth="1"/>
    <col min="47" max="47" width="15.625" style="2" customWidth="1"/>
    <col min="48" max="48" width="5.625" style="2" customWidth="1"/>
    <col min="49" max="49" width="3.625" style="2" customWidth="1"/>
    <col min="50" max="50" width="10" style="2" customWidth="1"/>
    <col min="51" max="51" width="15.625" style="2" customWidth="1"/>
    <col min="52" max="52" width="5.625" style="2" customWidth="1"/>
    <col min="53" max="53" width="3.625" style="2" customWidth="1"/>
    <col min="54" max="54" width="10" style="2" customWidth="1"/>
    <col min="55" max="55" width="15.625" style="2" customWidth="1"/>
    <col min="56" max="56" width="5.625" style="2" customWidth="1"/>
    <col min="57" max="57" width="3.625" style="2" customWidth="1"/>
    <col min="58" max="58" width="10" style="2" customWidth="1"/>
    <col min="59" max="59" width="15.625" style="2" customWidth="1"/>
    <col min="60" max="60" width="5.625" style="2" customWidth="1"/>
    <col min="61" max="61" width="3.625" style="2" customWidth="1"/>
    <col min="62" max="62" width="10" style="2" customWidth="1"/>
    <col min="63" max="63" width="15.625" style="2" customWidth="1"/>
    <col min="64" max="64" width="5.625" style="2" customWidth="1"/>
    <col min="65" max="65" width="3.625" style="2" customWidth="1"/>
    <col min="66" max="66" width="10" style="2" customWidth="1"/>
    <col min="67" max="67" width="15.625" style="2" customWidth="1"/>
    <col min="68" max="68" width="5.625" style="2" customWidth="1"/>
    <col min="69" max="69" width="3.625" style="2" customWidth="1"/>
    <col min="70" max="70" width="10" style="2" customWidth="1"/>
    <col min="71" max="71" width="15.625" style="2" customWidth="1"/>
    <col min="72" max="72" width="5.625" style="2" customWidth="1"/>
    <col min="73" max="73" width="3.625" style="2" customWidth="1"/>
    <col min="74" max="74" width="10" style="2" customWidth="1"/>
    <col min="75" max="75" width="15.625" style="2" customWidth="1"/>
    <col min="76" max="76" width="5.625" style="2" customWidth="1"/>
    <col min="77" max="77" width="3.625" style="2" customWidth="1"/>
    <col min="78" max="78" width="10" style="2" customWidth="1"/>
    <col min="79" max="79" width="15.625" style="2" customWidth="1"/>
    <col min="80" max="80" width="5.625" style="2" customWidth="1"/>
    <col min="81" max="81" width="3.625" style="2" customWidth="1"/>
    <col min="82" max="82" width="10" style="2" customWidth="1"/>
    <col min="83" max="83" width="15.625" style="2" customWidth="1"/>
    <col min="84" max="84" width="5.625" style="2" customWidth="1"/>
    <col min="85" max="85" width="3.625" style="2" customWidth="1"/>
    <col min="86" max="86" width="10" style="2" customWidth="1"/>
    <col min="87" max="87" width="15.625" style="2" customWidth="1"/>
    <col min="88" max="88" width="5.625" style="2" customWidth="1"/>
    <col min="89" max="89" width="3.625" style="2" customWidth="1"/>
    <col min="90" max="90" width="10" style="2" customWidth="1"/>
    <col min="91" max="91" width="15.625" style="2" customWidth="1"/>
    <col min="92" max="92" width="5.625" style="2" customWidth="1"/>
    <col min="93" max="93" width="3.625" style="2" customWidth="1"/>
    <col min="94" max="94" width="10" style="2" customWidth="1"/>
    <col min="95" max="95" width="15.625" style="2" customWidth="1"/>
    <col min="96" max="96" width="5.625" style="2" customWidth="1"/>
    <col min="97" max="97" width="3.625" style="2" customWidth="1"/>
    <col min="98" max="98" width="10" style="2" customWidth="1"/>
    <col min="99" max="99" width="15.625" style="2" customWidth="1"/>
    <col min="100" max="100" width="5.625" style="2" customWidth="1"/>
    <col min="101" max="101" width="3.625" style="2" customWidth="1"/>
    <col min="102" max="102" width="10" style="2" customWidth="1"/>
    <col min="103" max="103" width="15.625" style="2" customWidth="1"/>
    <col min="104" max="104" width="5.625" style="2" customWidth="1"/>
    <col min="105" max="105" width="3.625" style="2" customWidth="1"/>
    <col min="106" max="106" width="10" style="2" customWidth="1"/>
    <col min="107" max="107" width="15.625" style="2" customWidth="1"/>
    <col min="108" max="108" width="5.625" style="2" customWidth="1"/>
    <col min="109" max="109" width="3.625" style="2" customWidth="1"/>
    <col min="110" max="110" width="10" style="2" customWidth="1"/>
    <col min="111" max="111" width="15.625" style="2" customWidth="1"/>
    <col min="112" max="112" width="5.625" style="2" customWidth="1"/>
    <col min="113" max="113" width="3.625" style="2" customWidth="1"/>
    <col min="114" max="114" width="10" style="2" customWidth="1"/>
    <col min="115" max="115" width="15.625" style="2" customWidth="1"/>
    <col min="116" max="116" width="5.625" style="2" customWidth="1"/>
    <col min="117" max="117" width="3.625" style="2" customWidth="1"/>
    <col min="118" max="118" width="10" style="2" customWidth="1"/>
    <col min="119" max="119" width="15.625" style="2" customWidth="1"/>
    <col min="120" max="120" width="5.625" style="2" customWidth="1"/>
    <col min="121" max="121" width="3.625" style="2" customWidth="1"/>
    <col min="122" max="122" width="10" style="2" customWidth="1"/>
    <col min="123" max="123" width="15.625" style="2" customWidth="1"/>
    <col min="124" max="124" width="5.625" style="2" customWidth="1"/>
    <col min="125" max="125" width="3.625" style="2" customWidth="1"/>
    <col min="126" max="126" width="10" style="2" customWidth="1"/>
    <col min="127" max="127" width="15.625" style="2" customWidth="1"/>
    <col min="128" max="128" width="5.625" style="2" customWidth="1"/>
    <col min="129" max="129" width="3.625" style="2" customWidth="1"/>
    <col min="130" max="130" width="10" style="2" customWidth="1"/>
    <col min="131" max="131" width="15.625" style="2" customWidth="1"/>
    <col min="132" max="132" width="5.625" style="2" customWidth="1"/>
    <col min="133" max="133" width="3.625" style="2" customWidth="1"/>
    <col min="134" max="134" width="10" style="2" customWidth="1"/>
    <col min="135" max="135" width="15.625" style="2" customWidth="1"/>
    <col min="136" max="136" width="5.625" style="2" customWidth="1"/>
    <col min="137" max="137" width="3.625" style="2" customWidth="1"/>
    <col min="138" max="138" width="10" style="2" customWidth="1"/>
    <col min="139" max="139" width="15.625" style="2" customWidth="1"/>
    <col min="140" max="140" width="5.625" style="2" customWidth="1"/>
    <col min="141" max="141" width="3.625" style="2" customWidth="1"/>
    <col min="142" max="142" width="10" style="2" customWidth="1"/>
    <col min="143" max="143" width="15.625" style="2" customWidth="1"/>
    <col min="144" max="144" width="5.625" style="2" customWidth="1"/>
    <col min="145" max="145" width="3.625" style="2" customWidth="1"/>
    <col min="146" max="146" width="10" style="2" customWidth="1"/>
    <col min="147" max="147" width="15.625" style="2" customWidth="1"/>
    <col min="148" max="148" width="5.625" style="2" customWidth="1"/>
    <col min="149" max="149" width="3.625" style="2" customWidth="1"/>
    <col min="150" max="150" width="10" style="2" customWidth="1"/>
    <col min="151" max="151" width="15.625" style="2" customWidth="1"/>
    <col min="152" max="152" width="5.625" style="2" customWidth="1"/>
    <col min="153" max="153" width="3.625" style="2" customWidth="1"/>
    <col min="154" max="154" width="10" style="2" customWidth="1"/>
    <col min="155" max="155" width="15.625" style="2" customWidth="1"/>
    <col min="156" max="156" width="5.625" style="2" customWidth="1"/>
    <col min="157" max="157" width="3.625" style="2" customWidth="1"/>
    <col min="158" max="158" width="10" style="2" customWidth="1"/>
    <col min="159" max="159" width="15.625" style="2" customWidth="1"/>
    <col min="160" max="160" width="5.625" style="2" customWidth="1"/>
    <col min="161" max="161" width="3.625" style="2" customWidth="1"/>
    <col min="162" max="162" width="10" style="2" customWidth="1"/>
    <col min="163" max="163" width="15.625" style="2" customWidth="1"/>
    <col min="164" max="164" width="5.625" style="2" customWidth="1"/>
    <col min="165" max="165" width="3.625" style="2" customWidth="1"/>
    <col min="166" max="166" width="10" style="2" customWidth="1"/>
    <col min="167" max="167" width="15.625" style="2" customWidth="1"/>
    <col min="168" max="168" width="5.625" style="2" customWidth="1"/>
    <col min="169" max="169" width="3.625" style="2" customWidth="1"/>
    <col min="170" max="170" width="10" style="2" customWidth="1"/>
    <col min="171" max="171" width="15.625" style="2" customWidth="1"/>
    <col min="172" max="172" width="5.625" style="2" customWidth="1"/>
    <col min="173" max="173" width="3.625" style="2" customWidth="1"/>
    <col min="174" max="174" width="10" style="2" customWidth="1"/>
    <col min="175" max="175" width="15.625" style="2" customWidth="1"/>
    <col min="176" max="176" width="5.625" style="2" customWidth="1"/>
    <col min="177" max="177" width="3.625" style="2" customWidth="1"/>
    <col min="178" max="178" width="10" style="2" customWidth="1"/>
    <col min="179" max="179" width="15.625" style="2" customWidth="1"/>
    <col min="180" max="180" width="5.625" style="2" customWidth="1"/>
    <col min="181" max="181" width="3.625" style="2" customWidth="1"/>
    <col min="182" max="182" width="10" style="2" customWidth="1"/>
    <col min="183" max="183" width="15.625" style="2" customWidth="1"/>
    <col min="184" max="184" width="5.625" style="2" customWidth="1"/>
    <col min="185" max="185" width="3.625" style="2" customWidth="1"/>
    <col min="186" max="186" width="10" style="2" customWidth="1"/>
    <col min="187" max="187" width="15.625" style="2" customWidth="1"/>
    <col min="188" max="188" width="5.625" style="2" customWidth="1"/>
    <col min="189" max="189" width="3.625" style="2" customWidth="1"/>
    <col min="190" max="190" width="10" style="2" customWidth="1"/>
    <col min="191" max="191" width="15.625" style="2" customWidth="1"/>
    <col min="192" max="192" width="5.625" style="2" customWidth="1"/>
    <col min="193" max="193" width="3.625" style="2" customWidth="1"/>
    <col min="194" max="194" width="10" style="2" customWidth="1"/>
    <col min="195" max="195" width="15.625" style="2" customWidth="1"/>
    <col min="196" max="196" width="5.625" style="2" customWidth="1"/>
    <col min="197" max="197" width="3.625" style="2" customWidth="1"/>
    <col min="198" max="198" width="10" style="2" customWidth="1"/>
    <col min="199" max="199" width="15.625" style="2" customWidth="1"/>
    <col min="200" max="200" width="5.625" style="2" customWidth="1"/>
    <col min="201" max="201" width="3.625" style="2" customWidth="1"/>
    <col min="202" max="202" width="10" style="2" customWidth="1"/>
    <col min="203" max="203" width="15.625" style="2" customWidth="1"/>
    <col min="204" max="204" width="5.625" style="2" customWidth="1"/>
    <col min="205" max="205" width="3.625" style="2" customWidth="1"/>
    <col min="206" max="206" width="10" style="2" customWidth="1"/>
    <col min="207" max="207" width="15.625" style="2" customWidth="1"/>
    <col min="208" max="208" width="5.625" style="2" customWidth="1"/>
    <col min="209" max="209" width="3.625" style="2" customWidth="1"/>
    <col min="210" max="210" width="10" style="2" customWidth="1"/>
    <col min="211" max="211" width="15.625" style="2" customWidth="1"/>
    <col min="212" max="212" width="5.625" style="2" customWidth="1"/>
    <col min="213" max="213" width="3.625" style="2" customWidth="1"/>
    <col min="214" max="214" width="10" style="2" customWidth="1"/>
    <col min="215" max="215" width="15.625" style="2" customWidth="1"/>
    <col min="216" max="216" width="5.625" style="2" customWidth="1"/>
    <col min="217" max="217" width="3.625" style="2" customWidth="1"/>
    <col min="218" max="218" width="10" style="2" customWidth="1"/>
    <col min="219" max="219" width="15.625" style="2" customWidth="1"/>
    <col min="220" max="16342" width="9" style="2"/>
    <col min="16343" max="16384" width="9" style="4"/>
  </cols>
  <sheetData>
    <row r="1" s="1" customFormat="1" ht="57" customHeight="1" spans="1:1">
      <c r="A1" s="5"/>
    </row>
    <row r="2" s="2" customFormat="1" ht="12.95" customHeight="1" spans="1:1">
      <c r="A2" s="3"/>
    </row>
    <row r="3" s="2" customFormat="1" ht="39.95" customHeight="1" spans="1:219">
      <c r="A3" s="120"/>
      <c r="B3" s="6" t="s">
        <v>11</v>
      </c>
      <c r="C3" s="6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</row>
    <row r="4" s="2" customFormat="1" ht="18" customHeight="1" spans="1:1">
      <c r="A4" s="3"/>
    </row>
    <row r="5" s="2" customFormat="1" spans="1:2">
      <c r="A5" s="8" t="s">
        <v>12</v>
      </c>
      <c r="B5" s="9" t="s">
        <v>13</v>
      </c>
    </row>
    <row r="6" s="2" customFormat="1" ht="33" customHeight="1" spans="1:28">
      <c r="A6" s="10"/>
      <c r="B6" s="11" t="s">
        <v>14</v>
      </c>
      <c r="C6" s="12"/>
      <c r="D6" s="12"/>
      <c r="F6" s="11" t="s">
        <v>15</v>
      </c>
      <c r="G6" s="12"/>
      <c r="H6" s="12"/>
      <c r="J6" s="11" t="s">
        <v>16</v>
      </c>
      <c r="K6" s="12"/>
      <c r="L6" s="12"/>
      <c r="N6" s="23" t="s">
        <v>17</v>
      </c>
      <c r="O6" s="24"/>
      <c r="P6" s="24"/>
      <c r="R6" s="23" t="s">
        <v>18</v>
      </c>
      <c r="S6" s="24"/>
      <c r="T6" s="24"/>
      <c r="V6" s="23" t="s">
        <v>19</v>
      </c>
      <c r="W6" s="24"/>
      <c r="X6" s="24"/>
      <c r="Z6" s="23" t="s">
        <v>16</v>
      </c>
      <c r="AA6" s="24"/>
      <c r="AB6" s="24"/>
    </row>
    <row r="7" s="2" customFormat="1" ht="20.1" customHeight="1" spans="1:28">
      <c r="A7" s="8"/>
      <c r="B7" s="13" t="s">
        <v>20</v>
      </c>
      <c r="C7" s="14" t="s">
        <v>21</v>
      </c>
      <c r="D7" s="14"/>
      <c r="E7" s="15"/>
      <c r="F7" s="13" t="s">
        <v>20</v>
      </c>
      <c r="G7" s="14" t="s">
        <v>22</v>
      </c>
      <c r="H7" s="14"/>
      <c r="J7" s="13" t="s">
        <v>20</v>
      </c>
      <c r="K7" s="14" t="s">
        <v>23</v>
      </c>
      <c r="L7" s="14"/>
      <c r="N7" s="13" t="s">
        <v>20</v>
      </c>
      <c r="O7" s="14" t="s">
        <v>22</v>
      </c>
      <c r="P7" s="14"/>
      <c r="R7" s="13" t="s">
        <v>20</v>
      </c>
      <c r="S7" s="14" t="s">
        <v>23</v>
      </c>
      <c r="T7" s="14"/>
      <c r="V7" s="13" t="s">
        <v>20</v>
      </c>
      <c r="W7" s="14" t="s">
        <v>24</v>
      </c>
      <c r="X7" s="14"/>
      <c r="Z7" s="13" t="s">
        <v>20</v>
      </c>
      <c r="AA7" s="14" t="s">
        <v>23</v>
      </c>
      <c r="AB7" s="14"/>
    </row>
    <row r="8" s="2" customFormat="1" ht="20.1" customHeight="1" spans="1:28">
      <c r="A8" s="8"/>
      <c r="B8" s="13" t="s">
        <v>25</v>
      </c>
      <c r="C8" s="14" t="s">
        <v>26</v>
      </c>
      <c r="D8" s="16" t="s">
        <v>27</v>
      </c>
      <c r="E8" s="15"/>
      <c r="F8" s="13" t="s">
        <v>25</v>
      </c>
      <c r="G8" s="14" t="s">
        <v>28</v>
      </c>
      <c r="H8" s="16" t="s">
        <v>27</v>
      </c>
      <c r="J8" s="13" t="s">
        <v>25</v>
      </c>
      <c r="K8" s="14" t="s">
        <v>29</v>
      </c>
      <c r="L8" s="16" t="s">
        <v>30</v>
      </c>
      <c r="N8" s="13" t="s">
        <v>25</v>
      </c>
      <c r="O8" s="14" t="s">
        <v>31</v>
      </c>
      <c r="P8" s="16" t="s">
        <v>32</v>
      </c>
      <c r="R8" s="13" t="s">
        <v>25</v>
      </c>
      <c r="S8" s="14" t="s">
        <v>33</v>
      </c>
      <c r="T8" s="16" t="s">
        <v>34</v>
      </c>
      <c r="V8" s="13" t="s">
        <v>25</v>
      </c>
      <c r="W8" s="14" t="s">
        <v>35</v>
      </c>
      <c r="X8" s="16" t="s">
        <v>36</v>
      </c>
      <c r="Z8" s="13" t="s">
        <v>25</v>
      </c>
      <c r="AA8" s="14" t="s">
        <v>37</v>
      </c>
      <c r="AB8" s="16" t="s">
        <v>38</v>
      </c>
    </row>
    <row r="9" s="2" customFormat="1" ht="20.1" customHeight="1" spans="1:28">
      <c r="A9" s="8"/>
      <c r="B9" s="17" t="s">
        <v>39</v>
      </c>
      <c r="C9" s="18" t="s">
        <v>40</v>
      </c>
      <c r="D9" s="19" t="s">
        <v>41</v>
      </c>
      <c r="E9" s="15"/>
      <c r="F9" s="17" t="s">
        <v>39</v>
      </c>
      <c r="G9" s="18" t="s">
        <v>42</v>
      </c>
      <c r="H9" s="19" t="s">
        <v>41</v>
      </c>
      <c r="J9" s="17" t="s">
        <v>39</v>
      </c>
      <c r="K9" s="18" t="s">
        <v>40</v>
      </c>
      <c r="L9" s="19" t="s">
        <v>41</v>
      </c>
      <c r="N9" s="17" t="s">
        <v>39</v>
      </c>
      <c r="O9" s="18" t="s">
        <v>43</v>
      </c>
      <c r="P9" s="19" t="s">
        <v>41</v>
      </c>
      <c r="R9" s="17" t="s">
        <v>39</v>
      </c>
      <c r="S9" s="18" t="s">
        <v>44</v>
      </c>
      <c r="T9" s="19" t="s">
        <v>41</v>
      </c>
      <c r="V9" s="17" t="s">
        <v>39</v>
      </c>
      <c r="W9" s="18" t="s">
        <v>45</v>
      </c>
      <c r="X9" s="19" t="s">
        <v>41</v>
      </c>
      <c r="Z9" s="17" t="s">
        <v>39</v>
      </c>
      <c r="AA9" s="18" t="s">
        <v>46</v>
      </c>
      <c r="AB9" s="19" t="s">
        <v>41</v>
      </c>
    </row>
    <row r="10" s="2" customFormat="1" ht="6" customHeight="1" spans="1:28">
      <c r="A10" s="8"/>
      <c r="B10" s="20"/>
      <c r="C10" s="20"/>
      <c r="D10" s="20"/>
      <c r="F10" s="20"/>
      <c r="G10" s="20"/>
      <c r="H10" s="20"/>
      <c r="J10" s="20"/>
      <c r="K10" s="20"/>
      <c r="L10" s="20"/>
      <c r="N10" s="20"/>
      <c r="O10" s="20"/>
      <c r="P10" s="20"/>
      <c r="R10" s="20"/>
      <c r="S10" s="20"/>
      <c r="T10" s="20"/>
      <c r="V10" s="20"/>
      <c r="W10" s="20"/>
      <c r="X10" s="20"/>
      <c r="Z10" s="20"/>
      <c r="AA10" s="20"/>
      <c r="AB10" s="20"/>
    </row>
    <row r="11" s="2" customFormat="1" ht="5.1" customHeight="1" spans="1:1">
      <c r="A11" s="8"/>
    </row>
    <row r="12" s="2" customFormat="1" ht="33" customHeight="1" spans="1:8">
      <c r="A12" s="10"/>
      <c r="B12" s="23" t="s">
        <v>47</v>
      </c>
      <c r="C12" s="24"/>
      <c r="D12" s="24"/>
      <c r="F12" s="23" t="s">
        <v>48</v>
      </c>
      <c r="G12" s="24"/>
      <c r="H12" s="24"/>
    </row>
    <row r="13" s="2" customFormat="1" ht="20.1" customHeight="1" spans="1:8">
      <c r="A13" s="8"/>
      <c r="B13" s="13" t="s">
        <v>20</v>
      </c>
      <c r="C13" s="14" t="s">
        <v>24</v>
      </c>
      <c r="D13" s="14"/>
      <c r="E13" s="15"/>
      <c r="F13" s="13" t="s">
        <v>20</v>
      </c>
      <c r="G13" s="14" t="s">
        <v>22</v>
      </c>
      <c r="H13" s="14"/>
    </row>
    <row r="14" s="2" customFormat="1" ht="20.1" customHeight="1" spans="1:8">
      <c r="A14" s="8"/>
      <c r="B14" s="13" t="s">
        <v>25</v>
      </c>
      <c r="C14" s="14" t="s">
        <v>49</v>
      </c>
      <c r="D14" s="16" t="s">
        <v>50</v>
      </c>
      <c r="E14" s="15"/>
      <c r="F14" s="13" t="s">
        <v>25</v>
      </c>
      <c r="G14" s="14" t="s">
        <v>51</v>
      </c>
      <c r="H14" s="16" t="s">
        <v>52</v>
      </c>
    </row>
    <row r="15" s="2" customFormat="1" ht="20.1" customHeight="1" spans="1:8">
      <c r="A15" s="8"/>
      <c r="B15" s="17" t="s">
        <v>39</v>
      </c>
      <c r="C15" s="18" t="s">
        <v>53</v>
      </c>
      <c r="D15" s="19" t="s">
        <v>41</v>
      </c>
      <c r="E15" s="15"/>
      <c r="F15" s="17" t="s">
        <v>39</v>
      </c>
      <c r="G15" s="18" t="s">
        <v>54</v>
      </c>
      <c r="H15" s="19" t="s">
        <v>41</v>
      </c>
    </row>
    <row r="16" s="2" customFormat="1" ht="6" customHeight="1" spans="1:8">
      <c r="A16" s="8"/>
      <c r="B16" s="20"/>
      <c r="C16" s="20"/>
      <c r="D16" s="20"/>
      <c r="F16" s="20"/>
      <c r="G16" s="20"/>
      <c r="H16" s="20"/>
    </row>
    <row r="17" s="2" customFormat="1" ht="5.1" customHeight="1" spans="1:1">
      <c r="A17" s="8"/>
    </row>
    <row r="18" s="2" customFormat="1" spans="1:2">
      <c r="A18" s="8" t="s">
        <v>12</v>
      </c>
      <c r="B18" s="9" t="s">
        <v>55</v>
      </c>
    </row>
    <row r="19" s="2" customFormat="1" ht="33" customHeight="1" spans="1:28">
      <c r="A19" s="10"/>
      <c r="B19" s="11" t="s">
        <v>56</v>
      </c>
      <c r="C19" s="12"/>
      <c r="D19" s="12"/>
      <c r="F19" s="11" t="s">
        <v>57</v>
      </c>
      <c r="G19" s="12"/>
      <c r="H19" s="12"/>
      <c r="J19" s="11" t="s">
        <v>58</v>
      </c>
      <c r="K19" s="12"/>
      <c r="L19" s="12"/>
      <c r="N19" s="11" t="s">
        <v>59</v>
      </c>
      <c r="O19" s="12"/>
      <c r="P19" s="12"/>
      <c r="R19" s="23" t="s">
        <v>60</v>
      </c>
      <c r="S19" s="24"/>
      <c r="T19" s="24"/>
      <c r="V19" s="23" t="s">
        <v>48</v>
      </c>
      <c r="W19" s="24"/>
      <c r="X19" s="24"/>
      <c r="Z19" s="23" t="s">
        <v>48</v>
      </c>
      <c r="AA19" s="24"/>
      <c r="AB19" s="24"/>
    </row>
    <row r="20" s="2" customFormat="1" ht="20.1" customHeight="1" spans="1:28">
      <c r="A20" s="8"/>
      <c r="B20" s="13" t="s">
        <v>20</v>
      </c>
      <c r="C20" s="14" t="s">
        <v>22</v>
      </c>
      <c r="D20" s="14"/>
      <c r="E20" s="15"/>
      <c r="F20" s="13" t="s">
        <v>20</v>
      </c>
      <c r="G20" s="14" t="s">
        <v>23</v>
      </c>
      <c r="H20" s="14"/>
      <c r="J20" s="13" t="s">
        <v>20</v>
      </c>
      <c r="K20" s="14" t="s">
        <v>22</v>
      </c>
      <c r="L20" s="14"/>
      <c r="N20" s="13" t="s">
        <v>20</v>
      </c>
      <c r="O20" s="14" t="s">
        <v>23</v>
      </c>
      <c r="P20" s="14"/>
      <c r="R20" s="13" t="s">
        <v>20</v>
      </c>
      <c r="S20" s="14" t="s">
        <v>24</v>
      </c>
      <c r="T20" s="14"/>
      <c r="V20" s="13" t="s">
        <v>20</v>
      </c>
      <c r="W20" s="14" t="s">
        <v>22</v>
      </c>
      <c r="X20" s="14"/>
      <c r="Z20" s="13" t="s">
        <v>20</v>
      </c>
      <c r="AA20" s="14" t="s">
        <v>22</v>
      </c>
      <c r="AB20" s="14"/>
    </row>
    <row r="21" s="2" customFormat="1" ht="20.1" customHeight="1" spans="1:28">
      <c r="A21" s="8"/>
      <c r="B21" s="13" t="s">
        <v>25</v>
      </c>
      <c r="C21" s="14" t="s">
        <v>61</v>
      </c>
      <c r="D21" s="16" t="s">
        <v>27</v>
      </c>
      <c r="E21" s="15"/>
      <c r="F21" s="13" t="s">
        <v>25</v>
      </c>
      <c r="G21" s="14" t="s">
        <v>62</v>
      </c>
      <c r="H21" s="16" t="s">
        <v>27</v>
      </c>
      <c r="J21" s="13" t="s">
        <v>25</v>
      </c>
      <c r="K21" s="14" t="s">
        <v>63</v>
      </c>
      <c r="L21" s="16" t="s">
        <v>27</v>
      </c>
      <c r="N21" s="13" t="s">
        <v>25</v>
      </c>
      <c r="O21" s="14" t="s">
        <v>64</v>
      </c>
      <c r="P21" s="16" t="s">
        <v>27</v>
      </c>
      <c r="R21" s="13" t="s">
        <v>25</v>
      </c>
      <c r="S21" s="14" t="s">
        <v>65</v>
      </c>
      <c r="T21" s="16" t="s">
        <v>66</v>
      </c>
      <c r="V21" s="13" t="s">
        <v>25</v>
      </c>
      <c r="W21" s="14" t="s">
        <v>67</v>
      </c>
      <c r="X21" s="16" t="s">
        <v>68</v>
      </c>
      <c r="Z21" s="13" t="s">
        <v>25</v>
      </c>
      <c r="AA21" s="14" t="s">
        <v>69</v>
      </c>
      <c r="AB21" s="16" t="s">
        <v>70</v>
      </c>
    </row>
    <row r="22" s="2" customFormat="1" ht="20.1" customHeight="1" spans="1:28">
      <c r="A22" s="8"/>
      <c r="B22" s="17" t="s">
        <v>39</v>
      </c>
      <c r="C22" s="18" t="s">
        <v>53</v>
      </c>
      <c r="D22" s="19" t="s">
        <v>41</v>
      </c>
      <c r="E22" s="15"/>
      <c r="F22" s="17" t="s">
        <v>39</v>
      </c>
      <c r="G22" s="18" t="s">
        <v>71</v>
      </c>
      <c r="H22" s="19" t="s">
        <v>41</v>
      </c>
      <c r="J22" s="17" t="s">
        <v>39</v>
      </c>
      <c r="K22" s="18" t="s">
        <v>72</v>
      </c>
      <c r="L22" s="19" t="s">
        <v>41</v>
      </c>
      <c r="N22" s="17" t="s">
        <v>39</v>
      </c>
      <c r="O22" s="18" t="s">
        <v>73</v>
      </c>
      <c r="P22" s="19" t="s">
        <v>41</v>
      </c>
      <c r="R22" s="17" t="s">
        <v>39</v>
      </c>
      <c r="S22" s="18" t="s">
        <v>46</v>
      </c>
      <c r="T22" s="19" t="s">
        <v>41</v>
      </c>
      <c r="V22" s="17" t="s">
        <v>39</v>
      </c>
      <c r="W22" s="18" t="s">
        <v>74</v>
      </c>
      <c r="X22" s="19" t="s">
        <v>41</v>
      </c>
      <c r="Z22" s="17" t="s">
        <v>39</v>
      </c>
      <c r="AA22" s="18" t="s">
        <v>46</v>
      </c>
      <c r="AB22" s="19" t="s">
        <v>41</v>
      </c>
    </row>
    <row r="23" s="2" customFormat="1" ht="6" customHeight="1" spans="1:28">
      <c r="A23" s="8"/>
      <c r="B23" s="20"/>
      <c r="C23" s="20"/>
      <c r="D23" s="20"/>
      <c r="F23" s="20"/>
      <c r="G23" s="20"/>
      <c r="H23" s="20"/>
      <c r="J23" s="20"/>
      <c r="K23" s="20"/>
      <c r="L23" s="20"/>
      <c r="N23" s="20"/>
      <c r="O23" s="20"/>
      <c r="P23" s="20"/>
      <c r="R23" s="20"/>
      <c r="S23" s="20"/>
      <c r="T23" s="20"/>
      <c r="V23" s="20"/>
      <c r="W23" s="20"/>
      <c r="X23" s="20"/>
      <c r="Z23" s="20"/>
      <c r="AA23" s="20"/>
      <c r="AB23" s="20"/>
    </row>
    <row r="24" s="2" customFormat="1" ht="5.1" customHeight="1" spans="1:1">
      <c r="A24" s="8"/>
    </row>
    <row r="25" s="2" customFormat="1" ht="33" customHeight="1" spans="1:4">
      <c r="A25" s="10"/>
      <c r="B25" s="23" t="s">
        <v>48</v>
      </c>
      <c r="C25" s="24"/>
      <c r="D25" s="24"/>
    </row>
    <row r="26" s="2" customFormat="1" ht="20.1" customHeight="1" spans="1:5">
      <c r="A26" s="8"/>
      <c r="B26" s="13" t="s">
        <v>20</v>
      </c>
      <c r="C26" s="14" t="s">
        <v>22</v>
      </c>
      <c r="D26" s="14"/>
      <c r="E26" s="15"/>
    </row>
    <row r="27" s="2" customFormat="1" ht="20.1" customHeight="1" spans="1:5">
      <c r="A27" s="8"/>
      <c r="B27" s="13" t="s">
        <v>25</v>
      </c>
      <c r="C27" s="14" t="s">
        <v>75</v>
      </c>
      <c r="D27" s="16" t="s">
        <v>76</v>
      </c>
      <c r="E27" s="15"/>
    </row>
    <row r="28" s="2" customFormat="1" ht="20.1" customHeight="1" spans="1:5">
      <c r="A28" s="8"/>
      <c r="B28" s="17" t="s">
        <v>39</v>
      </c>
      <c r="C28" s="18" t="s">
        <v>77</v>
      </c>
      <c r="D28" s="19" t="s">
        <v>41</v>
      </c>
      <c r="E28" s="15"/>
    </row>
    <row r="29" s="2" customFormat="1" ht="6" customHeight="1" spans="1:4">
      <c r="A29" s="8"/>
      <c r="B29" s="20"/>
      <c r="C29" s="20"/>
      <c r="D29" s="20"/>
    </row>
    <row r="30" s="2" customFormat="1" ht="5.1" customHeight="1" spans="1:1">
      <c r="A30" s="8"/>
    </row>
    <row r="31" s="2" customFormat="1" spans="1:2">
      <c r="A31" s="8" t="s">
        <v>12</v>
      </c>
      <c r="B31" s="9" t="s">
        <v>78</v>
      </c>
    </row>
    <row r="32" s="2" customFormat="1" ht="33" customHeight="1" spans="1:28">
      <c r="A32" s="10"/>
      <c r="B32" s="11" t="s">
        <v>79</v>
      </c>
      <c r="C32" s="12"/>
      <c r="D32" s="12"/>
      <c r="F32" s="11" t="s">
        <v>80</v>
      </c>
      <c r="G32" s="12"/>
      <c r="H32" s="12"/>
      <c r="J32" s="11" t="s">
        <v>81</v>
      </c>
      <c r="K32" s="12"/>
      <c r="L32" s="12"/>
      <c r="N32" s="11" t="s">
        <v>82</v>
      </c>
      <c r="O32" s="12"/>
      <c r="P32" s="12"/>
      <c r="R32" s="23" t="s">
        <v>83</v>
      </c>
      <c r="S32" s="24"/>
      <c r="T32" s="24"/>
      <c r="V32" s="23" t="s">
        <v>48</v>
      </c>
      <c r="W32" s="24"/>
      <c r="X32" s="24"/>
      <c r="Z32" s="23" t="s">
        <v>48</v>
      </c>
      <c r="AA32" s="24"/>
      <c r="AB32" s="24"/>
    </row>
    <row r="33" s="2" customFormat="1" ht="20.1" customHeight="1" spans="1:28">
      <c r="A33" s="8"/>
      <c r="B33" s="13" t="s">
        <v>20</v>
      </c>
      <c r="C33" s="14" t="s">
        <v>84</v>
      </c>
      <c r="D33" s="14"/>
      <c r="E33" s="15"/>
      <c r="F33" s="13" t="s">
        <v>20</v>
      </c>
      <c r="G33" s="14" t="s">
        <v>84</v>
      </c>
      <c r="H33" s="14"/>
      <c r="J33" s="13" t="s">
        <v>20</v>
      </c>
      <c r="K33" s="14" t="s">
        <v>22</v>
      </c>
      <c r="L33" s="14"/>
      <c r="N33" s="13" t="s">
        <v>20</v>
      </c>
      <c r="O33" s="14" t="s">
        <v>23</v>
      </c>
      <c r="P33" s="14"/>
      <c r="R33" s="13" t="s">
        <v>20</v>
      </c>
      <c r="S33" s="14" t="s">
        <v>22</v>
      </c>
      <c r="T33" s="14"/>
      <c r="V33" s="13" t="s">
        <v>20</v>
      </c>
      <c r="W33" s="14" t="s">
        <v>22</v>
      </c>
      <c r="X33" s="14"/>
      <c r="Z33" s="13" t="s">
        <v>20</v>
      </c>
      <c r="AA33" s="14" t="s">
        <v>22</v>
      </c>
      <c r="AB33" s="14"/>
    </row>
    <row r="34" s="2" customFormat="1" ht="20.1" customHeight="1" spans="1:28">
      <c r="A34" s="8"/>
      <c r="B34" s="13" t="s">
        <v>25</v>
      </c>
      <c r="C34" s="14" t="s">
        <v>85</v>
      </c>
      <c r="D34" s="16" t="s">
        <v>27</v>
      </c>
      <c r="E34" s="15"/>
      <c r="F34" s="13" t="s">
        <v>25</v>
      </c>
      <c r="G34" s="14" t="s">
        <v>86</v>
      </c>
      <c r="H34" s="16" t="s">
        <v>27</v>
      </c>
      <c r="J34" s="13" t="s">
        <v>25</v>
      </c>
      <c r="K34" s="14" t="s">
        <v>87</v>
      </c>
      <c r="L34" s="16" t="s">
        <v>27</v>
      </c>
      <c r="N34" s="13" t="s">
        <v>25</v>
      </c>
      <c r="O34" s="14" t="s">
        <v>88</v>
      </c>
      <c r="P34" s="16" t="s">
        <v>89</v>
      </c>
      <c r="R34" s="13" t="s">
        <v>25</v>
      </c>
      <c r="S34" s="14" t="s">
        <v>90</v>
      </c>
      <c r="T34" s="16" t="s">
        <v>91</v>
      </c>
      <c r="V34" s="13" t="s">
        <v>25</v>
      </c>
      <c r="W34" s="14" t="s">
        <v>92</v>
      </c>
      <c r="X34" s="16" t="s">
        <v>93</v>
      </c>
      <c r="Z34" s="13" t="s">
        <v>25</v>
      </c>
      <c r="AA34" s="14" t="s">
        <v>94</v>
      </c>
      <c r="AB34" s="16" t="s">
        <v>95</v>
      </c>
    </row>
    <row r="35" s="2" customFormat="1" ht="20.1" customHeight="1" spans="1:28">
      <c r="A35" s="8"/>
      <c r="B35" s="17" t="s">
        <v>39</v>
      </c>
      <c r="C35" s="18" t="s">
        <v>96</v>
      </c>
      <c r="D35" s="19" t="s">
        <v>41</v>
      </c>
      <c r="E35" s="15"/>
      <c r="F35" s="17" t="s">
        <v>39</v>
      </c>
      <c r="G35" s="18" t="s">
        <v>74</v>
      </c>
      <c r="H35" s="19" t="s">
        <v>41</v>
      </c>
      <c r="J35" s="17" t="s">
        <v>39</v>
      </c>
      <c r="K35" s="18" t="s">
        <v>96</v>
      </c>
      <c r="L35" s="19" t="s">
        <v>41</v>
      </c>
      <c r="N35" s="17" t="s">
        <v>39</v>
      </c>
      <c r="O35" s="18" t="s">
        <v>44</v>
      </c>
      <c r="P35" s="19" t="s">
        <v>41</v>
      </c>
      <c r="R35" s="17" t="s">
        <v>39</v>
      </c>
      <c r="S35" s="18" t="s">
        <v>42</v>
      </c>
      <c r="T35" s="19" t="s">
        <v>41</v>
      </c>
      <c r="V35" s="17" t="s">
        <v>39</v>
      </c>
      <c r="W35" s="18" t="s">
        <v>97</v>
      </c>
      <c r="X35" s="19" t="s">
        <v>41</v>
      </c>
      <c r="Z35" s="17" t="s">
        <v>39</v>
      </c>
      <c r="AA35" s="18" t="s">
        <v>98</v>
      </c>
      <c r="AB35" s="19" t="s">
        <v>41</v>
      </c>
    </row>
    <row r="36" s="2" customFormat="1" ht="6" customHeight="1" spans="1:28">
      <c r="A36" s="8"/>
      <c r="B36" s="20"/>
      <c r="C36" s="20"/>
      <c r="D36" s="20"/>
      <c r="F36" s="20"/>
      <c r="G36" s="20"/>
      <c r="H36" s="20"/>
      <c r="J36" s="20"/>
      <c r="K36" s="20"/>
      <c r="L36" s="20"/>
      <c r="N36" s="20"/>
      <c r="O36" s="20"/>
      <c r="P36" s="20"/>
      <c r="R36" s="20"/>
      <c r="S36" s="20"/>
      <c r="T36" s="20"/>
      <c r="V36" s="20"/>
      <c r="W36" s="20"/>
      <c r="X36" s="20"/>
      <c r="Z36" s="20"/>
      <c r="AA36" s="20"/>
      <c r="AB36" s="20"/>
    </row>
    <row r="37" s="2" customFormat="1" ht="5.1" customHeight="1" spans="1:1">
      <c r="A37" s="8"/>
    </row>
    <row r="38" s="2" customFormat="1" ht="33" customHeight="1" spans="1:4">
      <c r="A38" s="10"/>
      <c r="B38" s="23" t="s">
        <v>48</v>
      </c>
      <c r="C38" s="24"/>
      <c r="D38" s="24"/>
    </row>
    <row r="39" s="2" customFormat="1" ht="20.1" customHeight="1" spans="1:5">
      <c r="A39" s="8"/>
      <c r="B39" s="13" t="s">
        <v>20</v>
      </c>
      <c r="C39" s="14" t="s">
        <v>22</v>
      </c>
      <c r="D39" s="14"/>
      <c r="E39" s="15"/>
    </row>
    <row r="40" s="2" customFormat="1" ht="20.1" customHeight="1" spans="1:5">
      <c r="A40" s="8"/>
      <c r="B40" s="13" t="s">
        <v>25</v>
      </c>
      <c r="C40" s="14" t="s">
        <v>99</v>
      </c>
      <c r="D40" s="16" t="s">
        <v>100</v>
      </c>
      <c r="E40" s="15"/>
    </row>
    <row r="41" s="2" customFormat="1" ht="20.1" customHeight="1" spans="1:5">
      <c r="A41" s="8"/>
      <c r="B41" s="17" t="s">
        <v>39</v>
      </c>
      <c r="C41" s="18" t="s">
        <v>101</v>
      </c>
      <c r="D41" s="19" t="s">
        <v>41</v>
      </c>
      <c r="E41" s="15"/>
    </row>
    <row r="42" s="2" customFormat="1" ht="6" customHeight="1" spans="1:4">
      <c r="A42" s="8"/>
      <c r="B42" s="20"/>
      <c r="C42" s="20"/>
      <c r="D42" s="20"/>
    </row>
    <row r="43" s="2" customFormat="1" ht="5.1" customHeight="1" spans="1:1">
      <c r="A43" s="8"/>
    </row>
    <row r="44" s="2" customFormat="1" spans="1:2">
      <c r="A44" s="8" t="s">
        <v>12</v>
      </c>
      <c r="B44" s="9" t="s">
        <v>102</v>
      </c>
    </row>
    <row r="45" s="2" customFormat="1" ht="33" customHeight="1" spans="1:28">
      <c r="A45" s="10"/>
      <c r="B45" s="11" t="s">
        <v>103</v>
      </c>
      <c r="C45" s="12"/>
      <c r="D45" s="12"/>
      <c r="F45" s="11" t="s">
        <v>104</v>
      </c>
      <c r="G45" s="12"/>
      <c r="H45" s="12"/>
      <c r="J45" s="11" t="s">
        <v>105</v>
      </c>
      <c r="K45" s="12"/>
      <c r="L45" s="12"/>
      <c r="N45" s="11" t="s">
        <v>106</v>
      </c>
      <c r="O45" s="12"/>
      <c r="P45" s="12"/>
      <c r="R45" s="11" t="s">
        <v>107</v>
      </c>
      <c r="S45" s="12"/>
      <c r="T45" s="12"/>
      <c r="V45" s="11" t="s">
        <v>19</v>
      </c>
      <c r="W45" s="12"/>
      <c r="X45" s="12"/>
      <c r="Z45" s="23" t="s">
        <v>48</v>
      </c>
      <c r="AA45" s="24"/>
      <c r="AB45" s="24"/>
    </row>
    <row r="46" s="2" customFormat="1" ht="20.1" customHeight="1" spans="1:28">
      <c r="A46" s="8"/>
      <c r="B46" s="13" t="s">
        <v>20</v>
      </c>
      <c r="C46" s="14" t="s">
        <v>22</v>
      </c>
      <c r="D46" s="14"/>
      <c r="E46" s="15"/>
      <c r="F46" s="13" t="s">
        <v>20</v>
      </c>
      <c r="G46" s="14" t="s">
        <v>23</v>
      </c>
      <c r="H46" s="14"/>
      <c r="J46" s="13" t="s">
        <v>20</v>
      </c>
      <c r="K46" s="14" t="s">
        <v>23</v>
      </c>
      <c r="L46" s="14"/>
      <c r="N46" s="13" t="s">
        <v>20</v>
      </c>
      <c r="O46" s="14" t="s">
        <v>23</v>
      </c>
      <c r="P46" s="14"/>
      <c r="R46" s="13" t="s">
        <v>20</v>
      </c>
      <c r="S46" s="14" t="s">
        <v>23</v>
      </c>
      <c r="T46" s="14"/>
      <c r="V46" s="13" t="s">
        <v>20</v>
      </c>
      <c r="W46" s="14" t="s">
        <v>24</v>
      </c>
      <c r="X46" s="14"/>
      <c r="Z46" s="13" t="s">
        <v>20</v>
      </c>
      <c r="AA46" s="14" t="s">
        <v>22</v>
      </c>
      <c r="AB46" s="14"/>
    </row>
    <row r="47" s="2" customFormat="1" ht="20.1" customHeight="1" spans="1:28">
      <c r="A47" s="8"/>
      <c r="B47" s="13" t="s">
        <v>25</v>
      </c>
      <c r="C47" s="14" t="s">
        <v>108</v>
      </c>
      <c r="D47" s="16" t="s">
        <v>27</v>
      </c>
      <c r="E47" s="15"/>
      <c r="F47" s="13" t="s">
        <v>25</v>
      </c>
      <c r="G47" s="14" t="s">
        <v>109</v>
      </c>
      <c r="H47" s="16" t="s">
        <v>27</v>
      </c>
      <c r="J47" s="13" t="s">
        <v>25</v>
      </c>
      <c r="K47" s="14" t="s">
        <v>33</v>
      </c>
      <c r="L47" s="16" t="s">
        <v>27</v>
      </c>
      <c r="N47" s="13" t="s">
        <v>25</v>
      </c>
      <c r="O47" s="14" t="s">
        <v>110</v>
      </c>
      <c r="P47" s="16" t="s">
        <v>27</v>
      </c>
      <c r="R47" s="13" t="s">
        <v>25</v>
      </c>
      <c r="S47" s="14" t="s">
        <v>111</v>
      </c>
      <c r="T47" s="16" t="s">
        <v>112</v>
      </c>
      <c r="V47" s="13" t="s">
        <v>25</v>
      </c>
      <c r="W47" s="14" t="s">
        <v>113</v>
      </c>
      <c r="X47" s="16" t="s">
        <v>114</v>
      </c>
      <c r="Z47" s="13" t="s">
        <v>25</v>
      </c>
      <c r="AA47" s="14" t="s">
        <v>115</v>
      </c>
      <c r="AB47" s="16" t="s">
        <v>116</v>
      </c>
    </row>
    <row r="48" s="2" customFormat="1" ht="20.1" customHeight="1" spans="1:28">
      <c r="A48" s="8"/>
      <c r="B48" s="17" t="s">
        <v>39</v>
      </c>
      <c r="C48" s="18" t="s">
        <v>72</v>
      </c>
      <c r="D48" s="19" t="s">
        <v>41</v>
      </c>
      <c r="E48" s="15"/>
      <c r="F48" s="17" t="s">
        <v>39</v>
      </c>
      <c r="G48" s="18" t="s">
        <v>54</v>
      </c>
      <c r="H48" s="19" t="s">
        <v>41</v>
      </c>
      <c r="J48" s="17" t="s">
        <v>39</v>
      </c>
      <c r="K48" s="18" t="s">
        <v>53</v>
      </c>
      <c r="L48" s="19" t="s">
        <v>41</v>
      </c>
      <c r="N48" s="17" t="s">
        <v>39</v>
      </c>
      <c r="O48" s="18" t="s">
        <v>43</v>
      </c>
      <c r="P48" s="19" t="s">
        <v>41</v>
      </c>
      <c r="R48" s="17" t="s">
        <v>39</v>
      </c>
      <c r="S48" s="18" t="s">
        <v>117</v>
      </c>
      <c r="T48" s="19" t="s">
        <v>41</v>
      </c>
      <c r="V48" s="17" t="s">
        <v>39</v>
      </c>
      <c r="W48" s="18" t="s">
        <v>73</v>
      </c>
      <c r="X48" s="19" t="s">
        <v>41</v>
      </c>
      <c r="Z48" s="17" t="s">
        <v>39</v>
      </c>
      <c r="AA48" s="18" t="s">
        <v>44</v>
      </c>
      <c r="AB48" s="19" t="s">
        <v>41</v>
      </c>
    </row>
    <row r="49" s="2" customFormat="1" ht="6" customHeight="1" spans="1:28">
      <c r="A49" s="8"/>
      <c r="B49" s="20"/>
      <c r="C49" s="20"/>
      <c r="D49" s="20"/>
      <c r="F49" s="20"/>
      <c r="G49" s="20"/>
      <c r="H49" s="20"/>
      <c r="J49" s="20"/>
      <c r="K49" s="20"/>
      <c r="L49" s="20"/>
      <c r="N49" s="20"/>
      <c r="O49" s="20"/>
      <c r="P49" s="20"/>
      <c r="R49" s="20"/>
      <c r="S49" s="20"/>
      <c r="T49" s="20"/>
      <c r="V49" s="20"/>
      <c r="W49" s="20"/>
      <c r="X49" s="20"/>
      <c r="Z49" s="20"/>
      <c r="AA49" s="20"/>
      <c r="AB49" s="20"/>
    </row>
    <row r="50" s="2" customFormat="1" ht="5.1" customHeight="1" spans="1:1">
      <c r="A50" s="8"/>
    </row>
    <row r="51" s="2" customFormat="1" ht="33" customHeight="1" spans="1:28">
      <c r="A51" s="10"/>
      <c r="B51" s="23" t="s">
        <v>48</v>
      </c>
      <c r="C51" s="24"/>
      <c r="D51" s="24"/>
      <c r="F51" s="23" t="s">
        <v>48</v>
      </c>
      <c r="G51" s="24"/>
      <c r="H51" s="24"/>
      <c r="J51" s="23" t="s">
        <v>48</v>
      </c>
      <c r="K51" s="24"/>
      <c r="L51" s="24"/>
      <c r="N51" s="23" t="s">
        <v>48</v>
      </c>
      <c r="O51" s="24"/>
      <c r="P51" s="24"/>
      <c r="R51" s="23" t="s">
        <v>48</v>
      </c>
      <c r="S51" s="24"/>
      <c r="T51" s="24"/>
      <c r="V51" s="23" t="s">
        <v>48</v>
      </c>
      <c r="W51" s="24"/>
      <c r="X51" s="24"/>
      <c r="Z51" s="21" t="s">
        <v>48</v>
      </c>
      <c r="AA51" s="22"/>
      <c r="AB51" s="22"/>
    </row>
    <row r="52" s="2" customFormat="1" ht="20.1" customHeight="1" spans="1:28">
      <c r="A52" s="8"/>
      <c r="B52" s="13" t="s">
        <v>20</v>
      </c>
      <c r="C52" s="14" t="s">
        <v>22</v>
      </c>
      <c r="D52" s="14"/>
      <c r="E52" s="15"/>
      <c r="F52" s="13" t="s">
        <v>20</v>
      </c>
      <c r="G52" s="14" t="s">
        <v>22</v>
      </c>
      <c r="H52" s="14"/>
      <c r="J52" s="13" t="s">
        <v>20</v>
      </c>
      <c r="K52" s="14" t="s">
        <v>22</v>
      </c>
      <c r="L52" s="14"/>
      <c r="N52" s="13" t="s">
        <v>20</v>
      </c>
      <c r="O52" s="14" t="s">
        <v>22</v>
      </c>
      <c r="P52" s="14"/>
      <c r="R52" s="13" t="s">
        <v>20</v>
      </c>
      <c r="S52" s="14" t="s">
        <v>22</v>
      </c>
      <c r="T52" s="14"/>
      <c r="V52" s="13" t="s">
        <v>20</v>
      </c>
      <c r="W52" s="14" t="s">
        <v>22</v>
      </c>
      <c r="X52" s="14"/>
      <c r="Z52" s="13" t="s">
        <v>20</v>
      </c>
      <c r="AA52" s="14" t="s">
        <v>22</v>
      </c>
      <c r="AB52" s="14"/>
    </row>
    <row r="53" s="2" customFormat="1" ht="20.1" customHeight="1" spans="1:28">
      <c r="A53" s="8"/>
      <c r="B53" s="13" t="s">
        <v>25</v>
      </c>
      <c r="C53" s="14" t="s">
        <v>118</v>
      </c>
      <c r="D53" s="16" t="s">
        <v>119</v>
      </c>
      <c r="E53" s="15"/>
      <c r="F53" s="13" t="s">
        <v>25</v>
      </c>
      <c r="G53" s="14" t="s">
        <v>120</v>
      </c>
      <c r="H53" s="16" t="s">
        <v>121</v>
      </c>
      <c r="J53" s="13" t="s">
        <v>25</v>
      </c>
      <c r="K53" s="14" t="s">
        <v>110</v>
      </c>
      <c r="L53" s="16" t="s">
        <v>122</v>
      </c>
      <c r="N53" s="13" t="s">
        <v>25</v>
      </c>
      <c r="O53" s="14" t="s">
        <v>123</v>
      </c>
      <c r="P53" s="16" t="s">
        <v>124</v>
      </c>
      <c r="R53" s="13" t="s">
        <v>25</v>
      </c>
      <c r="S53" s="14" t="s">
        <v>125</v>
      </c>
      <c r="T53" s="16" t="s">
        <v>126</v>
      </c>
      <c r="V53" s="13" t="s">
        <v>25</v>
      </c>
      <c r="W53" s="14" t="s">
        <v>110</v>
      </c>
      <c r="X53" s="16" t="s">
        <v>127</v>
      </c>
      <c r="Z53" s="13" t="s">
        <v>25</v>
      </c>
      <c r="AA53" s="14" t="s">
        <v>115</v>
      </c>
      <c r="AB53" s="16" t="s">
        <v>128</v>
      </c>
    </row>
    <row r="54" s="2" customFormat="1" ht="20.1" customHeight="1" spans="1:28">
      <c r="A54" s="8"/>
      <c r="B54" s="17" t="s">
        <v>39</v>
      </c>
      <c r="C54" s="18" t="s">
        <v>73</v>
      </c>
      <c r="D54" s="19" t="s">
        <v>41</v>
      </c>
      <c r="E54" s="15"/>
      <c r="F54" s="17" t="s">
        <v>39</v>
      </c>
      <c r="G54" s="18" t="s">
        <v>45</v>
      </c>
      <c r="H54" s="19" t="s">
        <v>41</v>
      </c>
      <c r="J54" s="17" t="s">
        <v>39</v>
      </c>
      <c r="K54" s="18" t="s">
        <v>53</v>
      </c>
      <c r="L54" s="19" t="s">
        <v>41</v>
      </c>
      <c r="N54" s="17" t="s">
        <v>39</v>
      </c>
      <c r="O54" s="18" t="s">
        <v>77</v>
      </c>
      <c r="P54" s="19" t="s">
        <v>41</v>
      </c>
      <c r="R54" s="17" t="s">
        <v>39</v>
      </c>
      <c r="S54" s="18" t="s">
        <v>101</v>
      </c>
      <c r="T54" s="19" t="s">
        <v>41</v>
      </c>
      <c r="V54" s="17" t="s">
        <v>39</v>
      </c>
      <c r="W54" s="18" t="s">
        <v>43</v>
      </c>
      <c r="X54" s="19" t="s">
        <v>41</v>
      </c>
      <c r="Z54" s="17" t="s">
        <v>39</v>
      </c>
      <c r="AA54" s="18" t="s">
        <v>42</v>
      </c>
      <c r="AB54" s="19" t="s">
        <v>41</v>
      </c>
    </row>
    <row r="55" s="2" customFormat="1" ht="6" customHeight="1" spans="1:28">
      <c r="A55" s="8"/>
      <c r="B55" s="20"/>
      <c r="C55" s="20"/>
      <c r="D55" s="20"/>
      <c r="F55" s="20"/>
      <c r="G55" s="20"/>
      <c r="H55" s="20"/>
      <c r="J55" s="20"/>
      <c r="K55" s="20"/>
      <c r="L55" s="20"/>
      <c r="N55" s="20"/>
      <c r="O55" s="20"/>
      <c r="P55" s="20"/>
      <c r="R55" s="20"/>
      <c r="S55" s="20"/>
      <c r="T55" s="20"/>
      <c r="V55" s="20"/>
      <c r="W55" s="20"/>
      <c r="X55" s="20"/>
      <c r="Z55" s="20"/>
      <c r="AA55" s="20"/>
      <c r="AB55" s="20"/>
    </row>
    <row r="56" s="2" customFormat="1" ht="5.1" customHeight="1" spans="1:1">
      <c r="A56" s="8"/>
    </row>
    <row r="57" s="2" customFormat="1" spans="1:2">
      <c r="A57" s="8" t="s">
        <v>12</v>
      </c>
      <c r="B57" s="9" t="s">
        <v>129</v>
      </c>
    </row>
    <row r="58" s="2" customFormat="1" ht="33" customHeight="1" spans="1:16">
      <c r="A58" s="10"/>
      <c r="B58" s="11" t="s">
        <v>130</v>
      </c>
      <c r="C58" s="12"/>
      <c r="D58" s="12"/>
      <c r="F58" s="11" t="s">
        <v>131</v>
      </c>
      <c r="G58" s="12"/>
      <c r="H58" s="12"/>
      <c r="J58" s="23" t="s">
        <v>48</v>
      </c>
      <c r="K58" s="24"/>
      <c r="L58" s="24"/>
      <c r="N58" s="23" t="s">
        <v>48</v>
      </c>
      <c r="O58" s="24"/>
      <c r="P58" s="24"/>
    </row>
    <row r="59" s="2" customFormat="1" ht="20.1" customHeight="1" spans="1:16">
      <c r="A59" s="8"/>
      <c r="B59" s="13" t="s">
        <v>20</v>
      </c>
      <c r="C59" s="14" t="s">
        <v>23</v>
      </c>
      <c r="D59" s="14"/>
      <c r="E59" s="15"/>
      <c r="F59" s="13" t="s">
        <v>20</v>
      </c>
      <c r="G59" s="14" t="s">
        <v>22</v>
      </c>
      <c r="H59" s="14"/>
      <c r="J59" s="13" t="s">
        <v>20</v>
      </c>
      <c r="K59" s="14" t="s">
        <v>22</v>
      </c>
      <c r="L59" s="14"/>
      <c r="N59" s="13" t="s">
        <v>20</v>
      </c>
      <c r="O59" s="14" t="s">
        <v>22</v>
      </c>
      <c r="P59" s="14"/>
    </row>
    <row r="60" s="2" customFormat="1" ht="20.1" customHeight="1" spans="1:16">
      <c r="A60" s="8"/>
      <c r="B60" s="13" t="s">
        <v>25</v>
      </c>
      <c r="C60" s="14" t="s">
        <v>132</v>
      </c>
      <c r="D60" s="16" t="s">
        <v>27</v>
      </c>
      <c r="E60" s="15"/>
      <c r="F60" s="13" t="s">
        <v>25</v>
      </c>
      <c r="G60" s="14" t="s">
        <v>133</v>
      </c>
      <c r="H60" s="16" t="s">
        <v>27</v>
      </c>
      <c r="J60" s="13" t="s">
        <v>25</v>
      </c>
      <c r="K60" s="14" t="s">
        <v>134</v>
      </c>
      <c r="L60" s="16" t="s">
        <v>135</v>
      </c>
      <c r="N60" s="13" t="s">
        <v>25</v>
      </c>
      <c r="O60" s="14" t="s">
        <v>136</v>
      </c>
      <c r="P60" s="16" t="s">
        <v>137</v>
      </c>
    </row>
    <row r="61" s="2" customFormat="1" ht="20.1" customHeight="1" spans="1:16">
      <c r="A61" s="8"/>
      <c r="B61" s="17" t="s">
        <v>39</v>
      </c>
      <c r="C61" s="18" t="s">
        <v>40</v>
      </c>
      <c r="D61" s="19" t="s">
        <v>41</v>
      </c>
      <c r="E61" s="15"/>
      <c r="F61" s="17" t="s">
        <v>39</v>
      </c>
      <c r="G61" s="18" t="s">
        <v>40</v>
      </c>
      <c r="H61" s="19" t="s">
        <v>41</v>
      </c>
      <c r="J61" s="17" t="s">
        <v>39</v>
      </c>
      <c r="K61" s="18" t="s">
        <v>101</v>
      </c>
      <c r="L61" s="19" t="s">
        <v>41</v>
      </c>
      <c r="N61" s="17" t="s">
        <v>39</v>
      </c>
      <c r="O61" s="18" t="s">
        <v>45</v>
      </c>
      <c r="P61" s="19" t="s">
        <v>41</v>
      </c>
    </row>
    <row r="62" s="2" customFormat="1" ht="6" customHeight="1" spans="1:16">
      <c r="A62" s="8"/>
      <c r="B62" s="20"/>
      <c r="C62" s="20"/>
      <c r="D62" s="20"/>
      <c r="F62" s="20"/>
      <c r="G62" s="20"/>
      <c r="H62" s="20"/>
      <c r="J62" s="20"/>
      <c r="K62" s="20"/>
      <c r="L62" s="20"/>
      <c r="N62" s="20"/>
      <c r="O62" s="20"/>
      <c r="P62" s="20"/>
    </row>
    <row r="63" s="2" customFormat="1" ht="5.1" customHeight="1" spans="1:1">
      <c r="A63" s="8"/>
    </row>
    <row r="64" s="2" customFormat="1" spans="1:2">
      <c r="A64" s="8" t="s">
        <v>12</v>
      </c>
      <c r="B64" s="9" t="s">
        <v>138</v>
      </c>
    </row>
    <row r="65" s="2" customFormat="1" ht="33" customHeight="1" spans="1:28">
      <c r="A65" s="10"/>
      <c r="B65" s="11" t="s">
        <v>139</v>
      </c>
      <c r="C65" s="12"/>
      <c r="D65" s="12"/>
      <c r="F65" s="11" t="s">
        <v>140</v>
      </c>
      <c r="G65" s="12"/>
      <c r="H65" s="12"/>
      <c r="J65" s="11" t="s">
        <v>141</v>
      </c>
      <c r="K65" s="12"/>
      <c r="L65" s="12"/>
      <c r="N65" s="11" t="s">
        <v>142</v>
      </c>
      <c r="O65" s="12"/>
      <c r="P65" s="12"/>
      <c r="R65" s="11" t="s">
        <v>143</v>
      </c>
      <c r="S65" s="12"/>
      <c r="T65" s="12"/>
      <c r="V65" s="23" t="s">
        <v>143</v>
      </c>
      <c r="W65" s="24"/>
      <c r="X65" s="24"/>
      <c r="Z65" s="23" t="s">
        <v>144</v>
      </c>
      <c r="AA65" s="24"/>
      <c r="AB65" s="24"/>
    </row>
    <row r="66" s="2" customFormat="1" ht="20.1" customHeight="1" spans="1:28">
      <c r="A66" s="8"/>
      <c r="B66" s="13" t="s">
        <v>20</v>
      </c>
      <c r="C66" s="14" t="s">
        <v>24</v>
      </c>
      <c r="D66" s="14"/>
      <c r="E66" s="15"/>
      <c r="F66" s="13" t="s">
        <v>20</v>
      </c>
      <c r="G66" s="14" t="s">
        <v>24</v>
      </c>
      <c r="H66" s="14"/>
      <c r="J66" s="13" t="s">
        <v>20</v>
      </c>
      <c r="K66" s="14" t="s">
        <v>22</v>
      </c>
      <c r="L66" s="14"/>
      <c r="N66" s="13" t="s">
        <v>20</v>
      </c>
      <c r="O66" s="14" t="s">
        <v>22</v>
      </c>
      <c r="P66" s="14"/>
      <c r="R66" s="13" t="s">
        <v>20</v>
      </c>
      <c r="S66" s="14" t="s">
        <v>23</v>
      </c>
      <c r="T66" s="14"/>
      <c r="V66" s="13" t="s">
        <v>20</v>
      </c>
      <c r="W66" s="14" t="s">
        <v>23</v>
      </c>
      <c r="X66" s="14"/>
      <c r="Z66" s="13" t="s">
        <v>20</v>
      </c>
      <c r="AA66" s="14" t="s">
        <v>22</v>
      </c>
      <c r="AB66" s="14"/>
    </row>
    <row r="67" s="2" customFormat="1" ht="20.1" customHeight="1" spans="1:28">
      <c r="A67" s="8"/>
      <c r="B67" s="13" t="s">
        <v>25</v>
      </c>
      <c r="C67" s="14" t="s">
        <v>31</v>
      </c>
      <c r="D67" s="16" t="s">
        <v>27</v>
      </c>
      <c r="E67" s="15"/>
      <c r="F67" s="13" t="s">
        <v>25</v>
      </c>
      <c r="G67" s="14" t="s">
        <v>145</v>
      </c>
      <c r="H67" s="16" t="s">
        <v>27</v>
      </c>
      <c r="J67" s="13" t="s">
        <v>25</v>
      </c>
      <c r="K67" s="14" t="s">
        <v>146</v>
      </c>
      <c r="L67" s="16" t="s">
        <v>27</v>
      </c>
      <c r="N67" s="13" t="s">
        <v>25</v>
      </c>
      <c r="O67" s="14" t="s">
        <v>133</v>
      </c>
      <c r="P67" s="16" t="s">
        <v>27</v>
      </c>
      <c r="R67" s="13" t="s">
        <v>25</v>
      </c>
      <c r="S67" s="14" t="s">
        <v>147</v>
      </c>
      <c r="T67" s="16" t="s">
        <v>148</v>
      </c>
      <c r="V67" s="13" t="s">
        <v>25</v>
      </c>
      <c r="W67" s="14" t="s">
        <v>120</v>
      </c>
      <c r="X67" s="16" t="s">
        <v>149</v>
      </c>
      <c r="Z67" s="13" t="s">
        <v>25</v>
      </c>
      <c r="AA67" s="14" t="s">
        <v>69</v>
      </c>
      <c r="AB67" s="16" t="s">
        <v>150</v>
      </c>
    </row>
    <row r="68" s="2" customFormat="1" ht="20.1" customHeight="1" spans="1:28">
      <c r="A68" s="8"/>
      <c r="B68" s="17" t="s">
        <v>39</v>
      </c>
      <c r="C68" s="18" t="s">
        <v>77</v>
      </c>
      <c r="D68" s="19" t="s">
        <v>41</v>
      </c>
      <c r="E68" s="15"/>
      <c r="F68" s="17" t="s">
        <v>39</v>
      </c>
      <c r="G68" s="18" t="s">
        <v>73</v>
      </c>
      <c r="H68" s="19" t="s">
        <v>41</v>
      </c>
      <c r="J68" s="17" t="s">
        <v>39</v>
      </c>
      <c r="K68" s="18" t="s">
        <v>43</v>
      </c>
      <c r="L68" s="19" t="s">
        <v>41</v>
      </c>
      <c r="N68" s="17" t="s">
        <v>39</v>
      </c>
      <c r="O68" s="18" t="s">
        <v>96</v>
      </c>
      <c r="P68" s="19" t="s">
        <v>41</v>
      </c>
      <c r="R68" s="17" t="s">
        <v>39</v>
      </c>
      <c r="S68" s="18" t="s">
        <v>151</v>
      </c>
      <c r="T68" s="19" t="s">
        <v>41</v>
      </c>
      <c r="V68" s="17" t="s">
        <v>39</v>
      </c>
      <c r="W68" s="18" t="s">
        <v>77</v>
      </c>
      <c r="X68" s="19" t="s">
        <v>41</v>
      </c>
      <c r="Z68" s="17" t="s">
        <v>39</v>
      </c>
      <c r="AA68" s="18" t="s">
        <v>53</v>
      </c>
      <c r="AB68" s="19" t="s">
        <v>41</v>
      </c>
    </row>
    <row r="69" s="2" customFormat="1" ht="6" customHeight="1" spans="1:28">
      <c r="A69" s="8"/>
      <c r="B69" s="20"/>
      <c r="C69" s="20"/>
      <c r="D69" s="20"/>
      <c r="F69" s="20"/>
      <c r="G69" s="20"/>
      <c r="H69" s="20"/>
      <c r="J69" s="20"/>
      <c r="K69" s="20"/>
      <c r="L69" s="20"/>
      <c r="N69" s="20"/>
      <c r="O69" s="20"/>
      <c r="P69" s="20"/>
      <c r="R69" s="20"/>
      <c r="S69" s="20"/>
      <c r="T69" s="20"/>
      <c r="V69" s="20"/>
      <c r="W69" s="20"/>
      <c r="X69" s="20"/>
      <c r="Z69" s="20"/>
      <c r="AA69" s="20"/>
      <c r="AB69" s="20"/>
    </row>
    <row r="70" s="2" customFormat="1" ht="5.1" customHeight="1" spans="1:1">
      <c r="A70" s="8"/>
    </row>
    <row r="71" s="2" customFormat="1" ht="33" customHeight="1" spans="1:28">
      <c r="A71" s="10"/>
      <c r="B71" s="23" t="s">
        <v>17</v>
      </c>
      <c r="C71" s="24"/>
      <c r="D71" s="24"/>
      <c r="F71" s="23" t="s">
        <v>18</v>
      </c>
      <c r="G71" s="24"/>
      <c r="H71" s="24"/>
      <c r="J71" s="23" t="s">
        <v>48</v>
      </c>
      <c r="K71" s="24"/>
      <c r="L71" s="24"/>
      <c r="N71" s="23" t="s">
        <v>48</v>
      </c>
      <c r="O71" s="24"/>
      <c r="P71" s="24"/>
      <c r="R71" s="23" t="s">
        <v>48</v>
      </c>
      <c r="S71" s="24"/>
      <c r="T71" s="24"/>
      <c r="V71" s="23" t="s">
        <v>48</v>
      </c>
      <c r="W71" s="24"/>
      <c r="X71" s="24"/>
      <c r="Z71" s="23" t="s">
        <v>48</v>
      </c>
      <c r="AA71" s="24"/>
      <c r="AB71" s="24"/>
    </row>
    <row r="72" s="2" customFormat="1" ht="20.1" customHeight="1" spans="1:28">
      <c r="A72" s="8"/>
      <c r="B72" s="13" t="s">
        <v>20</v>
      </c>
      <c r="C72" s="14" t="s">
        <v>22</v>
      </c>
      <c r="D72" s="14"/>
      <c r="E72" s="15"/>
      <c r="F72" s="13" t="s">
        <v>20</v>
      </c>
      <c r="G72" s="14" t="s">
        <v>23</v>
      </c>
      <c r="H72" s="14"/>
      <c r="J72" s="13" t="s">
        <v>20</v>
      </c>
      <c r="K72" s="14" t="s">
        <v>22</v>
      </c>
      <c r="L72" s="14"/>
      <c r="N72" s="13" t="s">
        <v>20</v>
      </c>
      <c r="O72" s="14" t="s">
        <v>22</v>
      </c>
      <c r="P72" s="14"/>
      <c r="R72" s="13" t="s">
        <v>20</v>
      </c>
      <c r="S72" s="14" t="s">
        <v>22</v>
      </c>
      <c r="T72" s="14"/>
      <c r="V72" s="13" t="s">
        <v>20</v>
      </c>
      <c r="W72" s="14" t="s">
        <v>22</v>
      </c>
      <c r="X72" s="14"/>
      <c r="Z72" s="13" t="s">
        <v>20</v>
      </c>
      <c r="AA72" s="14" t="s">
        <v>22</v>
      </c>
      <c r="AB72" s="14"/>
    </row>
    <row r="73" s="2" customFormat="1" ht="20.1" customHeight="1" spans="1:28">
      <c r="A73" s="8"/>
      <c r="B73" s="13" t="s">
        <v>25</v>
      </c>
      <c r="C73" s="14" t="s">
        <v>152</v>
      </c>
      <c r="D73" s="16" t="s">
        <v>153</v>
      </c>
      <c r="E73" s="15"/>
      <c r="F73" s="13" t="s">
        <v>25</v>
      </c>
      <c r="G73" s="14" t="s">
        <v>154</v>
      </c>
      <c r="H73" s="16" t="s">
        <v>155</v>
      </c>
      <c r="J73" s="13" t="s">
        <v>25</v>
      </c>
      <c r="K73" s="14" t="s">
        <v>156</v>
      </c>
      <c r="L73" s="16" t="s">
        <v>157</v>
      </c>
      <c r="N73" s="13" t="s">
        <v>25</v>
      </c>
      <c r="O73" s="14" t="s">
        <v>31</v>
      </c>
      <c r="P73" s="16" t="s">
        <v>158</v>
      </c>
      <c r="R73" s="13" t="s">
        <v>25</v>
      </c>
      <c r="S73" s="14" t="s">
        <v>28</v>
      </c>
      <c r="T73" s="16" t="s">
        <v>159</v>
      </c>
      <c r="V73" s="13" t="s">
        <v>25</v>
      </c>
      <c r="W73" s="14" t="s">
        <v>49</v>
      </c>
      <c r="X73" s="16" t="s">
        <v>160</v>
      </c>
      <c r="Z73" s="13" t="s">
        <v>25</v>
      </c>
      <c r="AA73" s="14" t="s">
        <v>92</v>
      </c>
      <c r="AB73" s="16" t="s">
        <v>161</v>
      </c>
    </row>
    <row r="74" s="2" customFormat="1" ht="20.1" customHeight="1" spans="1:28">
      <c r="A74" s="8"/>
      <c r="B74" s="17" t="s">
        <v>39</v>
      </c>
      <c r="C74" s="18" t="s">
        <v>40</v>
      </c>
      <c r="D74" s="19" t="s">
        <v>41</v>
      </c>
      <c r="E74" s="15"/>
      <c r="F74" s="17" t="s">
        <v>39</v>
      </c>
      <c r="G74" s="18" t="s">
        <v>77</v>
      </c>
      <c r="H74" s="19" t="s">
        <v>41</v>
      </c>
      <c r="J74" s="17" t="s">
        <v>39</v>
      </c>
      <c r="K74" s="18" t="s">
        <v>42</v>
      </c>
      <c r="L74" s="19" t="s">
        <v>41</v>
      </c>
      <c r="N74" s="17" t="s">
        <v>39</v>
      </c>
      <c r="O74" s="18" t="s">
        <v>44</v>
      </c>
      <c r="P74" s="19" t="s">
        <v>41</v>
      </c>
      <c r="R74" s="17" t="s">
        <v>39</v>
      </c>
      <c r="S74" s="18" t="s">
        <v>162</v>
      </c>
      <c r="T74" s="19" t="s">
        <v>41</v>
      </c>
      <c r="V74" s="17" t="s">
        <v>39</v>
      </c>
      <c r="W74" s="18" t="s">
        <v>40</v>
      </c>
      <c r="X74" s="19" t="s">
        <v>41</v>
      </c>
      <c r="Z74" s="17" t="s">
        <v>39</v>
      </c>
      <c r="AA74" s="18" t="s">
        <v>162</v>
      </c>
      <c r="AB74" s="19" t="s">
        <v>41</v>
      </c>
    </row>
    <row r="75" s="2" customFormat="1" ht="6" customHeight="1" spans="1:28">
      <c r="A75" s="8"/>
      <c r="B75" s="20"/>
      <c r="C75" s="20"/>
      <c r="D75" s="20"/>
      <c r="F75" s="20"/>
      <c r="G75" s="20"/>
      <c r="H75" s="20"/>
      <c r="J75" s="20"/>
      <c r="K75" s="20"/>
      <c r="L75" s="20"/>
      <c r="N75" s="20"/>
      <c r="O75" s="20"/>
      <c r="P75" s="20"/>
      <c r="R75" s="20"/>
      <c r="S75" s="20"/>
      <c r="T75" s="20"/>
      <c r="V75" s="20"/>
      <c r="W75" s="20"/>
      <c r="X75" s="20"/>
      <c r="Z75" s="20"/>
      <c r="AA75" s="20"/>
      <c r="AB75" s="20"/>
    </row>
    <row r="76" s="2" customFormat="1" ht="5.1" customHeight="1" spans="1:1">
      <c r="A76" s="8"/>
    </row>
    <row r="77" s="2" customFormat="1" ht="33" customHeight="1" spans="1:4">
      <c r="A77" s="10"/>
      <c r="B77" s="23" t="s">
        <v>48</v>
      </c>
      <c r="C77" s="24"/>
      <c r="D77" s="24"/>
    </row>
    <row r="78" s="2" customFormat="1" ht="20.1" customHeight="1" spans="1:5">
      <c r="A78" s="8"/>
      <c r="B78" s="13" t="s">
        <v>20</v>
      </c>
      <c r="C78" s="14" t="s">
        <v>22</v>
      </c>
      <c r="D78" s="14"/>
      <c r="E78" s="15"/>
    </row>
    <row r="79" s="2" customFormat="1" ht="20.1" customHeight="1" spans="1:5">
      <c r="A79" s="8"/>
      <c r="B79" s="13" t="s">
        <v>25</v>
      </c>
      <c r="C79" s="14" t="s">
        <v>163</v>
      </c>
      <c r="D79" s="16" t="s">
        <v>164</v>
      </c>
      <c r="E79" s="15"/>
    </row>
    <row r="80" s="2" customFormat="1" ht="20.1" customHeight="1" spans="1:5">
      <c r="A80" s="8"/>
      <c r="B80" s="17" t="s">
        <v>39</v>
      </c>
      <c r="C80" s="18" t="s">
        <v>101</v>
      </c>
      <c r="D80" s="19" t="s">
        <v>41</v>
      </c>
      <c r="E80" s="15"/>
    </row>
    <row r="81" s="2" customFormat="1" ht="6" customHeight="1" spans="1:4">
      <c r="A81" s="8"/>
      <c r="B81" s="20"/>
      <c r="C81" s="20"/>
      <c r="D81" s="20"/>
    </row>
    <row r="82" s="2" customFormat="1" ht="5.1" customHeight="1" spans="1:1">
      <c r="A82" s="8"/>
    </row>
    <row r="83" s="2" customFormat="1" spans="1:2">
      <c r="A83" s="8" t="s">
        <v>12</v>
      </c>
      <c r="B83" s="9" t="s">
        <v>165</v>
      </c>
    </row>
    <row r="84" s="2" customFormat="1" ht="33" customHeight="1" spans="1:24">
      <c r="A84" s="10"/>
      <c r="B84" s="11" t="s">
        <v>166</v>
      </c>
      <c r="C84" s="12"/>
      <c r="D84" s="12"/>
      <c r="F84" s="23" t="s">
        <v>144</v>
      </c>
      <c r="G84" s="24"/>
      <c r="H84" s="24"/>
      <c r="J84" s="23" t="s">
        <v>60</v>
      </c>
      <c r="K84" s="24"/>
      <c r="L84" s="24"/>
      <c r="N84" s="23" t="s">
        <v>83</v>
      </c>
      <c r="O84" s="24"/>
      <c r="P84" s="24"/>
      <c r="R84" s="23" t="s">
        <v>48</v>
      </c>
      <c r="S84" s="24"/>
      <c r="T84" s="24"/>
      <c r="V84" s="21" t="s">
        <v>48</v>
      </c>
      <c r="W84" s="22"/>
      <c r="X84" s="22"/>
    </row>
    <row r="85" s="2" customFormat="1" ht="20.1" customHeight="1" spans="1:24">
      <c r="A85" s="8"/>
      <c r="B85" s="13" t="s">
        <v>20</v>
      </c>
      <c r="C85" s="14" t="s">
        <v>23</v>
      </c>
      <c r="D85" s="14"/>
      <c r="E85" s="15"/>
      <c r="F85" s="13" t="s">
        <v>20</v>
      </c>
      <c r="G85" s="14" t="s">
        <v>22</v>
      </c>
      <c r="H85" s="14"/>
      <c r="J85" s="13" t="s">
        <v>20</v>
      </c>
      <c r="K85" s="14" t="s">
        <v>24</v>
      </c>
      <c r="L85" s="14"/>
      <c r="N85" s="13" t="s">
        <v>20</v>
      </c>
      <c r="O85" s="14" t="s">
        <v>22</v>
      </c>
      <c r="P85" s="14"/>
      <c r="R85" s="13" t="s">
        <v>20</v>
      </c>
      <c r="S85" s="14" t="s">
        <v>22</v>
      </c>
      <c r="T85" s="14"/>
      <c r="V85" s="13" t="s">
        <v>20</v>
      </c>
      <c r="W85" s="14" t="s">
        <v>22</v>
      </c>
      <c r="X85" s="14"/>
    </row>
    <row r="86" s="2" customFormat="1" ht="20.1" customHeight="1" spans="1:24">
      <c r="A86" s="8"/>
      <c r="B86" s="13" t="s">
        <v>25</v>
      </c>
      <c r="C86" s="14" t="s">
        <v>167</v>
      </c>
      <c r="D86" s="16" t="s">
        <v>168</v>
      </c>
      <c r="E86" s="15"/>
      <c r="F86" s="13" t="s">
        <v>25</v>
      </c>
      <c r="G86" s="14" t="s">
        <v>169</v>
      </c>
      <c r="H86" s="16" t="s">
        <v>170</v>
      </c>
      <c r="J86" s="13" t="s">
        <v>25</v>
      </c>
      <c r="K86" s="14" t="s">
        <v>118</v>
      </c>
      <c r="L86" s="16" t="s">
        <v>171</v>
      </c>
      <c r="N86" s="13" t="s">
        <v>25</v>
      </c>
      <c r="O86" s="14" t="s">
        <v>172</v>
      </c>
      <c r="P86" s="16" t="s">
        <v>173</v>
      </c>
      <c r="R86" s="13" t="s">
        <v>25</v>
      </c>
      <c r="S86" s="14" t="s">
        <v>174</v>
      </c>
      <c r="T86" s="16" t="s">
        <v>175</v>
      </c>
      <c r="V86" s="13" t="s">
        <v>25</v>
      </c>
      <c r="W86" s="14" t="s">
        <v>176</v>
      </c>
      <c r="X86" s="16" t="s">
        <v>177</v>
      </c>
    </row>
    <row r="87" s="2" customFormat="1" ht="20.1" customHeight="1" spans="1:24">
      <c r="A87" s="8"/>
      <c r="B87" s="17" t="s">
        <v>39</v>
      </c>
      <c r="C87" s="18" t="s">
        <v>53</v>
      </c>
      <c r="D87" s="19" t="s">
        <v>41</v>
      </c>
      <c r="E87" s="15"/>
      <c r="F87" s="17" t="s">
        <v>39</v>
      </c>
      <c r="G87" s="18" t="s">
        <v>73</v>
      </c>
      <c r="H87" s="19" t="s">
        <v>41</v>
      </c>
      <c r="J87" s="17" t="s">
        <v>39</v>
      </c>
      <c r="K87" s="18" t="s">
        <v>44</v>
      </c>
      <c r="L87" s="19" t="s">
        <v>41</v>
      </c>
      <c r="N87" s="17" t="s">
        <v>39</v>
      </c>
      <c r="O87" s="18" t="s">
        <v>151</v>
      </c>
      <c r="P87" s="19" t="s">
        <v>41</v>
      </c>
      <c r="R87" s="17" t="s">
        <v>39</v>
      </c>
      <c r="S87" s="18" t="s">
        <v>101</v>
      </c>
      <c r="T87" s="19" t="s">
        <v>41</v>
      </c>
      <c r="V87" s="17" t="s">
        <v>39</v>
      </c>
      <c r="W87" s="18" t="s">
        <v>71</v>
      </c>
      <c r="X87" s="19" t="s">
        <v>41</v>
      </c>
    </row>
    <row r="88" s="2" customFormat="1" ht="6" customHeight="1" spans="1:24">
      <c r="A88" s="8"/>
      <c r="B88" s="20"/>
      <c r="C88" s="20"/>
      <c r="D88" s="20"/>
      <c r="F88" s="20"/>
      <c r="G88" s="20"/>
      <c r="H88" s="20"/>
      <c r="J88" s="20"/>
      <c r="K88" s="20"/>
      <c r="L88" s="20"/>
      <c r="N88" s="20"/>
      <c r="O88" s="20"/>
      <c r="P88" s="20"/>
      <c r="R88" s="20"/>
      <c r="S88" s="20"/>
      <c r="T88" s="20"/>
      <c r="V88" s="20"/>
      <c r="W88" s="20"/>
      <c r="X88" s="20"/>
    </row>
    <row r="89" s="2" customFormat="1" ht="5.1" customHeight="1" spans="1:1">
      <c r="A89" s="8"/>
    </row>
    <row r="90" s="2" customFormat="1" spans="1:2">
      <c r="A90" s="8" t="s">
        <v>12</v>
      </c>
      <c r="B90" s="9" t="s">
        <v>178</v>
      </c>
    </row>
    <row r="91" s="2" customFormat="1" ht="33" customHeight="1" spans="1:12">
      <c r="A91" s="10"/>
      <c r="B91" s="11" t="s">
        <v>179</v>
      </c>
      <c r="C91" s="12"/>
      <c r="D91" s="12"/>
      <c r="F91" s="11" t="s">
        <v>47</v>
      </c>
      <c r="G91" s="12"/>
      <c r="H91" s="12"/>
      <c r="J91" s="23" t="s">
        <v>179</v>
      </c>
      <c r="K91" s="24"/>
      <c r="L91" s="24"/>
    </row>
    <row r="92" s="2" customFormat="1" ht="20.1" customHeight="1" spans="1:12">
      <c r="A92" s="8"/>
      <c r="B92" s="13" t="s">
        <v>20</v>
      </c>
      <c r="C92" s="14" t="s">
        <v>22</v>
      </c>
      <c r="D92" s="14"/>
      <c r="E92" s="15"/>
      <c r="F92" s="13" t="s">
        <v>20</v>
      </c>
      <c r="G92" s="14" t="s">
        <v>24</v>
      </c>
      <c r="H92" s="14"/>
      <c r="J92" s="13" t="s">
        <v>20</v>
      </c>
      <c r="K92" s="14" t="s">
        <v>22</v>
      </c>
      <c r="L92" s="14"/>
    </row>
    <row r="93" s="2" customFormat="1" ht="20.1" customHeight="1" spans="1:12">
      <c r="A93" s="8"/>
      <c r="B93" s="13" t="s">
        <v>25</v>
      </c>
      <c r="C93" s="14" t="s">
        <v>180</v>
      </c>
      <c r="D93" s="16" t="s">
        <v>181</v>
      </c>
      <c r="E93" s="15"/>
      <c r="F93" s="13" t="s">
        <v>25</v>
      </c>
      <c r="G93" s="14" t="s">
        <v>86</v>
      </c>
      <c r="H93" s="16" t="s">
        <v>182</v>
      </c>
      <c r="J93" s="13" t="s">
        <v>25</v>
      </c>
      <c r="K93" s="14" t="s">
        <v>183</v>
      </c>
      <c r="L93" s="16" t="s">
        <v>184</v>
      </c>
    </row>
    <row r="94" s="2" customFormat="1" ht="20.1" customHeight="1" spans="1:12">
      <c r="A94" s="8"/>
      <c r="B94" s="17" t="s">
        <v>39</v>
      </c>
      <c r="C94" s="18" t="s">
        <v>42</v>
      </c>
      <c r="D94" s="19" t="s">
        <v>41</v>
      </c>
      <c r="E94" s="15"/>
      <c r="F94" s="17" t="s">
        <v>39</v>
      </c>
      <c r="G94" s="18" t="s">
        <v>162</v>
      </c>
      <c r="H94" s="19" t="s">
        <v>41</v>
      </c>
      <c r="J94" s="17" t="s">
        <v>39</v>
      </c>
      <c r="K94" s="18" t="s">
        <v>151</v>
      </c>
      <c r="L94" s="19" t="s">
        <v>41</v>
      </c>
    </row>
    <row r="95" s="2" customFormat="1" ht="6" customHeight="1" spans="1:12">
      <c r="A95" s="8"/>
      <c r="B95" s="20"/>
      <c r="C95" s="20"/>
      <c r="D95" s="20"/>
      <c r="F95" s="20"/>
      <c r="G95" s="20"/>
      <c r="H95" s="20"/>
      <c r="J95" s="20"/>
      <c r="K95" s="20"/>
      <c r="L95" s="20"/>
    </row>
    <row r="96" s="2" customFormat="1" ht="5.1" customHeight="1" spans="1:1">
      <c r="A96" s="8"/>
    </row>
    <row r="97" hidden="1"/>
    <row r="98" hidden="1"/>
    <row r="99" hidden="1"/>
    <row r="100" hidden="1"/>
    <row r="101" hidden="1"/>
    <row r="102" hidden="1"/>
    <row r="103" hidden="1"/>
    <row r="104" hidden="1"/>
  </sheetData>
  <mergeCells count="68">
    <mergeCell ref="B3:C3"/>
    <mergeCell ref="B6:D6"/>
    <mergeCell ref="F6:H6"/>
    <mergeCell ref="J6:L6"/>
    <mergeCell ref="N6:P6"/>
    <mergeCell ref="R6:T6"/>
    <mergeCell ref="V6:X6"/>
    <mergeCell ref="Z6:AB6"/>
    <mergeCell ref="B12:D12"/>
    <mergeCell ref="F12:H12"/>
    <mergeCell ref="B19:D19"/>
    <mergeCell ref="F19:H19"/>
    <mergeCell ref="J19:L19"/>
    <mergeCell ref="N19:P19"/>
    <mergeCell ref="R19:T19"/>
    <mergeCell ref="V19:X19"/>
    <mergeCell ref="Z19:AB19"/>
    <mergeCell ref="B25:D25"/>
    <mergeCell ref="B32:D32"/>
    <mergeCell ref="F32:H32"/>
    <mergeCell ref="J32:L32"/>
    <mergeCell ref="N32:P32"/>
    <mergeCell ref="R32:T32"/>
    <mergeCell ref="V32:X32"/>
    <mergeCell ref="Z32:AB32"/>
    <mergeCell ref="B38:D38"/>
    <mergeCell ref="B45:D45"/>
    <mergeCell ref="F45:H45"/>
    <mergeCell ref="J45:L45"/>
    <mergeCell ref="N45:P45"/>
    <mergeCell ref="R45:T45"/>
    <mergeCell ref="V45:X45"/>
    <mergeCell ref="Z45:AB45"/>
    <mergeCell ref="B51:D51"/>
    <mergeCell ref="F51:H51"/>
    <mergeCell ref="J51:L51"/>
    <mergeCell ref="N51:P51"/>
    <mergeCell ref="R51:T51"/>
    <mergeCell ref="V51:X51"/>
    <mergeCell ref="Z51:AB51"/>
    <mergeCell ref="B58:D58"/>
    <mergeCell ref="F58:H58"/>
    <mergeCell ref="J58:L58"/>
    <mergeCell ref="N58:P58"/>
    <mergeCell ref="B65:D65"/>
    <mergeCell ref="F65:H65"/>
    <mergeCell ref="J65:L65"/>
    <mergeCell ref="N65:P65"/>
    <mergeCell ref="R65:T65"/>
    <mergeCell ref="V65:X65"/>
    <mergeCell ref="Z65:AB65"/>
    <mergeCell ref="B71:D71"/>
    <mergeCell ref="F71:H71"/>
    <mergeCell ref="J71:L71"/>
    <mergeCell ref="N71:P71"/>
    <mergeCell ref="R71:T71"/>
    <mergeCell ref="V71:X71"/>
    <mergeCell ref="Z71:AB71"/>
    <mergeCell ref="B77:D77"/>
    <mergeCell ref="B84:D84"/>
    <mergeCell ref="F84:H84"/>
    <mergeCell ref="J84:L84"/>
    <mergeCell ref="N84:P84"/>
    <mergeCell ref="R84:T84"/>
    <mergeCell ref="V84:X84"/>
    <mergeCell ref="B91:D91"/>
    <mergeCell ref="F91:H91"/>
    <mergeCell ref="J91:L91"/>
  </mergeCells>
  <pageMargins left="0.75" right="0.75" top="1" bottom="1" header="0.5" footer="0.5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BK38"/>
  <sheetViews>
    <sheetView workbookViewId="0">
      <pane ySplit="1" topLeftCell="A2" activePane="bottomLeft" state="frozen"/>
      <selection/>
      <selection pane="bottomLeft" activeCell="G5" sqref="G5:H5"/>
    </sheetView>
  </sheetViews>
  <sheetFormatPr defaultColWidth="9" defaultRowHeight="13.5"/>
  <cols>
    <col min="1" max="2" width="3.625" style="2" customWidth="1"/>
    <col min="3" max="3" width="14.625" style="2" customWidth="1"/>
    <col min="4" max="4" width="26.625" style="2" customWidth="1"/>
    <col min="5" max="5" width="7.625" style="2" customWidth="1"/>
    <col min="6" max="6" width="14.625" style="2" customWidth="1"/>
    <col min="7" max="7" width="22.625" style="2" customWidth="1"/>
    <col min="8" max="8" width="4.625" style="2" customWidth="1"/>
    <col min="9" max="9" width="3.625" style="2" customWidth="1"/>
    <col min="10" max="10" width="19" style="2" customWidth="1"/>
    <col min="11" max="11" width="27.625" style="2" customWidth="1"/>
    <col min="12" max="12" width="10" style="2" customWidth="1"/>
    <col min="13" max="13" width="19" style="2" customWidth="1"/>
    <col min="14" max="14" width="10" style="2" customWidth="1"/>
    <col min="15" max="15" width="19" style="2" customWidth="1"/>
    <col min="16" max="16" width="3.625" style="2" customWidth="1"/>
    <col min="17" max="17" width="10" style="2" customWidth="1"/>
    <col min="18" max="18" width="19" style="2" customWidth="1"/>
    <col min="19" max="19" width="3.625" style="2" customWidth="1"/>
    <col min="20" max="20" width="10" style="2" customWidth="1"/>
    <col min="21" max="21" width="19" style="2" customWidth="1"/>
    <col min="22" max="22" width="3.625" style="2" customWidth="1"/>
    <col min="23" max="23" width="10" style="2" customWidth="1"/>
    <col min="24" max="24" width="19" style="2" customWidth="1"/>
    <col min="25" max="25" width="3.625" style="2" customWidth="1"/>
    <col min="26" max="26" width="10" style="2" customWidth="1"/>
    <col min="27" max="27" width="19" style="2" customWidth="1"/>
    <col min="28" max="28" width="3.625" style="2" customWidth="1"/>
    <col min="29" max="29" width="10" style="2" customWidth="1"/>
    <col min="30" max="30" width="19" style="2" customWidth="1"/>
    <col min="31" max="31" width="3.625" style="2" customWidth="1"/>
    <col min="32" max="32" width="10" style="2" customWidth="1"/>
    <col min="33" max="33" width="19" style="2" customWidth="1"/>
    <col min="34" max="34" width="3.625" style="2" customWidth="1"/>
    <col min="35" max="35" width="10" style="2" customWidth="1"/>
    <col min="36" max="36" width="19" style="2" customWidth="1"/>
    <col min="37" max="37" width="3.625" style="2" customWidth="1"/>
    <col min="38" max="38" width="10" style="2" customWidth="1"/>
    <col min="39" max="39" width="19" style="2" customWidth="1"/>
    <col min="40" max="40" width="3.625" style="2" customWidth="1"/>
    <col min="41" max="41" width="10" style="2" customWidth="1"/>
    <col min="42" max="42" width="19" style="2" customWidth="1"/>
    <col min="43" max="43" width="3.625" style="2" customWidth="1"/>
    <col min="44" max="44" width="10" style="2" customWidth="1"/>
    <col min="45" max="45" width="19" style="2" customWidth="1"/>
    <col min="46" max="46" width="3.625" style="2" customWidth="1"/>
    <col min="47" max="47" width="10" style="2" customWidth="1"/>
    <col min="48" max="48" width="19" style="2" customWidth="1"/>
    <col min="49" max="49" width="3.625" style="2" customWidth="1"/>
    <col min="50" max="50" width="10" style="2" customWidth="1"/>
    <col min="51" max="51" width="19" style="2" customWidth="1"/>
    <col min="52" max="52" width="3.625" style="2" customWidth="1"/>
    <col min="53" max="53" width="10" style="2" customWidth="1"/>
    <col min="54" max="54" width="19" style="2" customWidth="1"/>
    <col min="55" max="55" width="3.625" style="2" customWidth="1"/>
    <col min="56" max="56" width="10" style="2" customWidth="1"/>
    <col min="57" max="57" width="19" style="2" customWidth="1"/>
    <col min="58" max="58" width="3.625" style="2" customWidth="1"/>
    <col min="59" max="16382" width="9" style="2"/>
    <col min="16383" max="16384" width="9" style="4"/>
  </cols>
  <sheetData>
    <row r="1" s="1" customFormat="1" ht="57" customHeight="1"/>
    <row r="2" s="2" customFormat="1" ht="9.95" customHeight="1" spans="26:26">
      <c r="Z2" s="2" t="s">
        <v>185</v>
      </c>
    </row>
    <row r="3" s="2" customFormat="1" ht="39.95" customHeight="1" spans="2:17">
      <c r="B3" s="52"/>
      <c r="C3" s="79" t="s">
        <v>186</v>
      </c>
      <c r="D3" s="80"/>
      <c r="E3" s="80"/>
      <c r="F3" s="80"/>
      <c r="G3" s="80"/>
      <c r="H3" s="80"/>
      <c r="I3" s="52"/>
      <c r="J3" s="82"/>
      <c r="K3" s="82"/>
      <c r="L3" s="82"/>
      <c r="M3" s="82"/>
      <c r="N3" s="82"/>
      <c r="O3" s="82"/>
      <c r="P3" s="82"/>
      <c r="Q3" s="82"/>
    </row>
    <row r="4" s="2" customFormat="1" ht="12.95" customHeight="1" spans="2:17">
      <c r="B4" s="52"/>
      <c r="C4" s="26"/>
      <c r="D4" s="52"/>
      <c r="E4" s="52"/>
      <c r="F4" s="52"/>
      <c r="G4" s="52"/>
      <c r="H4" s="52"/>
      <c r="I4" s="52"/>
      <c r="J4" s="82"/>
      <c r="K4" s="82"/>
      <c r="L4" s="82"/>
      <c r="M4" s="82"/>
      <c r="N4" s="82"/>
      <c r="O4" s="82"/>
      <c r="P4" s="82"/>
      <c r="Q4" s="82"/>
    </row>
    <row r="5" s="2" customFormat="1" ht="24" customHeight="1" spans="2:17">
      <c r="B5" s="83"/>
      <c r="C5" s="84" t="s">
        <v>187</v>
      </c>
      <c r="D5" s="85"/>
      <c r="E5" s="90"/>
      <c r="F5" s="84" t="s">
        <v>188</v>
      </c>
      <c r="G5" s="116"/>
      <c r="H5" s="117"/>
      <c r="I5" s="83"/>
      <c r="J5" s="86"/>
      <c r="K5" s="86"/>
      <c r="L5" s="86"/>
      <c r="M5" s="86"/>
      <c r="N5" s="86"/>
      <c r="O5" s="86"/>
      <c r="P5" s="86"/>
      <c r="Q5" s="86"/>
    </row>
    <row r="6" s="2" customFormat="1" ht="24" customHeight="1" spans="2:63">
      <c r="B6" s="83"/>
      <c r="C6" s="81"/>
      <c r="D6" s="87"/>
      <c r="E6" s="81"/>
      <c r="F6" s="81"/>
      <c r="G6" s="87"/>
      <c r="H6" s="87"/>
      <c r="I6" s="95"/>
      <c r="J6" s="88"/>
      <c r="K6" s="88"/>
      <c r="L6" s="88"/>
      <c r="M6" s="88"/>
      <c r="N6" s="88"/>
      <c r="O6" s="88"/>
      <c r="P6" s="88"/>
      <c r="Q6" s="88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="2" customFormat="1" ht="24" customHeight="1" spans="2:63">
      <c r="B7" s="83"/>
      <c r="C7" s="84" t="s">
        <v>189</v>
      </c>
      <c r="D7" s="85"/>
      <c r="E7" s="81"/>
      <c r="F7" s="84" t="s">
        <v>190</v>
      </c>
      <c r="G7" s="116"/>
      <c r="H7" s="117"/>
      <c r="I7" s="95"/>
      <c r="J7" s="88"/>
      <c r="K7" s="88"/>
      <c r="L7" s="88"/>
      <c r="M7" s="88"/>
      <c r="N7" s="88"/>
      <c r="O7" s="88"/>
      <c r="P7" s="88"/>
      <c r="Q7" s="88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="2" customFormat="1" ht="24" customHeight="1" spans="2:63">
      <c r="B8" s="83"/>
      <c r="C8" s="81"/>
      <c r="D8" s="87"/>
      <c r="E8" s="81"/>
      <c r="F8" s="81"/>
      <c r="G8" s="87"/>
      <c r="H8" s="87"/>
      <c r="I8" s="95"/>
      <c r="J8" s="88"/>
      <c r="K8" s="88"/>
      <c r="L8" s="88"/>
      <c r="M8" s="88"/>
      <c r="N8" s="88"/>
      <c r="O8" s="88"/>
      <c r="P8" s="88"/>
      <c r="Q8" s="88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="2" customFormat="1" ht="24" customHeight="1" spans="2:63">
      <c r="B9" s="83"/>
      <c r="C9" s="84" t="s">
        <v>191</v>
      </c>
      <c r="D9" s="85"/>
      <c r="E9" s="90"/>
      <c r="F9" s="84" t="s">
        <v>192</v>
      </c>
      <c r="G9" s="116"/>
      <c r="H9" s="117"/>
      <c r="I9" s="83"/>
      <c r="J9" s="96"/>
      <c r="K9" s="88"/>
      <c r="L9" s="88"/>
      <c r="M9" s="88"/>
      <c r="N9" s="88"/>
      <c r="O9" s="88"/>
      <c r="P9" s="88"/>
      <c r="Q9" s="88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="2" customFormat="1" ht="24" customHeight="1" spans="2:63">
      <c r="B10" s="83"/>
      <c r="C10" s="81"/>
      <c r="D10" s="87"/>
      <c r="E10" s="81"/>
      <c r="F10" s="81"/>
      <c r="G10" s="87"/>
      <c r="H10" s="87"/>
      <c r="I10" s="95"/>
      <c r="J10" s="88"/>
      <c r="K10" s="88"/>
      <c r="L10" s="88"/>
      <c r="M10" s="88"/>
      <c r="N10" s="88"/>
      <c r="O10" s="88"/>
      <c r="P10" s="88"/>
      <c r="Q10" s="88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="2" customFormat="1" ht="24" customHeight="1" spans="2:17">
      <c r="B11" s="83"/>
      <c r="C11" s="84" t="s">
        <v>193</v>
      </c>
      <c r="D11" s="85"/>
      <c r="E11" s="81"/>
      <c r="F11" s="84" t="s">
        <v>194</v>
      </c>
      <c r="G11" s="116"/>
      <c r="H11" s="117"/>
      <c r="I11" s="95"/>
      <c r="J11" s="88"/>
      <c r="K11" s="88"/>
      <c r="L11" s="88"/>
      <c r="M11" s="88"/>
      <c r="N11" s="88"/>
      <c r="O11" s="88"/>
      <c r="P11" s="88"/>
      <c r="Q11" s="88"/>
    </row>
    <row r="12" s="2" customFormat="1" ht="24" customHeight="1" spans="2:17">
      <c r="B12" s="83"/>
      <c r="C12" s="84"/>
      <c r="D12" s="91"/>
      <c r="E12" s="81"/>
      <c r="F12" s="84"/>
      <c r="G12" s="91"/>
      <c r="H12" s="91"/>
      <c r="I12" s="95"/>
      <c r="J12" s="88"/>
      <c r="K12" s="88"/>
      <c r="L12" s="88"/>
      <c r="M12" s="88"/>
      <c r="N12" s="88"/>
      <c r="O12" s="88"/>
      <c r="P12" s="88"/>
      <c r="Q12" s="88"/>
    </row>
    <row r="13" s="2" customFormat="1" ht="24" customHeight="1" spans="2:17">
      <c r="B13" s="83"/>
      <c r="C13" s="84" t="s">
        <v>195</v>
      </c>
      <c r="D13" s="89"/>
      <c r="E13" s="81"/>
      <c r="F13" s="84"/>
      <c r="G13" s="84"/>
      <c r="H13" s="84"/>
      <c r="I13" s="95"/>
      <c r="J13" s="88"/>
      <c r="K13" s="88"/>
      <c r="L13" s="88"/>
      <c r="M13" s="88"/>
      <c r="N13" s="88"/>
      <c r="O13" s="88"/>
      <c r="P13" s="88"/>
      <c r="Q13" s="88"/>
    </row>
    <row r="14" s="2" customFormat="1" ht="24" customHeight="1" spans="2:17">
      <c r="B14" s="83"/>
      <c r="C14" s="81"/>
      <c r="D14" s="87"/>
      <c r="E14" s="81"/>
      <c r="F14" s="81"/>
      <c r="G14" s="87"/>
      <c r="H14" s="87"/>
      <c r="I14" s="95"/>
      <c r="J14" s="88"/>
      <c r="K14" s="88"/>
      <c r="L14" s="88"/>
      <c r="M14" s="88"/>
      <c r="N14" s="88"/>
      <c r="O14" s="88"/>
      <c r="P14" s="88"/>
      <c r="Q14" s="88"/>
    </row>
    <row r="15" s="2" customFormat="1" ht="24" customHeight="1" spans="2:63">
      <c r="B15" s="83"/>
      <c r="C15" s="81" t="s">
        <v>196</v>
      </c>
      <c r="D15" s="97"/>
      <c r="E15" s="98"/>
      <c r="F15" s="98"/>
      <c r="G15" s="98"/>
      <c r="H15" s="118"/>
      <c r="I15" s="95"/>
      <c r="J15" s="88"/>
      <c r="K15" s="88"/>
      <c r="L15" s="88"/>
      <c r="M15" s="88"/>
      <c r="N15" s="88"/>
      <c r="O15" s="88"/>
      <c r="P15" s="88"/>
      <c r="Q15" s="88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="2" customFormat="1" ht="24" customHeight="1" spans="2:63">
      <c r="B16" s="83"/>
      <c r="C16" s="81"/>
      <c r="D16" s="100"/>
      <c r="E16" s="101"/>
      <c r="F16" s="101"/>
      <c r="G16" s="101"/>
      <c r="H16" s="119"/>
      <c r="I16" s="95"/>
      <c r="J16" s="88"/>
      <c r="K16" s="88"/>
      <c r="L16" s="88"/>
      <c r="M16" s="88"/>
      <c r="N16" s="88"/>
      <c r="O16" s="88"/>
      <c r="P16" s="88"/>
      <c r="Q16" s="88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="2" customFormat="1" ht="20.1" customHeight="1" spans="2:17">
      <c r="B17" s="83"/>
      <c r="C17" s="95"/>
      <c r="D17" s="95"/>
      <c r="E17" s="95"/>
      <c r="F17" s="95"/>
      <c r="G17" s="95"/>
      <c r="H17" s="95"/>
      <c r="I17" s="95"/>
      <c r="J17" s="88"/>
      <c r="K17" s="88"/>
      <c r="L17" s="88"/>
      <c r="M17" s="88"/>
      <c r="N17" s="88"/>
      <c r="O17" s="88"/>
      <c r="P17" s="88"/>
      <c r="Q17" s="88"/>
    </row>
    <row r="18" ht="24" customHeight="1" spans="2:17">
      <c r="B18" s="83"/>
      <c r="C18" s="95"/>
      <c r="D18" s="95"/>
      <c r="E18" s="95"/>
      <c r="F18" s="95"/>
      <c r="G18" s="95"/>
      <c r="H18" s="95"/>
      <c r="I18" s="95"/>
      <c r="J18" s="88"/>
      <c r="K18" s="88"/>
      <c r="L18" s="88"/>
      <c r="M18" s="88"/>
      <c r="N18" s="88"/>
      <c r="O18" s="88"/>
      <c r="P18" s="88"/>
      <c r="Q18" s="88"/>
    </row>
    <row r="19" s="2" customFormat="1" ht="20.1" customHeight="1" spans="2:17">
      <c r="B19" s="83"/>
      <c r="C19" s="95"/>
      <c r="D19" s="95"/>
      <c r="E19" s="95"/>
      <c r="F19" s="95"/>
      <c r="G19" s="95"/>
      <c r="H19" s="95"/>
      <c r="I19" s="95"/>
      <c r="J19" s="88"/>
      <c r="K19" s="88"/>
      <c r="L19" s="88"/>
      <c r="M19" s="88"/>
      <c r="N19" s="88"/>
      <c r="O19" s="88"/>
      <c r="P19" s="88"/>
      <c r="Q19" s="88"/>
    </row>
    <row r="20" s="2" customFormat="1" ht="24" customHeight="1" spans="2:63">
      <c r="B20" s="86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="2" customFormat="1" ht="24" customHeight="1" spans="2:63">
      <c r="B21" s="86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="2" customFormat="1" ht="24" customHeight="1" spans="2:63">
      <c r="B22" s="86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="2" customFormat="1" ht="24" customHeight="1" spans="2:17">
      <c r="B23" s="86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</row>
    <row r="24" s="2" customFormat="1" ht="24" customHeight="1" spans="2:17">
      <c r="B24" s="86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</row>
    <row r="25" s="2" customFormat="1" ht="24" customHeight="1" spans="2:17">
      <c r="B25" s="86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</row>
    <row r="26" s="2" customFormat="1" ht="24" customHeight="1" spans="2:63">
      <c r="B26" s="86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="2" customFormat="1" ht="24" customHeight="1" spans="2:63">
      <c r="B27" s="86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="2" customFormat="1" ht="24" customHeight="1" spans="2:63">
      <c r="B28" s="86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="2" customFormat="1" ht="24" customHeight="1" spans="2:17">
      <c r="B29" s="86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</row>
    <row r="30" s="2" customFormat="1" ht="24" customHeight="1" spans="2:17">
      <c r="B30" s="86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</row>
    <row r="31" s="2" customFormat="1" ht="24" customHeight="1" spans="2:17">
      <c r="B31" s="86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</row>
    <row r="32" s="2" customFormat="1" ht="24" customHeight="1" spans="2:17">
      <c r="B32" s="86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</row>
    <row r="33" s="2" customFormat="1" ht="24" customHeight="1" spans="2:17">
      <c r="B33" s="86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</row>
    <row r="34" s="2" customFormat="1" ht="24" customHeight="1" spans="2:17">
      <c r="B34" s="86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</row>
    <row r="35" s="2" customFormat="1" ht="24" customHeight="1" spans="2:17"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</row>
    <row r="36" s="2" customFormat="1" ht="24" customHeight="1" spans="2:17"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</row>
    <row r="37" s="2" customFormat="1" ht="24" customHeight="1" spans="2:17"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</row>
    <row r="38" s="2" customFormat="1"/>
  </sheetData>
  <mergeCells count="6">
    <mergeCell ref="G5:H5"/>
    <mergeCell ref="G7:H7"/>
    <mergeCell ref="G9:H9"/>
    <mergeCell ref="G11:H11"/>
    <mergeCell ref="H15:H16"/>
    <mergeCell ref="D15:G16"/>
  </mergeCells>
  <dataValidations count="1">
    <dataValidation type="list" allowBlank="1" showInputMessage="1" showErrorMessage="1" sqref="G5 H5">
      <formula1>OFFSET(参数设置!$H$5,0,0,COUNTA(参数设置!$H:$H)-2,1)</formula1>
    </dataValidation>
  </dataValidation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XEP10000"/>
  <sheetViews>
    <sheetView showGridLines="0" workbookViewId="0">
      <pane ySplit="4" topLeftCell="A5" activePane="bottomLeft" state="frozen"/>
      <selection/>
      <selection pane="bottomLeft" activeCell="Q13" sqref="Q13"/>
    </sheetView>
  </sheetViews>
  <sheetFormatPr defaultColWidth="9" defaultRowHeight="13.5"/>
  <cols>
    <col min="1" max="1" width="3.625" style="2" customWidth="1"/>
    <col min="2" max="2" width="3.625" style="7" customWidth="1"/>
    <col min="3" max="3" width="15.625" style="68" customWidth="1"/>
    <col min="4" max="4" width="12.625" style="68" customWidth="1"/>
    <col min="5" max="5" width="14.25" style="68" customWidth="1"/>
    <col min="6" max="6" width="19.375" style="68" customWidth="1"/>
    <col min="7" max="10" width="6.625" style="68" customWidth="1"/>
    <col min="11" max="11" width="8.625" style="68" customWidth="1"/>
    <col min="12" max="12" width="48" style="68" customWidth="1"/>
    <col min="13" max="13" width="15.75" style="68" customWidth="1"/>
    <col min="14" max="14" width="15" style="105" customWidth="1"/>
    <col min="15" max="15" width="14.875" style="68" customWidth="1"/>
    <col min="16" max="16" width="11.75" style="106" customWidth="1"/>
    <col min="17" max="17" width="3.625" style="7" customWidth="1"/>
    <col min="18" max="18" width="10" style="2" customWidth="1"/>
    <col min="19" max="16363" width="9" style="2"/>
    <col min="16364" max="16384" width="9" style="4"/>
  </cols>
  <sheetData>
    <row r="1" s="1" customFormat="1" ht="57" customHeight="1" spans="14:16">
      <c r="N1" s="108"/>
      <c r="P1" s="109"/>
    </row>
    <row r="2" s="2" customFormat="1" ht="9.95" customHeight="1" spans="14:26">
      <c r="N2" s="110"/>
      <c r="P2" s="111"/>
      <c r="Z2" s="2" t="s">
        <v>11</v>
      </c>
    </row>
    <row r="3" s="2" customFormat="1" ht="39.95" customHeight="1" spans="2:17">
      <c r="B3" s="36"/>
      <c r="C3" s="26" t="s">
        <v>185</v>
      </c>
      <c r="D3" s="26"/>
      <c r="E3" s="26"/>
      <c r="F3" s="7"/>
      <c r="G3" s="7"/>
      <c r="H3" s="7"/>
      <c r="I3" s="7"/>
      <c r="J3" s="7"/>
      <c r="K3" s="7"/>
      <c r="L3" s="7"/>
      <c r="M3" s="7"/>
      <c r="N3" s="112"/>
      <c r="O3" s="7"/>
      <c r="P3" s="113"/>
      <c r="Q3" s="27"/>
    </row>
    <row r="4" s="2" customFormat="1" ht="26.1" customHeight="1" spans="2:17">
      <c r="B4" s="27"/>
      <c r="C4" s="107" t="s">
        <v>197</v>
      </c>
      <c r="D4" s="107" t="s">
        <v>198</v>
      </c>
      <c r="E4" s="107" t="s">
        <v>199</v>
      </c>
      <c r="F4" s="107" t="s">
        <v>200</v>
      </c>
      <c r="G4" s="107" t="s">
        <v>201</v>
      </c>
      <c r="H4" s="107" t="s">
        <v>202</v>
      </c>
      <c r="I4" s="107" t="s">
        <v>203</v>
      </c>
      <c r="J4" s="107" t="s">
        <v>204</v>
      </c>
      <c r="K4" s="107" t="s">
        <v>205</v>
      </c>
      <c r="L4" s="107" t="s">
        <v>206</v>
      </c>
      <c r="M4" s="107" t="s">
        <v>207</v>
      </c>
      <c r="N4" s="107" t="s">
        <v>208</v>
      </c>
      <c r="O4" s="107" t="s">
        <v>209</v>
      </c>
      <c r="P4" s="107" t="s">
        <v>210</v>
      </c>
      <c r="Q4" s="27"/>
    </row>
    <row r="5" s="2" customFormat="1" ht="26.1" customHeight="1" spans="2:17">
      <c r="B5" s="32"/>
      <c r="C5" s="75">
        <v>44514</v>
      </c>
      <c r="D5" s="75" t="s">
        <v>27</v>
      </c>
      <c r="E5" s="76" t="s">
        <v>13</v>
      </c>
      <c r="F5" s="76" t="s">
        <v>14</v>
      </c>
      <c r="G5" s="76">
        <v>3</v>
      </c>
      <c r="H5" s="76">
        <v>2</v>
      </c>
      <c r="I5" s="76">
        <v>2</v>
      </c>
      <c r="J5" s="76">
        <f ca="1">RANDBETWEEN(40,150)</f>
        <v>97</v>
      </c>
      <c r="K5" s="76">
        <f ca="1">ROUND(RANDBETWEEN(800,3000),-2)</f>
        <v>1200</v>
      </c>
      <c r="L5" s="76" t="s">
        <v>211</v>
      </c>
      <c r="M5" s="76"/>
      <c r="N5" s="75"/>
      <c r="O5" s="76" t="s">
        <v>212</v>
      </c>
      <c r="P5" s="114" t="s">
        <v>213</v>
      </c>
      <c r="Q5" s="32"/>
    </row>
    <row r="6" s="2" customFormat="1" ht="26.1" customHeight="1" spans="2:17">
      <c r="B6" s="33"/>
      <c r="C6" s="75">
        <v>44514</v>
      </c>
      <c r="D6" s="75" t="s">
        <v>27</v>
      </c>
      <c r="E6" s="76" t="s">
        <v>55</v>
      </c>
      <c r="F6" s="76" t="s">
        <v>56</v>
      </c>
      <c r="G6" s="76">
        <v>3</v>
      </c>
      <c r="H6" s="76">
        <v>3</v>
      </c>
      <c r="I6" s="76">
        <v>1</v>
      </c>
      <c r="J6" s="76">
        <f ca="1" t="shared" ref="J6:J15" si="0">RANDBETWEEN(40,150)</f>
        <v>72</v>
      </c>
      <c r="K6" s="76">
        <f ca="1" t="shared" ref="K6:K15" si="1">ROUND(RANDBETWEEN(800,3000),-2)</f>
        <v>2800</v>
      </c>
      <c r="L6" s="76" t="s">
        <v>211</v>
      </c>
      <c r="M6" s="76"/>
      <c r="N6" s="75"/>
      <c r="O6" s="76" t="s">
        <v>212</v>
      </c>
      <c r="P6" s="114" t="s">
        <v>213</v>
      </c>
      <c r="Q6" s="33"/>
    </row>
    <row r="7" s="2" customFormat="1" ht="26.1" customHeight="1" spans="2:17">
      <c r="B7" s="33"/>
      <c r="C7" s="75">
        <v>44514</v>
      </c>
      <c r="D7" s="75" t="s">
        <v>27</v>
      </c>
      <c r="E7" s="76" t="s">
        <v>78</v>
      </c>
      <c r="F7" s="76" t="s">
        <v>79</v>
      </c>
      <c r="G7" s="76">
        <v>3</v>
      </c>
      <c r="H7" s="76">
        <v>1</v>
      </c>
      <c r="I7" s="76">
        <v>2</v>
      </c>
      <c r="J7" s="76">
        <f ca="1" t="shared" si="0"/>
        <v>138</v>
      </c>
      <c r="K7" s="76">
        <f ca="1" t="shared" si="1"/>
        <v>1800</v>
      </c>
      <c r="L7" s="76" t="s">
        <v>211</v>
      </c>
      <c r="M7" s="76"/>
      <c r="N7" s="75"/>
      <c r="O7" s="76" t="s">
        <v>212</v>
      </c>
      <c r="P7" s="114" t="s">
        <v>213</v>
      </c>
      <c r="Q7" s="33"/>
    </row>
    <row r="8" s="2" customFormat="1" ht="26.1" customHeight="1" spans="2:17">
      <c r="B8" s="46"/>
      <c r="C8" s="75">
        <v>44514</v>
      </c>
      <c r="D8" s="75" t="s">
        <v>27</v>
      </c>
      <c r="E8" s="76" t="s">
        <v>102</v>
      </c>
      <c r="F8" s="76" t="s">
        <v>103</v>
      </c>
      <c r="G8" s="76">
        <v>3</v>
      </c>
      <c r="H8" s="76">
        <v>3</v>
      </c>
      <c r="I8" s="76">
        <v>1</v>
      </c>
      <c r="J8" s="76">
        <f ca="1" t="shared" si="0"/>
        <v>96</v>
      </c>
      <c r="K8" s="76">
        <f ca="1" t="shared" si="1"/>
        <v>900</v>
      </c>
      <c r="L8" s="76" t="s">
        <v>211</v>
      </c>
      <c r="M8" s="76"/>
      <c r="N8" s="75"/>
      <c r="O8" s="76" t="s">
        <v>212</v>
      </c>
      <c r="P8" s="114" t="s">
        <v>213</v>
      </c>
      <c r="Q8" s="46"/>
    </row>
    <row r="9" s="2" customFormat="1" ht="26.1" customHeight="1" spans="2:17">
      <c r="B9" s="27"/>
      <c r="C9" s="75">
        <v>44514</v>
      </c>
      <c r="D9" s="75" t="s">
        <v>27</v>
      </c>
      <c r="E9" s="76" t="s">
        <v>78</v>
      </c>
      <c r="F9" s="76" t="s">
        <v>80</v>
      </c>
      <c r="G9" s="76">
        <v>3</v>
      </c>
      <c r="H9" s="76">
        <v>1</v>
      </c>
      <c r="I9" s="76">
        <v>2</v>
      </c>
      <c r="J9" s="76">
        <f ca="1" t="shared" si="0"/>
        <v>84</v>
      </c>
      <c r="K9" s="76">
        <f ca="1" t="shared" si="1"/>
        <v>1000</v>
      </c>
      <c r="L9" s="76" t="s">
        <v>211</v>
      </c>
      <c r="M9" s="76"/>
      <c r="N9" s="75"/>
      <c r="O9" s="76" t="s">
        <v>212</v>
      </c>
      <c r="P9" s="114" t="s">
        <v>213</v>
      </c>
      <c r="Q9" s="27"/>
    </row>
    <row r="10" s="2" customFormat="1" ht="26.1" customHeight="1" spans="2:17">
      <c r="B10" s="27"/>
      <c r="C10" s="75">
        <v>44514</v>
      </c>
      <c r="D10" s="75" t="s">
        <v>27</v>
      </c>
      <c r="E10" s="76" t="s">
        <v>55</v>
      </c>
      <c r="F10" s="76" t="s">
        <v>57</v>
      </c>
      <c r="G10" s="76">
        <v>3</v>
      </c>
      <c r="H10" s="76">
        <v>1</v>
      </c>
      <c r="I10" s="76">
        <v>1</v>
      </c>
      <c r="J10" s="76">
        <f ca="1" t="shared" si="0"/>
        <v>76</v>
      </c>
      <c r="K10" s="76">
        <f ca="1" t="shared" si="1"/>
        <v>2100</v>
      </c>
      <c r="L10" s="76" t="s">
        <v>211</v>
      </c>
      <c r="M10" s="76"/>
      <c r="N10" s="75"/>
      <c r="O10" s="76" t="s">
        <v>212</v>
      </c>
      <c r="P10" s="114" t="s">
        <v>213</v>
      </c>
      <c r="Q10" s="27"/>
    </row>
    <row r="11" s="2" customFormat="1" ht="26.1" customHeight="1" spans="2:17">
      <c r="B11" s="32"/>
      <c r="C11" s="75">
        <v>44514</v>
      </c>
      <c r="D11" s="75" t="s">
        <v>27</v>
      </c>
      <c r="E11" s="76" t="s">
        <v>129</v>
      </c>
      <c r="F11" s="76" t="s">
        <v>130</v>
      </c>
      <c r="G11" s="76">
        <v>3</v>
      </c>
      <c r="H11" s="76">
        <v>1</v>
      </c>
      <c r="I11" s="76">
        <v>1</v>
      </c>
      <c r="J11" s="76">
        <f ca="1" t="shared" si="0"/>
        <v>75</v>
      </c>
      <c r="K11" s="76">
        <f ca="1" t="shared" si="1"/>
        <v>2200</v>
      </c>
      <c r="L11" s="76" t="s">
        <v>214</v>
      </c>
      <c r="M11" s="76"/>
      <c r="N11" s="75"/>
      <c r="O11" s="76" t="s">
        <v>212</v>
      </c>
      <c r="P11" s="114" t="s">
        <v>213</v>
      </c>
      <c r="Q11" s="32"/>
    </row>
    <row r="12" s="2" customFormat="1" ht="26.1" customHeight="1" spans="2:17">
      <c r="B12" s="33"/>
      <c r="C12" s="75">
        <v>44514</v>
      </c>
      <c r="D12" s="75" t="s">
        <v>27</v>
      </c>
      <c r="E12" s="76" t="s">
        <v>13</v>
      </c>
      <c r="F12" s="76" t="s">
        <v>15</v>
      </c>
      <c r="G12" s="76">
        <v>3</v>
      </c>
      <c r="H12" s="76">
        <v>3</v>
      </c>
      <c r="I12" s="76">
        <v>1</v>
      </c>
      <c r="J12" s="76">
        <f ca="1" t="shared" si="0"/>
        <v>72</v>
      </c>
      <c r="K12" s="76">
        <f ca="1" t="shared" si="1"/>
        <v>2700</v>
      </c>
      <c r="L12" s="76" t="s">
        <v>211</v>
      </c>
      <c r="M12" s="76"/>
      <c r="N12" s="75"/>
      <c r="O12" s="76" t="s">
        <v>212</v>
      </c>
      <c r="P12" s="114" t="s">
        <v>213</v>
      </c>
      <c r="Q12" s="33"/>
    </row>
    <row r="13" s="2" customFormat="1" ht="26.1" customHeight="1" spans="2:17">
      <c r="B13" s="33"/>
      <c r="C13" s="75">
        <v>44514</v>
      </c>
      <c r="D13" s="75" t="s">
        <v>27</v>
      </c>
      <c r="E13" s="76" t="s">
        <v>102</v>
      </c>
      <c r="F13" s="76" t="s">
        <v>104</v>
      </c>
      <c r="G13" s="76">
        <v>3</v>
      </c>
      <c r="H13" s="76">
        <v>1</v>
      </c>
      <c r="I13" s="76">
        <v>1</v>
      </c>
      <c r="J13" s="76">
        <f ca="1" t="shared" si="0"/>
        <v>97</v>
      </c>
      <c r="K13" s="76">
        <f ca="1" t="shared" si="1"/>
        <v>1600</v>
      </c>
      <c r="L13" s="76" t="s">
        <v>215</v>
      </c>
      <c r="M13" s="76"/>
      <c r="N13" s="75"/>
      <c r="O13" s="76" t="s">
        <v>212</v>
      </c>
      <c r="P13" s="114" t="s">
        <v>213</v>
      </c>
      <c r="Q13" s="33"/>
    </row>
    <row r="14" s="2" customFormat="1" ht="26.1" customHeight="1" spans="2:17">
      <c r="B14" s="46"/>
      <c r="C14" s="75">
        <v>44514</v>
      </c>
      <c r="D14" s="75" t="s">
        <v>27</v>
      </c>
      <c r="E14" s="76" t="s">
        <v>138</v>
      </c>
      <c r="F14" s="76" t="s">
        <v>139</v>
      </c>
      <c r="G14" s="76">
        <v>3</v>
      </c>
      <c r="H14" s="76">
        <v>2</v>
      </c>
      <c r="I14" s="76">
        <v>1</v>
      </c>
      <c r="J14" s="76">
        <f ca="1" t="shared" si="0"/>
        <v>51</v>
      </c>
      <c r="K14" s="76">
        <f ca="1" t="shared" si="1"/>
        <v>1200</v>
      </c>
      <c r="L14" s="76" t="s">
        <v>216</v>
      </c>
      <c r="M14" s="76"/>
      <c r="N14" s="75"/>
      <c r="O14" s="76" t="s">
        <v>212</v>
      </c>
      <c r="P14" s="114" t="s">
        <v>213</v>
      </c>
      <c r="Q14" s="46"/>
    </row>
    <row r="15" s="2" customFormat="1" ht="26.1" customHeight="1" spans="2:17">
      <c r="B15" s="27"/>
      <c r="C15" s="75">
        <v>44514</v>
      </c>
      <c r="D15" s="75" t="s">
        <v>27</v>
      </c>
      <c r="E15" s="76" t="s">
        <v>55</v>
      </c>
      <c r="F15" s="76" t="s">
        <v>58</v>
      </c>
      <c r="G15" s="76">
        <v>3</v>
      </c>
      <c r="H15" s="76">
        <v>3</v>
      </c>
      <c r="I15" s="76">
        <v>1</v>
      </c>
      <c r="J15" s="76">
        <f ca="1" t="shared" si="0"/>
        <v>139</v>
      </c>
      <c r="K15" s="76">
        <f ca="1" t="shared" si="1"/>
        <v>2900</v>
      </c>
      <c r="L15" s="76" t="s">
        <v>216</v>
      </c>
      <c r="M15" s="76"/>
      <c r="N15" s="75"/>
      <c r="O15" s="76" t="s">
        <v>212</v>
      </c>
      <c r="P15" s="114" t="s">
        <v>213</v>
      </c>
      <c r="Q15" s="27"/>
    </row>
    <row r="16" s="2" customFormat="1" ht="26.1" customHeight="1" spans="2:16370">
      <c r="B16" s="27"/>
      <c r="C16" s="75">
        <v>44514</v>
      </c>
      <c r="D16" s="75" t="s">
        <v>27</v>
      </c>
      <c r="E16" s="76" t="s">
        <v>138</v>
      </c>
      <c r="F16" s="76" t="s">
        <v>140</v>
      </c>
      <c r="G16" s="76">
        <v>3</v>
      </c>
      <c r="H16" s="76">
        <v>2</v>
      </c>
      <c r="I16" s="76">
        <v>1</v>
      </c>
      <c r="J16" s="76">
        <f ca="1" t="shared" ref="J16:J25" si="2">RANDBETWEEN(40,150)</f>
        <v>119</v>
      </c>
      <c r="K16" s="76">
        <f ca="1" t="shared" ref="K16:K25" si="3">ROUND(RANDBETWEEN(800,3000),-2)</f>
        <v>2700</v>
      </c>
      <c r="L16" s="76" t="s">
        <v>217</v>
      </c>
      <c r="M16" s="76"/>
      <c r="N16" s="75"/>
      <c r="O16" s="76" t="s">
        <v>212</v>
      </c>
      <c r="P16" s="114" t="s">
        <v>213</v>
      </c>
      <c r="Q16" s="27"/>
      <c r="XEJ16" s="4"/>
      <c r="XEK16" s="4"/>
      <c r="XEL16" s="4"/>
      <c r="XEM16" s="4"/>
      <c r="XEN16" s="4"/>
      <c r="XEO16" s="4"/>
      <c r="XEP16" s="4"/>
    </row>
    <row r="17" s="2" customFormat="1" ht="26.1" customHeight="1" spans="2:17">
      <c r="B17" s="52"/>
      <c r="C17" s="75">
        <v>44514</v>
      </c>
      <c r="D17" s="75" t="s">
        <v>27</v>
      </c>
      <c r="E17" s="76" t="s">
        <v>138</v>
      </c>
      <c r="F17" s="76" t="s">
        <v>141</v>
      </c>
      <c r="G17" s="76">
        <v>3</v>
      </c>
      <c r="H17" s="76">
        <v>3</v>
      </c>
      <c r="I17" s="76">
        <v>1</v>
      </c>
      <c r="J17" s="76">
        <f ca="1" t="shared" si="2"/>
        <v>72</v>
      </c>
      <c r="K17" s="76">
        <f ca="1" t="shared" si="3"/>
        <v>2500</v>
      </c>
      <c r="L17" s="76" t="s">
        <v>218</v>
      </c>
      <c r="M17" s="76"/>
      <c r="N17" s="75"/>
      <c r="O17" s="76" t="s">
        <v>212</v>
      </c>
      <c r="P17" s="114" t="s">
        <v>213</v>
      </c>
      <c r="Q17" s="27"/>
    </row>
    <row r="18" s="2" customFormat="1" ht="26.1" customHeight="1" spans="2:17">
      <c r="B18" s="27"/>
      <c r="C18" s="75">
        <v>44514</v>
      </c>
      <c r="D18" s="75" t="s">
        <v>27</v>
      </c>
      <c r="E18" s="76" t="s">
        <v>78</v>
      </c>
      <c r="F18" s="76" t="s">
        <v>81</v>
      </c>
      <c r="G18" s="76">
        <v>3</v>
      </c>
      <c r="H18" s="76">
        <v>3</v>
      </c>
      <c r="I18" s="76">
        <v>1</v>
      </c>
      <c r="J18" s="76">
        <f ca="1" t="shared" si="2"/>
        <v>69</v>
      </c>
      <c r="K18" s="76">
        <f ca="1" t="shared" si="3"/>
        <v>1700</v>
      </c>
      <c r="L18" s="76" t="s">
        <v>218</v>
      </c>
      <c r="M18" s="76"/>
      <c r="N18" s="75"/>
      <c r="O18" s="76" t="s">
        <v>212</v>
      </c>
      <c r="P18" s="114" t="s">
        <v>213</v>
      </c>
      <c r="Q18" s="27"/>
    </row>
    <row r="19" s="2" customFormat="1" ht="26.1" customHeight="1" spans="2:17">
      <c r="B19" s="32"/>
      <c r="C19" s="75">
        <v>44514</v>
      </c>
      <c r="D19" s="75" t="s">
        <v>27</v>
      </c>
      <c r="E19" s="76" t="s">
        <v>102</v>
      </c>
      <c r="F19" s="76" t="s">
        <v>105</v>
      </c>
      <c r="G19" s="76">
        <v>3</v>
      </c>
      <c r="H19" s="76">
        <v>1</v>
      </c>
      <c r="I19" s="76">
        <v>1</v>
      </c>
      <c r="J19" s="76">
        <f ca="1" t="shared" si="2"/>
        <v>81</v>
      </c>
      <c r="K19" s="76">
        <f ca="1" t="shared" si="3"/>
        <v>1700</v>
      </c>
      <c r="L19" s="76" t="s">
        <v>217</v>
      </c>
      <c r="M19" s="76"/>
      <c r="N19" s="75"/>
      <c r="O19" s="76" t="s">
        <v>212</v>
      </c>
      <c r="P19" s="114" t="s">
        <v>213</v>
      </c>
      <c r="Q19" s="32"/>
    </row>
    <row r="20" s="2" customFormat="1" ht="26.1" customHeight="1" spans="2:17">
      <c r="B20" s="33"/>
      <c r="C20" s="75">
        <v>44514</v>
      </c>
      <c r="D20" s="75" t="s">
        <v>27</v>
      </c>
      <c r="E20" s="76" t="s">
        <v>102</v>
      </c>
      <c r="F20" s="76" t="s">
        <v>106</v>
      </c>
      <c r="G20" s="76">
        <v>3</v>
      </c>
      <c r="H20" s="76">
        <v>1</v>
      </c>
      <c r="I20" s="76">
        <v>1</v>
      </c>
      <c r="J20" s="76">
        <f ca="1" t="shared" si="2"/>
        <v>73</v>
      </c>
      <c r="K20" s="76">
        <f ca="1" t="shared" si="3"/>
        <v>2300</v>
      </c>
      <c r="L20" s="76" t="s">
        <v>218</v>
      </c>
      <c r="M20" s="76"/>
      <c r="N20" s="75"/>
      <c r="O20" s="76" t="s">
        <v>212</v>
      </c>
      <c r="P20" s="114" t="s">
        <v>213</v>
      </c>
      <c r="Q20" s="33"/>
    </row>
    <row r="21" s="2" customFormat="1" ht="26.1" customHeight="1" spans="2:17">
      <c r="B21" s="33"/>
      <c r="C21" s="75">
        <v>44514</v>
      </c>
      <c r="D21" s="75" t="s">
        <v>27</v>
      </c>
      <c r="E21" s="76" t="s">
        <v>138</v>
      </c>
      <c r="F21" s="76" t="s">
        <v>142</v>
      </c>
      <c r="G21" s="76">
        <v>3</v>
      </c>
      <c r="H21" s="76">
        <v>3</v>
      </c>
      <c r="I21" s="76">
        <v>1</v>
      </c>
      <c r="J21" s="76">
        <f ca="1" t="shared" si="2"/>
        <v>142</v>
      </c>
      <c r="K21" s="76">
        <f ca="1" t="shared" si="3"/>
        <v>2900</v>
      </c>
      <c r="L21" s="76" t="s">
        <v>219</v>
      </c>
      <c r="M21" s="76"/>
      <c r="N21" s="75"/>
      <c r="O21" s="76" t="s">
        <v>212</v>
      </c>
      <c r="P21" s="114" t="s">
        <v>213</v>
      </c>
      <c r="Q21" s="33"/>
    </row>
    <row r="22" s="2" customFormat="1" ht="26.1" customHeight="1" spans="2:17">
      <c r="B22" s="46"/>
      <c r="C22" s="75">
        <v>44514</v>
      </c>
      <c r="D22" s="75" t="s">
        <v>27</v>
      </c>
      <c r="E22" s="76" t="s">
        <v>129</v>
      </c>
      <c r="F22" s="76" t="s">
        <v>131</v>
      </c>
      <c r="G22" s="76">
        <v>3</v>
      </c>
      <c r="H22" s="76">
        <v>3</v>
      </c>
      <c r="I22" s="76">
        <v>1</v>
      </c>
      <c r="J22" s="76">
        <f ca="1" t="shared" si="2"/>
        <v>44</v>
      </c>
      <c r="K22" s="76">
        <f ca="1" t="shared" si="3"/>
        <v>1400</v>
      </c>
      <c r="L22" s="76" t="s">
        <v>220</v>
      </c>
      <c r="M22" s="76"/>
      <c r="N22" s="75"/>
      <c r="O22" s="76" t="s">
        <v>212</v>
      </c>
      <c r="P22" s="114" t="s">
        <v>213</v>
      </c>
      <c r="Q22" s="46"/>
    </row>
    <row r="23" s="2" customFormat="1" ht="26.1" customHeight="1" spans="2:17">
      <c r="B23" s="27"/>
      <c r="C23" s="75">
        <v>44514</v>
      </c>
      <c r="D23" s="75" t="s">
        <v>27</v>
      </c>
      <c r="E23" s="76" t="s">
        <v>55</v>
      </c>
      <c r="F23" s="76" t="s">
        <v>59</v>
      </c>
      <c r="G23" s="76">
        <v>3</v>
      </c>
      <c r="H23" s="76">
        <v>1</v>
      </c>
      <c r="I23" s="76">
        <v>1</v>
      </c>
      <c r="J23" s="76">
        <f ca="1" t="shared" si="2"/>
        <v>57</v>
      </c>
      <c r="K23" s="76">
        <f ca="1" t="shared" si="3"/>
        <v>1300</v>
      </c>
      <c r="L23" s="76" t="s">
        <v>221</v>
      </c>
      <c r="M23" s="76"/>
      <c r="N23" s="75"/>
      <c r="O23" s="76" t="s">
        <v>212</v>
      </c>
      <c r="P23" s="114" t="s">
        <v>213</v>
      </c>
      <c r="Q23" s="27"/>
    </row>
    <row r="24" s="2" customFormat="1" ht="26.1" customHeight="1" spans="2:17">
      <c r="B24" s="27"/>
      <c r="C24" s="75">
        <v>44514</v>
      </c>
      <c r="D24" s="75" t="s">
        <v>89</v>
      </c>
      <c r="E24" s="76" t="s">
        <v>78</v>
      </c>
      <c r="F24" s="76" t="s">
        <v>82</v>
      </c>
      <c r="G24" s="76">
        <v>3</v>
      </c>
      <c r="H24" s="76">
        <v>1</v>
      </c>
      <c r="I24" s="76">
        <v>1</v>
      </c>
      <c r="J24" s="76">
        <f ca="1" t="shared" si="2"/>
        <v>135</v>
      </c>
      <c r="K24" s="76">
        <f ca="1" t="shared" si="3"/>
        <v>1000</v>
      </c>
      <c r="L24" s="76" t="s">
        <v>222</v>
      </c>
      <c r="M24" s="76"/>
      <c r="N24" s="75"/>
      <c r="O24" s="76" t="s">
        <v>212</v>
      </c>
      <c r="P24" s="114" t="s">
        <v>213</v>
      </c>
      <c r="Q24" s="27"/>
    </row>
    <row r="25" s="2" customFormat="1" ht="26.1" customHeight="1" spans="2:17">
      <c r="B25" s="32"/>
      <c r="C25" s="75">
        <v>44514</v>
      </c>
      <c r="D25" s="75" t="s">
        <v>168</v>
      </c>
      <c r="E25" s="76" t="s">
        <v>165</v>
      </c>
      <c r="F25" s="76" t="s">
        <v>166</v>
      </c>
      <c r="G25" s="76">
        <v>3</v>
      </c>
      <c r="H25" s="76">
        <v>1</v>
      </c>
      <c r="I25" s="76">
        <v>1</v>
      </c>
      <c r="J25" s="76">
        <f ca="1" t="shared" si="2"/>
        <v>47</v>
      </c>
      <c r="K25" s="76">
        <f ca="1" t="shared" si="3"/>
        <v>1100</v>
      </c>
      <c r="L25" s="76" t="s">
        <v>223</v>
      </c>
      <c r="M25" s="76"/>
      <c r="N25" s="75"/>
      <c r="O25" s="76" t="s">
        <v>212</v>
      </c>
      <c r="P25" s="114" t="s">
        <v>213</v>
      </c>
      <c r="Q25" s="32"/>
    </row>
    <row r="26" s="2" customFormat="1" ht="26.1" customHeight="1" spans="2:17">
      <c r="B26" s="33"/>
      <c r="C26" s="75">
        <v>44514</v>
      </c>
      <c r="D26" s="75" t="s">
        <v>112</v>
      </c>
      <c r="E26" s="76" t="s">
        <v>102</v>
      </c>
      <c r="F26" s="76" t="s">
        <v>107</v>
      </c>
      <c r="G26" s="76">
        <v>3</v>
      </c>
      <c r="H26" s="76">
        <v>1</v>
      </c>
      <c r="I26" s="76">
        <v>1</v>
      </c>
      <c r="J26" s="76">
        <f ca="1" t="shared" ref="J26:J35" si="4">RANDBETWEEN(40,150)</f>
        <v>107</v>
      </c>
      <c r="K26" s="76">
        <f ca="1" t="shared" ref="K26:K35" si="5">ROUND(RANDBETWEEN(800,3000),-2)</f>
        <v>1000</v>
      </c>
      <c r="L26" s="76" t="s">
        <v>218</v>
      </c>
      <c r="M26" s="76"/>
      <c r="N26" s="75"/>
      <c r="O26" s="76" t="s">
        <v>212</v>
      </c>
      <c r="P26" s="114" t="s">
        <v>213</v>
      </c>
      <c r="Q26" s="33"/>
    </row>
    <row r="27" s="2" customFormat="1" ht="26.1" customHeight="1" spans="2:17">
      <c r="B27" s="33"/>
      <c r="C27" s="75">
        <v>44514</v>
      </c>
      <c r="D27" s="75" t="s">
        <v>114</v>
      </c>
      <c r="E27" s="76" t="s">
        <v>102</v>
      </c>
      <c r="F27" s="76" t="s">
        <v>19</v>
      </c>
      <c r="G27" s="76">
        <v>3</v>
      </c>
      <c r="H27" s="76">
        <v>2</v>
      </c>
      <c r="I27" s="76">
        <v>1</v>
      </c>
      <c r="J27" s="76">
        <f ca="1" t="shared" si="4"/>
        <v>74</v>
      </c>
      <c r="K27" s="76">
        <f ca="1" t="shared" si="5"/>
        <v>1100</v>
      </c>
      <c r="L27" s="76" t="s">
        <v>218</v>
      </c>
      <c r="M27" s="76"/>
      <c r="N27" s="75"/>
      <c r="O27" s="76" t="s">
        <v>212</v>
      </c>
      <c r="P27" s="114" t="s">
        <v>213</v>
      </c>
      <c r="Q27" s="33"/>
    </row>
    <row r="28" s="2" customFormat="1" ht="26.1" customHeight="1" spans="2:17">
      <c r="B28" s="33"/>
      <c r="C28" s="75">
        <v>44514</v>
      </c>
      <c r="D28" s="75" t="s">
        <v>148</v>
      </c>
      <c r="E28" s="76" t="s">
        <v>138</v>
      </c>
      <c r="F28" s="76" t="s">
        <v>143</v>
      </c>
      <c r="G28" s="76">
        <v>3</v>
      </c>
      <c r="H28" s="76">
        <v>1</v>
      </c>
      <c r="I28" s="76">
        <v>1</v>
      </c>
      <c r="J28" s="76">
        <f ca="1" t="shared" si="4"/>
        <v>42</v>
      </c>
      <c r="K28" s="76">
        <f ca="1" t="shared" si="5"/>
        <v>2000</v>
      </c>
      <c r="L28" s="76" t="s">
        <v>224</v>
      </c>
      <c r="M28" s="76"/>
      <c r="N28" s="75"/>
      <c r="O28" s="76" t="s">
        <v>212</v>
      </c>
      <c r="P28" s="114" t="s">
        <v>213</v>
      </c>
      <c r="Q28" s="33"/>
    </row>
    <row r="29" s="2" customFormat="1" ht="26.1" customHeight="1" spans="2:17">
      <c r="B29" s="33"/>
      <c r="C29" s="75">
        <v>44514</v>
      </c>
      <c r="D29" s="75" t="s">
        <v>30</v>
      </c>
      <c r="E29" s="76" t="s">
        <v>13</v>
      </c>
      <c r="F29" s="76" t="s">
        <v>16</v>
      </c>
      <c r="G29" s="76">
        <v>3</v>
      </c>
      <c r="H29" s="76">
        <v>1</v>
      </c>
      <c r="I29" s="76">
        <v>1</v>
      </c>
      <c r="J29" s="76">
        <f ca="1" t="shared" si="4"/>
        <v>122</v>
      </c>
      <c r="K29" s="76">
        <f ca="1" t="shared" si="5"/>
        <v>2300</v>
      </c>
      <c r="L29" s="76" t="s">
        <v>221</v>
      </c>
      <c r="M29" s="76"/>
      <c r="N29" s="75"/>
      <c r="O29" s="76" t="s">
        <v>212</v>
      </c>
      <c r="P29" s="114" t="s">
        <v>213</v>
      </c>
      <c r="Q29" s="33"/>
    </row>
    <row r="30" s="2" customFormat="1" ht="26.1" customHeight="1" spans="2:17">
      <c r="B30" s="33"/>
      <c r="C30" s="75">
        <v>44514</v>
      </c>
      <c r="D30" s="75" t="s">
        <v>181</v>
      </c>
      <c r="E30" s="76" t="s">
        <v>178</v>
      </c>
      <c r="F30" s="76" t="s">
        <v>179</v>
      </c>
      <c r="G30" s="76">
        <v>3</v>
      </c>
      <c r="H30" s="76">
        <v>3</v>
      </c>
      <c r="I30" s="76">
        <v>1</v>
      </c>
      <c r="J30" s="76">
        <f ca="1" t="shared" si="4"/>
        <v>135</v>
      </c>
      <c r="K30" s="76">
        <f ca="1" t="shared" si="5"/>
        <v>2300</v>
      </c>
      <c r="L30" s="76" t="s">
        <v>222</v>
      </c>
      <c r="M30" s="76"/>
      <c r="N30" s="75"/>
      <c r="O30" s="76" t="s">
        <v>212</v>
      </c>
      <c r="P30" s="114" t="s">
        <v>213</v>
      </c>
      <c r="Q30" s="33"/>
    </row>
    <row r="31" s="2" customFormat="1" ht="26.1" customHeight="1" spans="2:17">
      <c r="B31" s="33"/>
      <c r="C31" s="75">
        <v>44514</v>
      </c>
      <c r="D31" s="75" t="s">
        <v>182</v>
      </c>
      <c r="E31" s="76" t="s">
        <v>178</v>
      </c>
      <c r="F31" s="76" t="s">
        <v>47</v>
      </c>
      <c r="G31" s="76">
        <v>3</v>
      </c>
      <c r="H31" s="76">
        <v>2</v>
      </c>
      <c r="I31" s="76">
        <v>1</v>
      </c>
      <c r="J31" s="76">
        <f ca="1" t="shared" si="4"/>
        <v>74</v>
      </c>
      <c r="K31" s="76">
        <f ca="1" t="shared" si="5"/>
        <v>1700</v>
      </c>
      <c r="L31" s="76" t="s">
        <v>223</v>
      </c>
      <c r="M31" s="76"/>
      <c r="N31" s="75"/>
      <c r="O31" s="76" t="s">
        <v>212</v>
      </c>
      <c r="P31" s="114" t="s">
        <v>213</v>
      </c>
      <c r="Q31" s="33"/>
    </row>
    <row r="32" s="2" customFormat="1" ht="26.1" customHeight="1" spans="2:16370">
      <c r="B32" s="7"/>
      <c r="C32" s="75">
        <v>44514</v>
      </c>
      <c r="D32" s="75" t="s">
        <v>170</v>
      </c>
      <c r="E32" s="76" t="s">
        <v>165</v>
      </c>
      <c r="F32" s="76" t="s">
        <v>144</v>
      </c>
      <c r="G32" s="76">
        <v>3</v>
      </c>
      <c r="H32" s="76">
        <v>3</v>
      </c>
      <c r="I32" s="76">
        <v>1</v>
      </c>
      <c r="J32" s="76">
        <f ca="1" t="shared" si="4"/>
        <v>138</v>
      </c>
      <c r="K32" s="76">
        <f ca="1" t="shared" si="5"/>
        <v>2800</v>
      </c>
      <c r="L32" s="76" t="s">
        <v>225</v>
      </c>
      <c r="M32" s="76"/>
      <c r="N32" s="75"/>
      <c r="O32" s="76" t="s">
        <v>212</v>
      </c>
      <c r="P32" s="114" t="s">
        <v>213</v>
      </c>
      <c r="Q32" s="7"/>
      <c r="XEJ32" s="4"/>
      <c r="XEK32" s="4"/>
      <c r="XEL32" s="4"/>
      <c r="XEM32" s="4"/>
      <c r="XEN32" s="4"/>
      <c r="XEO32" s="4"/>
      <c r="XEP32" s="4"/>
    </row>
    <row r="33" s="2" customFormat="1" ht="26.1" customHeight="1" spans="2:16370">
      <c r="B33" s="7"/>
      <c r="C33" s="75">
        <v>44515</v>
      </c>
      <c r="D33" s="75" t="s">
        <v>171</v>
      </c>
      <c r="E33" s="76" t="s">
        <v>165</v>
      </c>
      <c r="F33" s="76" t="s">
        <v>60</v>
      </c>
      <c r="G33" s="76">
        <v>3</v>
      </c>
      <c r="H33" s="76">
        <v>2</v>
      </c>
      <c r="I33" s="76">
        <v>1</v>
      </c>
      <c r="J33" s="76">
        <f ca="1" t="shared" si="4"/>
        <v>61</v>
      </c>
      <c r="K33" s="76">
        <f ca="1" t="shared" si="5"/>
        <v>1300</v>
      </c>
      <c r="L33" s="76" t="s">
        <v>219</v>
      </c>
      <c r="M33" s="76"/>
      <c r="N33" s="75"/>
      <c r="O33" s="76" t="s">
        <v>212</v>
      </c>
      <c r="P33" s="114" t="s">
        <v>213</v>
      </c>
      <c r="Q33" s="7"/>
      <c r="XEJ33" s="4"/>
      <c r="XEK33" s="4"/>
      <c r="XEL33" s="4"/>
      <c r="XEM33" s="4"/>
      <c r="XEN33" s="4"/>
      <c r="XEO33" s="4"/>
      <c r="XEP33" s="4"/>
    </row>
    <row r="34" s="2" customFormat="1" ht="26.1" customHeight="1" spans="2:16370">
      <c r="B34" s="7"/>
      <c r="C34" s="75">
        <v>44516</v>
      </c>
      <c r="D34" s="75" t="s">
        <v>32</v>
      </c>
      <c r="E34" s="76" t="s">
        <v>13</v>
      </c>
      <c r="F34" s="76" t="s">
        <v>17</v>
      </c>
      <c r="G34" s="76">
        <v>3</v>
      </c>
      <c r="H34" s="76">
        <v>3</v>
      </c>
      <c r="I34" s="76">
        <v>1</v>
      </c>
      <c r="J34" s="76">
        <f ca="1" t="shared" si="4"/>
        <v>131</v>
      </c>
      <c r="K34" s="76">
        <f ca="1" t="shared" si="5"/>
        <v>1000</v>
      </c>
      <c r="L34" s="76" t="s">
        <v>220</v>
      </c>
      <c r="M34" s="76"/>
      <c r="N34" s="75"/>
      <c r="O34" s="76" t="s">
        <v>212</v>
      </c>
      <c r="P34" s="114" t="s">
        <v>213</v>
      </c>
      <c r="Q34" s="7"/>
      <c r="XEJ34" s="4"/>
      <c r="XEK34" s="4"/>
      <c r="XEL34" s="4"/>
      <c r="XEM34" s="4"/>
      <c r="XEN34" s="4"/>
      <c r="XEO34" s="4"/>
      <c r="XEP34" s="4"/>
    </row>
    <row r="35" s="2" customFormat="1" ht="26.1" customHeight="1" spans="2:16370">
      <c r="B35" s="7"/>
      <c r="C35" s="75">
        <v>44517</v>
      </c>
      <c r="D35" s="75" t="s">
        <v>34</v>
      </c>
      <c r="E35" s="76" t="s">
        <v>13</v>
      </c>
      <c r="F35" s="76" t="s">
        <v>18</v>
      </c>
      <c r="G35" s="76">
        <v>3</v>
      </c>
      <c r="H35" s="76">
        <v>1</v>
      </c>
      <c r="I35" s="76">
        <v>1</v>
      </c>
      <c r="J35" s="76">
        <f ca="1" t="shared" si="4"/>
        <v>71</v>
      </c>
      <c r="K35" s="76">
        <f ca="1" t="shared" si="5"/>
        <v>1500</v>
      </c>
      <c r="L35" s="76" t="s">
        <v>221</v>
      </c>
      <c r="M35" s="76"/>
      <c r="N35" s="75"/>
      <c r="O35" s="76" t="s">
        <v>212</v>
      </c>
      <c r="P35" s="114" t="s">
        <v>213</v>
      </c>
      <c r="Q35" s="7"/>
      <c r="XEJ35" s="4"/>
      <c r="XEK35" s="4"/>
      <c r="XEL35" s="4"/>
      <c r="XEM35" s="4"/>
      <c r="XEN35" s="4"/>
      <c r="XEO35" s="4"/>
      <c r="XEP35" s="4"/>
    </row>
    <row r="36" s="2" customFormat="1" ht="26.1" customHeight="1" spans="2:16370">
      <c r="B36" s="7"/>
      <c r="C36" s="75">
        <v>44518</v>
      </c>
      <c r="D36" s="75" t="s">
        <v>173</v>
      </c>
      <c r="E36" s="76" t="s">
        <v>165</v>
      </c>
      <c r="F36" s="76" t="s">
        <v>83</v>
      </c>
      <c r="G36" s="76">
        <v>3</v>
      </c>
      <c r="H36" s="76">
        <v>3</v>
      </c>
      <c r="I36" s="76">
        <v>1</v>
      </c>
      <c r="J36" s="76">
        <f ca="1" t="shared" ref="J36:J41" si="6">RANDBETWEEN(40,150)</f>
        <v>72</v>
      </c>
      <c r="K36" s="76">
        <f ca="1" t="shared" ref="K36:K41" si="7">ROUND(RANDBETWEEN(800,3000),-2)</f>
        <v>1400</v>
      </c>
      <c r="L36" s="76" t="s">
        <v>226</v>
      </c>
      <c r="M36" s="76"/>
      <c r="N36" s="75"/>
      <c r="O36" s="76" t="s">
        <v>212</v>
      </c>
      <c r="P36" s="114" t="s">
        <v>213</v>
      </c>
      <c r="Q36" s="7"/>
      <c r="XEJ36" s="4"/>
      <c r="XEK36" s="4"/>
      <c r="XEL36" s="4"/>
      <c r="XEM36" s="4"/>
      <c r="XEN36" s="4"/>
      <c r="XEO36" s="4"/>
      <c r="XEP36" s="4"/>
    </row>
    <row r="37" s="2" customFormat="1" ht="26.1" customHeight="1" spans="2:16370">
      <c r="B37" s="7"/>
      <c r="C37" s="75">
        <v>44519</v>
      </c>
      <c r="D37" s="75" t="s">
        <v>116</v>
      </c>
      <c r="E37" s="76" t="s">
        <v>102</v>
      </c>
      <c r="F37" s="76" t="s">
        <v>48</v>
      </c>
      <c r="G37" s="76">
        <v>3</v>
      </c>
      <c r="H37" s="76">
        <v>3</v>
      </c>
      <c r="I37" s="76">
        <v>1</v>
      </c>
      <c r="J37" s="76">
        <f ca="1" t="shared" si="6"/>
        <v>44</v>
      </c>
      <c r="K37" s="76">
        <f ca="1" t="shared" si="7"/>
        <v>2900</v>
      </c>
      <c r="L37" s="76" t="s">
        <v>214</v>
      </c>
      <c r="M37" s="76"/>
      <c r="N37" s="75"/>
      <c r="O37" s="76" t="s">
        <v>212</v>
      </c>
      <c r="P37" s="114" t="s">
        <v>213</v>
      </c>
      <c r="Q37" s="7"/>
      <c r="XEJ37" s="4"/>
      <c r="XEK37" s="4"/>
      <c r="XEL37" s="4"/>
      <c r="XEM37" s="4"/>
      <c r="XEN37" s="4"/>
      <c r="XEO37" s="4"/>
      <c r="XEP37" s="4"/>
    </row>
    <row r="38" s="2" customFormat="1" ht="26.1" customHeight="1" spans="2:16370">
      <c r="B38" s="7"/>
      <c r="C38" s="75">
        <v>44520</v>
      </c>
      <c r="D38" s="75" t="s">
        <v>36</v>
      </c>
      <c r="E38" s="76" t="s">
        <v>13</v>
      </c>
      <c r="F38" s="76" t="s">
        <v>19</v>
      </c>
      <c r="G38" s="76">
        <v>3</v>
      </c>
      <c r="H38" s="76">
        <v>2</v>
      </c>
      <c r="I38" s="76">
        <v>1</v>
      </c>
      <c r="J38" s="76">
        <f ca="1" t="shared" si="6"/>
        <v>104</v>
      </c>
      <c r="K38" s="76">
        <f ca="1" t="shared" si="7"/>
        <v>2200</v>
      </c>
      <c r="L38" s="76" t="s">
        <v>219</v>
      </c>
      <c r="M38" s="76"/>
      <c r="N38" s="75"/>
      <c r="O38" s="76" t="s">
        <v>212</v>
      </c>
      <c r="P38" s="114" t="s">
        <v>213</v>
      </c>
      <c r="Q38" s="7"/>
      <c r="XEJ38" s="4"/>
      <c r="XEK38" s="4"/>
      <c r="XEL38" s="4"/>
      <c r="XEM38" s="4"/>
      <c r="XEN38" s="4"/>
      <c r="XEO38" s="4"/>
      <c r="XEP38" s="4"/>
    </row>
    <row r="39" s="2" customFormat="1" ht="26.1" customHeight="1" spans="2:16370">
      <c r="B39" s="7"/>
      <c r="C39" s="75">
        <v>44521</v>
      </c>
      <c r="D39" s="75" t="s">
        <v>149</v>
      </c>
      <c r="E39" s="76" t="s">
        <v>138</v>
      </c>
      <c r="F39" s="76" t="s">
        <v>143</v>
      </c>
      <c r="G39" s="76">
        <v>3</v>
      </c>
      <c r="H39" s="76">
        <v>1</v>
      </c>
      <c r="I39" s="76">
        <v>1</v>
      </c>
      <c r="J39" s="76">
        <f ca="1" t="shared" si="6"/>
        <v>102</v>
      </c>
      <c r="K39" s="76">
        <f ca="1" t="shared" si="7"/>
        <v>3000</v>
      </c>
      <c r="L39" s="76" t="s">
        <v>220</v>
      </c>
      <c r="M39" s="76"/>
      <c r="N39" s="75"/>
      <c r="O39" s="76" t="s">
        <v>212</v>
      </c>
      <c r="P39" s="114" t="s">
        <v>213</v>
      </c>
      <c r="Q39" s="7"/>
      <c r="XEJ39" s="4"/>
      <c r="XEK39" s="4"/>
      <c r="XEL39" s="4"/>
      <c r="XEM39" s="4"/>
      <c r="XEN39" s="4"/>
      <c r="XEO39" s="4"/>
      <c r="XEP39" s="4"/>
    </row>
    <row r="40" s="2" customFormat="1" ht="26.1" customHeight="1" spans="2:16370">
      <c r="B40" s="7"/>
      <c r="C40" s="75">
        <v>44522</v>
      </c>
      <c r="D40" s="75" t="s">
        <v>38</v>
      </c>
      <c r="E40" s="76" t="s">
        <v>13</v>
      </c>
      <c r="F40" s="76" t="s">
        <v>16</v>
      </c>
      <c r="G40" s="76">
        <v>3</v>
      </c>
      <c r="H40" s="76">
        <v>1</v>
      </c>
      <c r="I40" s="76">
        <v>1</v>
      </c>
      <c r="J40" s="76">
        <f ca="1" t="shared" si="6"/>
        <v>124</v>
      </c>
      <c r="K40" s="76">
        <f ca="1" t="shared" si="7"/>
        <v>2300</v>
      </c>
      <c r="L40" s="76" t="s">
        <v>221</v>
      </c>
      <c r="M40" s="76"/>
      <c r="N40" s="75"/>
      <c r="O40" s="76" t="s">
        <v>212</v>
      </c>
      <c r="P40" s="114" t="s">
        <v>213</v>
      </c>
      <c r="Q40" s="7"/>
      <c r="XEJ40" s="4"/>
      <c r="XEK40" s="4"/>
      <c r="XEL40" s="4"/>
      <c r="XEM40" s="4"/>
      <c r="XEN40" s="4"/>
      <c r="XEO40" s="4"/>
      <c r="XEP40" s="4"/>
    </row>
    <row r="41" s="2" customFormat="1" ht="26.1" customHeight="1" spans="2:16370">
      <c r="B41" s="7"/>
      <c r="C41" s="75">
        <v>44523</v>
      </c>
      <c r="D41" s="75" t="s">
        <v>184</v>
      </c>
      <c r="E41" s="76" t="s">
        <v>178</v>
      </c>
      <c r="F41" s="76" t="s">
        <v>179</v>
      </c>
      <c r="G41" s="76">
        <v>3</v>
      </c>
      <c r="H41" s="76">
        <v>3</v>
      </c>
      <c r="I41" s="76">
        <v>1</v>
      </c>
      <c r="J41" s="76">
        <f ca="1" t="shared" si="6"/>
        <v>131</v>
      </c>
      <c r="K41" s="76">
        <f ca="1" t="shared" si="7"/>
        <v>1000</v>
      </c>
      <c r="L41" s="76" t="s">
        <v>211</v>
      </c>
      <c r="M41" s="76"/>
      <c r="N41" s="75"/>
      <c r="O41" s="76" t="s">
        <v>212</v>
      </c>
      <c r="P41" s="114" t="s">
        <v>213</v>
      </c>
      <c r="Q41" s="7"/>
      <c r="XEJ41" s="4"/>
      <c r="XEK41" s="4"/>
      <c r="XEL41" s="4"/>
      <c r="XEM41" s="4"/>
      <c r="XEN41" s="4"/>
      <c r="XEO41" s="4"/>
      <c r="XEP41" s="4"/>
    </row>
    <row r="42" s="2" customFormat="1" ht="26.1" customHeight="1" spans="2:16370">
      <c r="B42" s="7"/>
      <c r="C42" s="75">
        <v>44523</v>
      </c>
      <c r="D42" s="75" t="s">
        <v>50</v>
      </c>
      <c r="E42" s="76" t="s">
        <v>13</v>
      </c>
      <c r="F42" s="76" t="s">
        <v>47</v>
      </c>
      <c r="G42" s="76">
        <v>3</v>
      </c>
      <c r="H42" s="76">
        <v>2</v>
      </c>
      <c r="I42" s="76">
        <v>1</v>
      </c>
      <c r="J42" s="76">
        <f ca="1" t="shared" ref="J42:J49" si="8">RANDBETWEEN(40,150)</f>
        <v>91</v>
      </c>
      <c r="K42" s="76">
        <f ca="1" t="shared" ref="K42:K49" si="9">ROUND(RANDBETWEEN(800,3000),-2)</f>
        <v>2700</v>
      </c>
      <c r="L42" s="76" t="s">
        <v>219</v>
      </c>
      <c r="M42" s="76"/>
      <c r="N42" s="75"/>
      <c r="O42" s="76" t="s">
        <v>212</v>
      </c>
      <c r="P42" s="114" t="s">
        <v>213</v>
      </c>
      <c r="Q42" s="7"/>
      <c r="XEJ42" s="4"/>
      <c r="XEK42" s="4"/>
      <c r="XEL42" s="4"/>
      <c r="XEM42" s="4"/>
      <c r="XEN42" s="4"/>
      <c r="XEO42" s="4"/>
      <c r="XEP42" s="4"/>
    </row>
    <row r="43" s="2" customFormat="1" ht="26.1" customHeight="1" spans="2:16370">
      <c r="B43" s="7"/>
      <c r="C43" s="75">
        <v>44523</v>
      </c>
      <c r="D43" s="75" t="s">
        <v>150</v>
      </c>
      <c r="E43" s="76" t="s">
        <v>138</v>
      </c>
      <c r="F43" s="76" t="s">
        <v>144</v>
      </c>
      <c r="G43" s="76">
        <v>3</v>
      </c>
      <c r="H43" s="76">
        <v>3</v>
      </c>
      <c r="I43" s="76">
        <v>1</v>
      </c>
      <c r="J43" s="76">
        <f ca="1" t="shared" si="8"/>
        <v>87</v>
      </c>
      <c r="K43" s="76">
        <f ca="1" t="shared" si="9"/>
        <v>2900</v>
      </c>
      <c r="L43" s="76" t="s">
        <v>220</v>
      </c>
      <c r="M43" s="76"/>
      <c r="N43" s="75"/>
      <c r="O43" s="76" t="s">
        <v>212</v>
      </c>
      <c r="P43" s="114" t="s">
        <v>213</v>
      </c>
      <c r="Q43" s="7"/>
      <c r="XEJ43" s="4"/>
      <c r="XEK43" s="4"/>
      <c r="XEL43" s="4"/>
      <c r="XEM43" s="4"/>
      <c r="XEN43" s="4"/>
      <c r="XEO43" s="4"/>
      <c r="XEP43" s="4"/>
    </row>
    <row r="44" s="2" customFormat="1" ht="26.1" customHeight="1" spans="2:16370">
      <c r="B44" s="7"/>
      <c r="C44" s="75">
        <v>44523</v>
      </c>
      <c r="D44" s="75" t="s">
        <v>66</v>
      </c>
      <c r="E44" s="76" t="s">
        <v>55</v>
      </c>
      <c r="F44" s="76" t="s">
        <v>60</v>
      </c>
      <c r="G44" s="76">
        <v>3</v>
      </c>
      <c r="H44" s="76">
        <v>2</v>
      </c>
      <c r="I44" s="76">
        <v>1</v>
      </c>
      <c r="J44" s="76">
        <f ca="1" t="shared" si="8"/>
        <v>120</v>
      </c>
      <c r="K44" s="76">
        <f ca="1" t="shared" si="9"/>
        <v>1700</v>
      </c>
      <c r="L44" s="76" t="s">
        <v>221</v>
      </c>
      <c r="M44" s="76"/>
      <c r="N44" s="75"/>
      <c r="O44" s="76" t="s">
        <v>212</v>
      </c>
      <c r="P44" s="114" t="s">
        <v>213</v>
      </c>
      <c r="Q44" s="7"/>
      <c r="XEJ44" s="4"/>
      <c r="XEK44" s="4"/>
      <c r="XEL44" s="4"/>
      <c r="XEM44" s="4"/>
      <c r="XEN44" s="4"/>
      <c r="XEO44" s="4"/>
      <c r="XEP44" s="4"/>
    </row>
    <row r="45" s="2" customFormat="1" ht="26.1" customHeight="1" spans="2:16370">
      <c r="B45" s="7"/>
      <c r="C45" s="75">
        <v>44523</v>
      </c>
      <c r="D45" s="75" t="s">
        <v>153</v>
      </c>
      <c r="E45" s="76" t="s">
        <v>138</v>
      </c>
      <c r="F45" s="76" t="s">
        <v>17</v>
      </c>
      <c r="G45" s="76">
        <v>3</v>
      </c>
      <c r="H45" s="76">
        <v>3</v>
      </c>
      <c r="I45" s="76">
        <v>1</v>
      </c>
      <c r="J45" s="76">
        <f ca="1" t="shared" si="8"/>
        <v>110</v>
      </c>
      <c r="K45" s="76">
        <f ca="1" t="shared" si="9"/>
        <v>1700</v>
      </c>
      <c r="L45" s="76" t="s">
        <v>211</v>
      </c>
      <c r="M45" s="76"/>
      <c r="N45" s="75"/>
      <c r="O45" s="76" t="s">
        <v>212</v>
      </c>
      <c r="P45" s="114" t="s">
        <v>213</v>
      </c>
      <c r="Q45" s="7"/>
      <c r="XEJ45" s="4"/>
      <c r="XEK45" s="4"/>
      <c r="XEL45" s="4"/>
      <c r="XEM45" s="4"/>
      <c r="XEN45" s="4"/>
      <c r="XEO45" s="4"/>
      <c r="XEP45" s="4"/>
    </row>
    <row r="46" s="2" customFormat="1" ht="26.1" customHeight="1" spans="2:16370">
      <c r="B46" s="7"/>
      <c r="C46" s="75">
        <v>44523</v>
      </c>
      <c r="D46" s="75" t="s">
        <v>155</v>
      </c>
      <c r="E46" s="76" t="s">
        <v>138</v>
      </c>
      <c r="F46" s="76" t="s">
        <v>18</v>
      </c>
      <c r="G46" s="76">
        <v>3</v>
      </c>
      <c r="H46" s="76">
        <v>1</v>
      </c>
      <c r="I46" s="76">
        <v>1</v>
      </c>
      <c r="J46" s="76">
        <f ca="1" t="shared" si="8"/>
        <v>86</v>
      </c>
      <c r="K46" s="76">
        <f ca="1" t="shared" si="9"/>
        <v>1700</v>
      </c>
      <c r="L46" s="76" t="s">
        <v>211</v>
      </c>
      <c r="M46" s="76"/>
      <c r="N46" s="75"/>
      <c r="O46" s="76" t="s">
        <v>212</v>
      </c>
      <c r="P46" s="114" t="s">
        <v>213</v>
      </c>
      <c r="Q46" s="7"/>
      <c r="XEJ46" s="4"/>
      <c r="XEK46" s="4"/>
      <c r="XEL46" s="4"/>
      <c r="XEM46" s="4"/>
      <c r="XEN46" s="4"/>
      <c r="XEO46" s="4"/>
      <c r="XEP46" s="4"/>
    </row>
    <row r="47" s="2" customFormat="1" ht="26.1" customHeight="1" spans="2:16370">
      <c r="B47" s="7"/>
      <c r="C47" s="75">
        <v>44523</v>
      </c>
      <c r="D47" s="75" t="s">
        <v>91</v>
      </c>
      <c r="E47" s="76" t="s">
        <v>78</v>
      </c>
      <c r="F47" s="76" t="s">
        <v>83</v>
      </c>
      <c r="G47" s="76">
        <v>3</v>
      </c>
      <c r="H47" s="76">
        <v>3</v>
      </c>
      <c r="I47" s="76">
        <v>1</v>
      </c>
      <c r="J47" s="76">
        <f ca="1" t="shared" si="8"/>
        <v>100</v>
      </c>
      <c r="K47" s="76">
        <f ca="1" t="shared" si="9"/>
        <v>1900</v>
      </c>
      <c r="L47" s="76" t="s">
        <v>211</v>
      </c>
      <c r="M47" s="76"/>
      <c r="N47" s="75"/>
      <c r="O47" s="76" t="s">
        <v>212</v>
      </c>
      <c r="P47" s="114" t="s">
        <v>213</v>
      </c>
      <c r="Q47" s="7"/>
      <c r="XEJ47" s="4"/>
      <c r="XEK47" s="4"/>
      <c r="XEL47" s="4"/>
      <c r="XEM47" s="4"/>
      <c r="XEN47" s="4"/>
      <c r="XEO47" s="4"/>
      <c r="XEP47" s="4"/>
    </row>
    <row r="48" s="2" customFormat="1" ht="26.1" customHeight="1" spans="2:16370">
      <c r="B48" s="7"/>
      <c r="C48" s="75">
        <v>44523</v>
      </c>
      <c r="D48" s="75" t="s">
        <v>119</v>
      </c>
      <c r="E48" s="76" t="s">
        <v>102</v>
      </c>
      <c r="F48" s="76" t="s">
        <v>48</v>
      </c>
      <c r="G48" s="76">
        <v>3</v>
      </c>
      <c r="H48" s="76">
        <v>3</v>
      </c>
      <c r="I48" s="76">
        <v>1</v>
      </c>
      <c r="J48" s="76">
        <f ca="1" t="shared" si="8"/>
        <v>48</v>
      </c>
      <c r="K48" s="76">
        <f ca="1" t="shared" si="9"/>
        <v>2400</v>
      </c>
      <c r="L48" s="76" t="s">
        <v>211</v>
      </c>
      <c r="M48" s="76"/>
      <c r="N48" s="75"/>
      <c r="O48" s="76" t="s">
        <v>212</v>
      </c>
      <c r="P48" s="114" t="s">
        <v>213</v>
      </c>
      <c r="Q48" s="7"/>
      <c r="XEJ48" s="4"/>
      <c r="XEK48" s="4"/>
      <c r="XEL48" s="4"/>
      <c r="XEM48" s="4"/>
      <c r="XEN48" s="4"/>
      <c r="XEO48" s="4"/>
      <c r="XEP48" s="4"/>
    </row>
    <row r="49" s="2" customFormat="1" ht="26.1" customHeight="1" spans="2:16370">
      <c r="B49" s="7"/>
      <c r="C49" s="75">
        <v>44523</v>
      </c>
      <c r="D49" s="75" t="s">
        <v>121</v>
      </c>
      <c r="E49" s="76" t="s">
        <v>102</v>
      </c>
      <c r="F49" s="76" t="s">
        <v>48</v>
      </c>
      <c r="G49" s="76">
        <v>3</v>
      </c>
      <c r="H49" s="76">
        <v>3</v>
      </c>
      <c r="I49" s="76">
        <v>1</v>
      </c>
      <c r="J49" s="76">
        <f ca="1" t="shared" si="8"/>
        <v>81</v>
      </c>
      <c r="K49" s="76">
        <f ca="1" t="shared" si="9"/>
        <v>1600</v>
      </c>
      <c r="L49" s="76" t="s">
        <v>211</v>
      </c>
      <c r="M49" s="76"/>
      <c r="N49" s="75"/>
      <c r="O49" s="76" t="s">
        <v>212</v>
      </c>
      <c r="P49" s="114" t="s">
        <v>213</v>
      </c>
      <c r="Q49" s="7"/>
      <c r="XEJ49" s="4"/>
      <c r="XEK49" s="4"/>
      <c r="XEL49" s="4"/>
      <c r="XEM49" s="4"/>
      <c r="XEN49" s="4"/>
      <c r="XEO49" s="4"/>
      <c r="XEP49" s="4"/>
    </row>
    <row r="50" s="2" customFormat="1" ht="26.1" customHeight="1" spans="2:16370">
      <c r="B50" s="7"/>
      <c r="C50" s="75">
        <v>44523</v>
      </c>
      <c r="D50" s="75" t="s">
        <v>157</v>
      </c>
      <c r="E50" s="76" t="s">
        <v>138</v>
      </c>
      <c r="F50" s="76" t="s">
        <v>48</v>
      </c>
      <c r="G50" s="76">
        <v>3</v>
      </c>
      <c r="H50" s="76">
        <v>3</v>
      </c>
      <c r="I50" s="76">
        <v>1</v>
      </c>
      <c r="J50" s="76">
        <f ca="1" t="shared" ref="J50:J59" si="10">RANDBETWEEN(40,150)</f>
        <v>45</v>
      </c>
      <c r="K50" s="76">
        <f ca="1" t="shared" ref="K50:K59" si="11">ROUND(RANDBETWEEN(800,3000),-2)</f>
        <v>2900</v>
      </c>
      <c r="L50" s="76" t="s">
        <v>211</v>
      </c>
      <c r="M50" s="76"/>
      <c r="N50" s="75"/>
      <c r="O50" s="76" t="s">
        <v>212</v>
      </c>
      <c r="P50" s="114" t="s">
        <v>213</v>
      </c>
      <c r="Q50" s="7"/>
      <c r="XEJ50" s="4"/>
      <c r="XEK50" s="4"/>
      <c r="XEL50" s="4"/>
      <c r="XEM50" s="4"/>
      <c r="XEN50" s="4"/>
      <c r="XEO50" s="4"/>
      <c r="XEP50" s="4"/>
    </row>
    <row r="51" s="2" customFormat="1" ht="26.1" customHeight="1" spans="2:16370">
      <c r="B51" s="7"/>
      <c r="C51" s="75">
        <v>44523</v>
      </c>
      <c r="D51" s="75" t="s">
        <v>135</v>
      </c>
      <c r="E51" s="76" t="s">
        <v>129</v>
      </c>
      <c r="F51" s="76" t="s">
        <v>48</v>
      </c>
      <c r="G51" s="76">
        <v>3</v>
      </c>
      <c r="H51" s="76">
        <v>3</v>
      </c>
      <c r="I51" s="76">
        <v>1</v>
      </c>
      <c r="J51" s="76">
        <f ca="1" t="shared" si="10"/>
        <v>119</v>
      </c>
      <c r="K51" s="76">
        <f ca="1" t="shared" si="11"/>
        <v>1200</v>
      </c>
      <c r="L51" s="76" t="s">
        <v>211</v>
      </c>
      <c r="M51" s="76"/>
      <c r="N51" s="75"/>
      <c r="O51" s="76" t="s">
        <v>212</v>
      </c>
      <c r="P51" s="114" t="s">
        <v>213</v>
      </c>
      <c r="Q51" s="7"/>
      <c r="XEJ51" s="4"/>
      <c r="XEK51" s="4"/>
      <c r="XEL51" s="4"/>
      <c r="XEM51" s="4"/>
      <c r="XEN51" s="4"/>
      <c r="XEO51" s="4"/>
      <c r="XEP51" s="4"/>
    </row>
    <row r="52" s="2" customFormat="1" ht="26.1" customHeight="1" spans="2:16370">
      <c r="B52" s="7"/>
      <c r="C52" s="75">
        <v>44523</v>
      </c>
      <c r="D52" s="75" t="s">
        <v>68</v>
      </c>
      <c r="E52" s="76" t="s">
        <v>55</v>
      </c>
      <c r="F52" s="76" t="s">
        <v>48</v>
      </c>
      <c r="G52" s="76">
        <v>3</v>
      </c>
      <c r="H52" s="76">
        <v>3</v>
      </c>
      <c r="I52" s="76">
        <v>1</v>
      </c>
      <c r="J52" s="76">
        <f ca="1" t="shared" si="10"/>
        <v>109</v>
      </c>
      <c r="K52" s="76">
        <f ca="1" t="shared" si="11"/>
        <v>1100</v>
      </c>
      <c r="L52" s="76" t="s">
        <v>211</v>
      </c>
      <c r="M52" s="76"/>
      <c r="N52" s="75"/>
      <c r="O52" s="76" t="s">
        <v>212</v>
      </c>
      <c r="P52" s="114" t="s">
        <v>213</v>
      </c>
      <c r="Q52" s="7"/>
      <c r="XEJ52" s="4"/>
      <c r="XEK52" s="4"/>
      <c r="XEL52" s="4"/>
      <c r="XEM52" s="4"/>
      <c r="XEN52" s="4"/>
      <c r="XEO52" s="4"/>
      <c r="XEP52" s="4"/>
    </row>
    <row r="53" s="2" customFormat="1" ht="26.1" customHeight="1" spans="2:16370">
      <c r="B53" s="7"/>
      <c r="C53" s="75">
        <v>44523</v>
      </c>
      <c r="D53" s="75" t="s">
        <v>93</v>
      </c>
      <c r="E53" s="76" t="s">
        <v>78</v>
      </c>
      <c r="F53" s="76" t="s">
        <v>48</v>
      </c>
      <c r="G53" s="76">
        <v>3</v>
      </c>
      <c r="H53" s="76">
        <v>3</v>
      </c>
      <c r="I53" s="76">
        <v>1</v>
      </c>
      <c r="J53" s="76">
        <f ca="1" t="shared" si="10"/>
        <v>72</v>
      </c>
      <c r="K53" s="76">
        <f ca="1" t="shared" si="11"/>
        <v>1500</v>
      </c>
      <c r="L53" s="76" t="s">
        <v>211</v>
      </c>
      <c r="M53" s="76"/>
      <c r="N53" s="75"/>
      <c r="O53" s="76" t="s">
        <v>212</v>
      </c>
      <c r="P53" s="114" t="s">
        <v>213</v>
      </c>
      <c r="Q53" s="7"/>
      <c r="XEJ53" s="4"/>
      <c r="XEK53" s="4"/>
      <c r="XEL53" s="4"/>
      <c r="XEM53" s="4"/>
      <c r="XEN53" s="4"/>
      <c r="XEO53" s="4"/>
      <c r="XEP53" s="4"/>
    </row>
    <row r="54" s="2" customFormat="1" ht="26.1" customHeight="1" spans="2:16370">
      <c r="B54" s="7"/>
      <c r="C54" s="75">
        <v>44523</v>
      </c>
      <c r="D54" s="75" t="s">
        <v>175</v>
      </c>
      <c r="E54" s="76" t="s">
        <v>165</v>
      </c>
      <c r="F54" s="76" t="s">
        <v>48</v>
      </c>
      <c r="G54" s="76">
        <v>3</v>
      </c>
      <c r="H54" s="76">
        <v>3</v>
      </c>
      <c r="I54" s="76">
        <v>1</v>
      </c>
      <c r="J54" s="76">
        <f ca="1" t="shared" si="10"/>
        <v>91</v>
      </c>
      <c r="K54" s="76">
        <f ca="1" t="shared" si="11"/>
        <v>1200</v>
      </c>
      <c r="L54" s="76" t="s">
        <v>211</v>
      </c>
      <c r="M54" s="76"/>
      <c r="N54" s="75"/>
      <c r="O54" s="76" t="s">
        <v>212</v>
      </c>
      <c r="P54" s="114" t="s">
        <v>213</v>
      </c>
      <c r="Q54" s="7"/>
      <c r="XEJ54" s="4"/>
      <c r="XEK54" s="4"/>
      <c r="XEL54" s="4"/>
      <c r="XEM54" s="4"/>
      <c r="XEN54" s="4"/>
      <c r="XEO54" s="4"/>
      <c r="XEP54" s="4"/>
    </row>
    <row r="55" s="2" customFormat="1" ht="26.1" customHeight="1" spans="2:16370">
      <c r="B55" s="7"/>
      <c r="C55" s="75">
        <v>44523</v>
      </c>
      <c r="D55" s="75" t="s">
        <v>122</v>
      </c>
      <c r="E55" s="76" t="s">
        <v>102</v>
      </c>
      <c r="F55" s="76" t="s">
        <v>48</v>
      </c>
      <c r="G55" s="76">
        <v>3</v>
      </c>
      <c r="H55" s="76">
        <v>3</v>
      </c>
      <c r="I55" s="76">
        <v>1</v>
      </c>
      <c r="J55" s="76">
        <f ca="1" t="shared" si="10"/>
        <v>51</v>
      </c>
      <c r="K55" s="76">
        <f ca="1" t="shared" si="11"/>
        <v>900</v>
      </c>
      <c r="L55" s="76" t="s">
        <v>211</v>
      </c>
      <c r="M55" s="76"/>
      <c r="N55" s="75"/>
      <c r="O55" s="76" t="s">
        <v>212</v>
      </c>
      <c r="P55" s="114" t="s">
        <v>213</v>
      </c>
      <c r="Q55" s="7"/>
      <c r="XEJ55" s="4"/>
      <c r="XEK55" s="4"/>
      <c r="XEL55" s="4"/>
      <c r="XEM55" s="4"/>
      <c r="XEN55" s="4"/>
      <c r="XEO55" s="4"/>
      <c r="XEP55" s="4"/>
    </row>
    <row r="56" s="2" customFormat="1" ht="26.1" customHeight="1" spans="2:16370">
      <c r="B56" s="7"/>
      <c r="C56" s="75">
        <v>44523</v>
      </c>
      <c r="D56" s="75" t="s">
        <v>124</v>
      </c>
      <c r="E56" s="76" t="s">
        <v>102</v>
      </c>
      <c r="F56" s="76" t="s">
        <v>48</v>
      </c>
      <c r="G56" s="76">
        <v>3</v>
      </c>
      <c r="H56" s="76">
        <v>3</v>
      </c>
      <c r="I56" s="76">
        <v>1</v>
      </c>
      <c r="J56" s="76">
        <f ca="1" t="shared" si="10"/>
        <v>143</v>
      </c>
      <c r="K56" s="76">
        <f ca="1" t="shared" si="11"/>
        <v>900</v>
      </c>
      <c r="L56" s="76" t="s">
        <v>211</v>
      </c>
      <c r="M56" s="76"/>
      <c r="N56" s="75"/>
      <c r="O56" s="76" t="s">
        <v>212</v>
      </c>
      <c r="P56" s="114" t="s">
        <v>213</v>
      </c>
      <c r="Q56" s="7"/>
      <c r="XEJ56" s="4"/>
      <c r="XEK56" s="4"/>
      <c r="XEL56" s="4"/>
      <c r="XEM56" s="4"/>
      <c r="XEN56" s="4"/>
      <c r="XEO56" s="4"/>
      <c r="XEP56" s="4"/>
    </row>
    <row r="57" s="2" customFormat="1" ht="26.1" customHeight="1" spans="2:16370">
      <c r="B57" s="7"/>
      <c r="C57" s="75">
        <v>44523</v>
      </c>
      <c r="D57" s="75" t="s">
        <v>158</v>
      </c>
      <c r="E57" s="76" t="s">
        <v>138</v>
      </c>
      <c r="F57" s="76" t="s">
        <v>48</v>
      </c>
      <c r="G57" s="76">
        <v>3</v>
      </c>
      <c r="H57" s="76">
        <v>3</v>
      </c>
      <c r="I57" s="76">
        <v>1</v>
      </c>
      <c r="J57" s="76">
        <f ca="1" t="shared" si="10"/>
        <v>73</v>
      </c>
      <c r="K57" s="76">
        <f ca="1" t="shared" si="11"/>
        <v>1000</v>
      </c>
      <c r="L57" s="76" t="s">
        <v>211</v>
      </c>
      <c r="M57" s="76"/>
      <c r="N57" s="75"/>
      <c r="O57" s="76" t="s">
        <v>212</v>
      </c>
      <c r="P57" s="114" t="s">
        <v>213</v>
      </c>
      <c r="Q57" s="7"/>
      <c r="XEJ57" s="4"/>
      <c r="XEK57" s="4"/>
      <c r="XEL57" s="4"/>
      <c r="XEM57" s="4"/>
      <c r="XEN57" s="4"/>
      <c r="XEO57" s="4"/>
      <c r="XEP57" s="4"/>
    </row>
    <row r="58" s="2" customFormat="1" ht="26.1" customHeight="1" spans="2:16370">
      <c r="B58" s="7"/>
      <c r="C58" s="75">
        <v>44523</v>
      </c>
      <c r="D58" s="75" t="s">
        <v>52</v>
      </c>
      <c r="E58" s="76" t="s">
        <v>13</v>
      </c>
      <c r="F58" s="76" t="s">
        <v>48</v>
      </c>
      <c r="G58" s="76">
        <v>3</v>
      </c>
      <c r="H58" s="76">
        <v>3</v>
      </c>
      <c r="I58" s="76">
        <v>1</v>
      </c>
      <c r="J58" s="76">
        <f ca="1" t="shared" si="10"/>
        <v>131</v>
      </c>
      <c r="K58" s="76">
        <f ca="1" t="shared" si="11"/>
        <v>1500</v>
      </c>
      <c r="L58" s="76" t="s">
        <v>211</v>
      </c>
      <c r="M58" s="76"/>
      <c r="N58" s="75"/>
      <c r="O58" s="76" t="s">
        <v>212</v>
      </c>
      <c r="P58" s="114" t="s">
        <v>213</v>
      </c>
      <c r="Q58" s="7"/>
      <c r="XEJ58" s="4"/>
      <c r="XEK58" s="4"/>
      <c r="XEL58" s="4"/>
      <c r="XEM58" s="4"/>
      <c r="XEN58" s="4"/>
      <c r="XEO58" s="4"/>
      <c r="XEP58" s="4"/>
    </row>
    <row r="59" s="2" customFormat="1" ht="26.1" customHeight="1" spans="2:16370">
      <c r="B59" s="7"/>
      <c r="C59" s="75">
        <v>44523</v>
      </c>
      <c r="D59" s="75" t="s">
        <v>159</v>
      </c>
      <c r="E59" s="76" t="s">
        <v>138</v>
      </c>
      <c r="F59" s="76" t="s">
        <v>48</v>
      </c>
      <c r="G59" s="76">
        <v>3</v>
      </c>
      <c r="H59" s="76">
        <v>3</v>
      </c>
      <c r="I59" s="76">
        <v>1</v>
      </c>
      <c r="J59" s="76">
        <f ca="1" t="shared" si="10"/>
        <v>137</v>
      </c>
      <c r="K59" s="76">
        <f ca="1" t="shared" si="11"/>
        <v>1300</v>
      </c>
      <c r="L59" s="76" t="s">
        <v>211</v>
      </c>
      <c r="M59" s="76"/>
      <c r="N59" s="75"/>
      <c r="O59" s="76" t="s">
        <v>212</v>
      </c>
      <c r="P59" s="114" t="s">
        <v>213</v>
      </c>
      <c r="Q59" s="7"/>
      <c r="XEJ59" s="4"/>
      <c r="XEK59" s="4"/>
      <c r="XEL59" s="4"/>
      <c r="XEM59" s="4"/>
      <c r="XEN59" s="4"/>
      <c r="XEO59" s="4"/>
      <c r="XEP59" s="4"/>
    </row>
    <row r="60" s="2" customFormat="1" ht="26.1" customHeight="1" spans="2:16370">
      <c r="B60" s="7"/>
      <c r="C60" s="75">
        <v>44523</v>
      </c>
      <c r="D60" s="75" t="s">
        <v>70</v>
      </c>
      <c r="E60" s="76" t="s">
        <v>55</v>
      </c>
      <c r="F60" s="76" t="s">
        <v>48</v>
      </c>
      <c r="G60" s="76">
        <v>3</v>
      </c>
      <c r="H60" s="76">
        <v>3</v>
      </c>
      <c r="I60" s="76">
        <v>1</v>
      </c>
      <c r="J60" s="76">
        <f ca="1" t="shared" ref="J60:J71" si="12">RANDBETWEEN(40,150)</f>
        <v>150</v>
      </c>
      <c r="K60" s="76">
        <f ca="1" t="shared" ref="K60:K71" si="13">ROUND(RANDBETWEEN(800,3000),-2)</f>
        <v>1600</v>
      </c>
      <c r="L60" s="76" t="s">
        <v>211</v>
      </c>
      <c r="M60" s="76"/>
      <c r="N60" s="75"/>
      <c r="O60" s="76" t="s">
        <v>212</v>
      </c>
      <c r="P60" s="114" t="s">
        <v>213</v>
      </c>
      <c r="Q60" s="7"/>
      <c r="XEJ60" s="4"/>
      <c r="XEK60" s="4"/>
      <c r="XEL60" s="4"/>
      <c r="XEM60" s="4"/>
      <c r="XEN60" s="4"/>
      <c r="XEO60" s="4"/>
      <c r="XEP60" s="4"/>
    </row>
    <row r="61" s="2" customFormat="1" ht="26.1" customHeight="1" spans="2:16370">
      <c r="B61" s="7"/>
      <c r="C61" s="75">
        <v>44523</v>
      </c>
      <c r="D61" s="75" t="s">
        <v>160</v>
      </c>
      <c r="E61" s="76" t="s">
        <v>138</v>
      </c>
      <c r="F61" s="76" t="s">
        <v>48</v>
      </c>
      <c r="G61" s="76">
        <v>3</v>
      </c>
      <c r="H61" s="76">
        <v>3</v>
      </c>
      <c r="I61" s="76">
        <v>1</v>
      </c>
      <c r="J61" s="76">
        <f ca="1" t="shared" si="12"/>
        <v>93</v>
      </c>
      <c r="K61" s="76">
        <f ca="1" t="shared" si="13"/>
        <v>1800</v>
      </c>
      <c r="L61" s="76" t="s">
        <v>211</v>
      </c>
      <c r="M61" s="76"/>
      <c r="N61" s="75"/>
      <c r="O61" s="76" t="s">
        <v>212</v>
      </c>
      <c r="P61" s="114" t="s">
        <v>213</v>
      </c>
      <c r="Q61" s="7"/>
      <c r="XEJ61" s="4"/>
      <c r="XEK61" s="4"/>
      <c r="XEL61" s="4"/>
      <c r="XEM61" s="4"/>
      <c r="XEN61" s="4"/>
      <c r="XEO61" s="4"/>
      <c r="XEP61" s="4"/>
    </row>
    <row r="62" s="2" customFormat="1" ht="26.1" customHeight="1" spans="2:16370">
      <c r="B62" s="7"/>
      <c r="C62" s="75">
        <v>44523</v>
      </c>
      <c r="D62" s="75" t="s">
        <v>161</v>
      </c>
      <c r="E62" s="76" t="s">
        <v>138</v>
      </c>
      <c r="F62" s="76" t="s">
        <v>48</v>
      </c>
      <c r="G62" s="76">
        <v>3</v>
      </c>
      <c r="H62" s="76">
        <v>3</v>
      </c>
      <c r="I62" s="76">
        <v>1</v>
      </c>
      <c r="J62" s="76">
        <f ca="1" t="shared" si="12"/>
        <v>138</v>
      </c>
      <c r="K62" s="76">
        <f ca="1" t="shared" si="13"/>
        <v>1800</v>
      </c>
      <c r="L62" s="76" t="s">
        <v>211</v>
      </c>
      <c r="M62" s="76"/>
      <c r="N62" s="75"/>
      <c r="O62" s="76" t="s">
        <v>212</v>
      </c>
      <c r="P62" s="114" t="s">
        <v>213</v>
      </c>
      <c r="Q62" s="7"/>
      <c r="XEJ62" s="4"/>
      <c r="XEK62" s="4"/>
      <c r="XEL62" s="4"/>
      <c r="XEM62" s="4"/>
      <c r="XEN62" s="4"/>
      <c r="XEO62" s="4"/>
      <c r="XEP62" s="4"/>
    </row>
    <row r="63" s="2" customFormat="1" ht="26.1" customHeight="1" spans="2:16370">
      <c r="B63" s="7"/>
      <c r="C63" s="75">
        <v>44523</v>
      </c>
      <c r="D63" s="75" t="s">
        <v>95</v>
      </c>
      <c r="E63" s="76" t="s">
        <v>78</v>
      </c>
      <c r="F63" s="76" t="s">
        <v>48</v>
      </c>
      <c r="G63" s="76">
        <v>3</v>
      </c>
      <c r="H63" s="76">
        <v>3</v>
      </c>
      <c r="I63" s="76">
        <v>1</v>
      </c>
      <c r="J63" s="76">
        <f ca="1" t="shared" si="12"/>
        <v>109</v>
      </c>
      <c r="K63" s="76">
        <f ca="1" t="shared" si="13"/>
        <v>1200</v>
      </c>
      <c r="L63" s="76" t="s">
        <v>211</v>
      </c>
      <c r="M63" s="76"/>
      <c r="N63" s="75"/>
      <c r="O63" s="76" t="s">
        <v>212</v>
      </c>
      <c r="P63" s="114" t="s">
        <v>213</v>
      </c>
      <c r="Q63" s="7"/>
      <c r="XEJ63" s="4"/>
      <c r="XEK63" s="4"/>
      <c r="XEL63" s="4"/>
      <c r="XEM63" s="4"/>
      <c r="XEN63" s="4"/>
      <c r="XEO63" s="4"/>
      <c r="XEP63" s="4"/>
    </row>
    <row r="64" s="2" customFormat="1" ht="26.1" customHeight="1" spans="2:16370">
      <c r="B64" s="7"/>
      <c r="C64" s="75">
        <v>44523</v>
      </c>
      <c r="D64" s="75" t="s">
        <v>126</v>
      </c>
      <c r="E64" s="76" t="s">
        <v>102</v>
      </c>
      <c r="F64" s="76" t="s">
        <v>48</v>
      </c>
      <c r="G64" s="76">
        <v>3</v>
      </c>
      <c r="H64" s="76">
        <v>3</v>
      </c>
      <c r="I64" s="76">
        <v>1</v>
      </c>
      <c r="J64" s="76">
        <f ca="1" t="shared" si="12"/>
        <v>54</v>
      </c>
      <c r="K64" s="76">
        <f ca="1" t="shared" si="13"/>
        <v>1400</v>
      </c>
      <c r="L64" s="76" t="s">
        <v>211</v>
      </c>
      <c r="M64" s="76"/>
      <c r="N64" s="75"/>
      <c r="O64" s="76" t="s">
        <v>212</v>
      </c>
      <c r="P64" s="114" t="s">
        <v>213</v>
      </c>
      <c r="Q64" s="7"/>
      <c r="XEJ64" s="4"/>
      <c r="XEK64" s="4"/>
      <c r="XEL64" s="4"/>
      <c r="XEM64" s="4"/>
      <c r="XEN64" s="4"/>
      <c r="XEO64" s="4"/>
      <c r="XEP64" s="4"/>
    </row>
    <row r="65" s="2" customFormat="1" ht="26.1" customHeight="1" spans="2:16370">
      <c r="B65" s="7"/>
      <c r="C65" s="75">
        <v>44523</v>
      </c>
      <c r="D65" s="75" t="s">
        <v>127</v>
      </c>
      <c r="E65" s="76" t="s">
        <v>102</v>
      </c>
      <c r="F65" s="76" t="s">
        <v>48</v>
      </c>
      <c r="G65" s="76">
        <v>3</v>
      </c>
      <c r="H65" s="76">
        <v>3</v>
      </c>
      <c r="I65" s="76">
        <v>1</v>
      </c>
      <c r="J65" s="76">
        <f ca="1" t="shared" si="12"/>
        <v>145</v>
      </c>
      <c r="K65" s="76">
        <f ca="1" t="shared" si="13"/>
        <v>2900</v>
      </c>
      <c r="L65" s="76" t="s">
        <v>211</v>
      </c>
      <c r="M65" s="76"/>
      <c r="N65" s="75"/>
      <c r="O65" s="76" t="s">
        <v>212</v>
      </c>
      <c r="P65" s="114" t="s">
        <v>213</v>
      </c>
      <c r="Q65" s="7"/>
      <c r="XEJ65" s="4"/>
      <c r="XEK65" s="4"/>
      <c r="XEL65" s="4"/>
      <c r="XEM65" s="4"/>
      <c r="XEN65" s="4"/>
      <c r="XEO65" s="4"/>
      <c r="XEP65" s="4"/>
    </row>
    <row r="66" s="2" customFormat="1" ht="26.1" customHeight="1" spans="2:16370">
      <c r="B66" s="7"/>
      <c r="C66" s="75">
        <v>44523</v>
      </c>
      <c r="D66" s="75" t="s">
        <v>164</v>
      </c>
      <c r="E66" s="76" t="s">
        <v>138</v>
      </c>
      <c r="F66" s="76" t="s">
        <v>48</v>
      </c>
      <c r="G66" s="76">
        <v>3</v>
      </c>
      <c r="H66" s="76">
        <v>3</v>
      </c>
      <c r="I66" s="76">
        <v>1</v>
      </c>
      <c r="J66" s="76">
        <f ca="1" t="shared" si="12"/>
        <v>140</v>
      </c>
      <c r="K66" s="76">
        <f ca="1" t="shared" si="13"/>
        <v>1400</v>
      </c>
      <c r="L66" s="76" t="s">
        <v>211</v>
      </c>
      <c r="M66" s="76"/>
      <c r="N66" s="75"/>
      <c r="O66" s="76" t="s">
        <v>212</v>
      </c>
      <c r="P66" s="114" t="s">
        <v>213</v>
      </c>
      <c r="Q66" s="7"/>
      <c r="XEJ66" s="4"/>
      <c r="XEK66" s="4"/>
      <c r="XEL66" s="4"/>
      <c r="XEM66" s="4"/>
      <c r="XEN66" s="4"/>
      <c r="XEO66" s="4"/>
      <c r="XEP66" s="4"/>
    </row>
    <row r="67" s="2" customFormat="1" ht="26.1" customHeight="1" spans="2:16370">
      <c r="B67" s="7"/>
      <c r="C67" s="75">
        <v>44523</v>
      </c>
      <c r="D67" s="75" t="s">
        <v>137</v>
      </c>
      <c r="E67" s="76" t="s">
        <v>129</v>
      </c>
      <c r="F67" s="76" t="s">
        <v>48</v>
      </c>
      <c r="G67" s="76">
        <v>3</v>
      </c>
      <c r="H67" s="76">
        <v>3</v>
      </c>
      <c r="I67" s="76">
        <v>1</v>
      </c>
      <c r="J67" s="76">
        <f ca="1" t="shared" si="12"/>
        <v>53</v>
      </c>
      <c r="K67" s="76">
        <f ca="1" t="shared" si="13"/>
        <v>1400</v>
      </c>
      <c r="L67" s="76" t="s">
        <v>211</v>
      </c>
      <c r="M67" s="76"/>
      <c r="N67" s="75"/>
      <c r="O67" s="76" t="s">
        <v>212</v>
      </c>
      <c r="P67" s="114" t="s">
        <v>213</v>
      </c>
      <c r="Q67" s="7"/>
      <c r="XEJ67" s="4"/>
      <c r="XEK67" s="4"/>
      <c r="XEL67" s="4"/>
      <c r="XEM67" s="4"/>
      <c r="XEN67" s="4"/>
      <c r="XEO67" s="4"/>
      <c r="XEP67" s="4"/>
    </row>
    <row r="68" s="2" customFormat="1" ht="26.1" customHeight="1" spans="2:16370">
      <c r="B68" s="7"/>
      <c r="C68" s="75">
        <v>44523</v>
      </c>
      <c r="D68" s="75" t="s">
        <v>76</v>
      </c>
      <c r="E68" s="76" t="s">
        <v>55</v>
      </c>
      <c r="F68" s="76" t="s">
        <v>48</v>
      </c>
      <c r="G68" s="76">
        <v>3</v>
      </c>
      <c r="H68" s="76">
        <v>3</v>
      </c>
      <c r="I68" s="76">
        <v>1</v>
      </c>
      <c r="J68" s="76">
        <f ca="1" t="shared" si="12"/>
        <v>136</v>
      </c>
      <c r="K68" s="76">
        <f ca="1" t="shared" si="13"/>
        <v>1700</v>
      </c>
      <c r="L68" s="76" t="s">
        <v>211</v>
      </c>
      <c r="M68" s="76"/>
      <c r="N68" s="75"/>
      <c r="O68" s="76" t="s">
        <v>212</v>
      </c>
      <c r="P68" s="114" t="s">
        <v>213</v>
      </c>
      <c r="Q68" s="7"/>
      <c r="XEJ68" s="4"/>
      <c r="XEK68" s="4"/>
      <c r="XEL68" s="4"/>
      <c r="XEM68" s="4"/>
      <c r="XEN68" s="4"/>
      <c r="XEO68" s="4"/>
      <c r="XEP68" s="4"/>
    </row>
    <row r="69" s="2" customFormat="1" ht="26.1" customHeight="1" spans="2:16370">
      <c r="B69" s="7"/>
      <c r="C69" s="75">
        <v>44523</v>
      </c>
      <c r="D69" s="75" t="s">
        <v>100</v>
      </c>
      <c r="E69" s="76" t="s">
        <v>78</v>
      </c>
      <c r="F69" s="76" t="s">
        <v>48</v>
      </c>
      <c r="G69" s="76">
        <v>3</v>
      </c>
      <c r="H69" s="76">
        <v>3</v>
      </c>
      <c r="I69" s="76">
        <v>1</v>
      </c>
      <c r="J69" s="76">
        <f ca="1" t="shared" si="12"/>
        <v>119</v>
      </c>
      <c r="K69" s="76">
        <f ca="1" t="shared" si="13"/>
        <v>1600</v>
      </c>
      <c r="L69" s="76" t="s">
        <v>211</v>
      </c>
      <c r="M69" s="76"/>
      <c r="N69" s="75"/>
      <c r="O69" s="76" t="s">
        <v>212</v>
      </c>
      <c r="P69" s="114" t="s">
        <v>213</v>
      </c>
      <c r="Q69" s="7"/>
      <c r="XEJ69" s="4"/>
      <c r="XEK69" s="4"/>
      <c r="XEL69" s="4"/>
      <c r="XEM69" s="4"/>
      <c r="XEN69" s="4"/>
      <c r="XEO69" s="4"/>
      <c r="XEP69" s="4"/>
    </row>
    <row r="70" s="2" customFormat="1" ht="26.1" customHeight="1" spans="2:16370">
      <c r="B70" s="7"/>
      <c r="C70" s="75">
        <v>44523</v>
      </c>
      <c r="D70" s="75" t="s">
        <v>177</v>
      </c>
      <c r="E70" s="76" t="s">
        <v>165</v>
      </c>
      <c r="F70" s="76" t="s">
        <v>48</v>
      </c>
      <c r="G70" s="76">
        <v>3</v>
      </c>
      <c r="H70" s="76">
        <v>3</v>
      </c>
      <c r="I70" s="76">
        <v>1</v>
      </c>
      <c r="J70" s="76">
        <f ca="1" t="shared" si="12"/>
        <v>147</v>
      </c>
      <c r="K70" s="76">
        <f ca="1" t="shared" si="13"/>
        <v>1000</v>
      </c>
      <c r="L70" s="76" t="s">
        <v>211</v>
      </c>
      <c r="M70" s="76"/>
      <c r="N70" s="75"/>
      <c r="O70" s="76" t="s">
        <v>212</v>
      </c>
      <c r="P70" s="114" t="s">
        <v>213</v>
      </c>
      <c r="Q70" s="7"/>
      <c r="XEJ70" s="4"/>
      <c r="XEK70" s="4"/>
      <c r="XEL70" s="4"/>
      <c r="XEM70" s="4"/>
      <c r="XEN70" s="4"/>
      <c r="XEO70" s="4"/>
      <c r="XEP70" s="4"/>
    </row>
    <row r="71" s="2" customFormat="1" ht="26.1" customHeight="1" spans="2:16370">
      <c r="B71" s="7"/>
      <c r="C71" s="75">
        <v>44523</v>
      </c>
      <c r="D71" s="75" t="s">
        <v>128</v>
      </c>
      <c r="E71" s="76" t="s">
        <v>102</v>
      </c>
      <c r="F71" s="76" t="s">
        <v>48</v>
      </c>
      <c r="G71" s="76">
        <v>3</v>
      </c>
      <c r="H71" s="76">
        <v>3</v>
      </c>
      <c r="I71" s="76">
        <v>1</v>
      </c>
      <c r="J71" s="76">
        <f ca="1" t="shared" si="12"/>
        <v>43</v>
      </c>
      <c r="K71" s="76">
        <f ca="1" t="shared" si="13"/>
        <v>1000</v>
      </c>
      <c r="L71" s="76" t="s">
        <v>211</v>
      </c>
      <c r="M71" s="76"/>
      <c r="N71" s="75"/>
      <c r="O71" s="76" t="s">
        <v>212</v>
      </c>
      <c r="P71" s="114" t="s">
        <v>213</v>
      </c>
      <c r="Q71" s="7"/>
      <c r="XEJ71" s="4"/>
      <c r="XEK71" s="4"/>
      <c r="XEL71" s="4"/>
      <c r="XEM71" s="4"/>
      <c r="XEN71" s="4"/>
      <c r="XEO71" s="4"/>
      <c r="XEP71" s="4"/>
    </row>
    <row r="72" s="2" customFormat="1" ht="26.1" customHeight="1" spans="2:16370">
      <c r="B72" s="7"/>
      <c r="C72" s="68"/>
      <c r="D72" s="68"/>
      <c r="E72" s="76"/>
      <c r="F72" s="68"/>
      <c r="G72" s="68"/>
      <c r="H72" s="68"/>
      <c r="I72" s="68"/>
      <c r="J72" s="68"/>
      <c r="K72" s="68"/>
      <c r="L72" s="68"/>
      <c r="M72" s="68"/>
      <c r="N72" s="105"/>
      <c r="O72" s="68"/>
      <c r="P72" s="115"/>
      <c r="Q72" s="7"/>
      <c r="XEJ72" s="4"/>
      <c r="XEK72" s="4"/>
      <c r="XEL72" s="4"/>
      <c r="XEM72" s="4"/>
      <c r="XEN72" s="4"/>
      <c r="XEO72" s="4"/>
      <c r="XEP72" s="4"/>
    </row>
    <row r="73" s="2" customFormat="1" ht="26.1" customHeight="1" spans="2:16370">
      <c r="B73" s="7"/>
      <c r="C73" s="68"/>
      <c r="D73" s="68"/>
      <c r="E73" s="76"/>
      <c r="F73" s="68"/>
      <c r="G73" s="68"/>
      <c r="H73" s="68"/>
      <c r="I73" s="68"/>
      <c r="J73" s="68"/>
      <c r="K73" s="68"/>
      <c r="L73" s="68"/>
      <c r="M73" s="68"/>
      <c r="N73" s="105"/>
      <c r="O73" s="68"/>
      <c r="P73" s="115"/>
      <c r="Q73" s="7"/>
      <c r="XEJ73" s="4"/>
      <c r="XEK73" s="4"/>
      <c r="XEL73" s="4"/>
      <c r="XEM73" s="4"/>
      <c r="XEN73" s="4"/>
      <c r="XEO73" s="4"/>
      <c r="XEP73" s="4"/>
    </row>
    <row r="74" s="2" customFormat="1" ht="26.1" customHeight="1" spans="2:16370">
      <c r="B74" s="7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105"/>
      <c r="O74" s="68"/>
      <c r="P74" s="115"/>
      <c r="Q74" s="7"/>
      <c r="XEJ74" s="4"/>
      <c r="XEK74" s="4"/>
      <c r="XEL74" s="4"/>
      <c r="XEM74" s="4"/>
      <c r="XEN74" s="4"/>
      <c r="XEO74" s="4"/>
      <c r="XEP74" s="4"/>
    </row>
    <row r="75" s="2" customFormat="1" ht="26.1" customHeight="1" spans="2:16370">
      <c r="B75" s="7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105"/>
      <c r="O75" s="68"/>
      <c r="P75" s="115"/>
      <c r="Q75" s="7"/>
      <c r="T75" s="2">
        <v>9</v>
      </c>
      <c r="XEJ75" s="4"/>
      <c r="XEK75" s="4"/>
      <c r="XEL75" s="4"/>
      <c r="XEM75" s="4"/>
      <c r="XEN75" s="4"/>
      <c r="XEO75" s="4"/>
      <c r="XEP75" s="4"/>
    </row>
    <row r="76" s="2" customFormat="1" ht="26.1" customHeight="1" spans="2:16370">
      <c r="B76" s="7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105"/>
      <c r="O76" s="68"/>
      <c r="P76" s="115"/>
      <c r="Q76" s="7"/>
      <c r="XEJ76" s="4"/>
      <c r="XEK76" s="4"/>
      <c r="XEL76" s="4"/>
      <c r="XEM76" s="4"/>
      <c r="XEN76" s="4"/>
      <c r="XEO76" s="4"/>
      <c r="XEP76" s="4"/>
    </row>
    <row r="77" s="2" customFormat="1" ht="26.1" customHeight="1" spans="2:16370">
      <c r="B77" s="7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105"/>
      <c r="O77" s="68"/>
      <c r="P77" s="115"/>
      <c r="Q77" s="7"/>
      <c r="XEJ77" s="4"/>
      <c r="XEK77" s="4"/>
      <c r="XEL77" s="4"/>
      <c r="XEM77" s="4"/>
      <c r="XEN77" s="4"/>
      <c r="XEO77" s="4"/>
      <c r="XEP77" s="4"/>
    </row>
    <row r="78" s="2" customFormat="1" ht="26.1" customHeight="1" spans="2:16370">
      <c r="B78" s="7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105"/>
      <c r="O78" s="68"/>
      <c r="P78" s="115"/>
      <c r="Q78" s="7"/>
      <c r="XEJ78" s="4"/>
      <c r="XEK78" s="4"/>
      <c r="XEL78" s="4"/>
      <c r="XEM78" s="4"/>
      <c r="XEN78" s="4"/>
      <c r="XEO78" s="4"/>
      <c r="XEP78" s="4"/>
    </row>
    <row r="79" s="2" customFormat="1" ht="26.1" customHeight="1" spans="2:16370">
      <c r="B79" s="7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105"/>
      <c r="O79" s="68"/>
      <c r="P79" s="115"/>
      <c r="Q79" s="7"/>
      <c r="XEJ79" s="4"/>
      <c r="XEK79" s="4"/>
      <c r="XEL79" s="4"/>
      <c r="XEM79" s="4"/>
      <c r="XEN79" s="4"/>
      <c r="XEO79" s="4"/>
      <c r="XEP79" s="4"/>
    </row>
    <row r="80" s="2" customFormat="1" ht="26.1" customHeight="1" spans="2:16370">
      <c r="B80" s="7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105"/>
      <c r="O80" s="68"/>
      <c r="P80" s="115"/>
      <c r="Q80" s="7"/>
      <c r="XEJ80" s="4"/>
      <c r="XEK80" s="4"/>
      <c r="XEL80" s="4"/>
      <c r="XEM80" s="4"/>
      <c r="XEN80" s="4"/>
      <c r="XEO80" s="4"/>
      <c r="XEP80" s="4"/>
    </row>
    <row r="81" s="2" customFormat="1" ht="26.1" customHeight="1" spans="2:16370">
      <c r="B81" s="7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105"/>
      <c r="O81" s="68"/>
      <c r="P81" s="115"/>
      <c r="Q81" s="7"/>
      <c r="XEJ81" s="4"/>
      <c r="XEK81" s="4"/>
      <c r="XEL81" s="4"/>
      <c r="XEM81" s="4"/>
      <c r="XEN81" s="4"/>
      <c r="XEO81" s="4"/>
      <c r="XEP81" s="4"/>
    </row>
    <row r="82" s="2" customFormat="1" ht="26.1" customHeight="1" spans="2:16370">
      <c r="B82" s="7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105"/>
      <c r="O82" s="68"/>
      <c r="P82" s="115"/>
      <c r="Q82" s="7"/>
      <c r="XEJ82" s="4"/>
      <c r="XEK82" s="4"/>
      <c r="XEL82" s="4"/>
      <c r="XEM82" s="4"/>
      <c r="XEN82" s="4"/>
      <c r="XEO82" s="4"/>
      <c r="XEP82" s="4"/>
    </row>
    <row r="83" s="2" customFormat="1" ht="26.1" customHeight="1" spans="2:16370">
      <c r="B83" s="7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105"/>
      <c r="O83" s="68"/>
      <c r="P83" s="115"/>
      <c r="Q83" s="7"/>
      <c r="XEJ83" s="4"/>
      <c r="XEK83" s="4"/>
      <c r="XEL83" s="4"/>
      <c r="XEM83" s="4"/>
      <c r="XEN83" s="4"/>
      <c r="XEO83" s="4"/>
      <c r="XEP83" s="4"/>
    </row>
    <row r="84" s="2" customFormat="1" ht="26.1" customHeight="1" spans="2:16370">
      <c r="B84" s="7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105"/>
      <c r="O84" s="68"/>
      <c r="P84" s="115"/>
      <c r="Q84" s="7"/>
      <c r="XEJ84" s="4"/>
      <c r="XEK84" s="4"/>
      <c r="XEL84" s="4"/>
      <c r="XEM84" s="4"/>
      <c r="XEN84" s="4"/>
      <c r="XEO84" s="4"/>
      <c r="XEP84" s="4"/>
    </row>
    <row r="85" s="2" customFormat="1" ht="26.1" customHeight="1" spans="2:16370">
      <c r="B85" s="7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105"/>
      <c r="O85" s="68"/>
      <c r="P85" s="115"/>
      <c r="Q85" s="7"/>
      <c r="XEJ85" s="4"/>
      <c r="XEK85" s="4"/>
      <c r="XEL85" s="4"/>
      <c r="XEM85" s="4"/>
      <c r="XEN85" s="4"/>
      <c r="XEO85" s="4"/>
      <c r="XEP85" s="4"/>
    </row>
    <row r="86" s="2" customFormat="1" ht="26.1" customHeight="1" spans="2:16370">
      <c r="B86" s="7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105"/>
      <c r="O86" s="68"/>
      <c r="P86" s="115"/>
      <c r="Q86" s="7"/>
      <c r="XEJ86" s="4"/>
      <c r="XEK86" s="4"/>
      <c r="XEL86" s="4"/>
      <c r="XEM86" s="4"/>
      <c r="XEN86" s="4"/>
      <c r="XEO86" s="4"/>
      <c r="XEP86" s="4"/>
    </row>
    <row r="87" s="2" customFormat="1" ht="26.1" customHeight="1" spans="2:16370">
      <c r="B87" s="7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105"/>
      <c r="O87" s="68"/>
      <c r="P87" s="115"/>
      <c r="Q87" s="7"/>
      <c r="XEJ87" s="4"/>
      <c r="XEK87" s="4"/>
      <c r="XEL87" s="4"/>
      <c r="XEM87" s="4"/>
      <c r="XEN87" s="4"/>
      <c r="XEO87" s="4"/>
      <c r="XEP87" s="4"/>
    </row>
    <row r="88" s="2" customFormat="1" ht="26.1" customHeight="1" spans="2:16370">
      <c r="B88" s="7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105"/>
      <c r="O88" s="68"/>
      <c r="P88" s="115"/>
      <c r="Q88" s="7"/>
      <c r="XEJ88" s="4"/>
      <c r="XEK88" s="4"/>
      <c r="XEL88" s="4"/>
      <c r="XEM88" s="4"/>
      <c r="XEN88" s="4"/>
      <c r="XEO88" s="4"/>
      <c r="XEP88" s="4"/>
    </row>
    <row r="89" s="2" customFormat="1" ht="26.1" customHeight="1" spans="2:16370">
      <c r="B89" s="7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105"/>
      <c r="O89" s="68"/>
      <c r="P89" s="115"/>
      <c r="Q89" s="7"/>
      <c r="XEJ89" s="4"/>
      <c r="XEK89" s="4"/>
      <c r="XEL89" s="4"/>
      <c r="XEM89" s="4"/>
      <c r="XEN89" s="4"/>
      <c r="XEO89" s="4"/>
      <c r="XEP89" s="4"/>
    </row>
    <row r="90" s="2" customFormat="1" ht="26.1" customHeight="1" spans="2:16370">
      <c r="B90" s="7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105"/>
      <c r="O90" s="68"/>
      <c r="P90" s="115"/>
      <c r="Q90" s="7"/>
      <c r="XEJ90" s="4"/>
      <c r="XEK90" s="4"/>
      <c r="XEL90" s="4"/>
      <c r="XEM90" s="4"/>
      <c r="XEN90" s="4"/>
      <c r="XEO90" s="4"/>
      <c r="XEP90" s="4"/>
    </row>
    <row r="91" s="2" customFormat="1" ht="26.1" customHeight="1" spans="2:16370">
      <c r="B91" s="7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105"/>
      <c r="O91" s="68"/>
      <c r="P91" s="115"/>
      <c r="Q91" s="7"/>
      <c r="XEJ91" s="4"/>
      <c r="XEK91" s="4"/>
      <c r="XEL91" s="4"/>
      <c r="XEM91" s="4"/>
      <c r="XEN91" s="4"/>
      <c r="XEO91" s="4"/>
      <c r="XEP91" s="4"/>
    </row>
    <row r="92" s="2" customFormat="1" ht="26.1" customHeight="1" spans="2:16370">
      <c r="B92" s="7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105"/>
      <c r="O92" s="68"/>
      <c r="P92" s="115"/>
      <c r="Q92" s="7"/>
      <c r="XEJ92" s="4"/>
      <c r="XEK92" s="4"/>
      <c r="XEL92" s="4"/>
      <c r="XEM92" s="4"/>
      <c r="XEN92" s="4"/>
      <c r="XEO92" s="4"/>
      <c r="XEP92" s="4"/>
    </row>
    <row r="93" s="2" customFormat="1" ht="26.1" customHeight="1" spans="2:16370">
      <c r="B93" s="7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105"/>
      <c r="O93" s="68"/>
      <c r="P93" s="115"/>
      <c r="Q93" s="7"/>
      <c r="XEJ93" s="4"/>
      <c r="XEK93" s="4"/>
      <c r="XEL93" s="4"/>
      <c r="XEM93" s="4"/>
      <c r="XEN93" s="4"/>
      <c r="XEO93" s="4"/>
      <c r="XEP93" s="4"/>
    </row>
    <row r="94" s="2" customFormat="1" ht="26.1" customHeight="1" spans="2:16370">
      <c r="B94" s="7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105"/>
      <c r="O94" s="68"/>
      <c r="P94" s="115"/>
      <c r="Q94" s="7"/>
      <c r="XEJ94" s="4"/>
      <c r="XEK94" s="4"/>
      <c r="XEL94" s="4"/>
      <c r="XEM94" s="4"/>
      <c r="XEN94" s="4"/>
      <c r="XEO94" s="4"/>
      <c r="XEP94" s="4"/>
    </row>
    <row r="95" s="2" customFormat="1" ht="26.1" customHeight="1" spans="2:16370">
      <c r="B95" s="7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105"/>
      <c r="O95" s="68"/>
      <c r="P95" s="115"/>
      <c r="Q95" s="7"/>
      <c r="XEJ95" s="4"/>
      <c r="XEK95" s="4"/>
      <c r="XEL95" s="4"/>
      <c r="XEM95" s="4"/>
      <c r="XEN95" s="4"/>
      <c r="XEO95" s="4"/>
      <c r="XEP95" s="4"/>
    </row>
    <row r="96" s="2" customFormat="1" ht="26.1" customHeight="1" spans="2:16370">
      <c r="B96" s="7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105"/>
      <c r="O96" s="68"/>
      <c r="P96" s="115"/>
      <c r="Q96" s="7"/>
      <c r="XEJ96" s="4"/>
      <c r="XEK96" s="4"/>
      <c r="XEL96" s="4"/>
      <c r="XEM96" s="4"/>
      <c r="XEN96" s="4"/>
      <c r="XEO96" s="4"/>
      <c r="XEP96" s="4"/>
    </row>
    <row r="97" s="2" customFormat="1" ht="26.1" customHeight="1" spans="2:16370">
      <c r="B97" s="7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105"/>
      <c r="O97" s="68"/>
      <c r="P97" s="115"/>
      <c r="Q97" s="7"/>
      <c r="XEJ97" s="4"/>
      <c r="XEK97" s="4"/>
      <c r="XEL97" s="4"/>
      <c r="XEM97" s="4"/>
      <c r="XEN97" s="4"/>
      <c r="XEO97" s="4"/>
      <c r="XEP97" s="4"/>
    </row>
    <row r="98" s="2" customFormat="1" ht="26.1" customHeight="1" spans="2:16370">
      <c r="B98" s="7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105"/>
      <c r="O98" s="68"/>
      <c r="P98" s="115"/>
      <c r="Q98" s="7"/>
      <c r="XEJ98" s="4"/>
      <c r="XEK98" s="4"/>
      <c r="XEL98" s="4"/>
      <c r="XEM98" s="4"/>
      <c r="XEN98" s="4"/>
      <c r="XEO98" s="4"/>
      <c r="XEP98" s="4"/>
    </row>
    <row r="99" s="2" customFormat="1" ht="26.1" customHeight="1" spans="2:16370">
      <c r="B99" s="7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105"/>
      <c r="O99" s="68"/>
      <c r="P99" s="115"/>
      <c r="Q99" s="7"/>
      <c r="XEJ99" s="4"/>
      <c r="XEK99" s="4"/>
      <c r="XEL99" s="4"/>
      <c r="XEM99" s="4"/>
      <c r="XEN99" s="4"/>
      <c r="XEO99" s="4"/>
      <c r="XEP99" s="4"/>
    </row>
    <row r="100" s="2" customFormat="1" ht="26.1" customHeight="1" spans="2:16370">
      <c r="B100" s="7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105"/>
      <c r="O100" s="68"/>
      <c r="P100" s="115"/>
      <c r="Q100" s="7"/>
      <c r="XEJ100" s="4"/>
      <c r="XEK100" s="4"/>
      <c r="XEL100" s="4"/>
      <c r="XEM100" s="4"/>
      <c r="XEN100" s="4"/>
      <c r="XEO100" s="4"/>
      <c r="XEP100" s="4"/>
    </row>
    <row r="101" s="2" customFormat="1" ht="26.1" customHeight="1" spans="2:16370">
      <c r="B101" s="7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105"/>
      <c r="O101" s="68"/>
      <c r="P101" s="115"/>
      <c r="Q101" s="7"/>
      <c r="XEJ101" s="4"/>
      <c r="XEK101" s="4"/>
      <c r="XEL101" s="4"/>
      <c r="XEM101" s="4"/>
      <c r="XEN101" s="4"/>
      <c r="XEO101" s="4"/>
      <c r="XEP101" s="4"/>
    </row>
    <row r="102" s="2" customFormat="1" ht="26.1" customHeight="1" spans="2:16370">
      <c r="B102" s="7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105"/>
      <c r="O102" s="68"/>
      <c r="P102" s="115"/>
      <c r="Q102" s="7"/>
      <c r="XEJ102" s="4"/>
      <c r="XEK102" s="4"/>
      <c r="XEL102" s="4"/>
      <c r="XEM102" s="4"/>
      <c r="XEN102" s="4"/>
      <c r="XEO102" s="4"/>
      <c r="XEP102" s="4"/>
    </row>
    <row r="103" s="2" customFormat="1" ht="26.1" customHeight="1" spans="2:16370">
      <c r="B103" s="7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105"/>
      <c r="O103" s="68"/>
      <c r="P103" s="115"/>
      <c r="Q103" s="7"/>
      <c r="XEJ103" s="4"/>
      <c r="XEK103" s="4"/>
      <c r="XEL103" s="4"/>
      <c r="XEM103" s="4"/>
      <c r="XEN103" s="4"/>
      <c r="XEO103" s="4"/>
      <c r="XEP103" s="4"/>
    </row>
    <row r="104" s="2" customFormat="1" ht="26.1" customHeight="1" spans="2:16370">
      <c r="B104" s="7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105"/>
      <c r="O104" s="68"/>
      <c r="P104" s="115"/>
      <c r="Q104" s="7"/>
      <c r="XEJ104" s="4"/>
      <c r="XEK104" s="4"/>
      <c r="XEL104" s="4"/>
      <c r="XEM104" s="4"/>
      <c r="XEN104" s="4"/>
      <c r="XEO104" s="4"/>
      <c r="XEP104" s="4"/>
    </row>
    <row r="105" s="2" customFormat="1" ht="26.1" customHeight="1" spans="2:16370">
      <c r="B105" s="7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105"/>
      <c r="O105" s="68"/>
      <c r="P105" s="115"/>
      <c r="Q105" s="7"/>
      <c r="XEJ105" s="4"/>
      <c r="XEK105" s="4"/>
      <c r="XEL105" s="4"/>
      <c r="XEM105" s="4"/>
      <c r="XEN105" s="4"/>
      <c r="XEO105" s="4"/>
      <c r="XEP105" s="4"/>
    </row>
    <row r="106" s="2" customFormat="1" ht="26.1" customHeight="1" spans="2:16370">
      <c r="B106" s="7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105"/>
      <c r="O106" s="68"/>
      <c r="P106" s="115"/>
      <c r="Q106" s="7"/>
      <c r="XEJ106" s="4"/>
      <c r="XEK106" s="4"/>
      <c r="XEL106" s="4"/>
      <c r="XEM106" s="4"/>
      <c r="XEN106" s="4"/>
      <c r="XEO106" s="4"/>
      <c r="XEP106" s="4"/>
    </row>
    <row r="107" s="2" customFormat="1" ht="26.1" customHeight="1" spans="2:16370">
      <c r="B107" s="7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105"/>
      <c r="O107" s="68"/>
      <c r="P107" s="115"/>
      <c r="Q107" s="7"/>
      <c r="XEJ107" s="4"/>
      <c r="XEK107" s="4"/>
      <c r="XEL107" s="4"/>
      <c r="XEM107" s="4"/>
      <c r="XEN107" s="4"/>
      <c r="XEO107" s="4"/>
      <c r="XEP107" s="4"/>
    </row>
    <row r="108" s="2" customFormat="1" ht="26.1" customHeight="1" spans="2:16370">
      <c r="B108" s="7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105"/>
      <c r="O108" s="68"/>
      <c r="P108" s="115"/>
      <c r="Q108" s="7"/>
      <c r="XEJ108" s="4"/>
      <c r="XEK108" s="4"/>
      <c r="XEL108" s="4"/>
      <c r="XEM108" s="4"/>
      <c r="XEN108" s="4"/>
      <c r="XEO108" s="4"/>
      <c r="XEP108" s="4"/>
    </row>
    <row r="109" s="2" customFormat="1" ht="26.1" customHeight="1" spans="2:16370">
      <c r="B109" s="7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105"/>
      <c r="O109" s="68"/>
      <c r="P109" s="115"/>
      <c r="Q109" s="7"/>
      <c r="XEJ109" s="4"/>
      <c r="XEK109" s="4"/>
      <c r="XEL109" s="4"/>
      <c r="XEM109" s="4"/>
      <c r="XEN109" s="4"/>
      <c r="XEO109" s="4"/>
      <c r="XEP109" s="4"/>
    </row>
    <row r="110" s="2" customFormat="1" ht="26.1" customHeight="1" spans="2:16370">
      <c r="B110" s="7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105"/>
      <c r="O110" s="68"/>
      <c r="P110" s="115"/>
      <c r="Q110" s="7"/>
      <c r="XEJ110" s="4"/>
      <c r="XEK110" s="4"/>
      <c r="XEL110" s="4"/>
      <c r="XEM110" s="4"/>
      <c r="XEN110" s="4"/>
      <c r="XEO110" s="4"/>
      <c r="XEP110" s="4"/>
    </row>
    <row r="111" s="2" customFormat="1" ht="26.1" customHeight="1" spans="2:16370">
      <c r="B111" s="7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105"/>
      <c r="O111" s="68"/>
      <c r="P111" s="115"/>
      <c r="Q111" s="7"/>
      <c r="XEJ111" s="4"/>
      <c r="XEK111" s="4"/>
      <c r="XEL111" s="4"/>
      <c r="XEM111" s="4"/>
      <c r="XEN111" s="4"/>
      <c r="XEO111" s="4"/>
      <c r="XEP111" s="4"/>
    </row>
    <row r="112" s="2" customFormat="1" ht="26.1" customHeight="1" spans="2:16370">
      <c r="B112" s="7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105"/>
      <c r="O112" s="68"/>
      <c r="P112" s="115"/>
      <c r="Q112" s="7"/>
      <c r="XEJ112" s="4"/>
      <c r="XEK112" s="4"/>
      <c r="XEL112" s="4"/>
      <c r="XEM112" s="4"/>
      <c r="XEN112" s="4"/>
      <c r="XEO112" s="4"/>
      <c r="XEP112" s="4"/>
    </row>
    <row r="113" s="2" customFormat="1" ht="26.1" customHeight="1" spans="2:16370">
      <c r="B113" s="7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105"/>
      <c r="O113" s="68"/>
      <c r="P113" s="115"/>
      <c r="Q113" s="7"/>
      <c r="XEJ113" s="4"/>
      <c r="XEK113" s="4"/>
      <c r="XEL113" s="4"/>
      <c r="XEM113" s="4"/>
      <c r="XEN113" s="4"/>
      <c r="XEO113" s="4"/>
      <c r="XEP113" s="4"/>
    </row>
    <row r="114" s="2" customFormat="1" ht="26.1" customHeight="1" spans="2:16370">
      <c r="B114" s="7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105"/>
      <c r="O114" s="68"/>
      <c r="P114" s="115"/>
      <c r="Q114" s="7"/>
      <c r="XEJ114" s="4"/>
      <c r="XEK114" s="4"/>
      <c r="XEL114" s="4"/>
      <c r="XEM114" s="4"/>
      <c r="XEN114" s="4"/>
      <c r="XEO114" s="4"/>
      <c r="XEP114" s="4"/>
    </row>
    <row r="115" s="2" customFormat="1" ht="26.1" customHeight="1" spans="2:16370">
      <c r="B115" s="7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105"/>
      <c r="O115" s="68"/>
      <c r="P115" s="115"/>
      <c r="Q115" s="7"/>
      <c r="XEJ115" s="4"/>
      <c r="XEK115" s="4"/>
      <c r="XEL115" s="4"/>
      <c r="XEM115" s="4"/>
      <c r="XEN115" s="4"/>
      <c r="XEO115" s="4"/>
      <c r="XEP115" s="4"/>
    </row>
    <row r="116" s="2" customFormat="1" ht="26.1" customHeight="1" spans="2:16370">
      <c r="B116" s="7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105"/>
      <c r="O116" s="68"/>
      <c r="P116" s="115"/>
      <c r="Q116" s="7"/>
      <c r="XEJ116" s="4"/>
      <c r="XEK116" s="4"/>
      <c r="XEL116" s="4"/>
      <c r="XEM116" s="4"/>
      <c r="XEN116" s="4"/>
      <c r="XEO116" s="4"/>
      <c r="XEP116" s="4"/>
    </row>
    <row r="117" s="2" customFormat="1" ht="26.1" customHeight="1" spans="2:16370">
      <c r="B117" s="7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105"/>
      <c r="O117" s="68"/>
      <c r="P117" s="115"/>
      <c r="Q117" s="7"/>
      <c r="XEJ117" s="4"/>
      <c r="XEK117" s="4"/>
      <c r="XEL117" s="4"/>
      <c r="XEM117" s="4"/>
      <c r="XEN117" s="4"/>
      <c r="XEO117" s="4"/>
      <c r="XEP117" s="4"/>
    </row>
    <row r="118" s="2" customFormat="1" ht="26.1" customHeight="1" spans="2:16370">
      <c r="B118" s="7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105"/>
      <c r="O118" s="68"/>
      <c r="P118" s="115"/>
      <c r="Q118" s="7"/>
      <c r="XEJ118" s="4"/>
      <c r="XEK118" s="4"/>
      <c r="XEL118" s="4"/>
      <c r="XEM118" s="4"/>
      <c r="XEN118" s="4"/>
      <c r="XEO118" s="4"/>
      <c r="XEP118" s="4"/>
    </row>
    <row r="119" s="2" customFormat="1" ht="26.1" customHeight="1" spans="2:16370">
      <c r="B119" s="7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105"/>
      <c r="O119" s="68"/>
      <c r="P119" s="115"/>
      <c r="Q119" s="7"/>
      <c r="XEJ119" s="4"/>
      <c r="XEK119" s="4"/>
      <c r="XEL119" s="4"/>
      <c r="XEM119" s="4"/>
      <c r="XEN119" s="4"/>
      <c r="XEO119" s="4"/>
      <c r="XEP119" s="4"/>
    </row>
    <row r="120" s="2" customFormat="1" ht="26.1" customHeight="1" spans="2:16370">
      <c r="B120" s="7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105"/>
      <c r="O120" s="68"/>
      <c r="P120" s="115"/>
      <c r="Q120" s="7"/>
      <c r="XEJ120" s="4"/>
      <c r="XEK120" s="4"/>
      <c r="XEL120" s="4"/>
      <c r="XEM120" s="4"/>
      <c r="XEN120" s="4"/>
      <c r="XEO120" s="4"/>
      <c r="XEP120" s="4"/>
    </row>
    <row r="121" s="2" customFormat="1" ht="26.1" customHeight="1" spans="2:16370">
      <c r="B121" s="7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105"/>
      <c r="O121" s="68"/>
      <c r="P121" s="115"/>
      <c r="Q121" s="7"/>
      <c r="XEJ121" s="4"/>
      <c r="XEK121" s="4"/>
      <c r="XEL121" s="4"/>
      <c r="XEM121" s="4"/>
      <c r="XEN121" s="4"/>
      <c r="XEO121" s="4"/>
      <c r="XEP121" s="4"/>
    </row>
    <row r="122" s="2" customFormat="1" ht="26.1" customHeight="1" spans="2:16370">
      <c r="B122" s="7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105"/>
      <c r="O122" s="68"/>
      <c r="P122" s="115"/>
      <c r="Q122" s="7"/>
      <c r="XEJ122" s="4"/>
      <c r="XEK122" s="4"/>
      <c r="XEL122" s="4"/>
      <c r="XEM122" s="4"/>
      <c r="XEN122" s="4"/>
      <c r="XEO122" s="4"/>
      <c r="XEP122" s="4"/>
    </row>
    <row r="123" s="2" customFormat="1" ht="26.1" customHeight="1" spans="2:16370">
      <c r="B123" s="7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105"/>
      <c r="O123" s="68"/>
      <c r="P123" s="115"/>
      <c r="Q123" s="7"/>
      <c r="XEJ123" s="4"/>
      <c r="XEK123" s="4"/>
      <c r="XEL123" s="4"/>
      <c r="XEM123" s="4"/>
      <c r="XEN123" s="4"/>
      <c r="XEO123" s="4"/>
      <c r="XEP123" s="4"/>
    </row>
    <row r="124" s="2" customFormat="1" ht="26.1" customHeight="1" spans="2:16370">
      <c r="B124" s="7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105"/>
      <c r="O124" s="68"/>
      <c r="P124" s="115"/>
      <c r="Q124" s="7"/>
      <c r="XEJ124" s="4"/>
      <c r="XEK124" s="4"/>
      <c r="XEL124" s="4"/>
      <c r="XEM124" s="4"/>
      <c r="XEN124" s="4"/>
      <c r="XEO124" s="4"/>
      <c r="XEP124" s="4"/>
    </row>
    <row r="125" s="2" customFormat="1" ht="26.1" customHeight="1" spans="2:16370">
      <c r="B125" s="7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105"/>
      <c r="O125" s="68"/>
      <c r="P125" s="115"/>
      <c r="Q125" s="7"/>
      <c r="XEJ125" s="4"/>
      <c r="XEK125" s="4"/>
      <c r="XEL125" s="4"/>
      <c r="XEM125" s="4"/>
      <c r="XEN125" s="4"/>
      <c r="XEO125" s="4"/>
      <c r="XEP125" s="4"/>
    </row>
    <row r="126" s="2" customFormat="1" ht="26.1" customHeight="1" spans="2:16370">
      <c r="B126" s="7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105"/>
      <c r="O126" s="68"/>
      <c r="P126" s="115"/>
      <c r="Q126" s="7"/>
      <c r="XEJ126" s="4"/>
      <c r="XEK126" s="4"/>
      <c r="XEL126" s="4"/>
      <c r="XEM126" s="4"/>
      <c r="XEN126" s="4"/>
      <c r="XEO126" s="4"/>
      <c r="XEP126" s="4"/>
    </row>
    <row r="127" s="2" customFormat="1" ht="26.1" customHeight="1" spans="2:16370">
      <c r="B127" s="7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105"/>
      <c r="O127" s="68"/>
      <c r="P127" s="115"/>
      <c r="Q127" s="7"/>
      <c r="XEJ127" s="4"/>
      <c r="XEK127" s="4"/>
      <c r="XEL127" s="4"/>
      <c r="XEM127" s="4"/>
      <c r="XEN127" s="4"/>
      <c r="XEO127" s="4"/>
      <c r="XEP127" s="4"/>
    </row>
    <row r="128" s="2" customFormat="1" ht="26.1" customHeight="1" spans="2:16370">
      <c r="B128" s="7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105"/>
      <c r="O128" s="68"/>
      <c r="P128" s="115"/>
      <c r="Q128" s="7"/>
      <c r="XEJ128" s="4"/>
      <c r="XEK128" s="4"/>
      <c r="XEL128" s="4"/>
      <c r="XEM128" s="4"/>
      <c r="XEN128" s="4"/>
      <c r="XEO128" s="4"/>
      <c r="XEP128" s="4"/>
    </row>
    <row r="129" s="2" customFormat="1" ht="26.1" customHeight="1" spans="2:16370">
      <c r="B129" s="7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105"/>
      <c r="O129" s="68"/>
      <c r="P129" s="115"/>
      <c r="Q129" s="7"/>
      <c r="XEJ129" s="4"/>
      <c r="XEK129" s="4"/>
      <c r="XEL129" s="4"/>
      <c r="XEM129" s="4"/>
      <c r="XEN129" s="4"/>
      <c r="XEO129" s="4"/>
      <c r="XEP129" s="4"/>
    </row>
    <row r="130" s="2" customFormat="1" ht="26.1" customHeight="1" spans="2:16370">
      <c r="B130" s="7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105"/>
      <c r="O130" s="68"/>
      <c r="P130" s="115"/>
      <c r="Q130" s="7"/>
      <c r="XEJ130" s="4"/>
      <c r="XEK130" s="4"/>
      <c r="XEL130" s="4"/>
      <c r="XEM130" s="4"/>
      <c r="XEN130" s="4"/>
      <c r="XEO130" s="4"/>
      <c r="XEP130" s="4"/>
    </row>
    <row r="131" s="2" customFormat="1" ht="26.1" customHeight="1" spans="2:16370">
      <c r="B131" s="7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105"/>
      <c r="O131" s="68"/>
      <c r="P131" s="115"/>
      <c r="Q131" s="7"/>
      <c r="XEJ131" s="4"/>
      <c r="XEK131" s="4"/>
      <c r="XEL131" s="4"/>
      <c r="XEM131" s="4"/>
      <c r="XEN131" s="4"/>
      <c r="XEO131" s="4"/>
      <c r="XEP131" s="4"/>
    </row>
    <row r="132" s="2" customFormat="1" ht="26.1" customHeight="1" spans="2:16370">
      <c r="B132" s="7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105"/>
      <c r="O132" s="68"/>
      <c r="P132" s="115"/>
      <c r="Q132" s="7"/>
      <c r="XEJ132" s="4"/>
      <c r="XEK132" s="4"/>
      <c r="XEL132" s="4"/>
      <c r="XEM132" s="4"/>
      <c r="XEN132" s="4"/>
      <c r="XEO132" s="4"/>
      <c r="XEP132" s="4"/>
    </row>
    <row r="133" s="2" customFormat="1" ht="26.1" customHeight="1" spans="2:16370">
      <c r="B133" s="7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105"/>
      <c r="O133" s="68"/>
      <c r="P133" s="115"/>
      <c r="Q133" s="7"/>
      <c r="XEJ133" s="4"/>
      <c r="XEK133" s="4"/>
      <c r="XEL133" s="4"/>
      <c r="XEM133" s="4"/>
      <c r="XEN133" s="4"/>
      <c r="XEO133" s="4"/>
      <c r="XEP133" s="4"/>
    </row>
    <row r="134" s="2" customFormat="1" ht="26.1" customHeight="1" spans="2:16370">
      <c r="B134" s="7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105"/>
      <c r="O134" s="68"/>
      <c r="P134" s="115"/>
      <c r="Q134" s="7"/>
      <c r="XEJ134" s="4"/>
      <c r="XEK134" s="4"/>
      <c r="XEL134" s="4"/>
      <c r="XEM134" s="4"/>
      <c r="XEN134" s="4"/>
      <c r="XEO134" s="4"/>
      <c r="XEP134" s="4"/>
    </row>
    <row r="135" s="2" customFormat="1" ht="26.1" customHeight="1" spans="2:16370">
      <c r="B135" s="7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105"/>
      <c r="O135" s="68"/>
      <c r="P135" s="115"/>
      <c r="Q135" s="7"/>
      <c r="XEJ135" s="4"/>
      <c r="XEK135" s="4"/>
      <c r="XEL135" s="4"/>
      <c r="XEM135" s="4"/>
      <c r="XEN135" s="4"/>
      <c r="XEO135" s="4"/>
      <c r="XEP135" s="4"/>
    </row>
    <row r="136" s="2" customFormat="1" ht="26.1" customHeight="1" spans="2:16370">
      <c r="B136" s="7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105"/>
      <c r="O136" s="68"/>
      <c r="P136" s="115"/>
      <c r="Q136" s="7"/>
      <c r="XEJ136" s="4"/>
      <c r="XEK136" s="4"/>
      <c r="XEL136" s="4"/>
      <c r="XEM136" s="4"/>
      <c r="XEN136" s="4"/>
      <c r="XEO136" s="4"/>
      <c r="XEP136" s="4"/>
    </row>
    <row r="137" s="2" customFormat="1" ht="26.1" customHeight="1" spans="2:16370">
      <c r="B137" s="7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105"/>
      <c r="O137" s="68"/>
      <c r="P137" s="115"/>
      <c r="Q137" s="7"/>
      <c r="XEJ137" s="4"/>
      <c r="XEK137" s="4"/>
      <c r="XEL137" s="4"/>
      <c r="XEM137" s="4"/>
      <c r="XEN137" s="4"/>
      <c r="XEO137" s="4"/>
      <c r="XEP137" s="4"/>
    </row>
    <row r="138" s="2" customFormat="1" ht="26.1" customHeight="1" spans="2:16370">
      <c r="B138" s="7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105"/>
      <c r="O138" s="68"/>
      <c r="P138" s="115"/>
      <c r="Q138" s="7"/>
      <c r="XEJ138" s="4"/>
      <c r="XEK138" s="4"/>
      <c r="XEL138" s="4"/>
      <c r="XEM138" s="4"/>
      <c r="XEN138" s="4"/>
      <c r="XEO138" s="4"/>
      <c r="XEP138" s="4"/>
    </row>
    <row r="139" s="2" customFormat="1" ht="26.1" customHeight="1" spans="2:16370">
      <c r="B139" s="7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105"/>
      <c r="O139" s="68"/>
      <c r="P139" s="115"/>
      <c r="Q139" s="7"/>
      <c r="XEJ139" s="4"/>
      <c r="XEK139" s="4"/>
      <c r="XEL139" s="4"/>
      <c r="XEM139" s="4"/>
      <c r="XEN139" s="4"/>
      <c r="XEO139" s="4"/>
      <c r="XEP139" s="4"/>
    </row>
    <row r="140" s="2" customFormat="1" ht="26.1" customHeight="1" spans="2:16370">
      <c r="B140" s="7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105"/>
      <c r="O140" s="68"/>
      <c r="P140" s="115"/>
      <c r="Q140" s="7"/>
      <c r="XEJ140" s="4"/>
      <c r="XEK140" s="4"/>
      <c r="XEL140" s="4"/>
      <c r="XEM140" s="4"/>
      <c r="XEN140" s="4"/>
      <c r="XEO140" s="4"/>
      <c r="XEP140" s="4"/>
    </row>
    <row r="141" s="2" customFormat="1" ht="26.1" customHeight="1" spans="2:16370">
      <c r="B141" s="7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105"/>
      <c r="O141" s="68"/>
      <c r="P141" s="115"/>
      <c r="Q141" s="7"/>
      <c r="XEJ141" s="4"/>
      <c r="XEK141" s="4"/>
      <c r="XEL141" s="4"/>
      <c r="XEM141" s="4"/>
      <c r="XEN141" s="4"/>
      <c r="XEO141" s="4"/>
      <c r="XEP141" s="4"/>
    </row>
    <row r="142" s="2" customFormat="1" ht="26.1" customHeight="1" spans="2:16370">
      <c r="B142" s="7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105"/>
      <c r="O142" s="68"/>
      <c r="P142" s="115"/>
      <c r="Q142" s="7"/>
      <c r="XEJ142" s="4"/>
      <c r="XEK142" s="4"/>
      <c r="XEL142" s="4"/>
      <c r="XEM142" s="4"/>
      <c r="XEN142" s="4"/>
      <c r="XEO142" s="4"/>
      <c r="XEP142" s="4"/>
    </row>
    <row r="143" s="2" customFormat="1" ht="26.1" customHeight="1" spans="2:16370">
      <c r="B143" s="7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105"/>
      <c r="O143" s="68"/>
      <c r="P143" s="115"/>
      <c r="Q143" s="7"/>
      <c r="XEJ143" s="4"/>
      <c r="XEK143" s="4"/>
      <c r="XEL143" s="4"/>
      <c r="XEM143" s="4"/>
      <c r="XEN143" s="4"/>
      <c r="XEO143" s="4"/>
      <c r="XEP143" s="4"/>
    </row>
    <row r="144" s="2" customFormat="1" ht="26.1" customHeight="1" spans="2:16370">
      <c r="B144" s="7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105"/>
      <c r="O144" s="68"/>
      <c r="P144" s="115"/>
      <c r="Q144" s="7"/>
      <c r="XEJ144" s="4"/>
      <c r="XEK144" s="4"/>
      <c r="XEL144" s="4"/>
      <c r="XEM144" s="4"/>
      <c r="XEN144" s="4"/>
      <c r="XEO144" s="4"/>
      <c r="XEP144" s="4"/>
    </row>
    <row r="145" s="2" customFormat="1" ht="26.1" customHeight="1" spans="2:16370">
      <c r="B145" s="7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105"/>
      <c r="O145" s="68"/>
      <c r="P145" s="115"/>
      <c r="Q145" s="7"/>
      <c r="XEJ145" s="4"/>
      <c r="XEK145" s="4"/>
      <c r="XEL145" s="4"/>
      <c r="XEM145" s="4"/>
      <c r="XEN145" s="4"/>
      <c r="XEO145" s="4"/>
      <c r="XEP145" s="4"/>
    </row>
    <row r="146" s="2" customFormat="1" ht="26.1" customHeight="1" spans="2:16370">
      <c r="B146" s="7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105"/>
      <c r="O146" s="68"/>
      <c r="P146" s="115"/>
      <c r="Q146" s="7"/>
      <c r="XEJ146" s="4"/>
      <c r="XEK146" s="4"/>
      <c r="XEL146" s="4"/>
      <c r="XEM146" s="4"/>
      <c r="XEN146" s="4"/>
      <c r="XEO146" s="4"/>
      <c r="XEP146" s="4"/>
    </row>
    <row r="147" s="2" customFormat="1" ht="26.1" customHeight="1" spans="2:16370">
      <c r="B147" s="7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105"/>
      <c r="O147" s="68"/>
      <c r="P147" s="115"/>
      <c r="Q147" s="7"/>
      <c r="XEJ147" s="4"/>
      <c r="XEK147" s="4"/>
      <c r="XEL147" s="4"/>
      <c r="XEM147" s="4"/>
      <c r="XEN147" s="4"/>
      <c r="XEO147" s="4"/>
      <c r="XEP147" s="4"/>
    </row>
    <row r="148" s="2" customFormat="1" ht="26.1" customHeight="1" spans="2:16370">
      <c r="B148" s="7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105"/>
      <c r="O148" s="68"/>
      <c r="P148" s="115"/>
      <c r="Q148" s="7"/>
      <c r="XEJ148" s="4"/>
      <c r="XEK148" s="4"/>
      <c r="XEL148" s="4"/>
      <c r="XEM148" s="4"/>
      <c r="XEN148" s="4"/>
      <c r="XEO148" s="4"/>
      <c r="XEP148" s="4"/>
    </row>
    <row r="149" s="2" customFormat="1" ht="26.1" customHeight="1" spans="2:16370">
      <c r="B149" s="7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105"/>
      <c r="O149" s="68"/>
      <c r="P149" s="115"/>
      <c r="Q149" s="7"/>
      <c r="XEJ149" s="4"/>
      <c r="XEK149" s="4"/>
      <c r="XEL149" s="4"/>
      <c r="XEM149" s="4"/>
      <c r="XEN149" s="4"/>
      <c r="XEO149" s="4"/>
      <c r="XEP149" s="4"/>
    </row>
    <row r="150" s="2" customFormat="1" ht="26.1" customHeight="1" spans="2:16370">
      <c r="B150" s="7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105"/>
      <c r="O150" s="68"/>
      <c r="P150" s="115"/>
      <c r="Q150" s="7"/>
      <c r="XEJ150" s="4"/>
      <c r="XEK150" s="4"/>
      <c r="XEL150" s="4"/>
      <c r="XEM150" s="4"/>
      <c r="XEN150" s="4"/>
      <c r="XEO150" s="4"/>
      <c r="XEP150" s="4"/>
    </row>
    <row r="151" s="2" customFormat="1" ht="26.1" customHeight="1" spans="2:16370">
      <c r="B151" s="7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105"/>
      <c r="O151" s="68"/>
      <c r="P151" s="115"/>
      <c r="Q151" s="7"/>
      <c r="XEJ151" s="4"/>
      <c r="XEK151" s="4"/>
      <c r="XEL151" s="4"/>
      <c r="XEM151" s="4"/>
      <c r="XEN151" s="4"/>
      <c r="XEO151" s="4"/>
      <c r="XEP151" s="4"/>
    </row>
    <row r="152" s="2" customFormat="1" ht="26.1" customHeight="1" spans="2:16370">
      <c r="B152" s="7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105"/>
      <c r="O152" s="68"/>
      <c r="P152" s="115"/>
      <c r="Q152" s="7"/>
      <c r="XEJ152" s="4"/>
      <c r="XEK152" s="4"/>
      <c r="XEL152" s="4"/>
      <c r="XEM152" s="4"/>
      <c r="XEN152" s="4"/>
      <c r="XEO152" s="4"/>
      <c r="XEP152" s="4"/>
    </row>
    <row r="153" s="2" customFormat="1" ht="26.1" customHeight="1" spans="2:16370">
      <c r="B153" s="7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105"/>
      <c r="O153" s="68"/>
      <c r="P153" s="115"/>
      <c r="Q153" s="7"/>
      <c r="XEJ153" s="4"/>
      <c r="XEK153" s="4"/>
      <c r="XEL153" s="4"/>
      <c r="XEM153" s="4"/>
      <c r="XEN153" s="4"/>
      <c r="XEO153" s="4"/>
      <c r="XEP153" s="4"/>
    </row>
    <row r="154" s="2" customFormat="1" ht="26.1" customHeight="1" spans="2:16370">
      <c r="B154" s="7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105"/>
      <c r="O154" s="68"/>
      <c r="P154" s="115"/>
      <c r="Q154" s="7"/>
      <c r="XEJ154" s="4"/>
      <c r="XEK154" s="4"/>
      <c r="XEL154" s="4"/>
      <c r="XEM154" s="4"/>
      <c r="XEN154" s="4"/>
      <c r="XEO154" s="4"/>
      <c r="XEP154" s="4"/>
    </row>
    <row r="155" s="2" customFormat="1" ht="26.1" customHeight="1" spans="2:16370">
      <c r="B155" s="7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105"/>
      <c r="O155" s="68"/>
      <c r="P155" s="115"/>
      <c r="Q155" s="7"/>
      <c r="XEJ155" s="4"/>
      <c r="XEK155" s="4"/>
      <c r="XEL155" s="4"/>
      <c r="XEM155" s="4"/>
      <c r="XEN155" s="4"/>
      <c r="XEO155" s="4"/>
      <c r="XEP155" s="4"/>
    </row>
    <row r="156" s="2" customFormat="1" ht="26.1" customHeight="1" spans="2:16370">
      <c r="B156" s="7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105"/>
      <c r="O156" s="68"/>
      <c r="P156" s="115"/>
      <c r="Q156" s="7"/>
      <c r="XEJ156" s="4"/>
      <c r="XEK156" s="4"/>
      <c r="XEL156" s="4"/>
      <c r="XEM156" s="4"/>
      <c r="XEN156" s="4"/>
      <c r="XEO156" s="4"/>
      <c r="XEP156" s="4"/>
    </row>
    <row r="157" s="2" customFormat="1" ht="26.1" customHeight="1" spans="2:16370">
      <c r="B157" s="7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105"/>
      <c r="O157" s="68"/>
      <c r="P157" s="115"/>
      <c r="Q157" s="7"/>
      <c r="XEJ157" s="4"/>
      <c r="XEK157" s="4"/>
      <c r="XEL157" s="4"/>
      <c r="XEM157" s="4"/>
      <c r="XEN157" s="4"/>
      <c r="XEO157" s="4"/>
      <c r="XEP157" s="4"/>
    </row>
    <row r="158" s="2" customFormat="1" ht="26.1" customHeight="1" spans="2:16370">
      <c r="B158" s="7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105"/>
      <c r="O158" s="68"/>
      <c r="P158" s="115"/>
      <c r="Q158" s="7"/>
      <c r="XEJ158" s="4"/>
      <c r="XEK158" s="4"/>
      <c r="XEL158" s="4"/>
      <c r="XEM158" s="4"/>
      <c r="XEN158" s="4"/>
      <c r="XEO158" s="4"/>
      <c r="XEP158" s="4"/>
    </row>
    <row r="159" s="2" customFormat="1" ht="26.1" customHeight="1" spans="2:16370">
      <c r="B159" s="7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105"/>
      <c r="O159" s="68"/>
      <c r="P159" s="115"/>
      <c r="Q159" s="7"/>
      <c r="XEJ159" s="4"/>
      <c r="XEK159" s="4"/>
      <c r="XEL159" s="4"/>
      <c r="XEM159" s="4"/>
      <c r="XEN159" s="4"/>
      <c r="XEO159" s="4"/>
      <c r="XEP159" s="4"/>
    </row>
    <row r="160" s="2" customFormat="1" ht="26.1" customHeight="1" spans="2:16370">
      <c r="B160" s="7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105"/>
      <c r="O160" s="68"/>
      <c r="P160" s="115"/>
      <c r="Q160" s="7"/>
      <c r="XEJ160" s="4"/>
      <c r="XEK160" s="4"/>
      <c r="XEL160" s="4"/>
      <c r="XEM160" s="4"/>
      <c r="XEN160" s="4"/>
      <c r="XEO160" s="4"/>
      <c r="XEP160" s="4"/>
    </row>
    <row r="161" s="2" customFormat="1" ht="26.1" customHeight="1" spans="2:16370">
      <c r="B161" s="7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105"/>
      <c r="O161" s="68"/>
      <c r="P161" s="115"/>
      <c r="Q161" s="7"/>
      <c r="XEJ161" s="4"/>
      <c r="XEK161" s="4"/>
      <c r="XEL161" s="4"/>
      <c r="XEM161" s="4"/>
      <c r="XEN161" s="4"/>
      <c r="XEO161" s="4"/>
      <c r="XEP161" s="4"/>
    </row>
    <row r="162" s="2" customFormat="1" ht="26.1" customHeight="1" spans="2:16370">
      <c r="B162" s="7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105"/>
      <c r="O162" s="68"/>
      <c r="P162" s="115"/>
      <c r="Q162" s="7"/>
      <c r="XEJ162" s="4"/>
      <c r="XEK162" s="4"/>
      <c r="XEL162" s="4"/>
      <c r="XEM162" s="4"/>
      <c r="XEN162" s="4"/>
      <c r="XEO162" s="4"/>
      <c r="XEP162" s="4"/>
    </row>
    <row r="163" s="2" customFormat="1" ht="26.1" customHeight="1" spans="2:16370">
      <c r="B163" s="7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105"/>
      <c r="O163" s="68"/>
      <c r="P163" s="115"/>
      <c r="Q163" s="7"/>
      <c r="XEJ163" s="4"/>
      <c r="XEK163" s="4"/>
      <c r="XEL163" s="4"/>
      <c r="XEM163" s="4"/>
      <c r="XEN163" s="4"/>
      <c r="XEO163" s="4"/>
      <c r="XEP163" s="4"/>
    </row>
    <row r="164" s="2" customFormat="1" ht="26.1" customHeight="1" spans="2:16370">
      <c r="B164" s="7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105"/>
      <c r="O164" s="68"/>
      <c r="P164" s="115"/>
      <c r="Q164" s="7"/>
      <c r="XEJ164" s="4"/>
      <c r="XEK164" s="4"/>
      <c r="XEL164" s="4"/>
      <c r="XEM164" s="4"/>
      <c r="XEN164" s="4"/>
      <c r="XEO164" s="4"/>
      <c r="XEP164" s="4"/>
    </row>
    <row r="165" s="2" customFormat="1" ht="26.1" customHeight="1" spans="2:16370">
      <c r="B165" s="7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105"/>
      <c r="O165" s="68"/>
      <c r="P165" s="115"/>
      <c r="Q165" s="7"/>
      <c r="XEJ165" s="4"/>
      <c r="XEK165" s="4"/>
      <c r="XEL165" s="4"/>
      <c r="XEM165" s="4"/>
      <c r="XEN165" s="4"/>
      <c r="XEO165" s="4"/>
      <c r="XEP165" s="4"/>
    </row>
    <row r="166" s="2" customFormat="1" ht="26.1" customHeight="1" spans="2:16370">
      <c r="B166" s="7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105"/>
      <c r="O166" s="68"/>
      <c r="P166" s="115"/>
      <c r="Q166" s="7"/>
      <c r="XEJ166" s="4"/>
      <c r="XEK166" s="4"/>
      <c r="XEL166" s="4"/>
      <c r="XEM166" s="4"/>
      <c r="XEN166" s="4"/>
      <c r="XEO166" s="4"/>
      <c r="XEP166" s="4"/>
    </row>
    <row r="167" s="2" customFormat="1" ht="26.1" customHeight="1" spans="2:16370">
      <c r="B167" s="7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105"/>
      <c r="O167" s="68"/>
      <c r="P167" s="115"/>
      <c r="Q167" s="7"/>
      <c r="XEJ167" s="4"/>
      <c r="XEK167" s="4"/>
      <c r="XEL167" s="4"/>
      <c r="XEM167" s="4"/>
      <c r="XEN167" s="4"/>
      <c r="XEO167" s="4"/>
      <c r="XEP167" s="4"/>
    </row>
    <row r="168" s="2" customFormat="1" ht="26.1" customHeight="1" spans="2:16370">
      <c r="B168" s="7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105"/>
      <c r="O168" s="68"/>
      <c r="P168" s="115"/>
      <c r="Q168" s="7"/>
      <c r="XEJ168" s="4"/>
      <c r="XEK168" s="4"/>
      <c r="XEL168" s="4"/>
      <c r="XEM168" s="4"/>
      <c r="XEN168" s="4"/>
      <c r="XEO168" s="4"/>
      <c r="XEP168" s="4"/>
    </row>
    <row r="169" s="2" customFormat="1" ht="26.1" customHeight="1" spans="2:16370">
      <c r="B169" s="7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105"/>
      <c r="O169" s="68"/>
      <c r="P169" s="115"/>
      <c r="Q169" s="7"/>
      <c r="XEJ169" s="4"/>
      <c r="XEK169" s="4"/>
      <c r="XEL169" s="4"/>
      <c r="XEM169" s="4"/>
      <c r="XEN169" s="4"/>
      <c r="XEO169" s="4"/>
      <c r="XEP169" s="4"/>
    </row>
    <row r="170" s="2" customFormat="1" ht="26.1" customHeight="1" spans="2:16370">
      <c r="B170" s="7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105"/>
      <c r="O170" s="68"/>
      <c r="P170" s="115"/>
      <c r="Q170" s="7"/>
      <c r="XEJ170" s="4"/>
      <c r="XEK170" s="4"/>
      <c r="XEL170" s="4"/>
      <c r="XEM170" s="4"/>
      <c r="XEN170" s="4"/>
      <c r="XEO170" s="4"/>
      <c r="XEP170" s="4"/>
    </row>
    <row r="171" s="2" customFormat="1" ht="26.1" customHeight="1" spans="2:16370">
      <c r="B171" s="7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105"/>
      <c r="O171" s="68"/>
      <c r="P171" s="115"/>
      <c r="Q171" s="7"/>
      <c r="XEJ171" s="4"/>
      <c r="XEK171" s="4"/>
      <c r="XEL171" s="4"/>
      <c r="XEM171" s="4"/>
      <c r="XEN171" s="4"/>
      <c r="XEO171" s="4"/>
      <c r="XEP171" s="4"/>
    </row>
    <row r="172" s="2" customFormat="1" ht="26.1" customHeight="1" spans="2:16370">
      <c r="B172" s="7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105"/>
      <c r="O172" s="68"/>
      <c r="P172" s="115"/>
      <c r="Q172" s="7"/>
      <c r="XEJ172" s="4"/>
      <c r="XEK172" s="4"/>
      <c r="XEL172" s="4"/>
      <c r="XEM172" s="4"/>
      <c r="XEN172" s="4"/>
      <c r="XEO172" s="4"/>
      <c r="XEP172" s="4"/>
    </row>
    <row r="173" s="2" customFormat="1" ht="26.1" customHeight="1" spans="2:16370">
      <c r="B173" s="7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105"/>
      <c r="O173" s="68"/>
      <c r="P173" s="115"/>
      <c r="Q173" s="7"/>
      <c r="XEJ173" s="4"/>
      <c r="XEK173" s="4"/>
      <c r="XEL173" s="4"/>
      <c r="XEM173" s="4"/>
      <c r="XEN173" s="4"/>
      <c r="XEO173" s="4"/>
      <c r="XEP173" s="4"/>
    </row>
    <row r="174" s="2" customFormat="1" ht="26.1" customHeight="1" spans="2:16370">
      <c r="B174" s="7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105"/>
      <c r="O174" s="68"/>
      <c r="P174" s="115"/>
      <c r="Q174" s="7"/>
      <c r="XEJ174" s="4"/>
      <c r="XEK174" s="4"/>
      <c r="XEL174" s="4"/>
      <c r="XEM174" s="4"/>
      <c r="XEN174" s="4"/>
      <c r="XEO174" s="4"/>
      <c r="XEP174" s="4"/>
    </row>
    <row r="175" s="2" customFormat="1" ht="26.1" customHeight="1" spans="2:16370">
      <c r="B175" s="7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105"/>
      <c r="O175" s="68"/>
      <c r="P175" s="115"/>
      <c r="Q175" s="7"/>
      <c r="XEJ175" s="4"/>
      <c r="XEK175" s="4"/>
      <c r="XEL175" s="4"/>
      <c r="XEM175" s="4"/>
      <c r="XEN175" s="4"/>
      <c r="XEO175" s="4"/>
      <c r="XEP175" s="4"/>
    </row>
    <row r="176" s="2" customFormat="1" ht="26.1" customHeight="1" spans="2:16370">
      <c r="B176" s="7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105"/>
      <c r="O176" s="68"/>
      <c r="P176" s="115"/>
      <c r="Q176" s="7"/>
      <c r="XEJ176" s="4"/>
      <c r="XEK176" s="4"/>
      <c r="XEL176" s="4"/>
      <c r="XEM176" s="4"/>
      <c r="XEN176" s="4"/>
      <c r="XEO176" s="4"/>
      <c r="XEP176" s="4"/>
    </row>
    <row r="177" s="2" customFormat="1" ht="26.1" customHeight="1" spans="2:16370">
      <c r="B177" s="7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105"/>
      <c r="O177" s="68"/>
      <c r="P177" s="115"/>
      <c r="Q177" s="7"/>
      <c r="XEJ177" s="4"/>
      <c r="XEK177" s="4"/>
      <c r="XEL177" s="4"/>
      <c r="XEM177" s="4"/>
      <c r="XEN177" s="4"/>
      <c r="XEO177" s="4"/>
      <c r="XEP177" s="4"/>
    </row>
    <row r="178" s="2" customFormat="1" ht="26.1" customHeight="1" spans="2:16370">
      <c r="B178" s="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105"/>
      <c r="O178" s="68"/>
      <c r="P178" s="115"/>
      <c r="Q178" s="7"/>
      <c r="XEJ178" s="4"/>
      <c r="XEK178" s="4"/>
      <c r="XEL178" s="4"/>
      <c r="XEM178" s="4"/>
      <c r="XEN178" s="4"/>
      <c r="XEO178" s="4"/>
      <c r="XEP178" s="4"/>
    </row>
    <row r="179" s="2" customFormat="1" ht="26.1" customHeight="1" spans="2:16370">
      <c r="B179" s="7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105"/>
      <c r="O179" s="68"/>
      <c r="P179" s="115"/>
      <c r="Q179" s="7"/>
      <c r="XEJ179" s="4"/>
      <c r="XEK179" s="4"/>
      <c r="XEL179" s="4"/>
      <c r="XEM179" s="4"/>
      <c r="XEN179" s="4"/>
      <c r="XEO179" s="4"/>
      <c r="XEP179" s="4"/>
    </row>
    <row r="180" s="2" customFormat="1" ht="26.1" customHeight="1" spans="2:16370">
      <c r="B180" s="7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105"/>
      <c r="O180" s="68"/>
      <c r="P180" s="115"/>
      <c r="Q180" s="7"/>
      <c r="XEJ180" s="4"/>
      <c r="XEK180" s="4"/>
      <c r="XEL180" s="4"/>
      <c r="XEM180" s="4"/>
      <c r="XEN180" s="4"/>
      <c r="XEO180" s="4"/>
      <c r="XEP180" s="4"/>
    </row>
    <row r="181" s="2" customFormat="1" ht="26.1" customHeight="1" spans="2:16370">
      <c r="B181" s="7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105"/>
      <c r="O181" s="68"/>
      <c r="P181" s="115"/>
      <c r="Q181" s="7"/>
      <c r="XEJ181" s="4"/>
      <c r="XEK181" s="4"/>
      <c r="XEL181" s="4"/>
      <c r="XEM181" s="4"/>
      <c r="XEN181" s="4"/>
      <c r="XEO181" s="4"/>
      <c r="XEP181" s="4"/>
    </row>
    <row r="182" s="2" customFormat="1" ht="26.1" customHeight="1" spans="2:16370">
      <c r="B182" s="7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105"/>
      <c r="O182" s="68"/>
      <c r="P182" s="115"/>
      <c r="Q182" s="7"/>
      <c r="XEJ182" s="4"/>
      <c r="XEK182" s="4"/>
      <c r="XEL182" s="4"/>
      <c r="XEM182" s="4"/>
      <c r="XEN182" s="4"/>
      <c r="XEO182" s="4"/>
      <c r="XEP182" s="4"/>
    </row>
    <row r="183" s="2" customFormat="1" ht="26.1" customHeight="1" spans="2:16370">
      <c r="B183" s="7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105"/>
      <c r="O183" s="68"/>
      <c r="P183" s="115"/>
      <c r="Q183" s="7"/>
      <c r="XEJ183" s="4"/>
      <c r="XEK183" s="4"/>
      <c r="XEL183" s="4"/>
      <c r="XEM183" s="4"/>
      <c r="XEN183" s="4"/>
      <c r="XEO183" s="4"/>
      <c r="XEP183" s="4"/>
    </row>
    <row r="184" s="2" customFormat="1" ht="26.1" customHeight="1" spans="2:16370">
      <c r="B184" s="7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105"/>
      <c r="O184" s="68"/>
      <c r="P184" s="115"/>
      <c r="Q184" s="7"/>
      <c r="XEJ184" s="4"/>
      <c r="XEK184" s="4"/>
      <c r="XEL184" s="4"/>
      <c r="XEM184" s="4"/>
      <c r="XEN184" s="4"/>
      <c r="XEO184" s="4"/>
      <c r="XEP184" s="4"/>
    </row>
    <row r="185" s="2" customFormat="1" ht="26.1" customHeight="1" spans="2:16370">
      <c r="B185" s="7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105"/>
      <c r="O185" s="68"/>
      <c r="P185" s="115"/>
      <c r="Q185" s="7"/>
      <c r="XEJ185" s="4"/>
      <c r="XEK185" s="4"/>
      <c r="XEL185" s="4"/>
      <c r="XEM185" s="4"/>
      <c r="XEN185" s="4"/>
      <c r="XEO185" s="4"/>
      <c r="XEP185" s="4"/>
    </row>
    <row r="186" s="2" customFormat="1" ht="26.1" customHeight="1" spans="2:16370">
      <c r="B186" s="7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105"/>
      <c r="O186" s="68"/>
      <c r="P186" s="115"/>
      <c r="Q186" s="7"/>
      <c r="XEJ186" s="4"/>
      <c r="XEK186" s="4"/>
      <c r="XEL186" s="4"/>
      <c r="XEM186" s="4"/>
      <c r="XEN186" s="4"/>
      <c r="XEO186" s="4"/>
      <c r="XEP186" s="4"/>
    </row>
    <row r="187" s="2" customFormat="1" ht="26.1" customHeight="1" spans="2:16370">
      <c r="B187" s="7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105"/>
      <c r="O187" s="68"/>
      <c r="P187" s="115"/>
      <c r="Q187" s="7"/>
      <c r="XEJ187" s="4"/>
      <c r="XEK187" s="4"/>
      <c r="XEL187" s="4"/>
      <c r="XEM187" s="4"/>
      <c r="XEN187" s="4"/>
      <c r="XEO187" s="4"/>
      <c r="XEP187" s="4"/>
    </row>
    <row r="188" s="2" customFormat="1" ht="26.1" customHeight="1" spans="2:16370">
      <c r="B188" s="7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105"/>
      <c r="O188" s="68"/>
      <c r="P188" s="115"/>
      <c r="Q188" s="7"/>
      <c r="XEJ188" s="4"/>
      <c r="XEK188" s="4"/>
      <c r="XEL188" s="4"/>
      <c r="XEM188" s="4"/>
      <c r="XEN188" s="4"/>
      <c r="XEO188" s="4"/>
      <c r="XEP188" s="4"/>
    </row>
    <row r="189" s="2" customFormat="1" ht="26.1" customHeight="1" spans="2:16370">
      <c r="B189" s="7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105"/>
      <c r="O189" s="68"/>
      <c r="P189" s="115"/>
      <c r="Q189" s="7"/>
      <c r="XEJ189" s="4"/>
      <c r="XEK189" s="4"/>
      <c r="XEL189" s="4"/>
      <c r="XEM189" s="4"/>
      <c r="XEN189" s="4"/>
      <c r="XEO189" s="4"/>
      <c r="XEP189" s="4"/>
    </row>
    <row r="190" s="2" customFormat="1" ht="26.1" customHeight="1" spans="2:16370">
      <c r="B190" s="7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105"/>
      <c r="O190" s="68"/>
      <c r="P190" s="115"/>
      <c r="Q190" s="7"/>
      <c r="XEJ190" s="4"/>
      <c r="XEK190" s="4"/>
      <c r="XEL190" s="4"/>
      <c r="XEM190" s="4"/>
      <c r="XEN190" s="4"/>
      <c r="XEO190" s="4"/>
      <c r="XEP190" s="4"/>
    </row>
    <row r="191" s="2" customFormat="1" ht="26.1" customHeight="1" spans="2:16370">
      <c r="B191" s="7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105"/>
      <c r="O191" s="68"/>
      <c r="P191" s="115"/>
      <c r="Q191" s="7"/>
      <c r="XEJ191" s="4"/>
      <c r="XEK191" s="4"/>
      <c r="XEL191" s="4"/>
      <c r="XEM191" s="4"/>
      <c r="XEN191" s="4"/>
      <c r="XEO191" s="4"/>
      <c r="XEP191" s="4"/>
    </row>
    <row r="192" s="2" customFormat="1" ht="26.1" customHeight="1" spans="2:16370">
      <c r="B192" s="7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105"/>
      <c r="O192" s="68"/>
      <c r="P192" s="115"/>
      <c r="Q192" s="7"/>
      <c r="XEJ192" s="4"/>
      <c r="XEK192" s="4"/>
      <c r="XEL192" s="4"/>
      <c r="XEM192" s="4"/>
      <c r="XEN192" s="4"/>
      <c r="XEO192" s="4"/>
      <c r="XEP192" s="4"/>
    </row>
    <row r="193" s="2" customFormat="1" ht="26.1" customHeight="1" spans="2:16370">
      <c r="B193" s="7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105"/>
      <c r="O193" s="68"/>
      <c r="P193" s="115"/>
      <c r="Q193" s="7"/>
      <c r="XEJ193" s="4"/>
      <c r="XEK193" s="4"/>
      <c r="XEL193" s="4"/>
      <c r="XEM193" s="4"/>
      <c r="XEN193" s="4"/>
      <c r="XEO193" s="4"/>
      <c r="XEP193" s="4"/>
    </row>
    <row r="194" s="2" customFormat="1" ht="26.1" customHeight="1" spans="2:16370">
      <c r="B194" s="7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105"/>
      <c r="O194" s="68"/>
      <c r="P194" s="115"/>
      <c r="Q194" s="7"/>
      <c r="XEJ194" s="4"/>
      <c r="XEK194" s="4"/>
      <c r="XEL194" s="4"/>
      <c r="XEM194" s="4"/>
      <c r="XEN194" s="4"/>
      <c r="XEO194" s="4"/>
      <c r="XEP194" s="4"/>
    </row>
    <row r="195" s="2" customFormat="1" ht="26.1" customHeight="1" spans="2:16370">
      <c r="B195" s="7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105"/>
      <c r="O195" s="68"/>
      <c r="P195" s="115"/>
      <c r="Q195" s="7"/>
      <c r="XEJ195" s="4"/>
      <c r="XEK195" s="4"/>
      <c r="XEL195" s="4"/>
      <c r="XEM195" s="4"/>
      <c r="XEN195" s="4"/>
      <c r="XEO195" s="4"/>
      <c r="XEP195" s="4"/>
    </row>
    <row r="196" s="2" customFormat="1" ht="26.1" customHeight="1" spans="2:16370">
      <c r="B196" s="7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105"/>
      <c r="O196" s="68"/>
      <c r="P196" s="115"/>
      <c r="Q196" s="7"/>
      <c r="XEJ196" s="4"/>
      <c r="XEK196" s="4"/>
      <c r="XEL196" s="4"/>
      <c r="XEM196" s="4"/>
      <c r="XEN196" s="4"/>
      <c r="XEO196" s="4"/>
      <c r="XEP196" s="4"/>
    </row>
    <row r="197" s="2" customFormat="1" ht="26.1" customHeight="1" spans="2:16370">
      <c r="B197" s="7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105"/>
      <c r="O197" s="68"/>
      <c r="P197" s="115"/>
      <c r="Q197" s="7"/>
      <c r="XEJ197" s="4"/>
      <c r="XEK197" s="4"/>
      <c r="XEL197" s="4"/>
      <c r="XEM197" s="4"/>
      <c r="XEN197" s="4"/>
      <c r="XEO197" s="4"/>
      <c r="XEP197" s="4"/>
    </row>
    <row r="198" s="2" customFormat="1" ht="26.1" customHeight="1" spans="2:16370">
      <c r="B198" s="7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105"/>
      <c r="O198" s="68"/>
      <c r="P198" s="115"/>
      <c r="Q198" s="7"/>
      <c r="XEJ198" s="4"/>
      <c r="XEK198" s="4"/>
      <c r="XEL198" s="4"/>
      <c r="XEM198" s="4"/>
      <c r="XEN198" s="4"/>
      <c r="XEO198" s="4"/>
      <c r="XEP198" s="4"/>
    </row>
    <row r="199" s="2" customFormat="1" ht="26.1" customHeight="1" spans="2:16370">
      <c r="B199" s="7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105"/>
      <c r="O199" s="68"/>
      <c r="P199" s="115"/>
      <c r="Q199" s="7"/>
      <c r="XEJ199" s="4"/>
      <c r="XEK199" s="4"/>
      <c r="XEL199" s="4"/>
      <c r="XEM199" s="4"/>
      <c r="XEN199" s="4"/>
      <c r="XEO199" s="4"/>
      <c r="XEP199" s="4"/>
    </row>
    <row r="200" s="2" customFormat="1" ht="26.1" customHeight="1" spans="2:16370">
      <c r="B200" s="7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105"/>
      <c r="O200" s="68"/>
      <c r="P200" s="115"/>
      <c r="Q200" s="7"/>
      <c r="XEJ200" s="4"/>
      <c r="XEK200" s="4"/>
      <c r="XEL200" s="4"/>
      <c r="XEM200" s="4"/>
      <c r="XEN200" s="4"/>
      <c r="XEO200" s="4"/>
      <c r="XEP200" s="4"/>
    </row>
    <row r="201" s="2" customFormat="1" ht="26.1" customHeight="1" spans="2:16370">
      <c r="B201" s="7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105"/>
      <c r="O201" s="68"/>
      <c r="P201" s="115"/>
      <c r="Q201" s="7"/>
      <c r="XEJ201" s="4"/>
      <c r="XEK201" s="4"/>
      <c r="XEL201" s="4"/>
      <c r="XEM201" s="4"/>
      <c r="XEN201" s="4"/>
      <c r="XEO201" s="4"/>
      <c r="XEP201" s="4"/>
    </row>
    <row r="202" s="2" customFormat="1" ht="26.1" customHeight="1" spans="2:16370">
      <c r="B202" s="7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105"/>
      <c r="O202" s="68"/>
      <c r="P202" s="115"/>
      <c r="Q202" s="7"/>
      <c r="XEJ202" s="4"/>
      <c r="XEK202" s="4"/>
      <c r="XEL202" s="4"/>
      <c r="XEM202" s="4"/>
      <c r="XEN202" s="4"/>
      <c r="XEO202" s="4"/>
      <c r="XEP202" s="4"/>
    </row>
    <row r="203" s="2" customFormat="1" ht="26.1" customHeight="1" spans="2:16370">
      <c r="B203" s="7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105"/>
      <c r="O203" s="68"/>
      <c r="P203" s="115"/>
      <c r="Q203" s="7"/>
      <c r="XEJ203" s="4"/>
      <c r="XEK203" s="4"/>
      <c r="XEL203" s="4"/>
      <c r="XEM203" s="4"/>
      <c r="XEN203" s="4"/>
      <c r="XEO203" s="4"/>
      <c r="XEP203" s="4"/>
    </row>
    <row r="204" s="2" customFormat="1" ht="26.1" customHeight="1" spans="2:16370">
      <c r="B204" s="7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105"/>
      <c r="O204" s="68"/>
      <c r="P204" s="115"/>
      <c r="Q204" s="7"/>
      <c r="XEJ204" s="4"/>
      <c r="XEK204" s="4"/>
      <c r="XEL204" s="4"/>
      <c r="XEM204" s="4"/>
      <c r="XEN204" s="4"/>
      <c r="XEO204" s="4"/>
      <c r="XEP204" s="4"/>
    </row>
    <row r="205" s="2" customFormat="1" ht="26.1" customHeight="1" spans="2:16370">
      <c r="B205" s="7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105"/>
      <c r="O205" s="68"/>
      <c r="P205" s="115"/>
      <c r="Q205" s="7"/>
      <c r="XEJ205" s="4"/>
      <c r="XEK205" s="4"/>
      <c r="XEL205" s="4"/>
      <c r="XEM205" s="4"/>
      <c r="XEN205" s="4"/>
      <c r="XEO205" s="4"/>
      <c r="XEP205" s="4"/>
    </row>
    <row r="206" s="2" customFormat="1" ht="26.1" customHeight="1" spans="2:16370">
      <c r="B206" s="7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105"/>
      <c r="O206" s="68"/>
      <c r="P206" s="115"/>
      <c r="Q206" s="7"/>
      <c r="XEJ206" s="4"/>
      <c r="XEK206" s="4"/>
      <c r="XEL206" s="4"/>
      <c r="XEM206" s="4"/>
      <c r="XEN206" s="4"/>
      <c r="XEO206" s="4"/>
      <c r="XEP206" s="4"/>
    </row>
    <row r="207" s="2" customFormat="1" ht="26.1" customHeight="1" spans="2:16370">
      <c r="B207" s="7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105"/>
      <c r="O207" s="68"/>
      <c r="P207" s="115"/>
      <c r="Q207" s="7"/>
      <c r="XEJ207" s="4"/>
      <c r="XEK207" s="4"/>
      <c r="XEL207" s="4"/>
      <c r="XEM207" s="4"/>
      <c r="XEN207" s="4"/>
      <c r="XEO207" s="4"/>
      <c r="XEP207" s="4"/>
    </row>
    <row r="208" s="2" customFormat="1" ht="26.1" customHeight="1" spans="2:16370">
      <c r="B208" s="7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105"/>
      <c r="O208" s="68"/>
      <c r="P208" s="115"/>
      <c r="Q208" s="7"/>
      <c r="XEJ208" s="4"/>
      <c r="XEK208" s="4"/>
      <c r="XEL208" s="4"/>
      <c r="XEM208" s="4"/>
      <c r="XEN208" s="4"/>
      <c r="XEO208" s="4"/>
      <c r="XEP208" s="4"/>
    </row>
    <row r="209" s="2" customFormat="1" ht="26.1" customHeight="1" spans="2:16370">
      <c r="B209" s="7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105"/>
      <c r="O209" s="68"/>
      <c r="P209" s="115"/>
      <c r="Q209" s="7"/>
      <c r="XEJ209" s="4"/>
      <c r="XEK209" s="4"/>
      <c r="XEL209" s="4"/>
      <c r="XEM209" s="4"/>
      <c r="XEN209" s="4"/>
      <c r="XEO209" s="4"/>
      <c r="XEP209" s="4"/>
    </row>
    <row r="210" s="2" customFormat="1" ht="26.1" customHeight="1" spans="2:16370">
      <c r="B210" s="7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105"/>
      <c r="O210" s="68"/>
      <c r="P210" s="115"/>
      <c r="Q210" s="7"/>
      <c r="XEJ210" s="4"/>
      <c r="XEK210" s="4"/>
      <c r="XEL210" s="4"/>
      <c r="XEM210" s="4"/>
      <c r="XEN210" s="4"/>
      <c r="XEO210" s="4"/>
      <c r="XEP210" s="4"/>
    </row>
    <row r="211" s="2" customFormat="1" ht="26.1" customHeight="1" spans="2:16370">
      <c r="B211" s="7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105"/>
      <c r="O211" s="68"/>
      <c r="P211" s="115"/>
      <c r="Q211" s="7"/>
      <c r="XEJ211" s="4"/>
      <c r="XEK211" s="4"/>
      <c r="XEL211" s="4"/>
      <c r="XEM211" s="4"/>
      <c r="XEN211" s="4"/>
      <c r="XEO211" s="4"/>
      <c r="XEP211" s="4"/>
    </row>
    <row r="212" s="2" customFormat="1" ht="26.1" customHeight="1" spans="2:16370">
      <c r="B212" s="7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105"/>
      <c r="O212" s="68"/>
      <c r="P212" s="115"/>
      <c r="Q212" s="7"/>
      <c r="XEJ212" s="4"/>
      <c r="XEK212" s="4"/>
      <c r="XEL212" s="4"/>
      <c r="XEM212" s="4"/>
      <c r="XEN212" s="4"/>
      <c r="XEO212" s="4"/>
      <c r="XEP212" s="4"/>
    </row>
    <row r="213" s="2" customFormat="1" ht="26.1" customHeight="1" spans="2:16370">
      <c r="B213" s="7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105"/>
      <c r="O213" s="68"/>
      <c r="P213" s="115"/>
      <c r="Q213" s="7"/>
      <c r="XEJ213" s="4"/>
      <c r="XEK213" s="4"/>
      <c r="XEL213" s="4"/>
      <c r="XEM213" s="4"/>
      <c r="XEN213" s="4"/>
      <c r="XEO213" s="4"/>
      <c r="XEP213" s="4"/>
    </row>
    <row r="214" s="2" customFormat="1" ht="26.1" customHeight="1" spans="2:16370">
      <c r="B214" s="7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105"/>
      <c r="O214" s="68"/>
      <c r="P214" s="115"/>
      <c r="Q214" s="7"/>
      <c r="XEJ214" s="4"/>
      <c r="XEK214" s="4"/>
      <c r="XEL214" s="4"/>
      <c r="XEM214" s="4"/>
      <c r="XEN214" s="4"/>
      <c r="XEO214" s="4"/>
      <c r="XEP214" s="4"/>
    </row>
    <row r="215" s="2" customFormat="1" ht="26.1" customHeight="1" spans="2:16370">
      <c r="B215" s="7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105"/>
      <c r="O215" s="68"/>
      <c r="P215" s="115"/>
      <c r="Q215" s="7"/>
      <c r="XEJ215" s="4"/>
      <c r="XEK215" s="4"/>
      <c r="XEL215" s="4"/>
      <c r="XEM215" s="4"/>
      <c r="XEN215" s="4"/>
      <c r="XEO215" s="4"/>
      <c r="XEP215" s="4"/>
    </row>
    <row r="216" s="2" customFormat="1" ht="26.1" customHeight="1" spans="2:16370">
      <c r="B216" s="7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105"/>
      <c r="O216" s="68"/>
      <c r="P216" s="115"/>
      <c r="Q216" s="7"/>
      <c r="XEJ216" s="4"/>
      <c r="XEK216" s="4"/>
      <c r="XEL216" s="4"/>
      <c r="XEM216" s="4"/>
      <c r="XEN216" s="4"/>
      <c r="XEO216" s="4"/>
      <c r="XEP216" s="4"/>
    </row>
    <row r="217" s="2" customFormat="1" ht="26.1" customHeight="1" spans="2:16370">
      <c r="B217" s="7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105"/>
      <c r="O217" s="68"/>
      <c r="P217" s="115"/>
      <c r="Q217" s="7"/>
      <c r="XEJ217" s="4"/>
      <c r="XEK217" s="4"/>
      <c r="XEL217" s="4"/>
      <c r="XEM217" s="4"/>
      <c r="XEN217" s="4"/>
      <c r="XEO217" s="4"/>
      <c r="XEP217" s="4"/>
    </row>
    <row r="218" s="2" customFormat="1" ht="26.1" customHeight="1" spans="2:16370">
      <c r="B218" s="7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105"/>
      <c r="O218" s="68"/>
      <c r="P218" s="115"/>
      <c r="Q218" s="7"/>
      <c r="XEJ218" s="4"/>
      <c r="XEK218" s="4"/>
      <c r="XEL218" s="4"/>
      <c r="XEM218" s="4"/>
      <c r="XEN218" s="4"/>
      <c r="XEO218" s="4"/>
      <c r="XEP218" s="4"/>
    </row>
    <row r="219" s="2" customFormat="1" ht="26.1" customHeight="1" spans="2:16370">
      <c r="B219" s="7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105"/>
      <c r="O219" s="68"/>
      <c r="P219" s="115"/>
      <c r="Q219" s="7"/>
      <c r="XEJ219" s="4"/>
      <c r="XEK219" s="4"/>
      <c r="XEL219" s="4"/>
      <c r="XEM219" s="4"/>
      <c r="XEN219" s="4"/>
      <c r="XEO219" s="4"/>
      <c r="XEP219" s="4"/>
    </row>
    <row r="220" s="2" customFormat="1" ht="26.1" customHeight="1" spans="2:16370">
      <c r="B220" s="7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105"/>
      <c r="O220" s="68"/>
      <c r="P220" s="115"/>
      <c r="Q220" s="7"/>
      <c r="XEJ220" s="4"/>
      <c r="XEK220" s="4"/>
      <c r="XEL220" s="4"/>
      <c r="XEM220" s="4"/>
      <c r="XEN220" s="4"/>
      <c r="XEO220" s="4"/>
      <c r="XEP220" s="4"/>
    </row>
    <row r="221" s="2" customFormat="1" ht="26.1" customHeight="1" spans="2:16370">
      <c r="B221" s="7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105"/>
      <c r="O221" s="68"/>
      <c r="P221" s="115"/>
      <c r="Q221" s="7"/>
      <c r="XEJ221" s="4"/>
      <c r="XEK221" s="4"/>
      <c r="XEL221" s="4"/>
      <c r="XEM221" s="4"/>
      <c r="XEN221" s="4"/>
      <c r="XEO221" s="4"/>
      <c r="XEP221" s="4"/>
    </row>
    <row r="222" s="2" customFormat="1" ht="26.1" customHeight="1" spans="2:16370">
      <c r="B222" s="7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105"/>
      <c r="O222" s="68"/>
      <c r="P222" s="115"/>
      <c r="Q222" s="7"/>
      <c r="XEJ222" s="4"/>
      <c r="XEK222" s="4"/>
      <c r="XEL222" s="4"/>
      <c r="XEM222" s="4"/>
      <c r="XEN222" s="4"/>
      <c r="XEO222" s="4"/>
      <c r="XEP222" s="4"/>
    </row>
    <row r="223" s="2" customFormat="1" ht="26.1" customHeight="1" spans="2:16370">
      <c r="B223" s="7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105"/>
      <c r="O223" s="68"/>
      <c r="P223" s="115"/>
      <c r="Q223" s="7"/>
      <c r="XEJ223" s="4"/>
      <c r="XEK223" s="4"/>
      <c r="XEL223" s="4"/>
      <c r="XEM223" s="4"/>
      <c r="XEN223" s="4"/>
      <c r="XEO223" s="4"/>
      <c r="XEP223" s="4"/>
    </row>
    <row r="224" s="2" customFormat="1" ht="26.1" customHeight="1" spans="2:16370">
      <c r="B224" s="7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105"/>
      <c r="O224" s="68"/>
      <c r="P224" s="115"/>
      <c r="Q224" s="7"/>
      <c r="XEJ224" s="4"/>
      <c r="XEK224" s="4"/>
      <c r="XEL224" s="4"/>
      <c r="XEM224" s="4"/>
      <c r="XEN224" s="4"/>
      <c r="XEO224" s="4"/>
      <c r="XEP224" s="4"/>
    </row>
    <row r="225" s="2" customFormat="1" ht="26.1" customHeight="1" spans="2:16370">
      <c r="B225" s="7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105"/>
      <c r="O225" s="68"/>
      <c r="P225" s="115"/>
      <c r="Q225" s="7"/>
      <c r="XEJ225" s="4"/>
      <c r="XEK225" s="4"/>
      <c r="XEL225" s="4"/>
      <c r="XEM225" s="4"/>
      <c r="XEN225" s="4"/>
      <c r="XEO225" s="4"/>
      <c r="XEP225" s="4"/>
    </row>
    <row r="226" s="2" customFormat="1" ht="26.1" customHeight="1" spans="2:16370">
      <c r="B226" s="7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105"/>
      <c r="O226" s="68"/>
      <c r="P226" s="115"/>
      <c r="Q226" s="7"/>
      <c r="XEJ226" s="4"/>
      <c r="XEK226" s="4"/>
      <c r="XEL226" s="4"/>
      <c r="XEM226" s="4"/>
      <c r="XEN226" s="4"/>
      <c r="XEO226" s="4"/>
      <c r="XEP226" s="4"/>
    </row>
    <row r="227" s="2" customFormat="1" ht="26.1" customHeight="1" spans="2:16370">
      <c r="B227" s="7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105"/>
      <c r="O227" s="68"/>
      <c r="P227" s="115"/>
      <c r="Q227" s="7"/>
      <c r="XEJ227" s="4"/>
      <c r="XEK227" s="4"/>
      <c r="XEL227" s="4"/>
      <c r="XEM227" s="4"/>
      <c r="XEN227" s="4"/>
      <c r="XEO227" s="4"/>
      <c r="XEP227" s="4"/>
    </row>
    <row r="228" s="2" customFormat="1" ht="26.1" customHeight="1" spans="2:16370">
      <c r="B228" s="7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105"/>
      <c r="O228" s="68"/>
      <c r="P228" s="115"/>
      <c r="Q228" s="7"/>
      <c r="XEJ228" s="4"/>
      <c r="XEK228" s="4"/>
      <c r="XEL228" s="4"/>
      <c r="XEM228" s="4"/>
      <c r="XEN228" s="4"/>
      <c r="XEO228" s="4"/>
      <c r="XEP228" s="4"/>
    </row>
    <row r="229" s="2" customFormat="1" ht="26.1" customHeight="1" spans="2:16370">
      <c r="B229" s="7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105"/>
      <c r="O229" s="68"/>
      <c r="P229" s="115"/>
      <c r="Q229" s="7"/>
      <c r="XEJ229" s="4"/>
      <c r="XEK229" s="4"/>
      <c r="XEL229" s="4"/>
      <c r="XEM229" s="4"/>
      <c r="XEN229" s="4"/>
      <c r="XEO229" s="4"/>
      <c r="XEP229" s="4"/>
    </row>
    <row r="230" s="2" customFormat="1" ht="26.1" customHeight="1" spans="2:16370">
      <c r="B230" s="7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105"/>
      <c r="O230" s="68"/>
      <c r="P230" s="115"/>
      <c r="Q230" s="7"/>
      <c r="XEJ230" s="4"/>
      <c r="XEK230" s="4"/>
      <c r="XEL230" s="4"/>
      <c r="XEM230" s="4"/>
      <c r="XEN230" s="4"/>
      <c r="XEO230" s="4"/>
      <c r="XEP230" s="4"/>
    </row>
    <row r="231" s="2" customFormat="1" ht="26.1" customHeight="1" spans="2:16370">
      <c r="B231" s="7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105"/>
      <c r="O231" s="68"/>
      <c r="P231" s="115"/>
      <c r="Q231" s="7"/>
      <c r="XEJ231" s="4"/>
      <c r="XEK231" s="4"/>
      <c r="XEL231" s="4"/>
      <c r="XEM231" s="4"/>
      <c r="XEN231" s="4"/>
      <c r="XEO231" s="4"/>
      <c r="XEP231" s="4"/>
    </row>
    <row r="232" s="2" customFormat="1" ht="26.1" customHeight="1" spans="2:16370">
      <c r="B232" s="7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105"/>
      <c r="O232" s="68"/>
      <c r="P232" s="115"/>
      <c r="Q232" s="7"/>
      <c r="XEJ232" s="4"/>
      <c r="XEK232" s="4"/>
      <c r="XEL232" s="4"/>
      <c r="XEM232" s="4"/>
      <c r="XEN232" s="4"/>
      <c r="XEO232" s="4"/>
      <c r="XEP232" s="4"/>
    </row>
    <row r="233" s="2" customFormat="1" ht="26.1" customHeight="1" spans="2:16370">
      <c r="B233" s="7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105"/>
      <c r="O233" s="68"/>
      <c r="P233" s="115"/>
      <c r="Q233" s="7"/>
      <c r="XEJ233" s="4"/>
      <c r="XEK233" s="4"/>
      <c r="XEL233" s="4"/>
      <c r="XEM233" s="4"/>
      <c r="XEN233" s="4"/>
      <c r="XEO233" s="4"/>
      <c r="XEP233" s="4"/>
    </row>
    <row r="234" s="2" customFormat="1" ht="26.1" customHeight="1" spans="2:16370">
      <c r="B234" s="7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105"/>
      <c r="O234" s="68"/>
      <c r="P234" s="115"/>
      <c r="Q234" s="7"/>
      <c r="XEJ234" s="4"/>
      <c r="XEK234" s="4"/>
      <c r="XEL234" s="4"/>
      <c r="XEM234" s="4"/>
      <c r="XEN234" s="4"/>
      <c r="XEO234" s="4"/>
      <c r="XEP234" s="4"/>
    </row>
    <row r="235" s="2" customFormat="1" ht="26.1" customHeight="1" spans="2:16370">
      <c r="B235" s="7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105"/>
      <c r="O235" s="68"/>
      <c r="P235" s="115"/>
      <c r="Q235" s="7"/>
      <c r="XEJ235" s="4"/>
      <c r="XEK235" s="4"/>
      <c r="XEL235" s="4"/>
      <c r="XEM235" s="4"/>
      <c r="XEN235" s="4"/>
      <c r="XEO235" s="4"/>
      <c r="XEP235" s="4"/>
    </row>
    <row r="236" s="2" customFormat="1" ht="26.1" customHeight="1" spans="2:16370">
      <c r="B236" s="7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105"/>
      <c r="O236" s="68"/>
      <c r="P236" s="115"/>
      <c r="Q236" s="7"/>
      <c r="XEJ236" s="4"/>
      <c r="XEK236" s="4"/>
      <c r="XEL236" s="4"/>
      <c r="XEM236" s="4"/>
      <c r="XEN236" s="4"/>
      <c r="XEO236" s="4"/>
      <c r="XEP236" s="4"/>
    </row>
    <row r="237" s="2" customFormat="1" ht="26.1" customHeight="1" spans="2:16370">
      <c r="B237" s="7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105"/>
      <c r="O237" s="68"/>
      <c r="P237" s="115"/>
      <c r="Q237" s="7"/>
      <c r="XEJ237" s="4"/>
      <c r="XEK237" s="4"/>
      <c r="XEL237" s="4"/>
      <c r="XEM237" s="4"/>
      <c r="XEN237" s="4"/>
      <c r="XEO237" s="4"/>
      <c r="XEP237" s="4"/>
    </row>
    <row r="238" s="2" customFormat="1" ht="26.1" customHeight="1" spans="2:16370">
      <c r="B238" s="7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105"/>
      <c r="O238" s="68"/>
      <c r="P238" s="115"/>
      <c r="Q238" s="7"/>
      <c r="XEJ238" s="4"/>
      <c r="XEK238" s="4"/>
      <c r="XEL238" s="4"/>
      <c r="XEM238" s="4"/>
      <c r="XEN238" s="4"/>
      <c r="XEO238" s="4"/>
      <c r="XEP238" s="4"/>
    </row>
    <row r="239" s="2" customFormat="1" ht="26.1" customHeight="1" spans="2:16370">
      <c r="B239" s="7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105"/>
      <c r="O239" s="68"/>
      <c r="P239" s="115"/>
      <c r="Q239" s="7"/>
      <c r="XEJ239" s="4"/>
      <c r="XEK239" s="4"/>
      <c r="XEL239" s="4"/>
      <c r="XEM239" s="4"/>
      <c r="XEN239" s="4"/>
      <c r="XEO239" s="4"/>
      <c r="XEP239" s="4"/>
    </row>
    <row r="240" s="2" customFormat="1" ht="26.1" customHeight="1" spans="2:16370">
      <c r="B240" s="7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105"/>
      <c r="O240" s="68"/>
      <c r="P240" s="115"/>
      <c r="Q240" s="7"/>
      <c r="XEJ240" s="4"/>
      <c r="XEK240" s="4"/>
      <c r="XEL240" s="4"/>
      <c r="XEM240" s="4"/>
      <c r="XEN240" s="4"/>
      <c r="XEO240" s="4"/>
      <c r="XEP240" s="4"/>
    </row>
    <row r="241" s="2" customFormat="1" ht="26.1" customHeight="1" spans="2:16370">
      <c r="B241" s="7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105"/>
      <c r="O241" s="68"/>
      <c r="P241" s="115"/>
      <c r="Q241" s="7"/>
      <c r="XEJ241" s="4"/>
      <c r="XEK241" s="4"/>
      <c r="XEL241" s="4"/>
      <c r="XEM241" s="4"/>
      <c r="XEN241" s="4"/>
      <c r="XEO241" s="4"/>
      <c r="XEP241" s="4"/>
    </row>
    <row r="242" s="2" customFormat="1" ht="26.1" customHeight="1" spans="2:16370">
      <c r="B242" s="7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105"/>
      <c r="O242" s="68"/>
      <c r="P242" s="115"/>
      <c r="Q242" s="7"/>
      <c r="XEJ242" s="4"/>
      <c r="XEK242" s="4"/>
      <c r="XEL242" s="4"/>
      <c r="XEM242" s="4"/>
      <c r="XEN242" s="4"/>
      <c r="XEO242" s="4"/>
      <c r="XEP242" s="4"/>
    </row>
    <row r="243" s="2" customFormat="1" ht="26.1" customHeight="1" spans="2:16370">
      <c r="B243" s="7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105"/>
      <c r="O243" s="68"/>
      <c r="P243" s="115"/>
      <c r="Q243" s="7"/>
      <c r="XEJ243" s="4"/>
      <c r="XEK243" s="4"/>
      <c r="XEL243" s="4"/>
      <c r="XEM243" s="4"/>
      <c r="XEN243" s="4"/>
      <c r="XEO243" s="4"/>
      <c r="XEP243" s="4"/>
    </row>
    <row r="244" s="2" customFormat="1" ht="26.1" customHeight="1" spans="2:16370">
      <c r="B244" s="7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105"/>
      <c r="O244" s="68"/>
      <c r="P244" s="115"/>
      <c r="Q244" s="7"/>
      <c r="XEJ244" s="4"/>
      <c r="XEK244" s="4"/>
      <c r="XEL244" s="4"/>
      <c r="XEM244" s="4"/>
      <c r="XEN244" s="4"/>
      <c r="XEO244" s="4"/>
      <c r="XEP244" s="4"/>
    </row>
    <row r="245" s="2" customFormat="1" ht="26.1" customHeight="1" spans="2:16370">
      <c r="B245" s="7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105"/>
      <c r="O245" s="68"/>
      <c r="P245" s="115"/>
      <c r="Q245" s="7"/>
      <c r="XEJ245" s="4"/>
      <c r="XEK245" s="4"/>
      <c r="XEL245" s="4"/>
      <c r="XEM245" s="4"/>
      <c r="XEN245" s="4"/>
      <c r="XEO245" s="4"/>
      <c r="XEP245" s="4"/>
    </row>
    <row r="246" s="2" customFormat="1" ht="26.1" customHeight="1" spans="2:16370">
      <c r="B246" s="7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105"/>
      <c r="O246" s="68"/>
      <c r="P246" s="115"/>
      <c r="Q246" s="7"/>
      <c r="XEJ246" s="4"/>
      <c r="XEK246" s="4"/>
      <c r="XEL246" s="4"/>
      <c r="XEM246" s="4"/>
      <c r="XEN246" s="4"/>
      <c r="XEO246" s="4"/>
      <c r="XEP246" s="4"/>
    </row>
    <row r="247" s="2" customFormat="1" ht="26.1" customHeight="1" spans="2:16370">
      <c r="B247" s="7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105"/>
      <c r="O247" s="68"/>
      <c r="P247" s="115"/>
      <c r="Q247" s="7"/>
      <c r="XEJ247" s="4"/>
      <c r="XEK247" s="4"/>
      <c r="XEL247" s="4"/>
      <c r="XEM247" s="4"/>
      <c r="XEN247" s="4"/>
      <c r="XEO247" s="4"/>
      <c r="XEP247" s="4"/>
    </row>
    <row r="248" s="2" customFormat="1" ht="26.1" customHeight="1" spans="2:16370">
      <c r="B248" s="7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105"/>
      <c r="O248" s="68"/>
      <c r="P248" s="115"/>
      <c r="Q248" s="7"/>
      <c r="XEJ248" s="4"/>
      <c r="XEK248" s="4"/>
      <c r="XEL248" s="4"/>
      <c r="XEM248" s="4"/>
      <c r="XEN248" s="4"/>
      <c r="XEO248" s="4"/>
      <c r="XEP248" s="4"/>
    </row>
    <row r="249" s="2" customFormat="1" ht="26.1" customHeight="1" spans="2:16370">
      <c r="B249" s="7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105"/>
      <c r="O249" s="68"/>
      <c r="P249" s="115"/>
      <c r="Q249" s="7"/>
      <c r="XEJ249" s="4"/>
      <c r="XEK249" s="4"/>
      <c r="XEL249" s="4"/>
      <c r="XEM249" s="4"/>
      <c r="XEN249" s="4"/>
      <c r="XEO249" s="4"/>
      <c r="XEP249" s="4"/>
    </row>
    <row r="250" s="2" customFormat="1" ht="26.1" customHeight="1" spans="2:16370">
      <c r="B250" s="7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105"/>
      <c r="O250" s="68"/>
      <c r="P250" s="115"/>
      <c r="Q250" s="7"/>
      <c r="XEJ250" s="4"/>
      <c r="XEK250" s="4"/>
      <c r="XEL250" s="4"/>
      <c r="XEM250" s="4"/>
      <c r="XEN250" s="4"/>
      <c r="XEO250" s="4"/>
      <c r="XEP250" s="4"/>
    </row>
    <row r="251" s="2" customFormat="1" ht="26.1" customHeight="1" spans="2:16370">
      <c r="B251" s="7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105"/>
      <c r="O251" s="68"/>
      <c r="P251" s="115"/>
      <c r="Q251" s="7"/>
      <c r="XEJ251" s="4"/>
      <c r="XEK251" s="4"/>
      <c r="XEL251" s="4"/>
      <c r="XEM251" s="4"/>
      <c r="XEN251" s="4"/>
      <c r="XEO251" s="4"/>
      <c r="XEP251" s="4"/>
    </row>
    <row r="252" s="2" customFormat="1" ht="26.1" customHeight="1" spans="2:16370">
      <c r="B252" s="7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105"/>
      <c r="O252" s="68"/>
      <c r="P252" s="115"/>
      <c r="Q252" s="7"/>
      <c r="XEJ252" s="4"/>
      <c r="XEK252" s="4"/>
      <c r="XEL252" s="4"/>
      <c r="XEM252" s="4"/>
      <c r="XEN252" s="4"/>
      <c r="XEO252" s="4"/>
      <c r="XEP252" s="4"/>
    </row>
    <row r="253" s="2" customFormat="1" ht="26.1" customHeight="1" spans="2:16370">
      <c r="B253" s="7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105"/>
      <c r="O253" s="68"/>
      <c r="P253" s="115"/>
      <c r="Q253" s="7"/>
      <c r="XEJ253" s="4"/>
      <c r="XEK253" s="4"/>
      <c r="XEL253" s="4"/>
      <c r="XEM253" s="4"/>
      <c r="XEN253" s="4"/>
      <c r="XEO253" s="4"/>
      <c r="XEP253" s="4"/>
    </row>
    <row r="254" s="2" customFormat="1" ht="26.1" customHeight="1" spans="2:16370">
      <c r="B254" s="7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105"/>
      <c r="O254" s="68"/>
      <c r="P254" s="115"/>
      <c r="Q254" s="7"/>
      <c r="XEJ254" s="4"/>
      <c r="XEK254" s="4"/>
      <c r="XEL254" s="4"/>
      <c r="XEM254" s="4"/>
      <c r="XEN254" s="4"/>
      <c r="XEO254" s="4"/>
      <c r="XEP254" s="4"/>
    </row>
    <row r="255" s="2" customFormat="1" ht="26.1" customHeight="1" spans="2:16370">
      <c r="B255" s="7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105"/>
      <c r="O255" s="68"/>
      <c r="P255" s="115"/>
      <c r="Q255" s="7"/>
      <c r="XEJ255" s="4"/>
      <c r="XEK255" s="4"/>
      <c r="XEL255" s="4"/>
      <c r="XEM255" s="4"/>
      <c r="XEN255" s="4"/>
      <c r="XEO255" s="4"/>
      <c r="XEP255" s="4"/>
    </row>
    <row r="256" s="2" customFormat="1" ht="26.1" customHeight="1" spans="2:16370">
      <c r="B256" s="7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105"/>
      <c r="O256" s="68"/>
      <c r="P256" s="115"/>
      <c r="Q256" s="7"/>
      <c r="XEJ256" s="4"/>
      <c r="XEK256" s="4"/>
      <c r="XEL256" s="4"/>
      <c r="XEM256" s="4"/>
      <c r="XEN256" s="4"/>
      <c r="XEO256" s="4"/>
      <c r="XEP256" s="4"/>
    </row>
    <row r="257" s="2" customFormat="1" ht="26.1" customHeight="1" spans="2:16370">
      <c r="B257" s="7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105"/>
      <c r="O257" s="68"/>
      <c r="P257" s="115"/>
      <c r="Q257" s="7"/>
      <c r="XEJ257" s="4"/>
      <c r="XEK257" s="4"/>
      <c r="XEL257" s="4"/>
      <c r="XEM257" s="4"/>
      <c r="XEN257" s="4"/>
      <c r="XEO257" s="4"/>
      <c r="XEP257" s="4"/>
    </row>
    <row r="258" s="2" customFormat="1" ht="26.1" customHeight="1" spans="2:16370">
      <c r="B258" s="7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105"/>
      <c r="O258" s="68"/>
      <c r="P258" s="115"/>
      <c r="Q258" s="7"/>
      <c r="XEJ258" s="4"/>
      <c r="XEK258" s="4"/>
      <c r="XEL258" s="4"/>
      <c r="XEM258" s="4"/>
      <c r="XEN258" s="4"/>
      <c r="XEO258" s="4"/>
      <c r="XEP258" s="4"/>
    </row>
    <row r="259" s="2" customFormat="1" ht="26.1" customHeight="1" spans="2:16370">
      <c r="B259" s="7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105"/>
      <c r="O259" s="68"/>
      <c r="P259" s="115"/>
      <c r="Q259" s="7"/>
      <c r="XEJ259" s="4"/>
      <c r="XEK259" s="4"/>
      <c r="XEL259" s="4"/>
      <c r="XEM259" s="4"/>
      <c r="XEN259" s="4"/>
      <c r="XEO259" s="4"/>
      <c r="XEP259" s="4"/>
    </row>
    <row r="260" s="2" customFormat="1" ht="26.1" customHeight="1" spans="2:16370">
      <c r="B260" s="7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105"/>
      <c r="O260" s="68"/>
      <c r="P260" s="115"/>
      <c r="Q260" s="7"/>
      <c r="XEJ260" s="4"/>
      <c r="XEK260" s="4"/>
      <c r="XEL260" s="4"/>
      <c r="XEM260" s="4"/>
      <c r="XEN260" s="4"/>
      <c r="XEO260" s="4"/>
      <c r="XEP260" s="4"/>
    </row>
    <row r="261" s="2" customFormat="1" ht="26.1" customHeight="1" spans="2:16370">
      <c r="B261" s="7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105"/>
      <c r="O261" s="68"/>
      <c r="P261" s="115"/>
      <c r="Q261" s="7"/>
      <c r="XEJ261" s="4"/>
      <c r="XEK261" s="4"/>
      <c r="XEL261" s="4"/>
      <c r="XEM261" s="4"/>
      <c r="XEN261" s="4"/>
      <c r="XEO261" s="4"/>
      <c r="XEP261" s="4"/>
    </row>
    <row r="262" s="2" customFormat="1" ht="26.1" customHeight="1" spans="2:16370">
      <c r="B262" s="7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105"/>
      <c r="O262" s="68"/>
      <c r="P262" s="115"/>
      <c r="Q262" s="7"/>
      <c r="XEJ262" s="4"/>
      <c r="XEK262" s="4"/>
      <c r="XEL262" s="4"/>
      <c r="XEM262" s="4"/>
      <c r="XEN262" s="4"/>
      <c r="XEO262" s="4"/>
      <c r="XEP262" s="4"/>
    </row>
    <row r="263" s="2" customFormat="1" ht="26.1" customHeight="1" spans="2:16370">
      <c r="B263" s="7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105"/>
      <c r="O263" s="68"/>
      <c r="P263" s="115"/>
      <c r="Q263" s="7"/>
      <c r="XEJ263" s="4"/>
      <c r="XEK263" s="4"/>
      <c r="XEL263" s="4"/>
      <c r="XEM263" s="4"/>
      <c r="XEN263" s="4"/>
      <c r="XEO263" s="4"/>
      <c r="XEP263" s="4"/>
    </row>
    <row r="264" s="2" customFormat="1" ht="26.1" customHeight="1" spans="2:16370">
      <c r="B264" s="7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105"/>
      <c r="O264" s="68"/>
      <c r="P264" s="115"/>
      <c r="Q264" s="7"/>
      <c r="XEJ264" s="4"/>
      <c r="XEK264" s="4"/>
      <c r="XEL264" s="4"/>
      <c r="XEM264" s="4"/>
      <c r="XEN264" s="4"/>
      <c r="XEO264" s="4"/>
      <c r="XEP264" s="4"/>
    </row>
    <row r="265" s="2" customFormat="1" ht="26.1" customHeight="1" spans="2:16370">
      <c r="B265" s="7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105"/>
      <c r="O265" s="68"/>
      <c r="P265" s="115"/>
      <c r="Q265" s="7"/>
      <c r="XEJ265" s="4"/>
      <c r="XEK265" s="4"/>
      <c r="XEL265" s="4"/>
      <c r="XEM265" s="4"/>
      <c r="XEN265" s="4"/>
      <c r="XEO265" s="4"/>
      <c r="XEP265" s="4"/>
    </row>
    <row r="266" s="2" customFormat="1" ht="26.1" customHeight="1" spans="2:16370">
      <c r="B266" s="7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105"/>
      <c r="O266" s="68"/>
      <c r="P266" s="115"/>
      <c r="Q266" s="7"/>
      <c r="XEJ266" s="4"/>
      <c r="XEK266" s="4"/>
      <c r="XEL266" s="4"/>
      <c r="XEM266" s="4"/>
      <c r="XEN266" s="4"/>
      <c r="XEO266" s="4"/>
      <c r="XEP266" s="4"/>
    </row>
    <row r="267" s="2" customFormat="1" ht="26.1" customHeight="1" spans="2:16370">
      <c r="B267" s="7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105"/>
      <c r="O267" s="68"/>
      <c r="P267" s="115"/>
      <c r="Q267" s="7"/>
      <c r="XEJ267" s="4"/>
      <c r="XEK267" s="4"/>
      <c r="XEL267" s="4"/>
      <c r="XEM267" s="4"/>
      <c r="XEN267" s="4"/>
      <c r="XEO267" s="4"/>
      <c r="XEP267" s="4"/>
    </row>
    <row r="268" s="2" customFormat="1" ht="26.1" customHeight="1" spans="2:16370">
      <c r="B268" s="7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105"/>
      <c r="O268" s="68"/>
      <c r="P268" s="115"/>
      <c r="Q268" s="7"/>
      <c r="XEJ268" s="4"/>
      <c r="XEK268" s="4"/>
      <c r="XEL268" s="4"/>
      <c r="XEM268" s="4"/>
      <c r="XEN268" s="4"/>
      <c r="XEO268" s="4"/>
      <c r="XEP268" s="4"/>
    </row>
    <row r="269" s="2" customFormat="1" ht="26.1" customHeight="1" spans="2:16370">
      <c r="B269" s="7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105"/>
      <c r="O269" s="68"/>
      <c r="P269" s="115"/>
      <c r="Q269" s="7"/>
      <c r="XEJ269" s="4"/>
      <c r="XEK269" s="4"/>
      <c r="XEL269" s="4"/>
      <c r="XEM269" s="4"/>
      <c r="XEN269" s="4"/>
      <c r="XEO269" s="4"/>
      <c r="XEP269" s="4"/>
    </row>
    <row r="270" s="2" customFormat="1" ht="26.1" customHeight="1" spans="2:16370">
      <c r="B270" s="7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105"/>
      <c r="O270" s="68"/>
      <c r="P270" s="115"/>
      <c r="Q270" s="7"/>
      <c r="XEJ270" s="4"/>
      <c r="XEK270" s="4"/>
      <c r="XEL270" s="4"/>
      <c r="XEM270" s="4"/>
      <c r="XEN270" s="4"/>
      <c r="XEO270" s="4"/>
      <c r="XEP270" s="4"/>
    </row>
    <row r="271" s="2" customFormat="1" ht="26.1" customHeight="1" spans="2:16370">
      <c r="B271" s="7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105"/>
      <c r="O271" s="68"/>
      <c r="P271" s="115"/>
      <c r="Q271" s="7"/>
      <c r="XEJ271" s="4"/>
      <c r="XEK271" s="4"/>
      <c r="XEL271" s="4"/>
      <c r="XEM271" s="4"/>
      <c r="XEN271" s="4"/>
      <c r="XEO271" s="4"/>
      <c r="XEP271" s="4"/>
    </row>
    <row r="272" s="2" customFormat="1" ht="26.1" customHeight="1" spans="2:16370">
      <c r="B272" s="7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105"/>
      <c r="O272" s="68"/>
      <c r="P272" s="115"/>
      <c r="Q272" s="7"/>
      <c r="XEJ272" s="4"/>
      <c r="XEK272" s="4"/>
      <c r="XEL272" s="4"/>
      <c r="XEM272" s="4"/>
      <c r="XEN272" s="4"/>
      <c r="XEO272" s="4"/>
      <c r="XEP272" s="4"/>
    </row>
    <row r="273" s="2" customFormat="1" ht="26.1" customHeight="1" spans="2:16370">
      <c r="B273" s="7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105"/>
      <c r="O273" s="68"/>
      <c r="P273" s="115"/>
      <c r="Q273" s="7"/>
      <c r="XEJ273" s="4"/>
      <c r="XEK273" s="4"/>
      <c r="XEL273" s="4"/>
      <c r="XEM273" s="4"/>
      <c r="XEN273" s="4"/>
      <c r="XEO273" s="4"/>
      <c r="XEP273" s="4"/>
    </row>
    <row r="274" s="2" customFormat="1" ht="26.1" customHeight="1" spans="2:16370">
      <c r="B274" s="7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105"/>
      <c r="O274" s="68"/>
      <c r="P274" s="115"/>
      <c r="Q274" s="7"/>
      <c r="XEJ274" s="4"/>
      <c r="XEK274" s="4"/>
      <c r="XEL274" s="4"/>
      <c r="XEM274" s="4"/>
      <c r="XEN274" s="4"/>
      <c r="XEO274" s="4"/>
      <c r="XEP274" s="4"/>
    </row>
    <row r="275" s="2" customFormat="1" ht="26.1" customHeight="1" spans="2:16370">
      <c r="B275" s="7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105"/>
      <c r="O275" s="68"/>
      <c r="P275" s="115"/>
      <c r="Q275" s="7"/>
      <c r="XEJ275" s="4"/>
      <c r="XEK275" s="4"/>
      <c r="XEL275" s="4"/>
      <c r="XEM275" s="4"/>
      <c r="XEN275" s="4"/>
      <c r="XEO275" s="4"/>
      <c r="XEP275" s="4"/>
    </row>
    <row r="276" s="2" customFormat="1" ht="26.1" customHeight="1" spans="2:16370">
      <c r="B276" s="7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105"/>
      <c r="O276" s="68"/>
      <c r="P276" s="115"/>
      <c r="Q276" s="7"/>
      <c r="XEJ276" s="4"/>
      <c r="XEK276" s="4"/>
      <c r="XEL276" s="4"/>
      <c r="XEM276" s="4"/>
      <c r="XEN276" s="4"/>
      <c r="XEO276" s="4"/>
      <c r="XEP276" s="4"/>
    </row>
    <row r="277" s="2" customFormat="1" ht="26.1" customHeight="1" spans="2:16370">
      <c r="B277" s="7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105"/>
      <c r="O277" s="68"/>
      <c r="P277" s="115"/>
      <c r="Q277" s="7"/>
      <c r="XEJ277" s="4"/>
      <c r="XEK277" s="4"/>
      <c r="XEL277" s="4"/>
      <c r="XEM277" s="4"/>
      <c r="XEN277" s="4"/>
      <c r="XEO277" s="4"/>
      <c r="XEP277" s="4"/>
    </row>
    <row r="278" s="2" customFormat="1" ht="26.1" customHeight="1" spans="2:16370">
      <c r="B278" s="7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105"/>
      <c r="O278" s="68"/>
      <c r="P278" s="115"/>
      <c r="Q278" s="7"/>
      <c r="XEJ278" s="4"/>
      <c r="XEK278" s="4"/>
      <c r="XEL278" s="4"/>
      <c r="XEM278" s="4"/>
      <c r="XEN278" s="4"/>
      <c r="XEO278" s="4"/>
      <c r="XEP278" s="4"/>
    </row>
    <row r="279" s="2" customFormat="1" ht="26.1" customHeight="1" spans="2:16370">
      <c r="B279" s="7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105"/>
      <c r="O279" s="68"/>
      <c r="P279" s="115"/>
      <c r="Q279" s="7"/>
      <c r="XEJ279" s="4"/>
      <c r="XEK279" s="4"/>
      <c r="XEL279" s="4"/>
      <c r="XEM279" s="4"/>
      <c r="XEN279" s="4"/>
      <c r="XEO279" s="4"/>
      <c r="XEP279" s="4"/>
    </row>
    <row r="280" s="2" customFormat="1" ht="26.1" customHeight="1" spans="2:16370">
      <c r="B280" s="7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105"/>
      <c r="O280" s="68"/>
      <c r="P280" s="115"/>
      <c r="Q280" s="7"/>
      <c r="XEJ280" s="4"/>
      <c r="XEK280" s="4"/>
      <c r="XEL280" s="4"/>
      <c r="XEM280" s="4"/>
      <c r="XEN280" s="4"/>
      <c r="XEO280" s="4"/>
      <c r="XEP280" s="4"/>
    </row>
    <row r="281" s="2" customFormat="1" ht="26.1" customHeight="1" spans="2:16370">
      <c r="B281" s="7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105"/>
      <c r="O281" s="68"/>
      <c r="P281" s="115"/>
      <c r="Q281" s="7"/>
      <c r="XEJ281" s="4"/>
      <c r="XEK281" s="4"/>
      <c r="XEL281" s="4"/>
      <c r="XEM281" s="4"/>
      <c r="XEN281" s="4"/>
      <c r="XEO281" s="4"/>
      <c r="XEP281" s="4"/>
    </row>
    <row r="282" s="2" customFormat="1" ht="26.1" customHeight="1" spans="2:16370">
      <c r="B282" s="7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105"/>
      <c r="O282" s="68"/>
      <c r="P282" s="115"/>
      <c r="Q282" s="7"/>
      <c r="XEJ282" s="4"/>
      <c r="XEK282" s="4"/>
      <c r="XEL282" s="4"/>
      <c r="XEM282" s="4"/>
      <c r="XEN282" s="4"/>
      <c r="XEO282" s="4"/>
      <c r="XEP282" s="4"/>
    </row>
    <row r="283" s="2" customFormat="1" ht="26.1" customHeight="1" spans="2:16370">
      <c r="B283" s="7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105"/>
      <c r="O283" s="68"/>
      <c r="P283" s="115"/>
      <c r="Q283" s="7"/>
      <c r="XEJ283" s="4"/>
      <c r="XEK283" s="4"/>
      <c r="XEL283" s="4"/>
      <c r="XEM283" s="4"/>
      <c r="XEN283" s="4"/>
      <c r="XEO283" s="4"/>
      <c r="XEP283" s="4"/>
    </row>
    <row r="284" s="2" customFormat="1" ht="26.1" customHeight="1" spans="2:16370">
      <c r="B284" s="7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105"/>
      <c r="O284" s="68"/>
      <c r="P284" s="115"/>
      <c r="Q284" s="7"/>
      <c r="XEJ284" s="4"/>
      <c r="XEK284" s="4"/>
      <c r="XEL284" s="4"/>
      <c r="XEM284" s="4"/>
      <c r="XEN284" s="4"/>
      <c r="XEO284" s="4"/>
      <c r="XEP284" s="4"/>
    </row>
    <row r="285" s="2" customFormat="1" ht="26.1" customHeight="1" spans="2:16370">
      <c r="B285" s="7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105"/>
      <c r="O285" s="68"/>
      <c r="P285" s="115"/>
      <c r="Q285" s="7"/>
      <c r="XEJ285" s="4"/>
      <c r="XEK285" s="4"/>
      <c r="XEL285" s="4"/>
      <c r="XEM285" s="4"/>
      <c r="XEN285" s="4"/>
      <c r="XEO285" s="4"/>
      <c r="XEP285" s="4"/>
    </row>
    <row r="286" s="2" customFormat="1" ht="26.1" customHeight="1" spans="2:16370">
      <c r="B286" s="7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105"/>
      <c r="O286" s="68"/>
      <c r="P286" s="115"/>
      <c r="Q286" s="7"/>
      <c r="XEJ286" s="4"/>
      <c r="XEK286" s="4"/>
      <c r="XEL286" s="4"/>
      <c r="XEM286" s="4"/>
      <c r="XEN286" s="4"/>
      <c r="XEO286" s="4"/>
      <c r="XEP286" s="4"/>
    </row>
    <row r="287" s="2" customFormat="1" ht="26.1" customHeight="1" spans="2:16370">
      <c r="B287" s="7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105"/>
      <c r="O287" s="68"/>
      <c r="P287" s="115"/>
      <c r="Q287" s="7"/>
      <c r="XEJ287" s="4"/>
      <c r="XEK287" s="4"/>
      <c r="XEL287" s="4"/>
      <c r="XEM287" s="4"/>
      <c r="XEN287" s="4"/>
      <c r="XEO287" s="4"/>
      <c r="XEP287" s="4"/>
    </row>
    <row r="288" s="2" customFormat="1" ht="26.1" customHeight="1" spans="2:16370">
      <c r="B288" s="7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105"/>
      <c r="O288" s="68"/>
      <c r="P288" s="115"/>
      <c r="Q288" s="7"/>
      <c r="XEJ288" s="4"/>
      <c r="XEK288" s="4"/>
      <c r="XEL288" s="4"/>
      <c r="XEM288" s="4"/>
      <c r="XEN288" s="4"/>
      <c r="XEO288" s="4"/>
      <c r="XEP288" s="4"/>
    </row>
    <row r="289" s="2" customFormat="1" ht="26.1" customHeight="1" spans="2:16370">
      <c r="B289" s="7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105"/>
      <c r="O289" s="68"/>
      <c r="P289" s="115"/>
      <c r="Q289" s="7"/>
      <c r="XEJ289" s="4"/>
      <c r="XEK289" s="4"/>
      <c r="XEL289" s="4"/>
      <c r="XEM289" s="4"/>
      <c r="XEN289" s="4"/>
      <c r="XEO289" s="4"/>
      <c r="XEP289" s="4"/>
    </row>
    <row r="290" s="2" customFormat="1" ht="26.1" customHeight="1" spans="2:16370">
      <c r="B290" s="7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105"/>
      <c r="O290" s="68"/>
      <c r="P290" s="115"/>
      <c r="Q290" s="7"/>
      <c r="XEJ290" s="4"/>
      <c r="XEK290" s="4"/>
      <c r="XEL290" s="4"/>
      <c r="XEM290" s="4"/>
      <c r="XEN290" s="4"/>
      <c r="XEO290" s="4"/>
      <c r="XEP290" s="4"/>
    </row>
    <row r="291" s="2" customFormat="1" ht="26.1" customHeight="1" spans="2:16370">
      <c r="B291" s="7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105"/>
      <c r="O291" s="68"/>
      <c r="P291" s="115"/>
      <c r="Q291" s="7"/>
      <c r="XEJ291" s="4"/>
      <c r="XEK291" s="4"/>
      <c r="XEL291" s="4"/>
      <c r="XEM291" s="4"/>
      <c r="XEN291" s="4"/>
      <c r="XEO291" s="4"/>
      <c r="XEP291" s="4"/>
    </row>
    <row r="292" s="2" customFormat="1" ht="26.1" customHeight="1" spans="2:16370">
      <c r="B292" s="7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105"/>
      <c r="O292" s="68"/>
      <c r="P292" s="115"/>
      <c r="Q292" s="7"/>
      <c r="XEJ292" s="4"/>
      <c r="XEK292" s="4"/>
      <c r="XEL292" s="4"/>
      <c r="XEM292" s="4"/>
      <c r="XEN292" s="4"/>
      <c r="XEO292" s="4"/>
      <c r="XEP292" s="4"/>
    </row>
    <row r="293" s="2" customFormat="1" ht="26.1" customHeight="1" spans="2:16370">
      <c r="B293" s="7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105"/>
      <c r="O293" s="68"/>
      <c r="P293" s="115"/>
      <c r="Q293" s="7"/>
      <c r="XEJ293" s="4"/>
      <c r="XEK293" s="4"/>
      <c r="XEL293" s="4"/>
      <c r="XEM293" s="4"/>
      <c r="XEN293" s="4"/>
      <c r="XEO293" s="4"/>
      <c r="XEP293" s="4"/>
    </row>
    <row r="294" s="2" customFormat="1" ht="26.1" customHeight="1" spans="2:16370">
      <c r="B294" s="7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105"/>
      <c r="O294" s="68"/>
      <c r="P294" s="115"/>
      <c r="Q294" s="7"/>
      <c r="XEJ294" s="4"/>
      <c r="XEK294" s="4"/>
      <c r="XEL294" s="4"/>
      <c r="XEM294" s="4"/>
      <c r="XEN294" s="4"/>
      <c r="XEO294" s="4"/>
      <c r="XEP294" s="4"/>
    </row>
    <row r="295" s="2" customFormat="1" ht="26.1" customHeight="1" spans="2:16370">
      <c r="B295" s="7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105"/>
      <c r="O295" s="68"/>
      <c r="P295" s="115"/>
      <c r="Q295" s="7"/>
      <c r="XEJ295" s="4"/>
      <c r="XEK295" s="4"/>
      <c r="XEL295" s="4"/>
      <c r="XEM295" s="4"/>
      <c r="XEN295" s="4"/>
      <c r="XEO295" s="4"/>
      <c r="XEP295" s="4"/>
    </row>
    <row r="296" s="2" customFormat="1" ht="26.1" customHeight="1" spans="2:16370">
      <c r="B296" s="7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105"/>
      <c r="O296" s="68"/>
      <c r="P296" s="115"/>
      <c r="Q296" s="7"/>
      <c r="XEJ296" s="4"/>
      <c r="XEK296" s="4"/>
      <c r="XEL296" s="4"/>
      <c r="XEM296" s="4"/>
      <c r="XEN296" s="4"/>
      <c r="XEO296" s="4"/>
      <c r="XEP296" s="4"/>
    </row>
    <row r="297" s="2" customFormat="1" ht="26.1" customHeight="1" spans="2:16370">
      <c r="B297" s="7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105"/>
      <c r="O297" s="68"/>
      <c r="P297" s="115"/>
      <c r="Q297" s="7"/>
      <c r="XEJ297" s="4"/>
      <c r="XEK297" s="4"/>
      <c r="XEL297" s="4"/>
      <c r="XEM297" s="4"/>
      <c r="XEN297" s="4"/>
      <c r="XEO297" s="4"/>
      <c r="XEP297" s="4"/>
    </row>
    <row r="298" s="2" customFormat="1" ht="26.1" customHeight="1" spans="2:16370">
      <c r="B298" s="7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105"/>
      <c r="O298" s="68"/>
      <c r="P298" s="115"/>
      <c r="Q298" s="7"/>
      <c r="XEJ298" s="4"/>
      <c r="XEK298" s="4"/>
      <c r="XEL298" s="4"/>
      <c r="XEM298" s="4"/>
      <c r="XEN298" s="4"/>
      <c r="XEO298" s="4"/>
      <c r="XEP298" s="4"/>
    </row>
    <row r="299" s="2" customFormat="1" ht="26.1" customHeight="1" spans="2:16370">
      <c r="B299" s="7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105"/>
      <c r="O299" s="68"/>
      <c r="P299" s="115"/>
      <c r="Q299" s="7"/>
      <c r="XEJ299" s="4"/>
      <c r="XEK299" s="4"/>
      <c r="XEL299" s="4"/>
      <c r="XEM299" s="4"/>
      <c r="XEN299" s="4"/>
      <c r="XEO299" s="4"/>
      <c r="XEP299" s="4"/>
    </row>
    <row r="300" s="2" customFormat="1" ht="26.1" customHeight="1" spans="2:16370">
      <c r="B300" s="7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105"/>
      <c r="O300" s="68"/>
      <c r="P300" s="115"/>
      <c r="Q300" s="7"/>
      <c r="XEJ300" s="4"/>
      <c r="XEK300" s="4"/>
      <c r="XEL300" s="4"/>
      <c r="XEM300" s="4"/>
      <c r="XEN300" s="4"/>
      <c r="XEO300" s="4"/>
      <c r="XEP300" s="4"/>
    </row>
    <row r="301" s="2" customFormat="1" ht="26.1" customHeight="1" spans="2:16370">
      <c r="B301" s="7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105"/>
      <c r="O301" s="68"/>
      <c r="P301" s="115"/>
      <c r="Q301" s="7"/>
      <c r="XEJ301" s="4"/>
      <c r="XEK301" s="4"/>
      <c r="XEL301" s="4"/>
      <c r="XEM301" s="4"/>
      <c r="XEN301" s="4"/>
      <c r="XEO301" s="4"/>
      <c r="XEP301" s="4"/>
    </row>
    <row r="302" s="2" customFormat="1" ht="26.1" customHeight="1" spans="2:16370">
      <c r="B302" s="7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105"/>
      <c r="O302" s="68"/>
      <c r="P302" s="115"/>
      <c r="Q302" s="7"/>
      <c r="XEJ302" s="4"/>
      <c r="XEK302" s="4"/>
      <c r="XEL302" s="4"/>
      <c r="XEM302" s="4"/>
      <c r="XEN302" s="4"/>
      <c r="XEO302" s="4"/>
      <c r="XEP302" s="4"/>
    </row>
    <row r="303" s="2" customFormat="1" ht="26.1" customHeight="1" spans="2:16370">
      <c r="B303" s="7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105"/>
      <c r="O303" s="68"/>
      <c r="P303" s="115"/>
      <c r="Q303" s="7"/>
      <c r="XEJ303" s="4"/>
      <c r="XEK303" s="4"/>
      <c r="XEL303" s="4"/>
      <c r="XEM303" s="4"/>
      <c r="XEN303" s="4"/>
      <c r="XEO303" s="4"/>
      <c r="XEP303" s="4"/>
    </row>
    <row r="304" s="2" customFormat="1" ht="26.1" customHeight="1" spans="2:16370">
      <c r="B304" s="7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105"/>
      <c r="O304" s="68"/>
      <c r="P304" s="115"/>
      <c r="Q304" s="7"/>
      <c r="XEJ304" s="4"/>
      <c r="XEK304" s="4"/>
      <c r="XEL304" s="4"/>
      <c r="XEM304" s="4"/>
      <c r="XEN304" s="4"/>
      <c r="XEO304" s="4"/>
      <c r="XEP304" s="4"/>
    </row>
    <row r="305" s="2" customFormat="1" ht="26.1" customHeight="1" spans="2:16370">
      <c r="B305" s="7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105"/>
      <c r="O305" s="68"/>
      <c r="P305" s="115"/>
      <c r="Q305" s="7"/>
      <c r="XEJ305" s="4"/>
      <c r="XEK305" s="4"/>
      <c r="XEL305" s="4"/>
      <c r="XEM305" s="4"/>
      <c r="XEN305" s="4"/>
      <c r="XEO305" s="4"/>
      <c r="XEP305" s="4"/>
    </row>
    <row r="306" s="2" customFormat="1" ht="26.1" customHeight="1" spans="2:16370">
      <c r="B306" s="7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105"/>
      <c r="O306" s="68"/>
      <c r="P306" s="115"/>
      <c r="Q306" s="7"/>
      <c r="XEJ306" s="4"/>
      <c r="XEK306" s="4"/>
      <c r="XEL306" s="4"/>
      <c r="XEM306" s="4"/>
      <c r="XEN306" s="4"/>
      <c r="XEO306" s="4"/>
      <c r="XEP306" s="4"/>
    </row>
    <row r="307" s="2" customFormat="1" ht="26.1" customHeight="1" spans="2:16370">
      <c r="B307" s="7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105"/>
      <c r="O307" s="68"/>
      <c r="P307" s="115"/>
      <c r="Q307" s="7"/>
      <c r="XEJ307" s="4"/>
      <c r="XEK307" s="4"/>
      <c r="XEL307" s="4"/>
      <c r="XEM307" s="4"/>
      <c r="XEN307" s="4"/>
      <c r="XEO307" s="4"/>
      <c r="XEP307" s="4"/>
    </row>
    <row r="308" s="2" customFormat="1" ht="26.1" customHeight="1" spans="2:16370">
      <c r="B308" s="7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105"/>
      <c r="O308" s="68"/>
      <c r="P308" s="115"/>
      <c r="Q308" s="7"/>
      <c r="XEJ308" s="4"/>
      <c r="XEK308" s="4"/>
      <c r="XEL308" s="4"/>
      <c r="XEM308" s="4"/>
      <c r="XEN308" s="4"/>
      <c r="XEO308" s="4"/>
      <c r="XEP308" s="4"/>
    </row>
    <row r="309" s="2" customFormat="1" ht="26.1" customHeight="1" spans="2:16370">
      <c r="B309" s="7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105"/>
      <c r="O309" s="68"/>
      <c r="P309" s="115"/>
      <c r="Q309" s="7"/>
      <c r="XEJ309" s="4"/>
      <c r="XEK309" s="4"/>
      <c r="XEL309" s="4"/>
      <c r="XEM309" s="4"/>
      <c r="XEN309" s="4"/>
      <c r="XEO309" s="4"/>
      <c r="XEP309" s="4"/>
    </row>
    <row r="310" s="2" customFormat="1" ht="26.1" customHeight="1" spans="2:16370">
      <c r="B310" s="7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105"/>
      <c r="O310" s="68"/>
      <c r="P310" s="115"/>
      <c r="Q310" s="7"/>
      <c r="XEJ310" s="4"/>
      <c r="XEK310" s="4"/>
      <c r="XEL310" s="4"/>
      <c r="XEM310" s="4"/>
      <c r="XEN310" s="4"/>
      <c r="XEO310" s="4"/>
      <c r="XEP310" s="4"/>
    </row>
    <row r="311" s="2" customFormat="1" ht="26.1" customHeight="1" spans="2:16370">
      <c r="B311" s="7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105"/>
      <c r="O311" s="68"/>
      <c r="P311" s="115"/>
      <c r="Q311" s="7"/>
      <c r="XEJ311" s="4"/>
      <c r="XEK311" s="4"/>
      <c r="XEL311" s="4"/>
      <c r="XEM311" s="4"/>
      <c r="XEN311" s="4"/>
      <c r="XEO311" s="4"/>
      <c r="XEP311" s="4"/>
    </row>
    <row r="312" s="2" customFormat="1" ht="26.1" customHeight="1" spans="2:16370">
      <c r="B312" s="7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105"/>
      <c r="O312" s="68"/>
      <c r="P312" s="115"/>
      <c r="Q312" s="7"/>
      <c r="XEJ312" s="4"/>
      <c r="XEK312" s="4"/>
      <c r="XEL312" s="4"/>
      <c r="XEM312" s="4"/>
      <c r="XEN312" s="4"/>
      <c r="XEO312" s="4"/>
      <c r="XEP312" s="4"/>
    </row>
    <row r="313" s="2" customFormat="1" ht="26.1" customHeight="1" spans="2:16370">
      <c r="B313" s="7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105"/>
      <c r="O313" s="68"/>
      <c r="P313" s="115"/>
      <c r="Q313" s="7"/>
      <c r="XEJ313" s="4"/>
      <c r="XEK313" s="4"/>
      <c r="XEL313" s="4"/>
      <c r="XEM313" s="4"/>
      <c r="XEN313" s="4"/>
      <c r="XEO313" s="4"/>
      <c r="XEP313" s="4"/>
    </row>
    <row r="314" s="2" customFormat="1" ht="26.1" customHeight="1" spans="2:16370">
      <c r="B314" s="7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105"/>
      <c r="O314" s="68"/>
      <c r="P314" s="115"/>
      <c r="Q314" s="7"/>
      <c r="XEJ314" s="4"/>
      <c r="XEK314" s="4"/>
      <c r="XEL314" s="4"/>
      <c r="XEM314" s="4"/>
      <c r="XEN314" s="4"/>
      <c r="XEO314" s="4"/>
      <c r="XEP314" s="4"/>
    </row>
    <row r="315" s="2" customFormat="1" ht="26.1" customHeight="1" spans="2:16370">
      <c r="B315" s="7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105"/>
      <c r="O315" s="68"/>
      <c r="P315" s="115"/>
      <c r="Q315" s="7"/>
      <c r="XEJ315" s="4"/>
      <c r="XEK315" s="4"/>
      <c r="XEL315" s="4"/>
      <c r="XEM315" s="4"/>
      <c r="XEN315" s="4"/>
      <c r="XEO315" s="4"/>
      <c r="XEP315" s="4"/>
    </row>
    <row r="316" s="2" customFormat="1" ht="26.1" customHeight="1" spans="2:16370">
      <c r="B316" s="7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105"/>
      <c r="O316" s="68"/>
      <c r="P316" s="115"/>
      <c r="Q316" s="7"/>
      <c r="XEJ316" s="4"/>
      <c r="XEK316" s="4"/>
      <c r="XEL316" s="4"/>
      <c r="XEM316" s="4"/>
      <c r="XEN316" s="4"/>
      <c r="XEO316" s="4"/>
      <c r="XEP316" s="4"/>
    </row>
    <row r="317" s="2" customFormat="1" ht="26.1" customHeight="1" spans="2:16370">
      <c r="B317" s="7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105"/>
      <c r="O317" s="68"/>
      <c r="P317" s="115"/>
      <c r="Q317" s="7"/>
      <c r="XEJ317" s="4"/>
      <c r="XEK317" s="4"/>
      <c r="XEL317" s="4"/>
      <c r="XEM317" s="4"/>
      <c r="XEN317" s="4"/>
      <c r="XEO317" s="4"/>
      <c r="XEP317" s="4"/>
    </row>
    <row r="318" s="2" customFormat="1" ht="26.1" customHeight="1" spans="2:16370">
      <c r="B318" s="7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105"/>
      <c r="O318" s="68"/>
      <c r="P318" s="115"/>
      <c r="Q318" s="7"/>
      <c r="XEJ318" s="4"/>
      <c r="XEK318" s="4"/>
      <c r="XEL318" s="4"/>
      <c r="XEM318" s="4"/>
      <c r="XEN318" s="4"/>
      <c r="XEO318" s="4"/>
      <c r="XEP318" s="4"/>
    </row>
    <row r="319" s="2" customFormat="1" ht="26.1" customHeight="1" spans="2:16370">
      <c r="B319" s="7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105"/>
      <c r="O319" s="68"/>
      <c r="P319" s="115"/>
      <c r="Q319" s="7"/>
      <c r="XEJ319" s="4"/>
      <c r="XEK319" s="4"/>
      <c r="XEL319" s="4"/>
      <c r="XEM319" s="4"/>
      <c r="XEN319" s="4"/>
      <c r="XEO319" s="4"/>
      <c r="XEP319" s="4"/>
    </row>
    <row r="320" s="2" customFormat="1" ht="26.1" customHeight="1" spans="2:16370">
      <c r="B320" s="7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105"/>
      <c r="O320" s="68"/>
      <c r="P320" s="115"/>
      <c r="Q320" s="7"/>
      <c r="XEJ320" s="4"/>
      <c r="XEK320" s="4"/>
      <c r="XEL320" s="4"/>
      <c r="XEM320" s="4"/>
      <c r="XEN320" s="4"/>
      <c r="XEO320" s="4"/>
      <c r="XEP320" s="4"/>
    </row>
    <row r="321" s="2" customFormat="1" ht="26.1" customHeight="1" spans="2:16370">
      <c r="B321" s="7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105"/>
      <c r="O321" s="68"/>
      <c r="P321" s="115"/>
      <c r="Q321" s="7"/>
      <c r="XEJ321" s="4"/>
      <c r="XEK321" s="4"/>
      <c r="XEL321" s="4"/>
      <c r="XEM321" s="4"/>
      <c r="XEN321" s="4"/>
      <c r="XEO321" s="4"/>
      <c r="XEP321" s="4"/>
    </row>
    <row r="322" s="2" customFormat="1" ht="26.1" customHeight="1" spans="2:16370">
      <c r="B322" s="7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105"/>
      <c r="O322" s="68"/>
      <c r="P322" s="115"/>
      <c r="Q322" s="7"/>
      <c r="XEJ322" s="4"/>
      <c r="XEK322" s="4"/>
      <c r="XEL322" s="4"/>
      <c r="XEM322" s="4"/>
      <c r="XEN322" s="4"/>
      <c r="XEO322" s="4"/>
      <c r="XEP322" s="4"/>
    </row>
    <row r="323" s="2" customFormat="1" ht="26.1" customHeight="1" spans="2:16370">
      <c r="B323" s="7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105"/>
      <c r="O323" s="68"/>
      <c r="P323" s="115"/>
      <c r="Q323" s="7"/>
      <c r="XEJ323" s="4"/>
      <c r="XEK323" s="4"/>
      <c r="XEL323" s="4"/>
      <c r="XEM323" s="4"/>
      <c r="XEN323" s="4"/>
      <c r="XEO323" s="4"/>
      <c r="XEP323" s="4"/>
    </row>
    <row r="324" s="2" customFormat="1" ht="26.1" customHeight="1" spans="2:16370">
      <c r="B324" s="7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105"/>
      <c r="O324" s="68"/>
      <c r="P324" s="115"/>
      <c r="Q324" s="7"/>
      <c r="XEJ324" s="4"/>
      <c r="XEK324" s="4"/>
      <c r="XEL324" s="4"/>
      <c r="XEM324" s="4"/>
      <c r="XEN324" s="4"/>
      <c r="XEO324" s="4"/>
      <c r="XEP324" s="4"/>
    </row>
    <row r="325" s="2" customFormat="1" ht="26.1" customHeight="1" spans="2:16370">
      <c r="B325" s="7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105"/>
      <c r="O325" s="68"/>
      <c r="P325" s="115"/>
      <c r="Q325" s="7"/>
      <c r="XEJ325" s="4"/>
      <c r="XEK325" s="4"/>
      <c r="XEL325" s="4"/>
      <c r="XEM325" s="4"/>
      <c r="XEN325" s="4"/>
      <c r="XEO325" s="4"/>
      <c r="XEP325" s="4"/>
    </row>
    <row r="326" s="2" customFormat="1" ht="26.1" customHeight="1" spans="2:16370">
      <c r="B326" s="7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105"/>
      <c r="O326" s="68"/>
      <c r="P326" s="115"/>
      <c r="Q326" s="7"/>
      <c r="XEJ326" s="4"/>
      <c r="XEK326" s="4"/>
      <c r="XEL326" s="4"/>
      <c r="XEM326" s="4"/>
      <c r="XEN326" s="4"/>
      <c r="XEO326" s="4"/>
      <c r="XEP326" s="4"/>
    </row>
    <row r="327" s="2" customFormat="1" ht="26.1" customHeight="1" spans="2:16370">
      <c r="B327" s="7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105"/>
      <c r="O327" s="68"/>
      <c r="P327" s="115"/>
      <c r="Q327" s="7"/>
      <c r="XEJ327" s="4"/>
      <c r="XEK327" s="4"/>
      <c r="XEL327" s="4"/>
      <c r="XEM327" s="4"/>
      <c r="XEN327" s="4"/>
      <c r="XEO327" s="4"/>
      <c r="XEP327" s="4"/>
    </row>
    <row r="328" s="2" customFormat="1" ht="26.1" customHeight="1" spans="2:16370">
      <c r="B328" s="7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105"/>
      <c r="O328" s="68"/>
      <c r="P328" s="115"/>
      <c r="Q328" s="7"/>
      <c r="XEJ328" s="4"/>
      <c r="XEK328" s="4"/>
      <c r="XEL328" s="4"/>
      <c r="XEM328" s="4"/>
      <c r="XEN328" s="4"/>
      <c r="XEO328" s="4"/>
      <c r="XEP328" s="4"/>
    </row>
    <row r="329" s="2" customFormat="1" ht="26.1" customHeight="1" spans="2:16370">
      <c r="B329" s="7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105"/>
      <c r="O329" s="68"/>
      <c r="P329" s="115"/>
      <c r="Q329" s="7"/>
      <c r="XEJ329" s="4"/>
      <c r="XEK329" s="4"/>
      <c r="XEL329" s="4"/>
      <c r="XEM329" s="4"/>
      <c r="XEN329" s="4"/>
      <c r="XEO329" s="4"/>
      <c r="XEP329" s="4"/>
    </row>
    <row r="330" s="2" customFormat="1" ht="26.1" customHeight="1" spans="2:16370">
      <c r="B330" s="7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105"/>
      <c r="O330" s="68"/>
      <c r="P330" s="115"/>
      <c r="Q330" s="7"/>
      <c r="XEJ330" s="4"/>
      <c r="XEK330" s="4"/>
      <c r="XEL330" s="4"/>
      <c r="XEM330" s="4"/>
      <c r="XEN330" s="4"/>
      <c r="XEO330" s="4"/>
      <c r="XEP330" s="4"/>
    </row>
    <row r="331" s="2" customFormat="1" ht="26.1" customHeight="1" spans="2:16370">
      <c r="B331" s="7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105"/>
      <c r="O331" s="68"/>
      <c r="P331" s="115"/>
      <c r="Q331" s="7"/>
      <c r="XEJ331" s="4"/>
      <c r="XEK331" s="4"/>
      <c r="XEL331" s="4"/>
      <c r="XEM331" s="4"/>
      <c r="XEN331" s="4"/>
      <c r="XEO331" s="4"/>
      <c r="XEP331" s="4"/>
    </row>
    <row r="332" s="2" customFormat="1" ht="26.1" customHeight="1" spans="2:16370">
      <c r="B332" s="7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105"/>
      <c r="O332" s="68"/>
      <c r="P332" s="115"/>
      <c r="Q332" s="7"/>
      <c r="XEJ332" s="4"/>
      <c r="XEK332" s="4"/>
      <c r="XEL332" s="4"/>
      <c r="XEM332" s="4"/>
      <c r="XEN332" s="4"/>
      <c r="XEO332" s="4"/>
      <c r="XEP332" s="4"/>
    </row>
    <row r="333" s="2" customFormat="1" ht="26.1" customHeight="1" spans="2:16370">
      <c r="B333" s="7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105"/>
      <c r="O333" s="68"/>
      <c r="P333" s="115"/>
      <c r="Q333" s="7"/>
      <c r="XEJ333" s="4"/>
      <c r="XEK333" s="4"/>
      <c r="XEL333" s="4"/>
      <c r="XEM333" s="4"/>
      <c r="XEN333" s="4"/>
      <c r="XEO333" s="4"/>
      <c r="XEP333" s="4"/>
    </row>
    <row r="334" s="2" customFormat="1" ht="26.1" customHeight="1" spans="2:16370">
      <c r="B334" s="7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105"/>
      <c r="O334" s="68"/>
      <c r="P334" s="115"/>
      <c r="Q334" s="7"/>
      <c r="XEJ334" s="4"/>
      <c r="XEK334" s="4"/>
      <c r="XEL334" s="4"/>
      <c r="XEM334" s="4"/>
      <c r="XEN334" s="4"/>
      <c r="XEO334" s="4"/>
      <c r="XEP334" s="4"/>
    </row>
    <row r="335" s="2" customFormat="1" ht="26.1" customHeight="1" spans="2:16370">
      <c r="B335" s="7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105"/>
      <c r="O335" s="68"/>
      <c r="P335" s="115"/>
      <c r="Q335" s="7"/>
      <c r="XEJ335" s="4"/>
      <c r="XEK335" s="4"/>
      <c r="XEL335" s="4"/>
      <c r="XEM335" s="4"/>
      <c r="XEN335" s="4"/>
      <c r="XEO335" s="4"/>
      <c r="XEP335" s="4"/>
    </row>
    <row r="336" s="2" customFormat="1" ht="26.1" customHeight="1" spans="2:16370">
      <c r="B336" s="7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105"/>
      <c r="O336" s="68"/>
      <c r="P336" s="115"/>
      <c r="Q336" s="7"/>
      <c r="XEJ336" s="4"/>
      <c r="XEK336" s="4"/>
      <c r="XEL336" s="4"/>
      <c r="XEM336" s="4"/>
      <c r="XEN336" s="4"/>
      <c r="XEO336" s="4"/>
      <c r="XEP336" s="4"/>
    </row>
    <row r="337" s="2" customFormat="1" ht="26.1" customHeight="1" spans="2:16370">
      <c r="B337" s="7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105"/>
      <c r="O337" s="68"/>
      <c r="P337" s="115"/>
      <c r="Q337" s="7"/>
      <c r="XEJ337" s="4"/>
      <c r="XEK337" s="4"/>
      <c r="XEL337" s="4"/>
      <c r="XEM337" s="4"/>
      <c r="XEN337" s="4"/>
      <c r="XEO337" s="4"/>
      <c r="XEP337" s="4"/>
    </row>
    <row r="338" s="2" customFormat="1" ht="26.1" customHeight="1" spans="2:16370">
      <c r="B338" s="7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105"/>
      <c r="O338" s="68"/>
      <c r="P338" s="115"/>
      <c r="Q338" s="7"/>
      <c r="XEJ338" s="4"/>
      <c r="XEK338" s="4"/>
      <c r="XEL338" s="4"/>
      <c r="XEM338" s="4"/>
      <c r="XEN338" s="4"/>
      <c r="XEO338" s="4"/>
      <c r="XEP338" s="4"/>
    </row>
    <row r="339" s="2" customFormat="1" ht="26.1" customHeight="1" spans="2:16370">
      <c r="B339" s="7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105"/>
      <c r="O339" s="68"/>
      <c r="P339" s="115"/>
      <c r="Q339" s="7"/>
      <c r="XEJ339" s="4"/>
      <c r="XEK339" s="4"/>
      <c r="XEL339" s="4"/>
      <c r="XEM339" s="4"/>
      <c r="XEN339" s="4"/>
      <c r="XEO339" s="4"/>
      <c r="XEP339" s="4"/>
    </row>
    <row r="340" s="2" customFormat="1" ht="26.1" customHeight="1" spans="2:16370">
      <c r="B340" s="7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105"/>
      <c r="O340" s="68"/>
      <c r="P340" s="115"/>
      <c r="Q340" s="7"/>
      <c r="XEJ340" s="4"/>
      <c r="XEK340" s="4"/>
      <c r="XEL340" s="4"/>
      <c r="XEM340" s="4"/>
      <c r="XEN340" s="4"/>
      <c r="XEO340" s="4"/>
      <c r="XEP340" s="4"/>
    </row>
    <row r="341" s="2" customFormat="1" ht="26.1" customHeight="1" spans="2:16370">
      <c r="B341" s="7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105"/>
      <c r="O341" s="68"/>
      <c r="P341" s="115"/>
      <c r="Q341" s="7"/>
      <c r="XEJ341" s="4"/>
      <c r="XEK341" s="4"/>
      <c r="XEL341" s="4"/>
      <c r="XEM341" s="4"/>
      <c r="XEN341" s="4"/>
      <c r="XEO341" s="4"/>
      <c r="XEP341" s="4"/>
    </row>
    <row r="342" s="2" customFormat="1" ht="26.1" customHeight="1" spans="2:16370">
      <c r="B342" s="7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105"/>
      <c r="O342" s="68"/>
      <c r="P342" s="115"/>
      <c r="Q342" s="7"/>
      <c r="XEJ342" s="4"/>
      <c r="XEK342" s="4"/>
      <c r="XEL342" s="4"/>
      <c r="XEM342" s="4"/>
      <c r="XEN342" s="4"/>
      <c r="XEO342" s="4"/>
      <c r="XEP342" s="4"/>
    </row>
    <row r="343" s="2" customFormat="1" ht="26.1" customHeight="1" spans="2:16370">
      <c r="B343" s="7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105"/>
      <c r="O343" s="68"/>
      <c r="P343" s="115"/>
      <c r="Q343" s="7"/>
      <c r="XEJ343" s="4"/>
      <c r="XEK343" s="4"/>
      <c r="XEL343" s="4"/>
      <c r="XEM343" s="4"/>
      <c r="XEN343" s="4"/>
      <c r="XEO343" s="4"/>
      <c r="XEP343" s="4"/>
    </row>
    <row r="344" s="2" customFormat="1" ht="26.1" customHeight="1" spans="2:16370">
      <c r="B344" s="7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105"/>
      <c r="O344" s="68"/>
      <c r="P344" s="115"/>
      <c r="Q344" s="7"/>
      <c r="XEJ344" s="4"/>
      <c r="XEK344" s="4"/>
      <c r="XEL344" s="4"/>
      <c r="XEM344" s="4"/>
      <c r="XEN344" s="4"/>
      <c r="XEO344" s="4"/>
      <c r="XEP344" s="4"/>
    </row>
    <row r="345" s="2" customFormat="1" ht="26.1" customHeight="1" spans="2:16370">
      <c r="B345" s="7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105"/>
      <c r="O345" s="68"/>
      <c r="P345" s="115"/>
      <c r="Q345" s="7"/>
      <c r="XEJ345" s="4"/>
      <c r="XEK345" s="4"/>
      <c r="XEL345" s="4"/>
      <c r="XEM345" s="4"/>
      <c r="XEN345" s="4"/>
      <c r="XEO345" s="4"/>
      <c r="XEP345" s="4"/>
    </row>
    <row r="346" s="2" customFormat="1" ht="26.1" customHeight="1" spans="2:16370">
      <c r="B346" s="7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105"/>
      <c r="O346" s="68"/>
      <c r="P346" s="115"/>
      <c r="Q346" s="7"/>
      <c r="XEJ346" s="4"/>
      <c r="XEK346" s="4"/>
      <c r="XEL346" s="4"/>
      <c r="XEM346" s="4"/>
      <c r="XEN346" s="4"/>
      <c r="XEO346" s="4"/>
      <c r="XEP346" s="4"/>
    </row>
    <row r="347" s="2" customFormat="1" ht="26.1" customHeight="1" spans="2:16370">
      <c r="B347" s="7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105"/>
      <c r="O347" s="68"/>
      <c r="P347" s="115"/>
      <c r="Q347" s="7"/>
      <c r="XEJ347" s="4"/>
      <c r="XEK347" s="4"/>
      <c r="XEL347" s="4"/>
      <c r="XEM347" s="4"/>
      <c r="XEN347" s="4"/>
      <c r="XEO347" s="4"/>
      <c r="XEP347" s="4"/>
    </row>
    <row r="348" s="2" customFormat="1" ht="26.1" customHeight="1" spans="2:16370">
      <c r="B348" s="7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105"/>
      <c r="O348" s="68"/>
      <c r="P348" s="115"/>
      <c r="Q348" s="7"/>
      <c r="XEJ348" s="4"/>
      <c r="XEK348" s="4"/>
      <c r="XEL348" s="4"/>
      <c r="XEM348" s="4"/>
      <c r="XEN348" s="4"/>
      <c r="XEO348" s="4"/>
      <c r="XEP348" s="4"/>
    </row>
    <row r="349" s="2" customFormat="1" ht="26.1" customHeight="1" spans="2:16370">
      <c r="B349" s="7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105"/>
      <c r="O349" s="68"/>
      <c r="P349" s="115"/>
      <c r="Q349" s="7"/>
      <c r="XEJ349" s="4"/>
      <c r="XEK349" s="4"/>
      <c r="XEL349" s="4"/>
      <c r="XEM349" s="4"/>
      <c r="XEN349" s="4"/>
      <c r="XEO349" s="4"/>
      <c r="XEP349" s="4"/>
    </row>
    <row r="350" s="2" customFormat="1" ht="26.1" customHeight="1" spans="2:16370">
      <c r="B350" s="7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105"/>
      <c r="O350" s="68"/>
      <c r="P350" s="115"/>
      <c r="Q350" s="7"/>
      <c r="XEJ350" s="4"/>
      <c r="XEK350" s="4"/>
      <c r="XEL350" s="4"/>
      <c r="XEM350" s="4"/>
      <c r="XEN350" s="4"/>
      <c r="XEO350" s="4"/>
      <c r="XEP350" s="4"/>
    </row>
    <row r="351" s="2" customFormat="1" ht="26.1" customHeight="1" spans="2:16370">
      <c r="B351" s="7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105"/>
      <c r="O351" s="68"/>
      <c r="P351" s="115"/>
      <c r="Q351" s="7"/>
      <c r="XEJ351" s="4"/>
      <c r="XEK351" s="4"/>
      <c r="XEL351" s="4"/>
      <c r="XEM351" s="4"/>
      <c r="XEN351" s="4"/>
      <c r="XEO351" s="4"/>
      <c r="XEP351" s="4"/>
    </row>
    <row r="352" s="2" customFormat="1" ht="26.1" customHeight="1" spans="2:16370">
      <c r="B352" s="7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105"/>
      <c r="O352" s="68"/>
      <c r="P352" s="115"/>
      <c r="Q352" s="7"/>
      <c r="XEJ352" s="4"/>
      <c r="XEK352" s="4"/>
      <c r="XEL352" s="4"/>
      <c r="XEM352" s="4"/>
      <c r="XEN352" s="4"/>
      <c r="XEO352" s="4"/>
      <c r="XEP352" s="4"/>
    </row>
    <row r="353" s="2" customFormat="1" ht="26.1" customHeight="1" spans="2:16370">
      <c r="B353" s="7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105"/>
      <c r="O353" s="68"/>
      <c r="P353" s="115"/>
      <c r="Q353" s="7"/>
      <c r="XEJ353" s="4"/>
      <c r="XEK353" s="4"/>
      <c r="XEL353" s="4"/>
      <c r="XEM353" s="4"/>
      <c r="XEN353" s="4"/>
      <c r="XEO353" s="4"/>
      <c r="XEP353" s="4"/>
    </row>
    <row r="354" s="2" customFormat="1" ht="26.1" customHeight="1" spans="2:16370">
      <c r="B354" s="7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105"/>
      <c r="O354" s="68"/>
      <c r="P354" s="115"/>
      <c r="Q354" s="7"/>
      <c r="XEJ354" s="4"/>
      <c r="XEK354" s="4"/>
      <c r="XEL354" s="4"/>
      <c r="XEM354" s="4"/>
      <c r="XEN354" s="4"/>
      <c r="XEO354" s="4"/>
      <c r="XEP354" s="4"/>
    </row>
    <row r="355" s="2" customFormat="1" ht="26.1" customHeight="1" spans="2:16370">
      <c r="B355" s="7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105"/>
      <c r="O355" s="68"/>
      <c r="P355" s="115"/>
      <c r="Q355" s="7"/>
      <c r="XEJ355" s="4"/>
      <c r="XEK355" s="4"/>
      <c r="XEL355" s="4"/>
      <c r="XEM355" s="4"/>
      <c r="XEN355" s="4"/>
      <c r="XEO355" s="4"/>
      <c r="XEP355" s="4"/>
    </row>
    <row r="356" s="2" customFormat="1" ht="26.1" customHeight="1" spans="2:16370">
      <c r="B356" s="7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105"/>
      <c r="O356" s="68"/>
      <c r="P356" s="115"/>
      <c r="Q356" s="7"/>
      <c r="XEJ356" s="4"/>
      <c r="XEK356" s="4"/>
      <c r="XEL356" s="4"/>
      <c r="XEM356" s="4"/>
      <c r="XEN356" s="4"/>
      <c r="XEO356" s="4"/>
      <c r="XEP356" s="4"/>
    </row>
    <row r="357" s="2" customFormat="1" ht="26.1" customHeight="1" spans="2:16370">
      <c r="B357" s="7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105"/>
      <c r="O357" s="68"/>
      <c r="P357" s="115"/>
      <c r="Q357" s="7"/>
      <c r="XEJ357" s="4"/>
      <c r="XEK357" s="4"/>
      <c r="XEL357" s="4"/>
      <c r="XEM357" s="4"/>
      <c r="XEN357" s="4"/>
      <c r="XEO357" s="4"/>
      <c r="XEP357" s="4"/>
    </row>
    <row r="358" s="2" customFormat="1" ht="26.1" customHeight="1" spans="2:16370">
      <c r="B358" s="7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105"/>
      <c r="O358" s="68"/>
      <c r="P358" s="115"/>
      <c r="Q358" s="7"/>
      <c r="XEJ358" s="4"/>
      <c r="XEK358" s="4"/>
      <c r="XEL358" s="4"/>
      <c r="XEM358" s="4"/>
      <c r="XEN358" s="4"/>
      <c r="XEO358" s="4"/>
      <c r="XEP358" s="4"/>
    </row>
    <row r="359" s="2" customFormat="1" ht="26.1" customHeight="1" spans="2:16370">
      <c r="B359" s="7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105"/>
      <c r="O359" s="68"/>
      <c r="P359" s="115"/>
      <c r="Q359" s="7"/>
      <c r="XEJ359" s="4"/>
      <c r="XEK359" s="4"/>
      <c r="XEL359" s="4"/>
      <c r="XEM359" s="4"/>
      <c r="XEN359" s="4"/>
      <c r="XEO359" s="4"/>
      <c r="XEP359" s="4"/>
    </row>
    <row r="360" s="2" customFormat="1" ht="26.1" customHeight="1" spans="2:16370">
      <c r="B360" s="7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105"/>
      <c r="O360" s="68"/>
      <c r="P360" s="115"/>
      <c r="Q360" s="7"/>
      <c r="XEJ360" s="4"/>
      <c r="XEK360" s="4"/>
      <c r="XEL360" s="4"/>
      <c r="XEM360" s="4"/>
      <c r="XEN360" s="4"/>
      <c r="XEO360" s="4"/>
      <c r="XEP360" s="4"/>
    </row>
    <row r="361" s="2" customFormat="1" ht="26.1" customHeight="1" spans="2:16370">
      <c r="B361" s="7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105"/>
      <c r="O361" s="68"/>
      <c r="P361" s="115"/>
      <c r="Q361" s="7"/>
      <c r="XEJ361" s="4"/>
      <c r="XEK361" s="4"/>
      <c r="XEL361" s="4"/>
      <c r="XEM361" s="4"/>
      <c r="XEN361" s="4"/>
      <c r="XEO361" s="4"/>
      <c r="XEP361" s="4"/>
    </row>
    <row r="362" s="2" customFormat="1" ht="26.1" customHeight="1" spans="2:16370">
      <c r="B362" s="7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105"/>
      <c r="O362" s="68"/>
      <c r="P362" s="115"/>
      <c r="Q362" s="7"/>
      <c r="XEJ362" s="4"/>
      <c r="XEK362" s="4"/>
      <c r="XEL362" s="4"/>
      <c r="XEM362" s="4"/>
      <c r="XEN362" s="4"/>
      <c r="XEO362" s="4"/>
      <c r="XEP362" s="4"/>
    </row>
    <row r="363" s="2" customFormat="1" ht="26.1" customHeight="1" spans="2:16370">
      <c r="B363" s="7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105"/>
      <c r="O363" s="68"/>
      <c r="P363" s="115"/>
      <c r="Q363" s="7"/>
      <c r="XEJ363" s="4"/>
      <c r="XEK363" s="4"/>
      <c r="XEL363" s="4"/>
      <c r="XEM363" s="4"/>
      <c r="XEN363" s="4"/>
      <c r="XEO363" s="4"/>
      <c r="XEP363" s="4"/>
    </row>
    <row r="364" s="2" customFormat="1" ht="26.1" customHeight="1" spans="2:16370">
      <c r="B364" s="7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105"/>
      <c r="O364" s="68"/>
      <c r="P364" s="115"/>
      <c r="Q364" s="7"/>
      <c r="XEJ364" s="4"/>
      <c r="XEK364" s="4"/>
      <c r="XEL364" s="4"/>
      <c r="XEM364" s="4"/>
      <c r="XEN364" s="4"/>
      <c r="XEO364" s="4"/>
      <c r="XEP364" s="4"/>
    </row>
    <row r="365" s="2" customFormat="1" ht="26.1" customHeight="1" spans="2:16370">
      <c r="B365" s="7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105"/>
      <c r="O365" s="68"/>
      <c r="P365" s="115"/>
      <c r="Q365" s="7"/>
      <c r="XEJ365" s="4"/>
      <c r="XEK365" s="4"/>
      <c r="XEL365" s="4"/>
      <c r="XEM365" s="4"/>
      <c r="XEN365" s="4"/>
      <c r="XEO365" s="4"/>
      <c r="XEP365" s="4"/>
    </row>
    <row r="366" s="2" customFormat="1" ht="26.1" customHeight="1" spans="2:16370">
      <c r="B366" s="7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105"/>
      <c r="O366" s="68"/>
      <c r="P366" s="115"/>
      <c r="Q366" s="7"/>
      <c r="XEJ366" s="4"/>
      <c r="XEK366" s="4"/>
      <c r="XEL366" s="4"/>
      <c r="XEM366" s="4"/>
      <c r="XEN366" s="4"/>
      <c r="XEO366" s="4"/>
      <c r="XEP366" s="4"/>
    </row>
    <row r="367" s="2" customFormat="1" ht="26.1" customHeight="1" spans="2:16370">
      <c r="B367" s="7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105"/>
      <c r="O367" s="68"/>
      <c r="P367" s="115"/>
      <c r="Q367" s="7"/>
      <c r="XEJ367" s="4"/>
      <c r="XEK367" s="4"/>
      <c r="XEL367" s="4"/>
      <c r="XEM367" s="4"/>
      <c r="XEN367" s="4"/>
      <c r="XEO367" s="4"/>
      <c r="XEP367" s="4"/>
    </row>
    <row r="368" s="2" customFormat="1" ht="26.1" customHeight="1" spans="2:16370">
      <c r="B368" s="7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105"/>
      <c r="O368" s="68"/>
      <c r="P368" s="115"/>
      <c r="Q368" s="7"/>
      <c r="XEJ368" s="4"/>
      <c r="XEK368" s="4"/>
      <c r="XEL368" s="4"/>
      <c r="XEM368" s="4"/>
      <c r="XEN368" s="4"/>
      <c r="XEO368" s="4"/>
      <c r="XEP368" s="4"/>
    </row>
    <row r="369" s="2" customFormat="1" ht="26.1" customHeight="1" spans="2:16370">
      <c r="B369" s="7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105"/>
      <c r="O369" s="68"/>
      <c r="P369" s="115"/>
      <c r="Q369" s="7"/>
      <c r="XEJ369" s="4"/>
      <c r="XEK369" s="4"/>
      <c r="XEL369" s="4"/>
      <c r="XEM369" s="4"/>
      <c r="XEN369" s="4"/>
      <c r="XEO369" s="4"/>
      <c r="XEP369" s="4"/>
    </row>
    <row r="370" s="2" customFormat="1" ht="26.1" customHeight="1" spans="2:16370">
      <c r="B370" s="7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105"/>
      <c r="O370" s="68"/>
      <c r="P370" s="115"/>
      <c r="Q370" s="7"/>
      <c r="XEJ370" s="4"/>
      <c r="XEK370" s="4"/>
      <c r="XEL370" s="4"/>
      <c r="XEM370" s="4"/>
      <c r="XEN370" s="4"/>
      <c r="XEO370" s="4"/>
      <c r="XEP370" s="4"/>
    </row>
    <row r="371" s="2" customFormat="1" ht="26.1" customHeight="1" spans="2:16370">
      <c r="B371" s="7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105"/>
      <c r="O371" s="68"/>
      <c r="P371" s="115"/>
      <c r="Q371" s="7"/>
      <c r="XEJ371" s="4"/>
      <c r="XEK371" s="4"/>
      <c r="XEL371" s="4"/>
      <c r="XEM371" s="4"/>
      <c r="XEN371" s="4"/>
      <c r="XEO371" s="4"/>
      <c r="XEP371" s="4"/>
    </row>
    <row r="372" s="2" customFormat="1" ht="26.1" customHeight="1" spans="2:16370">
      <c r="B372" s="7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105"/>
      <c r="O372" s="68"/>
      <c r="P372" s="115"/>
      <c r="Q372" s="7"/>
      <c r="XEJ372" s="4"/>
      <c r="XEK372" s="4"/>
      <c r="XEL372" s="4"/>
      <c r="XEM372" s="4"/>
      <c r="XEN372" s="4"/>
      <c r="XEO372" s="4"/>
      <c r="XEP372" s="4"/>
    </row>
    <row r="373" s="2" customFormat="1" ht="26.1" customHeight="1" spans="2:16370">
      <c r="B373" s="7"/>
      <c r="C373" s="68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105"/>
      <c r="O373" s="68"/>
      <c r="P373" s="115"/>
      <c r="Q373" s="7"/>
      <c r="XEJ373" s="4"/>
      <c r="XEK373" s="4"/>
      <c r="XEL373" s="4"/>
      <c r="XEM373" s="4"/>
      <c r="XEN373" s="4"/>
      <c r="XEO373" s="4"/>
      <c r="XEP373" s="4"/>
    </row>
    <row r="374" s="2" customFormat="1" ht="26.1" customHeight="1" spans="2:16370">
      <c r="B374" s="7"/>
      <c r="C374" s="68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105"/>
      <c r="O374" s="68"/>
      <c r="P374" s="115"/>
      <c r="Q374" s="7"/>
      <c r="XEJ374" s="4"/>
      <c r="XEK374" s="4"/>
      <c r="XEL374" s="4"/>
      <c r="XEM374" s="4"/>
      <c r="XEN374" s="4"/>
      <c r="XEO374" s="4"/>
      <c r="XEP374" s="4"/>
    </row>
    <row r="375" s="2" customFormat="1" ht="26.1" customHeight="1" spans="2:16370">
      <c r="B375" s="7"/>
      <c r="C375" s="68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105"/>
      <c r="O375" s="68"/>
      <c r="P375" s="115"/>
      <c r="Q375" s="7"/>
      <c r="XEJ375" s="4"/>
      <c r="XEK375" s="4"/>
      <c r="XEL375" s="4"/>
      <c r="XEM375" s="4"/>
      <c r="XEN375" s="4"/>
      <c r="XEO375" s="4"/>
      <c r="XEP375" s="4"/>
    </row>
    <row r="376" s="2" customFormat="1" ht="26.1" customHeight="1" spans="2:16370">
      <c r="B376" s="7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105"/>
      <c r="O376" s="68"/>
      <c r="P376" s="115"/>
      <c r="Q376" s="7"/>
      <c r="XEJ376" s="4"/>
      <c r="XEK376" s="4"/>
      <c r="XEL376" s="4"/>
      <c r="XEM376" s="4"/>
      <c r="XEN376" s="4"/>
      <c r="XEO376" s="4"/>
      <c r="XEP376" s="4"/>
    </row>
    <row r="377" s="2" customFormat="1" ht="26.1" customHeight="1" spans="2:16370">
      <c r="B377" s="7"/>
      <c r="C377" s="68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105"/>
      <c r="O377" s="68"/>
      <c r="P377" s="115"/>
      <c r="Q377" s="7"/>
      <c r="XEJ377" s="4"/>
      <c r="XEK377" s="4"/>
      <c r="XEL377" s="4"/>
      <c r="XEM377" s="4"/>
      <c r="XEN377" s="4"/>
      <c r="XEO377" s="4"/>
      <c r="XEP377" s="4"/>
    </row>
    <row r="378" s="2" customFormat="1" ht="26.1" customHeight="1" spans="2:16370">
      <c r="B378" s="7"/>
      <c r="C378" s="68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105"/>
      <c r="O378" s="68"/>
      <c r="P378" s="115"/>
      <c r="Q378" s="7"/>
      <c r="XEJ378" s="4"/>
      <c r="XEK378" s="4"/>
      <c r="XEL378" s="4"/>
      <c r="XEM378" s="4"/>
      <c r="XEN378" s="4"/>
      <c r="XEO378" s="4"/>
      <c r="XEP378" s="4"/>
    </row>
    <row r="379" s="2" customFormat="1" ht="26.1" customHeight="1" spans="2:16370">
      <c r="B379" s="7"/>
      <c r="C379" s="68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105"/>
      <c r="O379" s="68"/>
      <c r="P379" s="115"/>
      <c r="Q379" s="7"/>
      <c r="XEJ379" s="4"/>
      <c r="XEK379" s="4"/>
      <c r="XEL379" s="4"/>
      <c r="XEM379" s="4"/>
      <c r="XEN379" s="4"/>
      <c r="XEO379" s="4"/>
      <c r="XEP379" s="4"/>
    </row>
    <row r="380" s="2" customFormat="1" ht="26.1" customHeight="1" spans="2:16370">
      <c r="B380" s="7"/>
      <c r="C380" s="68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105"/>
      <c r="O380" s="68"/>
      <c r="P380" s="115"/>
      <c r="Q380" s="7"/>
      <c r="XEJ380" s="4"/>
      <c r="XEK380" s="4"/>
      <c r="XEL380" s="4"/>
      <c r="XEM380" s="4"/>
      <c r="XEN380" s="4"/>
      <c r="XEO380" s="4"/>
      <c r="XEP380" s="4"/>
    </row>
    <row r="381" s="2" customFormat="1" ht="26.1" customHeight="1" spans="2:16370">
      <c r="B381" s="7"/>
      <c r="C381" s="68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105"/>
      <c r="O381" s="68"/>
      <c r="P381" s="115"/>
      <c r="Q381" s="7"/>
      <c r="XEJ381" s="4"/>
      <c r="XEK381" s="4"/>
      <c r="XEL381" s="4"/>
      <c r="XEM381" s="4"/>
      <c r="XEN381" s="4"/>
      <c r="XEO381" s="4"/>
      <c r="XEP381" s="4"/>
    </row>
    <row r="382" s="2" customFormat="1" ht="26.1" customHeight="1" spans="2:16370">
      <c r="B382" s="7"/>
      <c r="C382" s="68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105"/>
      <c r="O382" s="68"/>
      <c r="P382" s="115"/>
      <c r="Q382" s="7"/>
      <c r="XEJ382" s="4"/>
      <c r="XEK382" s="4"/>
      <c r="XEL382" s="4"/>
      <c r="XEM382" s="4"/>
      <c r="XEN382" s="4"/>
      <c r="XEO382" s="4"/>
      <c r="XEP382" s="4"/>
    </row>
    <row r="383" s="2" customFormat="1" ht="26.1" customHeight="1" spans="2:16370">
      <c r="B383" s="7"/>
      <c r="C383" s="68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105"/>
      <c r="O383" s="68"/>
      <c r="P383" s="115"/>
      <c r="Q383" s="7"/>
      <c r="XEJ383" s="4"/>
      <c r="XEK383" s="4"/>
      <c r="XEL383" s="4"/>
      <c r="XEM383" s="4"/>
      <c r="XEN383" s="4"/>
      <c r="XEO383" s="4"/>
      <c r="XEP383" s="4"/>
    </row>
    <row r="384" s="2" customFormat="1" ht="26.1" customHeight="1" spans="2:16370">
      <c r="B384" s="7"/>
      <c r="C384" s="68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105"/>
      <c r="O384" s="68"/>
      <c r="P384" s="115"/>
      <c r="Q384" s="7"/>
      <c r="XEJ384" s="4"/>
      <c r="XEK384" s="4"/>
      <c r="XEL384" s="4"/>
      <c r="XEM384" s="4"/>
      <c r="XEN384" s="4"/>
      <c r="XEO384" s="4"/>
      <c r="XEP384" s="4"/>
    </row>
    <row r="385" s="2" customFormat="1" ht="26.1" customHeight="1" spans="2:16370">
      <c r="B385" s="7"/>
      <c r="C385" s="68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105"/>
      <c r="O385" s="68"/>
      <c r="P385" s="115"/>
      <c r="Q385" s="7"/>
      <c r="XEJ385" s="4"/>
      <c r="XEK385" s="4"/>
      <c r="XEL385" s="4"/>
      <c r="XEM385" s="4"/>
      <c r="XEN385" s="4"/>
      <c r="XEO385" s="4"/>
      <c r="XEP385" s="4"/>
    </row>
    <row r="386" s="2" customFormat="1" ht="26.1" customHeight="1" spans="2:16370">
      <c r="B386" s="7"/>
      <c r="C386" s="68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105"/>
      <c r="O386" s="68"/>
      <c r="P386" s="115"/>
      <c r="Q386" s="7"/>
      <c r="XEJ386" s="4"/>
      <c r="XEK386" s="4"/>
      <c r="XEL386" s="4"/>
      <c r="XEM386" s="4"/>
      <c r="XEN386" s="4"/>
      <c r="XEO386" s="4"/>
      <c r="XEP386" s="4"/>
    </row>
    <row r="387" s="2" customFormat="1" ht="26.1" customHeight="1" spans="2:16370">
      <c r="B387" s="7"/>
      <c r="C387" s="68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105"/>
      <c r="O387" s="68"/>
      <c r="P387" s="115"/>
      <c r="Q387" s="7"/>
      <c r="XEJ387" s="4"/>
      <c r="XEK387" s="4"/>
      <c r="XEL387" s="4"/>
      <c r="XEM387" s="4"/>
      <c r="XEN387" s="4"/>
      <c r="XEO387" s="4"/>
      <c r="XEP387" s="4"/>
    </row>
    <row r="388" s="2" customFormat="1" ht="26.1" customHeight="1" spans="2:16370">
      <c r="B388" s="7"/>
      <c r="C388" s="68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105"/>
      <c r="O388" s="68"/>
      <c r="P388" s="115"/>
      <c r="Q388" s="7"/>
      <c r="XEJ388" s="4"/>
      <c r="XEK388" s="4"/>
      <c r="XEL388" s="4"/>
      <c r="XEM388" s="4"/>
      <c r="XEN388" s="4"/>
      <c r="XEO388" s="4"/>
      <c r="XEP388" s="4"/>
    </row>
    <row r="389" s="2" customFormat="1" ht="26.1" customHeight="1" spans="2:16370">
      <c r="B389" s="7"/>
      <c r="C389" s="68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105"/>
      <c r="O389" s="68"/>
      <c r="P389" s="115"/>
      <c r="Q389" s="7"/>
      <c r="XEJ389" s="4"/>
      <c r="XEK389" s="4"/>
      <c r="XEL389" s="4"/>
      <c r="XEM389" s="4"/>
      <c r="XEN389" s="4"/>
      <c r="XEO389" s="4"/>
      <c r="XEP389" s="4"/>
    </row>
    <row r="390" s="2" customFormat="1" ht="26.1" customHeight="1" spans="2:16370">
      <c r="B390" s="7"/>
      <c r="C390" s="68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105"/>
      <c r="O390" s="68"/>
      <c r="P390" s="115"/>
      <c r="Q390" s="7"/>
      <c r="XEJ390" s="4"/>
      <c r="XEK390" s="4"/>
      <c r="XEL390" s="4"/>
      <c r="XEM390" s="4"/>
      <c r="XEN390" s="4"/>
      <c r="XEO390" s="4"/>
      <c r="XEP390" s="4"/>
    </row>
    <row r="391" s="2" customFormat="1" ht="26.1" customHeight="1" spans="2:16370">
      <c r="B391" s="7"/>
      <c r="C391" s="68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105"/>
      <c r="O391" s="68"/>
      <c r="P391" s="115"/>
      <c r="Q391" s="7"/>
      <c r="XEJ391" s="4"/>
      <c r="XEK391" s="4"/>
      <c r="XEL391" s="4"/>
      <c r="XEM391" s="4"/>
      <c r="XEN391" s="4"/>
      <c r="XEO391" s="4"/>
      <c r="XEP391" s="4"/>
    </row>
    <row r="392" s="2" customFormat="1" ht="26.1" customHeight="1" spans="2:16370">
      <c r="B392" s="7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105"/>
      <c r="O392" s="68"/>
      <c r="P392" s="115"/>
      <c r="Q392" s="7"/>
      <c r="XEJ392" s="4"/>
      <c r="XEK392" s="4"/>
      <c r="XEL392" s="4"/>
      <c r="XEM392" s="4"/>
      <c r="XEN392" s="4"/>
      <c r="XEO392" s="4"/>
      <c r="XEP392" s="4"/>
    </row>
    <row r="393" s="2" customFormat="1" ht="26.1" customHeight="1" spans="2:16370">
      <c r="B393" s="7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105"/>
      <c r="O393" s="68"/>
      <c r="P393" s="115"/>
      <c r="Q393" s="7"/>
      <c r="XEJ393" s="4"/>
      <c r="XEK393" s="4"/>
      <c r="XEL393" s="4"/>
      <c r="XEM393" s="4"/>
      <c r="XEN393" s="4"/>
      <c r="XEO393" s="4"/>
      <c r="XEP393" s="4"/>
    </row>
    <row r="394" s="2" customFormat="1" ht="26.1" customHeight="1" spans="2:16370">
      <c r="B394" s="7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105"/>
      <c r="O394" s="68"/>
      <c r="P394" s="115"/>
      <c r="Q394" s="7"/>
      <c r="XEJ394" s="4"/>
      <c r="XEK394" s="4"/>
      <c r="XEL394" s="4"/>
      <c r="XEM394" s="4"/>
      <c r="XEN394" s="4"/>
      <c r="XEO394" s="4"/>
      <c r="XEP394" s="4"/>
    </row>
    <row r="395" s="2" customFormat="1" ht="26.1" customHeight="1" spans="2:16370">
      <c r="B395" s="7"/>
      <c r="C395" s="68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105"/>
      <c r="O395" s="68"/>
      <c r="P395" s="115"/>
      <c r="Q395" s="7"/>
      <c r="XEJ395" s="4"/>
      <c r="XEK395" s="4"/>
      <c r="XEL395" s="4"/>
      <c r="XEM395" s="4"/>
      <c r="XEN395" s="4"/>
      <c r="XEO395" s="4"/>
      <c r="XEP395" s="4"/>
    </row>
    <row r="396" s="2" customFormat="1" ht="26.1" customHeight="1" spans="2:16370">
      <c r="B396" s="7"/>
      <c r="C396" s="68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105"/>
      <c r="O396" s="68"/>
      <c r="P396" s="115"/>
      <c r="Q396" s="7"/>
      <c r="XEJ396" s="4"/>
      <c r="XEK396" s="4"/>
      <c r="XEL396" s="4"/>
      <c r="XEM396" s="4"/>
      <c r="XEN396" s="4"/>
      <c r="XEO396" s="4"/>
      <c r="XEP396" s="4"/>
    </row>
    <row r="397" s="2" customFormat="1" ht="26.1" customHeight="1" spans="2:16370">
      <c r="B397" s="7"/>
      <c r="C397" s="68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105"/>
      <c r="O397" s="68"/>
      <c r="P397" s="115"/>
      <c r="Q397" s="7"/>
      <c r="XEJ397" s="4"/>
      <c r="XEK397" s="4"/>
      <c r="XEL397" s="4"/>
      <c r="XEM397" s="4"/>
      <c r="XEN397" s="4"/>
      <c r="XEO397" s="4"/>
      <c r="XEP397" s="4"/>
    </row>
    <row r="398" s="2" customFormat="1" ht="26.1" customHeight="1" spans="2:16370">
      <c r="B398" s="7"/>
      <c r="C398" s="68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105"/>
      <c r="O398" s="68"/>
      <c r="P398" s="115"/>
      <c r="Q398" s="7"/>
      <c r="XEJ398" s="4"/>
      <c r="XEK398" s="4"/>
      <c r="XEL398" s="4"/>
      <c r="XEM398" s="4"/>
      <c r="XEN398" s="4"/>
      <c r="XEO398" s="4"/>
      <c r="XEP398" s="4"/>
    </row>
    <row r="399" s="2" customFormat="1" ht="26.1" customHeight="1" spans="2:16370">
      <c r="B399" s="7"/>
      <c r="C399" s="68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105"/>
      <c r="O399" s="68"/>
      <c r="P399" s="115"/>
      <c r="Q399" s="7"/>
      <c r="XEJ399" s="4"/>
      <c r="XEK399" s="4"/>
      <c r="XEL399" s="4"/>
      <c r="XEM399" s="4"/>
      <c r="XEN399" s="4"/>
      <c r="XEO399" s="4"/>
      <c r="XEP399" s="4"/>
    </row>
    <row r="400" s="2" customFormat="1" ht="26.1" customHeight="1" spans="2:16370">
      <c r="B400" s="7"/>
      <c r="C400" s="68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105"/>
      <c r="O400" s="68"/>
      <c r="P400" s="115"/>
      <c r="Q400" s="7"/>
      <c r="XEJ400" s="4"/>
      <c r="XEK400" s="4"/>
      <c r="XEL400" s="4"/>
      <c r="XEM400" s="4"/>
      <c r="XEN400" s="4"/>
      <c r="XEO400" s="4"/>
      <c r="XEP400" s="4"/>
    </row>
    <row r="401" s="2" customFormat="1" ht="26.1" customHeight="1" spans="2:16370">
      <c r="B401" s="7"/>
      <c r="C401" s="68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105"/>
      <c r="O401" s="68"/>
      <c r="P401" s="115"/>
      <c r="Q401" s="7"/>
      <c r="XEJ401" s="4"/>
      <c r="XEK401" s="4"/>
      <c r="XEL401" s="4"/>
      <c r="XEM401" s="4"/>
      <c r="XEN401" s="4"/>
      <c r="XEO401" s="4"/>
      <c r="XEP401" s="4"/>
    </row>
    <row r="402" s="2" customFormat="1" ht="26.1" customHeight="1" spans="2:16370">
      <c r="B402" s="7"/>
      <c r="C402" s="68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105"/>
      <c r="O402" s="68"/>
      <c r="P402" s="115"/>
      <c r="Q402" s="7"/>
      <c r="XEJ402" s="4"/>
      <c r="XEK402" s="4"/>
      <c r="XEL402" s="4"/>
      <c r="XEM402" s="4"/>
      <c r="XEN402" s="4"/>
      <c r="XEO402" s="4"/>
      <c r="XEP402" s="4"/>
    </row>
    <row r="403" s="2" customFormat="1" ht="26.1" customHeight="1" spans="2:16370">
      <c r="B403" s="7"/>
      <c r="C403" s="68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105"/>
      <c r="O403" s="68"/>
      <c r="P403" s="115"/>
      <c r="Q403" s="7"/>
      <c r="XEJ403" s="4"/>
      <c r="XEK403" s="4"/>
      <c r="XEL403" s="4"/>
      <c r="XEM403" s="4"/>
      <c r="XEN403" s="4"/>
      <c r="XEO403" s="4"/>
      <c r="XEP403" s="4"/>
    </row>
    <row r="404" s="2" customFormat="1" ht="26.1" customHeight="1" spans="2:16370">
      <c r="B404" s="7"/>
      <c r="C404" s="68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105"/>
      <c r="O404" s="68"/>
      <c r="P404" s="115"/>
      <c r="Q404" s="7"/>
      <c r="XEJ404" s="4"/>
      <c r="XEK404" s="4"/>
      <c r="XEL404" s="4"/>
      <c r="XEM404" s="4"/>
      <c r="XEN404" s="4"/>
      <c r="XEO404" s="4"/>
      <c r="XEP404" s="4"/>
    </row>
    <row r="405" s="2" customFormat="1" ht="26.1" customHeight="1" spans="2:16370">
      <c r="B405" s="7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105"/>
      <c r="O405" s="68"/>
      <c r="P405" s="115"/>
      <c r="Q405" s="7"/>
      <c r="XEJ405" s="4"/>
      <c r="XEK405" s="4"/>
      <c r="XEL405" s="4"/>
      <c r="XEM405" s="4"/>
      <c r="XEN405" s="4"/>
      <c r="XEO405" s="4"/>
      <c r="XEP405" s="4"/>
    </row>
    <row r="406" s="2" customFormat="1" ht="26.1" customHeight="1" spans="2:16370">
      <c r="B406" s="7"/>
      <c r="C406" s="68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105"/>
      <c r="O406" s="68"/>
      <c r="P406" s="115"/>
      <c r="Q406" s="7"/>
      <c r="XEJ406" s="4"/>
      <c r="XEK406" s="4"/>
      <c r="XEL406" s="4"/>
      <c r="XEM406" s="4"/>
      <c r="XEN406" s="4"/>
      <c r="XEO406" s="4"/>
      <c r="XEP406" s="4"/>
    </row>
    <row r="407" s="2" customFormat="1" ht="26.1" customHeight="1" spans="2:16370">
      <c r="B407" s="7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105"/>
      <c r="O407" s="68"/>
      <c r="P407" s="115"/>
      <c r="Q407" s="7"/>
      <c r="XEJ407" s="4"/>
      <c r="XEK407" s="4"/>
      <c r="XEL407" s="4"/>
      <c r="XEM407" s="4"/>
      <c r="XEN407" s="4"/>
      <c r="XEO407" s="4"/>
      <c r="XEP407" s="4"/>
    </row>
    <row r="408" s="2" customFormat="1" ht="26.1" customHeight="1" spans="2:16370">
      <c r="B408" s="7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105"/>
      <c r="O408" s="68"/>
      <c r="P408" s="115"/>
      <c r="Q408" s="7"/>
      <c r="XEJ408" s="4"/>
      <c r="XEK408" s="4"/>
      <c r="XEL408" s="4"/>
      <c r="XEM408" s="4"/>
      <c r="XEN408" s="4"/>
      <c r="XEO408" s="4"/>
      <c r="XEP408" s="4"/>
    </row>
    <row r="409" s="2" customFormat="1" ht="26.1" customHeight="1" spans="2:16370">
      <c r="B409" s="7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105"/>
      <c r="O409" s="68"/>
      <c r="P409" s="115"/>
      <c r="Q409" s="7"/>
      <c r="XEJ409" s="4"/>
      <c r="XEK409" s="4"/>
      <c r="XEL409" s="4"/>
      <c r="XEM409" s="4"/>
      <c r="XEN409" s="4"/>
      <c r="XEO409" s="4"/>
      <c r="XEP409" s="4"/>
    </row>
    <row r="410" s="2" customFormat="1" ht="26.1" customHeight="1" spans="2:16370">
      <c r="B410" s="7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105"/>
      <c r="O410" s="68"/>
      <c r="P410" s="115"/>
      <c r="Q410" s="7"/>
      <c r="XEJ410" s="4"/>
      <c r="XEK410" s="4"/>
      <c r="XEL410" s="4"/>
      <c r="XEM410" s="4"/>
      <c r="XEN410" s="4"/>
      <c r="XEO410" s="4"/>
      <c r="XEP410" s="4"/>
    </row>
    <row r="411" s="2" customFormat="1" ht="26.1" customHeight="1" spans="2:16370">
      <c r="B411" s="7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105"/>
      <c r="O411" s="68"/>
      <c r="P411" s="115"/>
      <c r="Q411" s="7"/>
      <c r="XEJ411" s="4"/>
      <c r="XEK411" s="4"/>
      <c r="XEL411" s="4"/>
      <c r="XEM411" s="4"/>
      <c r="XEN411" s="4"/>
      <c r="XEO411" s="4"/>
      <c r="XEP411" s="4"/>
    </row>
    <row r="412" s="2" customFormat="1" ht="26.1" customHeight="1" spans="2:16370">
      <c r="B412" s="7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105"/>
      <c r="O412" s="68"/>
      <c r="P412" s="115"/>
      <c r="Q412" s="7"/>
      <c r="XEJ412" s="4"/>
      <c r="XEK412" s="4"/>
      <c r="XEL412" s="4"/>
      <c r="XEM412" s="4"/>
      <c r="XEN412" s="4"/>
      <c r="XEO412" s="4"/>
      <c r="XEP412" s="4"/>
    </row>
    <row r="413" s="2" customFormat="1" ht="26.1" customHeight="1" spans="2:16370">
      <c r="B413" s="7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105"/>
      <c r="O413" s="68"/>
      <c r="P413" s="115"/>
      <c r="Q413" s="7"/>
      <c r="XEJ413" s="4"/>
      <c r="XEK413" s="4"/>
      <c r="XEL413" s="4"/>
      <c r="XEM413" s="4"/>
      <c r="XEN413" s="4"/>
      <c r="XEO413" s="4"/>
      <c r="XEP413" s="4"/>
    </row>
    <row r="414" s="2" customFormat="1" ht="26.1" customHeight="1" spans="2:16370">
      <c r="B414" s="7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105"/>
      <c r="O414" s="68"/>
      <c r="P414" s="115"/>
      <c r="Q414" s="7"/>
      <c r="XEJ414" s="4"/>
      <c r="XEK414" s="4"/>
      <c r="XEL414" s="4"/>
      <c r="XEM414" s="4"/>
      <c r="XEN414" s="4"/>
      <c r="XEO414" s="4"/>
      <c r="XEP414" s="4"/>
    </row>
    <row r="415" s="2" customFormat="1" ht="26.1" customHeight="1" spans="2:16370">
      <c r="B415" s="7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105"/>
      <c r="O415" s="68"/>
      <c r="P415" s="115"/>
      <c r="Q415" s="7"/>
      <c r="XEJ415" s="4"/>
      <c r="XEK415" s="4"/>
      <c r="XEL415" s="4"/>
      <c r="XEM415" s="4"/>
      <c r="XEN415" s="4"/>
      <c r="XEO415" s="4"/>
      <c r="XEP415" s="4"/>
    </row>
    <row r="416" s="2" customFormat="1" ht="26.1" customHeight="1" spans="2:16370">
      <c r="B416" s="7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105"/>
      <c r="O416" s="68"/>
      <c r="P416" s="115"/>
      <c r="Q416" s="7"/>
      <c r="XEJ416" s="4"/>
      <c r="XEK416" s="4"/>
      <c r="XEL416" s="4"/>
      <c r="XEM416" s="4"/>
      <c r="XEN416" s="4"/>
      <c r="XEO416" s="4"/>
      <c r="XEP416" s="4"/>
    </row>
    <row r="417" s="2" customFormat="1" ht="26.1" customHeight="1" spans="2:16370">
      <c r="B417" s="7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105"/>
      <c r="O417" s="68"/>
      <c r="P417" s="115"/>
      <c r="Q417" s="7"/>
      <c r="XEJ417" s="4"/>
      <c r="XEK417" s="4"/>
      <c r="XEL417" s="4"/>
      <c r="XEM417" s="4"/>
      <c r="XEN417" s="4"/>
      <c r="XEO417" s="4"/>
      <c r="XEP417" s="4"/>
    </row>
    <row r="418" s="2" customFormat="1" ht="26.1" customHeight="1" spans="2:16370">
      <c r="B418" s="7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105"/>
      <c r="O418" s="68"/>
      <c r="P418" s="115"/>
      <c r="Q418" s="7"/>
      <c r="XEJ418" s="4"/>
      <c r="XEK418" s="4"/>
      <c r="XEL418" s="4"/>
      <c r="XEM418" s="4"/>
      <c r="XEN418" s="4"/>
      <c r="XEO418" s="4"/>
      <c r="XEP418" s="4"/>
    </row>
    <row r="419" s="2" customFormat="1" ht="26.1" customHeight="1" spans="2:16370">
      <c r="B419" s="7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105"/>
      <c r="O419" s="68"/>
      <c r="P419" s="115"/>
      <c r="Q419" s="7"/>
      <c r="XEJ419" s="4"/>
      <c r="XEK419" s="4"/>
      <c r="XEL419" s="4"/>
      <c r="XEM419" s="4"/>
      <c r="XEN419" s="4"/>
      <c r="XEO419" s="4"/>
      <c r="XEP419" s="4"/>
    </row>
    <row r="420" s="2" customFormat="1" ht="26.1" customHeight="1" spans="2:16370">
      <c r="B420" s="7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105"/>
      <c r="O420" s="68"/>
      <c r="P420" s="115"/>
      <c r="Q420" s="7"/>
      <c r="XEJ420" s="4"/>
      <c r="XEK420" s="4"/>
      <c r="XEL420" s="4"/>
      <c r="XEM420" s="4"/>
      <c r="XEN420" s="4"/>
      <c r="XEO420" s="4"/>
      <c r="XEP420" s="4"/>
    </row>
    <row r="421" s="2" customFormat="1" ht="26.1" customHeight="1" spans="2:16370">
      <c r="B421" s="7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105"/>
      <c r="O421" s="68"/>
      <c r="P421" s="115"/>
      <c r="Q421" s="7"/>
      <c r="XEJ421" s="4"/>
      <c r="XEK421" s="4"/>
      <c r="XEL421" s="4"/>
      <c r="XEM421" s="4"/>
      <c r="XEN421" s="4"/>
      <c r="XEO421" s="4"/>
      <c r="XEP421" s="4"/>
    </row>
    <row r="422" s="2" customFormat="1" ht="26.1" customHeight="1" spans="2:16370">
      <c r="B422" s="7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105"/>
      <c r="O422" s="68"/>
      <c r="P422" s="115"/>
      <c r="Q422" s="7"/>
      <c r="XEJ422" s="4"/>
      <c r="XEK422" s="4"/>
      <c r="XEL422" s="4"/>
      <c r="XEM422" s="4"/>
      <c r="XEN422" s="4"/>
      <c r="XEO422" s="4"/>
      <c r="XEP422" s="4"/>
    </row>
    <row r="423" s="2" customFormat="1" ht="26.1" customHeight="1" spans="2:16370">
      <c r="B423" s="7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105"/>
      <c r="O423" s="68"/>
      <c r="P423" s="115"/>
      <c r="Q423" s="7"/>
      <c r="XEJ423" s="4"/>
      <c r="XEK423" s="4"/>
      <c r="XEL423" s="4"/>
      <c r="XEM423" s="4"/>
      <c r="XEN423" s="4"/>
      <c r="XEO423" s="4"/>
      <c r="XEP423" s="4"/>
    </row>
    <row r="424" s="2" customFormat="1" ht="26.1" customHeight="1" spans="2:16370">
      <c r="B424" s="7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105"/>
      <c r="O424" s="68"/>
      <c r="P424" s="115"/>
      <c r="Q424" s="7"/>
      <c r="XEJ424" s="4"/>
      <c r="XEK424" s="4"/>
      <c r="XEL424" s="4"/>
      <c r="XEM424" s="4"/>
      <c r="XEN424" s="4"/>
      <c r="XEO424" s="4"/>
      <c r="XEP424" s="4"/>
    </row>
    <row r="425" s="2" customFormat="1" ht="26.1" customHeight="1" spans="2:16370">
      <c r="B425" s="7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105"/>
      <c r="O425" s="68"/>
      <c r="P425" s="115"/>
      <c r="Q425" s="7"/>
      <c r="XEJ425" s="4"/>
      <c r="XEK425" s="4"/>
      <c r="XEL425" s="4"/>
      <c r="XEM425" s="4"/>
      <c r="XEN425" s="4"/>
      <c r="XEO425" s="4"/>
      <c r="XEP425" s="4"/>
    </row>
    <row r="426" s="2" customFormat="1" ht="26.1" customHeight="1" spans="2:16370">
      <c r="B426" s="7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105"/>
      <c r="O426" s="68"/>
      <c r="P426" s="115"/>
      <c r="Q426" s="7"/>
      <c r="XEJ426" s="4"/>
      <c r="XEK426" s="4"/>
      <c r="XEL426" s="4"/>
      <c r="XEM426" s="4"/>
      <c r="XEN426" s="4"/>
      <c r="XEO426" s="4"/>
      <c r="XEP426" s="4"/>
    </row>
    <row r="427" s="2" customFormat="1" ht="26.1" customHeight="1" spans="2:16370">
      <c r="B427" s="7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105"/>
      <c r="O427" s="68"/>
      <c r="P427" s="115"/>
      <c r="Q427" s="7"/>
      <c r="XEJ427" s="4"/>
      <c r="XEK427" s="4"/>
      <c r="XEL427" s="4"/>
      <c r="XEM427" s="4"/>
      <c r="XEN427" s="4"/>
      <c r="XEO427" s="4"/>
      <c r="XEP427" s="4"/>
    </row>
    <row r="428" s="2" customFormat="1" ht="26.1" customHeight="1" spans="2:16370">
      <c r="B428" s="7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105"/>
      <c r="O428" s="68"/>
      <c r="P428" s="115"/>
      <c r="Q428" s="7"/>
      <c r="XEJ428" s="4"/>
      <c r="XEK428" s="4"/>
      <c r="XEL428" s="4"/>
      <c r="XEM428" s="4"/>
      <c r="XEN428" s="4"/>
      <c r="XEO428" s="4"/>
      <c r="XEP428" s="4"/>
    </row>
    <row r="429" s="2" customFormat="1" ht="26.1" customHeight="1" spans="2:16370">
      <c r="B429" s="7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105"/>
      <c r="O429" s="68"/>
      <c r="P429" s="115"/>
      <c r="Q429" s="7"/>
      <c r="XEJ429" s="4"/>
      <c r="XEK429" s="4"/>
      <c r="XEL429" s="4"/>
      <c r="XEM429" s="4"/>
      <c r="XEN429" s="4"/>
      <c r="XEO429" s="4"/>
      <c r="XEP429" s="4"/>
    </row>
    <row r="430" s="2" customFormat="1" ht="26.1" customHeight="1" spans="2:16370">
      <c r="B430" s="7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105"/>
      <c r="O430" s="68"/>
      <c r="P430" s="115"/>
      <c r="Q430" s="7"/>
      <c r="XEJ430" s="4"/>
      <c r="XEK430" s="4"/>
      <c r="XEL430" s="4"/>
      <c r="XEM430" s="4"/>
      <c r="XEN430" s="4"/>
      <c r="XEO430" s="4"/>
      <c r="XEP430" s="4"/>
    </row>
    <row r="431" s="2" customFormat="1" ht="26.1" customHeight="1" spans="2:16370">
      <c r="B431" s="7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105"/>
      <c r="O431" s="68"/>
      <c r="P431" s="115"/>
      <c r="Q431" s="7"/>
      <c r="XEJ431" s="4"/>
      <c r="XEK431" s="4"/>
      <c r="XEL431" s="4"/>
      <c r="XEM431" s="4"/>
      <c r="XEN431" s="4"/>
      <c r="XEO431" s="4"/>
      <c r="XEP431" s="4"/>
    </row>
    <row r="432" s="2" customFormat="1" ht="26.1" customHeight="1" spans="2:16370">
      <c r="B432" s="7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105"/>
      <c r="O432" s="68"/>
      <c r="P432" s="115"/>
      <c r="Q432" s="7"/>
      <c r="XEJ432" s="4"/>
      <c r="XEK432" s="4"/>
      <c r="XEL432" s="4"/>
      <c r="XEM432" s="4"/>
      <c r="XEN432" s="4"/>
      <c r="XEO432" s="4"/>
      <c r="XEP432" s="4"/>
    </row>
    <row r="433" s="2" customFormat="1" ht="26.1" customHeight="1" spans="2:16370">
      <c r="B433" s="7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105"/>
      <c r="O433" s="68"/>
      <c r="P433" s="115"/>
      <c r="Q433" s="7"/>
      <c r="XEJ433" s="4"/>
      <c r="XEK433" s="4"/>
      <c r="XEL433" s="4"/>
      <c r="XEM433" s="4"/>
      <c r="XEN433" s="4"/>
      <c r="XEO433" s="4"/>
      <c r="XEP433" s="4"/>
    </row>
    <row r="434" s="2" customFormat="1" ht="26.1" customHeight="1" spans="2:16370">
      <c r="B434" s="7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105"/>
      <c r="O434" s="68"/>
      <c r="P434" s="115"/>
      <c r="Q434" s="7"/>
      <c r="XEJ434" s="4"/>
      <c r="XEK434" s="4"/>
      <c r="XEL434" s="4"/>
      <c r="XEM434" s="4"/>
      <c r="XEN434" s="4"/>
      <c r="XEO434" s="4"/>
      <c r="XEP434" s="4"/>
    </row>
    <row r="435" s="2" customFormat="1" ht="26.1" customHeight="1" spans="2:16370">
      <c r="B435" s="7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105"/>
      <c r="O435" s="68"/>
      <c r="P435" s="115"/>
      <c r="Q435" s="7"/>
      <c r="XEJ435" s="4"/>
      <c r="XEK435" s="4"/>
      <c r="XEL435" s="4"/>
      <c r="XEM435" s="4"/>
      <c r="XEN435" s="4"/>
      <c r="XEO435" s="4"/>
      <c r="XEP435" s="4"/>
    </row>
    <row r="436" s="2" customFormat="1" ht="26.1" customHeight="1" spans="2:16370">
      <c r="B436" s="7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105"/>
      <c r="O436" s="68"/>
      <c r="P436" s="115"/>
      <c r="Q436" s="7"/>
      <c r="XEJ436" s="4"/>
      <c r="XEK436" s="4"/>
      <c r="XEL436" s="4"/>
      <c r="XEM436" s="4"/>
      <c r="XEN436" s="4"/>
      <c r="XEO436" s="4"/>
      <c r="XEP436" s="4"/>
    </row>
    <row r="437" s="2" customFormat="1" ht="26.1" customHeight="1" spans="2:16370">
      <c r="B437" s="7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105"/>
      <c r="O437" s="68"/>
      <c r="P437" s="115"/>
      <c r="Q437" s="7"/>
      <c r="XEJ437" s="4"/>
      <c r="XEK437" s="4"/>
      <c r="XEL437" s="4"/>
      <c r="XEM437" s="4"/>
      <c r="XEN437" s="4"/>
      <c r="XEO437" s="4"/>
      <c r="XEP437" s="4"/>
    </row>
    <row r="438" s="2" customFormat="1" ht="26.1" customHeight="1" spans="2:16370">
      <c r="B438" s="7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105"/>
      <c r="O438" s="68"/>
      <c r="P438" s="115"/>
      <c r="Q438" s="7"/>
      <c r="XEJ438" s="4"/>
      <c r="XEK438" s="4"/>
      <c r="XEL438" s="4"/>
      <c r="XEM438" s="4"/>
      <c r="XEN438" s="4"/>
      <c r="XEO438" s="4"/>
      <c r="XEP438" s="4"/>
    </row>
    <row r="439" s="2" customFormat="1" ht="26.1" customHeight="1" spans="2:16370">
      <c r="B439" s="7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105"/>
      <c r="O439" s="68"/>
      <c r="P439" s="115"/>
      <c r="Q439" s="7"/>
      <c r="XEJ439" s="4"/>
      <c r="XEK439" s="4"/>
      <c r="XEL439" s="4"/>
      <c r="XEM439" s="4"/>
      <c r="XEN439" s="4"/>
      <c r="XEO439" s="4"/>
      <c r="XEP439" s="4"/>
    </row>
    <row r="440" s="2" customFormat="1" ht="26.1" customHeight="1" spans="2:16370">
      <c r="B440" s="7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105"/>
      <c r="O440" s="68"/>
      <c r="P440" s="115"/>
      <c r="Q440" s="7"/>
      <c r="XEJ440" s="4"/>
      <c r="XEK440" s="4"/>
      <c r="XEL440" s="4"/>
      <c r="XEM440" s="4"/>
      <c r="XEN440" s="4"/>
      <c r="XEO440" s="4"/>
      <c r="XEP440" s="4"/>
    </row>
    <row r="441" s="2" customFormat="1" ht="26.1" customHeight="1" spans="2:16370">
      <c r="B441" s="7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105"/>
      <c r="O441" s="68"/>
      <c r="P441" s="115"/>
      <c r="Q441" s="7"/>
      <c r="XEJ441" s="4"/>
      <c r="XEK441" s="4"/>
      <c r="XEL441" s="4"/>
      <c r="XEM441" s="4"/>
      <c r="XEN441" s="4"/>
      <c r="XEO441" s="4"/>
      <c r="XEP441" s="4"/>
    </row>
    <row r="442" s="2" customFormat="1" ht="26.1" customHeight="1" spans="2:16370">
      <c r="B442" s="7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105"/>
      <c r="O442" s="68"/>
      <c r="P442" s="115"/>
      <c r="Q442" s="7"/>
      <c r="XEJ442" s="4"/>
      <c r="XEK442" s="4"/>
      <c r="XEL442" s="4"/>
      <c r="XEM442" s="4"/>
      <c r="XEN442" s="4"/>
      <c r="XEO442" s="4"/>
      <c r="XEP442" s="4"/>
    </row>
    <row r="443" s="2" customFormat="1" ht="26.1" customHeight="1" spans="2:16370">
      <c r="B443" s="7"/>
      <c r="C443" s="68"/>
      <c r="D443" s="68"/>
      <c r="E443" s="68"/>
      <c r="F443" s="68"/>
      <c r="G443" s="68"/>
      <c r="H443" s="68"/>
      <c r="I443" s="68"/>
      <c r="J443" s="68"/>
      <c r="K443" s="68"/>
      <c r="L443" s="68"/>
      <c r="M443" s="68"/>
      <c r="N443" s="105"/>
      <c r="O443" s="68"/>
      <c r="P443" s="115"/>
      <c r="Q443" s="7"/>
      <c r="XEJ443" s="4"/>
      <c r="XEK443" s="4"/>
      <c r="XEL443" s="4"/>
      <c r="XEM443" s="4"/>
      <c r="XEN443" s="4"/>
      <c r="XEO443" s="4"/>
      <c r="XEP443" s="4"/>
    </row>
    <row r="444" s="2" customFormat="1" ht="26.1" customHeight="1" spans="2:16370">
      <c r="B444" s="7"/>
      <c r="C444" s="68"/>
      <c r="D444" s="68"/>
      <c r="E444" s="68"/>
      <c r="F444" s="68"/>
      <c r="G444" s="68"/>
      <c r="H444" s="68"/>
      <c r="I444" s="68"/>
      <c r="J444" s="68"/>
      <c r="K444" s="68"/>
      <c r="L444" s="68"/>
      <c r="M444" s="68"/>
      <c r="N444" s="105"/>
      <c r="O444" s="68"/>
      <c r="P444" s="115"/>
      <c r="Q444" s="7"/>
      <c r="XEJ444" s="4"/>
      <c r="XEK444" s="4"/>
      <c r="XEL444" s="4"/>
      <c r="XEM444" s="4"/>
      <c r="XEN444" s="4"/>
      <c r="XEO444" s="4"/>
      <c r="XEP444" s="4"/>
    </row>
    <row r="445" s="2" customFormat="1" ht="26.1" customHeight="1" spans="2:16370">
      <c r="B445" s="7"/>
      <c r="C445" s="68"/>
      <c r="D445" s="68"/>
      <c r="E445" s="68"/>
      <c r="F445" s="68"/>
      <c r="G445" s="68"/>
      <c r="H445" s="68"/>
      <c r="I445" s="68"/>
      <c r="J445" s="68"/>
      <c r="K445" s="68"/>
      <c r="L445" s="68"/>
      <c r="M445" s="68"/>
      <c r="N445" s="105"/>
      <c r="O445" s="68"/>
      <c r="P445" s="115"/>
      <c r="Q445" s="7"/>
      <c r="XEJ445" s="4"/>
      <c r="XEK445" s="4"/>
      <c r="XEL445" s="4"/>
      <c r="XEM445" s="4"/>
      <c r="XEN445" s="4"/>
      <c r="XEO445" s="4"/>
      <c r="XEP445" s="4"/>
    </row>
    <row r="446" s="2" customFormat="1" ht="26.1" customHeight="1" spans="2:16370">
      <c r="B446" s="7"/>
      <c r="C446" s="68"/>
      <c r="D446" s="68"/>
      <c r="E446" s="68"/>
      <c r="F446" s="68"/>
      <c r="G446" s="68"/>
      <c r="H446" s="68"/>
      <c r="I446" s="68"/>
      <c r="J446" s="68"/>
      <c r="K446" s="68"/>
      <c r="L446" s="68"/>
      <c r="M446" s="68"/>
      <c r="N446" s="105"/>
      <c r="O446" s="68"/>
      <c r="P446" s="115"/>
      <c r="Q446" s="7"/>
      <c r="XEJ446" s="4"/>
      <c r="XEK446" s="4"/>
      <c r="XEL446" s="4"/>
      <c r="XEM446" s="4"/>
      <c r="XEN446" s="4"/>
      <c r="XEO446" s="4"/>
      <c r="XEP446" s="4"/>
    </row>
    <row r="447" s="2" customFormat="1" ht="26.1" customHeight="1" spans="2:16370">
      <c r="B447" s="7"/>
      <c r="C447" s="68"/>
      <c r="D447" s="68"/>
      <c r="E447" s="68"/>
      <c r="F447" s="68"/>
      <c r="G447" s="68"/>
      <c r="H447" s="68"/>
      <c r="I447" s="68"/>
      <c r="J447" s="68"/>
      <c r="K447" s="68"/>
      <c r="L447" s="68"/>
      <c r="M447" s="68"/>
      <c r="N447" s="105"/>
      <c r="O447" s="68"/>
      <c r="P447" s="115"/>
      <c r="Q447" s="7"/>
      <c r="XEJ447" s="4"/>
      <c r="XEK447" s="4"/>
      <c r="XEL447" s="4"/>
      <c r="XEM447" s="4"/>
      <c r="XEN447" s="4"/>
      <c r="XEO447" s="4"/>
      <c r="XEP447" s="4"/>
    </row>
    <row r="448" s="2" customFormat="1" ht="26.1" customHeight="1" spans="2:16370">
      <c r="B448" s="7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105"/>
      <c r="O448" s="68"/>
      <c r="P448" s="115"/>
      <c r="Q448" s="7"/>
      <c r="XEJ448" s="4"/>
      <c r="XEK448" s="4"/>
      <c r="XEL448" s="4"/>
      <c r="XEM448" s="4"/>
      <c r="XEN448" s="4"/>
      <c r="XEO448" s="4"/>
      <c r="XEP448" s="4"/>
    </row>
    <row r="449" s="2" customFormat="1" ht="26.1" customHeight="1" spans="2:16370">
      <c r="B449" s="7"/>
      <c r="C449" s="68"/>
      <c r="D449" s="68"/>
      <c r="E449" s="68"/>
      <c r="F449" s="68"/>
      <c r="G449" s="68"/>
      <c r="H449" s="68"/>
      <c r="I449" s="68"/>
      <c r="J449" s="68"/>
      <c r="K449" s="68"/>
      <c r="L449" s="68"/>
      <c r="M449" s="68"/>
      <c r="N449" s="105"/>
      <c r="O449" s="68"/>
      <c r="P449" s="115"/>
      <c r="Q449" s="7"/>
      <c r="XEJ449" s="4"/>
      <c r="XEK449" s="4"/>
      <c r="XEL449" s="4"/>
      <c r="XEM449" s="4"/>
      <c r="XEN449" s="4"/>
      <c r="XEO449" s="4"/>
      <c r="XEP449" s="4"/>
    </row>
    <row r="450" s="2" customFormat="1" ht="26.1" customHeight="1" spans="2:16370">
      <c r="B450" s="7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68"/>
      <c r="N450" s="105"/>
      <c r="O450" s="68"/>
      <c r="P450" s="115"/>
      <c r="Q450" s="7"/>
      <c r="XEJ450" s="4"/>
      <c r="XEK450" s="4"/>
      <c r="XEL450" s="4"/>
      <c r="XEM450" s="4"/>
      <c r="XEN450" s="4"/>
      <c r="XEO450" s="4"/>
      <c r="XEP450" s="4"/>
    </row>
    <row r="451" s="2" customFormat="1" ht="26.1" customHeight="1" spans="2:16370">
      <c r="B451" s="7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105"/>
      <c r="O451" s="68"/>
      <c r="P451" s="115"/>
      <c r="Q451" s="7"/>
      <c r="XEJ451" s="4"/>
      <c r="XEK451" s="4"/>
      <c r="XEL451" s="4"/>
      <c r="XEM451" s="4"/>
      <c r="XEN451" s="4"/>
      <c r="XEO451" s="4"/>
      <c r="XEP451" s="4"/>
    </row>
    <row r="452" s="2" customFormat="1" ht="26.1" customHeight="1" spans="2:16370">
      <c r="B452" s="7"/>
      <c r="C452" s="68"/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105"/>
      <c r="O452" s="68"/>
      <c r="P452" s="115"/>
      <c r="Q452" s="7"/>
      <c r="XEJ452" s="4"/>
      <c r="XEK452" s="4"/>
      <c r="XEL452" s="4"/>
      <c r="XEM452" s="4"/>
      <c r="XEN452" s="4"/>
      <c r="XEO452" s="4"/>
      <c r="XEP452" s="4"/>
    </row>
    <row r="453" s="2" customFormat="1" ht="26.1" customHeight="1" spans="2:16370">
      <c r="B453" s="7"/>
      <c r="C453" s="68"/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105"/>
      <c r="O453" s="68"/>
      <c r="P453" s="115"/>
      <c r="Q453" s="7"/>
      <c r="XEJ453" s="4"/>
      <c r="XEK453" s="4"/>
      <c r="XEL453" s="4"/>
      <c r="XEM453" s="4"/>
      <c r="XEN453" s="4"/>
      <c r="XEO453" s="4"/>
      <c r="XEP453" s="4"/>
    </row>
    <row r="454" s="2" customFormat="1" ht="26.1" customHeight="1" spans="2:16370">
      <c r="B454" s="7"/>
      <c r="C454" s="68"/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105"/>
      <c r="O454" s="68"/>
      <c r="P454" s="115"/>
      <c r="Q454" s="7"/>
      <c r="XEJ454" s="4"/>
      <c r="XEK454" s="4"/>
      <c r="XEL454" s="4"/>
      <c r="XEM454" s="4"/>
      <c r="XEN454" s="4"/>
      <c r="XEO454" s="4"/>
      <c r="XEP454" s="4"/>
    </row>
    <row r="455" s="2" customFormat="1" ht="26.1" customHeight="1" spans="2:16370">
      <c r="B455" s="7"/>
      <c r="C455" s="68"/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105"/>
      <c r="O455" s="68"/>
      <c r="P455" s="115"/>
      <c r="Q455" s="7"/>
      <c r="XEJ455" s="4"/>
      <c r="XEK455" s="4"/>
      <c r="XEL455" s="4"/>
      <c r="XEM455" s="4"/>
      <c r="XEN455" s="4"/>
      <c r="XEO455" s="4"/>
      <c r="XEP455" s="4"/>
    </row>
    <row r="456" s="2" customFormat="1" ht="26.1" customHeight="1" spans="2:16370">
      <c r="B456" s="7"/>
      <c r="C456" s="68"/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105"/>
      <c r="O456" s="68"/>
      <c r="P456" s="115"/>
      <c r="Q456" s="7"/>
      <c r="XEJ456" s="4"/>
      <c r="XEK456" s="4"/>
      <c r="XEL456" s="4"/>
      <c r="XEM456" s="4"/>
      <c r="XEN456" s="4"/>
      <c r="XEO456" s="4"/>
      <c r="XEP456" s="4"/>
    </row>
    <row r="457" s="2" customFormat="1" ht="26.1" customHeight="1" spans="2:16370">
      <c r="B457" s="7"/>
      <c r="C457" s="68"/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105"/>
      <c r="O457" s="68"/>
      <c r="P457" s="115"/>
      <c r="Q457" s="7"/>
      <c r="XEJ457" s="4"/>
      <c r="XEK457" s="4"/>
      <c r="XEL457" s="4"/>
      <c r="XEM457" s="4"/>
      <c r="XEN457" s="4"/>
      <c r="XEO457" s="4"/>
      <c r="XEP457" s="4"/>
    </row>
    <row r="458" s="2" customFormat="1" ht="26.1" customHeight="1" spans="2:16370">
      <c r="B458" s="7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68"/>
      <c r="N458" s="105"/>
      <c r="O458" s="68"/>
      <c r="P458" s="115"/>
      <c r="Q458" s="7"/>
      <c r="XEJ458" s="4"/>
      <c r="XEK458" s="4"/>
      <c r="XEL458" s="4"/>
      <c r="XEM458" s="4"/>
      <c r="XEN458" s="4"/>
      <c r="XEO458" s="4"/>
      <c r="XEP458" s="4"/>
    </row>
    <row r="459" s="2" customFormat="1" ht="26.1" customHeight="1" spans="2:16370">
      <c r="B459" s="7"/>
      <c r="C459" s="68"/>
      <c r="D459" s="68"/>
      <c r="E459" s="68"/>
      <c r="F459" s="68"/>
      <c r="G459" s="68"/>
      <c r="H459" s="68"/>
      <c r="I459" s="68"/>
      <c r="J459" s="68"/>
      <c r="K459" s="68"/>
      <c r="L459" s="68"/>
      <c r="M459" s="68"/>
      <c r="N459" s="105"/>
      <c r="O459" s="68"/>
      <c r="P459" s="115"/>
      <c r="Q459" s="7"/>
      <c r="XEJ459" s="4"/>
      <c r="XEK459" s="4"/>
      <c r="XEL459" s="4"/>
      <c r="XEM459" s="4"/>
      <c r="XEN459" s="4"/>
      <c r="XEO459" s="4"/>
      <c r="XEP459" s="4"/>
    </row>
    <row r="460" s="2" customFormat="1" ht="26.1" customHeight="1" spans="2:16370">
      <c r="B460" s="7"/>
      <c r="C460" s="68"/>
      <c r="D460" s="68"/>
      <c r="E460" s="68"/>
      <c r="F460" s="68"/>
      <c r="G460" s="68"/>
      <c r="H460" s="68"/>
      <c r="I460" s="68"/>
      <c r="J460" s="68"/>
      <c r="K460" s="68"/>
      <c r="L460" s="68"/>
      <c r="M460" s="68"/>
      <c r="N460" s="105"/>
      <c r="O460" s="68"/>
      <c r="P460" s="115"/>
      <c r="Q460" s="7"/>
      <c r="XEJ460" s="4"/>
      <c r="XEK460" s="4"/>
      <c r="XEL460" s="4"/>
      <c r="XEM460" s="4"/>
      <c r="XEN460" s="4"/>
      <c r="XEO460" s="4"/>
      <c r="XEP460" s="4"/>
    </row>
    <row r="461" s="2" customFormat="1" ht="26.1" customHeight="1" spans="2:16370">
      <c r="B461" s="7"/>
      <c r="C461" s="68"/>
      <c r="D461" s="68"/>
      <c r="E461" s="68"/>
      <c r="F461" s="68"/>
      <c r="G461" s="68"/>
      <c r="H461" s="68"/>
      <c r="I461" s="68"/>
      <c r="J461" s="68"/>
      <c r="K461" s="68"/>
      <c r="L461" s="68"/>
      <c r="M461" s="68"/>
      <c r="N461" s="105"/>
      <c r="O461" s="68"/>
      <c r="P461" s="115"/>
      <c r="Q461" s="7"/>
      <c r="XEJ461" s="4"/>
      <c r="XEK461" s="4"/>
      <c r="XEL461" s="4"/>
      <c r="XEM461" s="4"/>
      <c r="XEN461" s="4"/>
      <c r="XEO461" s="4"/>
      <c r="XEP461" s="4"/>
    </row>
    <row r="462" s="2" customFormat="1" ht="26.1" customHeight="1" spans="2:16370">
      <c r="B462" s="7"/>
      <c r="C462" s="68"/>
      <c r="D462" s="68"/>
      <c r="E462" s="68"/>
      <c r="F462" s="68"/>
      <c r="G462" s="68"/>
      <c r="H462" s="68"/>
      <c r="I462" s="68"/>
      <c r="J462" s="68"/>
      <c r="K462" s="68"/>
      <c r="L462" s="68"/>
      <c r="M462" s="68"/>
      <c r="N462" s="105"/>
      <c r="O462" s="68"/>
      <c r="P462" s="115"/>
      <c r="Q462" s="7"/>
      <c r="XEJ462" s="4"/>
      <c r="XEK462" s="4"/>
      <c r="XEL462" s="4"/>
      <c r="XEM462" s="4"/>
      <c r="XEN462" s="4"/>
      <c r="XEO462" s="4"/>
      <c r="XEP462" s="4"/>
    </row>
    <row r="463" s="2" customFormat="1" ht="26.1" customHeight="1" spans="2:16370">
      <c r="B463" s="7"/>
      <c r="C463" s="68"/>
      <c r="D463" s="68"/>
      <c r="E463" s="68"/>
      <c r="F463" s="68"/>
      <c r="G463" s="68"/>
      <c r="H463" s="68"/>
      <c r="I463" s="68"/>
      <c r="J463" s="68"/>
      <c r="K463" s="68"/>
      <c r="L463" s="68"/>
      <c r="M463" s="68"/>
      <c r="N463" s="105"/>
      <c r="O463" s="68"/>
      <c r="P463" s="115"/>
      <c r="Q463" s="7"/>
      <c r="XEJ463" s="4"/>
      <c r="XEK463" s="4"/>
      <c r="XEL463" s="4"/>
      <c r="XEM463" s="4"/>
      <c r="XEN463" s="4"/>
      <c r="XEO463" s="4"/>
      <c r="XEP463" s="4"/>
    </row>
    <row r="464" s="2" customFormat="1" ht="26.1" customHeight="1" spans="2:16370">
      <c r="B464" s="7"/>
      <c r="C464" s="68"/>
      <c r="D464" s="68"/>
      <c r="E464" s="68"/>
      <c r="F464" s="68"/>
      <c r="G464" s="68"/>
      <c r="H464" s="68"/>
      <c r="I464" s="68"/>
      <c r="J464" s="68"/>
      <c r="K464" s="68"/>
      <c r="L464" s="68"/>
      <c r="M464" s="68"/>
      <c r="N464" s="105"/>
      <c r="O464" s="68"/>
      <c r="P464" s="115"/>
      <c r="Q464" s="7"/>
      <c r="XEJ464" s="4"/>
      <c r="XEK464" s="4"/>
      <c r="XEL464" s="4"/>
      <c r="XEM464" s="4"/>
      <c r="XEN464" s="4"/>
      <c r="XEO464" s="4"/>
      <c r="XEP464" s="4"/>
    </row>
    <row r="465" s="2" customFormat="1" ht="26.1" customHeight="1" spans="2:16370">
      <c r="B465" s="7"/>
      <c r="C465" s="68"/>
      <c r="D465" s="68"/>
      <c r="E465" s="68"/>
      <c r="F465" s="68"/>
      <c r="G465" s="68"/>
      <c r="H465" s="68"/>
      <c r="I465" s="68"/>
      <c r="J465" s="68"/>
      <c r="K465" s="68"/>
      <c r="L465" s="68"/>
      <c r="M465" s="68"/>
      <c r="N465" s="105"/>
      <c r="O465" s="68"/>
      <c r="P465" s="115"/>
      <c r="Q465" s="7"/>
      <c r="XEJ465" s="4"/>
      <c r="XEK465" s="4"/>
      <c r="XEL465" s="4"/>
      <c r="XEM465" s="4"/>
      <c r="XEN465" s="4"/>
      <c r="XEO465" s="4"/>
      <c r="XEP465" s="4"/>
    </row>
    <row r="466" s="2" customFormat="1" ht="26.1" customHeight="1" spans="2:16370">
      <c r="B466" s="7"/>
      <c r="C466" s="68"/>
      <c r="D466" s="68"/>
      <c r="E466" s="68"/>
      <c r="F466" s="68"/>
      <c r="G466" s="68"/>
      <c r="H466" s="68"/>
      <c r="I466" s="68"/>
      <c r="J466" s="68"/>
      <c r="K466" s="68"/>
      <c r="L466" s="68"/>
      <c r="M466" s="68"/>
      <c r="N466" s="105"/>
      <c r="O466" s="68"/>
      <c r="P466" s="115"/>
      <c r="Q466" s="7"/>
      <c r="XEJ466" s="4"/>
      <c r="XEK466" s="4"/>
      <c r="XEL466" s="4"/>
      <c r="XEM466" s="4"/>
      <c r="XEN466" s="4"/>
      <c r="XEO466" s="4"/>
      <c r="XEP466" s="4"/>
    </row>
    <row r="467" s="2" customFormat="1" ht="26.1" customHeight="1" spans="2:16370">
      <c r="B467" s="7"/>
      <c r="C467" s="68"/>
      <c r="D467" s="68"/>
      <c r="E467" s="68"/>
      <c r="F467" s="68"/>
      <c r="G467" s="68"/>
      <c r="H467" s="68"/>
      <c r="I467" s="68"/>
      <c r="J467" s="68"/>
      <c r="K467" s="68"/>
      <c r="L467" s="68"/>
      <c r="M467" s="68"/>
      <c r="N467" s="105"/>
      <c r="O467" s="68"/>
      <c r="P467" s="115"/>
      <c r="Q467" s="7"/>
      <c r="XEJ467" s="4"/>
      <c r="XEK467" s="4"/>
      <c r="XEL467" s="4"/>
      <c r="XEM467" s="4"/>
      <c r="XEN467" s="4"/>
      <c r="XEO467" s="4"/>
      <c r="XEP467" s="4"/>
    </row>
    <row r="468" s="2" customFormat="1" ht="26.1" customHeight="1" spans="2:16370">
      <c r="B468" s="7"/>
      <c r="C468" s="68"/>
      <c r="D468" s="68"/>
      <c r="E468" s="68"/>
      <c r="F468" s="68"/>
      <c r="G468" s="68"/>
      <c r="H468" s="68"/>
      <c r="I468" s="68"/>
      <c r="J468" s="68"/>
      <c r="K468" s="68"/>
      <c r="L468" s="68"/>
      <c r="M468" s="68"/>
      <c r="N468" s="105"/>
      <c r="O468" s="68"/>
      <c r="P468" s="115"/>
      <c r="Q468" s="7"/>
      <c r="XEJ468" s="4"/>
      <c r="XEK468" s="4"/>
      <c r="XEL468" s="4"/>
      <c r="XEM468" s="4"/>
      <c r="XEN468" s="4"/>
      <c r="XEO468" s="4"/>
      <c r="XEP468" s="4"/>
    </row>
    <row r="469" s="2" customFormat="1" ht="26.1" customHeight="1" spans="2:16370">
      <c r="B469" s="7"/>
      <c r="C469" s="68"/>
      <c r="D469" s="68"/>
      <c r="E469" s="68"/>
      <c r="F469" s="68"/>
      <c r="G469" s="68"/>
      <c r="H469" s="68"/>
      <c r="I469" s="68"/>
      <c r="J469" s="68"/>
      <c r="K469" s="68"/>
      <c r="L469" s="68"/>
      <c r="M469" s="68"/>
      <c r="N469" s="105"/>
      <c r="O469" s="68"/>
      <c r="P469" s="115"/>
      <c r="Q469" s="7"/>
      <c r="XEJ469" s="4"/>
      <c r="XEK469" s="4"/>
      <c r="XEL469" s="4"/>
      <c r="XEM469" s="4"/>
      <c r="XEN469" s="4"/>
      <c r="XEO469" s="4"/>
      <c r="XEP469" s="4"/>
    </row>
    <row r="470" s="2" customFormat="1" ht="26.1" customHeight="1" spans="2:16370">
      <c r="B470" s="7"/>
      <c r="C470" s="68"/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105"/>
      <c r="O470" s="68"/>
      <c r="P470" s="115"/>
      <c r="Q470" s="7"/>
      <c r="XEJ470" s="4"/>
      <c r="XEK470" s="4"/>
      <c r="XEL470" s="4"/>
      <c r="XEM470" s="4"/>
      <c r="XEN470" s="4"/>
      <c r="XEO470" s="4"/>
      <c r="XEP470" s="4"/>
    </row>
    <row r="471" s="2" customFormat="1" ht="26.1" customHeight="1" spans="2:16370">
      <c r="B471" s="7"/>
      <c r="C471" s="68"/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105"/>
      <c r="O471" s="68"/>
      <c r="P471" s="115"/>
      <c r="Q471" s="7"/>
      <c r="XEJ471" s="4"/>
      <c r="XEK471" s="4"/>
      <c r="XEL471" s="4"/>
      <c r="XEM471" s="4"/>
      <c r="XEN471" s="4"/>
      <c r="XEO471" s="4"/>
      <c r="XEP471" s="4"/>
    </row>
    <row r="472" s="2" customFormat="1" ht="26.1" customHeight="1" spans="2:16370">
      <c r="B472" s="7"/>
      <c r="C472" s="68"/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105"/>
      <c r="O472" s="68"/>
      <c r="P472" s="115"/>
      <c r="Q472" s="7"/>
      <c r="XEJ472" s="4"/>
      <c r="XEK472" s="4"/>
      <c r="XEL472" s="4"/>
      <c r="XEM472" s="4"/>
      <c r="XEN472" s="4"/>
      <c r="XEO472" s="4"/>
      <c r="XEP472" s="4"/>
    </row>
    <row r="473" s="2" customFormat="1" ht="26.1" customHeight="1" spans="2:16370">
      <c r="B473" s="7"/>
      <c r="C473" s="68"/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105"/>
      <c r="O473" s="68"/>
      <c r="P473" s="115"/>
      <c r="Q473" s="7"/>
      <c r="XEJ473" s="4"/>
      <c r="XEK473" s="4"/>
      <c r="XEL473" s="4"/>
      <c r="XEM473" s="4"/>
      <c r="XEN473" s="4"/>
      <c r="XEO473" s="4"/>
      <c r="XEP473" s="4"/>
    </row>
    <row r="474" s="2" customFormat="1" ht="26.1" customHeight="1" spans="2:16370">
      <c r="B474" s="7"/>
      <c r="C474" s="68"/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105"/>
      <c r="O474" s="68"/>
      <c r="P474" s="115"/>
      <c r="Q474" s="7"/>
      <c r="XEJ474" s="4"/>
      <c r="XEK474" s="4"/>
      <c r="XEL474" s="4"/>
      <c r="XEM474" s="4"/>
      <c r="XEN474" s="4"/>
      <c r="XEO474" s="4"/>
      <c r="XEP474" s="4"/>
    </row>
    <row r="475" s="2" customFormat="1" ht="26.1" customHeight="1" spans="2:16370">
      <c r="B475" s="7"/>
      <c r="C475" s="68"/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105"/>
      <c r="O475" s="68"/>
      <c r="P475" s="115"/>
      <c r="Q475" s="7"/>
      <c r="XEJ475" s="4"/>
      <c r="XEK475" s="4"/>
      <c r="XEL475" s="4"/>
      <c r="XEM475" s="4"/>
      <c r="XEN475" s="4"/>
      <c r="XEO475" s="4"/>
      <c r="XEP475" s="4"/>
    </row>
    <row r="476" s="2" customFormat="1" ht="26.1" customHeight="1" spans="2:16370">
      <c r="B476" s="7"/>
      <c r="C476" s="68"/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105"/>
      <c r="O476" s="68"/>
      <c r="P476" s="115"/>
      <c r="Q476" s="7"/>
      <c r="XEJ476" s="4"/>
      <c r="XEK476" s="4"/>
      <c r="XEL476" s="4"/>
      <c r="XEM476" s="4"/>
      <c r="XEN476" s="4"/>
      <c r="XEO476" s="4"/>
      <c r="XEP476" s="4"/>
    </row>
    <row r="477" s="2" customFormat="1" ht="26.1" customHeight="1" spans="2:16370">
      <c r="B477" s="7"/>
      <c r="C477" s="68"/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105"/>
      <c r="O477" s="68"/>
      <c r="P477" s="115"/>
      <c r="Q477" s="7"/>
      <c r="XEJ477" s="4"/>
      <c r="XEK477" s="4"/>
      <c r="XEL477" s="4"/>
      <c r="XEM477" s="4"/>
      <c r="XEN477" s="4"/>
      <c r="XEO477" s="4"/>
      <c r="XEP477" s="4"/>
    </row>
    <row r="478" s="2" customFormat="1" ht="26.1" customHeight="1" spans="2:16370">
      <c r="B478" s="7"/>
      <c r="C478" s="68"/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105"/>
      <c r="O478" s="68"/>
      <c r="P478" s="115"/>
      <c r="Q478" s="7"/>
      <c r="XEJ478" s="4"/>
      <c r="XEK478" s="4"/>
      <c r="XEL478" s="4"/>
      <c r="XEM478" s="4"/>
      <c r="XEN478" s="4"/>
      <c r="XEO478" s="4"/>
      <c r="XEP478" s="4"/>
    </row>
    <row r="479" s="2" customFormat="1" ht="26.1" customHeight="1" spans="2:16370">
      <c r="B479" s="7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105"/>
      <c r="O479" s="68"/>
      <c r="P479" s="115"/>
      <c r="Q479" s="7"/>
      <c r="XEJ479" s="4"/>
      <c r="XEK479" s="4"/>
      <c r="XEL479" s="4"/>
      <c r="XEM479" s="4"/>
      <c r="XEN479" s="4"/>
      <c r="XEO479" s="4"/>
      <c r="XEP479" s="4"/>
    </row>
    <row r="480" s="2" customFormat="1" ht="26.1" customHeight="1" spans="2:16370">
      <c r="B480" s="7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105"/>
      <c r="O480" s="68"/>
      <c r="P480" s="115"/>
      <c r="Q480" s="7"/>
      <c r="XEJ480" s="4"/>
      <c r="XEK480" s="4"/>
      <c r="XEL480" s="4"/>
      <c r="XEM480" s="4"/>
      <c r="XEN480" s="4"/>
      <c r="XEO480" s="4"/>
      <c r="XEP480" s="4"/>
    </row>
    <row r="481" s="2" customFormat="1" ht="26.1" customHeight="1" spans="2:16370">
      <c r="B481" s="7"/>
      <c r="C481" s="68"/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105"/>
      <c r="O481" s="68"/>
      <c r="P481" s="115"/>
      <c r="Q481" s="7"/>
      <c r="XEJ481" s="4"/>
      <c r="XEK481" s="4"/>
      <c r="XEL481" s="4"/>
      <c r="XEM481" s="4"/>
      <c r="XEN481" s="4"/>
      <c r="XEO481" s="4"/>
      <c r="XEP481" s="4"/>
    </row>
    <row r="482" s="2" customFormat="1" ht="26.1" customHeight="1" spans="2:16370">
      <c r="B482" s="7"/>
      <c r="C482" s="68"/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105"/>
      <c r="O482" s="68"/>
      <c r="P482" s="115"/>
      <c r="Q482" s="7"/>
      <c r="XEJ482" s="4"/>
      <c r="XEK482" s="4"/>
      <c r="XEL482" s="4"/>
      <c r="XEM482" s="4"/>
      <c r="XEN482" s="4"/>
      <c r="XEO482" s="4"/>
      <c r="XEP482" s="4"/>
    </row>
    <row r="483" s="2" customFormat="1" ht="26.1" customHeight="1" spans="2:16370">
      <c r="B483" s="7"/>
      <c r="C483" s="68"/>
      <c r="D483" s="68"/>
      <c r="E483" s="68"/>
      <c r="F483" s="68"/>
      <c r="G483" s="68"/>
      <c r="H483" s="68"/>
      <c r="I483" s="68"/>
      <c r="J483" s="68"/>
      <c r="K483" s="68"/>
      <c r="L483" s="68"/>
      <c r="M483" s="68"/>
      <c r="N483" s="105"/>
      <c r="O483" s="68"/>
      <c r="P483" s="115"/>
      <c r="Q483" s="7"/>
      <c r="XEJ483" s="4"/>
      <c r="XEK483" s="4"/>
      <c r="XEL483" s="4"/>
      <c r="XEM483" s="4"/>
      <c r="XEN483" s="4"/>
      <c r="XEO483" s="4"/>
      <c r="XEP483" s="4"/>
    </row>
    <row r="484" s="2" customFormat="1" ht="26.1" customHeight="1" spans="2:16370">
      <c r="B484" s="7"/>
      <c r="C484" s="68"/>
      <c r="D484" s="68"/>
      <c r="E484" s="68"/>
      <c r="F484" s="68"/>
      <c r="G484" s="68"/>
      <c r="H484" s="68"/>
      <c r="I484" s="68"/>
      <c r="J484" s="68"/>
      <c r="K484" s="68"/>
      <c r="L484" s="68"/>
      <c r="M484" s="68"/>
      <c r="N484" s="105"/>
      <c r="O484" s="68"/>
      <c r="P484" s="115"/>
      <c r="Q484" s="7"/>
      <c r="XEJ484" s="4"/>
      <c r="XEK484" s="4"/>
      <c r="XEL484" s="4"/>
      <c r="XEM484" s="4"/>
      <c r="XEN484" s="4"/>
      <c r="XEO484" s="4"/>
      <c r="XEP484" s="4"/>
    </row>
    <row r="485" s="2" customFormat="1" ht="26.1" customHeight="1" spans="2:16370">
      <c r="B485" s="7"/>
      <c r="C485" s="68"/>
      <c r="D485" s="68"/>
      <c r="E485" s="68"/>
      <c r="F485" s="68"/>
      <c r="G485" s="68"/>
      <c r="H485" s="68"/>
      <c r="I485" s="68"/>
      <c r="J485" s="68"/>
      <c r="K485" s="68"/>
      <c r="L485" s="68"/>
      <c r="M485" s="68"/>
      <c r="N485" s="105"/>
      <c r="O485" s="68"/>
      <c r="P485" s="115"/>
      <c r="Q485" s="7"/>
      <c r="XEJ485" s="4"/>
      <c r="XEK485" s="4"/>
      <c r="XEL485" s="4"/>
      <c r="XEM485" s="4"/>
      <c r="XEN485" s="4"/>
      <c r="XEO485" s="4"/>
      <c r="XEP485" s="4"/>
    </row>
    <row r="486" s="2" customFormat="1" ht="26.1" customHeight="1" spans="2:16370">
      <c r="B486" s="7"/>
      <c r="C486" s="68"/>
      <c r="D486" s="68"/>
      <c r="E486" s="68"/>
      <c r="F486" s="68"/>
      <c r="G486" s="68"/>
      <c r="H486" s="68"/>
      <c r="I486" s="68"/>
      <c r="J486" s="68"/>
      <c r="K486" s="68"/>
      <c r="L486" s="68"/>
      <c r="M486" s="68"/>
      <c r="N486" s="105"/>
      <c r="O486" s="68"/>
      <c r="P486" s="115"/>
      <c r="Q486" s="7"/>
      <c r="XEJ486" s="4"/>
      <c r="XEK486" s="4"/>
      <c r="XEL486" s="4"/>
      <c r="XEM486" s="4"/>
      <c r="XEN486" s="4"/>
      <c r="XEO486" s="4"/>
      <c r="XEP486" s="4"/>
    </row>
    <row r="487" s="2" customFormat="1" ht="26.1" customHeight="1" spans="2:16370">
      <c r="B487" s="7"/>
      <c r="C487" s="68"/>
      <c r="D487" s="68"/>
      <c r="E487" s="68"/>
      <c r="F487" s="68"/>
      <c r="G487" s="68"/>
      <c r="H487" s="68"/>
      <c r="I487" s="68"/>
      <c r="J487" s="68"/>
      <c r="K487" s="68"/>
      <c r="L487" s="68"/>
      <c r="M487" s="68"/>
      <c r="N487" s="105"/>
      <c r="O487" s="68"/>
      <c r="P487" s="115"/>
      <c r="Q487" s="7"/>
      <c r="XEJ487" s="4"/>
      <c r="XEK487" s="4"/>
      <c r="XEL487" s="4"/>
      <c r="XEM487" s="4"/>
      <c r="XEN487" s="4"/>
      <c r="XEO487" s="4"/>
      <c r="XEP487" s="4"/>
    </row>
    <row r="488" s="2" customFormat="1" ht="26.1" customHeight="1" spans="2:16370">
      <c r="B488" s="7"/>
      <c r="C488" s="68"/>
      <c r="D488" s="68"/>
      <c r="E488" s="68"/>
      <c r="F488" s="68"/>
      <c r="G488" s="68"/>
      <c r="H488" s="68"/>
      <c r="I488" s="68"/>
      <c r="J488" s="68"/>
      <c r="K488" s="68"/>
      <c r="L488" s="68"/>
      <c r="M488" s="68"/>
      <c r="N488" s="105"/>
      <c r="O488" s="68"/>
      <c r="P488" s="115"/>
      <c r="Q488" s="7"/>
      <c r="XEJ488" s="4"/>
      <c r="XEK488" s="4"/>
      <c r="XEL488" s="4"/>
      <c r="XEM488" s="4"/>
      <c r="XEN488" s="4"/>
      <c r="XEO488" s="4"/>
      <c r="XEP488" s="4"/>
    </row>
    <row r="489" s="2" customFormat="1" ht="26.1" customHeight="1" spans="2:16370">
      <c r="B489" s="7"/>
      <c r="C489" s="68"/>
      <c r="D489" s="68"/>
      <c r="E489" s="68"/>
      <c r="F489" s="68"/>
      <c r="G489" s="68"/>
      <c r="H489" s="68"/>
      <c r="I489" s="68"/>
      <c r="J489" s="68"/>
      <c r="K489" s="68"/>
      <c r="L489" s="68"/>
      <c r="M489" s="68"/>
      <c r="N489" s="105"/>
      <c r="O489" s="68"/>
      <c r="P489" s="115"/>
      <c r="Q489" s="7"/>
      <c r="XEJ489" s="4"/>
      <c r="XEK489" s="4"/>
      <c r="XEL489" s="4"/>
      <c r="XEM489" s="4"/>
      <c r="XEN489" s="4"/>
      <c r="XEO489" s="4"/>
      <c r="XEP489" s="4"/>
    </row>
    <row r="490" s="2" customFormat="1" ht="26.1" customHeight="1" spans="2:16370">
      <c r="B490" s="7"/>
      <c r="C490" s="68"/>
      <c r="D490" s="68"/>
      <c r="E490" s="68"/>
      <c r="F490" s="68"/>
      <c r="G490" s="68"/>
      <c r="H490" s="68"/>
      <c r="I490" s="68"/>
      <c r="J490" s="68"/>
      <c r="K490" s="68"/>
      <c r="L490" s="68"/>
      <c r="M490" s="68"/>
      <c r="N490" s="105"/>
      <c r="O490" s="68"/>
      <c r="P490" s="115"/>
      <c r="Q490" s="7"/>
      <c r="XEJ490" s="4"/>
      <c r="XEK490" s="4"/>
      <c r="XEL490" s="4"/>
      <c r="XEM490" s="4"/>
      <c r="XEN490" s="4"/>
      <c r="XEO490" s="4"/>
      <c r="XEP490" s="4"/>
    </row>
    <row r="491" s="2" customFormat="1" ht="26.1" customHeight="1" spans="2:16370">
      <c r="B491" s="7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68"/>
      <c r="N491" s="105"/>
      <c r="O491" s="68"/>
      <c r="P491" s="115"/>
      <c r="Q491" s="7"/>
      <c r="XEJ491" s="4"/>
      <c r="XEK491" s="4"/>
      <c r="XEL491" s="4"/>
      <c r="XEM491" s="4"/>
      <c r="XEN491" s="4"/>
      <c r="XEO491" s="4"/>
      <c r="XEP491" s="4"/>
    </row>
    <row r="492" s="2" customFormat="1" ht="26.1" customHeight="1" spans="2:16370">
      <c r="B492" s="7"/>
      <c r="C492" s="68"/>
      <c r="D492" s="68"/>
      <c r="E492" s="68"/>
      <c r="F492" s="68"/>
      <c r="G492" s="68"/>
      <c r="H492" s="68"/>
      <c r="I492" s="68"/>
      <c r="J492" s="68"/>
      <c r="K492" s="68"/>
      <c r="L492" s="68"/>
      <c r="M492" s="68"/>
      <c r="N492" s="105"/>
      <c r="O492" s="68"/>
      <c r="P492" s="115"/>
      <c r="Q492" s="7"/>
      <c r="XEJ492" s="4"/>
      <c r="XEK492" s="4"/>
      <c r="XEL492" s="4"/>
      <c r="XEM492" s="4"/>
      <c r="XEN492" s="4"/>
      <c r="XEO492" s="4"/>
      <c r="XEP492" s="4"/>
    </row>
    <row r="493" s="2" customFormat="1" ht="26.1" customHeight="1" spans="2:16370">
      <c r="B493" s="7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105"/>
      <c r="O493" s="68"/>
      <c r="P493" s="115"/>
      <c r="Q493" s="7"/>
      <c r="XEJ493" s="4"/>
      <c r="XEK493" s="4"/>
      <c r="XEL493" s="4"/>
      <c r="XEM493" s="4"/>
      <c r="XEN493" s="4"/>
      <c r="XEO493" s="4"/>
      <c r="XEP493" s="4"/>
    </row>
    <row r="494" s="2" customFormat="1" ht="26.1" customHeight="1" spans="2:16370">
      <c r="B494" s="7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105"/>
      <c r="O494" s="68"/>
      <c r="P494" s="115"/>
      <c r="Q494" s="7"/>
      <c r="XEJ494" s="4"/>
      <c r="XEK494" s="4"/>
      <c r="XEL494" s="4"/>
      <c r="XEM494" s="4"/>
      <c r="XEN494" s="4"/>
      <c r="XEO494" s="4"/>
      <c r="XEP494" s="4"/>
    </row>
    <row r="495" s="2" customFormat="1" ht="26.1" customHeight="1" spans="2:16370">
      <c r="B495" s="7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105"/>
      <c r="O495" s="68"/>
      <c r="P495" s="115"/>
      <c r="Q495" s="7"/>
      <c r="XEJ495" s="4"/>
      <c r="XEK495" s="4"/>
      <c r="XEL495" s="4"/>
      <c r="XEM495" s="4"/>
      <c r="XEN495" s="4"/>
      <c r="XEO495" s="4"/>
      <c r="XEP495" s="4"/>
    </row>
    <row r="496" s="2" customFormat="1" ht="26.1" customHeight="1" spans="2:16370">
      <c r="B496" s="7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105"/>
      <c r="O496" s="68"/>
      <c r="P496" s="115"/>
      <c r="Q496" s="7"/>
      <c r="XEJ496" s="4"/>
      <c r="XEK496" s="4"/>
      <c r="XEL496" s="4"/>
      <c r="XEM496" s="4"/>
      <c r="XEN496" s="4"/>
      <c r="XEO496" s="4"/>
      <c r="XEP496" s="4"/>
    </row>
    <row r="497" s="2" customFormat="1" ht="26.1" customHeight="1" spans="2:16370">
      <c r="B497" s="7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105"/>
      <c r="O497" s="68"/>
      <c r="P497" s="115"/>
      <c r="Q497" s="7"/>
      <c r="XEJ497" s="4"/>
      <c r="XEK497" s="4"/>
      <c r="XEL497" s="4"/>
      <c r="XEM497" s="4"/>
      <c r="XEN497" s="4"/>
      <c r="XEO497" s="4"/>
      <c r="XEP497" s="4"/>
    </row>
    <row r="498" s="2" customFormat="1" ht="26.1" customHeight="1" spans="2:16370">
      <c r="B498" s="7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105"/>
      <c r="O498" s="68"/>
      <c r="P498" s="115"/>
      <c r="Q498" s="7"/>
      <c r="XEJ498" s="4"/>
      <c r="XEK498" s="4"/>
      <c r="XEL498" s="4"/>
      <c r="XEM498" s="4"/>
      <c r="XEN498" s="4"/>
      <c r="XEO498" s="4"/>
      <c r="XEP498" s="4"/>
    </row>
    <row r="499" s="2" customFormat="1" ht="26.1" customHeight="1" spans="2:16370">
      <c r="B499" s="7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105"/>
      <c r="O499" s="68"/>
      <c r="P499" s="115"/>
      <c r="Q499" s="7"/>
      <c r="XEJ499" s="4"/>
      <c r="XEK499" s="4"/>
      <c r="XEL499" s="4"/>
      <c r="XEM499" s="4"/>
      <c r="XEN499" s="4"/>
      <c r="XEO499" s="4"/>
      <c r="XEP499" s="4"/>
    </row>
    <row r="500" s="2" customFormat="1" ht="26.1" customHeight="1" spans="2:16370">
      <c r="B500" s="7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105"/>
      <c r="O500" s="68"/>
      <c r="P500" s="115"/>
      <c r="Q500" s="7"/>
      <c r="XEJ500" s="4"/>
      <c r="XEK500" s="4"/>
      <c r="XEL500" s="4"/>
      <c r="XEM500" s="4"/>
      <c r="XEN500" s="4"/>
      <c r="XEO500" s="4"/>
      <c r="XEP500" s="4"/>
    </row>
    <row r="501" s="2" customFormat="1" ht="26.1" customHeight="1" spans="2:16370">
      <c r="B501" s="7"/>
      <c r="C501" s="68"/>
      <c r="D501" s="68"/>
      <c r="E501" s="68"/>
      <c r="F501" s="68"/>
      <c r="G501" s="68"/>
      <c r="H501" s="68"/>
      <c r="I501" s="68"/>
      <c r="J501" s="68"/>
      <c r="K501" s="68"/>
      <c r="L501" s="68"/>
      <c r="M501" s="68"/>
      <c r="N501" s="105"/>
      <c r="O501" s="68"/>
      <c r="P501" s="115"/>
      <c r="Q501" s="7"/>
      <c r="XEJ501" s="4"/>
      <c r="XEK501" s="4"/>
      <c r="XEL501" s="4"/>
      <c r="XEM501" s="4"/>
      <c r="XEN501" s="4"/>
      <c r="XEO501" s="4"/>
      <c r="XEP501" s="4"/>
    </row>
    <row r="502" s="2" customFormat="1" ht="26.1" customHeight="1" spans="2:16370">
      <c r="B502" s="7"/>
      <c r="C502" s="68"/>
      <c r="D502" s="68"/>
      <c r="E502" s="68"/>
      <c r="F502" s="68"/>
      <c r="G502" s="68"/>
      <c r="H502" s="68"/>
      <c r="I502" s="68"/>
      <c r="J502" s="68"/>
      <c r="K502" s="68"/>
      <c r="L502" s="68"/>
      <c r="M502" s="68"/>
      <c r="N502" s="105"/>
      <c r="O502" s="68"/>
      <c r="P502" s="115"/>
      <c r="Q502" s="7"/>
      <c r="XEJ502" s="4"/>
      <c r="XEK502" s="4"/>
      <c r="XEL502" s="4"/>
      <c r="XEM502" s="4"/>
      <c r="XEN502" s="4"/>
      <c r="XEO502" s="4"/>
      <c r="XEP502" s="4"/>
    </row>
    <row r="503" s="2" customFormat="1" ht="26.1" customHeight="1" spans="2:16370">
      <c r="B503" s="7"/>
      <c r="C503" s="68"/>
      <c r="D503" s="68"/>
      <c r="E503" s="68"/>
      <c r="F503" s="68"/>
      <c r="G503" s="68"/>
      <c r="H503" s="68"/>
      <c r="I503" s="68"/>
      <c r="J503" s="68"/>
      <c r="K503" s="68"/>
      <c r="L503" s="68"/>
      <c r="M503" s="68"/>
      <c r="N503" s="105"/>
      <c r="O503" s="68"/>
      <c r="P503" s="115"/>
      <c r="Q503" s="7"/>
      <c r="XEJ503" s="4"/>
      <c r="XEK503" s="4"/>
      <c r="XEL503" s="4"/>
      <c r="XEM503" s="4"/>
      <c r="XEN503" s="4"/>
      <c r="XEO503" s="4"/>
      <c r="XEP503" s="4"/>
    </row>
    <row r="504" s="2" customFormat="1" ht="26.1" customHeight="1" spans="2:16370">
      <c r="B504" s="7"/>
      <c r="C504" s="68"/>
      <c r="D504" s="68"/>
      <c r="E504" s="68"/>
      <c r="F504" s="68"/>
      <c r="G504" s="68"/>
      <c r="H504" s="68"/>
      <c r="I504" s="68"/>
      <c r="J504" s="68"/>
      <c r="K504" s="68"/>
      <c r="L504" s="68"/>
      <c r="M504" s="68"/>
      <c r="N504" s="105"/>
      <c r="O504" s="68"/>
      <c r="P504" s="115"/>
      <c r="Q504" s="7"/>
      <c r="XEJ504" s="4"/>
      <c r="XEK504" s="4"/>
      <c r="XEL504" s="4"/>
      <c r="XEM504" s="4"/>
      <c r="XEN504" s="4"/>
      <c r="XEO504" s="4"/>
      <c r="XEP504" s="4"/>
    </row>
    <row r="505" s="2" customFormat="1" ht="26.1" customHeight="1" spans="2:16370">
      <c r="B505" s="7"/>
      <c r="C505" s="68"/>
      <c r="D505" s="68"/>
      <c r="E505" s="68"/>
      <c r="F505" s="68"/>
      <c r="G505" s="68"/>
      <c r="H505" s="68"/>
      <c r="I505" s="68"/>
      <c r="J505" s="68"/>
      <c r="K505" s="68"/>
      <c r="L505" s="68"/>
      <c r="M505" s="68"/>
      <c r="N505" s="105"/>
      <c r="O505" s="68"/>
      <c r="P505" s="115"/>
      <c r="Q505" s="7"/>
      <c r="XEJ505" s="4"/>
      <c r="XEK505" s="4"/>
      <c r="XEL505" s="4"/>
      <c r="XEM505" s="4"/>
      <c r="XEN505" s="4"/>
      <c r="XEO505" s="4"/>
      <c r="XEP505" s="4"/>
    </row>
    <row r="506" s="2" customFormat="1" ht="26.1" customHeight="1" spans="2:16370">
      <c r="B506" s="7"/>
      <c r="C506" s="68"/>
      <c r="D506" s="68"/>
      <c r="E506" s="68"/>
      <c r="F506" s="68"/>
      <c r="G506" s="68"/>
      <c r="H506" s="68"/>
      <c r="I506" s="68"/>
      <c r="J506" s="68"/>
      <c r="K506" s="68"/>
      <c r="L506" s="68"/>
      <c r="M506" s="68"/>
      <c r="N506" s="105"/>
      <c r="O506" s="68"/>
      <c r="P506" s="115"/>
      <c r="Q506" s="7"/>
      <c r="XEJ506" s="4"/>
      <c r="XEK506" s="4"/>
      <c r="XEL506" s="4"/>
      <c r="XEM506" s="4"/>
      <c r="XEN506" s="4"/>
      <c r="XEO506" s="4"/>
      <c r="XEP506" s="4"/>
    </row>
    <row r="507" s="2" customFormat="1" ht="26.1" customHeight="1" spans="2:16370">
      <c r="B507" s="7"/>
      <c r="C507" s="68"/>
      <c r="D507" s="68"/>
      <c r="E507" s="68"/>
      <c r="F507" s="68"/>
      <c r="G507" s="68"/>
      <c r="H507" s="68"/>
      <c r="I507" s="68"/>
      <c r="J507" s="68"/>
      <c r="K507" s="68"/>
      <c r="L507" s="68"/>
      <c r="M507" s="68"/>
      <c r="N507" s="105"/>
      <c r="O507" s="68"/>
      <c r="P507" s="115"/>
      <c r="Q507" s="7"/>
      <c r="XEJ507" s="4"/>
      <c r="XEK507" s="4"/>
      <c r="XEL507" s="4"/>
      <c r="XEM507" s="4"/>
      <c r="XEN507" s="4"/>
      <c r="XEO507" s="4"/>
      <c r="XEP507" s="4"/>
    </row>
    <row r="508" s="2" customFormat="1" ht="26.1" customHeight="1" spans="2:16370">
      <c r="B508" s="7"/>
      <c r="C508" s="68"/>
      <c r="D508" s="68"/>
      <c r="E508" s="68"/>
      <c r="F508" s="68"/>
      <c r="G508" s="68"/>
      <c r="H508" s="68"/>
      <c r="I508" s="68"/>
      <c r="J508" s="68"/>
      <c r="K508" s="68"/>
      <c r="L508" s="68"/>
      <c r="M508" s="68"/>
      <c r="N508" s="105"/>
      <c r="O508" s="68"/>
      <c r="P508" s="115"/>
      <c r="Q508" s="7"/>
      <c r="XEJ508" s="4"/>
      <c r="XEK508" s="4"/>
      <c r="XEL508" s="4"/>
      <c r="XEM508" s="4"/>
      <c r="XEN508" s="4"/>
      <c r="XEO508" s="4"/>
      <c r="XEP508" s="4"/>
    </row>
    <row r="509" s="2" customFormat="1" ht="26.1" customHeight="1" spans="2:16370">
      <c r="B509" s="7"/>
      <c r="C509" s="68"/>
      <c r="D509" s="68"/>
      <c r="E509" s="68"/>
      <c r="F509" s="68"/>
      <c r="G509" s="68"/>
      <c r="H509" s="68"/>
      <c r="I509" s="68"/>
      <c r="J509" s="68"/>
      <c r="K509" s="68"/>
      <c r="L509" s="68"/>
      <c r="M509" s="68"/>
      <c r="N509" s="105"/>
      <c r="O509" s="68"/>
      <c r="P509" s="115"/>
      <c r="Q509" s="7"/>
      <c r="XEJ509" s="4"/>
      <c r="XEK509" s="4"/>
      <c r="XEL509" s="4"/>
      <c r="XEM509" s="4"/>
      <c r="XEN509" s="4"/>
      <c r="XEO509" s="4"/>
      <c r="XEP509" s="4"/>
    </row>
    <row r="510" s="2" customFormat="1" ht="26.1" customHeight="1" spans="2:16370">
      <c r="B510" s="7"/>
      <c r="C510" s="68"/>
      <c r="D510" s="68"/>
      <c r="E510" s="68"/>
      <c r="F510" s="68"/>
      <c r="G510" s="68"/>
      <c r="H510" s="68"/>
      <c r="I510" s="68"/>
      <c r="J510" s="68"/>
      <c r="K510" s="68"/>
      <c r="L510" s="68"/>
      <c r="M510" s="68"/>
      <c r="N510" s="105"/>
      <c r="O510" s="68"/>
      <c r="P510" s="115"/>
      <c r="Q510" s="7"/>
      <c r="XEJ510" s="4"/>
      <c r="XEK510" s="4"/>
      <c r="XEL510" s="4"/>
      <c r="XEM510" s="4"/>
      <c r="XEN510" s="4"/>
      <c r="XEO510" s="4"/>
      <c r="XEP510" s="4"/>
    </row>
    <row r="511" s="2" customFormat="1" ht="26.1" customHeight="1" spans="2:16370">
      <c r="B511" s="7"/>
      <c r="C511" s="68"/>
      <c r="D511" s="68"/>
      <c r="E511" s="68"/>
      <c r="F511" s="68"/>
      <c r="G511" s="68"/>
      <c r="H511" s="68"/>
      <c r="I511" s="68"/>
      <c r="J511" s="68"/>
      <c r="K511" s="68"/>
      <c r="L511" s="68"/>
      <c r="M511" s="68"/>
      <c r="N511" s="105"/>
      <c r="O511" s="68"/>
      <c r="P511" s="115"/>
      <c r="Q511" s="7"/>
      <c r="XEJ511" s="4"/>
      <c r="XEK511" s="4"/>
      <c r="XEL511" s="4"/>
      <c r="XEM511" s="4"/>
      <c r="XEN511" s="4"/>
      <c r="XEO511" s="4"/>
      <c r="XEP511" s="4"/>
    </row>
    <row r="512" s="2" customFormat="1" ht="26.1" customHeight="1" spans="2:16370">
      <c r="B512" s="7"/>
      <c r="C512" s="68"/>
      <c r="D512" s="68"/>
      <c r="E512" s="68"/>
      <c r="F512" s="68"/>
      <c r="G512" s="68"/>
      <c r="H512" s="68"/>
      <c r="I512" s="68"/>
      <c r="J512" s="68"/>
      <c r="K512" s="68"/>
      <c r="L512" s="68"/>
      <c r="M512" s="68"/>
      <c r="N512" s="105"/>
      <c r="O512" s="68"/>
      <c r="P512" s="115"/>
      <c r="Q512" s="7"/>
      <c r="XEJ512" s="4"/>
      <c r="XEK512" s="4"/>
      <c r="XEL512" s="4"/>
      <c r="XEM512" s="4"/>
      <c r="XEN512" s="4"/>
      <c r="XEO512" s="4"/>
      <c r="XEP512" s="4"/>
    </row>
    <row r="513" s="2" customFormat="1" ht="26.1" customHeight="1" spans="2:16370">
      <c r="B513" s="7"/>
      <c r="C513" s="68"/>
      <c r="D513" s="68"/>
      <c r="E513" s="68"/>
      <c r="F513" s="68"/>
      <c r="G513" s="68"/>
      <c r="H513" s="68"/>
      <c r="I513" s="68"/>
      <c r="J513" s="68"/>
      <c r="K513" s="68"/>
      <c r="L513" s="68"/>
      <c r="M513" s="68"/>
      <c r="N513" s="105"/>
      <c r="O513" s="68"/>
      <c r="P513" s="115"/>
      <c r="Q513" s="7"/>
      <c r="XEJ513" s="4"/>
      <c r="XEK513" s="4"/>
      <c r="XEL513" s="4"/>
      <c r="XEM513" s="4"/>
      <c r="XEN513" s="4"/>
      <c r="XEO513" s="4"/>
      <c r="XEP513" s="4"/>
    </row>
    <row r="514" s="2" customFormat="1" ht="26.1" customHeight="1" spans="2:16370">
      <c r="B514" s="7"/>
      <c r="C514" s="68"/>
      <c r="D514" s="68"/>
      <c r="E514" s="68"/>
      <c r="F514" s="68"/>
      <c r="G514" s="68"/>
      <c r="H514" s="68"/>
      <c r="I514" s="68"/>
      <c r="J514" s="68"/>
      <c r="K514" s="68"/>
      <c r="L514" s="68"/>
      <c r="M514" s="68"/>
      <c r="N514" s="105"/>
      <c r="O514" s="68"/>
      <c r="P514" s="115"/>
      <c r="Q514" s="7"/>
      <c r="XEJ514" s="4"/>
      <c r="XEK514" s="4"/>
      <c r="XEL514" s="4"/>
      <c r="XEM514" s="4"/>
      <c r="XEN514" s="4"/>
      <c r="XEO514" s="4"/>
      <c r="XEP514" s="4"/>
    </row>
    <row r="515" s="2" customFormat="1" ht="26.1" customHeight="1" spans="2:16370">
      <c r="B515" s="7"/>
      <c r="C515" s="68"/>
      <c r="D515" s="68"/>
      <c r="E515" s="68"/>
      <c r="F515" s="68"/>
      <c r="G515" s="68"/>
      <c r="H515" s="68"/>
      <c r="I515" s="68"/>
      <c r="J515" s="68"/>
      <c r="K515" s="68"/>
      <c r="L515" s="68"/>
      <c r="M515" s="68"/>
      <c r="N515" s="105"/>
      <c r="O515" s="68"/>
      <c r="P515" s="115"/>
      <c r="Q515" s="7"/>
      <c r="XEJ515" s="4"/>
      <c r="XEK515" s="4"/>
      <c r="XEL515" s="4"/>
      <c r="XEM515" s="4"/>
      <c r="XEN515" s="4"/>
      <c r="XEO515" s="4"/>
      <c r="XEP515" s="4"/>
    </row>
    <row r="516" s="2" customFormat="1" ht="26.1" customHeight="1" spans="2:16370">
      <c r="B516" s="7"/>
      <c r="C516" s="68"/>
      <c r="D516" s="68"/>
      <c r="E516" s="68"/>
      <c r="F516" s="68"/>
      <c r="G516" s="68"/>
      <c r="H516" s="68"/>
      <c r="I516" s="68"/>
      <c r="J516" s="68"/>
      <c r="K516" s="68"/>
      <c r="L516" s="68"/>
      <c r="M516" s="68"/>
      <c r="N516" s="105"/>
      <c r="O516" s="68"/>
      <c r="P516" s="115"/>
      <c r="Q516" s="7"/>
      <c r="XEJ516" s="4"/>
      <c r="XEK516" s="4"/>
      <c r="XEL516" s="4"/>
      <c r="XEM516" s="4"/>
      <c r="XEN516" s="4"/>
      <c r="XEO516" s="4"/>
      <c r="XEP516" s="4"/>
    </row>
    <row r="517" s="2" customFormat="1" ht="26.1" customHeight="1" spans="2:16370">
      <c r="B517" s="7"/>
      <c r="C517" s="68"/>
      <c r="D517" s="68"/>
      <c r="E517" s="68"/>
      <c r="F517" s="68"/>
      <c r="G517" s="68"/>
      <c r="H517" s="68"/>
      <c r="I517" s="68"/>
      <c r="J517" s="68"/>
      <c r="K517" s="68"/>
      <c r="L517" s="68"/>
      <c r="M517" s="68"/>
      <c r="N517" s="105"/>
      <c r="O517" s="68"/>
      <c r="P517" s="115"/>
      <c r="Q517" s="7"/>
      <c r="XEJ517" s="4"/>
      <c r="XEK517" s="4"/>
      <c r="XEL517" s="4"/>
      <c r="XEM517" s="4"/>
      <c r="XEN517" s="4"/>
      <c r="XEO517" s="4"/>
      <c r="XEP517" s="4"/>
    </row>
    <row r="518" s="2" customFormat="1" ht="26.1" customHeight="1" spans="2:16370">
      <c r="B518" s="7"/>
      <c r="C518" s="68"/>
      <c r="D518" s="68"/>
      <c r="E518" s="68"/>
      <c r="F518" s="68"/>
      <c r="G518" s="68"/>
      <c r="H518" s="68"/>
      <c r="I518" s="68"/>
      <c r="J518" s="68"/>
      <c r="K518" s="68"/>
      <c r="L518" s="68"/>
      <c r="M518" s="68"/>
      <c r="N518" s="105"/>
      <c r="O518" s="68"/>
      <c r="P518" s="115"/>
      <c r="Q518" s="7"/>
      <c r="XEJ518" s="4"/>
      <c r="XEK518" s="4"/>
      <c r="XEL518" s="4"/>
      <c r="XEM518" s="4"/>
      <c r="XEN518" s="4"/>
      <c r="XEO518" s="4"/>
      <c r="XEP518" s="4"/>
    </row>
    <row r="519" s="2" customFormat="1" ht="26.1" customHeight="1" spans="2:16370">
      <c r="B519" s="7"/>
      <c r="C519" s="68"/>
      <c r="D519" s="68"/>
      <c r="E519" s="68"/>
      <c r="F519" s="68"/>
      <c r="G519" s="68"/>
      <c r="H519" s="68"/>
      <c r="I519" s="68"/>
      <c r="J519" s="68"/>
      <c r="K519" s="68"/>
      <c r="L519" s="68"/>
      <c r="M519" s="68"/>
      <c r="N519" s="105"/>
      <c r="O519" s="68"/>
      <c r="P519" s="115"/>
      <c r="Q519" s="7"/>
      <c r="XEJ519" s="4"/>
      <c r="XEK519" s="4"/>
      <c r="XEL519" s="4"/>
      <c r="XEM519" s="4"/>
      <c r="XEN519" s="4"/>
      <c r="XEO519" s="4"/>
      <c r="XEP519" s="4"/>
    </row>
    <row r="520" s="2" customFormat="1" ht="26.1" customHeight="1" spans="2:16370">
      <c r="B520" s="7"/>
      <c r="C520" s="68"/>
      <c r="D520" s="68"/>
      <c r="E520" s="68"/>
      <c r="F520" s="68"/>
      <c r="G520" s="68"/>
      <c r="H520" s="68"/>
      <c r="I520" s="68"/>
      <c r="J520" s="68"/>
      <c r="K520" s="68"/>
      <c r="L520" s="68"/>
      <c r="M520" s="68"/>
      <c r="N520" s="105"/>
      <c r="O520" s="68"/>
      <c r="P520" s="115"/>
      <c r="Q520" s="7"/>
      <c r="XEJ520" s="4"/>
      <c r="XEK520" s="4"/>
      <c r="XEL520" s="4"/>
      <c r="XEM520" s="4"/>
      <c r="XEN520" s="4"/>
      <c r="XEO520" s="4"/>
      <c r="XEP520" s="4"/>
    </row>
    <row r="521" s="2" customFormat="1" ht="26.1" customHeight="1" spans="2:16370">
      <c r="B521" s="7"/>
      <c r="C521" s="68"/>
      <c r="D521" s="68"/>
      <c r="E521" s="68"/>
      <c r="F521" s="68"/>
      <c r="G521" s="68"/>
      <c r="H521" s="68"/>
      <c r="I521" s="68"/>
      <c r="J521" s="68"/>
      <c r="K521" s="68"/>
      <c r="L521" s="68"/>
      <c r="M521" s="68"/>
      <c r="N521" s="105"/>
      <c r="O521" s="68"/>
      <c r="P521" s="115"/>
      <c r="Q521" s="7"/>
      <c r="XEJ521" s="4"/>
      <c r="XEK521" s="4"/>
      <c r="XEL521" s="4"/>
      <c r="XEM521" s="4"/>
      <c r="XEN521" s="4"/>
      <c r="XEO521" s="4"/>
      <c r="XEP521" s="4"/>
    </row>
    <row r="522" s="2" customFormat="1" ht="26.1" customHeight="1" spans="2:16370">
      <c r="B522" s="7"/>
      <c r="C522" s="68"/>
      <c r="D522" s="68"/>
      <c r="E522" s="68"/>
      <c r="F522" s="68"/>
      <c r="G522" s="68"/>
      <c r="H522" s="68"/>
      <c r="I522" s="68"/>
      <c r="J522" s="68"/>
      <c r="K522" s="68"/>
      <c r="L522" s="68"/>
      <c r="M522" s="68"/>
      <c r="N522" s="105"/>
      <c r="O522" s="68"/>
      <c r="P522" s="115"/>
      <c r="Q522" s="7"/>
      <c r="XEJ522" s="4"/>
      <c r="XEK522" s="4"/>
      <c r="XEL522" s="4"/>
      <c r="XEM522" s="4"/>
      <c r="XEN522" s="4"/>
      <c r="XEO522" s="4"/>
      <c r="XEP522" s="4"/>
    </row>
    <row r="523" s="2" customFormat="1" ht="26.1" customHeight="1" spans="2:16370">
      <c r="B523" s="7"/>
      <c r="C523" s="68"/>
      <c r="D523" s="68"/>
      <c r="E523" s="68"/>
      <c r="F523" s="68"/>
      <c r="G523" s="68"/>
      <c r="H523" s="68"/>
      <c r="I523" s="68"/>
      <c r="J523" s="68"/>
      <c r="K523" s="68"/>
      <c r="L523" s="68"/>
      <c r="M523" s="68"/>
      <c r="N523" s="105"/>
      <c r="O523" s="68"/>
      <c r="P523" s="115"/>
      <c r="Q523" s="7"/>
      <c r="XEJ523" s="4"/>
      <c r="XEK523" s="4"/>
      <c r="XEL523" s="4"/>
      <c r="XEM523" s="4"/>
      <c r="XEN523" s="4"/>
      <c r="XEO523" s="4"/>
      <c r="XEP523" s="4"/>
    </row>
    <row r="524" s="2" customFormat="1" ht="26.1" customHeight="1" spans="2:16370">
      <c r="B524" s="7"/>
      <c r="C524" s="68"/>
      <c r="D524" s="68"/>
      <c r="E524" s="68"/>
      <c r="F524" s="68"/>
      <c r="G524" s="68"/>
      <c r="H524" s="68"/>
      <c r="I524" s="68"/>
      <c r="J524" s="68"/>
      <c r="K524" s="68"/>
      <c r="L524" s="68"/>
      <c r="M524" s="68"/>
      <c r="N524" s="105"/>
      <c r="O524" s="68"/>
      <c r="P524" s="115"/>
      <c r="Q524" s="7"/>
      <c r="XEJ524" s="4"/>
      <c r="XEK524" s="4"/>
      <c r="XEL524" s="4"/>
      <c r="XEM524" s="4"/>
      <c r="XEN524" s="4"/>
      <c r="XEO524" s="4"/>
      <c r="XEP524" s="4"/>
    </row>
    <row r="525" s="2" customFormat="1" ht="26.1" customHeight="1" spans="2:16370">
      <c r="B525" s="7"/>
      <c r="C525" s="68"/>
      <c r="D525" s="68"/>
      <c r="E525" s="68"/>
      <c r="F525" s="68"/>
      <c r="G525" s="68"/>
      <c r="H525" s="68"/>
      <c r="I525" s="68"/>
      <c r="J525" s="68"/>
      <c r="K525" s="68"/>
      <c r="L525" s="68"/>
      <c r="M525" s="68"/>
      <c r="N525" s="105"/>
      <c r="O525" s="68"/>
      <c r="P525" s="115"/>
      <c r="Q525" s="7"/>
      <c r="XEJ525" s="4"/>
      <c r="XEK525" s="4"/>
      <c r="XEL525" s="4"/>
      <c r="XEM525" s="4"/>
      <c r="XEN525" s="4"/>
      <c r="XEO525" s="4"/>
      <c r="XEP525" s="4"/>
    </row>
    <row r="526" s="2" customFormat="1" ht="26.1" customHeight="1" spans="2:16370">
      <c r="B526" s="7"/>
      <c r="C526" s="68"/>
      <c r="D526" s="68"/>
      <c r="E526" s="68"/>
      <c r="F526" s="68"/>
      <c r="G526" s="68"/>
      <c r="H526" s="68"/>
      <c r="I526" s="68"/>
      <c r="J526" s="68"/>
      <c r="K526" s="68"/>
      <c r="L526" s="68"/>
      <c r="M526" s="68"/>
      <c r="N526" s="105"/>
      <c r="O526" s="68"/>
      <c r="P526" s="115"/>
      <c r="Q526" s="7"/>
      <c r="XEJ526" s="4"/>
      <c r="XEK526" s="4"/>
      <c r="XEL526" s="4"/>
      <c r="XEM526" s="4"/>
      <c r="XEN526" s="4"/>
      <c r="XEO526" s="4"/>
      <c r="XEP526" s="4"/>
    </row>
    <row r="527" s="2" customFormat="1" ht="26.1" customHeight="1" spans="2:16370">
      <c r="B527" s="7"/>
      <c r="C527" s="68"/>
      <c r="D527" s="68"/>
      <c r="E527" s="68"/>
      <c r="F527" s="68"/>
      <c r="G527" s="68"/>
      <c r="H527" s="68"/>
      <c r="I527" s="68"/>
      <c r="J527" s="68"/>
      <c r="K527" s="68"/>
      <c r="L527" s="68"/>
      <c r="M527" s="68"/>
      <c r="N527" s="105"/>
      <c r="O527" s="68"/>
      <c r="P527" s="115"/>
      <c r="Q527" s="7"/>
      <c r="XEJ527" s="4"/>
      <c r="XEK527" s="4"/>
      <c r="XEL527" s="4"/>
      <c r="XEM527" s="4"/>
      <c r="XEN527" s="4"/>
      <c r="XEO527" s="4"/>
      <c r="XEP527" s="4"/>
    </row>
    <row r="528" s="2" customFormat="1" ht="26.1" customHeight="1" spans="2:16370">
      <c r="B528" s="7"/>
      <c r="C528" s="68"/>
      <c r="D528" s="68"/>
      <c r="E528" s="68"/>
      <c r="F528" s="68"/>
      <c r="G528" s="68"/>
      <c r="H528" s="68"/>
      <c r="I528" s="68"/>
      <c r="J528" s="68"/>
      <c r="K528" s="68"/>
      <c r="L528" s="68"/>
      <c r="M528" s="68"/>
      <c r="N528" s="105"/>
      <c r="O528" s="68"/>
      <c r="P528" s="115"/>
      <c r="Q528" s="7"/>
      <c r="XEJ528" s="4"/>
      <c r="XEK528" s="4"/>
      <c r="XEL528" s="4"/>
      <c r="XEM528" s="4"/>
      <c r="XEN528" s="4"/>
      <c r="XEO528" s="4"/>
      <c r="XEP528" s="4"/>
    </row>
    <row r="529" s="2" customFormat="1" ht="26.1" customHeight="1" spans="2:16370">
      <c r="B529" s="7"/>
      <c r="C529" s="68"/>
      <c r="D529" s="68"/>
      <c r="E529" s="68"/>
      <c r="F529" s="68"/>
      <c r="G529" s="68"/>
      <c r="H529" s="68"/>
      <c r="I529" s="68"/>
      <c r="J529" s="68"/>
      <c r="K529" s="68"/>
      <c r="L529" s="68"/>
      <c r="M529" s="68"/>
      <c r="N529" s="105"/>
      <c r="O529" s="68"/>
      <c r="P529" s="115"/>
      <c r="Q529" s="7"/>
      <c r="XEJ529" s="4"/>
      <c r="XEK529" s="4"/>
      <c r="XEL529" s="4"/>
      <c r="XEM529" s="4"/>
      <c r="XEN529" s="4"/>
      <c r="XEO529" s="4"/>
      <c r="XEP529" s="4"/>
    </row>
    <row r="530" s="2" customFormat="1" ht="26.1" customHeight="1" spans="2:16370">
      <c r="B530" s="7"/>
      <c r="C530" s="68"/>
      <c r="D530" s="68"/>
      <c r="E530" s="68"/>
      <c r="F530" s="68"/>
      <c r="G530" s="68"/>
      <c r="H530" s="68"/>
      <c r="I530" s="68"/>
      <c r="J530" s="68"/>
      <c r="K530" s="68"/>
      <c r="L530" s="68"/>
      <c r="M530" s="68"/>
      <c r="N530" s="105"/>
      <c r="O530" s="68"/>
      <c r="P530" s="115"/>
      <c r="Q530" s="7"/>
      <c r="XEJ530" s="4"/>
      <c r="XEK530" s="4"/>
      <c r="XEL530" s="4"/>
      <c r="XEM530" s="4"/>
      <c r="XEN530" s="4"/>
      <c r="XEO530" s="4"/>
      <c r="XEP530" s="4"/>
    </row>
    <row r="531" s="2" customFormat="1" ht="26.1" customHeight="1" spans="2:16370">
      <c r="B531" s="7"/>
      <c r="C531" s="68"/>
      <c r="D531" s="68"/>
      <c r="E531" s="68"/>
      <c r="F531" s="68"/>
      <c r="G531" s="68"/>
      <c r="H531" s="68"/>
      <c r="I531" s="68"/>
      <c r="J531" s="68"/>
      <c r="K531" s="68"/>
      <c r="L531" s="68"/>
      <c r="M531" s="68"/>
      <c r="N531" s="105"/>
      <c r="O531" s="68"/>
      <c r="P531" s="115"/>
      <c r="Q531" s="7"/>
      <c r="XEJ531" s="4"/>
      <c r="XEK531" s="4"/>
      <c r="XEL531" s="4"/>
      <c r="XEM531" s="4"/>
      <c r="XEN531" s="4"/>
      <c r="XEO531" s="4"/>
      <c r="XEP531" s="4"/>
    </row>
    <row r="532" s="2" customFormat="1" ht="26.1" customHeight="1" spans="2:16370">
      <c r="B532" s="7"/>
      <c r="C532" s="68"/>
      <c r="D532" s="68"/>
      <c r="E532" s="68"/>
      <c r="F532" s="68"/>
      <c r="G532" s="68"/>
      <c r="H532" s="68"/>
      <c r="I532" s="68"/>
      <c r="J532" s="68"/>
      <c r="K532" s="68"/>
      <c r="L532" s="68"/>
      <c r="M532" s="68"/>
      <c r="N532" s="105"/>
      <c r="O532" s="68"/>
      <c r="P532" s="115"/>
      <c r="Q532" s="7"/>
      <c r="XEJ532" s="4"/>
      <c r="XEK532" s="4"/>
      <c r="XEL532" s="4"/>
      <c r="XEM532" s="4"/>
      <c r="XEN532" s="4"/>
      <c r="XEO532" s="4"/>
      <c r="XEP532" s="4"/>
    </row>
    <row r="533" s="2" customFormat="1" ht="26.1" customHeight="1" spans="2:16370">
      <c r="B533" s="7"/>
      <c r="C533" s="68"/>
      <c r="D533" s="68"/>
      <c r="E533" s="68"/>
      <c r="F533" s="68"/>
      <c r="G533" s="68"/>
      <c r="H533" s="68"/>
      <c r="I533" s="68"/>
      <c r="J533" s="68"/>
      <c r="K533" s="68"/>
      <c r="L533" s="68"/>
      <c r="M533" s="68"/>
      <c r="N533" s="105"/>
      <c r="O533" s="68"/>
      <c r="P533" s="115"/>
      <c r="Q533" s="7"/>
      <c r="XEJ533" s="4"/>
      <c r="XEK533" s="4"/>
      <c r="XEL533" s="4"/>
      <c r="XEM533" s="4"/>
      <c r="XEN533" s="4"/>
      <c r="XEO533" s="4"/>
      <c r="XEP533" s="4"/>
    </row>
    <row r="534" s="2" customFormat="1" ht="26.1" customHeight="1" spans="2:16370">
      <c r="B534" s="7"/>
      <c r="C534" s="68"/>
      <c r="D534" s="68"/>
      <c r="E534" s="68"/>
      <c r="F534" s="68"/>
      <c r="G534" s="68"/>
      <c r="H534" s="68"/>
      <c r="I534" s="68"/>
      <c r="J534" s="68"/>
      <c r="K534" s="68"/>
      <c r="L534" s="68"/>
      <c r="M534" s="68"/>
      <c r="N534" s="105"/>
      <c r="O534" s="68"/>
      <c r="P534" s="115"/>
      <c r="Q534" s="7"/>
      <c r="XEJ534" s="4"/>
      <c r="XEK534" s="4"/>
      <c r="XEL534" s="4"/>
      <c r="XEM534" s="4"/>
      <c r="XEN534" s="4"/>
      <c r="XEO534" s="4"/>
      <c r="XEP534" s="4"/>
    </row>
    <row r="535" s="2" customFormat="1" ht="26.1" customHeight="1" spans="2:16370">
      <c r="B535" s="7"/>
      <c r="C535" s="68"/>
      <c r="D535" s="68"/>
      <c r="E535" s="68"/>
      <c r="F535" s="68"/>
      <c r="G535" s="68"/>
      <c r="H535" s="68"/>
      <c r="I535" s="68"/>
      <c r="J535" s="68"/>
      <c r="K535" s="68"/>
      <c r="L535" s="68"/>
      <c r="M535" s="68"/>
      <c r="N535" s="105"/>
      <c r="O535" s="68"/>
      <c r="P535" s="115"/>
      <c r="Q535" s="7"/>
      <c r="XEJ535" s="4"/>
      <c r="XEK535" s="4"/>
      <c r="XEL535" s="4"/>
      <c r="XEM535" s="4"/>
      <c r="XEN535" s="4"/>
      <c r="XEO535" s="4"/>
      <c r="XEP535" s="4"/>
    </row>
    <row r="536" s="2" customFormat="1" ht="26.1" customHeight="1" spans="2:16370">
      <c r="B536" s="7"/>
      <c r="C536" s="68"/>
      <c r="D536" s="68"/>
      <c r="E536" s="68"/>
      <c r="F536" s="68"/>
      <c r="G536" s="68"/>
      <c r="H536" s="68"/>
      <c r="I536" s="68"/>
      <c r="J536" s="68"/>
      <c r="K536" s="68"/>
      <c r="L536" s="68"/>
      <c r="M536" s="68"/>
      <c r="N536" s="105"/>
      <c r="O536" s="68"/>
      <c r="P536" s="115"/>
      <c r="Q536" s="7"/>
      <c r="XEJ536" s="4"/>
      <c r="XEK536" s="4"/>
      <c r="XEL536" s="4"/>
      <c r="XEM536" s="4"/>
      <c r="XEN536" s="4"/>
      <c r="XEO536" s="4"/>
      <c r="XEP536" s="4"/>
    </row>
    <row r="537" s="2" customFormat="1" ht="26.1" customHeight="1" spans="2:16370">
      <c r="B537" s="7"/>
      <c r="C537" s="68"/>
      <c r="D537" s="68"/>
      <c r="E537" s="68"/>
      <c r="F537" s="68"/>
      <c r="G537" s="68"/>
      <c r="H537" s="68"/>
      <c r="I537" s="68"/>
      <c r="J537" s="68"/>
      <c r="K537" s="68"/>
      <c r="L537" s="68"/>
      <c r="M537" s="68"/>
      <c r="N537" s="105"/>
      <c r="O537" s="68"/>
      <c r="P537" s="115"/>
      <c r="Q537" s="7"/>
      <c r="XEJ537" s="4"/>
      <c r="XEK537" s="4"/>
      <c r="XEL537" s="4"/>
      <c r="XEM537" s="4"/>
      <c r="XEN537" s="4"/>
      <c r="XEO537" s="4"/>
      <c r="XEP537" s="4"/>
    </row>
    <row r="538" s="2" customFormat="1" ht="26.1" customHeight="1" spans="2:16370">
      <c r="B538" s="7"/>
      <c r="C538" s="68"/>
      <c r="D538" s="68"/>
      <c r="E538" s="68"/>
      <c r="F538" s="68"/>
      <c r="G538" s="68"/>
      <c r="H538" s="68"/>
      <c r="I538" s="68"/>
      <c r="J538" s="68"/>
      <c r="K538" s="68"/>
      <c r="L538" s="68"/>
      <c r="M538" s="68"/>
      <c r="N538" s="105"/>
      <c r="O538" s="68"/>
      <c r="P538" s="115"/>
      <c r="Q538" s="7"/>
      <c r="XEJ538" s="4"/>
      <c r="XEK538" s="4"/>
      <c r="XEL538" s="4"/>
      <c r="XEM538" s="4"/>
      <c r="XEN538" s="4"/>
      <c r="XEO538" s="4"/>
      <c r="XEP538" s="4"/>
    </row>
    <row r="539" s="2" customFormat="1" ht="26.1" customHeight="1" spans="2:16370">
      <c r="B539" s="7"/>
      <c r="C539" s="68"/>
      <c r="D539" s="68"/>
      <c r="E539" s="68"/>
      <c r="F539" s="68"/>
      <c r="G539" s="68"/>
      <c r="H539" s="68"/>
      <c r="I539" s="68"/>
      <c r="J539" s="68"/>
      <c r="K539" s="68"/>
      <c r="L539" s="68"/>
      <c r="M539" s="68"/>
      <c r="N539" s="105"/>
      <c r="O539" s="68"/>
      <c r="P539" s="115"/>
      <c r="Q539" s="7"/>
      <c r="XEJ539" s="4"/>
      <c r="XEK539" s="4"/>
      <c r="XEL539" s="4"/>
      <c r="XEM539" s="4"/>
      <c r="XEN539" s="4"/>
      <c r="XEO539" s="4"/>
      <c r="XEP539" s="4"/>
    </row>
    <row r="540" s="2" customFormat="1" ht="26.1" customHeight="1" spans="2:16370">
      <c r="B540" s="7"/>
      <c r="C540" s="68"/>
      <c r="D540" s="68"/>
      <c r="E540" s="68"/>
      <c r="F540" s="68"/>
      <c r="G540" s="68"/>
      <c r="H540" s="68"/>
      <c r="I540" s="68"/>
      <c r="J540" s="68"/>
      <c r="K540" s="68"/>
      <c r="L540" s="68"/>
      <c r="M540" s="68"/>
      <c r="N540" s="105"/>
      <c r="O540" s="68"/>
      <c r="P540" s="115"/>
      <c r="Q540" s="7"/>
      <c r="XEJ540" s="4"/>
      <c r="XEK540" s="4"/>
      <c r="XEL540" s="4"/>
      <c r="XEM540" s="4"/>
      <c r="XEN540" s="4"/>
      <c r="XEO540" s="4"/>
      <c r="XEP540" s="4"/>
    </row>
    <row r="541" s="2" customFormat="1" ht="26.1" customHeight="1" spans="2:16370">
      <c r="B541" s="7"/>
      <c r="C541" s="68"/>
      <c r="D541" s="68"/>
      <c r="E541" s="68"/>
      <c r="F541" s="68"/>
      <c r="G541" s="68"/>
      <c r="H541" s="68"/>
      <c r="I541" s="68"/>
      <c r="J541" s="68"/>
      <c r="K541" s="68"/>
      <c r="L541" s="68"/>
      <c r="M541" s="68"/>
      <c r="N541" s="105"/>
      <c r="O541" s="68"/>
      <c r="P541" s="115"/>
      <c r="Q541" s="7"/>
      <c r="XEJ541" s="4"/>
      <c r="XEK541" s="4"/>
      <c r="XEL541" s="4"/>
      <c r="XEM541" s="4"/>
      <c r="XEN541" s="4"/>
      <c r="XEO541" s="4"/>
      <c r="XEP541" s="4"/>
    </row>
    <row r="542" s="2" customFormat="1" ht="26.1" customHeight="1" spans="2:16370">
      <c r="B542" s="7"/>
      <c r="C542" s="68"/>
      <c r="D542" s="68"/>
      <c r="E542" s="68"/>
      <c r="F542" s="68"/>
      <c r="G542" s="68"/>
      <c r="H542" s="68"/>
      <c r="I542" s="68"/>
      <c r="J542" s="68"/>
      <c r="K542" s="68"/>
      <c r="L542" s="68"/>
      <c r="M542" s="68"/>
      <c r="N542" s="105"/>
      <c r="O542" s="68"/>
      <c r="P542" s="115"/>
      <c r="Q542" s="7"/>
      <c r="XEJ542" s="4"/>
      <c r="XEK542" s="4"/>
      <c r="XEL542" s="4"/>
      <c r="XEM542" s="4"/>
      <c r="XEN542" s="4"/>
      <c r="XEO542" s="4"/>
      <c r="XEP542" s="4"/>
    </row>
    <row r="543" s="2" customFormat="1" ht="26.1" customHeight="1" spans="2:16370">
      <c r="B543" s="7"/>
      <c r="C543" s="68"/>
      <c r="D543" s="68"/>
      <c r="E543" s="68"/>
      <c r="F543" s="68"/>
      <c r="G543" s="68"/>
      <c r="H543" s="68"/>
      <c r="I543" s="68"/>
      <c r="J543" s="68"/>
      <c r="K543" s="68"/>
      <c r="L543" s="68"/>
      <c r="M543" s="68"/>
      <c r="N543" s="105"/>
      <c r="O543" s="68"/>
      <c r="P543" s="115"/>
      <c r="Q543" s="7"/>
      <c r="XEJ543" s="4"/>
      <c r="XEK543" s="4"/>
      <c r="XEL543" s="4"/>
      <c r="XEM543" s="4"/>
      <c r="XEN543" s="4"/>
      <c r="XEO543" s="4"/>
      <c r="XEP543" s="4"/>
    </row>
    <row r="544" s="2" customFormat="1" ht="26.1" customHeight="1" spans="2:16370">
      <c r="B544" s="7"/>
      <c r="C544" s="68"/>
      <c r="D544" s="68"/>
      <c r="E544" s="68"/>
      <c r="F544" s="68"/>
      <c r="G544" s="68"/>
      <c r="H544" s="68"/>
      <c r="I544" s="68"/>
      <c r="J544" s="68"/>
      <c r="K544" s="68"/>
      <c r="L544" s="68"/>
      <c r="M544" s="68"/>
      <c r="N544" s="105"/>
      <c r="O544" s="68"/>
      <c r="P544" s="115"/>
      <c r="Q544" s="7"/>
      <c r="XEJ544" s="4"/>
      <c r="XEK544" s="4"/>
      <c r="XEL544" s="4"/>
      <c r="XEM544" s="4"/>
      <c r="XEN544" s="4"/>
      <c r="XEO544" s="4"/>
      <c r="XEP544" s="4"/>
    </row>
    <row r="545" s="2" customFormat="1" ht="26.1" customHeight="1" spans="2:16370">
      <c r="B545" s="7"/>
      <c r="C545" s="68"/>
      <c r="D545" s="68"/>
      <c r="E545" s="68"/>
      <c r="F545" s="68"/>
      <c r="G545" s="68"/>
      <c r="H545" s="68"/>
      <c r="I545" s="68"/>
      <c r="J545" s="68"/>
      <c r="K545" s="68"/>
      <c r="L545" s="68"/>
      <c r="M545" s="68"/>
      <c r="N545" s="105"/>
      <c r="O545" s="68"/>
      <c r="P545" s="115"/>
      <c r="Q545" s="7"/>
      <c r="XEJ545" s="4"/>
      <c r="XEK545" s="4"/>
      <c r="XEL545" s="4"/>
      <c r="XEM545" s="4"/>
      <c r="XEN545" s="4"/>
      <c r="XEO545" s="4"/>
      <c r="XEP545" s="4"/>
    </row>
    <row r="546" s="2" customFormat="1" ht="26.1" customHeight="1" spans="2:16370">
      <c r="B546" s="7"/>
      <c r="C546" s="68"/>
      <c r="D546" s="68"/>
      <c r="E546" s="68"/>
      <c r="F546" s="68"/>
      <c r="G546" s="68"/>
      <c r="H546" s="68"/>
      <c r="I546" s="68"/>
      <c r="J546" s="68"/>
      <c r="K546" s="68"/>
      <c r="L546" s="68"/>
      <c r="M546" s="68"/>
      <c r="N546" s="105"/>
      <c r="O546" s="68"/>
      <c r="P546" s="115"/>
      <c r="Q546" s="7"/>
      <c r="XEJ546" s="4"/>
      <c r="XEK546" s="4"/>
      <c r="XEL546" s="4"/>
      <c r="XEM546" s="4"/>
      <c r="XEN546" s="4"/>
      <c r="XEO546" s="4"/>
      <c r="XEP546" s="4"/>
    </row>
    <row r="547" s="2" customFormat="1" ht="26.1" customHeight="1" spans="2:16370">
      <c r="B547" s="7"/>
      <c r="C547" s="68"/>
      <c r="D547" s="68"/>
      <c r="E547" s="68"/>
      <c r="F547" s="68"/>
      <c r="G547" s="68"/>
      <c r="H547" s="68"/>
      <c r="I547" s="68"/>
      <c r="J547" s="68"/>
      <c r="K547" s="68"/>
      <c r="L547" s="68"/>
      <c r="M547" s="68"/>
      <c r="N547" s="105"/>
      <c r="O547" s="68"/>
      <c r="P547" s="115"/>
      <c r="Q547" s="7"/>
      <c r="XEJ547" s="4"/>
      <c r="XEK547" s="4"/>
      <c r="XEL547" s="4"/>
      <c r="XEM547" s="4"/>
      <c r="XEN547" s="4"/>
      <c r="XEO547" s="4"/>
      <c r="XEP547" s="4"/>
    </row>
    <row r="548" s="2" customFormat="1" ht="26.1" customHeight="1" spans="2:16370">
      <c r="B548" s="7"/>
      <c r="C548" s="68"/>
      <c r="D548" s="68"/>
      <c r="E548" s="68"/>
      <c r="F548" s="68"/>
      <c r="G548" s="68"/>
      <c r="H548" s="68"/>
      <c r="I548" s="68"/>
      <c r="J548" s="68"/>
      <c r="K548" s="68"/>
      <c r="L548" s="68"/>
      <c r="M548" s="68"/>
      <c r="N548" s="105"/>
      <c r="O548" s="68"/>
      <c r="P548" s="115"/>
      <c r="Q548" s="7"/>
      <c r="XEJ548" s="4"/>
      <c r="XEK548" s="4"/>
      <c r="XEL548" s="4"/>
      <c r="XEM548" s="4"/>
      <c r="XEN548" s="4"/>
      <c r="XEO548" s="4"/>
      <c r="XEP548" s="4"/>
    </row>
    <row r="549" s="2" customFormat="1" ht="26.1" customHeight="1" spans="2:16370">
      <c r="B549" s="7"/>
      <c r="C549" s="68"/>
      <c r="D549" s="68"/>
      <c r="E549" s="68"/>
      <c r="F549" s="68"/>
      <c r="G549" s="68"/>
      <c r="H549" s="68"/>
      <c r="I549" s="68"/>
      <c r="J549" s="68"/>
      <c r="K549" s="68"/>
      <c r="L549" s="68"/>
      <c r="M549" s="68"/>
      <c r="N549" s="105"/>
      <c r="O549" s="68"/>
      <c r="P549" s="115"/>
      <c r="Q549" s="7"/>
      <c r="XEJ549" s="4"/>
      <c r="XEK549" s="4"/>
      <c r="XEL549" s="4"/>
      <c r="XEM549" s="4"/>
      <c r="XEN549" s="4"/>
      <c r="XEO549" s="4"/>
      <c r="XEP549" s="4"/>
    </row>
    <row r="550" s="2" customFormat="1" ht="26.1" customHeight="1" spans="2:16370">
      <c r="B550" s="7"/>
      <c r="C550" s="68"/>
      <c r="D550" s="68"/>
      <c r="E550" s="68"/>
      <c r="F550" s="68"/>
      <c r="G550" s="68"/>
      <c r="H550" s="68"/>
      <c r="I550" s="68"/>
      <c r="J550" s="68"/>
      <c r="K550" s="68"/>
      <c r="L550" s="68"/>
      <c r="M550" s="68"/>
      <c r="N550" s="105"/>
      <c r="O550" s="68"/>
      <c r="P550" s="115"/>
      <c r="Q550" s="7"/>
      <c r="XEJ550" s="4"/>
      <c r="XEK550" s="4"/>
      <c r="XEL550" s="4"/>
      <c r="XEM550" s="4"/>
      <c r="XEN550" s="4"/>
      <c r="XEO550" s="4"/>
      <c r="XEP550" s="4"/>
    </row>
    <row r="551" s="2" customFormat="1" ht="26.1" customHeight="1" spans="2:16370">
      <c r="B551" s="7"/>
      <c r="C551" s="68"/>
      <c r="D551" s="68"/>
      <c r="E551" s="68"/>
      <c r="F551" s="68"/>
      <c r="G551" s="68"/>
      <c r="H551" s="68"/>
      <c r="I551" s="68"/>
      <c r="J551" s="68"/>
      <c r="K551" s="68"/>
      <c r="L551" s="68"/>
      <c r="M551" s="68"/>
      <c r="N551" s="105"/>
      <c r="O551" s="68"/>
      <c r="P551" s="115"/>
      <c r="Q551" s="7"/>
      <c r="XEJ551" s="4"/>
      <c r="XEK551" s="4"/>
      <c r="XEL551" s="4"/>
      <c r="XEM551" s="4"/>
      <c r="XEN551" s="4"/>
      <c r="XEO551" s="4"/>
      <c r="XEP551" s="4"/>
    </row>
    <row r="552" s="2" customFormat="1" ht="26.1" customHeight="1" spans="2:16370">
      <c r="B552" s="7"/>
      <c r="C552" s="68"/>
      <c r="D552" s="68"/>
      <c r="E552" s="68"/>
      <c r="F552" s="68"/>
      <c r="G552" s="68"/>
      <c r="H552" s="68"/>
      <c r="I552" s="68"/>
      <c r="J552" s="68"/>
      <c r="K552" s="68"/>
      <c r="L552" s="68"/>
      <c r="M552" s="68"/>
      <c r="N552" s="105"/>
      <c r="O552" s="68"/>
      <c r="P552" s="115"/>
      <c r="Q552" s="7"/>
      <c r="XEJ552" s="4"/>
      <c r="XEK552" s="4"/>
      <c r="XEL552" s="4"/>
      <c r="XEM552" s="4"/>
      <c r="XEN552" s="4"/>
      <c r="XEO552" s="4"/>
      <c r="XEP552" s="4"/>
    </row>
    <row r="553" s="2" customFormat="1" ht="26.1" customHeight="1" spans="2:16370">
      <c r="B553" s="7"/>
      <c r="C553" s="68"/>
      <c r="D553" s="68"/>
      <c r="E553" s="68"/>
      <c r="F553" s="68"/>
      <c r="G553" s="68"/>
      <c r="H553" s="68"/>
      <c r="I553" s="68"/>
      <c r="J553" s="68"/>
      <c r="K553" s="68"/>
      <c r="L553" s="68"/>
      <c r="M553" s="68"/>
      <c r="N553" s="105"/>
      <c r="O553" s="68"/>
      <c r="P553" s="115"/>
      <c r="Q553" s="7"/>
      <c r="XEJ553" s="4"/>
      <c r="XEK553" s="4"/>
      <c r="XEL553" s="4"/>
      <c r="XEM553" s="4"/>
      <c r="XEN553" s="4"/>
      <c r="XEO553" s="4"/>
      <c r="XEP553" s="4"/>
    </row>
    <row r="554" s="2" customFormat="1" ht="26.1" customHeight="1" spans="2:16370">
      <c r="B554" s="7"/>
      <c r="C554" s="68"/>
      <c r="D554" s="68"/>
      <c r="E554" s="68"/>
      <c r="F554" s="68"/>
      <c r="G554" s="68"/>
      <c r="H554" s="68"/>
      <c r="I554" s="68"/>
      <c r="J554" s="68"/>
      <c r="K554" s="68"/>
      <c r="L554" s="68"/>
      <c r="M554" s="68"/>
      <c r="N554" s="105"/>
      <c r="O554" s="68"/>
      <c r="P554" s="115"/>
      <c r="Q554" s="7"/>
      <c r="XEJ554" s="4"/>
      <c r="XEK554" s="4"/>
      <c r="XEL554" s="4"/>
      <c r="XEM554" s="4"/>
      <c r="XEN554" s="4"/>
      <c r="XEO554" s="4"/>
      <c r="XEP554" s="4"/>
    </row>
    <row r="555" s="2" customFormat="1" ht="26.1" customHeight="1" spans="2:16370">
      <c r="B555" s="7"/>
      <c r="C555" s="68"/>
      <c r="D555" s="68"/>
      <c r="E555" s="68"/>
      <c r="F555" s="68"/>
      <c r="G555" s="68"/>
      <c r="H555" s="68"/>
      <c r="I555" s="68"/>
      <c r="J555" s="68"/>
      <c r="K555" s="68"/>
      <c r="L555" s="68"/>
      <c r="M555" s="68"/>
      <c r="N555" s="105"/>
      <c r="O555" s="68"/>
      <c r="P555" s="115"/>
      <c r="Q555" s="7"/>
      <c r="XEJ555" s="4"/>
      <c r="XEK555" s="4"/>
      <c r="XEL555" s="4"/>
      <c r="XEM555" s="4"/>
      <c r="XEN555" s="4"/>
      <c r="XEO555" s="4"/>
      <c r="XEP555" s="4"/>
    </row>
    <row r="556" s="2" customFormat="1" ht="26.1" customHeight="1" spans="2:16370">
      <c r="B556" s="7"/>
      <c r="C556" s="68"/>
      <c r="D556" s="68"/>
      <c r="E556" s="68"/>
      <c r="F556" s="68"/>
      <c r="G556" s="68"/>
      <c r="H556" s="68"/>
      <c r="I556" s="68"/>
      <c r="J556" s="68"/>
      <c r="K556" s="68"/>
      <c r="L556" s="68"/>
      <c r="M556" s="68"/>
      <c r="N556" s="105"/>
      <c r="O556" s="68"/>
      <c r="P556" s="115"/>
      <c r="Q556" s="7"/>
      <c r="XEJ556" s="4"/>
      <c r="XEK556" s="4"/>
      <c r="XEL556" s="4"/>
      <c r="XEM556" s="4"/>
      <c r="XEN556" s="4"/>
      <c r="XEO556" s="4"/>
      <c r="XEP556" s="4"/>
    </row>
    <row r="557" s="2" customFormat="1" ht="26.1" customHeight="1" spans="2:16370">
      <c r="B557" s="7"/>
      <c r="C557" s="68"/>
      <c r="D557" s="68"/>
      <c r="E557" s="68"/>
      <c r="F557" s="68"/>
      <c r="G557" s="68"/>
      <c r="H557" s="68"/>
      <c r="I557" s="68"/>
      <c r="J557" s="68"/>
      <c r="K557" s="68"/>
      <c r="L557" s="68"/>
      <c r="M557" s="68"/>
      <c r="N557" s="105"/>
      <c r="O557" s="68"/>
      <c r="P557" s="115"/>
      <c r="Q557" s="7"/>
      <c r="XEJ557" s="4"/>
      <c r="XEK557" s="4"/>
      <c r="XEL557" s="4"/>
      <c r="XEM557" s="4"/>
      <c r="XEN557" s="4"/>
      <c r="XEO557" s="4"/>
      <c r="XEP557" s="4"/>
    </row>
    <row r="558" s="2" customFormat="1" ht="26.1" customHeight="1" spans="2:16370">
      <c r="B558" s="7"/>
      <c r="C558" s="68"/>
      <c r="D558" s="68"/>
      <c r="E558" s="68"/>
      <c r="F558" s="68"/>
      <c r="G558" s="68"/>
      <c r="H558" s="68"/>
      <c r="I558" s="68"/>
      <c r="J558" s="68"/>
      <c r="K558" s="68"/>
      <c r="L558" s="68"/>
      <c r="M558" s="68"/>
      <c r="N558" s="105"/>
      <c r="O558" s="68"/>
      <c r="P558" s="115"/>
      <c r="Q558" s="7"/>
      <c r="XEJ558" s="4"/>
      <c r="XEK558" s="4"/>
      <c r="XEL558" s="4"/>
      <c r="XEM558" s="4"/>
      <c r="XEN558" s="4"/>
      <c r="XEO558" s="4"/>
      <c r="XEP558" s="4"/>
    </row>
    <row r="559" s="2" customFormat="1" ht="26.1" customHeight="1" spans="2:16370">
      <c r="B559" s="7"/>
      <c r="C559" s="68"/>
      <c r="D559" s="68"/>
      <c r="E559" s="68"/>
      <c r="F559" s="68"/>
      <c r="G559" s="68"/>
      <c r="H559" s="68"/>
      <c r="I559" s="68"/>
      <c r="J559" s="68"/>
      <c r="K559" s="68"/>
      <c r="L559" s="68"/>
      <c r="M559" s="68"/>
      <c r="N559" s="105"/>
      <c r="O559" s="68"/>
      <c r="P559" s="115"/>
      <c r="Q559" s="7"/>
      <c r="XEJ559" s="4"/>
      <c r="XEK559" s="4"/>
      <c r="XEL559" s="4"/>
      <c r="XEM559" s="4"/>
      <c r="XEN559" s="4"/>
      <c r="XEO559" s="4"/>
      <c r="XEP559" s="4"/>
    </row>
    <row r="560" s="2" customFormat="1" ht="26.1" customHeight="1" spans="2:16370">
      <c r="B560" s="7"/>
      <c r="C560" s="68"/>
      <c r="D560" s="68"/>
      <c r="E560" s="68"/>
      <c r="F560" s="68"/>
      <c r="G560" s="68"/>
      <c r="H560" s="68"/>
      <c r="I560" s="68"/>
      <c r="J560" s="68"/>
      <c r="K560" s="68"/>
      <c r="L560" s="68"/>
      <c r="M560" s="68"/>
      <c r="N560" s="105"/>
      <c r="O560" s="68"/>
      <c r="P560" s="115"/>
      <c r="Q560" s="7"/>
      <c r="XEJ560" s="4"/>
      <c r="XEK560" s="4"/>
      <c r="XEL560" s="4"/>
      <c r="XEM560" s="4"/>
      <c r="XEN560" s="4"/>
      <c r="XEO560" s="4"/>
      <c r="XEP560" s="4"/>
    </row>
    <row r="561" s="2" customFormat="1" ht="26.1" customHeight="1" spans="2:16370">
      <c r="B561" s="7"/>
      <c r="C561" s="68"/>
      <c r="D561" s="68"/>
      <c r="E561" s="68"/>
      <c r="F561" s="68"/>
      <c r="G561" s="68"/>
      <c r="H561" s="68"/>
      <c r="I561" s="68"/>
      <c r="J561" s="68"/>
      <c r="K561" s="68"/>
      <c r="L561" s="68"/>
      <c r="M561" s="68"/>
      <c r="N561" s="105"/>
      <c r="O561" s="68"/>
      <c r="P561" s="115"/>
      <c r="Q561" s="7"/>
      <c r="XEJ561" s="4"/>
      <c r="XEK561" s="4"/>
      <c r="XEL561" s="4"/>
      <c r="XEM561" s="4"/>
      <c r="XEN561" s="4"/>
      <c r="XEO561" s="4"/>
      <c r="XEP561" s="4"/>
    </row>
    <row r="562" s="2" customFormat="1" ht="26.1" customHeight="1" spans="2:16370">
      <c r="B562" s="7"/>
      <c r="C562" s="68"/>
      <c r="D562" s="68"/>
      <c r="E562" s="68"/>
      <c r="F562" s="68"/>
      <c r="G562" s="68"/>
      <c r="H562" s="68"/>
      <c r="I562" s="68"/>
      <c r="J562" s="68"/>
      <c r="K562" s="68"/>
      <c r="L562" s="68"/>
      <c r="M562" s="68"/>
      <c r="N562" s="105"/>
      <c r="O562" s="68"/>
      <c r="P562" s="115"/>
      <c r="Q562" s="7"/>
      <c r="XEJ562" s="4"/>
      <c r="XEK562" s="4"/>
      <c r="XEL562" s="4"/>
      <c r="XEM562" s="4"/>
      <c r="XEN562" s="4"/>
      <c r="XEO562" s="4"/>
      <c r="XEP562" s="4"/>
    </row>
    <row r="563" s="2" customFormat="1" ht="26.1" customHeight="1" spans="2:16370">
      <c r="B563" s="7"/>
      <c r="C563" s="68"/>
      <c r="D563" s="68"/>
      <c r="E563" s="68"/>
      <c r="F563" s="68"/>
      <c r="G563" s="68"/>
      <c r="H563" s="68"/>
      <c r="I563" s="68"/>
      <c r="J563" s="68"/>
      <c r="K563" s="68"/>
      <c r="L563" s="68"/>
      <c r="M563" s="68"/>
      <c r="N563" s="105"/>
      <c r="O563" s="68"/>
      <c r="P563" s="115"/>
      <c r="Q563" s="7"/>
      <c r="XEJ563" s="4"/>
      <c r="XEK563" s="4"/>
      <c r="XEL563" s="4"/>
      <c r="XEM563" s="4"/>
      <c r="XEN563" s="4"/>
      <c r="XEO563" s="4"/>
      <c r="XEP563" s="4"/>
    </row>
    <row r="564" s="2" customFormat="1" ht="26.1" customHeight="1" spans="2:16370">
      <c r="B564" s="7"/>
      <c r="C564" s="68"/>
      <c r="D564" s="68"/>
      <c r="E564" s="68"/>
      <c r="F564" s="68"/>
      <c r="G564" s="68"/>
      <c r="H564" s="68"/>
      <c r="I564" s="68"/>
      <c r="J564" s="68"/>
      <c r="K564" s="68"/>
      <c r="L564" s="68"/>
      <c r="M564" s="68"/>
      <c r="N564" s="105"/>
      <c r="O564" s="68"/>
      <c r="P564" s="115"/>
      <c r="Q564" s="7"/>
      <c r="XEJ564" s="4"/>
      <c r="XEK564" s="4"/>
      <c r="XEL564" s="4"/>
      <c r="XEM564" s="4"/>
      <c r="XEN564" s="4"/>
      <c r="XEO564" s="4"/>
      <c r="XEP564" s="4"/>
    </row>
    <row r="565" s="2" customFormat="1" ht="26.1" customHeight="1" spans="2:16370">
      <c r="B565" s="7"/>
      <c r="C565" s="68"/>
      <c r="D565" s="68"/>
      <c r="E565" s="68"/>
      <c r="F565" s="68"/>
      <c r="G565" s="68"/>
      <c r="H565" s="68"/>
      <c r="I565" s="68"/>
      <c r="J565" s="68"/>
      <c r="K565" s="68"/>
      <c r="L565" s="68"/>
      <c r="M565" s="68"/>
      <c r="N565" s="105"/>
      <c r="O565" s="68"/>
      <c r="P565" s="115"/>
      <c r="Q565" s="7"/>
      <c r="XEJ565" s="4"/>
      <c r="XEK565" s="4"/>
      <c r="XEL565" s="4"/>
      <c r="XEM565" s="4"/>
      <c r="XEN565" s="4"/>
      <c r="XEO565" s="4"/>
      <c r="XEP565" s="4"/>
    </row>
    <row r="566" s="2" customFormat="1" ht="26.1" customHeight="1" spans="2:16370">
      <c r="B566" s="7"/>
      <c r="C566" s="68"/>
      <c r="D566" s="68"/>
      <c r="E566" s="68"/>
      <c r="F566" s="68"/>
      <c r="G566" s="68"/>
      <c r="H566" s="68"/>
      <c r="I566" s="68"/>
      <c r="J566" s="68"/>
      <c r="K566" s="68"/>
      <c r="L566" s="68"/>
      <c r="M566" s="68"/>
      <c r="N566" s="105"/>
      <c r="O566" s="68"/>
      <c r="P566" s="115"/>
      <c r="Q566" s="7"/>
      <c r="XEJ566" s="4"/>
      <c r="XEK566" s="4"/>
      <c r="XEL566" s="4"/>
      <c r="XEM566" s="4"/>
      <c r="XEN566" s="4"/>
      <c r="XEO566" s="4"/>
      <c r="XEP566" s="4"/>
    </row>
    <row r="567" s="2" customFormat="1" ht="26.1" customHeight="1" spans="2:16370">
      <c r="B567" s="7"/>
      <c r="C567" s="68"/>
      <c r="D567" s="68"/>
      <c r="E567" s="68"/>
      <c r="F567" s="68"/>
      <c r="G567" s="68"/>
      <c r="H567" s="68"/>
      <c r="I567" s="68"/>
      <c r="J567" s="68"/>
      <c r="K567" s="68"/>
      <c r="L567" s="68"/>
      <c r="M567" s="68"/>
      <c r="N567" s="105"/>
      <c r="O567" s="68"/>
      <c r="P567" s="115"/>
      <c r="Q567" s="7"/>
      <c r="XEJ567" s="4"/>
      <c r="XEK567" s="4"/>
      <c r="XEL567" s="4"/>
      <c r="XEM567" s="4"/>
      <c r="XEN567" s="4"/>
      <c r="XEO567" s="4"/>
      <c r="XEP567" s="4"/>
    </row>
    <row r="568" s="2" customFormat="1" ht="26.1" customHeight="1" spans="2:16370">
      <c r="B568" s="7"/>
      <c r="C568" s="68"/>
      <c r="D568" s="68"/>
      <c r="E568" s="68"/>
      <c r="F568" s="68"/>
      <c r="G568" s="68"/>
      <c r="H568" s="68"/>
      <c r="I568" s="68"/>
      <c r="J568" s="68"/>
      <c r="K568" s="68"/>
      <c r="L568" s="68"/>
      <c r="M568" s="68"/>
      <c r="N568" s="105"/>
      <c r="O568" s="68"/>
      <c r="P568" s="115"/>
      <c r="Q568" s="7"/>
      <c r="XEJ568" s="4"/>
      <c r="XEK568" s="4"/>
      <c r="XEL568" s="4"/>
      <c r="XEM568" s="4"/>
      <c r="XEN568" s="4"/>
      <c r="XEO568" s="4"/>
      <c r="XEP568" s="4"/>
    </row>
    <row r="569" s="2" customFormat="1" ht="26.1" customHeight="1" spans="2:16370">
      <c r="B569" s="7"/>
      <c r="C569" s="68"/>
      <c r="D569" s="68"/>
      <c r="E569" s="68"/>
      <c r="F569" s="68"/>
      <c r="G569" s="68"/>
      <c r="H569" s="68"/>
      <c r="I569" s="68"/>
      <c r="J569" s="68"/>
      <c r="K569" s="68"/>
      <c r="L569" s="68"/>
      <c r="M569" s="68"/>
      <c r="N569" s="105"/>
      <c r="O569" s="68"/>
      <c r="P569" s="115"/>
      <c r="Q569" s="7"/>
      <c r="XEJ569" s="4"/>
      <c r="XEK569" s="4"/>
      <c r="XEL569" s="4"/>
      <c r="XEM569" s="4"/>
      <c r="XEN569" s="4"/>
      <c r="XEO569" s="4"/>
      <c r="XEP569" s="4"/>
    </row>
    <row r="570" s="2" customFormat="1" ht="26.1" customHeight="1" spans="2:16370">
      <c r="B570" s="7"/>
      <c r="C570" s="68"/>
      <c r="D570" s="68"/>
      <c r="E570" s="68"/>
      <c r="F570" s="68"/>
      <c r="G570" s="68"/>
      <c r="H570" s="68"/>
      <c r="I570" s="68"/>
      <c r="J570" s="68"/>
      <c r="K570" s="68"/>
      <c r="L570" s="68"/>
      <c r="M570" s="68"/>
      <c r="N570" s="105"/>
      <c r="O570" s="68"/>
      <c r="P570" s="115"/>
      <c r="Q570" s="7"/>
      <c r="XEJ570" s="4"/>
      <c r="XEK570" s="4"/>
      <c r="XEL570" s="4"/>
      <c r="XEM570" s="4"/>
      <c r="XEN570" s="4"/>
      <c r="XEO570" s="4"/>
      <c r="XEP570" s="4"/>
    </row>
    <row r="571" s="2" customFormat="1" ht="26.1" customHeight="1" spans="2:16370">
      <c r="B571" s="7"/>
      <c r="C571" s="68"/>
      <c r="D571" s="68"/>
      <c r="E571" s="68"/>
      <c r="F571" s="68"/>
      <c r="G571" s="68"/>
      <c r="H571" s="68"/>
      <c r="I571" s="68"/>
      <c r="J571" s="68"/>
      <c r="K571" s="68"/>
      <c r="L571" s="68"/>
      <c r="M571" s="68"/>
      <c r="N571" s="105"/>
      <c r="O571" s="68"/>
      <c r="P571" s="115"/>
      <c r="Q571" s="7"/>
      <c r="XEJ571" s="4"/>
      <c r="XEK571" s="4"/>
      <c r="XEL571" s="4"/>
      <c r="XEM571" s="4"/>
      <c r="XEN571" s="4"/>
      <c r="XEO571" s="4"/>
      <c r="XEP571" s="4"/>
    </row>
    <row r="572" s="2" customFormat="1" ht="26.1" customHeight="1" spans="2:16370">
      <c r="B572" s="7"/>
      <c r="C572" s="68"/>
      <c r="D572" s="68"/>
      <c r="E572" s="68"/>
      <c r="F572" s="68"/>
      <c r="G572" s="68"/>
      <c r="H572" s="68"/>
      <c r="I572" s="68"/>
      <c r="J572" s="68"/>
      <c r="K572" s="68"/>
      <c r="L572" s="68"/>
      <c r="M572" s="68"/>
      <c r="N572" s="105"/>
      <c r="O572" s="68"/>
      <c r="P572" s="115"/>
      <c r="Q572" s="7"/>
      <c r="XEJ572" s="4"/>
      <c r="XEK572" s="4"/>
      <c r="XEL572" s="4"/>
      <c r="XEM572" s="4"/>
      <c r="XEN572" s="4"/>
      <c r="XEO572" s="4"/>
      <c r="XEP572" s="4"/>
    </row>
    <row r="573" s="2" customFormat="1" ht="26.1" customHeight="1" spans="2:16370">
      <c r="B573" s="7"/>
      <c r="C573" s="68"/>
      <c r="D573" s="68"/>
      <c r="E573" s="68"/>
      <c r="F573" s="68"/>
      <c r="G573" s="68"/>
      <c r="H573" s="68"/>
      <c r="I573" s="68"/>
      <c r="J573" s="68"/>
      <c r="K573" s="68"/>
      <c r="L573" s="68"/>
      <c r="M573" s="68"/>
      <c r="N573" s="105"/>
      <c r="O573" s="68"/>
      <c r="P573" s="115"/>
      <c r="Q573" s="7"/>
      <c r="XEJ573" s="4"/>
      <c r="XEK573" s="4"/>
      <c r="XEL573" s="4"/>
      <c r="XEM573" s="4"/>
      <c r="XEN573" s="4"/>
      <c r="XEO573" s="4"/>
      <c r="XEP573" s="4"/>
    </row>
    <row r="574" s="2" customFormat="1" ht="26.1" customHeight="1" spans="2:16370">
      <c r="B574" s="7"/>
      <c r="C574" s="68"/>
      <c r="D574" s="68"/>
      <c r="E574" s="68"/>
      <c r="F574" s="68"/>
      <c r="G574" s="68"/>
      <c r="H574" s="68"/>
      <c r="I574" s="68"/>
      <c r="J574" s="68"/>
      <c r="K574" s="68"/>
      <c r="L574" s="68"/>
      <c r="M574" s="68"/>
      <c r="N574" s="105"/>
      <c r="O574" s="68"/>
      <c r="P574" s="115"/>
      <c r="Q574" s="7"/>
      <c r="XEJ574" s="4"/>
      <c r="XEK574" s="4"/>
      <c r="XEL574" s="4"/>
      <c r="XEM574" s="4"/>
      <c r="XEN574" s="4"/>
      <c r="XEO574" s="4"/>
      <c r="XEP574" s="4"/>
    </row>
    <row r="575" s="2" customFormat="1" ht="26.1" customHeight="1" spans="2:16370">
      <c r="B575" s="7"/>
      <c r="C575" s="68"/>
      <c r="D575" s="68"/>
      <c r="E575" s="68"/>
      <c r="F575" s="68"/>
      <c r="G575" s="68"/>
      <c r="H575" s="68"/>
      <c r="I575" s="68"/>
      <c r="J575" s="68"/>
      <c r="K575" s="68"/>
      <c r="L575" s="68"/>
      <c r="M575" s="68"/>
      <c r="N575" s="105"/>
      <c r="O575" s="68"/>
      <c r="P575" s="115"/>
      <c r="Q575" s="7"/>
      <c r="XEJ575" s="4"/>
      <c r="XEK575" s="4"/>
      <c r="XEL575" s="4"/>
      <c r="XEM575" s="4"/>
      <c r="XEN575" s="4"/>
      <c r="XEO575" s="4"/>
      <c r="XEP575" s="4"/>
    </row>
    <row r="576" s="2" customFormat="1" ht="26.1" customHeight="1" spans="2:16370">
      <c r="B576" s="7"/>
      <c r="C576" s="68"/>
      <c r="D576" s="68"/>
      <c r="E576" s="68"/>
      <c r="F576" s="68"/>
      <c r="G576" s="68"/>
      <c r="H576" s="68"/>
      <c r="I576" s="68"/>
      <c r="J576" s="68"/>
      <c r="K576" s="68"/>
      <c r="L576" s="68"/>
      <c r="M576" s="68"/>
      <c r="N576" s="105"/>
      <c r="O576" s="68"/>
      <c r="P576" s="115"/>
      <c r="Q576" s="7"/>
      <c r="XEJ576" s="4"/>
      <c r="XEK576" s="4"/>
      <c r="XEL576" s="4"/>
      <c r="XEM576" s="4"/>
      <c r="XEN576" s="4"/>
      <c r="XEO576" s="4"/>
      <c r="XEP576" s="4"/>
    </row>
    <row r="577" s="2" customFormat="1" ht="26.1" customHeight="1" spans="2:16370">
      <c r="B577" s="7"/>
      <c r="C577" s="68"/>
      <c r="D577" s="68"/>
      <c r="E577" s="68"/>
      <c r="F577" s="68"/>
      <c r="G577" s="68"/>
      <c r="H577" s="68"/>
      <c r="I577" s="68"/>
      <c r="J577" s="68"/>
      <c r="K577" s="68"/>
      <c r="L577" s="68"/>
      <c r="M577" s="68"/>
      <c r="N577" s="105"/>
      <c r="O577" s="68"/>
      <c r="P577" s="115"/>
      <c r="Q577" s="7"/>
      <c r="XEJ577" s="4"/>
      <c r="XEK577" s="4"/>
      <c r="XEL577" s="4"/>
      <c r="XEM577" s="4"/>
      <c r="XEN577" s="4"/>
      <c r="XEO577" s="4"/>
      <c r="XEP577" s="4"/>
    </row>
    <row r="578" s="2" customFormat="1" ht="26.1" customHeight="1" spans="2:16370">
      <c r="B578" s="7"/>
      <c r="C578" s="68"/>
      <c r="D578" s="68"/>
      <c r="E578" s="68"/>
      <c r="F578" s="68"/>
      <c r="G578" s="68"/>
      <c r="H578" s="68"/>
      <c r="I578" s="68"/>
      <c r="J578" s="68"/>
      <c r="K578" s="68"/>
      <c r="L578" s="68"/>
      <c r="M578" s="68"/>
      <c r="N578" s="105"/>
      <c r="O578" s="68"/>
      <c r="P578" s="115"/>
      <c r="Q578" s="7"/>
      <c r="XEJ578" s="4"/>
      <c r="XEK578" s="4"/>
      <c r="XEL578" s="4"/>
      <c r="XEM578" s="4"/>
      <c r="XEN578" s="4"/>
      <c r="XEO578" s="4"/>
      <c r="XEP578" s="4"/>
    </row>
    <row r="579" s="2" customFormat="1" ht="26.1" customHeight="1" spans="2:16370">
      <c r="B579" s="7"/>
      <c r="C579" s="68"/>
      <c r="D579" s="68"/>
      <c r="E579" s="68"/>
      <c r="F579" s="68"/>
      <c r="G579" s="68"/>
      <c r="H579" s="68"/>
      <c r="I579" s="68"/>
      <c r="J579" s="68"/>
      <c r="K579" s="68"/>
      <c r="L579" s="68"/>
      <c r="M579" s="68"/>
      <c r="N579" s="105"/>
      <c r="O579" s="68"/>
      <c r="P579" s="115"/>
      <c r="Q579" s="7"/>
      <c r="XEJ579" s="4"/>
      <c r="XEK579" s="4"/>
      <c r="XEL579" s="4"/>
      <c r="XEM579" s="4"/>
      <c r="XEN579" s="4"/>
      <c r="XEO579" s="4"/>
      <c r="XEP579" s="4"/>
    </row>
    <row r="580" s="2" customFormat="1" ht="26.1" customHeight="1" spans="2:16370">
      <c r="B580" s="7"/>
      <c r="C580" s="68"/>
      <c r="D580" s="68"/>
      <c r="E580" s="68"/>
      <c r="F580" s="68"/>
      <c r="G580" s="68"/>
      <c r="H580" s="68"/>
      <c r="I580" s="68"/>
      <c r="J580" s="68"/>
      <c r="K580" s="68"/>
      <c r="L580" s="68"/>
      <c r="M580" s="68"/>
      <c r="N580" s="105"/>
      <c r="O580" s="68"/>
      <c r="P580" s="115"/>
      <c r="Q580" s="7"/>
      <c r="XEJ580" s="4"/>
      <c r="XEK580" s="4"/>
      <c r="XEL580" s="4"/>
      <c r="XEM580" s="4"/>
      <c r="XEN580" s="4"/>
      <c r="XEO580" s="4"/>
      <c r="XEP580" s="4"/>
    </row>
    <row r="581" s="2" customFormat="1" ht="26.1" customHeight="1" spans="2:16370">
      <c r="B581" s="7"/>
      <c r="C581" s="68"/>
      <c r="D581" s="68"/>
      <c r="E581" s="68"/>
      <c r="F581" s="68"/>
      <c r="G581" s="68"/>
      <c r="H581" s="68"/>
      <c r="I581" s="68"/>
      <c r="J581" s="68"/>
      <c r="K581" s="68"/>
      <c r="L581" s="68"/>
      <c r="M581" s="68"/>
      <c r="N581" s="105"/>
      <c r="O581" s="68"/>
      <c r="P581" s="115"/>
      <c r="Q581" s="7"/>
      <c r="XEJ581" s="4"/>
      <c r="XEK581" s="4"/>
      <c r="XEL581" s="4"/>
      <c r="XEM581" s="4"/>
      <c r="XEN581" s="4"/>
      <c r="XEO581" s="4"/>
      <c r="XEP581" s="4"/>
    </row>
    <row r="582" s="2" customFormat="1" ht="26.1" customHeight="1" spans="2:16370">
      <c r="B582" s="7"/>
      <c r="C582" s="68"/>
      <c r="D582" s="68"/>
      <c r="E582" s="68"/>
      <c r="F582" s="68"/>
      <c r="G582" s="68"/>
      <c r="H582" s="68"/>
      <c r="I582" s="68"/>
      <c r="J582" s="68"/>
      <c r="K582" s="68"/>
      <c r="L582" s="68"/>
      <c r="M582" s="68"/>
      <c r="N582" s="105"/>
      <c r="O582" s="68"/>
      <c r="P582" s="115"/>
      <c r="Q582" s="7"/>
      <c r="XEJ582" s="4"/>
      <c r="XEK582" s="4"/>
      <c r="XEL582" s="4"/>
      <c r="XEM582" s="4"/>
      <c r="XEN582" s="4"/>
      <c r="XEO582" s="4"/>
      <c r="XEP582" s="4"/>
    </row>
    <row r="583" s="2" customFormat="1" ht="26.1" customHeight="1" spans="2:16370">
      <c r="B583" s="7"/>
      <c r="C583" s="68"/>
      <c r="D583" s="68"/>
      <c r="E583" s="68"/>
      <c r="F583" s="68"/>
      <c r="G583" s="68"/>
      <c r="H583" s="68"/>
      <c r="I583" s="68"/>
      <c r="J583" s="68"/>
      <c r="K583" s="68"/>
      <c r="L583" s="68"/>
      <c r="M583" s="68"/>
      <c r="N583" s="105"/>
      <c r="O583" s="68"/>
      <c r="P583" s="115"/>
      <c r="Q583" s="7"/>
      <c r="XEJ583" s="4"/>
      <c r="XEK583" s="4"/>
      <c r="XEL583" s="4"/>
      <c r="XEM583" s="4"/>
      <c r="XEN583" s="4"/>
      <c r="XEO583" s="4"/>
      <c r="XEP583" s="4"/>
    </row>
    <row r="584" s="2" customFormat="1" ht="26.1" customHeight="1" spans="2:16370">
      <c r="B584" s="7"/>
      <c r="C584" s="68"/>
      <c r="D584" s="68"/>
      <c r="E584" s="68"/>
      <c r="F584" s="68"/>
      <c r="G584" s="68"/>
      <c r="H584" s="68"/>
      <c r="I584" s="68"/>
      <c r="J584" s="68"/>
      <c r="K584" s="68"/>
      <c r="L584" s="68"/>
      <c r="M584" s="68"/>
      <c r="N584" s="105"/>
      <c r="O584" s="68"/>
      <c r="P584" s="115"/>
      <c r="Q584" s="7"/>
      <c r="XEJ584" s="4"/>
      <c r="XEK584" s="4"/>
      <c r="XEL584" s="4"/>
      <c r="XEM584" s="4"/>
      <c r="XEN584" s="4"/>
      <c r="XEO584" s="4"/>
      <c r="XEP584" s="4"/>
    </row>
    <row r="585" s="2" customFormat="1" ht="26.1" customHeight="1" spans="2:16370">
      <c r="B585" s="7"/>
      <c r="C585" s="68"/>
      <c r="D585" s="68"/>
      <c r="E585" s="68"/>
      <c r="F585" s="68"/>
      <c r="G585" s="68"/>
      <c r="H585" s="68"/>
      <c r="I585" s="68"/>
      <c r="J585" s="68"/>
      <c r="K585" s="68"/>
      <c r="L585" s="68"/>
      <c r="M585" s="68"/>
      <c r="N585" s="105"/>
      <c r="O585" s="68"/>
      <c r="P585" s="115"/>
      <c r="Q585" s="7"/>
      <c r="XEJ585" s="4"/>
      <c r="XEK585" s="4"/>
      <c r="XEL585" s="4"/>
      <c r="XEM585" s="4"/>
      <c r="XEN585" s="4"/>
      <c r="XEO585" s="4"/>
      <c r="XEP585" s="4"/>
    </row>
    <row r="586" s="2" customFormat="1" ht="26.1" customHeight="1" spans="2:16370">
      <c r="B586" s="7"/>
      <c r="C586" s="68"/>
      <c r="D586" s="68"/>
      <c r="E586" s="68"/>
      <c r="F586" s="68"/>
      <c r="G586" s="68"/>
      <c r="H586" s="68"/>
      <c r="I586" s="68"/>
      <c r="J586" s="68"/>
      <c r="K586" s="68"/>
      <c r="L586" s="68"/>
      <c r="M586" s="68"/>
      <c r="N586" s="105"/>
      <c r="O586" s="68"/>
      <c r="P586" s="115"/>
      <c r="Q586" s="7"/>
      <c r="XEJ586" s="4"/>
      <c r="XEK586" s="4"/>
      <c r="XEL586" s="4"/>
      <c r="XEM586" s="4"/>
      <c r="XEN586" s="4"/>
      <c r="XEO586" s="4"/>
      <c r="XEP586" s="4"/>
    </row>
    <row r="587" s="2" customFormat="1" ht="26.1" customHeight="1" spans="2:16370">
      <c r="B587" s="7"/>
      <c r="C587" s="68"/>
      <c r="D587" s="68"/>
      <c r="E587" s="68"/>
      <c r="F587" s="68"/>
      <c r="G587" s="68"/>
      <c r="H587" s="68"/>
      <c r="I587" s="68"/>
      <c r="J587" s="68"/>
      <c r="K587" s="68"/>
      <c r="L587" s="68"/>
      <c r="M587" s="68"/>
      <c r="N587" s="105"/>
      <c r="O587" s="68"/>
      <c r="P587" s="115"/>
      <c r="Q587" s="7"/>
      <c r="XEJ587" s="4"/>
      <c r="XEK587" s="4"/>
      <c r="XEL587" s="4"/>
      <c r="XEM587" s="4"/>
      <c r="XEN587" s="4"/>
      <c r="XEO587" s="4"/>
      <c r="XEP587" s="4"/>
    </row>
    <row r="588" s="2" customFormat="1" ht="26.1" customHeight="1" spans="2:16370">
      <c r="B588" s="7"/>
      <c r="C588" s="68"/>
      <c r="D588" s="68"/>
      <c r="E588" s="68"/>
      <c r="F588" s="68"/>
      <c r="G588" s="68"/>
      <c r="H588" s="68"/>
      <c r="I588" s="68"/>
      <c r="J588" s="68"/>
      <c r="K588" s="68"/>
      <c r="L588" s="68"/>
      <c r="M588" s="68"/>
      <c r="N588" s="105"/>
      <c r="O588" s="68"/>
      <c r="P588" s="115"/>
      <c r="Q588" s="7"/>
      <c r="XEJ588" s="4"/>
      <c r="XEK588" s="4"/>
      <c r="XEL588" s="4"/>
      <c r="XEM588" s="4"/>
      <c r="XEN588" s="4"/>
      <c r="XEO588" s="4"/>
      <c r="XEP588" s="4"/>
    </row>
    <row r="589" s="2" customFormat="1" ht="26.1" customHeight="1" spans="2:16370">
      <c r="B589" s="7"/>
      <c r="C589" s="68"/>
      <c r="D589" s="68"/>
      <c r="E589" s="68"/>
      <c r="F589" s="68"/>
      <c r="G589" s="68"/>
      <c r="H589" s="68"/>
      <c r="I589" s="68"/>
      <c r="J589" s="68"/>
      <c r="K589" s="68"/>
      <c r="L589" s="68"/>
      <c r="M589" s="68"/>
      <c r="N589" s="105"/>
      <c r="O589" s="68"/>
      <c r="P589" s="115"/>
      <c r="Q589" s="7"/>
      <c r="XEJ589" s="4"/>
      <c r="XEK589" s="4"/>
      <c r="XEL589" s="4"/>
      <c r="XEM589" s="4"/>
      <c r="XEN589" s="4"/>
      <c r="XEO589" s="4"/>
      <c r="XEP589" s="4"/>
    </row>
    <row r="590" s="2" customFormat="1" ht="26.1" customHeight="1" spans="2:16370">
      <c r="B590" s="7"/>
      <c r="C590" s="68"/>
      <c r="D590" s="68"/>
      <c r="E590" s="68"/>
      <c r="F590" s="68"/>
      <c r="G590" s="68"/>
      <c r="H590" s="68"/>
      <c r="I590" s="68"/>
      <c r="J590" s="68"/>
      <c r="K590" s="68"/>
      <c r="L590" s="68"/>
      <c r="M590" s="68"/>
      <c r="N590" s="105"/>
      <c r="O590" s="68"/>
      <c r="P590" s="115"/>
      <c r="Q590" s="7"/>
      <c r="XEJ590" s="4"/>
      <c r="XEK590" s="4"/>
      <c r="XEL590" s="4"/>
      <c r="XEM590" s="4"/>
      <c r="XEN590" s="4"/>
      <c r="XEO590" s="4"/>
      <c r="XEP590" s="4"/>
    </row>
    <row r="591" s="2" customFormat="1" ht="26.1" customHeight="1" spans="2:16370">
      <c r="B591" s="7"/>
      <c r="C591" s="68"/>
      <c r="D591" s="68"/>
      <c r="E591" s="68"/>
      <c r="F591" s="68"/>
      <c r="G591" s="68"/>
      <c r="H591" s="68"/>
      <c r="I591" s="68"/>
      <c r="J591" s="68"/>
      <c r="K591" s="68"/>
      <c r="L591" s="68"/>
      <c r="M591" s="68"/>
      <c r="N591" s="105"/>
      <c r="O591" s="68"/>
      <c r="P591" s="115"/>
      <c r="Q591" s="7"/>
      <c r="XEJ591" s="4"/>
      <c r="XEK591" s="4"/>
      <c r="XEL591" s="4"/>
      <c r="XEM591" s="4"/>
      <c r="XEN591" s="4"/>
      <c r="XEO591" s="4"/>
      <c r="XEP591" s="4"/>
    </row>
    <row r="592" s="2" customFormat="1" ht="26.1" customHeight="1" spans="2:16370">
      <c r="B592" s="7"/>
      <c r="C592" s="68"/>
      <c r="D592" s="68"/>
      <c r="E592" s="68"/>
      <c r="F592" s="68"/>
      <c r="G592" s="68"/>
      <c r="H592" s="68"/>
      <c r="I592" s="68"/>
      <c r="J592" s="68"/>
      <c r="K592" s="68"/>
      <c r="L592" s="68"/>
      <c r="M592" s="68"/>
      <c r="N592" s="105"/>
      <c r="O592" s="68"/>
      <c r="P592" s="115"/>
      <c r="Q592" s="7"/>
      <c r="XEJ592" s="4"/>
      <c r="XEK592" s="4"/>
      <c r="XEL592" s="4"/>
      <c r="XEM592" s="4"/>
      <c r="XEN592" s="4"/>
      <c r="XEO592" s="4"/>
      <c r="XEP592" s="4"/>
    </row>
    <row r="593" s="2" customFormat="1" ht="26.1" customHeight="1" spans="2:16370">
      <c r="B593" s="7"/>
      <c r="C593" s="68"/>
      <c r="D593" s="68"/>
      <c r="E593" s="68"/>
      <c r="F593" s="68"/>
      <c r="G593" s="68"/>
      <c r="H593" s="68"/>
      <c r="I593" s="68"/>
      <c r="J593" s="68"/>
      <c r="K593" s="68"/>
      <c r="L593" s="68"/>
      <c r="M593" s="68"/>
      <c r="N593" s="105"/>
      <c r="O593" s="68"/>
      <c r="P593" s="115"/>
      <c r="Q593" s="7"/>
      <c r="XEJ593" s="4"/>
      <c r="XEK593" s="4"/>
      <c r="XEL593" s="4"/>
      <c r="XEM593" s="4"/>
      <c r="XEN593" s="4"/>
      <c r="XEO593" s="4"/>
      <c r="XEP593" s="4"/>
    </row>
    <row r="594" s="2" customFormat="1" ht="26.1" customHeight="1" spans="2:16370">
      <c r="B594" s="7"/>
      <c r="C594" s="68"/>
      <c r="D594" s="68"/>
      <c r="E594" s="68"/>
      <c r="F594" s="68"/>
      <c r="G594" s="68"/>
      <c r="H594" s="68"/>
      <c r="I594" s="68"/>
      <c r="J594" s="68"/>
      <c r="K594" s="68"/>
      <c r="L594" s="68"/>
      <c r="M594" s="68"/>
      <c r="N594" s="105"/>
      <c r="O594" s="68"/>
      <c r="P594" s="115"/>
      <c r="Q594" s="7"/>
      <c r="XEJ594" s="4"/>
      <c r="XEK594" s="4"/>
      <c r="XEL594" s="4"/>
      <c r="XEM594" s="4"/>
      <c r="XEN594" s="4"/>
      <c r="XEO594" s="4"/>
      <c r="XEP594" s="4"/>
    </row>
    <row r="595" s="2" customFormat="1" ht="26.1" customHeight="1" spans="2:16370">
      <c r="B595" s="7"/>
      <c r="C595" s="68"/>
      <c r="D595" s="68"/>
      <c r="E595" s="68"/>
      <c r="F595" s="68"/>
      <c r="G595" s="68"/>
      <c r="H595" s="68"/>
      <c r="I595" s="68"/>
      <c r="J595" s="68"/>
      <c r="K595" s="68"/>
      <c r="L595" s="68"/>
      <c r="M595" s="68"/>
      <c r="N595" s="105"/>
      <c r="O595" s="68"/>
      <c r="P595" s="115"/>
      <c r="Q595" s="7"/>
      <c r="XEJ595" s="4"/>
      <c r="XEK595" s="4"/>
      <c r="XEL595" s="4"/>
      <c r="XEM595" s="4"/>
      <c r="XEN595" s="4"/>
      <c r="XEO595" s="4"/>
      <c r="XEP595" s="4"/>
    </row>
    <row r="596" s="2" customFormat="1" ht="26.1" customHeight="1" spans="2:16370">
      <c r="B596" s="7"/>
      <c r="C596" s="68"/>
      <c r="D596" s="68"/>
      <c r="E596" s="68"/>
      <c r="F596" s="68"/>
      <c r="G596" s="68"/>
      <c r="H596" s="68"/>
      <c r="I596" s="68"/>
      <c r="J596" s="68"/>
      <c r="K596" s="68"/>
      <c r="L596" s="68"/>
      <c r="M596" s="68"/>
      <c r="N596" s="105"/>
      <c r="O596" s="68"/>
      <c r="P596" s="115"/>
      <c r="Q596" s="7"/>
      <c r="XEJ596" s="4"/>
      <c r="XEK596" s="4"/>
      <c r="XEL596" s="4"/>
      <c r="XEM596" s="4"/>
      <c r="XEN596" s="4"/>
      <c r="XEO596" s="4"/>
      <c r="XEP596" s="4"/>
    </row>
    <row r="597" s="2" customFormat="1" ht="26.1" customHeight="1" spans="2:16370">
      <c r="B597" s="7"/>
      <c r="C597" s="68"/>
      <c r="D597" s="68"/>
      <c r="E597" s="68"/>
      <c r="F597" s="68"/>
      <c r="G597" s="68"/>
      <c r="H597" s="68"/>
      <c r="I597" s="68"/>
      <c r="J597" s="68"/>
      <c r="K597" s="68"/>
      <c r="L597" s="68"/>
      <c r="M597" s="68"/>
      <c r="N597" s="105"/>
      <c r="O597" s="68"/>
      <c r="P597" s="115"/>
      <c r="Q597" s="7"/>
      <c r="XEJ597" s="4"/>
      <c r="XEK597" s="4"/>
      <c r="XEL597" s="4"/>
      <c r="XEM597" s="4"/>
      <c r="XEN597" s="4"/>
      <c r="XEO597" s="4"/>
      <c r="XEP597" s="4"/>
    </row>
    <row r="598" s="2" customFormat="1" ht="26.1" customHeight="1" spans="2:16370">
      <c r="B598" s="7"/>
      <c r="C598" s="68"/>
      <c r="D598" s="68"/>
      <c r="E598" s="68"/>
      <c r="F598" s="68"/>
      <c r="G598" s="68"/>
      <c r="H598" s="68"/>
      <c r="I598" s="68"/>
      <c r="J598" s="68"/>
      <c r="K598" s="68"/>
      <c r="L598" s="68"/>
      <c r="M598" s="68"/>
      <c r="N598" s="105"/>
      <c r="O598" s="68"/>
      <c r="P598" s="115"/>
      <c r="Q598" s="7"/>
      <c r="XEJ598" s="4"/>
      <c r="XEK598" s="4"/>
      <c r="XEL598" s="4"/>
      <c r="XEM598" s="4"/>
      <c r="XEN598" s="4"/>
      <c r="XEO598" s="4"/>
      <c r="XEP598" s="4"/>
    </row>
    <row r="599" s="2" customFormat="1" ht="26.1" customHeight="1" spans="2:16370">
      <c r="B599" s="7"/>
      <c r="C599" s="68"/>
      <c r="D599" s="68"/>
      <c r="E599" s="68"/>
      <c r="F599" s="68"/>
      <c r="G599" s="68"/>
      <c r="H599" s="68"/>
      <c r="I599" s="68"/>
      <c r="J599" s="68"/>
      <c r="K599" s="68"/>
      <c r="L599" s="68"/>
      <c r="M599" s="68"/>
      <c r="N599" s="105"/>
      <c r="O599" s="68"/>
      <c r="P599" s="115"/>
      <c r="Q599" s="7"/>
      <c r="XEJ599" s="4"/>
      <c r="XEK599" s="4"/>
      <c r="XEL599" s="4"/>
      <c r="XEM599" s="4"/>
      <c r="XEN599" s="4"/>
      <c r="XEO599" s="4"/>
      <c r="XEP599" s="4"/>
    </row>
    <row r="600" s="2" customFormat="1" ht="26.1" customHeight="1" spans="2:16370">
      <c r="B600" s="7"/>
      <c r="C600" s="68"/>
      <c r="D600" s="68"/>
      <c r="E600" s="68"/>
      <c r="F600" s="68"/>
      <c r="G600" s="68"/>
      <c r="H600" s="68"/>
      <c r="I600" s="68"/>
      <c r="J600" s="68"/>
      <c r="K600" s="68"/>
      <c r="L600" s="68"/>
      <c r="M600" s="68"/>
      <c r="N600" s="105"/>
      <c r="O600" s="68"/>
      <c r="P600" s="115"/>
      <c r="Q600" s="7"/>
      <c r="XEJ600" s="4"/>
      <c r="XEK600" s="4"/>
      <c r="XEL600" s="4"/>
      <c r="XEM600" s="4"/>
      <c r="XEN600" s="4"/>
      <c r="XEO600" s="4"/>
      <c r="XEP600" s="4"/>
    </row>
    <row r="601" s="2" customFormat="1" ht="26.1" customHeight="1" spans="2:16370">
      <c r="B601" s="7"/>
      <c r="C601" s="68"/>
      <c r="D601" s="68"/>
      <c r="E601" s="68"/>
      <c r="F601" s="68"/>
      <c r="G601" s="68"/>
      <c r="H601" s="68"/>
      <c r="I601" s="68"/>
      <c r="J601" s="68"/>
      <c r="K601" s="68"/>
      <c r="L601" s="68"/>
      <c r="M601" s="68"/>
      <c r="N601" s="105"/>
      <c r="O601" s="68"/>
      <c r="P601" s="115"/>
      <c r="Q601" s="7"/>
      <c r="XEJ601" s="4"/>
      <c r="XEK601" s="4"/>
      <c r="XEL601" s="4"/>
      <c r="XEM601" s="4"/>
      <c r="XEN601" s="4"/>
      <c r="XEO601" s="4"/>
      <c r="XEP601" s="4"/>
    </row>
    <row r="602" s="2" customFormat="1" ht="26.1" customHeight="1" spans="2:16370">
      <c r="B602" s="7"/>
      <c r="C602" s="68"/>
      <c r="D602" s="68"/>
      <c r="E602" s="68"/>
      <c r="F602" s="68"/>
      <c r="G602" s="68"/>
      <c r="H602" s="68"/>
      <c r="I602" s="68"/>
      <c r="J602" s="68"/>
      <c r="K602" s="68"/>
      <c r="L602" s="68"/>
      <c r="M602" s="68"/>
      <c r="N602" s="105"/>
      <c r="O602" s="68"/>
      <c r="P602" s="115"/>
      <c r="Q602" s="7"/>
      <c r="XEJ602" s="4"/>
      <c r="XEK602" s="4"/>
      <c r="XEL602" s="4"/>
      <c r="XEM602" s="4"/>
      <c r="XEN602" s="4"/>
      <c r="XEO602" s="4"/>
      <c r="XEP602" s="4"/>
    </row>
    <row r="603" s="2" customFormat="1" ht="26.1" customHeight="1" spans="2:16370">
      <c r="B603" s="7"/>
      <c r="C603" s="68"/>
      <c r="D603" s="68"/>
      <c r="E603" s="68"/>
      <c r="F603" s="68"/>
      <c r="G603" s="68"/>
      <c r="H603" s="68"/>
      <c r="I603" s="68"/>
      <c r="J603" s="68"/>
      <c r="K603" s="68"/>
      <c r="L603" s="68"/>
      <c r="M603" s="68"/>
      <c r="N603" s="105"/>
      <c r="O603" s="68"/>
      <c r="P603" s="115"/>
      <c r="Q603" s="7"/>
      <c r="XEJ603" s="4"/>
      <c r="XEK603" s="4"/>
      <c r="XEL603" s="4"/>
      <c r="XEM603" s="4"/>
      <c r="XEN603" s="4"/>
      <c r="XEO603" s="4"/>
      <c r="XEP603" s="4"/>
    </row>
    <row r="604" s="2" customFormat="1" ht="26.1" customHeight="1" spans="2:16370">
      <c r="B604" s="7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105"/>
      <c r="O604" s="68"/>
      <c r="P604" s="115"/>
      <c r="Q604" s="7"/>
      <c r="XEJ604" s="4"/>
      <c r="XEK604" s="4"/>
      <c r="XEL604" s="4"/>
      <c r="XEM604" s="4"/>
      <c r="XEN604" s="4"/>
      <c r="XEO604" s="4"/>
      <c r="XEP604" s="4"/>
    </row>
    <row r="605" s="2" customFormat="1" ht="26.1" customHeight="1" spans="2:16370">
      <c r="B605" s="7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105"/>
      <c r="O605" s="68"/>
      <c r="P605" s="115"/>
      <c r="Q605" s="7"/>
      <c r="XEJ605" s="4"/>
      <c r="XEK605" s="4"/>
      <c r="XEL605" s="4"/>
      <c r="XEM605" s="4"/>
      <c r="XEN605" s="4"/>
      <c r="XEO605" s="4"/>
      <c r="XEP605" s="4"/>
    </row>
    <row r="606" s="2" customFormat="1" ht="26.1" customHeight="1" spans="2:16370">
      <c r="B606" s="7"/>
      <c r="C606" s="68"/>
      <c r="D606" s="68"/>
      <c r="E606" s="68"/>
      <c r="F606" s="68"/>
      <c r="G606" s="68"/>
      <c r="H606" s="68"/>
      <c r="I606" s="68"/>
      <c r="J606" s="68"/>
      <c r="K606" s="68"/>
      <c r="L606" s="68"/>
      <c r="M606" s="68"/>
      <c r="N606" s="105"/>
      <c r="O606" s="68"/>
      <c r="P606" s="115"/>
      <c r="Q606" s="7"/>
      <c r="XEJ606" s="4"/>
      <c r="XEK606" s="4"/>
      <c r="XEL606" s="4"/>
      <c r="XEM606" s="4"/>
      <c r="XEN606" s="4"/>
      <c r="XEO606" s="4"/>
      <c r="XEP606" s="4"/>
    </row>
    <row r="607" s="2" customFormat="1" ht="26.1" customHeight="1" spans="2:16370">
      <c r="B607" s="7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105"/>
      <c r="O607" s="68"/>
      <c r="P607" s="115"/>
      <c r="Q607" s="7"/>
      <c r="XEJ607" s="4"/>
      <c r="XEK607" s="4"/>
      <c r="XEL607" s="4"/>
      <c r="XEM607" s="4"/>
      <c r="XEN607" s="4"/>
      <c r="XEO607" s="4"/>
      <c r="XEP607" s="4"/>
    </row>
    <row r="608" s="2" customFormat="1" ht="26.1" customHeight="1" spans="2:16370">
      <c r="B608" s="7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105"/>
      <c r="O608" s="68"/>
      <c r="P608" s="115"/>
      <c r="Q608" s="7"/>
      <c r="XEJ608" s="4"/>
      <c r="XEK608" s="4"/>
      <c r="XEL608" s="4"/>
      <c r="XEM608" s="4"/>
      <c r="XEN608" s="4"/>
      <c r="XEO608" s="4"/>
      <c r="XEP608" s="4"/>
    </row>
    <row r="609" s="2" customFormat="1" ht="26.1" customHeight="1" spans="2:16370">
      <c r="B609" s="7"/>
      <c r="C609" s="68"/>
      <c r="D609" s="68"/>
      <c r="E609" s="68"/>
      <c r="F609" s="68"/>
      <c r="G609" s="68"/>
      <c r="H609" s="68"/>
      <c r="I609" s="68"/>
      <c r="J609" s="68"/>
      <c r="K609" s="68"/>
      <c r="L609" s="68"/>
      <c r="M609" s="68"/>
      <c r="N609" s="105"/>
      <c r="O609" s="68"/>
      <c r="P609" s="115"/>
      <c r="Q609" s="7"/>
      <c r="XEJ609" s="4"/>
      <c r="XEK609" s="4"/>
      <c r="XEL609" s="4"/>
      <c r="XEM609" s="4"/>
      <c r="XEN609" s="4"/>
      <c r="XEO609" s="4"/>
      <c r="XEP609" s="4"/>
    </row>
    <row r="610" s="2" customFormat="1" ht="26.1" customHeight="1" spans="2:16370">
      <c r="B610" s="7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105"/>
      <c r="O610" s="68"/>
      <c r="P610" s="115"/>
      <c r="Q610" s="7"/>
      <c r="XEJ610" s="4"/>
      <c r="XEK610" s="4"/>
      <c r="XEL610" s="4"/>
      <c r="XEM610" s="4"/>
      <c r="XEN610" s="4"/>
      <c r="XEO610" s="4"/>
      <c r="XEP610" s="4"/>
    </row>
    <row r="611" s="2" customFormat="1" ht="26.1" customHeight="1" spans="2:16370">
      <c r="B611" s="7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105"/>
      <c r="O611" s="68"/>
      <c r="P611" s="115"/>
      <c r="Q611" s="7"/>
      <c r="XEJ611" s="4"/>
      <c r="XEK611" s="4"/>
      <c r="XEL611" s="4"/>
      <c r="XEM611" s="4"/>
      <c r="XEN611" s="4"/>
      <c r="XEO611" s="4"/>
      <c r="XEP611" s="4"/>
    </row>
    <row r="612" s="2" customFormat="1" ht="26.1" customHeight="1" spans="2:16370">
      <c r="B612" s="7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105"/>
      <c r="O612" s="68"/>
      <c r="P612" s="115"/>
      <c r="Q612" s="7"/>
      <c r="XEJ612" s="4"/>
      <c r="XEK612" s="4"/>
      <c r="XEL612" s="4"/>
      <c r="XEM612" s="4"/>
      <c r="XEN612" s="4"/>
      <c r="XEO612" s="4"/>
      <c r="XEP612" s="4"/>
    </row>
    <row r="613" s="2" customFormat="1" ht="26.1" customHeight="1" spans="2:16370">
      <c r="B613" s="7"/>
      <c r="C613" s="68"/>
      <c r="D613" s="68"/>
      <c r="E613" s="68"/>
      <c r="F613" s="68"/>
      <c r="G613" s="68"/>
      <c r="H613" s="68"/>
      <c r="I613" s="68"/>
      <c r="J613" s="68"/>
      <c r="K613" s="68"/>
      <c r="L613" s="68"/>
      <c r="M613" s="68"/>
      <c r="N613" s="105"/>
      <c r="O613" s="68"/>
      <c r="P613" s="115"/>
      <c r="Q613" s="7"/>
      <c r="XEJ613" s="4"/>
      <c r="XEK613" s="4"/>
      <c r="XEL613" s="4"/>
      <c r="XEM613" s="4"/>
      <c r="XEN613" s="4"/>
      <c r="XEO613" s="4"/>
      <c r="XEP613" s="4"/>
    </row>
    <row r="614" s="2" customFormat="1" ht="26.1" customHeight="1" spans="2:16370">
      <c r="B614" s="7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105"/>
      <c r="O614" s="68"/>
      <c r="P614" s="115"/>
      <c r="Q614" s="7"/>
      <c r="XEJ614" s="4"/>
      <c r="XEK614" s="4"/>
      <c r="XEL614" s="4"/>
      <c r="XEM614" s="4"/>
      <c r="XEN614" s="4"/>
      <c r="XEO614" s="4"/>
      <c r="XEP614" s="4"/>
    </row>
    <row r="615" s="2" customFormat="1" ht="26.1" customHeight="1" spans="2:16370">
      <c r="B615" s="7"/>
      <c r="C615" s="68"/>
      <c r="D615" s="68"/>
      <c r="E615" s="68"/>
      <c r="F615" s="68"/>
      <c r="G615" s="68"/>
      <c r="H615" s="68"/>
      <c r="I615" s="68"/>
      <c r="J615" s="68"/>
      <c r="K615" s="68"/>
      <c r="L615" s="68"/>
      <c r="M615" s="68"/>
      <c r="N615" s="105"/>
      <c r="O615" s="68"/>
      <c r="P615" s="115"/>
      <c r="Q615" s="7"/>
      <c r="XEJ615" s="4"/>
      <c r="XEK615" s="4"/>
      <c r="XEL615" s="4"/>
      <c r="XEM615" s="4"/>
      <c r="XEN615" s="4"/>
      <c r="XEO615" s="4"/>
      <c r="XEP615" s="4"/>
    </row>
    <row r="616" s="2" customFormat="1" ht="26.1" customHeight="1" spans="2:16370">
      <c r="B616" s="7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105"/>
      <c r="O616" s="68"/>
      <c r="P616" s="115"/>
      <c r="Q616" s="7"/>
      <c r="XEJ616" s="4"/>
      <c r="XEK616" s="4"/>
      <c r="XEL616" s="4"/>
      <c r="XEM616" s="4"/>
      <c r="XEN616" s="4"/>
      <c r="XEO616" s="4"/>
      <c r="XEP616" s="4"/>
    </row>
    <row r="617" s="2" customFormat="1" ht="26.1" customHeight="1" spans="2:16370">
      <c r="B617" s="7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105"/>
      <c r="O617" s="68"/>
      <c r="P617" s="115"/>
      <c r="Q617" s="7"/>
      <c r="XEJ617" s="4"/>
      <c r="XEK617" s="4"/>
      <c r="XEL617" s="4"/>
      <c r="XEM617" s="4"/>
      <c r="XEN617" s="4"/>
      <c r="XEO617" s="4"/>
      <c r="XEP617" s="4"/>
    </row>
    <row r="618" s="2" customFormat="1" ht="26.1" customHeight="1" spans="2:16370">
      <c r="B618" s="7"/>
      <c r="C618" s="68"/>
      <c r="D618" s="68"/>
      <c r="E618" s="68"/>
      <c r="F618" s="68"/>
      <c r="G618" s="68"/>
      <c r="H618" s="68"/>
      <c r="I618" s="68"/>
      <c r="J618" s="68"/>
      <c r="K618" s="68"/>
      <c r="L618" s="68"/>
      <c r="M618" s="68"/>
      <c r="N618" s="105"/>
      <c r="O618" s="68"/>
      <c r="P618" s="115"/>
      <c r="Q618" s="7"/>
      <c r="XEJ618" s="4"/>
      <c r="XEK618" s="4"/>
      <c r="XEL618" s="4"/>
      <c r="XEM618" s="4"/>
      <c r="XEN618" s="4"/>
      <c r="XEO618" s="4"/>
      <c r="XEP618" s="4"/>
    </row>
    <row r="619" s="2" customFormat="1" ht="26.1" customHeight="1" spans="2:16370">
      <c r="B619" s="7"/>
      <c r="C619" s="68"/>
      <c r="D619" s="68"/>
      <c r="E619" s="68"/>
      <c r="F619" s="68"/>
      <c r="G619" s="68"/>
      <c r="H619" s="68"/>
      <c r="I619" s="68"/>
      <c r="J619" s="68"/>
      <c r="K619" s="68"/>
      <c r="L619" s="68"/>
      <c r="M619" s="68"/>
      <c r="N619" s="105"/>
      <c r="O619" s="68"/>
      <c r="P619" s="115"/>
      <c r="Q619" s="7"/>
      <c r="XEJ619" s="4"/>
      <c r="XEK619" s="4"/>
      <c r="XEL619" s="4"/>
      <c r="XEM619" s="4"/>
      <c r="XEN619" s="4"/>
      <c r="XEO619" s="4"/>
      <c r="XEP619" s="4"/>
    </row>
    <row r="620" s="2" customFormat="1" ht="26.1" customHeight="1" spans="2:16370">
      <c r="B620" s="7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105"/>
      <c r="O620" s="68"/>
      <c r="P620" s="115"/>
      <c r="Q620" s="7"/>
      <c r="XEJ620" s="4"/>
      <c r="XEK620" s="4"/>
      <c r="XEL620" s="4"/>
      <c r="XEM620" s="4"/>
      <c r="XEN620" s="4"/>
      <c r="XEO620" s="4"/>
      <c r="XEP620" s="4"/>
    </row>
    <row r="621" s="2" customFormat="1" ht="26.1" customHeight="1" spans="2:16370">
      <c r="B621" s="7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105"/>
      <c r="O621" s="68"/>
      <c r="P621" s="115"/>
      <c r="Q621" s="7"/>
      <c r="XEJ621" s="4"/>
      <c r="XEK621" s="4"/>
      <c r="XEL621" s="4"/>
      <c r="XEM621" s="4"/>
      <c r="XEN621" s="4"/>
      <c r="XEO621" s="4"/>
      <c r="XEP621" s="4"/>
    </row>
    <row r="622" s="2" customFormat="1" ht="26.1" customHeight="1" spans="2:16370">
      <c r="B622" s="7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105"/>
      <c r="O622" s="68"/>
      <c r="P622" s="115"/>
      <c r="Q622" s="7"/>
      <c r="XEJ622" s="4"/>
      <c r="XEK622" s="4"/>
      <c r="XEL622" s="4"/>
      <c r="XEM622" s="4"/>
      <c r="XEN622" s="4"/>
      <c r="XEO622" s="4"/>
      <c r="XEP622" s="4"/>
    </row>
    <row r="623" s="2" customFormat="1" ht="26.1" customHeight="1" spans="2:16370">
      <c r="B623" s="7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105"/>
      <c r="O623" s="68"/>
      <c r="P623" s="115"/>
      <c r="Q623" s="7"/>
      <c r="XEJ623" s="4"/>
      <c r="XEK623" s="4"/>
      <c r="XEL623" s="4"/>
      <c r="XEM623" s="4"/>
      <c r="XEN623" s="4"/>
      <c r="XEO623" s="4"/>
      <c r="XEP623" s="4"/>
    </row>
    <row r="624" s="2" customFormat="1" ht="26.1" customHeight="1" spans="2:16370">
      <c r="B624" s="7"/>
      <c r="C624" s="68"/>
      <c r="D624" s="68"/>
      <c r="E624" s="68"/>
      <c r="F624" s="68"/>
      <c r="G624" s="68"/>
      <c r="H624" s="68"/>
      <c r="I624" s="68"/>
      <c r="J624" s="68"/>
      <c r="K624" s="68"/>
      <c r="L624" s="68"/>
      <c r="M624" s="68"/>
      <c r="N624" s="105"/>
      <c r="O624" s="68"/>
      <c r="P624" s="115"/>
      <c r="Q624" s="7"/>
      <c r="XEJ624" s="4"/>
      <c r="XEK624" s="4"/>
      <c r="XEL624" s="4"/>
      <c r="XEM624" s="4"/>
      <c r="XEN624" s="4"/>
      <c r="XEO624" s="4"/>
      <c r="XEP624" s="4"/>
    </row>
    <row r="625" s="2" customFormat="1" ht="26.1" customHeight="1" spans="2:16370">
      <c r="B625" s="7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105"/>
      <c r="O625" s="68"/>
      <c r="P625" s="115"/>
      <c r="Q625" s="7"/>
      <c r="XEJ625" s="4"/>
      <c r="XEK625" s="4"/>
      <c r="XEL625" s="4"/>
      <c r="XEM625" s="4"/>
      <c r="XEN625" s="4"/>
      <c r="XEO625" s="4"/>
      <c r="XEP625" s="4"/>
    </row>
    <row r="626" s="2" customFormat="1" ht="26.1" customHeight="1" spans="2:16370">
      <c r="B626" s="7"/>
      <c r="C626" s="68"/>
      <c r="D626" s="68"/>
      <c r="E626" s="68"/>
      <c r="F626" s="68"/>
      <c r="G626" s="68"/>
      <c r="H626" s="68"/>
      <c r="I626" s="68"/>
      <c r="J626" s="68"/>
      <c r="K626" s="68"/>
      <c r="L626" s="68"/>
      <c r="M626" s="68"/>
      <c r="N626" s="105"/>
      <c r="O626" s="68"/>
      <c r="P626" s="115"/>
      <c r="Q626" s="7"/>
      <c r="XEJ626" s="4"/>
      <c r="XEK626" s="4"/>
      <c r="XEL626" s="4"/>
      <c r="XEM626" s="4"/>
      <c r="XEN626" s="4"/>
      <c r="XEO626" s="4"/>
      <c r="XEP626" s="4"/>
    </row>
    <row r="627" s="2" customFormat="1" ht="26.1" customHeight="1" spans="2:16370">
      <c r="B627" s="7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105"/>
      <c r="O627" s="68"/>
      <c r="P627" s="115"/>
      <c r="Q627" s="7"/>
      <c r="XEJ627" s="4"/>
      <c r="XEK627" s="4"/>
      <c r="XEL627" s="4"/>
      <c r="XEM627" s="4"/>
      <c r="XEN627" s="4"/>
      <c r="XEO627" s="4"/>
      <c r="XEP627" s="4"/>
    </row>
    <row r="628" s="2" customFormat="1" ht="26.1" customHeight="1" spans="2:16370">
      <c r="B628" s="7"/>
      <c r="C628" s="68"/>
      <c r="D628" s="68"/>
      <c r="E628" s="68"/>
      <c r="F628" s="68"/>
      <c r="G628" s="68"/>
      <c r="H628" s="68"/>
      <c r="I628" s="68"/>
      <c r="J628" s="68"/>
      <c r="K628" s="68"/>
      <c r="L628" s="68"/>
      <c r="M628" s="68"/>
      <c r="N628" s="105"/>
      <c r="O628" s="68"/>
      <c r="P628" s="115"/>
      <c r="Q628" s="7"/>
      <c r="XEJ628" s="4"/>
      <c r="XEK628" s="4"/>
      <c r="XEL628" s="4"/>
      <c r="XEM628" s="4"/>
      <c r="XEN628" s="4"/>
      <c r="XEO628" s="4"/>
      <c r="XEP628" s="4"/>
    </row>
    <row r="629" s="2" customFormat="1" ht="26.1" customHeight="1" spans="2:16370">
      <c r="B629" s="7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105"/>
      <c r="O629" s="68"/>
      <c r="P629" s="115"/>
      <c r="Q629" s="7"/>
      <c r="XEJ629" s="4"/>
      <c r="XEK629" s="4"/>
      <c r="XEL629" s="4"/>
      <c r="XEM629" s="4"/>
      <c r="XEN629" s="4"/>
      <c r="XEO629" s="4"/>
      <c r="XEP629" s="4"/>
    </row>
    <row r="630" s="2" customFormat="1" ht="26.1" customHeight="1" spans="2:16370">
      <c r="B630" s="7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105"/>
      <c r="O630" s="68"/>
      <c r="P630" s="115"/>
      <c r="Q630" s="7"/>
      <c r="XEJ630" s="4"/>
      <c r="XEK630" s="4"/>
      <c r="XEL630" s="4"/>
      <c r="XEM630" s="4"/>
      <c r="XEN630" s="4"/>
      <c r="XEO630" s="4"/>
      <c r="XEP630" s="4"/>
    </row>
    <row r="631" s="2" customFormat="1" ht="26.1" customHeight="1" spans="2:16370">
      <c r="B631" s="7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105"/>
      <c r="O631" s="68"/>
      <c r="P631" s="115"/>
      <c r="Q631" s="7"/>
      <c r="XEJ631" s="4"/>
      <c r="XEK631" s="4"/>
      <c r="XEL631" s="4"/>
      <c r="XEM631" s="4"/>
      <c r="XEN631" s="4"/>
      <c r="XEO631" s="4"/>
      <c r="XEP631" s="4"/>
    </row>
    <row r="632" s="2" customFormat="1" ht="26.1" customHeight="1" spans="2:16370">
      <c r="B632" s="7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105"/>
      <c r="O632" s="68"/>
      <c r="P632" s="115"/>
      <c r="Q632" s="7"/>
      <c r="XEJ632" s="4"/>
      <c r="XEK632" s="4"/>
      <c r="XEL632" s="4"/>
      <c r="XEM632" s="4"/>
      <c r="XEN632" s="4"/>
      <c r="XEO632" s="4"/>
      <c r="XEP632" s="4"/>
    </row>
    <row r="633" s="2" customFormat="1" ht="26.1" customHeight="1" spans="2:16370">
      <c r="B633" s="7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105"/>
      <c r="O633" s="68"/>
      <c r="P633" s="115"/>
      <c r="Q633" s="7"/>
      <c r="XEJ633" s="4"/>
      <c r="XEK633" s="4"/>
      <c r="XEL633" s="4"/>
      <c r="XEM633" s="4"/>
      <c r="XEN633" s="4"/>
      <c r="XEO633" s="4"/>
      <c r="XEP633" s="4"/>
    </row>
    <row r="634" s="2" customFormat="1" ht="26.1" customHeight="1" spans="2:16370">
      <c r="B634" s="7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105"/>
      <c r="O634" s="68"/>
      <c r="P634" s="115"/>
      <c r="Q634" s="7"/>
      <c r="XEJ634" s="4"/>
      <c r="XEK634" s="4"/>
      <c r="XEL634" s="4"/>
      <c r="XEM634" s="4"/>
      <c r="XEN634" s="4"/>
      <c r="XEO634" s="4"/>
      <c r="XEP634" s="4"/>
    </row>
    <row r="635" s="2" customFormat="1" ht="26.1" customHeight="1" spans="2:16370">
      <c r="B635" s="7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105"/>
      <c r="O635" s="68"/>
      <c r="P635" s="115"/>
      <c r="Q635" s="7"/>
      <c r="XEJ635" s="4"/>
      <c r="XEK635" s="4"/>
      <c r="XEL635" s="4"/>
      <c r="XEM635" s="4"/>
      <c r="XEN635" s="4"/>
      <c r="XEO635" s="4"/>
      <c r="XEP635" s="4"/>
    </row>
    <row r="636" s="2" customFormat="1" ht="26.1" customHeight="1" spans="2:16370">
      <c r="B636" s="7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105"/>
      <c r="O636" s="68"/>
      <c r="P636" s="115"/>
      <c r="Q636" s="7"/>
      <c r="XEJ636" s="4"/>
      <c r="XEK636" s="4"/>
      <c r="XEL636" s="4"/>
      <c r="XEM636" s="4"/>
      <c r="XEN636" s="4"/>
      <c r="XEO636" s="4"/>
      <c r="XEP636" s="4"/>
    </row>
    <row r="637" s="2" customFormat="1" ht="26.1" customHeight="1" spans="2:16370">
      <c r="B637" s="7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105"/>
      <c r="O637" s="68"/>
      <c r="P637" s="115"/>
      <c r="Q637" s="7"/>
      <c r="XEJ637" s="4"/>
      <c r="XEK637" s="4"/>
      <c r="XEL637" s="4"/>
      <c r="XEM637" s="4"/>
      <c r="XEN637" s="4"/>
      <c r="XEO637" s="4"/>
      <c r="XEP637" s="4"/>
    </row>
    <row r="638" s="2" customFormat="1" ht="26.1" customHeight="1" spans="2:16370">
      <c r="B638" s="7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105"/>
      <c r="O638" s="68"/>
      <c r="P638" s="115"/>
      <c r="Q638" s="7"/>
      <c r="XEJ638" s="4"/>
      <c r="XEK638" s="4"/>
      <c r="XEL638" s="4"/>
      <c r="XEM638" s="4"/>
      <c r="XEN638" s="4"/>
      <c r="XEO638" s="4"/>
      <c r="XEP638" s="4"/>
    </row>
    <row r="639" s="2" customFormat="1" ht="26.1" customHeight="1" spans="2:16370">
      <c r="B639" s="7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105"/>
      <c r="O639" s="68"/>
      <c r="P639" s="115"/>
      <c r="Q639" s="7"/>
      <c r="XEJ639" s="4"/>
      <c r="XEK639" s="4"/>
      <c r="XEL639" s="4"/>
      <c r="XEM639" s="4"/>
      <c r="XEN639" s="4"/>
      <c r="XEO639" s="4"/>
      <c r="XEP639" s="4"/>
    </row>
    <row r="640" s="2" customFormat="1" ht="26.1" customHeight="1" spans="2:16370">
      <c r="B640" s="7"/>
      <c r="C640" s="68"/>
      <c r="D640" s="68"/>
      <c r="E640" s="68"/>
      <c r="F640" s="68"/>
      <c r="G640" s="68"/>
      <c r="H640" s="68"/>
      <c r="I640" s="68"/>
      <c r="J640" s="68"/>
      <c r="K640" s="68"/>
      <c r="L640" s="68"/>
      <c r="M640" s="68"/>
      <c r="N640" s="105"/>
      <c r="O640" s="68"/>
      <c r="P640" s="115"/>
      <c r="Q640" s="7"/>
      <c r="XEJ640" s="4"/>
      <c r="XEK640" s="4"/>
      <c r="XEL640" s="4"/>
      <c r="XEM640" s="4"/>
      <c r="XEN640" s="4"/>
      <c r="XEO640" s="4"/>
      <c r="XEP640" s="4"/>
    </row>
    <row r="641" s="2" customFormat="1" ht="26.1" customHeight="1" spans="2:16370">
      <c r="B641" s="7"/>
      <c r="C641" s="68"/>
      <c r="D641" s="68"/>
      <c r="E641" s="68"/>
      <c r="F641" s="68"/>
      <c r="G641" s="68"/>
      <c r="H641" s="68"/>
      <c r="I641" s="68"/>
      <c r="J641" s="68"/>
      <c r="K641" s="68"/>
      <c r="L641" s="68"/>
      <c r="M641" s="68"/>
      <c r="N641" s="105"/>
      <c r="O641" s="68"/>
      <c r="P641" s="115"/>
      <c r="Q641" s="7"/>
      <c r="XEJ641" s="4"/>
      <c r="XEK641" s="4"/>
      <c r="XEL641" s="4"/>
      <c r="XEM641" s="4"/>
      <c r="XEN641" s="4"/>
      <c r="XEO641" s="4"/>
      <c r="XEP641" s="4"/>
    </row>
    <row r="642" s="2" customFormat="1" ht="26.1" customHeight="1" spans="2:16370">
      <c r="B642" s="7"/>
      <c r="C642" s="68"/>
      <c r="D642" s="68"/>
      <c r="E642" s="68"/>
      <c r="F642" s="68"/>
      <c r="G642" s="68"/>
      <c r="H642" s="68"/>
      <c r="I642" s="68"/>
      <c r="J642" s="68"/>
      <c r="K642" s="68"/>
      <c r="L642" s="68"/>
      <c r="M642" s="68"/>
      <c r="N642" s="105"/>
      <c r="O642" s="68"/>
      <c r="P642" s="115"/>
      <c r="Q642" s="7"/>
      <c r="XEJ642" s="4"/>
      <c r="XEK642" s="4"/>
      <c r="XEL642" s="4"/>
      <c r="XEM642" s="4"/>
      <c r="XEN642" s="4"/>
      <c r="XEO642" s="4"/>
      <c r="XEP642" s="4"/>
    </row>
    <row r="643" s="2" customFormat="1" ht="26.1" customHeight="1" spans="2:16370">
      <c r="B643" s="7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105"/>
      <c r="O643" s="68"/>
      <c r="P643" s="115"/>
      <c r="Q643" s="7"/>
      <c r="XEJ643" s="4"/>
      <c r="XEK643" s="4"/>
      <c r="XEL643" s="4"/>
      <c r="XEM643" s="4"/>
      <c r="XEN643" s="4"/>
      <c r="XEO643" s="4"/>
      <c r="XEP643" s="4"/>
    </row>
    <row r="644" s="2" customFormat="1" ht="26.1" customHeight="1" spans="2:16370">
      <c r="B644" s="7"/>
      <c r="C644" s="68"/>
      <c r="D644" s="68"/>
      <c r="E644" s="68"/>
      <c r="F644" s="68"/>
      <c r="G644" s="68"/>
      <c r="H644" s="68"/>
      <c r="I644" s="68"/>
      <c r="J644" s="68"/>
      <c r="K644" s="68"/>
      <c r="L644" s="68"/>
      <c r="M644" s="68"/>
      <c r="N644" s="105"/>
      <c r="O644" s="68"/>
      <c r="P644" s="115"/>
      <c r="Q644" s="7"/>
      <c r="XEJ644" s="4"/>
      <c r="XEK644" s="4"/>
      <c r="XEL644" s="4"/>
      <c r="XEM644" s="4"/>
      <c r="XEN644" s="4"/>
      <c r="XEO644" s="4"/>
      <c r="XEP644" s="4"/>
    </row>
    <row r="645" s="2" customFormat="1" ht="26.1" customHeight="1" spans="2:16370">
      <c r="B645" s="7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105"/>
      <c r="O645" s="68"/>
      <c r="P645" s="115"/>
      <c r="Q645" s="7"/>
      <c r="XEJ645" s="4"/>
      <c r="XEK645" s="4"/>
      <c r="XEL645" s="4"/>
      <c r="XEM645" s="4"/>
      <c r="XEN645" s="4"/>
      <c r="XEO645" s="4"/>
      <c r="XEP645" s="4"/>
    </row>
    <row r="646" s="2" customFormat="1" ht="26.1" customHeight="1" spans="2:16370">
      <c r="B646" s="7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105"/>
      <c r="O646" s="68"/>
      <c r="P646" s="115"/>
      <c r="Q646" s="7"/>
      <c r="XEJ646" s="4"/>
      <c r="XEK646" s="4"/>
      <c r="XEL646" s="4"/>
      <c r="XEM646" s="4"/>
      <c r="XEN646" s="4"/>
      <c r="XEO646" s="4"/>
      <c r="XEP646" s="4"/>
    </row>
    <row r="647" s="2" customFormat="1" ht="26.1" customHeight="1" spans="2:16370">
      <c r="B647" s="7"/>
      <c r="C647" s="68"/>
      <c r="D647" s="68"/>
      <c r="E647" s="68"/>
      <c r="F647" s="68"/>
      <c r="G647" s="68"/>
      <c r="H647" s="68"/>
      <c r="I647" s="68"/>
      <c r="J647" s="68"/>
      <c r="K647" s="68"/>
      <c r="L647" s="68"/>
      <c r="M647" s="68"/>
      <c r="N647" s="105"/>
      <c r="O647" s="68"/>
      <c r="P647" s="115"/>
      <c r="Q647" s="7"/>
      <c r="XEJ647" s="4"/>
      <c r="XEK647" s="4"/>
      <c r="XEL647" s="4"/>
      <c r="XEM647" s="4"/>
      <c r="XEN647" s="4"/>
      <c r="XEO647" s="4"/>
      <c r="XEP647" s="4"/>
    </row>
    <row r="648" s="2" customFormat="1" ht="26.1" customHeight="1" spans="2:16370">
      <c r="B648" s="7"/>
      <c r="C648" s="68"/>
      <c r="D648" s="68"/>
      <c r="E648" s="68"/>
      <c r="F648" s="68"/>
      <c r="G648" s="68"/>
      <c r="H648" s="68"/>
      <c r="I648" s="68"/>
      <c r="J648" s="68"/>
      <c r="K648" s="68"/>
      <c r="L648" s="68"/>
      <c r="M648" s="68"/>
      <c r="N648" s="105"/>
      <c r="O648" s="68"/>
      <c r="P648" s="115"/>
      <c r="Q648" s="7"/>
      <c r="XEJ648" s="4"/>
      <c r="XEK648" s="4"/>
      <c r="XEL648" s="4"/>
      <c r="XEM648" s="4"/>
      <c r="XEN648" s="4"/>
      <c r="XEO648" s="4"/>
      <c r="XEP648" s="4"/>
    </row>
    <row r="649" s="2" customFormat="1" ht="26.1" customHeight="1" spans="2:16370">
      <c r="B649" s="7"/>
      <c r="C649" s="68"/>
      <c r="D649" s="68"/>
      <c r="E649" s="68"/>
      <c r="F649" s="68"/>
      <c r="G649" s="68"/>
      <c r="H649" s="68"/>
      <c r="I649" s="68"/>
      <c r="J649" s="68"/>
      <c r="K649" s="68"/>
      <c r="L649" s="68"/>
      <c r="M649" s="68"/>
      <c r="N649" s="105"/>
      <c r="O649" s="68"/>
      <c r="P649" s="115"/>
      <c r="Q649" s="7"/>
      <c r="XEJ649" s="4"/>
      <c r="XEK649" s="4"/>
      <c r="XEL649" s="4"/>
      <c r="XEM649" s="4"/>
      <c r="XEN649" s="4"/>
      <c r="XEO649" s="4"/>
      <c r="XEP649" s="4"/>
    </row>
    <row r="650" s="2" customFormat="1" ht="26.1" customHeight="1" spans="2:16370">
      <c r="B650" s="7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105"/>
      <c r="O650" s="68"/>
      <c r="P650" s="115"/>
      <c r="Q650" s="7"/>
      <c r="XEJ650" s="4"/>
      <c r="XEK650" s="4"/>
      <c r="XEL650" s="4"/>
      <c r="XEM650" s="4"/>
      <c r="XEN650" s="4"/>
      <c r="XEO650" s="4"/>
      <c r="XEP650" s="4"/>
    </row>
    <row r="651" s="2" customFormat="1" ht="26.1" customHeight="1" spans="2:16370">
      <c r="B651" s="7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105"/>
      <c r="O651" s="68"/>
      <c r="P651" s="115"/>
      <c r="Q651" s="7"/>
      <c r="XEJ651" s="4"/>
      <c r="XEK651" s="4"/>
      <c r="XEL651" s="4"/>
      <c r="XEM651" s="4"/>
      <c r="XEN651" s="4"/>
      <c r="XEO651" s="4"/>
      <c r="XEP651" s="4"/>
    </row>
    <row r="652" s="2" customFormat="1" ht="26.1" customHeight="1" spans="2:16370">
      <c r="B652" s="7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105"/>
      <c r="O652" s="68"/>
      <c r="P652" s="115"/>
      <c r="Q652" s="7"/>
      <c r="XEJ652" s="4"/>
      <c r="XEK652" s="4"/>
      <c r="XEL652" s="4"/>
      <c r="XEM652" s="4"/>
      <c r="XEN652" s="4"/>
      <c r="XEO652" s="4"/>
      <c r="XEP652" s="4"/>
    </row>
    <row r="653" s="2" customFormat="1" ht="26.1" customHeight="1" spans="2:16370">
      <c r="B653" s="7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105"/>
      <c r="O653" s="68"/>
      <c r="P653" s="115"/>
      <c r="Q653" s="7"/>
      <c r="XEJ653" s="4"/>
      <c r="XEK653" s="4"/>
      <c r="XEL653" s="4"/>
      <c r="XEM653" s="4"/>
      <c r="XEN653" s="4"/>
      <c r="XEO653" s="4"/>
      <c r="XEP653" s="4"/>
    </row>
    <row r="654" s="2" customFormat="1" ht="26.1" customHeight="1" spans="2:16370">
      <c r="B654" s="7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105"/>
      <c r="O654" s="68"/>
      <c r="P654" s="115"/>
      <c r="Q654" s="7"/>
      <c r="XEJ654" s="4"/>
      <c r="XEK654" s="4"/>
      <c r="XEL654" s="4"/>
      <c r="XEM654" s="4"/>
      <c r="XEN654" s="4"/>
      <c r="XEO654" s="4"/>
      <c r="XEP654" s="4"/>
    </row>
    <row r="655" s="2" customFormat="1" ht="26.1" customHeight="1" spans="2:16370">
      <c r="B655" s="7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105"/>
      <c r="O655" s="68"/>
      <c r="P655" s="115"/>
      <c r="Q655" s="7"/>
      <c r="XEJ655" s="4"/>
      <c r="XEK655" s="4"/>
      <c r="XEL655" s="4"/>
      <c r="XEM655" s="4"/>
      <c r="XEN655" s="4"/>
      <c r="XEO655" s="4"/>
      <c r="XEP655" s="4"/>
    </row>
    <row r="656" s="2" customFormat="1" ht="26.1" customHeight="1" spans="2:16370">
      <c r="B656" s="7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105"/>
      <c r="O656" s="68"/>
      <c r="P656" s="115"/>
      <c r="Q656" s="7"/>
      <c r="XEJ656" s="4"/>
      <c r="XEK656" s="4"/>
      <c r="XEL656" s="4"/>
      <c r="XEM656" s="4"/>
      <c r="XEN656" s="4"/>
      <c r="XEO656" s="4"/>
      <c r="XEP656" s="4"/>
    </row>
    <row r="657" s="2" customFormat="1" ht="26.1" customHeight="1" spans="2:16370">
      <c r="B657" s="7"/>
      <c r="C657" s="68"/>
      <c r="D657" s="68"/>
      <c r="E657" s="68"/>
      <c r="F657" s="68"/>
      <c r="G657" s="68"/>
      <c r="H657" s="68"/>
      <c r="I657" s="68"/>
      <c r="J657" s="68"/>
      <c r="K657" s="68"/>
      <c r="L657" s="68"/>
      <c r="M657" s="68"/>
      <c r="N657" s="105"/>
      <c r="O657" s="68"/>
      <c r="P657" s="115"/>
      <c r="Q657" s="7"/>
      <c r="XEJ657" s="4"/>
      <c r="XEK657" s="4"/>
      <c r="XEL657" s="4"/>
      <c r="XEM657" s="4"/>
      <c r="XEN657" s="4"/>
      <c r="XEO657" s="4"/>
      <c r="XEP657" s="4"/>
    </row>
    <row r="658" s="2" customFormat="1" ht="26.1" customHeight="1" spans="2:16370">
      <c r="B658" s="7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105"/>
      <c r="O658" s="68"/>
      <c r="P658" s="115"/>
      <c r="Q658" s="7"/>
      <c r="XEJ658" s="4"/>
      <c r="XEK658" s="4"/>
      <c r="XEL658" s="4"/>
      <c r="XEM658" s="4"/>
      <c r="XEN658" s="4"/>
      <c r="XEO658" s="4"/>
      <c r="XEP658" s="4"/>
    </row>
    <row r="659" s="2" customFormat="1" ht="26.1" customHeight="1" spans="2:16370">
      <c r="B659" s="7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105"/>
      <c r="O659" s="68"/>
      <c r="P659" s="115"/>
      <c r="Q659" s="7"/>
      <c r="XEJ659" s="4"/>
      <c r="XEK659" s="4"/>
      <c r="XEL659" s="4"/>
      <c r="XEM659" s="4"/>
      <c r="XEN659" s="4"/>
      <c r="XEO659" s="4"/>
      <c r="XEP659" s="4"/>
    </row>
    <row r="660" s="2" customFormat="1" ht="26.1" customHeight="1" spans="2:16370">
      <c r="B660" s="7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105"/>
      <c r="O660" s="68"/>
      <c r="P660" s="115"/>
      <c r="Q660" s="7"/>
      <c r="XEJ660" s="4"/>
      <c r="XEK660" s="4"/>
      <c r="XEL660" s="4"/>
      <c r="XEM660" s="4"/>
      <c r="XEN660" s="4"/>
      <c r="XEO660" s="4"/>
      <c r="XEP660" s="4"/>
    </row>
    <row r="661" s="2" customFormat="1" ht="26.1" customHeight="1" spans="2:16370">
      <c r="B661" s="7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105"/>
      <c r="O661" s="68"/>
      <c r="P661" s="115"/>
      <c r="Q661" s="7"/>
      <c r="XEJ661" s="4"/>
      <c r="XEK661" s="4"/>
      <c r="XEL661" s="4"/>
      <c r="XEM661" s="4"/>
      <c r="XEN661" s="4"/>
      <c r="XEO661" s="4"/>
      <c r="XEP661" s="4"/>
    </row>
    <row r="662" s="2" customFormat="1" ht="26.1" customHeight="1" spans="2:16370">
      <c r="B662" s="7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105"/>
      <c r="O662" s="68"/>
      <c r="P662" s="115"/>
      <c r="Q662" s="7"/>
      <c r="XEJ662" s="4"/>
      <c r="XEK662" s="4"/>
      <c r="XEL662" s="4"/>
      <c r="XEM662" s="4"/>
      <c r="XEN662" s="4"/>
      <c r="XEO662" s="4"/>
      <c r="XEP662" s="4"/>
    </row>
    <row r="663" s="2" customFormat="1" ht="26.1" customHeight="1" spans="2:16370">
      <c r="B663" s="7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105"/>
      <c r="O663" s="68"/>
      <c r="P663" s="115"/>
      <c r="Q663" s="7"/>
      <c r="XEJ663" s="4"/>
      <c r="XEK663" s="4"/>
      <c r="XEL663" s="4"/>
      <c r="XEM663" s="4"/>
      <c r="XEN663" s="4"/>
      <c r="XEO663" s="4"/>
      <c r="XEP663" s="4"/>
    </row>
    <row r="664" s="2" customFormat="1" ht="26.1" customHeight="1" spans="2:16370">
      <c r="B664" s="7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105"/>
      <c r="O664" s="68"/>
      <c r="P664" s="115"/>
      <c r="Q664" s="7"/>
      <c r="XEJ664" s="4"/>
      <c r="XEK664" s="4"/>
      <c r="XEL664" s="4"/>
      <c r="XEM664" s="4"/>
      <c r="XEN664" s="4"/>
      <c r="XEO664" s="4"/>
      <c r="XEP664" s="4"/>
    </row>
    <row r="665" s="2" customFormat="1" ht="26.1" customHeight="1" spans="2:16370">
      <c r="B665" s="7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105"/>
      <c r="O665" s="68"/>
      <c r="P665" s="115"/>
      <c r="Q665" s="7"/>
      <c r="XEJ665" s="4"/>
      <c r="XEK665" s="4"/>
      <c r="XEL665" s="4"/>
      <c r="XEM665" s="4"/>
      <c r="XEN665" s="4"/>
      <c r="XEO665" s="4"/>
      <c r="XEP665" s="4"/>
    </row>
    <row r="666" s="2" customFormat="1" ht="26.1" customHeight="1" spans="2:16370">
      <c r="B666" s="7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105"/>
      <c r="O666" s="68"/>
      <c r="P666" s="115"/>
      <c r="Q666" s="7"/>
      <c r="XEJ666" s="4"/>
      <c r="XEK666" s="4"/>
      <c r="XEL666" s="4"/>
      <c r="XEM666" s="4"/>
      <c r="XEN666" s="4"/>
      <c r="XEO666" s="4"/>
      <c r="XEP666" s="4"/>
    </row>
    <row r="667" s="2" customFormat="1" ht="26.1" customHeight="1" spans="2:16370">
      <c r="B667" s="7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105"/>
      <c r="O667" s="68"/>
      <c r="P667" s="115"/>
      <c r="Q667" s="7"/>
      <c r="XEJ667" s="4"/>
      <c r="XEK667" s="4"/>
      <c r="XEL667" s="4"/>
      <c r="XEM667" s="4"/>
      <c r="XEN667" s="4"/>
      <c r="XEO667" s="4"/>
      <c r="XEP667" s="4"/>
    </row>
    <row r="668" s="2" customFormat="1" ht="26.1" customHeight="1" spans="2:16370">
      <c r="B668" s="7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105"/>
      <c r="O668" s="68"/>
      <c r="P668" s="115"/>
      <c r="Q668" s="7"/>
      <c r="XEJ668" s="4"/>
      <c r="XEK668" s="4"/>
      <c r="XEL668" s="4"/>
      <c r="XEM668" s="4"/>
      <c r="XEN668" s="4"/>
      <c r="XEO668" s="4"/>
      <c r="XEP668" s="4"/>
    </row>
    <row r="669" s="2" customFormat="1" ht="26.1" customHeight="1" spans="2:16370">
      <c r="B669" s="7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105"/>
      <c r="O669" s="68"/>
      <c r="P669" s="115"/>
      <c r="Q669" s="7"/>
      <c r="XEJ669" s="4"/>
      <c r="XEK669" s="4"/>
      <c r="XEL669" s="4"/>
      <c r="XEM669" s="4"/>
      <c r="XEN669" s="4"/>
      <c r="XEO669" s="4"/>
      <c r="XEP669" s="4"/>
    </row>
    <row r="670" s="2" customFormat="1" ht="26.1" customHeight="1" spans="2:16370">
      <c r="B670" s="7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105"/>
      <c r="O670" s="68"/>
      <c r="P670" s="115"/>
      <c r="Q670" s="7"/>
      <c r="XEJ670" s="4"/>
      <c r="XEK670" s="4"/>
      <c r="XEL670" s="4"/>
      <c r="XEM670" s="4"/>
      <c r="XEN670" s="4"/>
      <c r="XEO670" s="4"/>
      <c r="XEP670" s="4"/>
    </row>
    <row r="671" s="2" customFormat="1" ht="26.1" customHeight="1" spans="2:16370">
      <c r="B671" s="7"/>
      <c r="C671" s="68"/>
      <c r="D671" s="68"/>
      <c r="E671" s="68"/>
      <c r="F671" s="68"/>
      <c r="G671" s="68"/>
      <c r="H671" s="68"/>
      <c r="I671" s="68"/>
      <c r="J671" s="68"/>
      <c r="K671" s="68"/>
      <c r="L671" s="68"/>
      <c r="M671" s="68"/>
      <c r="N671" s="105"/>
      <c r="O671" s="68"/>
      <c r="P671" s="115"/>
      <c r="Q671" s="7"/>
      <c r="XEJ671" s="4"/>
      <c r="XEK671" s="4"/>
      <c r="XEL671" s="4"/>
      <c r="XEM671" s="4"/>
      <c r="XEN671" s="4"/>
      <c r="XEO671" s="4"/>
      <c r="XEP671" s="4"/>
    </row>
    <row r="672" s="2" customFormat="1" ht="26.1" customHeight="1" spans="2:16370">
      <c r="B672" s="7"/>
      <c r="C672" s="68"/>
      <c r="D672" s="68"/>
      <c r="E672" s="68"/>
      <c r="F672" s="68"/>
      <c r="G672" s="68"/>
      <c r="H672" s="68"/>
      <c r="I672" s="68"/>
      <c r="J672" s="68"/>
      <c r="K672" s="68"/>
      <c r="L672" s="68"/>
      <c r="M672" s="68"/>
      <c r="N672" s="105"/>
      <c r="O672" s="68"/>
      <c r="P672" s="115"/>
      <c r="Q672" s="7"/>
      <c r="XEJ672" s="4"/>
      <c r="XEK672" s="4"/>
      <c r="XEL672" s="4"/>
      <c r="XEM672" s="4"/>
      <c r="XEN672" s="4"/>
      <c r="XEO672" s="4"/>
      <c r="XEP672" s="4"/>
    </row>
    <row r="673" s="2" customFormat="1" ht="26.1" customHeight="1" spans="2:16370">
      <c r="B673" s="7"/>
      <c r="C673" s="68"/>
      <c r="D673" s="68"/>
      <c r="E673" s="68"/>
      <c r="F673" s="68"/>
      <c r="G673" s="68"/>
      <c r="H673" s="68"/>
      <c r="I673" s="68"/>
      <c r="J673" s="68"/>
      <c r="K673" s="68"/>
      <c r="L673" s="68"/>
      <c r="M673" s="68"/>
      <c r="N673" s="105"/>
      <c r="O673" s="68"/>
      <c r="P673" s="115"/>
      <c r="Q673" s="7"/>
      <c r="XEJ673" s="4"/>
      <c r="XEK673" s="4"/>
      <c r="XEL673" s="4"/>
      <c r="XEM673" s="4"/>
      <c r="XEN673" s="4"/>
      <c r="XEO673" s="4"/>
      <c r="XEP673" s="4"/>
    </row>
    <row r="674" s="2" customFormat="1" ht="26.1" customHeight="1" spans="2:16370">
      <c r="B674" s="7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105"/>
      <c r="O674" s="68"/>
      <c r="P674" s="115"/>
      <c r="Q674" s="7"/>
      <c r="XEJ674" s="4"/>
      <c r="XEK674" s="4"/>
      <c r="XEL674" s="4"/>
      <c r="XEM674" s="4"/>
      <c r="XEN674" s="4"/>
      <c r="XEO674" s="4"/>
      <c r="XEP674" s="4"/>
    </row>
    <row r="675" s="2" customFormat="1" ht="26.1" customHeight="1" spans="2:16370">
      <c r="B675" s="7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105"/>
      <c r="O675" s="68"/>
      <c r="P675" s="115"/>
      <c r="Q675" s="7"/>
      <c r="XEJ675" s="4"/>
      <c r="XEK675" s="4"/>
      <c r="XEL675" s="4"/>
      <c r="XEM675" s="4"/>
      <c r="XEN675" s="4"/>
      <c r="XEO675" s="4"/>
      <c r="XEP675" s="4"/>
    </row>
    <row r="676" s="2" customFormat="1" ht="26.1" customHeight="1" spans="2:16370">
      <c r="B676" s="7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105"/>
      <c r="O676" s="68"/>
      <c r="P676" s="115"/>
      <c r="Q676" s="7"/>
      <c r="XEJ676" s="4"/>
      <c r="XEK676" s="4"/>
      <c r="XEL676" s="4"/>
      <c r="XEM676" s="4"/>
      <c r="XEN676" s="4"/>
      <c r="XEO676" s="4"/>
      <c r="XEP676" s="4"/>
    </row>
    <row r="677" s="2" customFormat="1" ht="26.1" customHeight="1" spans="2:16370">
      <c r="B677" s="7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105"/>
      <c r="O677" s="68"/>
      <c r="P677" s="115"/>
      <c r="Q677" s="7"/>
      <c r="XEJ677" s="4"/>
      <c r="XEK677" s="4"/>
      <c r="XEL677" s="4"/>
      <c r="XEM677" s="4"/>
      <c r="XEN677" s="4"/>
      <c r="XEO677" s="4"/>
      <c r="XEP677" s="4"/>
    </row>
    <row r="678" s="2" customFormat="1" ht="26.1" customHeight="1" spans="2:16370">
      <c r="B678" s="7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105"/>
      <c r="O678" s="68"/>
      <c r="P678" s="115"/>
      <c r="Q678" s="7"/>
      <c r="XEJ678" s="4"/>
      <c r="XEK678" s="4"/>
      <c r="XEL678" s="4"/>
      <c r="XEM678" s="4"/>
      <c r="XEN678" s="4"/>
      <c r="XEO678" s="4"/>
      <c r="XEP678" s="4"/>
    </row>
    <row r="679" s="2" customFormat="1" ht="26.1" customHeight="1" spans="2:16370">
      <c r="B679" s="7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105"/>
      <c r="O679" s="68"/>
      <c r="P679" s="115"/>
      <c r="Q679" s="7"/>
      <c r="XEJ679" s="4"/>
      <c r="XEK679" s="4"/>
      <c r="XEL679" s="4"/>
      <c r="XEM679" s="4"/>
      <c r="XEN679" s="4"/>
      <c r="XEO679" s="4"/>
      <c r="XEP679" s="4"/>
    </row>
    <row r="680" s="2" customFormat="1" ht="26.1" customHeight="1" spans="2:16370">
      <c r="B680" s="7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105"/>
      <c r="O680" s="68"/>
      <c r="P680" s="115"/>
      <c r="Q680" s="7"/>
      <c r="XEJ680" s="4"/>
      <c r="XEK680" s="4"/>
      <c r="XEL680" s="4"/>
      <c r="XEM680" s="4"/>
      <c r="XEN680" s="4"/>
      <c r="XEO680" s="4"/>
      <c r="XEP680" s="4"/>
    </row>
    <row r="681" s="2" customFormat="1" ht="26.1" customHeight="1" spans="2:16370">
      <c r="B681" s="7"/>
      <c r="C681" s="68"/>
      <c r="D681" s="68"/>
      <c r="E681" s="68"/>
      <c r="F681" s="68"/>
      <c r="G681" s="68"/>
      <c r="H681" s="68"/>
      <c r="I681" s="68"/>
      <c r="J681" s="68"/>
      <c r="K681" s="68"/>
      <c r="L681" s="68"/>
      <c r="M681" s="68"/>
      <c r="N681" s="105"/>
      <c r="O681" s="68"/>
      <c r="P681" s="115"/>
      <c r="Q681" s="7"/>
      <c r="XEJ681" s="4"/>
      <c r="XEK681" s="4"/>
      <c r="XEL681" s="4"/>
      <c r="XEM681" s="4"/>
      <c r="XEN681" s="4"/>
      <c r="XEO681" s="4"/>
      <c r="XEP681" s="4"/>
    </row>
    <row r="682" s="2" customFormat="1" ht="26.1" customHeight="1" spans="2:16370">
      <c r="B682" s="7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105"/>
      <c r="O682" s="68"/>
      <c r="P682" s="115"/>
      <c r="Q682" s="7"/>
      <c r="XEJ682" s="4"/>
      <c r="XEK682" s="4"/>
      <c r="XEL682" s="4"/>
      <c r="XEM682" s="4"/>
      <c r="XEN682" s="4"/>
      <c r="XEO682" s="4"/>
      <c r="XEP682" s="4"/>
    </row>
    <row r="683" s="2" customFormat="1" ht="26.1" customHeight="1" spans="2:16370">
      <c r="B683" s="7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105"/>
      <c r="O683" s="68"/>
      <c r="P683" s="115"/>
      <c r="Q683" s="7"/>
      <c r="XEJ683" s="4"/>
      <c r="XEK683" s="4"/>
      <c r="XEL683" s="4"/>
      <c r="XEM683" s="4"/>
      <c r="XEN683" s="4"/>
      <c r="XEO683" s="4"/>
      <c r="XEP683" s="4"/>
    </row>
    <row r="684" s="2" customFormat="1" ht="26.1" customHeight="1" spans="2:16370">
      <c r="B684" s="7"/>
      <c r="C684" s="68"/>
      <c r="D684" s="68"/>
      <c r="E684" s="68"/>
      <c r="F684" s="68"/>
      <c r="G684" s="68"/>
      <c r="H684" s="68"/>
      <c r="I684" s="68"/>
      <c r="J684" s="68"/>
      <c r="K684" s="68"/>
      <c r="L684" s="68"/>
      <c r="M684" s="68"/>
      <c r="N684" s="105"/>
      <c r="O684" s="68"/>
      <c r="P684" s="115"/>
      <c r="Q684" s="7"/>
      <c r="XEJ684" s="4"/>
      <c r="XEK684" s="4"/>
      <c r="XEL684" s="4"/>
      <c r="XEM684" s="4"/>
      <c r="XEN684" s="4"/>
      <c r="XEO684" s="4"/>
      <c r="XEP684" s="4"/>
    </row>
    <row r="685" s="2" customFormat="1" ht="26.1" customHeight="1" spans="2:16370">
      <c r="B685" s="7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105"/>
      <c r="O685" s="68"/>
      <c r="P685" s="115"/>
      <c r="Q685" s="7"/>
      <c r="XEJ685" s="4"/>
      <c r="XEK685" s="4"/>
      <c r="XEL685" s="4"/>
      <c r="XEM685" s="4"/>
      <c r="XEN685" s="4"/>
      <c r="XEO685" s="4"/>
      <c r="XEP685" s="4"/>
    </row>
    <row r="686" s="2" customFormat="1" ht="26.1" customHeight="1" spans="2:16370">
      <c r="B686" s="7"/>
      <c r="C686" s="68"/>
      <c r="D686" s="68"/>
      <c r="E686" s="68"/>
      <c r="F686" s="68"/>
      <c r="G686" s="68"/>
      <c r="H686" s="68"/>
      <c r="I686" s="68"/>
      <c r="J686" s="68"/>
      <c r="K686" s="68"/>
      <c r="L686" s="68"/>
      <c r="M686" s="68"/>
      <c r="N686" s="105"/>
      <c r="O686" s="68"/>
      <c r="P686" s="115"/>
      <c r="Q686" s="7"/>
      <c r="XEJ686" s="4"/>
      <c r="XEK686" s="4"/>
      <c r="XEL686" s="4"/>
      <c r="XEM686" s="4"/>
      <c r="XEN686" s="4"/>
      <c r="XEO686" s="4"/>
      <c r="XEP686" s="4"/>
    </row>
    <row r="687" s="2" customFormat="1" ht="26.1" customHeight="1" spans="2:16370">
      <c r="B687" s="7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105"/>
      <c r="O687" s="68"/>
      <c r="P687" s="115"/>
      <c r="Q687" s="7"/>
      <c r="XEJ687" s="4"/>
      <c r="XEK687" s="4"/>
      <c r="XEL687" s="4"/>
      <c r="XEM687" s="4"/>
      <c r="XEN687" s="4"/>
      <c r="XEO687" s="4"/>
      <c r="XEP687" s="4"/>
    </row>
    <row r="688" s="2" customFormat="1" ht="26.1" customHeight="1" spans="2:16370">
      <c r="B688" s="7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105"/>
      <c r="O688" s="68"/>
      <c r="P688" s="115"/>
      <c r="Q688" s="7"/>
      <c r="XEJ688" s="4"/>
      <c r="XEK688" s="4"/>
      <c r="XEL688" s="4"/>
      <c r="XEM688" s="4"/>
      <c r="XEN688" s="4"/>
      <c r="XEO688" s="4"/>
      <c r="XEP688" s="4"/>
    </row>
    <row r="689" s="2" customFormat="1" ht="26.1" customHeight="1" spans="2:16370">
      <c r="B689" s="7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105"/>
      <c r="O689" s="68"/>
      <c r="P689" s="115"/>
      <c r="Q689" s="7"/>
      <c r="XEJ689" s="4"/>
      <c r="XEK689" s="4"/>
      <c r="XEL689" s="4"/>
      <c r="XEM689" s="4"/>
      <c r="XEN689" s="4"/>
      <c r="XEO689" s="4"/>
      <c r="XEP689" s="4"/>
    </row>
    <row r="690" s="2" customFormat="1" ht="26.1" customHeight="1" spans="2:16370">
      <c r="B690" s="7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105"/>
      <c r="O690" s="68"/>
      <c r="P690" s="115"/>
      <c r="Q690" s="7"/>
      <c r="XEJ690" s="4"/>
      <c r="XEK690" s="4"/>
      <c r="XEL690" s="4"/>
      <c r="XEM690" s="4"/>
      <c r="XEN690" s="4"/>
      <c r="XEO690" s="4"/>
      <c r="XEP690" s="4"/>
    </row>
    <row r="691" s="2" customFormat="1" ht="26.1" customHeight="1" spans="2:16370">
      <c r="B691" s="7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105"/>
      <c r="O691" s="68"/>
      <c r="P691" s="115"/>
      <c r="Q691" s="7"/>
      <c r="XEJ691" s="4"/>
      <c r="XEK691" s="4"/>
      <c r="XEL691" s="4"/>
      <c r="XEM691" s="4"/>
      <c r="XEN691" s="4"/>
      <c r="XEO691" s="4"/>
      <c r="XEP691" s="4"/>
    </row>
    <row r="692" s="2" customFormat="1" ht="26.1" customHeight="1" spans="2:16370">
      <c r="B692" s="7"/>
      <c r="C692" s="68"/>
      <c r="D692" s="68"/>
      <c r="E692" s="68"/>
      <c r="F692" s="68"/>
      <c r="G692" s="68"/>
      <c r="H692" s="68"/>
      <c r="I692" s="68"/>
      <c r="J692" s="68"/>
      <c r="K692" s="68"/>
      <c r="L692" s="68"/>
      <c r="M692" s="68"/>
      <c r="N692" s="105"/>
      <c r="O692" s="68"/>
      <c r="P692" s="115"/>
      <c r="Q692" s="7"/>
      <c r="XEJ692" s="4"/>
      <c r="XEK692" s="4"/>
      <c r="XEL692" s="4"/>
      <c r="XEM692" s="4"/>
      <c r="XEN692" s="4"/>
      <c r="XEO692" s="4"/>
      <c r="XEP692" s="4"/>
    </row>
    <row r="693" s="2" customFormat="1" ht="26.1" customHeight="1" spans="2:16370">
      <c r="B693" s="7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105"/>
      <c r="O693" s="68"/>
      <c r="P693" s="115"/>
      <c r="Q693" s="7"/>
      <c r="XEJ693" s="4"/>
      <c r="XEK693" s="4"/>
      <c r="XEL693" s="4"/>
      <c r="XEM693" s="4"/>
      <c r="XEN693" s="4"/>
      <c r="XEO693" s="4"/>
      <c r="XEP693" s="4"/>
    </row>
    <row r="694" s="2" customFormat="1" ht="26.1" customHeight="1" spans="2:16370">
      <c r="B694" s="7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105"/>
      <c r="O694" s="68"/>
      <c r="P694" s="115"/>
      <c r="Q694" s="7"/>
      <c r="XEJ694" s="4"/>
      <c r="XEK694" s="4"/>
      <c r="XEL694" s="4"/>
      <c r="XEM694" s="4"/>
      <c r="XEN694" s="4"/>
      <c r="XEO694" s="4"/>
      <c r="XEP694" s="4"/>
    </row>
    <row r="695" s="2" customFormat="1" ht="26.1" customHeight="1" spans="2:16370">
      <c r="B695" s="7"/>
      <c r="C695" s="68"/>
      <c r="D695" s="68"/>
      <c r="E695" s="68"/>
      <c r="F695" s="68"/>
      <c r="G695" s="68"/>
      <c r="H695" s="68"/>
      <c r="I695" s="68"/>
      <c r="J695" s="68"/>
      <c r="K695" s="68"/>
      <c r="L695" s="68"/>
      <c r="M695" s="68"/>
      <c r="N695" s="105"/>
      <c r="O695" s="68"/>
      <c r="P695" s="115"/>
      <c r="Q695" s="7"/>
      <c r="XEJ695" s="4"/>
      <c r="XEK695" s="4"/>
      <c r="XEL695" s="4"/>
      <c r="XEM695" s="4"/>
      <c r="XEN695" s="4"/>
      <c r="XEO695" s="4"/>
      <c r="XEP695" s="4"/>
    </row>
    <row r="696" s="2" customFormat="1" ht="26.1" customHeight="1" spans="2:16370">
      <c r="B696" s="7"/>
      <c r="C696" s="68"/>
      <c r="D696" s="68"/>
      <c r="E696" s="68"/>
      <c r="F696" s="68"/>
      <c r="G696" s="68"/>
      <c r="H696" s="68"/>
      <c r="I696" s="68"/>
      <c r="J696" s="68"/>
      <c r="K696" s="68"/>
      <c r="L696" s="68"/>
      <c r="M696" s="68"/>
      <c r="N696" s="105"/>
      <c r="O696" s="68"/>
      <c r="P696" s="115"/>
      <c r="Q696" s="7"/>
      <c r="XEJ696" s="4"/>
      <c r="XEK696" s="4"/>
      <c r="XEL696" s="4"/>
      <c r="XEM696" s="4"/>
      <c r="XEN696" s="4"/>
      <c r="XEO696" s="4"/>
      <c r="XEP696" s="4"/>
    </row>
    <row r="697" s="2" customFormat="1" ht="26.1" customHeight="1" spans="2:16370">
      <c r="B697" s="7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105"/>
      <c r="O697" s="68"/>
      <c r="P697" s="115"/>
      <c r="Q697" s="7"/>
      <c r="XEJ697" s="4"/>
      <c r="XEK697" s="4"/>
      <c r="XEL697" s="4"/>
      <c r="XEM697" s="4"/>
      <c r="XEN697" s="4"/>
      <c r="XEO697" s="4"/>
      <c r="XEP697" s="4"/>
    </row>
    <row r="698" s="2" customFormat="1" ht="26.1" customHeight="1" spans="2:16370">
      <c r="B698" s="7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105"/>
      <c r="O698" s="68"/>
      <c r="P698" s="115"/>
      <c r="Q698" s="7"/>
      <c r="XEJ698" s="4"/>
      <c r="XEK698" s="4"/>
      <c r="XEL698" s="4"/>
      <c r="XEM698" s="4"/>
      <c r="XEN698" s="4"/>
      <c r="XEO698" s="4"/>
      <c r="XEP698" s="4"/>
    </row>
    <row r="699" s="2" customFormat="1" ht="26.1" customHeight="1" spans="2:16370">
      <c r="B699" s="7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105"/>
      <c r="O699" s="68"/>
      <c r="P699" s="115"/>
      <c r="Q699" s="7"/>
      <c r="XEJ699" s="4"/>
      <c r="XEK699" s="4"/>
      <c r="XEL699" s="4"/>
      <c r="XEM699" s="4"/>
      <c r="XEN699" s="4"/>
      <c r="XEO699" s="4"/>
      <c r="XEP699" s="4"/>
    </row>
    <row r="700" s="2" customFormat="1" ht="26.1" customHeight="1" spans="2:16370">
      <c r="B700" s="7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105"/>
      <c r="O700" s="68"/>
      <c r="P700" s="115"/>
      <c r="Q700" s="7"/>
      <c r="XEJ700" s="4"/>
      <c r="XEK700" s="4"/>
      <c r="XEL700" s="4"/>
      <c r="XEM700" s="4"/>
      <c r="XEN700" s="4"/>
      <c r="XEO700" s="4"/>
      <c r="XEP700" s="4"/>
    </row>
    <row r="701" s="2" customFormat="1" ht="26.1" customHeight="1" spans="2:16370">
      <c r="B701" s="7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105"/>
      <c r="O701" s="68"/>
      <c r="P701" s="115"/>
      <c r="Q701" s="7"/>
      <c r="XEJ701" s="4"/>
      <c r="XEK701" s="4"/>
      <c r="XEL701" s="4"/>
      <c r="XEM701" s="4"/>
      <c r="XEN701" s="4"/>
      <c r="XEO701" s="4"/>
      <c r="XEP701" s="4"/>
    </row>
    <row r="702" s="2" customFormat="1" ht="26.1" customHeight="1" spans="2:16370">
      <c r="B702" s="7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105"/>
      <c r="O702" s="68"/>
      <c r="P702" s="115"/>
      <c r="Q702" s="7"/>
      <c r="XEJ702" s="4"/>
      <c r="XEK702" s="4"/>
      <c r="XEL702" s="4"/>
      <c r="XEM702" s="4"/>
      <c r="XEN702" s="4"/>
      <c r="XEO702" s="4"/>
      <c r="XEP702" s="4"/>
    </row>
    <row r="703" s="2" customFormat="1" ht="26.1" customHeight="1" spans="2:16370">
      <c r="B703" s="7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105"/>
      <c r="O703" s="68"/>
      <c r="P703" s="115"/>
      <c r="Q703" s="7"/>
      <c r="XEJ703" s="4"/>
      <c r="XEK703" s="4"/>
      <c r="XEL703" s="4"/>
      <c r="XEM703" s="4"/>
      <c r="XEN703" s="4"/>
      <c r="XEO703" s="4"/>
      <c r="XEP703" s="4"/>
    </row>
    <row r="704" s="2" customFormat="1" ht="26.1" customHeight="1" spans="2:16370">
      <c r="B704" s="7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105"/>
      <c r="O704" s="68"/>
      <c r="P704" s="115"/>
      <c r="Q704" s="7"/>
      <c r="XEJ704" s="4"/>
      <c r="XEK704" s="4"/>
      <c r="XEL704" s="4"/>
      <c r="XEM704" s="4"/>
      <c r="XEN704" s="4"/>
      <c r="XEO704" s="4"/>
      <c r="XEP704" s="4"/>
    </row>
    <row r="705" s="2" customFormat="1" ht="26.1" customHeight="1" spans="2:16370">
      <c r="B705" s="7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105"/>
      <c r="O705" s="68"/>
      <c r="P705" s="115"/>
      <c r="Q705" s="7"/>
      <c r="XEJ705" s="4"/>
      <c r="XEK705" s="4"/>
      <c r="XEL705" s="4"/>
      <c r="XEM705" s="4"/>
      <c r="XEN705" s="4"/>
      <c r="XEO705" s="4"/>
      <c r="XEP705" s="4"/>
    </row>
    <row r="706" s="2" customFormat="1" ht="26.1" customHeight="1" spans="2:16370">
      <c r="B706" s="7"/>
      <c r="C706" s="68"/>
      <c r="D706" s="68"/>
      <c r="E706" s="68"/>
      <c r="F706" s="68"/>
      <c r="G706" s="68"/>
      <c r="H706" s="68"/>
      <c r="I706" s="68"/>
      <c r="J706" s="68"/>
      <c r="K706" s="68"/>
      <c r="L706" s="68"/>
      <c r="M706" s="68"/>
      <c r="N706" s="105"/>
      <c r="O706" s="68"/>
      <c r="P706" s="115"/>
      <c r="Q706" s="7"/>
      <c r="XEJ706" s="4"/>
      <c r="XEK706" s="4"/>
      <c r="XEL706" s="4"/>
      <c r="XEM706" s="4"/>
      <c r="XEN706" s="4"/>
      <c r="XEO706" s="4"/>
      <c r="XEP706" s="4"/>
    </row>
    <row r="707" s="2" customFormat="1" ht="26.1" customHeight="1" spans="2:16370">
      <c r="B707" s="7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105"/>
      <c r="O707" s="68"/>
      <c r="P707" s="115"/>
      <c r="Q707" s="7"/>
      <c r="XEJ707" s="4"/>
      <c r="XEK707" s="4"/>
      <c r="XEL707" s="4"/>
      <c r="XEM707" s="4"/>
      <c r="XEN707" s="4"/>
      <c r="XEO707" s="4"/>
      <c r="XEP707" s="4"/>
    </row>
    <row r="708" s="2" customFormat="1" ht="26.1" customHeight="1" spans="2:16370">
      <c r="B708" s="7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105"/>
      <c r="O708" s="68"/>
      <c r="P708" s="115"/>
      <c r="Q708" s="7"/>
      <c r="XEJ708" s="4"/>
      <c r="XEK708" s="4"/>
      <c r="XEL708" s="4"/>
      <c r="XEM708" s="4"/>
      <c r="XEN708" s="4"/>
      <c r="XEO708" s="4"/>
      <c r="XEP708" s="4"/>
    </row>
    <row r="709" s="2" customFormat="1" ht="26.1" customHeight="1" spans="2:16370">
      <c r="B709" s="7"/>
      <c r="C709" s="68"/>
      <c r="D709" s="68"/>
      <c r="E709" s="68"/>
      <c r="F709" s="68"/>
      <c r="G709" s="68"/>
      <c r="H709" s="68"/>
      <c r="I709" s="68"/>
      <c r="J709" s="68"/>
      <c r="K709" s="68"/>
      <c r="L709" s="68"/>
      <c r="M709" s="68"/>
      <c r="N709" s="105"/>
      <c r="O709" s="68"/>
      <c r="P709" s="115"/>
      <c r="Q709" s="7"/>
      <c r="XEJ709" s="4"/>
      <c r="XEK709" s="4"/>
      <c r="XEL709" s="4"/>
      <c r="XEM709" s="4"/>
      <c r="XEN709" s="4"/>
      <c r="XEO709" s="4"/>
      <c r="XEP709" s="4"/>
    </row>
    <row r="710" s="2" customFormat="1" ht="26.1" customHeight="1" spans="2:16370">
      <c r="B710" s="7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105"/>
      <c r="O710" s="68"/>
      <c r="P710" s="115"/>
      <c r="Q710" s="7"/>
      <c r="XEJ710" s="4"/>
      <c r="XEK710" s="4"/>
      <c r="XEL710" s="4"/>
      <c r="XEM710" s="4"/>
      <c r="XEN710" s="4"/>
      <c r="XEO710" s="4"/>
      <c r="XEP710" s="4"/>
    </row>
    <row r="711" s="2" customFormat="1" ht="26.1" customHeight="1" spans="2:16370">
      <c r="B711" s="7"/>
      <c r="C711" s="68"/>
      <c r="D711" s="68"/>
      <c r="E711" s="68"/>
      <c r="F711" s="68"/>
      <c r="G711" s="68"/>
      <c r="H711" s="68"/>
      <c r="I711" s="68"/>
      <c r="J711" s="68"/>
      <c r="K711" s="68"/>
      <c r="L711" s="68"/>
      <c r="M711" s="68"/>
      <c r="N711" s="105"/>
      <c r="O711" s="68"/>
      <c r="P711" s="115"/>
      <c r="Q711" s="7"/>
      <c r="XEJ711" s="4"/>
      <c r="XEK711" s="4"/>
      <c r="XEL711" s="4"/>
      <c r="XEM711" s="4"/>
      <c r="XEN711" s="4"/>
      <c r="XEO711" s="4"/>
      <c r="XEP711" s="4"/>
    </row>
    <row r="712" s="2" customFormat="1" ht="26.1" customHeight="1" spans="2:16370">
      <c r="B712" s="7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105"/>
      <c r="O712" s="68"/>
      <c r="P712" s="115"/>
      <c r="Q712" s="7"/>
      <c r="XEJ712" s="4"/>
      <c r="XEK712" s="4"/>
      <c r="XEL712" s="4"/>
      <c r="XEM712" s="4"/>
      <c r="XEN712" s="4"/>
      <c r="XEO712" s="4"/>
      <c r="XEP712" s="4"/>
    </row>
    <row r="713" s="2" customFormat="1" ht="26.1" customHeight="1" spans="2:16370">
      <c r="B713" s="7"/>
      <c r="C713" s="68"/>
      <c r="D713" s="68"/>
      <c r="E713" s="68"/>
      <c r="F713" s="68"/>
      <c r="G713" s="68"/>
      <c r="H713" s="68"/>
      <c r="I713" s="68"/>
      <c r="J713" s="68"/>
      <c r="K713" s="68"/>
      <c r="L713" s="68"/>
      <c r="M713" s="68"/>
      <c r="N713" s="105"/>
      <c r="O713" s="68"/>
      <c r="P713" s="115"/>
      <c r="Q713" s="7"/>
      <c r="XEJ713" s="4"/>
      <c r="XEK713" s="4"/>
      <c r="XEL713" s="4"/>
      <c r="XEM713" s="4"/>
      <c r="XEN713" s="4"/>
      <c r="XEO713" s="4"/>
      <c r="XEP713" s="4"/>
    </row>
    <row r="714" s="2" customFormat="1" ht="26.1" customHeight="1" spans="2:16370">
      <c r="B714" s="7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105"/>
      <c r="O714" s="68"/>
      <c r="P714" s="115"/>
      <c r="Q714" s="7"/>
      <c r="XEJ714" s="4"/>
      <c r="XEK714" s="4"/>
      <c r="XEL714" s="4"/>
      <c r="XEM714" s="4"/>
      <c r="XEN714" s="4"/>
      <c r="XEO714" s="4"/>
      <c r="XEP714" s="4"/>
    </row>
    <row r="715" s="2" customFormat="1" ht="26.1" customHeight="1" spans="2:16370">
      <c r="B715" s="7"/>
      <c r="C715" s="68"/>
      <c r="D715" s="68"/>
      <c r="E715" s="68"/>
      <c r="F715" s="68"/>
      <c r="G715" s="68"/>
      <c r="H715" s="68"/>
      <c r="I715" s="68"/>
      <c r="J715" s="68"/>
      <c r="K715" s="68"/>
      <c r="L715" s="68"/>
      <c r="M715" s="68"/>
      <c r="N715" s="105"/>
      <c r="O715" s="68"/>
      <c r="P715" s="115"/>
      <c r="Q715" s="7"/>
      <c r="XEJ715" s="4"/>
      <c r="XEK715" s="4"/>
      <c r="XEL715" s="4"/>
      <c r="XEM715" s="4"/>
      <c r="XEN715" s="4"/>
      <c r="XEO715" s="4"/>
      <c r="XEP715" s="4"/>
    </row>
    <row r="716" s="2" customFormat="1" ht="26.1" customHeight="1" spans="2:16370">
      <c r="B716" s="7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105"/>
      <c r="O716" s="68"/>
      <c r="P716" s="115"/>
      <c r="Q716" s="7"/>
      <c r="XEJ716" s="4"/>
      <c r="XEK716" s="4"/>
      <c r="XEL716" s="4"/>
      <c r="XEM716" s="4"/>
      <c r="XEN716" s="4"/>
      <c r="XEO716" s="4"/>
      <c r="XEP716" s="4"/>
    </row>
    <row r="717" s="2" customFormat="1" ht="26.1" customHeight="1" spans="2:16370">
      <c r="B717" s="7"/>
      <c r="C717" s="68"/>
      <c r="D717" s="68"/>
      <c r="E717" s="68"/>
      <c r="F717" s="68"/>
      <c r="G717" s="68"/>
      <c r="H717" s="68"/>
      <c r="I717" s="68"/>
      <c r="J717" s="68"/>
      <c r="K717" s="68"/>
      <c r="L717" s="68"/>
      <c r="M717" s="68"/>
      <c r="N717" s="105"/>
      <c r="O717" s="68"/>
      <c r="P717" s="115"/>
      <c r="Q717" s="7"/>
      <c r="XEJ717" s="4"/>
      <c r="XEK717" s="4"/>
      <c r="XEL717" s="4"/>
      <c r="XEM717" s="4"/>
      <c r="XEN717" s="4"/>
      <c r="XEO717" s="4"/>
      <c r="XEP717" s="4"/>
    </row>
    <row r="718" s="2" customFormat="1" ht="26.1" customHeight="1" spans="2:16370">
      <c r="B718" s="7"/>
      <c r="C718" s="68"/>
      <c r="D718" s="68"/>
      <c r="E718" s="68"/>
      <c r="F718" s="68"/>
      <c r="G718" s="68"/>
      <c r="H718" s="68"/>
      <c r="I718" s="68"/>
      <c r="J718" s="68"/>
      <c r="K718" s="68"/>
      <c r="L718" s="68"/>
      <c r="M718" s="68"/>
      <c r="N718" s="105"/>
      <c r="O718" s="68"/>
      <c r="P718" s="115"/>
      <c r="Q718" s="7"/>
      <c r="XEJ718" s="4"/>
      <c r="XEK718" s="4"/>
      <c r="XEL718" s="4"/>
      <c r="XEM718" s="4"/>
      <c r="XEN718" s="4"/>
      <c r="XEO718" s="4"/>
      <c r="XEP718" s="4"/>
    </row>
    <row r="719" s="2" customFormat="1" ht="26.1" customHeight="1" spans="2:16370">
      <c r="B719" s="7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105"/>
      <c r="O719" s="68"/>
      <c r="P719" s="115"/>
      <c r="Q719" s="7"/>
      <c r="XEJ719" s="4"/>
      <c r="XEK719" s="4"/>
      <c r="XEL719" s="4"/>
      <c r="XEM719" s="4"/>
      <c r="XEN719" s="4"/>
      <c r="XEO719" s="4"/>
      <c r="XEP719" s="4"/>
    </row>
    <row r="720" s="2" customFormat="1" ht="26.1" customHeight="1" spans="2:16370">
      <c r="B720" s="7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105"/>
      <c r="O720" s="68"/>
      <c r="P720" s="115"/>
      <c r="Q720" s="7"/>
      <c r="XEJ720" s="4"/>
      <c r="XEK720" s="4"/>
      <c r="XEL720" s="4"/>
      <c r="XEM720" s="4"/>
      <c r="XEN720" s="4"/>
      <c r="XEO720" s="4"/>
      <c r="XEP720" s="4"/>
    </row>
    <row r="721" s="2" customFormat="1" ht="26.1" customHeight="1" spans="2:16370">
      <c r="B721" s="7"/>
      <c r="C721" s="68"/>
      <c r="D721" s="68"/>
      <c r="E721" s="68"/>
      <c r="F721" s="68"/>
      <c r="G721" s="68"/>
      <c r="H721" s="68"/>
      <c r="I721" s="68"/>
      <c r="J721" s="68"/>
      <c r="K721" s="68"/>
      <c r="L721" s="68"/>
      <c r="M721" s="68"/>
      <c r="N721" s="105"/>
      <c r="O721" s="68"/>
      <c r="P721" s="115"/>
      <c r="Q721" s="7"/>
      <c r="XEJ721" s="4"/>
      <c r="XEK721" s="4"/>
      <c r="XEL721" s="4"/>
      <c r="XEM721" s="4"/>
      <c r="XEN721" s="4"/>
      <c r="XEO721" s="4"/>
      <c r="XEP721" s="4"/>
    </row>
    <row r="722" s="2" customFormat="1" ht="26.1" customHeight="1" spans="2:16370">
      <c r="B722" s="7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105"/>
      <c r="O722" s="68"/>
      <c r="P722" s="115"/>
      <c r="Q722" s="7"/>
      <c r="XEJ722" s="4"/>
      <c r="XEK722" s="4"/>
      <c r="XEL722" s="4"/>
      <c r="XEM722" s="4"/>
      <c r="XEN722" s="4"/>
      <c r="XEO722" s="4"/>
      <c r="XEP722" s="4"/>
    </row>
    <row r="723" s="2" customFormat="1" ht="26.1" customHeight="1" spans="2:16370">
      <c r="B723" s="7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105"/>
      <c r="O723" s="68"/>
      <c r="P723" s="115"/>
      <c r="Q723" s="7"/>
      <c r="XEJ723" s="4"/>
      <c r="XEK723" s="4"/>
      <c r="XEL723" s="4"/>
      <c r="XEM723" s="4"/>
      <c r="XEN723" s="4"/>
      <c r="XEO723" s="4"/>
      <c r="XEP723" s="4"/>
    </row>
    <row r="724" s="2" customFormat="1" ht="26.1" customHeight="1" spans="2:16370">
      <c r="B724" s="7"/>
      <c r="C724" s="68"/>
      <c r="D724" s="68"/>
      <c r="E724" s="68"/>
      <c r="F724" s="68"/>
      <c r="G724" s="68"/>
      <c r="H724" s="68"/>
      <c r="I724" s="68"/>
      <c r="J724" s="68"/>
      <c r="K724" s="68"/>
      <c r="L724" s="68"/>
      <c r="M724" s="68"/>
      <c r="N724" s="105"/>
      <c r="O724" s="68"/>
      <c r="P724" s="115"/>
      <c r="Q724" s="7"/>
      <c r="XEJ724" s="4"/>
      <c r="XEK724" s="4"/>
      <c r="XEL724" s="4"/>
      <c r="XEM724" s="4"/>
      <c r="XEN724" s="4"/>
      <c r="XEO724" s="4"/>
      <c r="XEP724" s="4"/>
    </row>
    <row r="725" s="2" customFormat="1" ht="26.1" customHeight="1" spans="2:16370">
      <c r="B725" s="7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105"/>
      <c r="O725" s="68"/>
      <c r="P725" s="115"/>
      <c r="Q725" s="7"/>
      <c r="XEJ725" s="4"/>
      <c r="XEK725" s="4"/>
      <c r="XEL725" s="4"/>
      <c r="XEM725" s="4"/>
      <c r="XEN725" s="4"/>
      <c r="XEO725" s="4"/>
      <c r="XEP725" s="4"/>
    </row>
    <row r="726" s="2" customFormat="1" ht="26.1" customHeight="1" spans="2:16370">
      <c r="B726" s="7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105"/>
      <c r="O726" s="68"/>
      <c r="P726" s="115"/>
      <c r="Q726" s="7"/>
      <c r="XEJ726" s="4"/>
      <c r="XEK726" s="4"/>
      <c r="XEL726" s="4"/>
      <c r="XEM726" s="4"/>
      <c r="XEN726" s="4"/>
      <c r="XEO726" s="4"/>
      <c r="XEP726" s="4"/>
    </row>
    <row r="727" s="2" customFormat="1" ht="26.1" customHeight="1" spans="2:16370">
      <c r="B727" s="7"/>
      <c r="C727" s="68"/>
      <c r="D727" s="68"/>
      <c r="E727" s="68"/>
      <c r="F727" s="68"/>
      <c r="G727" s="68"/>
      <c r="H727" s="68"/>
      <c r="I727" s="68"/>
      <c r="J727" s="68"/>
      <c r="K727" s="68"/>
      <c r="L727" s="68"/>
      <c r="M727" s="68"/>
      <c r="N727" s="105"/>
      <c r="O727" s="68"/>
      <c r="P727" s="115"/>
      <c r="Q727" s="7"/>
      <c r="XEJ727" s="4"/>
      <c r="XEK727" s="4"/>
      <c r="XEL727" s="4"/>
      <c r="XEM727" s="4"/>
      <c r="XEN727" s="4"/>
      <c r="XEO727" s="4"/>
      <c r="XEP727" s="4"/>
    </row>
    <row r="728" s="2" customFormat="1" ht="26.1" customHeight="1" spans="2:16370">
      <c r="B728" s="7"/>
      <c r="C728" s="68"/>
      <c r="D728" s="68"/>
      <c r="E728" s="68"/>
      <c r="F728" s="68"/>
      <c r="G728" s="68"/>
      <c r="H728" s="68"/>
      <c r="I728" s="68"/>
      <c r="J728" s="68"/>
      <c r="K728" s="68"/>
      <c r="L728" s="68"/>
      <c r="M728" s="68"/>
      <c r="N728" s="105"/>
      <c r="O728" s="68"/>
      <c r="P728" s="115"/>
      <c r="Q728" s="7"/>
      <c r="XEJ728" s="4"/>
      <c r="XEK728" s="4"/>
      <c r="XEL728" s="4"/>
      <c r="XEM728" s="4"/>
      <c r="XEN728" s="4"/>
      <c r="XEO728" s="4"/>
      <c r="XEP728" s="4"/>
    </row>
    <row r="729" s="2" customFormat="1" ht="26.1" customHeight="1" spans="2:16370">
      <c r="B729" s="7"/>
      <c r="C729" s="68"/>
      <c r="D729" s="68"/>
      <c r="E729" s="68"/>
      <c r="F729" s="68"/>
      <c r="G729" s="68"/>
      <c r="H729" s="68"/>
      <c r="I729" s="68"/>
      <c r="J729" s="68"/>
      <c r="K729" s="68"/>
      <c r="L729" s="68"/>
      <c r="M729" s="68"/>
      <c r="N729" s="105"/>
      <c r="O729" s="68"/>
      <c r="P729" s="115"/>
      <c r="Q729" s="7"/>
      <c r="XEJ729" s="4"/>
      <c r="XEK729" s="4"/>
      <c r="XEL729" s="4"/>
      <c r="XEM729" s="4"/>
      <c r="XEN729" s="4"/>
      <c r="XEO729" s="4"/>
      <c r="XEP729" s="4"/>
    </row>
    <row r="730" s="2" customFormat="1" ht="26.1" customHeight="1" spans="2:16370">
      <c r="B730" s="7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105"/>
      <c r="O730" s="68"/>
      <c r="P730" s="115"/>
      <c r="Q730" s="7"/>
      <c r="XEJ730" s="4"/>
      <c r="XEK730" s="4"/>
      <c r="XEL730" s="4"/>
      <c r="XEM730" s="4"/>
      <c r="XEN730" s="4"/>
      <c r="XEO730" s="4"/>
      <c r="XEP730" s="4"/>
    </row>
    <row r="731" s="2" customFormat="1" ht="26.1" customHeight="1" spans="2:16370">
      <c r="B731" s="7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105"/>
      <c r="O731" s="68"/>
      <c r="P731" s="115"/>
      <c r="Q731" s="7"/>
      <c r="XEJ731" s="4"/>
      <c r="XEK731" s="4"/>
      <c r="XEL731" s="4"/>
      <c r="XEM731" s="4"/>
      <c r="XEN731" s="4"/>
      <c r="XEO731" s="4"/>
      <c r="XEP731" s="4"/>
    </row>
    <row r="732" s="2" customFormat="1" ht="26.1" customHeight="1" spans="2:16370">
      <c r="B732" s="7"/>
      <c r="C732" s="68"/>
      <c r="D732" s="68"/>
      <c r="E732" s="68"/>
      <c r="F732" s="68"/>
      <c r="G732" s="68"/>
      <c r="H732" s="68"/>
      <c r="I732" s="68"/>
      <c r="J732" s="68"/>
      <c r="K732" s="68"/>
      <c r="L732" s="68"/>
      <c r="M732" s="68"/>
      <c r="N732" s="105"/>
      <c r="O732" s="68"/>
      <c r="P732" s="115"/>
      <c r="Q732" s="7"/>
      <c r="XEJ732" s="4"/>
      <c r="XEK732" s="4"/>
      <c r="XEL732" s="4"/>
      <c r="XEM732" s="4"/>
      <c r="XEN732" s="4"/>
      <c r="XEO732" s="4"/>
      <c r="XEP732" s="4"/>
    </row>
    <row r="733" s="2" customFormat="1" ht="26.1" customHeight="1" spans="2:16370">
      <c r="B733" s="7"/>
      <c r="C733" s="68"/>
      <c r="D733" s="68"/>
      <c r="E733" s="68"/>
      <c r="F733" s="68"/>
      <c r="G733" s="68"/>
      <c r="H733" s="68"/>
      <c r="I733" s="68"/>
      <c r="J733" s="68"/>
      <c r="K733" s="68"/>
      <c r="L733" s="68"/>
      <c r="M733" s="68"/>
      <c r="N733" s="105"/>
      <c r="O733" s="68"/>
      <c r="P733" s="115"/>
      <c r="Q733" s="7"/>
      <c r="XEJ733" s="4"/>
      <c r="XEK733" s="4"/>
      <c r="XEL733" s="4"/>
      <c r="XEM733" s="4"/>
      <c r="XEN733" s="4"/>
      <c r="XEO733" s="4"/>
      <c r="XEP733" s="4"/>
    </row>
    <row r="734" s="2" customFormat="1" ht="26.1" customHeight="1" spans="2:16370">
      <c r="B734" s="7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105"/>
      <c r="O734" s="68"/>
      <c r="P734" s="115"/>
      <c r="Q734" s="7"/>
      <c r="XEJ734" s="4"/>
      <c r="XEK734" s="4"/>
      <c r="XEL734" s="4"/>
      <c r="XEM734" s="4"/>
      <c r="XEN734" s="4"/>
      <c r="XEO734" s="4"/>
      <c r="XEP734" s="4"/>
    </row>
    <row r="735" s="2" customFormat="1" ht="26.1" customHeight="1" spans="2:16370">
      <c r="B735" s="7"/>
      <c r="C735" s="68"/>
      <c r="D735" s="68"/>
      <c r="E735" s="68"/>
      <c r="F735" s="68"/>
      <c r="G735" s="68"/>
      <c r="H735" s="68"/>
      <c r="I735" s="68"/>
      <c r="J735" s="68"/>
      <c r="K735" s="68"/>
      <c r="L735" s="68"/>
      <c r="M735" s="68"/>
      <c r="N735" s="105"/>
      <c r="O735" s="68"/>
      <c r="P735" s="115"/>
      <c r="Q735" s="7"/>
      <c r="XEJ735" s="4"/>
      <c r="XEK735" s="4"/>
      <c r="XEL735" s="4"/>
      <c r="XEM735" s="4"/>
      <c r="XEN735" s="4"/>
      <c r="XEO735" s="4"/>
      <c r="XEP735" s="4"/>
    </row>
    <row r="736" s="2" customFormat="1" ht="26.1" customHeight="1" spans="2:16370">
      <c r="B736" s="7"/>
      <c r="C736" s="68"/>
      <c r="D736" s="68"/>
      <c r="E736" s="68"/>
      <c r="F736" s="68"/>
      <c r="G736" s="68"/>
      <c r="H736" s="68"/>
      <c r="I736" s="68"/>
      <c r="J736" s="68"/>
      <c r="K736" s="68"/>
      <c r="L736" s="68"/>
      <c r="M736" s="68"/>
      <c r="N736" s="105"/>
      <c r="O736" s="68"/>
      <c r="P736" s="115"/>
      <c r="Q736" s="7"/>
      <c r="XEJ736" s="4"/>
      <c r="XEK736" s="4"/>
      <c r="XEL736" s="4"/>
      <c r="XEM736" s="4"/>
      <c r="XEN736" s="4"/>
      <c r="XEO736" s="4"/>
      <c r="XEP736" s="4"/>
    </row>
    <row r="737" s="2" customFormat="1" ht="26.1" customHeight="1" spans="2:16370">
      <c r="B737" s="7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105"/>
      <c r="O737" s="68"/>
      <c r="P737" s="115"/>
      <c r="Q737" s="7"/>
      <c r="XEJ737" s="4"/>
      <c r="XEK737" s="4"/>
      <c r="XEL737" s="4"/>
      <c r="XEM737" s="4"/>
      <c r="XEN737" s="4"/>
      <c r="XEO737" s="4"/>
      <c r="XEP737" s="4"/>
    </row>
    <row r="738" s="2" customFormat="1" ht="26.1" customHeight="1" spans="2:16370">
      <c r="B738" s="7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105"/>
      <c r="O738" s="68"/>
      <c r="P738" s="115"/>
      <c r="Q738" s="7"/>
      <c r="XEJ738" s="4"/>
      <c r="XEK738" s="4"/>
      <c r="XEL738" s="4"/>
      <c r="XEM738" s="4"/>
      <c r="XEN738" s="4"/>
      <c r="XEO738" s="4"/>
      <c r="XEP738" s="4"/>
    </row>
    <row r="739" s="2" customFormat="1" ht="26.1" customHeight="1" spans="2:16370">
      <c r="B739" s="7"/>
      <c r="C739" s="68"/>
      <c r="D739" s="68"/>
      <c r="E739" s="68"/>
      <c r="F739" s="68"/>
      <c r="G739" s="68"/>
      <c r="H739" s="68"/>
      <c r="I739" s="68"/>
      <c r="J739" s="68"/>
      <c r="K739" s="68"/>
      <c r="L739" s="68"/>
      <c r="M739" s="68"/>
      <c r="N739" s="105"/>
      <c r="O739" s="68"/>
      <c r="P739" s="115"/>
      <c r="Q739" s="7"/>
      <c r="XEJ739" s="4"/>
      <c r="XEK739" s="4"/>
      <c r="XEL739" s="4"/>
      <c r="XEM739" s="4"/>
      <c r="XEN739" s="4"/>
      <c r="XEO739" s="4"/>
      <c r="XEP739" s="4"/>
    </row>
    <row r="740" s="2" customFormat="1" ht="26.1" customHeight="1" spans="2:16370">
      <c r="B740" s="7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105"/>
      <c r="O740" s="68"/>
      <c r="P740" s="115"/>
      <c r="Q740" s="7"/>
      <c r="XEJ740" s="4"/>
      <c r="XEK740" s="4"/>
      <c r="XEL740" s="4"/>
      <c r="XEM740" s="4"/>
      <c r="XEN740" s="4"/>
      <c r="XEO740" s="4"/>
      <c r="XEP740" s="4"/>
    </row>
    <row r="741" s="2" customFormat="1" ht="26.1" customHeight="1" spans="2:16370">
      <c r="B741" s="7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105"/>
      <c r="O741" s="68"/>
      <c r="P741" s="115"/>
      <c r="Q741" s="7"/>
      <c r="XEJ741" s="4"/>
      <c r="XEK741" s="4"/>
      <c r="XEL741" s="4"/>
      <c r="XEM741" s="4"/>
      <c r="XEN741" s="4"/>
      <c r="XEO741" s="4"/>
      <c r="XEP741" s="4"/>
    </row>
    <row r="742" s="2" customFormat="1" ht="26.1" customHeight="1" spans="2:16370">
      <c r="B742" s="7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105"/>
      <c r="O742" s="68"/>
      <c r="P742" s="115"/>
      <c r="Q742" s="7"/>
      <c r="XEJ742" s="4"/>
      <c r="XEK742" s="4"/>
      <c r="XEL742" s="4"/>
      <c r="XEM742" s="4"/>
      <c r="XEN742" s="4"/>
      <c r="XEO742" s="4"/>
      <c r="XEP742" s="4"/>
    </row>
    <row r="743" s="2" customFormat="1" ht="26.1" customHeight="1" spans="2:16370">
      <c r="B743" s="7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105"/>
      <c r="O743" s="68"/>
      <c r="P743" s="115"/>
      <c r="Q743" s="7"/>
      <c r="XEJ743" s="4"/>
      <c r="XEK743" s="4"/>
      <c r="XEL743" s="4"/>
      <c r="XEM743" s="4"/>
      <c r="XEN743" s="4"/>
      <c r="XEO743" s="4"/>
      <c r="XEP743" s="4"/>
    </row>
    <row r="744" s="2" customFormat="1" ht="26.1" customHeight="1" spans="2:16370">
      <c r="B744" s="7"/>
      <c r="C744" s="68"/>
      <c r="D744" s="68"/>
      <c r="E744" s="68"/>
      <c r="F744" s="68"/>
      <c r="G744" s="68"/>
      <c r="H744" s="68"/>
      <c r="I744" s="68"/>
      <c r="J744" s="68"/>
      <c r="K744" s="68"/>
      <c r="L744" s="68"/>
      <c r="M744" s="68"/>
      <c r="N744" s="105"/>
      <c r="O744" s="68"/>
      <c r="P744" s="115"/>
      <c r="Q744" s="7"/>
      <c r="XEJ744" s="4"/>
      <c r="XEK744" s="4"/>
      <c r="XEL744" s="4"/>
      <c r="XEM744" s="4"/>
      <c r="XEN744" s="4"/>
      <c r="XEO744" s="4"/>
      <c r="XEP744" s="4"/>
    </row>
    <row r="745" s="2" customFormat="1" ht="26.1" customHeight="1" spans="2:16370">
      <c r="B745" s="7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105"/>
      <c r="O745" s="68"/>
      <c r="P745" s="115"/>
      <c r="Q745" s="7"/>
      <c r="XEJ745" s="4"/>
      <c r="XEK745" s="4"/>
      <c r="XEL745" s="4"/>
      <c r="XEM745" s="4"/>
      <c r="XEN745" s="4"/>
      <c r="XEO745" s="4"/>
      <c r="XEP745" s="4"/>
    </row>
    <row r="746" s="2" customFormat="1" ht="26.1" customHeight="1" spans="2:16370">
      <c r="B746" s="7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105"/>
      <c r="O746" s="68"/>
      <c r="P746" s="115"/>
      <c r="Q746" s="7"/>
      <c r="XEJ746" s="4"/>
      <c r="XEK746" s="4"/>
      <c r="XEL746" s="4"/>
      <c r="XEM746" s="4"/>
      <c r="XEN746" s="4"/>
      <c r="XEO746" s="4"/>
      <c r="XEP746" s="4"/>
    </row>
    <row r="747" s="2" customFormat="1" ht="26.1" customHeight="1" spans="2:16370">
      <c r="B747" s="7"/>
      <c r="C747" s="68"/>
      <c r="D747" s="68"/>
      <c r="E747" s="68"/>
      <c r="F747" s="68"/>
      <c r="G747" s="68"/>
      <c r="H747" s="68"/>
      <c r="I747" s="68"/>
      <c r="J747" s="68"/>
      <c r="K747" s="68"/>
      <c r="L747" s="68"/>
      <c r="M747" s="68"/>
      <c r="N747" s="105"/>
      <c r="O747" s="68"/>
      <c r="P747" s="115"/>
      <c r="Q747" s="7"/>
      <c r="XEJ747" s="4"/>
      <c r="XEK747" s="4"/>
      <c r="XEL747" s="4"/>
      <c r="XEM747" s="4"/>
      <c r="XEN747" s="4"/>
      <c r="XEO747" s="4"/>
      <c r="XEP747" s="4"/>
    </row>
    <row r="748" s="2" customFormat="1" ht="26.1" customHeight="1" spans="2:16370">
      <c r="B748" s="7"/>
      <c r="C748" s="68"/>
      <c r="D748" s="68"/>
      <c r="E748" s="68"/>
      <c r="F748" s="68"/>
      <c r="G748" s="68"/>
      <c r="H748" s="68"/>
      <c r="I748" s="68"/>
      <c r="J748" s="68"/>
      <c r="K748" s="68"/>
      <c r="L748" s="68"/>
      <c r="M748" s="68"/>
      <c r="N748" s="105"/>
      <c r="O748" s="68"/>
      <c r="P748" s="115"/>
      <c r="Q748" s="7"/>
      <c r="XEJ748" s="4"/>
      <c r="XEK748" s="4"/>
      <c r="XEL748" s="4"/>
      <c r="XEM748" s="4"/>
      <c r="XEN748" s="4"/>
      <c r="XEO748" s="4"/>
      <c r="XEP748" s="4"/>
    </row>
    <row r="749" s="2" customFormat="1" ht="26.1" customHeight="1" spans="2:16370">
      <c r="B749" s="7"/>
      <c r="C749" s="68"/>
      <c r="D749" s="68"/>
      <c r="E749" s="68"/>
      <c r="F749" s="68"/>
      <c r="G749" s="68"/>
      <c r="H749" s="68"/>
      <c r="I749" s="68"/>
      <c r="J749" s="68"/>
      <c r="K749" s="68"/>
      <c r="L749" s="68"/>
      <c r="M749" s="68"/>
      <c r="N749" s="105"/>
      <c r="O749" s="68"/>
      <c r="P749" s="115"/>
      <c r="Q749" s="7"/>
      <c r="XEJ749" s="4"/>
      <c r="XEK749" s="4"/>
      <c r="XEL749" s="4"/>
      <c r="XEM749" s="4"/>
      <c r="XEN749" s="4"/>
      <c r="XEO749" s="4"/>
      <c r="XEP749" s="4"/>
    </row>
    <row r="750" s="2" customFormat="1" ht="26.1" customHeight="1" spans="2:16370">
      <c r="B750" s="7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105"/>
      <c r="O750" s="68"/>
      <c r="P750" s="115"/>
      <c r="Q750" s="7"/>
      <c r="XEJ750" s="4"/>
      <c r="XEK750" s="4"/>
      <c r="XEL750" s="4"/>
      <c r="XEM750" s="4"/>
      <c r="XEN750" s="4"/>
      <c r="XEO750" s="4"/>
      <c r="XEP750" s="4"/>
    </row>
    <row r="751" s="2" customFormat="1" ht="26.1" customHeight="1" spans="2:16370">
      <c r="B751" s="7"/>
      <c r="C751" s="68"/>
      <c r="D751" s="68"/>
      <c r="E751" s="68"/>
      <c r="F751" s="68"/>
      <c r="G751" s="68"/>
      <c r="H751" s="68"/>
      <c r="I751" s="68"/>
      <c r="J751" s="68"/>
      <c r="K751" s="68"/>
      <c r="L751" s="68"/>
      <c r="M751" s="68"/>
      <c r="N751" s="105"/>
      <c r="O751" s="68"/>
      <c r="P751" s="115"/>
      <c r="Q751" s="7"/>
      <c r="XEJ751" s="4"/>
      <c r="XEK751" s="4"/>
      <c r="XEL751" s="4"/>
      <c r="XEM751" s="4"/>
      <c r="XEN751" s="4"/>
      <c r="XEO751" s="4"/>
      <c r="XEP751" s="4"/>
    </row>
    <row r="752" s="2" customFormat="1" ht="26.1" customHeight="1" spans="2:16370">
      <c r="B752" s="7"/>
      <c r="C752" s="68"/>
      <c r="D752" s="68"/>
      <c r="E752" s="68"/>
      <c r="F752" s="68"/>
      <c r="G752" s="68"/>
      <c r="H752" s="68"/>
      <c r="I752" s="68"/>
      <c r="J752" s="68"/>
      <c r="K752" s="68"/>
      <c r="L752" s="68"/>
      <c r="M752" s="68"/>
      <c r="N752" s="105"/>
      <c r="O752" s="68"/>
      <c r="P752" s="115"/>
      <c r="Q752" s="7"/>
      <c r="XEJ752" s="4"/>
      <c r="XEK752" s="4"/>
      <c r="XEL752" s="4"/>
      <c r="XEM752" s="4"/>
      <c r="XEN752" s="4"/>
      <c r="XEO752" s="4"/>
      <c r="XEP752" s="4"/>
    </row>
    <row r="753" s="2" customFormat="1" ht="26.1" customHeight="1" spans="2:16370">
      <c r="B753" s="7"/>
      <c r="C753" s="68"/>
      <c r="D753" s="68"/>
      <c r="E753" s="68"/>
      <c r="F753" s="68"/>
      <c r="G753" s="68"/>
      <c r="H753" s="68"/>
      <c r="I753" s="68"/>
      <c r="J753" s="68"/>
      <c r="K753" s="68"/>
      <c r="L753" s="68"/>
      <c r="M753" s="68"/>
      <c r="N753" s="105"/>
      <c r="O753" s="68"/>
      <c r="P753" s="115"/>
      <c r="Q753" s="7"/>
      <c r="XEJ753" s="4"/>
      <c r="XEK753" s="4"/>
      <c r="XEL753" s="4"/>
      <c r="XEM753" s="4"/>
      <c r="XEN753" s="4"/>
      <c r="XEO753" s="4"/>
      <c r="XEP753" s="4"/>
    </row>
    <row r="754" s="2" customFormat="1" ht="26.1" customHeight="1" spans="2:16370">
      <c r="B754" s="7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105"/>
      <c r="O754" s="68"/>
      <c r="P754" s="115"/>
      <c r="Q754" s="7"/>
      <c r="XEJ754" s="4"/>
      <c r="XEK754" s="4"/>
      <c r="XEL754" s="4"/>
      <c r="XEM754" s="4"/>
      <c r="XEN754" s="4"/>
      <c r="XEO754" s="4"/>
      <c r="XEP754" s="4"/>
    </row>
    <row r="755" s="2" customFormat="1" ht="26.1" customHeight="1" spans="2:16370">
      <c r="B755" s="7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105"/>
      <c r="O755" s="68"/>
      <c r="P755" s="115"/>
      <c r="Q755" s="7"/>
      <c r="XEJ755" s="4"/>
      <c r="XEK755" s="4"/>
      <c r="XEL755" s="4"/>
      <c r="XEM755" s="4"/>
      <c r="XEN755" s="4"/>
      <c r="XEO755" s="4"/>
      <c r="XEP755" s="4"/>
    </row>
    <row r="756" s="2" customFormat="1" ht="26.1" customHeight="1" spans="2:16370">
      <c r="B756" s="7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105"/>
      <c r="O756" s="68"/>
      <c r="P756" s="115"/>
      <c r="Q756" s="7"/>
      <c r="XEJ756" s="4"/>
      <c r="XEK756" s="4"/>
      <c r="XEL756" s="4"/>
      <c r="XEM756" s="4"/>
      <c r="XEN756" s="4"/>
      <c r="XEO756" s="4"/>
      <c r="XEP756" s="4"/>
    </row>
    <row r="757" s="2" customFormat="1" ht="26.1" customHeight="1" spans="2:16370">
      <c r="B757" s="7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105"/>
      <c r="O757" s="68"/>
      <c r="P757" s="115"/>
      <c r="Q757" s="7"/>
      <c r="XEJ757" s="4"/>
      <c r="XEK757" s="4"/>
      <c r="XEL757" s="4"/>
      <c r="XEM757" s="4"/>
      <c r="XEN757" s="4"/>
      <c r="XEO757" s="4"/>
      <c r="XEP757" s="4"/>
    </row>
    <row r="758" s="2" customFormat="1" ht="26.1" customHeight="1" spans="2:16370">
      <c r="B758" s="7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105"/>
      <c r="O758" s="68"/>
      <c r="P758" s="115"/>
      <c r="Q758" s="7"/>
      <c r="XEJ758" s="4"/>
      <c r="XEK758" s="4"/>
      <c r="XEL758" s="4"/>
      <c r="XEM758" s="4"/>
      <c r="XEN758" s="4"/>
      <c r="XEO758" s="4"/>
      <c r="XEP758" s="4"/>
    </row>
    <row r="759" s="2" customFormat="1" ht="26.1" customHeight="1" spans="2:16370">
      <c r="B759" s="7"/>
      <c r="C759" s="68"/>
      <c r="D759" s="68"/>
      <c r="E759" s="68"/>
      <c r="F759" s="68"/>
      <c r="G759" s="68"/>
      <c r="H759" s="68"/>
      <c r="I759" s="68"/>
      <c r="J759" s="68"/>
      <c r="K759" s="68"/>
      <c r="L759" s="68"/>
      <c r="M759" s="68"/>
      <c r="N759" s="105"/>
      <c r="O759" s="68"/>
      <c r="P759" s="115"/>
      <c r="Q759" s="7"/>
      <c r="XEJ759" s="4"/>
      <c r="XEK759" s="4"/>
      <c r="XEL759" s="4"/>
      <c r="XEM759" s="4"/>
      <c r="XEN759" s="4"/>
      <c r="XEO759" s="4"/>
      <c r="XEP759" s="4"/>
    </row>
    <row r="760" s="2" customFormat="1" ht="26.1" customHeight="1" spans="2:16370">
      <c r="B760" s="7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105"/>
      <c r="O760" s="68"/>
      <c r="P760" s="115"/>
      <c r="Q760" s="7"/>
      <c r="XEJ760" s="4"/>
      <c r="XEK760" s="4"/>
      <c r="XEL760" s="4"/>
      <c r="XEM760" s="4"/>
      <c r="XEN760" s="4"/>
      <c r="XEO760" s="4"/>
      <c r="XEP760" s="4"/>
    </row>
    <row r="761" s="2" customFormat="1" ht="26.1" customHeight="1" spans="2:16370">
      <c r="B761" s="7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105"/>
      <c r="O761" s="68"/>
      <c r="P761" s="115"/>
      <c r="Q761" s="7"/>
      <c r="XEJ761" s="4"/>
      <c r="XEK761" s="4"/>
      <c r="XEL761" s="4"/>
      <c r="XEM761" s="4"/>
      <c r="XEN761" s="4"/>
      <c r="XEO761" s="4"/>
      <c r="XEP761" s="4"/>
    </row>
    <row r="762" s="2" customFormat="1" ht="26.1" customHeight="1" spans="2:16370">
      <c r="B762" s="7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105"/>
      <c r="O762" s="68"/>
      <c r="P762" s="115"/>
      <c r="Q762" s="7"/>
      <c r="XEJ762" s="4"/>
      <c r="XEK762" s="4"/>
      <c r="XEL762" s="4"/>
      <c r="XEM762" s="4"/>
      <c r="XEN762" s="4"/>
      <c r="XEO762" s="4"/>
      <c r="XEP762" s="4"/>
    </row>
    <row r="763" s="2" customFormat="1" ht="26.1" customHeight="1" spans="2:16370">
      <c r="B763" s="7"/>
      <c r="C763" s="68"/>
      <c r="D763" s="68"/>
      <c r="E763" s="68"/>
      <c r="F763" s="68"/>
      <c r="G763" s="68"/>
      <c r="H763" s="68"/>
      <c r="I763" s="68"/>
      <c r="J763" s="68"/>
      <c r="K763" s="68"/>
      <c r="L763" s="68"/>
      <c r="M763" s="68"/>
      <c r="N763" s="105"/>
      <c r="O763" s="68"/>
      <c r="P763" s="115"/>
      <c r="Q763" s="7"/>
      <c r="XEJ763" s="4"/>
      <c r="XEK763" s="4"/>
      <c r="XEL763" s="4"/>
      <c r="XEM763" s="4"/>
      <c r="XEN763" s="4"/>
      <c r="XEO763" s="4"/>
      <c r="XEP763" s="4"/>
    </row>
    <row r="764" s="2" customFormat="1" ht="26.1" customHeight="1" spans="2:16370">
      <c r="B764" s="7"/>
      <c r="C764" s="68"/>
      <c r="D764" s="68"/>
      <c r="E764" s="68"/>
      <c r="F764" s="68"/>
      <c r="G764" s="68"/>
      <c r="H764" s="68"/>
      <c r="I764" s="68"/>
      <c r="J764" s="68"/>
      <c r="K764" s="68"/>
      <c r="L764" s="68"/>
      <c r="M764" s="68"/>
      <c r="N764" s="105"/>
      <c r="O764" s="68"/>
      <c r="P764" s="115"/>
      <c r="Q764" s="7"/>
      <c r="XEJ764" s="4"/>
      <c r="XEK764" s="4"/>
      <c r="XEL764" s="4"/>
      <c r="XEM764" s="4"/>
      <c r="XEN764" s="4"/>
      <c r="XEO764" s="4"/>
      <c r="XEP764" s="4"/>
    </row>
    <row r="765" s="2" customFormat="1" ht="26.1" customHeight="1" spans="2:16370">
      <c r="B765" s="7"/>
      <c r="C765" s="68"/>
      <c r="D765" s="68"/>
      <c r="E765" s="68"/>
      <c r="F765" s="68"/>
      <c r="G765" s="68"/>
      <c r="H765" s="68"/>
      <c r="I765" s="68"/>
      <c r="J765" s="68"/>
      <c r="K765" s="68"/>
      <c r="L765" s="68"/>
      <c r="M765" s="68"/>
      <c r="N765" s="105"/>
      <c r="O765" s="68"/>
      <c r="P765" s="115"/>
      <c r="Q765" s="7"/>
      <c r="XEJ765" s="4"/>
      <c r="XEK765" s="4"/>
      <c r="XEL765" s="4"/>
      <c r="XEM765" s="4"/>
      <c r="XEN765" s="4"/>
      <c r="XEO765" s="4"/>
      <c r="XEP765" s="4"/>
    </row>
    <row r="766" s="2" customFormat="1" ht="26.1" customHeight="1" spans="2:16370">
      <c r="B766" s="7"/>
      <c r="C766" s="68"/>
      <c r="D766" s="68"/>
      <c r="E766" s="68"/>
      <c r="F766" s="68"/>
      <c r="G766" s="68"/>
      <c r="H766" s="68"/>
      <c r="I766" s="68"/>
      <c r="J766" s="68"/>
      <c r="K766" s="68"/>
      <c r="L766" s="68"/>
      <c r="M766" s="68"/>
      <c r="N766" s="105"/>
      <c r="O766" s="68"/>
      <c r="P766" s="115"/>
      <c r="Q766" s="7"/>
      <c r="XEJ766" s="4"/>
      <c r="XEK766" s="4"/>
      <c r="XEL766" s="4"/>
      <c r="XEM766" s="4"/>
      <c r="XEN766" s="4"/>
      <c r="XEO766" s="4"/>
      <c r="XEP766" s="4"/>
    </row>
    <row r="767" s="2" customFormat="1" ht="26.1" customHeight="1" spans="2:16370">
      <c r="B767" s="7"/>
      <c r="C767" s="68"/>
      <c r="D767" s="68"/>
      <c r="E767" s="68"/>
      <c r="F767" s="68"/>
      <c r="G767" s="68"/>
      <c r="H767" s="68"/>
      <c r="I767" s="68"/>
      <c r="J767" s="68"/>
      <c r="K767" s="68"/>
      <c r="L767" s="68"/>
      <c r="M767" s="68"/>
      <c r="N767" s="105"/>
      <c r="O767" s="68"/>
      <c r="P767" s="115"/>
      <c r="Q767" s="7"/>
      <c r="XEJ767" s="4"/>
      <c r="XEK767" s="4"/>
      <c r="XEL767" s="4"/>
      <c r="XEM767" s="4"/>
      <c r="XEN767" s="4"/>
      <c r="XEO767" s="4"/>
      <c r="XEP767" s="4"/>
    </row>
    <row r="768" s="2" customFormat="1" ht="26.1" customHeight="1" spans="2:16370">
      <c r="B768" s="7"/>
      <c r="C768" s="68"/>
      <c r="D768" s="68"/>
      <c r="E768" s="68"/>
      <c r="F768" s="68"/>
      <c r="G768" s="68"/>
      <c r="H768" s="68"/>
      <c r="I768" s="68"/>
      <c r="J768" s="68"/>
      <c r="K768" s="68"/>
      <c r="L768" s="68"/>
      <c r="M768" s="68"/>
      <c r="N768" s="105"/>
      <c r="O768" s="68"/>
      <c r="P768" s="115"/>
      <c r="Q768" s="7"/>
      <c r="XEJ768" s="4"/>
      <c r="XEK768" s="4"/>
      <c r="XEL768" s="4"/>
      <c r="XEM768" s="4"/>
      <c r="XEN768" s="4"/>
      <c r="XEO768" s="4"/>
      <c r="XEP768" s="4"/>
    </row>
    <row r="769" s="2" customFormat="1" ht="26.1" customHeight="1" spans="2:16370">
      <c r="B769" s="7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105"/>
      <c r="O769" s="68"/>
      <c r="P769" s="115"/>
      <c r="Q769" s="7"/>
      <c r="XEJ769" s="4"/>
      <c r="XEK769" s="4"/>
      <c r="XEL769" s="4"/>
      <c r="XEM769" s="4"/>
      <c r="XEN769" s="4"/>
      <c r="XEO769" s="4"/>
      <c r="XEP769" s="4"/>
    </row>
    <row r="770" s="2" customFormat="1" ht="26.1" customHeight="1" spans="2:16370">
      <c r="B770" s="7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105"/>
      <c r="O770" s="68"/>
      <c r="P770" s="115"/>
      <c r="Q770" s="7"/>
      <c r="XEJ770" s="4"/>
      <c r="XEK770" s="4"/>
      <c r="XEL770" s="4"/>
      <c r="XEM770" s="4"/>
      <c r="XEN770" s="4"/>
      <c r="XEO770" s="4"/>
      <c r="XEP770" s="4"/>
    </row>
    <row r="771" s="2" customFormat="1" ht="26.1" customHeight="1" spans="2:16370">
      <c r="B771" s="7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105"/>
      <c r="O771" s="68"/>
      <c r="P771" s="115"/>
      <c r="Q771" s="7"/>
      <c r="XEJ771" s="4"/>
      <c r="XEK771" s="4"/>
      <c r="XEL771" s="4"/>
      <c r="XEM771" s="4"/>
      <c r="XEN771" s="4"/>
      <c r="XEO771" s="4"/>
      <c r="XEP771" s="4"/>
    </row>
    <row r="772" s="2" customFormat="1" ht="26.1" customHeight="1" spans="2:16370">
      <c r="B772" s="7"/>
      <c r="C772" s="68"/>
      <c r="D772" s="68"/>
      <c r="E772" s="68"/>
      <c r="F772" s="68"/>
      <c r="G772" s="68"/>
      <c r="H772" s="68"/>
      <c r="I772" s="68"/>
      <c r="J772" s="68"/>
      <c r="K772" s="68"/>
      <c r="L772" s="68"/>
      <c r="M772" s="68"/>
      <c r="N772" s="105"/>
      <c r="O772" s="68"/>
      <c r="P772" s="115"/>
      <c r="Q772" s="7"/>
      <c r="XEJ772" s="4"/>
      <c r="XEK772" s="4"/>
      <c r="XEL772" s="4"/>
      <c r="XEM772" s="4"/>
      <c r="XEN772" s="4"/>
      <c r="XEO772" s="4"/>
      <c r="XEP772" s="4"/>
    </row>
    <row r="773" s="2" customFormat="1" ht="26.1" customHeight="1" spans="2:16370">
      <c r="B773" s="7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105"/>
      <c r="O773" s="68"/>
      <c r="P773" s="115"/>
      <c r="Q773" s="7"/>
      <c r="XEJ773" s="4"/>
      <c r="XEK773" s="4"/>
      <c r="XEL773" s="4"/>
      <c r="XEM773" s="4"/>
      <c r="XEN773" s="4"/>
      <c r="XEO773" s="4"/>
      <c r="XEP773" s="4"/>
    </row>
    <row r="774" s="2" customFormat="1" ht="26.1" customHeight="1" spans="2:16370">
      <c r="B774" s="7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105"/>
      <c r="O774" s="68"/>
      <c r="P774" s="115"/>
      <c r="Q774" s="7"/>
      <c r="XEJ774" s="4"/>
      <c r="XEK774" s="4"/>
      <c r="XEL774" s="4"/>
      <c r="XEM774" s="4"/>
      <c r="XEN774" s="4"/>
      <c r="XEO774" s="4"/>
      <c r="XEP774" s="4"/>
    </row>
    <row r="775" s="2" customFormat="1" ht="26.1" customHeight="1" spans="2:16370">
      <c r="B775" s="7"/>
      <c r="C775" s="68"/>
      <c r="D775" s="68"/>
      <c r="E775" s="68"/>
      <c r="F775" s="68"/>
      <c r="G775" s="68"/>
      <c r="H775" s="68"/>
      <c r="I775" s="68"/>
      <c r="J775" s="68"/>
      <c r="K775" s="68"/>
      <c r="L775" s="68"/>
      <c r="M775" s="68"/>
      <c r="N775" s="105"/>
      <c r="O775" s="68"/>
      <c r="P775" s="115"/>
      <c r="Q775" s="7"/>
      <c r="XEJ775" s="4"/>
      <c r="XEK775" s="4"/>
      <c r="XEL775" s="4"/>
      <c r="XEM775" s="4"/>
      <c r="XEN775" s="4"/>
      <c r="XEO775" s="4"/>
      <c r="XEP775" s="4"/>
    </row>
    <row r="776" s="2" customFormat="1" ht="26.1" customHeight="1" spans="2:16370">
      <c r="B776" s="7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105"/>
      <c r="O776" s="68"/>
      <c r="P776" s="115"/>
      <c r="Q776" s="7"/>
      <c r="XEJ776" s="4"/>
      <c r="XEK776" s="4"/>
      <c r="XEL776" s="4"/>
      <c r="XEM776" s="4"/>
      <c r="XEN776" s="4"/>
      <c r="XEO776" s="4"/>
      <c r="XEP776" s="4"/>
    </row>
    <row r="777" s="2" customFormat="1" ht="26.1" customHeight="1" spans="2:16370">
      <c r="B777" s="7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105"/>
      <c r="O777" s="68"/>
      <c r="P777" s="115"/>
      <c r="Q777" s="7"/>
      <c r="XEJ777" s="4"/>
      <c r="XEK777" s="4"/>
      <c r="XEL777" s="4"/>
      <c r="XEM777" s="4"/>
      <c r="XEN777" s="4"/>
      <c r="XEO777" s="4"/>
      <c r="XEP777" s="4"/>
    </row>
    <row r="778" s="2" customFormat="1" ht="26.1" customHeight="1" spans="2:16370">
      <c r="B778" s="7"/>
      <c r="C778" s="68"/>
      <c r="D778" s="68"/>
      <c r="E778" s="68"/>
      <c r="F778" s="68"/>
      <c r="G778" s="68"/>
      <c r="H778" s="68"/>
      <c r="I778" s="68"/>
      <c r="J778" s="68"/>
      <c r="K778" s="68"/>
      <c r="L778" s="68"/>
      <c r="M778" s="68"/>
      <c r="N778" s="105"/>
      <c r="O778" s="68"/>
      <c r="P778" s="115"/>
      <c r="Q778" s="7"/>
      <c r="XEJ778" s="4"/>
      <c r="XEK778" s="4"/>
      <c r="XEL778" s="4"/>
      <c r="XEM778" s="4"/>
      <c r="XEN778" s="4"/>
      <c r="XEO778" s="4"/>
      <c r="XEP778" s="4"/>
    </row>
    <row r="779" s="2" customFormat="1" ht="26.1" customHeight="1" spans="2:16370">
      <c r="B779" s="7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105"/>
      <c r="O779" s="68"/>
      <c r="P779" s="115"/>
      <c r="Q779" s="7"/>
      <c r="XEJ779" s="4"/>
      <c r="XEK779" s="4"/>
      <c r="XEL779" s="4"/>
      <c r="XEM779" s="4"/>
      <c r="XEN779" s="4"/>
      <c r="XEO779" s="4"/>
      <c r="XEP779" s="4"/>
    </row>
    <row r="780" s="2" customFormat="1" ht="26.1" customHeight="1" spans="2:16370">
      <c r="B780" s="7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105"/>
      <c r="O780" s="68"/>
      <c r="P780" s="115"/>
      <c r="Q780" s="7"/>
      <c r="XEJ780" s="4"/>
      <c r="XEK780" s="4"/>
      <c r="XEL780" s="4"/>
      <c r="XEM780" s="4"/>
      <c r="XEN780" s="4"/>
      <c r="XEO780" s="4"/>
      <c r="XEP780" s="4"/>
    </row>
    <row r="781" s="2" customFormat="1" ht="26.1" customHeight="1" spans="2:16370">
      <c r="B781" s="7"/>
      <c r="C781" s="68"/>
      <c r="D781" s="68"/>
      <c r="E781" s="68"/>
      <c r="F781" s="68"/>
      <c r="G781" s="68"/>
      <c r="H781" s="68"/>
      <c r="I781" s="68"/>
      <c r="J781" s="68"/>
      <c r="K781" s="68"/>
      <c r="L781" s="68"/>
      <c r="M781" s="68"/>
      <c r="N781" s="105"/>
      <c r="O781" s="68"/>
      <c r="P781" s="115"/>
      <c r="Q781" s="7"/>
      <c r="XEJ781" s="4"/>
      <c r="XEK781" s="4"/>
      <c r="XEL781" s="4"/>
      <c r="XEM781" s="4"/>
      <c r="XEN781" s="4"/>
      <c r="XEO781" s="4"/>
      <c r="XEP781" s="4"/>
    </row>
    <row r="782" s="2" customFormat="1" ht="26.1" customHeight="1" spans="2:16370">
      <c r="B782" s="7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105"/>
      <c r="O782" s="68"/>
      <c r="P782" s="115"/>
      <c r="Q782" s="7"/>
      <c r="XEJ782" s="4"/>
      <c r="XEK782" s="4"/>
      <c r="XEL782" s="4"/>
      <c r="XEM782" s="4"/>
      <c r="XEN782" s="4"/>
      <c r="XEO782" s="4"/>
      <c r="XEP782" s="4"/>
    </row>
    <row r="783" s="2" customFormat="1" ht="26.1" customHeight="1" spans="2:16370">
      <c r="B783" s="7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105"/>
      <c r="O783" s="68"/>
      <c r="P783" s="115"/>
      <c r="Q783" s="7"/>
      <c r="XEJ783" s="4"/>
      <c r="XEK783" s="4"/>
      <c r="XEL783" s="4"/>
      <c r="XEM783" s="4"/>
      <c r="XEN783" s="4"/>
      <c r="XEO783" s="4"/>
      <c r="XEP783" s="4"/>
    </row>
    <row r="784" s="2" customFormat="1" ht="26.1" customHeight="1" spans="2:16370">
      <c r="B784" s="7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105"/>
      <c r="O784" s="68"/>
      <c r="P784" s="115"/>
      <c r="Q784" s="7"/>
      <c r="XEJ784" s="4"/>
      <c r="XEK784" s="4"/>
      <c r="XEL784" s="4"/>
      <c r="XEM784" s="4"/>
      <c r="XEN784" s="4"/>
      <c r="XEO784" s="4"/>
      <c r="XEP784" s="4"/>
    </row>
    <row r="785" s="2" customFormat="1" ht="26.1" customHeight="1" spans="2:16370">
      <c r="B785" s="7"/>
      <c r="C785" s="68"/>
      <c r="D785" s="68"/>
      <c r="E785" s="68"/>
      <c r="F785" s="68"/>
      <c r="G785" s="68"/>
      <c r="H785" s="68"/>
      <c r="I785" s="68"/>
      <c r="J785" s="68"/>
      <c r="K785" s="68"/>
      <c r="L785" s="68"/>
      <c r="M785" s="68"/>
      <c r="N785" s="105"/>
      <c r="O785" s="68"/>
      <c r="P785" s="115"/>
      <c r="Q785" s="7"/>
      <c r="XEJ785" s="4"/>
      <c r="XEK785" s="4"/>
      <c r="XEL785" s="4"/>
      <c r="XEM785" s="4"/>
      <c r="XEN785" s="4"/>
      <c r="XEO785" s="4"/>
      <c r="XEP785" s="4"/>
    </row>
    <row r="786" s="2" customFormat="1" ht="26.1" customHeight="1" spans="2:16370">
      <c r="B786" s="7"/>
      <c r="C786" s="68"/>
      <c r="D786" s="68"/>
      <c r="E786" s="68"/>
      <c r="F786" s="68"/>
      <c r="G786" s="68"/>
      <c r="H786" s="68"/>
      <c r="I786" s="68"/>
      <c r="J786" s="68"/>
      <c r="K786" s="68"/>
      <c r="L786" s="68"/>
      <c r="M786" s="68"/>
      <c r="N786" s="105"/>
      <c r="O786" s="68"/>
      <c r="P786" s="115"/>
      <c r="Q786" s="7"/>
      <c r="XEJ786" s="4"/>
      <c r="XEK786" s="4"/>
      <c r="XEL786" s="4"/>
      <c r="XEM786" s="4"/>
      <c r="XEN786" s="4"/>
      <c r="XEO786" s="4"/>
      <c r="XEP786" s="4"/>
    </row>
    <row r="787" s="2" customFormat="1" ht="26.1" customHeight="1" spans="2:16370">
      <c r="B787" s="7"/>
      <c r="C787" s="68"/>
      <c r="D787" s="68"/>
      <c r="E787" s="68"/>
      <c r="F787" s="68"/>
      <c r="G787" s="68"/>
      <c r="H787" s="68"/>
      <c r="I787" s="68"/>
      <c r="J787" s="68"/>
      <c r="K787" s="68"/>
      <c r="L787" s="68"/>
      <c r="M787" s="68"/>
      <c r="N787" s="105"/>
      <c r="O787" s="68"/>
      <c r="P787" s="115"/>
      <c r="Q787" s="7"/>
      <c r="XEJ787" s="4"/>
      <c r="XEK787" s="4"/>
      <c r="XEL787" s="4"/>
      <c r="XEM787" s="4"/>
      <c r="XEN787" s="4"/>
      <c r="XEO787" s="4"/>
      <c r="XEP787" s="4"/>
    </row>
    <row r="788" s="2" customFormat="1" ht="26.1" customHeight="1" spans="2:16370">
      <c r="B788" s="7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105"/>
      <c r="O788" s="68"/>
      <c r="P788" s="115"/>
      <c r="Q788" s="7"/>
      <c r="XEJ788" s="4"/>
      <c r="XEK788" s="4"/>
      <c r="XEL788" s="4"/>
      <c r="XEM788" s="4"/>
      <c r="XEN788" s="4"/>
      <c r="XEO788" s="4"/>
      <c r="XEP788" s="4"/>
    </row>
    <row r="789" s="2" customFormat="1" ht="26.1" customHeight="1" spans="2:16370">
      <c r="B789" s="7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105"/>
      <c r="O789" s="68"/>
      <c r="P789" s="115"/>
      <c r="Q789" s="7"/>
      <c r="XEJ789" s="4"/>
      <c r="XEK789" s="4"/>
      <c r="XEL789" s="4"/>
      <c r="XEM789" s="4"/>
      <c r="XEN789" s="4"/>
      <c r="XEO789" s="4"/>
      <c r="XEP789" s="4"/>
    </row>
    <row r="790" s="2" customFormat="1" ht="26.1" customHeight="1" spans="2:16370">
      <c r="B790" s="7"/>
      <c r="C790" s="68"/>
      <c r="D790" s="68"/>
      <c r="E790" s="68"/>
      <c r="F790" s="68"/>
      <c r="G790" s="68"/>
      <c r="H790" s="68"/>
      <c r="I790" s="68"/>
      <c r="J790" s="68"/>
      <c r="K790" s="68"/>
      <c r="L790" s="68"/>
      <c r="M790" s="68"/>
      <c r="N790" s="105"/>
      <c r="O790" s="68"/>
      <c r="P790" s="115"/>
      <c r="Q790" s="7"/>
      <c r="XEJ790" s="4"/>
      <c r="XEK790" s="4"/>
      <c r="XEL790" s="4"/>
      <c r="XEM790" s="4"/>
      <c r="XEN790" s="4"/>
      <c r="XEO790" s="4"/>
      <c r="XEP790" s="4"/>
    </row>
    <row r="791" s="2" customFormat="1" ht="26.1" customHeight="1" spans="2:16370">
      <c r="B791" s="7"/>
      <c r="C791" s="68"/>
      <c r="D791" s="68"/>
      <c r="E791" s="68"/>
      <c r="F791" s="68"/>
      <c r="G791" s="68"/>
      <c r="H791" s="68"/>
      <c r="I791" s="68"/>
      <c r="J791" s="68"/>
      <c r="K791" s="68"/>
      <c r="L791" s="68"/>
      <c r="M791" s="68"/>
      <c r="N791" s="105"/>
      <c r="O791" s="68"/>
      <c r="P791" s="115"/>
      <c r="Q791" s="7"/>
      <c r="XEJ791" s="4"/>
      <c r="XEK791" s="4"/>
      <c r="XEL791" s="4"/>
      <c r="XEM791" s="4"/>
      <c r="XEN791" s="4"/>
      <c r="XEO791" s="4"/>
      <c r="XEP791" s="4"/>
    </row>
    <row r="792" s="2" customFormat="1" ht="26.1" customHeight="1" spans="2:16370">
      <c r="B792" s="7"/>
      <c r="C792" s="68"/>
      <c r="D792" s="68"/>
      <c r="E792" s="68"/>
      <c r="F792" s="68"/>
      <c r="G792" s="68"/>
      <c r="H792" s="68"/>
      <c r="I792" s="68"/>
      <c r="J792" s="68"/>
      <c r="K792" s="68"/>
      <c r="L792" s="68"/>
      <c r="M792" s="68"/>
      <c r="N792" s="105"/>
      <c r="O792" s="68"/>
      <c r="P792" s="115"/>
      <c r="Q792" s="7"/>
      <c r="XEJ792" s="4"/>
      <c r="XEK792" s="4"/>
      <c r="XEL792" s="4"/>
      <c r="XEM792" s="4"/>
      <c r="XEN792" s="4"/>
      <c r="XEO792" s="4"/>
      <c r="XEP792" s="4"/>
    </row>
    <row r="793" s="2" customFormat="1" ht="26.1" customHeight="1" spans="2:16370">
      <c r="B793" s="7"/>
      <c r="C793" s="68"/>
      <c r="D793" s="68"/>
      <c r="E793" s="68"/>
      <c r="F793" s="68"/>
      <c r="G793" s="68"/>
      <c r="H793" s="68"/>
      <c r="I793" s="68"/>
      <c r="J793" s="68"/>
      <c r="K793" s="68"/>
      <c r="L793" s="68"/>
      <c r="M793" s="68"/>
      <c r="N793" s="105"/>
      <c r="O793" s="68"/>
      <c r="P793" s="115"/>
      <c r="Q793" s="7"/>
      <c r="XEJ793" s="4"/>
      <c r="XEK793" s="4"/>
      <c r="XEL793" s="4"/>
      <c r="XEM793" s="4"/>
      <c r="XEN793" s="4"/>
      <c r="XEO793" s="4"/>
      <c r="XEP793" s="4"/>
    </row>
    <row r="794" s="2" customFormat="1" ht="26.1" customHeight="1" spans="2:16370">
      <c r="B794" s="7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105"/>
      <c r="O794" s="68"/>
      <c r="P794" s="115"/>
      <c r="Q794" s="7"/>
      <c r="XEJ794" s="4"/>
      <c r="XEK794" s="4"/>
      <c r="XEL794" s="4"/>
      <c r="XEM794" s="4"/>
      <c r="XEN794" s="4"/>
      <c r="XEO794" s="4"/>
      <c r="XEP794" s="4"/>
    </row>
    <row r="795" s="2" customFormat="1" ht="26.1" customHeight="1" spans="2:16370">
      <c r="B795" s="7"/>
      <c r="C795" s="68"/>
      <c r="D795" s="68"/>
      <c r="E795" s="68"/>
      <c r="F795" s="68"/>
      <c r="G795" s="68"/>
      <c r="H795" s="68"/>
      <c r="I795" s="68"/>
      <c r="J795" s="68"/>
      <c r="K795" s="68"/>
      <c r="L795" s="68"/>
      <c r="M795" s="68"/>
      <c r="N795" s="105"/>
      <c r="O795" s="68"/>
      <c r="P795" s="115"/>
      <c r="Q795" s="7"/>
      <c r="XEJ795" s="4"/>
      <c r="XEK795" s="4"/>
      <c r="XEL795" s="4"/>
      <c r="XEM795" s="4"/>
      <c r="XEN795" s="4"/>
      <c r="XEO795" s="4"/>
      <c r="XEP795" s="4"/>
    </row>
    <row r="796" s="2" customFormat="1" ht="26.1" customHeight="1" spans="2:16370">
      <c r="B796" s="7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105"/>
      <c r="O796" s="68"/>
      <c r="P796" s="115"/>
      <c r="Q796" s="7"/>
      <c r="XEJ796" s="4"/>
      <c r="XEK796" s="4"/>
      <c r="XEL796" s="4"/>
      <c r="XEM796" s="4"/>
      <c r="XEN796" s="4"/>
      <c r="XEO796" s="4"/>
      <c r="XEP796" s="4"/>
    </row>
    <row r="797" s="2" customFormat="1" ht="26.1" customHeight="1" spans="2:16370">
      <c r="B797" s="7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105"/>
      <c r="O797" s="68"/>
      <c r="P797" s="115"/>
      <c r="Q797" s="7"/>
      <c r="XEJ797" s="4"/>
      <c r="XEK797" s="4"/>
      <c r="XEL797" s="4"/>
      <c r="XEM797" s="4"/>
      <c r="XEN797" s="4"/>
      <c r="XEO797" s="4"/>
      <c r="XEP797" s="4"/>
    </row>
    <row r="798" s="2" customFormat="1" ht="26.1" customHeight="1" spans="2:16370">
      <c r="B798" s="7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105"/>
      <c r="O798" s="68"/>
      <c r="P798" s="115"/>
      <c r="Q798" s="7"/>
      <c r="XEJ798" s="4"/>
      <c r="XEK798" s="4"/>
      <c r="XEL798" s="4"/>
      <c r="XEM798" s="4"/>
      <c r="XEN798" s="4"/>
      <c r="XEO798" s="4"/>
      <c r="XEP798" s="4"/>
    </row>
    <row r="799" s="2" customFormat="1" ht="26.1" customHeight="1" spans="2:16370">
      <c r="B799" s="7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105"/>
      <c r="O799" s="68"/>
      <c r="P799" s="115"/>
      <c r="Q799" s="7"/>
      <c r="XEJ799" s="4"/>
      <c r="XEK799" s="4"/>
      <c r="XEL799" s="4"/>
      <c r="XEM799" s="4"/>
      <c r="XEN799" s="4"/>
      <c r="XEO799" s="4"/>
      <c r="XEP799" s="4"/>
    </row>
    <row r="800" s="2" customFormat="1" ht="26.1" customHeight="1" spans="2:16370">
      <c r="B800" s="7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105"/>
      <c r="O800" s="68"/>
      <c r="P800" s="115"/>
      <c r="Q800" s="7"/>
      <c r="XEJ800" s="4"/>
      <c r="XEK800" s="4"/>
      <c r="XEL800" s="4"/>
      <c r="XEM800" s="4"/>
      <c r="XEN800" s="4"/>
      <c r="XEO800" s="4"/>
      <c r="XEP800" s="4"/>
    </row>
    <row r="801" s="2" customFormat="1" ht="26.1" customHeight="1" spans="2:16370">
      <c r="B801" s="7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105"/>
      <c r="O801" s="68"/>
      <c r="P801" s="115"/>
      <c r="Q801" s="7"/>
      <c r="XEJ801" s="4"/>
      <c r="XEK801" s="4"/>
      <c r="XEL801" s="4"/>
      <c r="XEM801" s="4"/>
      <c r="XEN801" s="4"/>
      <c r="XEO801" s="4"/>
      <c r="XEP801" s="4"/>
    </row>
    <row r="802" s="2" customFormat="1" ht="26.1" customHeight="1" spans="2:16370">
      <c r="B802" s="7"/>
      <c r="C802" s="68"/>
      <c r="D802" s="68"/>
      <c r="E802" s="68"/>
      <c r="F802" s="68"/>
      <c r="G802" s="68"/>
      <c r="H802" s="68"/>
      <c r="I802" s="68"/>
      <c r="J802" s="68"/>
      <c r="K802" s="68"/>
      <c r="L802" s="68"/>
      <c r="M802" s="68"/>
      <c r="N802" s="105"/>
      <c r="O802" s="68"/>
      <c r="P802" s="115"/>
      <c r="Q802" s="7"/>
      <c r="XEJ802" s="4"/>
      <c r="XEK802" s="4"/>
      <c r="XEL802" s="4"/>
      <c r="XEM802" s="4"/>
      <c r="XEN802" s="4"/>
      <c r="XEO802" s="4"/>
      <c r="XEP802" s="4"/>
    </row>
    <row r="803" s="2" customFormat="1" ht="26.1" customHeight="1" spans="2:16370">
      <c r="B803" s="7"/>
      <c r="C803" s="68"/>
      <c r="D803" s="68"/>
      <c r="E803" s="68"/>
      <c r="F803" s="68"/>
      <c r="G803" s="68"/>
      <c r="H803" s="68"/>
      <c r="I803" s="68"/>
      <c r="J803" s="68"/>
      <c r="K803" s="68"/>
      <c r="L803" s="68"/>
      <c r="M803" s="68"/>
      <c r="N803" s="105"/>
      <c r="O803" s="68"/>
      <c r="P803" s="115"/>
      <c r="Q803" s="7"/>
      <c r="XEJ803" s="4"/>
      <c r="XEK803" s="4"/>
      <c r="XEL803" s="4"/>
      <c r="XEM803" s="4"/>
      <c r="XEN803" s="4"/>
      <c r="XEO803" s="4"/>
      <c r="XEP803" s="4"/>
    </row>
    <row r="804" s="2" customFormat="1" ht="26.1" customHeight="1" spans="2:16370">
      <c r="B804" s="7"/>
      <c r="C804" s="68"/>
      <c r="D804" s="68"/>
      <c r="E804" s="68"/>
      <c r="F804" s="68"/>
      <c r="G804" s="68"/>
      <c r="H804" s="68"/>
      <c r="I804" s="68"/>
      <c r="J804" s="68"/>
      <c r="K804" s="68"/>
      <c r="L804" s="68"/>
      <c r="M804" s="68"/>
      <c r="N804" s="105"/>
      <c r="O804" s="68"/>
      <c r="P804" s="115"/>
      <c r="Q804" s="7"/>
      <c r="XEJ804" s="4"/>
      <c r="XEK804" s="4"/>
      <c r="XEL804" s="4"/>
      <c r="XEM804" s="4"/>
      <c r="XEN804" s="4"/>
      <c r="XEO804" s="4"/>
      <c r="XEP804" s="4"/>
    </row>
    <row r="805" s="2" customFormat="1" ht="26.1" customHeight="1" spans="2:16370">
      <c r="B805" s="7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105"/>
      <c r="O805" s="68"/>
      <c r="P805" s="115"/>
      <c r="Q805" s="7"/>
      <c r="XEJ805" s="4"/>
      <c r="XEK805" s="4"/>
      <c r="XEL805" s="4"/>
      <c r="XEM805" s="4"/>
      <c r="XEN805" s="4"/>
      <c r="XEO805" s="4"/>
      <c r="XEP805" s="4"/>
    </row>
    <row r="806" s="2" customFormat="1" ht="26.1" customHeight="1" spans="2:16370">
      <c r="B806" s="7"/>
      <c r="C806" s="68"/>
      <c r="D806" s="68"/>
      <c r="E806" s="68"/>
      <c r="F806" s="68"/>
      <c r="G806" s="68"/>
      <c r="H806" s="68"/>
      <c r="I806" s="68"/>
      <c r="J806" s="68"/>
      <c r="K806" s="68"/>
      <c r="L806" s="68"/>
      <c r="M806" s="68"/>
      <c r="N806" s="105"/>
      <c r="O806" s="68"/>
      <c r="P806" s="115"/>
      <c r="Q806" s="7"/>
      <c r="XEJ806" s="4"/>
      <c r="XEK806" s="4"/>
      <c r="XEL806" s="4"/>
      <c r="XEM806" s="4"/>
      <c r="XEN806" s="4"/>
      <c r="XEO806" s="4"/>
      <c r="XEP806" s="4"/>
    </row>
    <row r="807" s="2" customFormat="1" ht="26.1" customHeight="1" spans="2:16370">
      <c r="B807" s="7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105"/>
      <c r="O807" s="68"/>
      <c r="P807" s="115"/>
      <c r="Q807" s="7"/>
      <c r="XEJ807" s="4"/>
      <c r="XEK807" s="4"/>
      <c r="XEL807" s="4"/>
      <c r="XEM807" s="4"/>
      <c r="XEN807" s="4"/>
      <c r="XEO807" s="4"/>
      <c r="XEP807" s="4"/>
    </row>
    <row r="808" s="2" customFormat="1" ht="26.1" customHeight="1" spans="2:16370">
      <c r="B808" s="7"/>
      <c r="C808" s="68"/>
      <c r="D808" s="68"/>
      <c r="E808" s="68"/>
      <c r="F808" s="68"/>
      <c r="G808" s="68"/>
      <c r="H808" s="68"/>
      <c r="I808" s="68"/>
      <c r="J808" s="68"/>
      <c r="K808" s="68"/>
      <c r="L808" s="68"/>
      <c r="M808" s="68"/>
      <c r="N808" s="105"/>
      <c r="O808" s="68"/>
      <c r="P808" s="115"/>
      <c r="Q808" s="7"/>
      <c r="XEJ808" s="4"/>
      <c r="XEK808" s="4"/>
      <c r="XEL808" s="4"/>
      <c r="XEM808" s="4"/>
      <c r="XEN808" s="4"/>
      <c r="XEO808" s="4"/>
      <c r="XEP808" s="4"/>
    </row>
    <row r="809" s="2" customFormat="1" ht="26.1" customHeight="1" spans="2:16370">
      <c r="B809" s="7"/>
      <c r="C809" s="68"/>
      <c r="D809" s="68"/>
      <c r="E809" s="68"/>
      <c r="F809" s="68"/>
      <c r="G809" s="68"/>
      <c r="H809" s="68"/>
      <c r="I809" s="68"/>
      <c r="J809" s="68"/>
      <c r="K809" s="68"/>
      <c r="L809" s="68"/>
      <c r="M809" s="68"/>
      <c r="N809" s="105"/>
      <c r="O809" s="68"/>
      <c r="P809" s="115"/>
      <c r="Q809" s="7"/>
      <c r="XEJ809" s="4"/>
      <c r="XEK809" s="4"/>
      <c r="XEL809" s="4"/>
      <c r="XEM809" s="4"/>
      <c r="XEN809" s="4"/>
      <c r="XEO809" s="4"/>
      <c r="XEP809" s="4"/>
    </row>
    <row r="810" s="2" customFormat="1" ht="26.1" customHeight="1" spans="2:16370">
      <c r="B810" s="7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105"/>
      <c r="O810" s="68"/>
      <c r="P810" s="115"/>
      <c r="Q810" s="7"/>
      <c r="XEJ810" s="4"/>
      <c r="XEK810" s="4"/>
      <c r="XEL810" s="4"/>
      <c r="XEM810" s="4"/>
      <c r="XEN810" s="4"/>
      <c r="XEO810" s="4"/>
      <c r="XEP810" s="4"/>
    </row>
    <row r="811" s="2" customFormat="1" ht="26.1" customHeight="1" spans="2:16370">
      <c r="B811" s="7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105"/>
      <c r="O811" s="68"/>
      <c r="P811" s="115"/>
      <c r="Q811" s="7"/>
      <c r="XEJ811" s="4"/>
      <c r="XEK811" s="4"/>
      <c r="XEL811" s="4"/>
      <c r="XEM811" s="4"/>
      <c r="XEN811" s="4"/>
      <c r="XEO811" s="4"/>
      <c r="XEP811" s="4"/>
    </row>
    <row r="812" s="2" customFormat="1" ht="26.1" customHeight="1" spans="2:16370">
      <c r="B812" s="7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105"/>
      <c r="O812" s="68"/>
      <c r="P812" s="115"/>
      <c r="Q812" s="7"/>
      <c r="XEJ812" s="4"/>
      <c r="XEK812" s="4"/>
      <c r="XEL812" s="4"/>
      <c r="XEM812" s="4"/>
      <c r="XEN812" s="4"/>
      <c r="XEO812" s="4"/>
      <c r="XEP812" s="4"/>
    </row>
    <row r="813" s="2" customFormat="1" ht="26.1" customHeight="1" spans="2:16370">
      <c r="B813" s="7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105"/>
      <c r="O813" s="68"/>
      <c r="P813" s="115"/>
      <c r="Q813" s="7"/>
      <c r="XEJ813" s="4"/>
      <c r="XEK813" s="4"/>
      <c r="XEL813" s="4"/>
      <c r="XEM813" s="4"/>
      <c r="XEN813" s="4"/>
      <c r="XEO813" s="4"/>
      <c r="XEP813" s="4"/>
    </row>
    <row r="814" s="2" customFormat="1" ht="26.1" customHeight="1" spans="2:16370">
      <c r="B814" s="7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105"/>
      <c r="O814" s="68"/>
      <c r="P814" s="115"/>
      <c r="Q814" s="7"/>
      <c r="XEJ814" s="4"/>
      <c r="XEK814" s="4"/>
      <c r="XEL814" s="4"/>
      <c r="XEM814" s="4"/>
      <c r="XEN814" s="4"/>
      <c r="XEO814" s="4"/>
      <c r="XEP814" s="4"/>
    </row>
    <row r="815" s="2" customFormat="1" ht="26.1" customHeight="1" spans="2:16370">
      <c r="B815" s="7"/>
      <c r="C815" s="68"/>
      <c r="D815" s="68"/>
      <c r="E815" s="68"/>
      <c r="F815" s="68"/>
      <c r="G815" s="68"/>
      <c r="H815" s="68"/>
      <c r="I815" s="68"/>
      <c r="J815" s="68"/>
      <c r="K815" s="68"/>
      <c r="L815" s="68"/>
      <c r="M815" s="68"/>
      <c r="N815" s="105"/>
      <c r="O815" s="68"/>
      <c r="P815" s="115"/>
      <c r="Q815" s="7"/>
      <c r="XEJ815" s="4"/>
      <c r="XEK815" s="4"/>
      <c r="XEL815" s="4"/>
      <c r="XEM815" s="4"/>
      <c r="XEN815" s="4"/>
      <c r="XEO815" s="4"/>
      <c r="XEP815" s="4"/>
    </row>
    <row r="816" s="2" customFormat="1" ht="26.1" customHeight="1" spans="2:16370">
      <c r="B816" s="7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105"/>
      <c r="O816" s="68"/>
      <c r="P816" s="115"/>
      <c r="Q816" s="7"/>
      <c r="XEJ816" s="4"/>
      <c r="XEK816" s="4"/>
      <c r="XEL816" s="4"/>
      <c r="XEM816" s="4"/>
      <c r="XEN816" s="4"/>
      <c r="XEO816" s="4"/>
      <c r="XEP816" s="4"/>
    </row>
    <row r="817" s="2" customFormat="1" ht="26.1" customHeight="1" spans="2:16370">
      <c r="B817" s="7"/>
      <c r="C817" s="68"/>
      <c r="D817" s="68"/>
      <c r="E817" s="68"/>
      <c r="F817" s="68"/>
      <c r="G817" s="68"/>
      <c r="H817" s="68"/>
      <c r="I817" s="68"/>
      <c r="J817" s="68"/>
      <c r="K817" s="68"/>
      <c r="L817" s="68"/>
      <c r="M817" s="68"/>
      <c r="N817" s="105"/>
      <c r="O817" s="68"/>
      <c r="P817" s="115"/>
      <c r="Q817" s="7"/>
      <c r="XEJ817" s="4"/>
      <c r="XEK817" s="4"/>
      <c r="XEL817" s="4"/>
      <c r="XEM817" s="4"/>
      <c r="XEN817" s="4"/>
      <c r="XEO817" s="4"/>
      <c r="XEP817" s="4"/>
    </row>
    <row r="818" s="2" customFormat="1" ht="26.1" customHeight="1" spans="2:16370">
      <c r="B818" s="7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105"/>
      <c r="O818" s="68"/>
      <c r="P818" s="115"/>
      <c r="Q818" s="7"/>
      <c r="XEJ818" s="4"/>
      <c r="XEK818" s="4"/>
      <c r="XEL818" s="4"/>
      <c r="XEM818" s="4"/>
      <c r="XEN818" s="4"/>
      <c r="XEO818" s="4"/>
      <c r="XEP818" s="4"/>
    </row>
    <row r="819" s="2" customFormat="1" ht="26.1" customHeight="1" spans="2:16370">
      <c r="B819" s="7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105"/>
      <c r="O819" s="68"/>
      <c r="P819" s="115"/>
      <c r="Q819" s="7"/>
      <c r="XEJ819" s="4"/>
      <c r="XEK819" s="4"/>
      <c r="XEL819" s="4"/>
      <c r="XEM819" s="4"/>
      <c r="XEN819" s="4"/>
      <c r="XEO819" s="4"/>
      <c r="XEP819" s="4"/>
    </row>
    <row r="820" s="2" customFormat="1" ht="26.1" customHeight="1" spans="2:16370">
      <c r="B820" s="7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105"/>
      <c r="O820" s="68"/>
      <c r="P820" s="115"/>
      <c r="Q820" s="7"/>
      <c r="XEJ820" s="4"/>
      <c r="XEK820" s="4"/>
      <c r="XEL820" s="4"/>
      <c r="XEM820" s="4"/>
      <c r="XEN820" s="4"/>
      <c r="XEO820" s="4"/>
      <c r="XEP820" s="4"/>
    </row>
    <row r="821" s="2" customFormat="1" ht="26.1" customHeight="1" spans="2:16370">
      <c r="B821" s="7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105"/>
      <c r="O821" s="68"/>
      <c r="P821" s="115"/>
      <c r="Q821" s="7"/>
      <c r="XEJ821" s="4"/>
      <c r="XEK821" s="4"/>
      <c r="XEL821" s="4"/>
      <c r="XEM821" s="4"/>
      <c r="XEN821" s="4"/>
      <c r="XEO821" s="4"/>
      <c r="XEP821" s="4"/>
    </row>
    <row r="822" s="2" customFormat="1" ht="26.1" customHeight="1" spans="2:16370">
      <c r="B822" s="7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105"/>
      <c r="O822" s="68"/>
      <c r="P822" s="115"/>
      <c r="Q822" s="7"/>
      <c r="XEJ822" s="4"/>
      <c r="XEK822" s="4"/>
      <c r="XEL822" s="4"/>
      <c r="XEM822" s="4"/>
      <c r="XEN822" s="4"/>
      <c r="XEO822" s="4"/>
      <c r="XEP822" s="4"/>
    </row>
    <row r="823" s="2" customFormat="1" ht="26.1" customHeight="1" spans="2:16370">
      <c r="B823" s="7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105"/>
      <c r="O823" s="68"/>
      <c r="P823" s="115"/>
      <c r="Q823" s="7"/>
      <c r="XEJ823" s="4"/>
      <c r="XEK823" s="4"/>
      <c r="XEL823" s="4"/>
      <c r="XEM823" s="4"/>
      <c r="XEN823" s="4"/>
      <c r="XEO823" s="4"/>
      <c r="XEP823" s="4"/>
    </row>
    <row r="824" s="2" customFormat="1" ht="26.1" customHeight="1" spans="2:16370">
      <c r="B824" s="7"/>
      <c r="C824" s="68"/>
      <c r="D824" s="68"/>
      <c r="E824" s="68"/>
      <c r="F824" s="68"/>
      <c r="G824" s="68"/>
      <c r="H824" s="68"/>
      <c r="I824" s="68"/>
      <c r="J824" s="68"/>
      <c r="K824" s="68"/>
      <c r="L824" s="68"/>
      <c r="M824" s="68"/>
      <c r="N824" s="105"/>
      <c r="O824" s="68"/>
      <c r="P824" s="115"/>
      <c r="Q824" s="7"/>
      <c r="XEJ824" s="4"/>
      <c r="XEK824" s="4"/>
      <c r="XEL824" s="4"/>
      <c r="XEM824" s="4"/>
      <c r="XEN824" s="4"/>
      <c r="XEO824" s="4"/>
      <c r="XEP824" s="4"/>
    </row>
    <row r="825" s="2" customFormat="1" ht="26.1" customHeight="1" spans="2:16370">
      <c r="B825" s="7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105"/>
      <c r="O825" s="68"/>
      <c r="P825" s="115"/>
      <c r="Q825" s="7"/>
      <c r="XEJ825" s="4"/>
      <c r="XEK825" s="4"/>
      <c r="XEL825" s="4"/>
      <c r="XEM825" s="4"/>
      <c r="XEN825" s="4"/>
      <c r="XEO825" s="4"/>
      <c r="XEP825" s="4"/>
    </row>
    <row r="826" s="2" customFormat="1" ht="26.1" customHeight="1" spans="2:16370">
      <c r="B826" s="7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105"/>
      <c r="O826" s="68"/>
      <c r="P826" s="115"/>
      <c r="Q826" s="7"/>
      <c r="XEJ826" s="4"/>
      <c r="XEK826" s="4"/>
      <c r="XEL826" s="4"/>
      <c r="XEM826" s="4"/>
      <c r="XEN826" s="4"/>
      <c r="XEO826" s="4"/>
      <c r="XEP826" s="4"/>
    </row>
    <row r="827" s="2" customFormat="1" ht="26.1" customHeight="1" spans="2:16370">
      <c r="B827" s="7"/>
      <c r="C827" s="68"/>
      <c r="D827" s="68"/>
      <c r="E827" s="68"/>
      <c r="F827" s="68"/>
      <c r="G827" s="68"/>
      <c r="H827" s="68"/>
      <c r="I827" s="68"/>
      <c r="J827" s="68"/>
      <c r="K827" s="68"/>
      <c r="L827" s="68"/>
      <c r="M827" s="68"/>
      <c r="N827" s="105"/>
      <c r="O827" s="68"/>
      <c r="P827" s="115"/>
      <c r="Q827" s="7"/>
      <c r="XEJ827" s="4"/>
      <c r="XEK827" s="4"/>
      <c r="XEL827" s="4"/>
      <c r="XEM827" s="4"/>
      <c r="XEN827" s="4"/>
      <c r="XEO827" s="4"/>
      <c r="XEP827" s="4"/>
    </row>
    <row r="828" s="2" customFormat="1" ht="26.1" customHeight="1" spans="2:16370">
      <c r="B828" s="7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105"/>
      <c r="O828" s="68"/>
      <c r="P828" s="115"/>
      <c r="Q828" s="7"/>
      <c r="XEJ828" s="4"/>
      <c r="XEK828" s="4"/>
      <c r="XEL828" s="4"/>
      <c r="XEM828" s="4"/>
      <c r="XEN828" s="4"/>
      <c r="XEO828" s="4"/>
      <c r="XEP828" s="4"/>
    </row>
    <row r="829" s="2" customFormat="1" ht="26.1" customHeight="1" spans="2:16370">
      <c r="B829" s="7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105"/>
      <c r="O829" s="68"/>
      <c r="P829" s="115"/>
      <c r="Q829" s="7"/>
      <c r="XEJ829" s="4"/>
      <c r="XEK829" s="4"/>
      <c r="XEL829" s="4"/>
      <c r="XEM829" s="4"/>
      <c r="XEN829" s="4"/>
      <c r="XEO829" s="4"/>
      <c r="XEP829" s="4"/>
    </row>
    <row r="830" s="2" customFormat="1" ht="26.1" customHeight="1" spans="2:16370">
      <c r="B830" s="7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105"/>
      <c r="O830" s="68"/>
      <c r="P830" s="115"/>
      <c r="Q830" s="7"/>
      <c r="XEJ830" s="4"/>
      <c r="XEK830" s="4"/>
      <c r="XEL830" s="4"/>
      <c r="XEM830" s="4"/>
      <c r="XEN830" s="4"/>
      <c r="XEO830" s="4"/>
      <c r="XEP830" s="4"/>
    </row>
    <row r="831" s="2" customFormat="1" ht="26.1" customHeight="1" spans="2:16370">
      <c r="B831" s="7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105"/>
      <c r="O831" s="68"/>
      <c r="P831" s="115"/>
      <c r="Q831" s="7"/>
      <c r="XEJ831" s="4"/>
      <c r="XEK831" s="4"/>
      <c r="XEL831" s="4"/>
      <c r="XEM831" s="4"/>
      <c r="XEN831" s="4"/>
      <c r="XEO831" s="4"/>
      <c r="XEP831" s="4"/>
    </row>
    <row r="832" s="2" customFormat="1" ht="26.1" customHeight="1" spans="2:16370">
      <c r="B832" s="7"/>
      <c r="C832" s="68"/>
      <c r="D832" s="68"/>
      <c r="E832" s="68"/>
      <c r="F832" s="68"/>
      <c r="G832" s="68"/>
      <c r="H832" s="68"/>
      <c r="I832" s="68"/>
      <c r="J832" s="68"/>
      <c r="K832" s="68"/>
      <c r="L832" s="68"/>
      <c r="M832" s="68"/>
      <c r="N832" s="105"/>
      <c r="O832" s="68"/>
      <c r="P832" s="115"/>
      <c r="Q832" s="7"/>
      <c r="XEJ832" s="4"/>
      <c r="XEK832" s="4"/>
      <c r="XEL832" s="4"/>
      <c r="XEM832" s="4"/>
      <c r="XEN832" s="4"/>
      <c r="XEO832" s="4"/>
      <c r="XEP832" s="4"/>
    </row>
    <row r="833" s="2" customFormat="1" ht="26.1" customHeight="1" spans="2:16370">
      <c r="B833" s="7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105"/>
      <c r="O833" s="68"/>
      <c r="P833" s="115"/>
      <c r="Q833" s="7"/>
      <c r="XEJ833" s="4"/>
      <c r="XEK833" s="4"/>
      <c r="XEL833" s="4"/>
      <c r="XEM833" s="4"/>
      <c r="XEN833" s="4"/>
      <c r="XEO833" s="4"/>
      <c r="XEP833" s="4"/>
    </row>
    <row r="834" s="2" customFormat="1" ht="26.1" customHeight="1" spans="2:16370">
      <c r="B834" s="7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105"/>
      <c r="O834" s="68"/>
      <c r="P834" s="115"/>
      <c r="Q834" s="7"/>
      <c r="XEJ834" s="4"/>
      <c r="XEK834" s="4"/>
      <c r="XEL834" s="4"/>
      <c r="XEM834" s="4"/>
      <c r="XEN834" s="4"/>
      <c r="XEO834" s="4"/>
      <c r="XEP834" s="4"/>
    </row>
    <row r="835" s="2" customFormat="1" ht="26.1" customHeight="1" spans="2:16370">
      <c r="B835" s="7"/>
      <c r="C835" s="68"/>
      <c r="D835" s="68"/>
      <c r="E835" s="68"/>
      <c r="F835" s="68"/>
      <c r="G835" s="68"/>
      <c r="H835" s="68"/>
      <c r="I835" s="68"/>
      <c r="J835" s="68"/>
      <c r="K835" s="68"/>
      <c r="L835" s="68"/>
      <c r="M835" s="68"/>
      <c r="N835" s="105"/>
      <c r="O835" s="68"/>
      <c r="P835" s="115"/>
      <c r="Q835" s="7"/>
      <c r="XEJ835" s="4"/>
      <c r="XEK835" s="4"/>
      <c r="XEL835" s="4"/>
      <c r="XEM835" s="4"/>
      <c r="XEN835" s="4"/>
      <c r="XEO835" s="4"/>
      <c r="XEP835" s="4"/>
    </row>
    <row r="836" s="2" customFormat="1" ht="26.1" customHeight="1" spans="2:16370">
      <c r="B836" s="7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105"/>
      <c r="O836" s="68"/>
      <c r="P836" s="115"/>
      <c r="Q836" s="7"/>
      <c r="XEJ836" s="4"/>
      <c r="XEK836" s="4"/>
      <c r="XEL836" s="4"/>
      <c r="XEM836" s="4"/>
      <c r="XEN836" s="4"/>
      <c r="XEO836" s="4"/>
      <c r="XEP836" s="4"/>
    </row>
    <row r="837" s="2" customFormat="1" ht="26.1" customHeight="1" spans="2:16370">
      <c r="B837" s="7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105"/>
      <c r="O837" s="68"/>
      <c r="P837" s="115"/>
      <c r="Q837" s="7"/>
      <c r="XEJ837" s="4"/>
      <c r="XEK837" s="4"/>
      <c r="XEL837" s="4"/>
      <c r="XEM837" s="4"/>
      <c r="XEN837" s="4"/>
      <c r="XEO837" s="4"/>
      <c r="XEP837" s="4"/>
    </row>
    <row r="838" s="2" customFormat="1" ht="26.1" customHeight="1" spans="2:16370">
      <c r="B838" s="7"/>
      <c r="C838" s="68"/>
      <c r="D838" s="68"/>
      <c r="E838" s="68"/>
      <c r="F838" s="68"/>
      <c r="G838" s="68"/>
      <c r="H838" s="68"/>
      <c r="I838" s="68"/>
      <c r="J838" s="68"/>
      <c r="K838" s="68"/>
      <c r="L838" s="68"/>
      <c r="M838" s="68"/>
      <c r="N838" s="105"/>
      <c r="O838" s="68"/>
      <c r="P838" s="115"/>
      <c r="Q838" s="7"/>
      <c r="XEJ838" s="4"/>
      <c r="XEK838" s="4"/>
      <c r="XEL838" s="4"/>
      <c r="XEM838" s="4"/>
      <c r="XEN838" s="4"/>
      <c r="XEO838" s="4"/>
      <c r="XEP838" s="4"/>
    </row>
    <row r="839" s="2" customFormat="1" ht="26.1" customHeight="1" spans="2:16370">
      <c r="B839" s="7"/>
      <c r="C839" s="68"/>
      <c r="D839" s="68"/>
      <c r="E839" s="68"/>
      <c r="F839" s="68"/>
      <c r="G839" s="68"/>
      <c r="H839" s="68"/>
      <c r="I839" s="68"/>
      <c r="J839" s="68"/>
      <c r="K839" s="68"/>
      <c r="L839" s="68"/>
      <c r="M839" s="68"/>
      <c r="N839" s="105"/>
      <c r="O839" s="68"/>
      <c r="P839" s="115"/>
      <c r="Q839" s="7"/>
      <c r="XEJ839" s="4"/>
      <c r="XEK839" s="4"/>
      <c r="XEL839" s="4"/>
      <c r="XEM839" s="4"/>
      <c r="XEN839" s="4"/>
      <c r="XEO839" s="4"/>
      <c r="XEP839" s="4"/>
    </row>
    <row r="840" s="2" customFormat="1" ht="26.1" customHeight="1" spans="2:16370">
      <c r="B840" s="7"/>
      <c r="C840" s="68"/>
      <c r="D840" s="68"/>
      <c r="E840" s="68"/>
      <c r="F840" s="68"/>
      <c r="G840" s="68"/>
      <c r="H840" s="68"/>
      <c r="I840" s="68"/>
      <c r="J840" s="68"/>
      <c r="K840" s="68"/>
      <c r="L840" s="68"/>
      <c r="M840" s="68"/>
      <c r="N840" s="105"/>
      <c r="O840" s="68"/>
      <c r="P840" s="115"/>
      <c r="Q840" s="7"/>
      <c r="XEJ840" s="4"/>
      <c r="XEK840" s="4"/>
      <c r="XEL840" s="4"/>
      <c r="XEM840" s="4"/>
      <c r="XEN840" s="4"/>
      <c r="XEO840" s="4"/>
      <c r="XEP840" s="4"/>
    </row>
    <row r="841" s="2" customFormat="1" ht="26.1" customHeight="1" spans="2:16370">
      <c r="B841" s="7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105"/>
      <c r="O841" s="68"/>
      <c r="P841" s="115"/>
      <c r="Q841" s="7"/>
      <c r="XEJ841" s="4"/>
      <c r="XEK841" s="4"/>
      <c r="XEL841" s="4"/>
      <c r="XEM841" s="4"/>
      <c r="XEN841" s="4"/>
      <c r="XEO841" s="4"/>
      <c r="XEP841" s="4"/>
    </row>
    <row r="842" s="2" customFormat="1" ht="26.1" customHeight="1" spans="2:16370">
      <c r="B842" s="7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105"/>
      <c r="O842" s="68"/>
      <c r="P842" s="115"/>
      <c r="Q842" s="7"/>
      <c r="XEJ842" s="4"/>
      <c r="XEK842" s="4"/>
      <c r="XEL842" s="4"/>
      <c r="XEM842" s="4"/>
      <c r="XEN842" s="4"/>
      <c r="XEO842" s="4"/>
      <c r="XEP842" s="4"/>
    </row>
    <row r="843" s="2" customFormat="1" ht="26.1" customHeight="1" spans="2:16370">
      <c r="B843" s="7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105"/>
      <c r="O843" s="68"/>
      <c r="P843" s="115"/>
      <c r="Q843" s="7"/>
      <c r="XEJ843" s="4"/>
      <c r="XEK843" s="4"/>
      <c r="XEL843" s="4"/>
      <c r="XEM843" s="4"/>
      <c r="XEN843" s="4"/>
      <c r="XEO843" s="4"/>
      <c r="XEP843" s="4"/>
    </row>
    <row r="844" s="2" customFormat="1" ht="26.1" customHeight="1" spans="2:16370">
      <c r="B844" s="7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105"/>
      <c r="O844" s="68"/>
      <c r="P844" s="115"/>
      <c r="Q844" s="7"/>
      <c r="XEJ844" s="4"/>
      <c r="XEK844" s="4"/>
      <c r="XEL844" s="4"/>
      <c r="XEM844" s="4"/>
      <c r="XEN844" s="4"/>
      <c r="XEO844" s="4"/>
      <c r="XEP844" s="4"/>
    </row>
    <row r="845" s="2" customFormat="1" ht="26.1" customHeight="1" spans="2:16370">
      <c r="B845" s="7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105"/>
      <c r="O845" s="68"/>
      <c r="P845" s="115"/>
      <c r="Q845" s="7"/>
      <c r="XEJ845" s="4"/>
      <c r="XEK845" s="4"/>
      <c r="XEL845" s="4"/>
      <c r="XEM845" s="4"/>
      <c r="XEN845" s="4"/>
      <c r="XEO845" s="4"/>
      <c r="XEP845" s="4"/>
    </row>
    <row r="846" s="2" customFormat="1" ht="26.1" customHeight="1" spans="2:16370">
      <c r="B846" s="7"/>
      <c r="C846" s="68"/>
      <c r="D846" s="68"/>
      <c r="E846" s="68"/>
      <c r="F846" s="68"/>
      <c r="G846" s="68"/>
      <c r="H846" s="68"/>
      <c r="I846" s="68"/>
      <c r="J846" s="68"/>
      <c r="K846" s="68"/>
      <c r="L846" s="68"/>
      <c r="M846" s="68"/>
      <c r="N846" s="105"/>
      <c r="O846" s="68"/>
      <c r="P846" s="115"/>
      <c r="Q846" s="7"/>
      <c r="XEJ846" s="4"/>
      <c r="XEK846" s="4"/>
      <c r="XEL846" s="4"/>
      <c r="XEM846" s="4"/>
      <c r="XEN846" s="4"/>
      <c r="XEO846" s="4"/>
      <c r="XEP846" s="4"/>
    </row>
    <row r="847" s="2" customFormat="1" ht="26.1" customHeight="1" spans="2:16370">
      <c r="B847" s="7"/>
      <c r="C847" s="68"/>
      <c r="D847" s="68"/>
      <c r="E847" s="68"/>
      <c r="F847" s="68"/>
      <c r="G847" s="68"/>
      <c r="H847" s="68"/>
      <c r="I847" s="68"/>
      <c r="J847" s="68"/>
      <c r="K847" s="68"/>
      <c r="L847" s="68"/>
      <c r="M847" s="68"/>
      <c r="N847" s="105"/>
      <c r="O847" s="68"/>
      <c r="P847" s="115"/>
      <c r="Q847" s="7"/>
      <c r="XEJ847" s="4"/>
      <c r="XEK847" s="4"/>
      <c r="XEL847" s="4"/>
      <c r="XEM847" s="4"/>
      <c r="XEN847" s="4"/>
      <c r="XEO847" s="4"/>
      <c r="XEP847" s="4"/>
    </row>
    <row r="848" s="2" customFormat="1" ht="26.1" customHeight="1" spans="2:16370">
      <c r="B848" s="7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105"/>
      <c r="O848" s="68"/>
      <c r="P848" s="115"/>
      <c r="Q848" s="7"/>
      <c r="XEJ848" s="4"/>
      <c r="XEK848" s="4"/>
      <c r="XEL848" s="4"/>
      <c r="XEM848" s="4"/>
      <c r="XEN848" s="4"/>
      <c r="XEO848" s="4"/>
      <c r="XEP848" s="4"/>
    </row>
    <row r="849" s="2" customFormat="1" ht="26.1" customHeight="1" spans="2:16370">
      <c r="B849" s="7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105"/>
      <c r="O849" s="68"/>
      <c r="P849" s="115"/>
      <c r="Q849" s="7"/>
      <c r="XEJ849" s="4"/>
      <c r="XEK849" s="4"/>
      <c r="XEL849" s="4"/>
      <c r="XEM849" s="4"/>
      <c r="XEN849" s="4"/>
      <c r="XEO849" s="4"/>
      <c r="XEP849" s="4"/>
    </row>
    <row r="850" s="2" customFormat="1" ht="26.1" customHeight="1" spans="2:16370">
      <c r="B850" s="7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105"/>
      <c r="O850" s="68"/>
      <c r="P850" s="115"/>
      <c r="Q850" s="7"/>
      <c r="XEJ850" s="4"/>
      <c r="XEK850" s="4"/>
      <c r="XEL850" s="4"/>
      <c r="XEM850" s="4"/>
      <c r="XEN850" s="4"/>
      <c r="XEO850" s="4"/>
      <c r="XEP850" s="4"/>
    </row>
    <row r="851" s="2" customFormat="1" ht="26.1" customHeight="1" spans="2:16370">
      <c r="B851" s="7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105"/>
      <c r="O851" s="68"/>
      <c r="P851" s="115"/>
      <c r="Q851" s="7"/>
      <c r="XEJ851" s="4"/>
      <c r="XEK851" s="4"/>
      <c r="XEL851" s="4"/>
      <c r="XEM851" s="4"/>
      <c r="XEN851" s="4"/>
      <c r="XEO851" s="4"/>
      <c r="XEP851" s="4"/>
    </row>
    <row r="852" s="2" customFormat="1" ht="26.1" customHeight="1" spans="2:16370">
      <c r="B852" s="7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105"/>
      <c r="O852" s="68"/>
      <c r="P852" s="115"/>
      <c r="Q852" s="7"/>
      <c r="XEJ852" s="4"/>
      <c r="XEK852" s="4"/>
      <c r="XEL852" s="4"/>
      <c r="XEM852" s="4"/>
      <c r="XEN852" s="4"/>
      <c r="XEO852" s="4"/>
      <c r="XEP852" s="4"/>
    </row>
    <row r="853" s="2" customFormat="1" ht="26.1" customHeight="1" spans="2:16370">
      <c r="B853" s="7"/>
      <c r="C853" s="68"/>
      <c r="D853" s="68"/>
      <c r="E853" s="68"/>
      <c r="F853" s="68"/>
      <c r="G853" s="68"/>
      <c r="H853" s="68"/>
      <c r="I853" s="68"/>
      <c r="J853" s="68"/>
      <c r="K853" s="68"/>
      <c r="L853" s="68"/>
      <c r="M853" s="68"/>
      <c r="N853" s="105"/>
      <c r="O853" s="68"/>
      <c r="P853" s="115"/>
      <c r="Q853" s="7"/>
      <c r="XEJ853" s="4"/>
      <c r="XEK853" s="4"/>
      <c r="XEL853" s="4"/>
      <c r="XEM853" s="4"/>
      <c r="XEN853" s="4"/>
      <c r="XEO853" s="4"/>
      <c r="XEP853" s="4"/>
    </row>
    <row r="854" s="2" customFormat="1" ht="26.1" customHeight="1" spans="2:16370">
      <c r="B854" s="7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105"/>
      <c r="O854" s="68"/>
      <c r="P854" s="115"/>
      <c r="Q854" s="7"/>
      <c r="XEJ854" s="4"/>
      <c r="XEK854" s="4"/>
      <c r="XEL854" s="4"/>
      <c r="XEM854" s="4"/>
      <c r="XEN854" s="4"/>
      <c r="XEO854" s="4"/>
      <c r="XEP854" s="4"/>
    </row>
    <row r="855" s="2" customFormat="1" ht="26.1" customHeight="1" spans="2:16370">
      <c r="B855" s="7"/>
      <c r="C855" s="68"/>
      <c r="D855" s="68"/>
      <c r="E855" s="68"/>
      <c r="F855" s="68"/>
      <c r="G855" s="68"/>
      <c r="H855" s="68"/>
      <c r="I855" s="68"/>
      <c r="J855" s="68"/>
      <c r="K855" s="68"/>
      <c r="L855" s="68"/>
      <c r="M855" s="68"/>
      <c r="N855" s="105"/>
      <c r="O855" s="68"/>
      <c r="P855" s="115"/>
      <c r="Q855" s="7"/>
      <c r="XEJ855" s="4"/>
      <c r="XEK855" s="4"/>
      <c r="XEL855" s="4"/>
      <c r="XEM855" s="4"/>
      <c r="XEN855" s="4"/>
      <c r="XEO855" s="4"/>
      <c r="XEP855" s="4"/>
    </row>
    <row r="856" s="2" customFormat="1" ht="26.1" customHeight="1" spans="2:16370">
      <c r="B856" s="7"/>
      <c r="C856" s="68"/>
      <c r="D856" s="68"/>
      <c r="E856" s="68"/>
      <c r="F856" s="68"/>
      <c r="G856" s="68"/>
      <c r="H856" s="68"/>
      <c r="I856" s="68"/>
      <c r="J856" s="68"/>
      <c r="K856" s="68"/>
      <c r="L856" s="68"/>
      <c r="M856" s="68"/>
      <c r="N856" s="105"/>
      <c r="O856" s="68"/>
      <c r="P856" s="115"/>
      <c r="Q856" s="7"/>
      <c r="XEJ856" s="4"/>
      <c r="XEK856" s="4"/>
      <c r="XEL856" s="4"/>
      <c r="XEM856" s="4"/>
      <c r="XEN856" s="4"/>
      <c r="XEO856" s="4"/>
      <c r="XEP856" s="4"/>
    </row>
    <row r="857" s="2" customFormat="1" ht="26.1" customHeight="1" spans="2:16370">
      <c r="B857" s="7"/>
      <c r="C857" s="68"/>
      <c r="D857" s="68"/>
      <c r="E857" s="68"/>
      <c r="F857" s="68"/>
      <c r="G857" s="68"/>
      <c r="H857" s="68"/>
      <c r="I857" s="68"/>
      <c r="J857" s="68"/>
      <c r="K857" s="68"/>
      <c r="L857" s="68"/>
      <c r="M857" s="68"/>
      <c r="N857" s="105"/>
      <c r="O857" s="68"/>
      <c r="P857" s="115"/>
      <c r="Q857" s="7"/>
      <c r="XEJ857" s="4"/>
      <c r="XEK857" s="4"/>
      <c r="XEL857" s="4"/>
      <c r="XEM857" s="4"/>
      <c r="XEN857" s="4"/>
      <c r="XEO857" s="4"/>
      <c r="XEP857" s="4"/>
    </row>
    <row r="858" s="2" customFormat="1" ht="26.1" customHeight="1" spans="2:16370">
      <c r="B858" s="7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105"/>
      <c r="O858" s="68"/>
      <c r="P858" s="115"/>
      <c r="Q858" s="7"/>
      <c r="XEJ858" s="4"/>
      <c r="XEK858" s="4"/>
      <c r="XEL858" s="4"/>
      <c r="XEM858" s="4"/>
      <c r="XEN858" s="4"/>
      <c r="XEO858" s="4"/>
      <c r="XEP858" s="4"/>
    </row>
    <row r="859" s="2" customFormat="1" ht="26.1" customHeight="1" spans="2:16370">
      <c r="B859" s="7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105"/>
      <c r="O859" s="68"/>
      <c r="P859" s="115"/>
      <c r="Q859" s="7"/>
      <c r="XEJ859" s="4"/>
      <c r="XEK859" s="4"/>
      <c r="XEL859" s="4"/>
      <c r="XEM859" s="4"/>
      <c r="XEN859" s="4"/>
      <c r="XEO859" s="4"/>
      <c r="XEP859" s="4"/>
    </row>
    <row r="860" s="2" customFormat="1" ht="26.1" customHeight="1" spans="2:16370">
      <c r="B860" s="7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105"/>
      <c r="O860" s="68"/>
      <c r="P860" s="115"/>
      <c r="Q860" s="7"/>
      <c r="XEJ860" s="4"/>
      <c r="XEK860" s="4"/>
      <c r="XEL860" s="4"/>
      <c r="XEM860" s="4"/>
      <c r="XEN860" s="4"/>
      <c r="XEO860" s="4"/>
      <c r="XEP860" s="4"/>
    </row>
    <row r="861" s="2" customFormat="1" ht="26.1" customHeight="1" spans="2:16370">
      <c r="B861" s="7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105"/>
      <c r="O861" s="68"/>
      <c r="P861" s="115"/>
      <c r="Q861" s="7"/>
      <c r="XEJ861" s="4"/>
      <c r="XEK861" s="4"/>
      <c r="XEL861" s="4"/>
      <c r="XEM861" s="4"/>
      <c r="XEN861" s="4"/>
      <c r="XEO861" s="4"/>
      <c r="XEP861" s="4"/>
    </row>
    <row r="862" s="2" customFormat="1" ht="26.1" customHeight="1" spans="2:16370">
      <c r="B862" s="7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105"/>
      <c r="O862" s="68"/>
      <c r="P862" s="115"/>
      <c r="Q862" s="7"/>
      <c r="XEJ862" s="4"/>
      <c r="XEK862" s="4"/>
      <c r="XEL862" s="4"/>
      <c r="XEM862" s="4"/>
      <c r="XEN862" s="4"/>
      <c r="XEO862" s="4"/>
      <c r="XEP862" s="4"/>
    </row>
    <row r="863" s="2" customFormat="1" ht="26.1" customHeight="1" spans="2:16370">
      <c r="B863" s="7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105"/>
      <c r="O863" s="68"/>
      <c r="P863" s="115"/>
      <c r="Q863" s="7"/>
      <c r="XEJ863" s="4"/>
      <c r="XEK863" s="4"/>
      <c r="XEL863" s="4"/>
      <c r="XEM863" s="4"/>
      <c r="XEN863" s="4"/>
      <c r="XEO863" s="4"/>
      <c r="XEP863" s="4"/>
    </row>
    <row r="864" s="2" customFormat="1" ht="26.1" customHeight="1" spans="2:16370">
      <c r="B864" s="7"/>
      <c r="C864" s="68"/>
      <c r="D864" s="68"/>
      <c r="E864" s="68"/>
      <c r="F864" s="68"/>
      <c r="G864" s="68"/>
      <c r="H864" s="68"/>
      <c r="I864" s="68"/>
      <c r="J864" s="68"/>
      <c r="K864" s="68"/>
      <c r="L864" s="68"/>
      <c r="M864" s="68"/>
      <c r="N864" s="105"/>
      <c r="O864" s="68"/>
      <c r="P864" s="115"/>
      <c r="Q864" s="7"/>
      <c r="XEJ864" s="4"/>
      <c r="XEK864" s="4"/>
      <c r="XEL864" s="4"/>
      <c r="XEM864" s="4"/>
      <c r="XEN864" s="4"/>
      <c r="XEO864" s="4"/>
      <c r="XEP864" s="4"/>
    </row>
    <row r="865" s="2" customFormat="1" ht="26.1" customHeight="1" spans="2:16370">
      <c r="B865" s="7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105"/>
      <c r="O865" s="68"/>
      <c r="P865" s="115"/>
      <c r="Q865" s="7"/>
      <c r="XEJ865" s="4"/>
      <c r="XEK865" s="4"/>
      <c r="XEL865" s="4"/>
      <c r="XEM865" s="4"/>
      <c r="XEN865" s="4"/>
      <c r="XEO865" s="4"/>
      <c r="XEP865" s="4"/>
    </row>
    <row r="866" s="2" customFormat="1" ht="26.1" customHeight="1" spans="2:16370">
      <c r="B866" s="7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105"/>
      <c r="O866" s="68"/>
      <c r="P866" s="115"/>
      <c r="Q866" s="7"/>
      <c r="XEJ866" s="4"/>
      <c r="XEK866" s="4"/>
      <c r="XEL866" s="4"/>
      <c r="XEM866" s="4"/>
      <c r="XEN866" s="4"/>
      <c r="XEO866" s="4"/>
      <c r="XEP866" s="4"/>
    </row>
    <row r="867" s="2" customFormat="1" ht="26.1" customHeight="1" spans="2:16370">
      <c r="B867" s="7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105"/>
      <c r="O867" s="68"/>
      <c r="P867" s="115"/>
      <c r="Q867" s="7"/>
      <c r="XEJ867" s="4"/>
      <c r="XEK867" s="4"/>
      <c r="XEL867" s="4"/>
      <c r="XEM867" s="4"/>
      <c r="XEN867" s="4"/>
      <c r="XEO867" s="4"/>
      <c r="XEP867" s="4"/>
    </row>
    <row r="868" s="2" customFormat="1" ht="26.1" customHeight="1" spans="2:16370">
      <c r="B868" s="7"/>
      <c r="C868" s="68"/>
      <c r="D868" s="68"/>
      <c r="E868" s="68"/>
      <c r="F868" s="68"/>
      <c r="G868" s="68"/>
      <c r="H868" s="68"/>
      <c r="I868" s="68"/>
      <c r="J868" s="68"/>
      <c r="K868" s="68"/>
      <c r="L868" s="68"/>
      <c r="M868" s="68"/>
      <c r="N868" s="105"/>
      <c r="O868" s="68"/>
      <c r="P868" s="115"/>
      <c r="Q868" s="7"/>
      <c r="XEJ868" s="4"/>
      <c r="XEK868" s="4"/>
      <c r="XEL868" s="4"/>
      <c r="XEM868" s="4"/>
      <c r="XEN868" s="4"/>
      <c r="XEO868" s="4"/>
      <c r="XEP868" s="4"/>
    </row>
    <row r="869" s="2" customFormat="1" ht="26.1" customHeight="1" spans="2:16370">
      <c r="B869" s="7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105"/>
      <c r="O869" s="68"/>
      <c r="P869" s="115"/>
      <c r="Q869" s="7"/>
      <c r="XEJ869" s="4"/>
      <c r="XEK869" s="4"/>
      <c r="XEL869" s="4"/>
      <c r="XEM869" s="4"/>
      <c r="XEN869" s="4"/>
      <c r="XEO869" s="4"/>
      <c r="XEP869" s="4"/>
    </row>
    <row r="870" s="2" customFormat="1" ht="26.1" customHeight="1" spans="2:16370">
      <c r="B870" s="7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105"/>
      <c r="O870" s="68"/>
      <c r="P870" s="115"/>
      <c r="Q870" s="7"/>
      <c r="XEJ870" s="4"/>
      <c r="XEK870" s="4"/>
      <c r="XEL870" s="4"/>
      <c r="XEM870" s="4"/>
      <c r="XEN870" s="4"/>
      <c r="XEO870" s="4"/>
      <c r="XEP870" s="4"/>
    </row>
    <row r="871" s="2" customFormat="1" ht="26.1" customHeight="1" spans="2:16370">
      <c r="B871" s="7"/>
      <c r="C871" s="68"/>
      <c r="D871" s="68"/>
      <c r="E871" s="68"/>
      <c r="F871" s="68"/>
      <c r="G871" s="68"/>
      <c r="H871" s="68"/>
      <c r="I871" s="68"/>
      <c r="J871" s="68"/>
      <c r="K871" s="68"/>
      <c r="L871" s="68"/>
      <c r="M871" s="68"/>
      <c r="N871" s="105"/>
      <c r="O871" s="68"/>
      <c r="P871" s="115"/>
      <c r="Q871" s="7"/>
      <c r="XEJ871" s="4"/>
      <c r="XEK871" s="4"/>
      <c r="XEL871" s="4"/>
      <c r="XEM871" s="4"/>
      <c r="XEN871" s="4"/>
      <c r="XEO871" s="4"/>
      <c r="XEP871" s="4"/>
    </row>
    <row r="872" s="2" customFormat="1" ht="26.1" customHeight="1" spans="2:16370">
      <c r="B872" s="7"/>
      <c r="C872" s="68"/>
      <c r="D872" s="68"/>
      <c r="E872" s="68"/>
      <c r="F872" s="68"/>
      <c r="G872" s="68"/>
      <c r="H872" s="68"/>
      <c r="I872" s="68"/>
      <c r="J872" s="68"/>
      <c r="K872" s="68"/>
      <c r="L872" s="68"/>
      <c r="M872" s="68"/>
      <c r="N872" s="105"/>
      <c r="O872" s="68"/>
      <c r="P872" s="115"/>
      <c r="Q872" s="7"/>
      <c r="XEJ872" s="4"/>
      <c r="XEK872" s="4"/>
      <c r="XEL872" s="4"/>
      <c r="XEM872" s="4"/>
      <c r="XEN872" s="4"/>
      <c r="XEO872" s="4"/>
      <c r="XEP872" s="4"/>
    </row>
    <row r="873" s="2" customFormat="1" ht="26.1" customHeight="1" spans="2:16370">
      <c r="B873" s="7"/>
      <c r="C873" s="68"/>
      <c r="D873" s="68"/>
      <c r="E873" s="68"/>
      <c r="F873" s="68"/>
      <c r="G873" s="68"/>
      <c r="H873" s="68"/>
      <c r="I873" s="68"/>
      <c r="J873" s="68"/>
      <c r="K873" s="68"/>
      <c r="L873" s="68"/>
      <c r="M873" s="68"/>
      <c r="N873" s="105"/>
      <c r="O873" s="68"/>
      <c r="P873" s="115"/>
      <c r="Q873" s="7"/>
      <c r="XEJ873" s="4"/>
      <c r="XEK873" s="4"/>
      <c r="XEL873" s="4"/>
      <c r="XEM873" s="4"/>
      <c r="XEN873" s="4"/>
      <c r="XEO873" s="4"/>
      <c r="XEP873" s="4"/>
    </row>
    <row r="874" s="2" customFormat="1" ht="26.1" customHeight="1" spans="2:16370">
      <c r="B874" s="7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105"/>
      <c r="O874" s="68"/>
      <c r="P874" s="115"/>
      <c r="Q874" s="7"/>
      <c r="XEJ874" s="4"/>
      <c r="XEK874" s="4"/>
      <c r="XEL874" s="4"/>
      <c r="XEM874" s="4"/>
      <c r="XEN874" s="4"/>
      <c r="XEO874" s="4"/>
      <c r="XEP874" s="4"/>
    </row>
    <row r="875" s="2" customFormat="1" ht="26.1" customHeight="1" spans="2:16370">
      <c r="B875" s="7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105"/>
      <c r="O875" s="68"/>
      <c r="P875" s="115"/>
      <c r="Q875" s="7"/>
      <c r="XEJ875" s="4"/>
      <c r="XEK875" s="4"/>
      <c r="XEL875" s="4"/>
      <c r="XEM875" s="4"/>
      <c r="XEN875" s="4"/>
      <c r="XEO875" s="4"/>
      <c r="XEP875" s="4"/>
    </row>
    <row r="876" s="2" customFormat="1" ht="26.1" customHeight="1" spans="2:16370">
      <c r="B876" s="7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105"/>
      <c r="O876" s="68"/>
      <c r="P876" s="115"/>
      <c r="Q876" s="7"/>
      <c r="XEJ876" s="4"/>
      <c r="XEK876" s="4"/>
      <c r="XEL876" s="4"/>
      <c r="XEM876" s="4"/>
      <c r="XEN876" s="4"/>
      <c r="XEO876" s="4"/>
      <c r="XEP876" s="4"/>
    </row>
    <row r="877" s="2" customFormat="1" ht="26.1" customHeight="1" spans="2:16370">
      <c r="B877" s="7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105"/>
      <c r="O877" s="68"/>
      <c r="P877" s="115"/>
      <c r="Q877" s="7"/>
      <c r="XEJ877" s="4"/>
      <c r="XEK877" s="4"/>
      <c r="XEL877" s="4"/>
      <c r="XEM877" s="4"/>
      <c r="XEN877" s="4"/>
      <c r="XEO877" s="4"/>
      <c r="XEP877" s="4"/>
    </row>
    <row r="878" s="2" customFormat="1" ht="26.1" customHeight="1" spans="2:16370">
      <c r="B878" s="7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105"/>
      <c r="O878" s="68"/>
      <c r="P878" s="115"/>
      <c r="Q878" s="7"/>
      <c r="XEJ878" s="4"/>
      <c r="XEK878" s="4"/>
      <c r="XEL878" s="4"/>
      <c r="XEM878" s="4"/>
      <c r="XEN878" s="4"/>
      <c r="XEO878" s="4"/>
      <c r="XEP878" s="4"/>
    </row>
    <row r="879" s="2" customFormat="1" ht="26.1" customHeight="1" spans="2:16370">
      <c r="B879" s="7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105"/>
      <c r="O879" s="68"/>
      <c r="P879" s="115"/>
      <c r="Q879" s="7"/>
      <c r="XEJ879" s="4"/>
      <c r="XEK879" s="4"/>
      <c r="XEL879" s="4"/>
      <c r="XEM879" s="4"/>
      <c r="XEN879" s="4"/>
      <c r="XEO879" s="4"/>
      <c r="XEP879" s="4"/>
    </row>
    <row r="880" s="2" customFormat="1" ht="26.1" customHeight="1" spans="2:16370">
      <c r="B880" s="7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105"/>
      <c r="O880" s="68"/>
      <c r="P880" s="115"/>
      <c r="Q880" s="7"/>
      <c r="XEJ880" s="4"/>
      <c r="XEK880" s="4"/>
      <c r="XEL880" s="4"/>
      <c r="XEM880" s="4"/>
      <c r="XEN880" s="4"/>
      <c r="XEO880" s="4"/>
      <c r="XEP880" s="4"/>
    </row>
    <row r="881" s="2" customFormat="1" ht="26.1" customHeight="1" spans="2:16370">
      <c r="B881" s="7"/>
      <c r="C881" s="68"/>
      <c r="D881" s="68"/>
      <c r="E881" s="68"/>
      <c r="F881" s="68"/>
      <c r="G881" s="68"/>
      <c r="H881" s="68"/>
      <c r="I881" s="68"/>
      <c r="J881" s="68"/>
      <c r="K881" s="68"/>
      <c r="L881" s="68"/>
      <c r="M881" s="68"/>
      <c r="N881" s="105"/>
      <c r="O881" s="68"/>
      <c r="P881" s="115"/>
      <c r="Q881" s="7"/>
      <c r="XEJ881" s="4"/>
      <c r="XEK881" s="4"/>
      <c r="XEL881" s="4"/>
      <c r="XEM881" s="4"/>
      <c r="XEN881" s="4"/>
      <c r="XEO881" s="4"/>
      <c r="XEP881" s="4"/>
    </row>
    <row r="882" s="2" customFormat="1" ht="26.1" customHeight="1" spans="2:16370">
      <c r="B882" s="7"/>
      <c r="C882" s="68"/>
      <c r="D882" s="68"/>
      <c r="E882" s="68"/>
      <c r="F882" s="68"/>
      <c r="G882" s="68"/>
      <c r="H882" s="68"/>
      <c r="I882" s="68"/>
      <c r="J882" s="68"/>
      <c r="K882" s="68"/>
      <c r="L882" s="68"/>
      <c r="M882" s="68"/>
      <c r="N882" s="105"/>
      <c r="O882" s="68"/>
      <c r="P882" s="115"/>
      <c r="Q882" s="7"/>
      <c r="XEJ882" s="4"/>
      <c r="XEK882" s="4"/>
      <c r="XEL882" s="4"/>
      <c r="XEM882" s="4"/>
      <c r="XEN882" s="4"/>
      <c r="XEO882" s="4"/>
      <c r="XEP882" s="4"/>
    </row>
    <row r="883" s="2" customFormat="1" ht="26.1" customHeight="1" spans="2:16370">
      <c r="B883" s="7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105"/>
      <c r="O883" s="68"/>
      <c r="P883" s="115"/>
      <c r="Q883" s="7"/>
      <c r="XEJ883" s="4"/>
      <c r="XEK883" s="4"/>
      <c r="XEL883" s="4"/>
      <c r="XEM883" s="4"/>
      <c r="XEN883" s="4"/>
      <c r="XEO883" s="4"/>
      <c r="XEP883" s="4"/>
    </row>
    <row r="884" s="2" customFormat="1" ht="26.1" customHeight="1" spans="2:16370">
      <c r="B884" s="7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105"/>
      <c r="O884" s="68"/>
      <c r="P884" s="115"/>
      <c r="Q884" s="7"/>
      <c r="XEJ884" s="4"/>
      <c r="XEK884" s="4"/>
      <c r="XEL884" s="4"/>
      <c r="XEM884" s="4"/>
      <c r="XEN884" s="4"/>
      <c r="XEO884" s="4"/>
      <c r="XEP884" s="4"/>
    </row>
    <row r="885" s="2" customFormat="1" ht="26.1" customHeight="1" spans="2:16370">
      <c r="B885" s="7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105"/>
      <c r="O885" s="68"/>
      <c r="P885" s="115"/>
      <c r="Q885" s="7"/>
      <c r="XEJ885" s="4"/>
      <c r="XEK885" s="4"/>
      <c r="XEL885" s="4"/>
      <c r="XEM885" s="4"/>
      <c r="XEN885" s="4"/>
      <c r="XEO885" s="4"/>
      <c r="XEP885" s="4"/>
    </row>
    <row r="886" s="2" customFormat="1" ht="26.1" customHeight="1" spans="2:16370">
      <c r="B886" s="7"/>
      <c r="C886" s="68"/>
      <c r="D886" s="68"/>
      <c r="E886" s="68"/>
      <c r="F886" s="68"/>
      <c r="G886" s="68"/>
      <c r="H886" s="68"/>
      <c r="I886" s="68"/>
      <c r="J886" s="68"/>
      <c r="K886" s="68"/>
      <c r="L886" s="68"/>
      <c r="M886" s="68"/>
      <c r="N886" s="105"/>
      <c r="O886" s="68"/>
      <c r="P886" s="115"/>
      <c r="Q886" s="7"/>
      <c r="XEJ886" s="4"/>
      <c r="XEK886" s="4"/>
      <c r="XEL886" s="4"/>
      <c r="XEM886" s="4"/>
      <c r="XEN886" s="4"/>
      <c r="XEO886" s="4"/>
      <c r="XEP886" s="4"/>
    </row>
    <row r="887" s="2" customFormat="1" ht="26.1" customHeight="1" spans="2:16370">
      <c r="B887" s="7"/>
      <c r="C887" s="68"/>
      <c r="D887" s="68"/>
      <c r="E887" s="68"/>
      <c r="F887" s="68"/>
      <c r="G887" s="68"/>
      <c r="H887" s="68"/>
      <c r="I887" s="68"/>
      <c r="J887" s="68"/>
      <c r="K887" s="68"/>
      <c r="L887" s="68"/>
      <c r="M887" s="68"/>
      <c r="N887" s="105"/>
      <c r="O887" s="68"/>
      <c r="P887" s="115"/>
      <c r="Q887" s="7"/>
      <c r="XEJ887" s="4"/>
      <c r="XEK887" s="4"/>
      <c r="XEL887" s="4"/>
      <c r="XEM887" s="4"/>
      <c r="XEN887" s="4"/>
      <c r="XEO887" s="4"/>
      <c r="XEP887" s="4"/>
    </row>
    <row r="888" s="2" customFormat="1" ht="26.1" customHeight="1" spans="2:16370">
      <c r="B888" s="7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105"/>
      <c r="O888" s="68"/>
      <c r="P888" s="115"/>
      <c r="Q888" s="7"/>
      <c r="XEJ888" s="4"/>
      <c r="XEK888" s="4"/>
      <c r="XEL888" s="4"/>
      <c r="XEM888" s="4"/>
      <c r="XEN888" s="4"/>
      <c r="XEO888" s="4"/>
      <c r="XEP888" s="4"/>
    </row>
    <row r="889" s="2" customFormat="1" ht="26.1" customHeight="1" spans="2:16370">
      <c r="B889" s="7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105"/>
      <c r="O889" s="68"/>
      <c r="P889" s="115"/>
      <c r="Q889" s="7"/>
      <c r="XEJ889" s="4"/>
      <c r="XEK889" s="4"/>
      <c r="XEL889" s="4"/>
      <c r="XEM889" s="4"/>
      <c r="XEN889" s="4"/>
      <c r="XEO889" s="4"/>
      <c r="XEP889" s="4"/>
    </row>
    <row r="890" s="2" customFormat="1" ht="26.1" customHeight="1" spans="2:16370">
      <c r="B890" s="7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105"/>
      <c r="O890" s="68"/>
      <c r="P890" s="115"/>
      <c r="Q890" s="7"/>
      <c r="XEJ890" s="4"/>
      <c r="XEK890" s="4"/>
      <c r="XEL890" s="4"/>
      <c r="XEM890" s="4"/>
      <c r="XEN890" s="4"/>
      <c r="XEO890" s="4"/>
      <c r="XEP890" s="4"/>
    </row>
    <row r="891" s="2" customFormat="1" ht="26.1" customHeight="1" spans="2:16370">
      <c r="B891" s="7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105"/>
      <c r="O891" s="68"/>
      <c r="P891" s="115"/>
      <c r="Q891" s="7"/>
      <c r="XEJ891" s="4"/>
      <c r="XEK891" s="4"/>
      <c r="XEL891" s="4"/>
      <c r="XEM891" s="4"/>
      <c r="XEN891" s="4"/>
      <c r="XEO891" s="4"/>
      <c r="XEP891" s="4"/>
    </row>
    <row r="892" s="2" customFormat="1" ht="26.1" customHeight="1" spans="2:16370">
      <c r="B892" s="7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105"/>
      <c r="O892" s="68"/>
      <c r="P892" s="115"/>
      <c r="Q892" s="7"/>
      <c r="XEJ892" s="4"/>
      <c r="XEK892" s="4"/>
      <c r="XEL892" s="4"/>
      <c r="XEM892" s="4"/>
      <c r="XEN892" s="4"/>
      <c r="XEO892" s="4"/>
      <c r="XEP892" s="4"/>
    </row>
    <row r="893" s="2" customFormat="1" ht="26.1" customHeight="1" spans="2:16370">
      <c r="B893" s="7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105"/>
      <c r="O893" s="68"/>
      <c r="P893" s="115"/>
      <c r="Q893" s="7"/>
      <c r="XEJ893" s="4"/>
      <c r="XEK893" s="4"/>
      <c r="XEL893" s="4"/>
      <c r="XEM893" s="4"/>
      <c r="XEN893" s="4"/>
      <c r="XEO893" s="4"/>
      <c r="XEP893" s="4"/>
    </row>
    <row r="894" s="2" customFormat="1" ht="26.1" customHeight="1" spans="2:16370">
      <c r="B894" s="7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105"/>
      <c r="O894" s="68"/>
      <c r="P894" s="115"/>
      <c r="Q894" s="7"/>
      <c r="XEJ894" s="4"/>
      <c r="XEK894" s="4"/>
      <c r="XEL894" s="4"/>
      <c r="XEM894" s="4"/>
      <c r="XEN894" s="4"/>
      <c r="XEO894" s="4"/>
      <c r="XEP894" s="4"/>
    </row>
    <row r="895" s="2" customFormat="1" ht="26.1" customHeight="1" spans="2:16370">
      <c r="B895" s="7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105"/>
      <c r="O895" s="68"/>
      <c r="P895" s="115"/>
      <c r="Q895" s="7"/>
      <c r="XEJ895" s="4"/>
      <c r="XEK895" s="4"/>
      <c r="XEL895" s="4"/>
      <c r="XEM895" s="4"/>
      <c r="XEN895" s="4"/>
      <c r="XEO895" s="4"/>
      <c r="XEP895" s="4"/>
    </row>
    <row r="896" s="2" customFormat="1" ht="26.1" customHeight="1" spans="2:16370">
      <c r="B896" s="7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105"/>
      <c r="O896" s="68"/>
      <c r="P896" s="115"/>
      <c r="Q896" s="7"/>
      <c r="XEJ896" s="4"/>
      <c r="XEK896" s="4"/>
      <c r="XEL896" s="4"/>
      <c r="XEM896" s="4"/>
      <c r="XEN896" s="4"/>
      <c r="XEO896" s="4"/>
      <c r="XEP896" s="4"/>
    </row>
    <row r="897" s="2" customFormat="1" ht="26.1" customHeight="1" spans="2:16370">
      <c r="B897" s="7"/>
      <c r="C897" s="68"/>
      <c r="D897" s="68"/>
      <c r="E897" s="68"/>
      <c r="F897" s="68"/>
      <c r="G897" s="68"/>
      <c r="H897" s="68"/>
      <c r="I897" s="68"/>
      <c r="J897" s="68"/>
      <c r="K897" s="68"/>
      <c r="L897" s="68"/>
      <c r="M897" s="68"/>
      <c r="N897" s="105"/>
      <c r="O897" s="68"/>
      <c r="P897" s="115"/>
      <c r="Q897" s="7"/>
      <c r="XEJ897" s="4"/>
      <c r="XEK897" s="4"/>
      <c r="XEL897" s="4"/>
      <c r="XEM897" s="4"/>
      <c r="XEN897" s="4"/>
      <c r="XEO897" s="4"/>
      <c r="XEP897" s="4"/>
    </row>
    <row r="898" s="2" customFormat="1" ht="26.1" customHeight="1" spans="2:16370">
      <c r="B898" s="7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105"/>
      <c r="O898" s="68"/>
      <c r="P898" s="115"/>
      <c r="Q898" s="7"/>
      <c r="XEJ898" s="4"/>
      <c r="XEK898" s="4"/>
      <c r="XEL898" s="4"/>
      <c r="XEM898" s="4"/>
      <c r="XEN898" s="4"/>
      <c r="XEO898" s="4"/>
      <c r="XEP898" s="4"/>
    </row>
    <row r="899" s="2" customFormat="1" ht="26.1" customHeight="1" spans="2:16370">
      <c r="B899" s="7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105"/>
      <c r="O899" s="68"/>
      <c r="P899" s="115"/>
      <c r="Q899" s="7"/>
      <c r="XEJ899" s="4"/>
      <c r="XEK899" s="4"/>
      <c r="XEL899" s="4"/>
      <c r="XEM899" s="4"/>
      <c r="XEN899" s="4"/>
      <c r="XEO899" s="4"/>
      <c r="XEP899" s="4"/>
    </row>
    <row r="900" s="2" customFormat="1" ht="26.1" customHeight="1" spans="2:16370">
      <c r="B900" s="7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105"/>
      <c r="O900" s="68"/>
      <c r="P900" s="115"/>
      <c r="Q900" s="7"/>
      <c r="XEJ900" s="4"/>
      <c r="XEK900" s="4"/>
      <c r="XEL900" s="4"/>
      <c r="XEM900" s="4"/>
      <c r="XEN900" s="4"/>
      <c r="XEO900" s="4"/>
      <c r="XEP900" s="4"/>
    </row>
    <row r="901" s="2" customFormat="1" ht="26.1" customHeight="1" spans="2:16370">
      <c r="B901" s="7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105"/>
      <c r="O901" s="68"/>
      <c r="P901" s="115"/>
      <c r="Q901" s="7"/>
      <c r="XEJ901" s="4"/>
      <c r="XEK901" s="4"/>
      <c r="XEL901" s="4"/>
      <c r="XEM901" s="4"/>
      <c r="XEN901" s="4"/>
      <c r="XEO901" s="4"/>
      <c r="XEP901" s="4"/>
    </row>
    <row r="902" s="2" customFormat="1" ht="26.1" customHeight="1" spans="2:16370">
      <c r="B902" s="7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105"/>
      <c r="O902" s="68"/>
      <c r="P902" s="115"/>
      <c r="Q902" s="7"/>
      <c r="XEJ902" s="4"/>
      <c r="XEK902" s="4"/>
      <c r="XEL902" s="4"/>
      <c r="XEM902" s="4"/>
      <c r="XEN902" s="4"/>
      <c r="XEO902" s="4"/>
      <c r="XEP902" s="4"/>
    </row>
    <row r="903" s="2" customFormat="1" ht="26.1" customHeight="1" spans="2:16370">
      <c r="B903" s="7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105"/>
      <c r="O903" s="68"/>
      <c r="P903" s="115"/>
      <c r="Q903" s="7"/>
      <c r="XEJ903" s="4"/>
      <c r="XEK903" s="4"/>
      <c r="XEL903" s="4"/>
      <c r="XEM903" s="4"/>
      <c r="XEN903" s="4"/>
      <c r="XEO903" s="4"/>
      <c r="XEP903" s="4"/>
    </row>
    <row r="904" s="2" customFormat="1" ht="26.1" customHeight="1" spans="2:16370">
      <c r="B904" s="7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105"/>
      <c r="O904" s="68"/>
      <c r="P904" s="115"/>
      <c r="Q904" s="7"/>
      <c r="XEJ904" s="4"/>
      <c r="XEK904" s="4"/>
      <c r="XEL904" s="4"/>
      <c r="XEM904" s="4"/>
      <c r="XEN904" s="4"/>
      <c r="XEO904" s="4"/>
      <c r="XEP904" s="4"/>
    </row>
    <row r="905" s="2" customFormat="1" ht="26.1" customHeight="1" spans="2:16370">
      <c r="B905" s="7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105"/>
      <c r="O905" s="68"/>
      <c r="P905" s="115"/>
      <c r="Q905" s="7"/>
      <c r="XEJ905" s="4"/>
      <c r="XEK905" s="4"/>
      <c r="XEL905" s="4"/>
      <c r="XEM905" s="4"/>
      <c r="XEN905" s="4"/>
      <c r="XEO905" s="4"/>
      <c r="XEP905" s="4"/>
    </row>
    <row r="906" s="2" customFormat="1" ht="26.1" customHeight="1" spans="2:16370">
      <c r="B906" s="7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105"/>
      <c r="O906" s="68"/>
      <c r="P906" s="115"/>
      <c r="Q906" s="7"/>
      <c r="XEJ906" s="4"/>
      <c r="XEK906" s="4"/>
      <c r="XEL906" s="4"/>
      <c r="XEM906" s="4"/>
      <c r="XEN906" s="4"/>
      <c r="XEO906" s="4"/>
      <c r="XEP906" s="4"/>
    </row>
    <row r="907" s="2" customFormat="1" ht="26.1" customHeight="1" spans="2:16370">
      <c r="B907" s="7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105"/>
      <c r="O907" s="68"/>
      <c r="P907" s="115"/>
      <c r="Q907" s="7"/>
      <c r="XEJ907" s="4"/>
      <c r="XEK907" s="4"/>
      <c r="XEL907" s="4"/>
      <c r="XEM907" s="4"/>
      <c r="XEN907" s="4"/>
      <c r="XEO907" s="4"/>
      <c r="XEP907" s="4"/>
    </row>
    <row r="908" s="2" customFormat="1" ht="26.1" customHeight="1" spans="2:16370">
      <c r="B908" s="7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105"/>
      <c r="O908" s="68"/>
      <c r="P908" s="115"/>
      <c r="Q908" s="7"/>
      <c r="XEJ908" s="4"/>
      <c r="XEK908" s="4"/>
      <c r="XEL908" s="4"/>
      <c r="XEM908" s="4"/>
      <c r="XEN908" s="4"/>
      <c r="XEO908" s="4"/>
      <c r="XEP908" s="4"/>
    </row>
    <row r="909" s="2" customFormat="1" ht="26.1" customHeight="1" spans="2:16370">
      <c r="B909" s="7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105"/>
      <c r="O909" s="68"/>
      <c r="P909" s="115"/>
      <c r="Q909" s="7"/>
      <c r="XEJ909" s="4"/>
      <c r="XEK909" s="4"/>
      <c r="XEL909" s="4"/>
      <c r="XEM909" s="4"/>
      <c r="XEN909" s="4"/>
      <c r="XEO909" s="4"/>
      <c r="XEP909" s="4"/>
    </row>
    <row r="910" s="2" customFormat="1" ht="26.1" customHeight="1" spans="2:16370">
      <c r="B910" s="7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105"/>
      <c r="O910" s="68"/>
      <c r="P910" s="115"/>
      <c r="Q910" s="7"/>
      <c r="XEJ910" s="4"/>
      <c r="XEK910" s="4"/>
      <c r="XEL910" s="4"/>
      <c r="XEM910" s="4"/>
      <c r="XEN910" s="4"/>
      <c r="XEO910" s="4"/>
      <c r="XEP910" s="4"/>
    </row>
    <row r="911" s="2" customFormat="1" ht="26.1" customHeight="1" spans="2:16370">
      <c r="B911" s="7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105"/>
      <c r="O911" s="68"/>
      <c r="P911" s="115"/>
      <c r="Q911" s="7"/>
      <c r="XEJ911" s="4"/>
      <c r="XEK911" s="4"/>
      <c r="XEL911" s="4"/>
      <c r="XEM911" s="4"/>
      <c r="XEN911" s="4"/>
      <c r="XEO911" s="4"/>
      <c r="XEP911" s="4"/>
    </row>
    <row r="912" s="2" customFormat="1" ht="26.1" customHeight="1" spans="2:16370">
      <c r="B912" s="7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105"/>
      <c r="O912" s="68"/>
      <c r="P912" s="115"/>
      <c r="Q912" s="7"/>
      <c r="XEJ912" s="4"/>
      <c r="XEK912" s="4"/>
      <c r="XEL912" s="4"/>
      <c r="XEM912" s="4"/>
      <c r="XEN912" s="4"/>
      <c r="XEO912" s="4"/>
      <c r="XEP912" s="4"/>
    </row>
    <row r="913" s="2" customFormat="1" ht="26.1" customHeight="1" spans="2:16370">
      <c r="B913" s="7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105"/>
      <c r="O913" s="68"/>
      <c r="P913" s="115"/>
      <c r="Q913" s="7"/>
      <c r="XEJ913" s="4"/>
      <c r="XEK913" s="4"/>
      <c r="XEL913" s="4"/>
      <c r="XEM913" s="4"/>
      <c r="XEN913" s="4"/>
      <c r="XEO913" s="4"/>
      <c r="XEP913" s="4"/>
    </row>
    <row r="914" s="2" customFormat="1" ht="26.1" customHeight="1" spans="2:16370">
      <c r="B914" s="7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105"/>
      <c r="O914" s="68"/>
      <c r="P914" s="115"/>
      <c r="Q914" s="7"/>
      <c r="XEJ914" s="4"/>
      <c r="XEK914" s="4"/>
      <c r="XEL914" s="4"/>
      <c r="XEM914" s="4"/>
      <c r="XEN914" s="4"/>
      <c r="XEO914" s="4"/>
      <c r="XEP914" s="4"/>
    </row>
    <row r="915" s="2" customFormat="1" ht="26.1" customHeight="1" spans="2:16370">
      <c r="B915" s="7"/>
      <c r="C915" s="68"/>
      <c r="D915" s="68"/>
      <c r="E915" s="68"/>
      <c r="F915" s="68"/>
      <c r="G915" s="68"/>
      <c r="H915" s="68"/>
      <c r="I915" s="68"/>
      <c r="J915" s="68"/>
      <c r="K915" s="68"/>
      <c r="L915" s="68"/>
      <c r="M915" s="68"/>
      <c r="N915" s="105"/>
      <c r="O915" s="68"/>
      <c r="P915" s="115"/>
      <c r="Q915" s="7"/>
      <c r="XEJ915" s="4"/>
      <c r="XEK915" s="4"/>
      <c r="XEL915" s="4"/>
      <c r="XEM915" s="4"/>
      <c r="XEN915" s="4"/>
      <c r="XEO915" s="4"/>
      <c r="XEP915" s="4"/>
    </row>
    <row r="916" s="2" customFormat="1" ht="26.1" customHeight="1" spans="2:16370">
      <c r="B916" s="7"/>
      <c r="C916" s="68"/>
      <c r="D916" s="68"/>
      <c r="E916" s="68"/>
      <c r="F916" s="68"/>
      <c r="G916" s="68"/>
      <c r="H916" s="68"/>
      <c r="I916" s="68"/>
      <c r="J916" s="68"/>
      <c r="K916" s="68"/>
      <c r="L916" s="68"/>
      <c r="M916" s="68"/>
      <c r="N916" s="105"/>
      <c r="O916" s="68"/>
      <c r="P916" s="115"/>
      <c r="Q916" s="7"/>
      <c r="XEJ916" s="4"/>
      <c r="XEK916" s="4"/>
      <c r="XEL916" s="4"/>
      <c r="XEM916" s="4"/>
      <c r="XEN916" s="4"/>
      <c r="XEO916" s="4"/>
      <c r="XEP916" s="4"/>
    </row>
    <row r="917" s="2" customFormat="1" ht="26.1" customHeight="1" spans="2:16370">
      <c r="B917" s="7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105"/>
      <c r="O917" s="68"/>
      <c r="P917" s="115"/>
      <c r="Q917" s="7"/>
      <c r="XEJ917" s="4"/>
      <c r="XEK917" s="4"/>
      <c r="XEL917" s="4"/>
      <c r="XEM917" s="4"/>
      <c r="XEN917" s="4"/>
      <c r="XEO917" s="4"/>
      <c r="XEP917" s="4"/>
    </row>
    <row r="918" s="2" customFormat="1" ht="26.1" customHeight="1" spans="2:16370">
      <c r="B918" s="7"/>
      <c r="C918" s="68"/>
      <c r="D918" s="68"/>
      <c r="E918" s="68"/>
      <c r="F918" s="68"/>
      <c r="G918" s="68"/>
      <c r="H918" s="68"/>
      <c r="I918" s="68"/>
      <c r="J918" s="68"/>
      <c r="K918" s="68"/>
      <c r="L918" s="68"/>
      <c r="M918" s="68"/>
      <c r="N918" s="105"/>
      <c r="O918" s="68"/>
      <c r="P918" s="115"/>
      <c r="Q918" s="7"/>
      <c r="XEJ918" s="4"/>
      <c r="XEK918" s="4"/>
      <c r="XEL918" s="4"/>
      <c r="XEM918" s="4"/>
      <c r="XEN918" s="4"/>
      <c r="XEO918" s="4"/>
      <c r="XEP918" s="4"/>
    </row>
    <row r="919" s="2" customFormat="1" ht="26.1" customHeight="1" spans="2:16370">
      <c r="B919" s="7"/>
      <c r="C919" s="68"/>
      <c r="D919" s="68"/>
      <c r="E919" s="68"/>
      <c r="F919" s="68"/>
      <c r="G919" s="68"/>
      <c r="H919" s="68"/>
      <c r="I919" s="68"/>
      <c r="J919" s="68"/>
      <c r="K919" s="68"/>
      <c r="L919" s="68"/>
      <c r="M919" s="68"/>
      <c r="N919" s="105"/>
      <c r="O919" s="68"/>
      <c r="P919" s="115"/>
      <c r="Q919" s="7"/>
      <c r="XEJ919" s="4"/>
      <c r="XEK919" s="4"/>
      <c r="XEL919" s="4"/>
      <c r="XEM919" s="4"/>
      <c r="XEN919" s="4"/>
      <c r="XEO919" s="4"/>
      <c r="XEP919" s="4"/>
    </row>
    <row r="920" s="2" customFormat="1" ht="26.1" customHeight="1" spans="2:16370">
      <c r="B920" s="7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105"/>
      <c r="O920" s="68"/>
      <c r="P920" s="115"/>
      <c r="Q920" s="7"/>
      <c r="XEJ920" s="4"/>
      <c r="XEK920" s="4"/>
      <c r="XEL920" s="4"/>
      <c r="XEM920" s="4"/>
      <c r="XEN920" s="4"/>
      <c r="XEO920" s="4"/>
      <c r="XEP920" s="4"/>
    </row>
    <row r="921" s="2" customFormat="1" ht="26.1" customHeight="1" spans="2:16370">
      <c r="B921" s="7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105"/>
      <c r="O921" s="68"/>
      <c r="P921" s="115"/>
      <c r="Q921" s="7"/>
      <c r="XEJ921" s="4"/>
      <c r="XEK921" s="4"/>
      <c r="XEL921" s="4"/>
      <c r="XEM921" s="4"/>
      <c r="XEN921" s="4"/>
      <c r="XEO921" s="4"/>
      <c r="XEP921" s="4"/>
    </row>
    <row r="922" s="2" customFormat="1" ht="26.1" customHeight="1" spans="2:16370">
      <c r="B922" s="7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105"/>
      <c r="O922" s="68"/>
      <c r="P922" s="115"/>
      <c r="Q922" s="7"/>
      <c r="XEJ922" s="4"/>
      <c r="XEK922" s="4"/>
      <c r="XEL922" s="4"/>
      <c r="XEM922" s="4"/>
      <c r="XEN922" s="4"/>
      <c r="XEO922" s="4"/>
      <c r="XEP922" s="4"/>
    </row>
    <row r="923" s="2" customFormat="1" ht="26.1" customHeight="1" spans="2:16370">
      <c r="B923" s="7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105"/>
      <c r="O923" s="68"/>
      <c r="P923" s="115"/>
      <c r="Q923" s="7"/>
      <c r="XEJ923" s="4"/>
      <c r="XEK923" s="4"/>
      <c r="XEL923" s="4"/>
      <c r="XEM923" s="4"/>
      <c r="XEN923" s="4"/>
      <c r="XEO923" s="4"/>
      <c r="XEP923" s="4"/>
    </row>
    <row r="924" s="2" customFormat="1" ht="26.1" customHeight="1" spans="2:16370">
      <c r="B924" s="7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105"/>
      <c r="O924" s="68"/>
      <c r="P924" s="115"/>
      <c r="Q924" s="7"/>
      <c r="XEJ924" s="4"/>
      <c r="XEK924" s="4"/>
      <c r="XEL924" s="4"/>
      <c r="XEM924" s="4"/>
      <c r="XEN924" s="4"/>
      <c r="XEO924" s="4"/>
      <c r="XEP924" s="4"/>
    </row>
    <row r="925" s="2" customFormat="1" ht="26.1" customHeight="1" spans="2:16370">
      <c r="B925" s="7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105"/>
      <c r="O925" s="68"/>
      <c r="P925" s="115"/>
      <c r="Q925" s="7"/>
      <c r="XEJ925" s="4"/>
      <c r="XEK925" s="4"/>
      <c r="XEL925" s="4"/>
      <c r="XEM925" s="4"/>
      <c r="XEN925" s="4"/>
      <c r="XEO925" s="4"/>
      <c r="XEP925" s="4"/>
    </row>
    <row r="926" s="2" customFormat="1" ht="26.1" customHeight="1" spans="2:16370">
      <c r="B926" s="7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105"/>
      <c r="O926" s="68"/>
      <c r="P926" s="115"/>
      <c r="Q926" s="7"/>
      <c r="XEJ926" s="4"/>
      <c r="XEK926" s="4"/>
      <c r="XEL926" s="4"/>
      <c r="XEM926" s="4"/>
      <c r="XEN926" s="4"/>
      <c r="XEO926" s="4"/>
      <c r="XEP926" s="4"/>
    </row>
    <row r="927" s="2" customFormat="1" ht="26.1" customHeight="1" spans="2:16370">
      <c r="B927" s="7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105"/>
      <c r="O927" s="68"/>
      <c r="P927" s="115"/>
      <c r="Q927" s="7"/>
      <c r="XEJ927" s="4"/>
      <c r="XEK927" s="4"/>
      <c r="XEL927" s="4"/>
      <c r="XEM927" s="4"/>
      <c r="XEN927" s="4"/>
      <c r="XEO927" s="4"/>
      <c r="XEP927" s="4"/>
    </row>
    <row r="928" s="2" customFormat="1" ht="26.1" customHeight="1" spans="2:16370">
      <c r="B928" s="7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105"/>
      <c r="O928" s="68"/>
      <c r="P928" s="115"/>
      <c r="Q928" s="7"/>
      <c r="XEJ928" s="4"/>
      <c r="XEK928" s="4"/>
      <c r="XEL928" s="4"/>
      <c r="XEM928" s="4"/>
      <c r="XEN928" s="4"/>
      <c r="XEO928" s="4"/>
      <c r="XEP928" s="4"/>
    </row>
    <row r="929" s="2" customFormat="1" ht="26.1" customHeight="1" spans="2:16370">
      <c r="B929" s="7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105"/>
      <c r="O929" s="68"/>
      <c r="P929" s="115"/>
      <c r="Q929" s="7"/>
      <c r="XEJ929" s="4"/>
      <c r="XEK929" s="4"/>
      <c r="XEL929" s="4"/>
      <c r="XEM929" s="4"/>
      <c r="XEN929" s="4"/>
      <c r="XEO929" s="4"/>
      <c r="XEP929" s="4"/>
    </row>
    <row r="930" s="2" customFormat="1" ht="26.1" customHeight="1" spans="2:16370">
      <c r="B930" s="7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105"/>
      <c r="O930" s="68"/>
      <c r="P930" s="115"/>
      <c r="Q930" s="7"/>
      <c r="XEJ930" s="4"/>
      <c r="XEK930" s="4"/>
      <c r="XEL930" s="4"/>
      <c r="XEM930" s="4"/>
      <c r="XEN930" s="4"/>
      <c r="XEO930" s="4"/>
      <c r="XEP930" s="4"/>
    </row>
    <row r="931" s="2" customFormat="1" ht="26.1" customHeight="1" spans="2:16370">
      <c r="B931" s="7"/>
      <c r="C931" s="68"/>
      <c r="D931" s="68"/>
      <c r="E931" s="68"/>
      <c r="F931" s="68"/>
      <c r="G931" s="68"/>
      <c r="H931" s="68"/>
      <c r="I931" s="68"/>
      <c r="J931" s="68"/>
      <c r="K931" s="68"/>
      <c r="L931" s="68"/>
      <c r="M931" s="68"/>
      <c r="N931" s="105"/>
      <c r="O931" s="68"/>
      <c r="P931" s="115"/>
      <c r="Q931" s="7"/>
      <c r="XEJ931" s="4"/>
      <c r="XEK931" s="4"/>
      <c r="XEL931" s="4"/>
      <c r="XEM931" s="4"/>
      <c r="XEN931" s="4"/>
      <c r="XEO931" s="4"/>
      <c r="XEP931" s="4"/>
    </row>
    <row r="932" s="2" customFormat="1" ht="26.1" customHeight="1" spans="2:16370">
      <c r="B932" s="7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105"/>
      <c r="O932" s="68"/>
      <c r="P932" s="115"/>
      <c r="Q932" s="7"/>
      <c r="XEJ932" s="4"/>
      <c r="XEK932" s="4"/>
      <c r="XEL932" s="4"/>
      <c r="XEM932" s="4"/>
      <c r="XEN932" s="4"/>
      <c r="XEO932" s="4"/>
      <c r="XEP932" s="4"/>
    </row>
    <row r="933" s="2" customFormat="1" ht="26.1" customHeight="1" spans="2:16370">
      <c r="B933" s="7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105"/>
      <c r="O933" s="68"/>
      <c r="P933" s="115"/>
      <c r="Q933" s="7"/>
      <c r="XEJ933" s="4"/>
      <c r="XEK933" s="4"/>
      <c r="XEL933" s="4"/>
      <c r="XEM933" s="4"/>
      <c r="XEN933" s="4"/>
      <c r="XEO933" s="4"/>
      <c r="XEP933" s="4"/>
    </row>
    <row r="934" s="2" customFormat="1" ht="26.1" customHeight="1" spans="2:16370">
      <c r="B934" s="7"/>
      <c r="C934" s="68"/>
      <c r="D934" s="68"/>
      <c r="E934" s="68"/>
      <c r="F934" s="68"/>
      <c r="G934" s="68"/>
      <c r="H934" s="68"/>
      <c r="I934" s="68"/>
      <c r="J934" s="68"/>
      <c r="K934" s="68"/>
      <c r="L934" s="68"/>
      <c r="M934" s="68"/>
      <c r="N934" s="105"/>
      <c r="O934" s="68"/>
      <c r="P934" s="115"/>
      <c r="Q934" s="7"/>
      <c r="XEJ934" s="4"/>
      <c r="XEK934" s="4"/>
      <c r="XEL934" s="4"/>
      <c r="XEM934" s="4"/>
      <c r="XEN934" s="4"/>
      <c r="XEO934" s="4"/>
      <c r="XEP934" s="4"/>
    </row>
    <row r="935" s="2" customFormat="1" ht="26.1" customHeight="1" spans="2:16370">
      <c r="B935" s="7"/>
      <c r="C935" s="68"/>
      <c r="D935" s="68"/>
      <c r="E935" s="68"/>
      <c r="F935" s="68"/>
      <c r="G935" s="68"/>
      <c r="H935" s="68"/>
      <c r="I935" s="68"/>
      <c r="J935" s="68"/>
      <c r="K935" s="68"/>
      <c r="L935" s="68"/>
      <c r="M935" s="68"/>
      <c r="N935" s="105"/>
      <c r="O935" s="68"/>
      <c r="P935" s="115"/>
      <c r="Q935" s="7"/>
      <c r="XEJ935" s="4"/>
      <c r="XEK935" s="4"/>
      <c r="XEL935" s="4"/>
      <c r="XEM935" s="4"/>
      <c r="XEN935" s="4"/>
      <c r="XEO935" s="4"/>
      <c r="XEP935" s="4"/>
    </row>
    <row r="936" s="2" customFormat="1" ht="26.1" customHeight="1" spans="2:16370">
      <c r="B936" s="7"/>
      <c r="C936" s="68"/>
      <c r="D936" s="68"/>
      <c r="E936" s="68"/>
      <c r="F936" s="68"/>
      <c r="G936" s="68"/>
      <c r="H936" s="68"/>
      <c r="I936" s="68"/>
      <c r="J936" s="68"/>
      <c r="K936" s="68"/>
      <c r="L936" s="68"/>
      <c r="M936" s="68"/>
      <c r="N936" s="105"/>
      <c r="O936" s="68"/>
      <c r="P936" s="115"/>
      <c r="Q936" s="7"/>
      <c r="XEJ936" s="4"/>
      <c r="XEK936" s="4"/>
      <c r="XEL936" s="4"/>
      <c r="XEM936" s="4"/>
      <c r="XEN936" s="4"/>
      <c r="XEO936" s="4"/>
      <c r="XEP936" s="4"/>
    </row>
    <row r="937" s="2" customFormat="1" ht="26.1" customHeight="1" spans="2:16370">
      <c r="B937" s="7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105"/>
      <c r="O937" s="68"/>
      <c r="P937" s="115"/>
      <c r="Q937" s="7"/>
      <c r="XEJ937" s="4"/>
      <c r="XEK937" s="4"/>
      <c r="XEL937" s="4"/>
      <c r="XEM937" s="4"/>
      <c r="XEN937" s="4"/>
      <c r="XEO937" s="4"/>
      <c r="XEP937" s="4"/>
    </row>
    <row r="938" s="2" customFormat="1" ht="26.1" customHeight="1" spans="2:16370">
      <c r="B938" s="7"/>
      <c r="C938" s="68"/>
      <c r="D938" s="68"/>
      <c r="E938" s="68"/>
      <c r="F938" s="68"/>
      <c r="G938" s="68"/>
      <c r="H938" s="68"/>
      <c r="I938" s="68"/>
      <c r="J938" s="68"/>
      <c r="K938" s="68"/>
      <c r="L938" s="68"/>
      <c r="M938" s="68"/>
      <c r="N938" s="105"/>
      <c r="O938" s="68"/>
      <c r="P938" s="115"/>
      <c r="Q938" s="7"/>
      <c r="XEJ938" s="4"/>
      <c r="XEK938" s="4"/>
      <c r="XEL938" s="4"/>
      <c r="XEM938" s="4"/>
      <c r="XEN938" s="4"/>
      <c r="XEO938" s="4"/>
      <c r="XEP938" s="4"/>
    </row>
    <row r="939" s="2" customFormat="1" ht="26.1" customHeight="1" spans="2:16370">
      <c r="B939" s="7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105"/>
      <c r="O939" s="68"/>
      <c r="P939" s="115"/>
      <c r="Q939" s="7"/>
      <c r="XEJ939" s="4"/>
      <c r="XEK939" s="4"/>
      <c r="XEL939" s="4"/>
      <c r="XEM939" s="4"/>
      <c r="XEN939" s="4"/>
      <c r="XEO939" s="4"/>
      <c r="XEP939" s="4"/>
    </row>
    <row r="940" s="2" customFormat="1" ht="26.1" customHeight="1" spans="2:16370">
      <c r="B940" s="7"/>
      <c r="C940" s="68"/>
      <c r="D940" s="68"/>
      <c r="E940" s="68"/>
      <c r="F940" s="68"/>
      <c r="G940" s="68"/>
      <c r="H940" s="68"/>
      <c r="I940" s="68"/>
      <c r="J940" s="68"/>
      <c r="K940" s="68"/>
      <c r="L940" s="68"/>
      <c r="M940" s="68"/>
      <c r="N940" s="105"/>
      <c r="O940" s="68"/>
      <c r="P940" s="115"/>
      <c r="Q940" s="7"/>
      <c r="XEJ940" s="4"/>
      <c r="XEK940" s="4"/>
      <c r="XEL940" s="4"/>
      <c r="XEM940" s="4"/>
      <c r="XEN940" s="4"/>
      <c r="XEO940" s="4"/>
      <c r="XEP940" s="4"/>
    </row>
    <row r="941" s="2" customFormat="1" ht="26.1" customHeight="1" spans="2:16370">
      <c r="B941" s="7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105"/>
      <c r="O941" s="68"/>
      <c r="P941" s="115"/>
      <c r="Q941" s="7"/>
      <c r="XEJ941" s="4"/>
      <c r="XEK941" s="4"/>
      <c r="XEL941" s="4"/>
      <c r="XEM941" s="4"/>
      <c r="XEN941" s="4"/>
      <c r="XEO941" s="4"/>
      <c r="XEP941" s="4"/>
    </row>
    <row r="942" s="2" customFormat="1" ht="26.1" customHeight="1" spans="2:16370">
      <c r="B942" s="7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105"/>
      <c r="O942" s="68"/>
      <c r="P942" s="115"/>
      <c r="Q942" s="7"/>
      <c r="XEJ942" s="4"/>
      <c r="XEK942" s="4"/>
      <c r="XEL942" s="4"/>
      <c r="XEM942" s="4"/>
      <c r="XEN942" s="4"/>
      <c r="XEO942" s="4"/>
      <c r="XEP942" s="4"/>
    </row>
    <row r="943" s="2" customFormat="1" ht="26.1" customHeight="1" spans="2:16370">
      <c r="B943" s="7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105"/>
      <c r="O943" s="68"/>
      <c r="P943" s="115"/>
      <c r="Q943" s="7"/>
      <c r="XEJ943" s="4"/>
      <c r="XEK943" s="4"/>
      <c r="XEL943" s="4"/>
      <c r="XEM943" s="4"/>
      <c r="XEN943" s="4"/>
      <c r="XEO943" s="4"/>
      <c r="XEP943" s="4"/>
    </row>
    <row r="944" s="2" customFormat="1" ht="26.1" customHeight="1" spans="2:16370">
      <c r="B944" s="7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105"/>
      <c r="O944" s="68"/>
      <c r="P944" s="115"/>
      <c r="Q944" s="7"/>
      <c r="XEJ944" s="4"/>
      <c r="XEK944" s="4"/>
      <c r="XEL944" s="4"/>
      <c r="XEM944" s="4"/>
      <c r="XEN944" s="4"/>
      <c r="XEO944" s="4"/>
      <c r="XEP944" s="4"/>
    </row>
    <row r="945" s="2" customFormat="1" ht="26.1" customHeight="1" spans="2:16370">
      <c r="B945" s="7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105"/>
      <c r="O945" s="68"/>
      <c r="P945" s="115"/>
      <c r="Q945" s="7"/>
      <c r="XEJ945" s="4"/>
      <c r="XEK945" s="4"/>
      <c r="XEL945" s="4"/>
      <c r="XEM945" s="4"/>
      <c r="XEN945" s="4"/>
      <c r="XEO945" s="4"/>
      <c r="XEP945" s="4"/>
    </row>
    <row r="946" s="2" customFormat="1" ht="26.1" customHeight="1" spans="2:16370">
      <c r="B946" s="7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105"/>
      <c r="O946" s="68"/>
      <c r="P946" s="115"/>
      <c r="Q946" s="7"/>
      <c r="XEJ946" s="4"/>
      <c r="XEK946" s="4"/>
      <c r="XEL946" s="4"/>
      <c r="XEM946" s="4"/>
      <c r="XEN946" s="4"/>
      <c r="XEO946" s="4"/>
      <c r="XEP946" s="4"/>
    </row>
    <row r="947" s="2" customFormat="1" ht="26.1" customHeight="1" spans="2:16370">
      <c r="B947" s="7"/>
      <c r="C947" s="68"/>
      <c r="D947" s="68"/>
      <c r="E947" s="68"/>
      <c r="F947" s="68"/>
      <c r="G947" s="68"/>
      <c r="H947" s="68"/>
      <c r="I947" s="68"/>
      <c r="J947" s="68"/>
      <c r="K947" s="68"/>
      <c r="L947" s="68"/>
      <c r="M947" s="68"/>
      <c r="N947" s="105"/>
      <c r="O947" s="68"/>
      <c r="P947" s="115"/>
      <c r="Q947" s="7"/>
      <c r="XEJ947" s="4"/>
      <c r="XEK947" s="4"/>
      <c r="XEL947" s="4"/>
      <c r="XEM947" s="4"/>
      <c r="XEN947" s="4"/>
      <c r="XEO947" s="4"/>
      <c r="XEP947" s="4"/>
    </row>
    <row r="948" s="2" customFormat="1" ht="26.1" customHeight="1" spans="2:16370">
      <c r="B948" s="7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105"/>
      <c r="O948" s="68"/>
      <c r="P948" s="115"/>
      <c r="Q948" s="7"/>
      <c r="XEJ948" s="4"/>
      <c r="XEK948" s="4"/>
      <c r="XEL948" s="4"/>
      <c r="XEM948" s="4"/>
      <c r="XEN948" s="4"/>
      <c r="XEO948" s="4"/>
      <c r="XEP948" s="4"/>
    </row>
    <row r="949" s="2" customFormat="1" ht="26.1" customHeight="1" spans="2:16370">
      <c r="B949" s="7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105"/>
      <c r="O949" s="68"/>
      <c r="P949" s="115"/>
      <c r="Q949" s="7"/>
      <c r="XEJ949" s="4"/>
      <c r="XEK949" s="4"/>
      <c r="XEL949" s="4"/>
      <c r="XEM949" s="4"/>
      <c r="XEN949" s="4"/>
      <c r="XEO949" s="4"/>
      <c r="XEP949" s="4"/>
    </row>
    <row r="950" s="2" customFormat="1" ht="26.1" customHeight="1" spans="2:16370">
      <c r="B950" s="7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105"/>
      <c r="O950" s="68"/>
      <c r="P950" s="115"/>
      <c r="Q950" s="7"/>
      <c r="XEJ950" s="4"/>
      <c r="XEK950" s="4"/>
      <c r="XEL950" s="4"/>
      <c r="XEM950" s="4"/>
      <c r="XEN950" s="4"/>
      <c r="XEO950" s="4"/>
      <c r="XEP950" s="4"/>
    </row>
    <row r="951" s="2" customFormat="1" ht="26.1" customHeight="1" spans="2:16370">
      <c r="B951" s="7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105"/>
      <c r="O951" s="68"/>
      <c r="P951" s="115"/>
      <c r="Q951" s="7"/>
      <c r="XEJ951" s="4"/>
      <c r="XEK951" s="4"/>
      <c r="XEL951" s="4"/>
      <c r="XEM951" s="4"/>
      <c r="XEN951" s="4"/>
      <c r="XEO951" s="4"/>
      <c r="XEP951" s="4"/>
    </row>
    <row r="952" s="2" customFormat="1" ht="26.1" customHeight="1" spans="2:16370">
      <c r="B952" s="7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105"/>
      <c r="O952" s="68"/>
      <c r="P952" s="115"/>
      <c r="Q952" s="7"/>
      <c r="XEJ952" s="4"/>
      <c r="XEK952" s="4"/>
      <c r="XEL952" s="4"/>
      <c r="XEM952" s="4"/>
      <c r="XEN952" s="4"/>
      <c r="XEO952" s="4"/>
      <c r="XEP952" s="4"/>
    </row>
    <row r="953" s="2" customFormat="1" ht="26.1" customHeight="1" spans="2:16370">
      <c r="B953" s="7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105"/>
      <c r="O953" s="68"/>
      <c r="P953" s="115"/>
      <c r="Q953" s="7"/>
      <c r="XEJ953" s="4"/>
      <c r="XEK953" s="4"/>
      <c r="XEL953" s="4"/>
      <c r="XEM953" s="4"/>
      <c r="XEN953" s="4"/>
      <c r="XEO953" s="4"/>
      <c r="XEP953" s="4"/>
    </row>
    <row r="954" s="2" customFormat="1" ht="26.1" customHeight="1" spans="2:16370">
      <c r="B954" s="7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105"/>
      <c r="O954" s="68"/>
      <c r="P954" s="115"/>
      <c r="Q954" s="7"/>
      <c r="XEJ954" s="4"/>
      <c r="XEK954" s="4"/>
      <c r="XEL954" s="4"/>
      <c r="XEM954" s="4"/>
      <c r="XEN954" s="4"/>
      <c r="XEO954" s="4"/>
      <c r="XEP954" s="4"/>
    </row>
    <row r="955" s="2" customFormat="1" ht="26.1" customHeight="1" spans="2:16370">
      <c r="B955" s="7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105"/>
      <c r="O955" s="68"/>
      <c r="P955" s="115"/>
      <c r="Q955" s="7"/>
      <c r="XEJ955" s="4"/>
      <c r="XEK955" s="4"/>
      <c r="XEL955" s="4"/>
      <c r="XEM955" s="4"/>
      <c r="XEN955" s="4"/>
      <c r="XEO955" s="4"/>
      <c r="XEP955" s="4"/>
    </row>
    <row r="956" s="2" customFormat="1" ht="26.1" customHeight="1" spans="2:16370">
      <c r="B956" s="7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105"/>
      <c r="O956" s="68"/>
      <c r="P956" s="115"/>
      <c r="Q956" s="7"/>
      <c r="XEJ956" s="4"/>
      <c r="XEK956" s="4"/>
      <c r="XEL956" s="4"/>
      <c r="XEM956" s="4"/>
      <c r="XEN956" s="4"/>
      <c r="XEO956" s="4"/>
      <c r="XEP956" s="4"/>
    </row>
    <row r="957" s="2" customFormat="1" ht="26.1" customHeight="1" spans="2:16370">
      <c r="B957" s="7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105"/>
      <c r="O957" s="68"/>
      <c r="P957" s="115"/>
      <c r="Q957" s="7"/>
      <c r="XEJ957" s="4"/>
      <c r="XEK957" s="4"/>
      <c r="XEL957" s="4"/>
      <c r="XEM957" s="4"/>
      <c r="XEN957" s="4"/>
      <c r="XEO957" s="4"/>
      <c r="XEP957" s="4"/>
    </row>
    <row r="958" s="2" customFormat="1" ht="26.1" customHeight="1" spans="2:16370">
      <c r="B958" s="7"/>
      <c r="C958" s="68"/>
      <c r="D958" s="68"/>
      <c r="E958" s="68"/>
      <c r="F958" s="68"/>
      <c r="G958" s="68"/>
      <c r="H958" s="68"/>
      <c r="I958" s="68"/>
      <c r="J958" s="68"/>
      <c r="K958" s="68"/>
      <c r="L958" s="68"/>
      <c r="M958" s="68"/>
      <c r="N958" s="105"/>
      <c r="O958" s="68"/>
      <c r="P958" s="115"/>
      <c r="Q958" s="7"/>
      <c r="XEJ958" s="4"/>
      <c r="XEK958" s="4"/>
      <c r="XEL958" s="4"/>
      <c r="XEM958" s="4"/>
      <c r="XEN958" s="4"/>
      <c r="XEO958" s="4"/>
      <c r="XEP958" s="4"/>
    </row>
    <row r="959" s="2" customFormat="1" ht="26.1" customHeight="1" spans="2:16370">
      <c r="B959" s="7"/>
      <c r="C959" s="68"/>
      <c r="D959" s="68"/>
      <c r="E959" s="68"/>
      <c r="F959" s="68"/>
      <c r="G959" s="68"/>
      <c r="H959" s="68"/>
      <c r="I959" s="68"/>
      <c r="J959" s="68"/>
      <c r="K959" s="68"/>
      <c r="L959" s="68"/>
      <c r="M959" s="68"/>
      <c r="N959" s="105"/>
      <c r="O959" s="68"/>
      <c r="P959" s="115"/>
      <c r="Q959" s="7"/>
      <c r="XEJ959" s="4"/>
      <c r="XEK959" s="4"/>
      <c r="XEL959" s="4"/>
      <c r="XEM959" s="4"/>
      <c r="XEN959" s="4"/>
      <c r="XEO959" s="4"/>
      <c r="XEP959" s="4"/>
    </row>
    <row r="960" s="2" customFormat="1" ht="26.1" customHeight="1" spans="2:16370">
      <c r="B960" s="7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105"/>
      <c r="O960" s="68"/>
      <c r="P960" s="115"/>
      <c r="Q960" s="7"/>
      <c r="XEJ960" s="4"/>
      <c r="XEK960" s="4"/>
      <c r="XEL960" s="4"/>
      <c r="XEM960" s="4"/>
      <c r="XEN960" s="4"/>
      <c r="XEO960" s="4"/>
      <c r="XEP960" s="4"/>
    </row>
    <row r="961" s="2" customFormat="1" ht="26.1" customHeight="1" spans="2:16370">
      <c r="B961" s="7"/>
      <c r="C961" s="68"/>
      <c r="D961" s="68"/>
      <c r="E961" s="68"/>
      <c r="F961" s="68"/>
      <c r="G961" s="68"/>
      <c r="H961" s="68"/>
      <c r="I961" s="68"/>
      <c r="J961" s="68"/>
      <c r="K961" s="68"/>
      <c r="L961" s="68"/>
      <c r="M961" s="68"/>
      <c r="N961" s="105"/>
      <c r="O961" s="68"/>
      <c r="P961" s="115"/>
      <c r="Q961" s="7"/>
      <c r="XEJ961" s="4"/>
      <c r="XEK961" s="4"/>
      <c r="XEL961" s="4"/>
      <c r="XEM961" s="4"/>
      <c r="XEN961" s="4"/>
      <c r="XEO961" s="4"/>
      <c r="XEP961" s="4"/>
    </row>
    <row r="962" s="2" customFormat="1" ht="26.1" customHeight="1" spans="2:16370">
      <c r="B962" s="7"/>
      <c r="C962" s="68"/>
      <c r="D962" s="68"/>
      <c r="E962" s="68"/>
      <c r="F962" s="68"/>
      <c r="G962" s="68"/>
      <c r="H962" s="68"/>
      <c r="I962" s="68"/>
      <c r="J962" s="68"/>
      <c r="K962" s="68"/>
      <c r="L962" s="68"/>
      <c r="M962" s="68"/>
      <c r="N962" s="105"/>
      <c r="O962" s="68"/>
      <c r="P962" s="115"/>
      <c r="Q962" s="7"/>
      <c r="XEJ962" s="4"/>
      <c r="XEK962" s="4"/>
      <c r="XEL962" s="4"/>
      <c r="XEM962" s="4"/>
      <c r="XEN962" s="4"/>
      <c r="XEO962" s="4"/>
      <c r="XEP962" s="4"/>
    </row>
    <row r="963" s="2" customFormat="1" ht="26.1" customHeight="1" spans="2:16370">
      <c r="B963" s="7"/>
      <c r="C963" s="68"/>
      <c r="D963" s="68"/>
      <c r="E963" s="68"/>
      <c r="F963" s="68"/>
      <c r="G963" s="68"/>
      <c r="H963" s="68"/>
      <c r="I963" s="68"/>
      <c r="J963" s="68"/>
      <c r="K963" s="68"/>
      <c r="L963" s="68"/>
      <c r="M963" s="68"/>
      <c r="N963" s="105"/>
      <c r="O963" s="68"/>
      <c r="P963" s="115"/>
      <c r="Q963" s="7"/>
      <c r="XEJ963" s="4"/>
      <c r="XEK963" s="4"/>
      <c r="XEL963" s="4"/>
      <c r="XEM963" s="4"/>
      <c r="XEN963" s="4"/>
      <c r="XEO963" s="4"/>
      <c r="XEP963" s="4"/>
    </row>
    <row r="964" s="2" customFormat="1" ht="26.1" customHeight="1" spans="2:16370">
      <c r="B964" s="7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105"/>
      <c r="O964" s="68"/>
      <c r="P964" s="115"/>
      <c r="Q964" s="7"/>
      <c r="XEJ964" s="4"/>
      <c r="XEK964" s="4"/>
      <c r="XEL964" s="4"/>
      <c r="XEM964" s="4"/>
      <c r="XEN964" s="4"/>
      <c r="XEO964" s="4"/>
      <c r="XEP964" s="4"/>
    </row>
    <row r="965" s="2" customFormat="1" ht="26.1" customHeight="1" spans="2:16370">
      <c r="B965" s="7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105"/>
      <c r="O965" s="68"/>
      <c r="P965" s="115"/>
      <c r="Q965" s="7"/>
      <c r="XEJ965" s="4"/>
      <c r="XEK965" s="4"/>
      <c r="XEL965" s="4"/>
      <c r="XEM965" s="4"/>
      <c r="XEN965" s="4"/>
      <c r="XEO965" s="4"/>
      <c r="XEP965" s="4"/>
    </row>
    <row r="966" s="2" customFormat="1" ht="26.1" customHeight="1" spans="2:16370">
      <c r="B966" s="7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105"/>
      <c r="O966" s="68"/>
      <c r="P966" s="115"/>
      <c r="Q966" s="7"/>
      <c r="XEJ966" s="4"/>
      <c r="XEK966" s="4"/>
      <c r="XEL966" s="4"/>
      <c r="XEM966" s="4"/>
      <c r="XEN966" s="4"/>
      <c r="XEO966" s="4"/>
      <c r="XEP966" s="4"/>
    </row>
    <row r="967" s="2" customFormat="1" ht="26.1" customHeight="1" spans="2:16370">
      <c r="B967" s="7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105"/>
      <c r="O967" s="68"/>
      <c r="P967" s="115"/>
      <c r="Q967" s="7"/>
      <c r="XEJ967" s="4"/>
      <c r="XEK967" s="4"/>
      <c r="XEL967" s="4"/>
      <c r="XEM967" s="4"/>
      <c r="XEN967" s="4"/>
      <c r="XEO967" s="4"/>
      <c r="XEP967" s="4"/>
    </row>
    <row r="968" s="2" customFormat="1" ht="26.1" customHeight="1" spans="2:16370">
      <c r="B968" s="7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105"/>
      <c r="O968" s="68"/>
      <c r="P968" s="115"/>
      <c r="Q968" s="7"/>
      <c r="XEJ968" s="4"/>
      <c r="XEK968" s="4"/>
      <c r="XEL968" s="4"/>
      <c r="XEM968" s="4"/>
      <c r="XEN968" s="4"/>
      <c r="XEO968" s="4"/>
      <c r="XEP968" s="4"/>
    </row>
    <row r="969" s="2" customFormat="1" ht="26.1" customHeight="1" spans="2:16370">
      <c r="B969" s="7"/>
      <c r="C969" s="68"/>
      <c r="D969" s="68"/>
      <c r="E969" s="68"/>
      <c r="F969" s="68"/>
      <c r="G969" s="68"/>
      <c r="H969" s="68"/>
      <c r="I969" s="68"/>
      <c r="J969" s="68"/>
      <c r="K969" s="68"/>
      <c r="L969" s="68"/>
      <c r="M969" s="68"/>
      <c r="N969" s="105"/>
      <c r="O969" s="68"/>
      <c r="P969" s="115"/>
      <c r="Q969" s="7"/>
      <c r="XEJ969" s="4"/>
      <c r="XEK969" s="4"/>
      <c r="XEL969" s="4"/>
      <c r="XEM969" s="4"/>
      <c r="XEN969" s="4"/>
      <c r="XEO969" s="4"/>
      <c r="XEP969" s="4"/>
    </row>
    <row r="970" s="2" customFormat="1" ht="26.1" customHeight="1" spans="2:16370">
      <c r="B970" s="7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105"/>
      <c r="O970" s="68"/>
      <c r="P970" s="115"/>
      <c r="Q970" s="7"/>
      <c r="XEJ970" s="4"/>
      <c r="XEK970" s="4"/>
      <c r="XEL970" s="4"/>
      <c r="XEM970" s="4"/>
      <c r="XEN970" s="4"/>
      <c r="XEO970" s="4"/>
      <c r="XEP970" s="4"/>
    </row>
    <row r="971" s="2" customFormat="1" ht="26.1" customHeight="1" spans="2:16370">
      <c r="B971" s="7"/>
      <c r="C971" s="68"/>
      <c r="D971" s="68"/>
      <c r="E971" s="68"/>
      <c r="F971" s="68"/>
      <c r="G971" s="68"/>
      <c r="H971" s="68"/>
      <c r="I971" s="68"/>
      <c r="J971" s="68"/>
      <c r="K971" s="68"/>
      <c r="L971" s="68"/>
      <c r="M971" s="68"/>
      <c r="N971" s="105"/>
      <c r="O971" s="68"/>
      <c r="P971" s="115"/>
      <c r="Q971" s="7"/>
      <c r="XEJ971" s="4"/>
      <c r="XEK971" s="4"/>
      <c r="XEL971" s="4"/>
      <c r="XEM971" s="4"/>
      <c r="XEN971" s="4"/>
      <c r="XEO971" s="4"/>
      <c r="XEP971" s="4"/>
    </row>
    <row r="972" s="2" customFormat="1" ht="26.1" customHeight="1" spans="2:16370">
      <c r="B972" s="7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105"/>
      <c r="O972" s="68"/>
      <c r="P972" s="115"/>
      <c r="Q972" s="7"/>
      <c r="XEJ972" s="4"/>
      <c r="XEK972" s="4"/>
      <c r="XEL972" s="4"/>
      <c r="XEM972" s="4"/>
      <c r="XEN972" s="4"/>
      <c r="XEO972" s="4"/>
      <c r="XEP972" s="4"/>
    </row>
    <row r="973" s="2" customFormat="1" ht="26.1" customHeight="1" spans="2:16370">
      <c r="B973" s="7"/>
      <c r="C973" s="68"/>
      <c r="D973" s="68"/>
      <c r="E973" s="68"/>
      <c r="F973" s="68"/>
      <c r="G973" s="68"/>
      <c r="H973" s="68"/>
      <c r="I973" s="68"/>
      <c r="J973" s="68"/>
      <c r="K973" s="68"/>
      <c r="L973" s="68"/>
      <c r="M973" s="68"/>
      <c r="N973" s="105"/>
      <c r="O973" s="68"/>
      <c r="P973" s="115"/>
      <c r="Q973" s="7"/>
      <c r="XEJ973" s="4"/>
      <c r="XEK973" s="4"/>
      <c r="XEL973" s="4"/>
      <c r="XEM973" s="4"/>
      <c r="XEN973" s="4"/>
      <c r="XEO973" s="4"/>
      <c r="XEP973" s="4"/>
    </row>
    <row r="974" s="2" customFormat="1" ht="26.1" customHeight="1" spans="2:16370">
      <c r="B974" s="7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105"/>
      <c r="O974" s="68"/>
      <c r="P974" s="115"/>
      <c r="Q974" s="7"/>
      <c r="XEJ974" s="4"/>
      <c r="XEK974" s="4"/>
      <c r="XEL974" s="4"/>
      <c r="XEM974" s="4"/>
      <c r="XEN974" s="4"/>
      <c r="XEO974" s="4"/>
      <c r="XEP974" s="4"/>
    </row>
    <row r="975" s="2" customFormat="1" ht="26.1" customHeight="1" spans="2:16370">
      <c r="B975" s="7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105"/>
      <c r="O975" s="68"/>
      <c r="P975" s="115"/>
      <c r="Q975" s="7"/>
      <c r="XEJ975" s="4"/>
      <c r="XEK975" s="4"/>
      <c r="XEL975" s="4"/>
      <c r="XEM975" s="4"/>
      <c r="XEN975" s="4"/>
      <c r="XEO975" s="4"/>
      <c r="XEP975" s="4"/>
    </row>
    <row r="976" s="2" customFormat="1" ht="26.1" customHeight="1" spans="2:16370">
      <c r="B976" s="7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105"/>
      <c r="O976" s="68"/>
      <c r="P976" s="115"/>
      <c r="Q976" s="7"/>
      <c r="XEJ976" s="4"/>
      <c r="XEK976" s="4"/>
      <c r="XEL976" s="4"/>
      <c r="XEM976" s="4"/>
      <c r="XEN976" s="4"/>
      <c r="XEO976" s="4"/>
      <c r="XEP976" s="4"/>
    </row>
    <row r="977" s="2" customFormat="1" ht="26.1" customHeight="1" spans="2:16370">
      <c r="B977" s="7"/>
      <c r="C977" s="68"/>
      <c r="D977" s="68"/>
      <c r="E977" s="68"/>
      <c r="F977" s="68"/>
      <c r="G977" s="68"/>
      <c r="H977" s="68"/>
      <c r="I977" s="68"/>
      <c r="J977" s="68"/>
      <c r="K977" s="68"/>
      <c r="L977" s="68"/>
      <c r="M977" s="68"/>
      <c r="N977" s="105"/>
      <c r="O977" s="68"/>
      <c r="P977" s="115"/>
      <c r="Q977" s="7"/>
      <c r="XEJ977" s="4"/>
      <c r="XEK977" s="4"/>
      <c r="XEL977" s="4"/>
      <c r="XEM977" s="4"/>
      <c r="XEN977" s="4"/>
      <c r="XEO977" s="4"/>
      <c r="XEP977" s="4"/>
    </row>
    <row r="978" s="2" customFormat="1" ht="26.1" customHeight="1" spans="2:16370">
      <c r="B978" s="7"/>
      <c r="C978" s="68"/>
      <c r="D978" s="68"/>
      <c r="E978" s="68"/>
      <c r="F978" s="68"/>
      <c r="G978" s="68"/>
      <c r="H978" s="68"/>
      <c r="I978" s="68"/>
      <c r="J978" s="68"/>
      <c r="K978" s="68"/>
      <c r="L978" s="68"/>
      <c r="M978" s="68"/>
      <c r="N978" s="105"/>
      <c r="O978" s="68"/>
      <c r="P978" s="115"/>
      <c r="Q978" s="7"/>
      <c r="XEJ978" s="4"/>
      <c r="XEK978" s="4"/>
      <c r="XEL978" s="4"/>
      <c r="XEM978" s="4"/>
      <c r="XEN978" s="4"/>
      <c r="XEO978" s="4"/>
      <c r="XEP978" s="4"/>
    </row>
    <row r="979" s="2" customFormat="1" ht="26.1" customHeight="1" spans="2:16370">
      <c r="B979" s="7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105"/>
      <c r="O979" s="68"/>
      <c r="P979" s="115"/>
      <c r="Q979" s="7"/>
      <c r="XEJ979" s="4"/>
      <c r="XEK979" s="4"/>
      <c r="XEL979" s="4"/>
      <c r="XEM979" s="4"/>
      <c r="XEN979" s="4"/>
      <c r="XEO979" s="4"/>
      <c r="XEP979" s="4"/>
    </row>
    <row r="980" s="2" customFormat="1" ht="26.1" customHeight="1" spans="2:16370">
      <c r="B980" s="7"/>
      <c r="C980" s="68"/>
      <c r="D980" s="68"/>
      <c r="E980" s="68"/>
      <c r="F980" s="68"/>
      <c r="G980" s="68"/>
      <c r="H980" s="68"/>
      <c r="I980" s="68"/>
      <c r="J980" s="68"/>
      <c r="K980" s="68"/>
      <c r="L980" s="68"/>
      <c r="M980" s="68"/>
      <c r="N980" s="105"/>
      <c r="O980" s="68"/>
      <c r="P980" s="115"/>
      <c r="Q980" s="7"/>
      <c r="XEJ980" s="4"/>
      <c r="XEK980" s="4"/>
      <c r="XEL980" s="4"/>
      <c r="XEM980" s="4"/>
      <c r="XEN980" s="4"/>
      <c r="XEO980" s="4"/>
      <c r="XEP980" s="4"/>
    </row>
    <row r="981" s="2" customFormat="1" ht="26.1" customHeight="1" spans="2:16370">
      <c r="B981" s="7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105"/>
      <c r="O981" s="68"/>
      <c r="P981" s="115"/>
      <c r="Q981" s="7"/>
      <c r="XEJ981" s="4"/>
      <c r="XEK981" s="4"/>
      <c r="XEL981" s="4"/>
      <c r="XEM981" s="4"/>
      <c r="XEN981" s="4"/>
      <c r="XEO981" s="4"/>
      <c r="XEP981" s="4"/>
    </row>
    <row r="982" s="2" customFormat="1" ht="26.1" customHeight="1" spans="2:16370">
      <c r="B982" s="7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105"/>
      <c r="O982" s="68"/>
      <c r="P982" s="115"/>
      <c r="Q982" s="7"/>
      <c r="XEJ982" s="4"/>
      <c r="XEK982" s="4"/>
      <c r="XEL982" s="4"/>
      <c r="XEM982" s="4"/>
      <c r="XEN982" s="4"/>
      <c r="XEO982" s="4"/>
      <c r="XEP982" s="4"/>
    </row>
    <row r="983" s="2" customFormat="1" ht="26.1" customHeight="1" spans="2:16370">
      <c r="B983" s="7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105"/>
      <c r="O983" s="68"/>
      <c r="P983" s="115"/>
      <c r="Q983" s="7"/>
      <c r="XEJ983" s="4"/>
      <c r="XEK983" s="4"/>
      <c r="XEL983" s="4"/>
      <c r="XEM983" s="4"/>
      <c r="XEN983" s="4"/>
      <c r="XEO983" s="4"/>
      <c r="XEP983" s="4"/>
    </row>
    <row r="984" s="2" customFormat="1" ht="26.1" customHeight="1" spans="2:16370">
      <c r="B984" s="7"/>
      <c r="C984" s="68"/>
      <c r="D984" s="68"/>
      <c r="E984" s="68"/>
      <c r="F984" s="68"/>
      <c r="G984" s="68"/>
      <c r="H984" s="68"/>
      <c r="I984" s="68"/>
      <c r="J984" s="68"/>
      <c r="K984" s="68"/>
      <c r="L984" s="68"/>
      <c r="M984" s="68"/>
      <c r="N984" s="105"/>
      <c r="O984" s="68"/>
      <c r="P984" s="115"/>
      <c r="Q984" s="7"/>
      <c r="XEJ984" s="4"/>
      <c r="XEK984" s="4"/>
      <c r="XEL984" s="4"/>
      <c r="XEM984" s="4"/>
      <c r="XEN984" s="4"/>
      <c r="XEO984" s="4"/>
      <c r="XEP984" s="4"/>
    </row>
    <row r="985" s="2" customFormat="1" ht="26.1" customHeight="1" spans="2:16370">
      <c r="B985" s="7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105"/>
      <c r="O985" s="68"/>
      <c r="P985" s="115"/>
      <c r="Q985" s="7"/>
      <c r="XEJ985" s="4"/>
      <c r="XEK985" s="4"/>
      <c r="XEL985" s="4"/>
      <c r="XEM985" s="4"/>
      <c r="XEN985" s="4"/>
      <c r="XEO985" s="4"/>
      <c r="XEP985" s="4"/>
    </row>
    <row r="986" s="2" customFormat="1" ht="26.1" customHeight="1" spans="2:16370">
      <c r="B986" s="7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105"/>
      <c r="O986" s="68"/>
      <c r="P986" s="115"/>
      <c r="Q986" s="7"/>
      <c r="XEJ986" s="4"/>
      <c r="XEK986" s="4"/>
      <c r="XEL986" s="4"/>
      <c r="XEM986" s="4"/>
      <c r="XEN986" s="4"/>
      <c r="XEO986" s="4"/>
      <c r="XEP986" s="4"/>
    </row>
    <row r="987" s="2" customFormat="1" ht="26.1" customHeight="1" spans="2:16370">
      <c r="B987" s="7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105"/>
      <c r="O987" s="68"/>
      <c r="P987" s="115"/>
      <c r="Q987" s="7"/>
      <c r="XEJ987" s="4"/>
      <c r="XEK987" s="4"/>
      <c r="XEL987" s="4"/>
      <c r="XEM987" s="4"/>
      <c r="XEN987" s="4"/>
      <c r="XEO987" s="4"/>
      <c r="XEP987" s="4"/>
    </row>
    <row r="988" s="2" customFormat="1" ht="26.1" customHeight="1" spans="2:16370">
      <c r="B988" s="7"/>
      <c r="C988" s="68"/>
      <c r="D988" s="68"/>
      <c r="E988" s="68"/>
      <c r="F988" s="68"/>
      <c r="G988" s="68"/>
      <c r="H988" s="68"/>
      <c r="I988" s="68"/>
      <c r="J988" s="68"/>
      <c r="K988" s="68"/>
      <c r="L988" s="68"/>
      <c r="M988" s="68"/>
      <c r="N988" s="105"/>
      <c r="O988" s="68"/>
      <c r="P988" s="115"/>
      <c r="Q988" s="7"/>
      <c r="XEJ988" s="4"/>
      <c r="XEK988" s="4"/>
      <c r="XEL988" s="4"/>
      <c r="XEM988" s="4"/>
      <c r="XEN988" s="4"/>
      <c r="XEO988" s="4"/>
      <c r="XEP988" s="4"/>
    </row>
    <row r="989" s="2" customFormat="1" ht="26.1" customHeight="1" spans="2:16370">
      <c r="B989" s="7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105"/>
      <c r="O989" s="68"/>
      <c r="P989" s="115"/>
      <c r="Q989" s="7"/>
      <c r="XEJ989" s="4"/>
      <c r="XEK989" s="4"/>
      <c r="XEL989" s="4"/>
      <c r="XEM989" s="4"/>
      <c r="XEN989" s="4"/>
      <c r="XEO989" s="4"/>
      <c r="XEP989" s="4"/>
    </row>
    <row r="990" s="2" customFormat="1" ht="26.1" customHeight="1" spans="2:16370">
      <c r="B990" s="7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105"/>
      <c r="O990" s="68"/>
      <c r="P990" s="115"/>
      <c r="Q990" s="7"/>
      <c r="XEJ990" s="4"/>
      <c r="XEK990" s="4"/>
      <c r="XEL990" s="4"/>
      <c r="XEM990" s="4"/>
      <c r="XEN990" s="4"/>
      <c r="XEO990" s="4"/>
      <c r="XEP990" s="4"/>
    </row>
    <row r="991" s="2" customFormat="1" ht="26.1" customHeight="1" spans="2:16370">
      <c r="B991" s="7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105"/>
      <c r="O991" s="68"/>
      <c r="P991" s="115"/>
      <c r="Q991" s="7"/>
      <c r="XEJ991" s="4"/>
      <c r="XEK991" s="4"/>
      <c r="XEL991" s="4"/>
      <c r="XEM991" s="4"/>
      <c r="XEN991" s="4"/>
      <c r="XEO991" s="4"/>
      <c r="XEP991" s="4"/>
    </row>
    <row r="992" s="2" customFormat="1" ht="26.1" customHeight="1" spans="2:16370">
      <c r="B992" s="7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105"/>
      <c r="O992" s="68"/>
      <c r="P992" s="115"/>
      <c r="Q992" s="7"/>
      <c r="XEJ992" s="4"/>
      <c r="XEK992" s="4"/>
      <c r="XEL992" s="4"/>
      <c r="XEM992" s="4"/>
      <c r="XEN992" s="4"/>
      <c r="XEO992" s="4"/>
      <c r="XEP992" s="4"/>
    </row>
    <row r="993" s="2" customFormat="1" ht="26.1" customHeight="1" spans="2:16370">
      <c r="B993" s="7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105"/>
      <c r="O993" s="68"/>
      <c r="P993" s="115"/>
      <c r="Q993" s="7"/>
      <c r="XEJ993" s="4"/>
      <c r="XEK993" s="4"/>
      <c r="XEL993" s="4"/>
      <c r="XEM993" s="4"/>
      <c r="XEN993" s="4"/>
      <c r="XEO993" s="4"/>
      <c r="XEP993" s="4"/>
    </row>
    <row r="994" s="2" customFormat="1" ht="26.1" customHeight="1" spans="2:16370">
      <c r="B994" s="7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105"/>
      <c r="O994" s="68"/>
      <c r="P994" s="115"/>
      <c r="Q994" s="7"/>
      <c r="XEJ994" s="4"/>
      <c r="XEK994" s="4"/>
      <c r="XEL994" s="4"/>
      <c r="XEM994" s="4"/>
      <c r="XEN994" s="4"/>
      <c r="XEO994" s="4"/>
      <c r="XEP994" s="4"/>
    </row>
    <row r="995" s="2" customFormat="1" ht="26.1" customHeight="1" spans="2:16370">
      <c r="B995" s="7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105"/>
      <c r="O995" s="68"/>
      <c r="P995" s="115"/>
      <c r="Q995" s="7"/>
      <c r="XEJ995" s="4"/>
      <c r="XEK995" s="4"/>
      <c r="XEL995" s="4"/>
      <c r="XEM995" s="4"/>
      <c r="XEN995" s="4"/>
      <c r="XEO995" s="4"/>
      <c r="XEP995" s="4"/>
    </row>
    <row r="996" s="2" customFormat="1" ht="26.1" customHeight="1" spans="2:16370">
      <c r="B996" s="7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105"/>
      <c r="O996" s="68"/>
      <c r="P996" s="115"/>
      <c r="Q996" s="7"/>
      <c r="XEJ996" s="4"/>
      <c r="XEK996" s="4"/>
      <c r="XEL996" s="4"/>
      <c r="XEM996" s="4"/>
      <c r="XEN996" s="4"/>
      <c r="XEO996" s="4"/>
      <c r="XEP996" s="4"/>
    </row>
    <row r="997" s="2" customFormat="1" ht="26.1" customHeight="1" spans="2:16370">
      <c r="B997" s="7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105"/>
      <c r="O997" s="68"/>
      <c r="P997" s="115"/>
      <c r="Q997" s="7"/>
      <c r="XEJ997" s="4"/>
      <c r="XEK997" s="4"/>
      <c r="XEL997" s="4"/>
      <c r="XEM997" s="4"/>
      <c r="XEN997" s="4"/>
      <c r="XEO997" s="4"/>
      <c r="XEP997" s="4"/>
    </row>
    <row r="998" s="2" customFormat="1" ht="26.1" customHeight="1" spans="2:16370">
      <c r="B998" s="7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105"/>
      <c r="O998" s="68"/>
      <c r="P998" s="115"/>
      <c r="Q998" s="7"/>
      <c r="XEJ998" s="4"/>
      <c r="XEK998" s="4"/>
      <c r="XEL998" s="4"/>
      <c r="XEM998" s="4"/>
      <c r="XEN998" s="4"/>
      <c r="XEO998" s="4"/>
      <c r="XEP998" s="4"/>
    </row>
    <row r="999" s="2" customFormat="1" ht="26.1" customHeight="1" spans="2:16370">
      <c r="B999" s="7"/>
      <c r="C999" s="68"/>
      <c r="D999" s="68"/>
      <c r="E999" s="68"/>
      <c r="F999" s="68"/>
      <c r="G999" s="68"/>
      <c r="H999" s="68"/>
      <c r="I999" s="68"/>
      <c r="J999" s="68"/>
      <c r="K999" s="68"/>
      <c r="L999" s="68"/>
      <c r="M999" s="68"/>
      <c r="N999" s="105"/>
      <c r="O999" s="68"/>
      <c r="P999" s="115"/>
      <c r="Q999" s="7"/>
      <c r="XEJ999" s="4"/>
      <c r="XEK999" s="4"/>
      <c r="XEL999" s="4"/>
      <c r="XEM999" s="4"/>
      <c r="XEN999" s="4"/>
      <c r="XEO999" s="4"/>
      <c r="XEP999" s="4"/>
    </row>
    <row r="1000" s="2" customFormat="1" ht="26.1" customHeight="1" spans="2:16370">
      <c r="B1000" s="7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105"/>
      <c r="O1000" s="68"/>
      <c r="P1000" s="115"/>
      <c r="Q1000" s="7"/>
      <c r="XEJ1000" s="4"/>
      <c r="XEK1000" s="4"/>
      <c r="XEL1000" s="4"/>
      <c r="XEM1000" s="4"/>
      <c r="XEN1000" s="4"/>
      <c r="XEO1000" s="4"/>
      <c r="XEP1000" s="4"/>
    </row>
    <row r="1001" spans="16:16">
      <c r="P1001" s="115"/>
    </row>
    <row r="1002" spans="16:16">
      <c r="P1002" s="115"/>
    </row>
    <row r="1003" spans="16:16">
      <c r="P1003" s="115"/>
    </row>
    <row r="1004" spans="16:16">
      <c r="P1004" s="115"/>
    </row>
    <row r="1005" spans="16:16">
      <c r="P1005" s="115"/>
    </row>
    <row r="1006" spans="16:16">
      <c r="P1006" s="115"/>
    </row>
    <row r="1007" spans="16:16">
      <c r="P1007" s="115"/>
    </row>
    <row r="1008" spans="16:16">
      <c r="P1008" s="115"/>
    </row>
    <row r="1009" spans="16:16">
      <c r="P1009" s="115"/>
    </row>
    <row r="1010" spans="16:16">
      <c r="P1010" s="115"/>
    </row>
    <row r="1011" spans="16:16">
      <c r="P1011" s="115"/>
    </row>
    <row r="1012" spans="16:16">
      <c r="P1012" s="115"/>
    </row>
    <row r="1013" spans="16:16">
      <c r="P1013" s="115"/>
    </row>
    <row r="1014" spans="16:16">
      <c r="P1014" s="115"/>
    </row>
    <row r="1015" spans="16:16">
      <c r="P1015" s="115"/>
    </row>
    <row r="1016" spans="16:16">
      <c r="P1016" s="115"/>
    </row>
    <row r="1017" spans="16:16">
      <c r="P1017" s="115"/>
    </row>
    <row r="1018" spans="16:16">
      <c r="P1018" s="115"/>
    </row>
    <row r="1019" spans="16:16">
      <c r="P1019" s="115"/>
    </row>
    <row r="1020" spans="16:16">
      <c r="P1020" s="115"/>
    </row>
    <row r="1021" spans="16:16">
      <c r="P1021" s="115"/>
    </row>
    <row r="1022" spans="16:16">
      <c r="P1022" s="115"/>
    </row>
    <row r="1023" spans="16:16">
      <c r="P1023" s="115"/>
    </row>
    <row r="1024" spans="16:16">
      <c r="P1024" s="115"/>
    </row>
    <row r="1025" spans="16:16">
      <c r="P1025" s="115"/>
    </row>
    <row r="1026" spans="16:16">
      <c r="P1026" s="115"/>
    </row>
    <row r="1027" spans="16:16">
      <c r="P1027" s="115"/>
    </row>
    <row r="1028" spans="16:16">
      <c r="P1028" s="115"/>
    </row>
    <row r="1029" spans="16:16">
      <c r="P1029" s="115"/>
    </row>
    <row r="1030" spans="16:16">
      <c r="P1030" s="115"/>
    </row>
    <row r="1031" spans="16:16">
      <c r="P1031" s="115"/>
    </row>
    <row r="1032" spans="16:16">
      <c r="P1032" s="115"/>
    </row>
    <row r="1033" spans="16:16">
      <c r="P1033" s="115"/>
    </row>
    <row r="1034" spans="16:16">
      <c r="P1034" s="115"/>
    </row>
    <row r="1035" spans="16:16">
      <c r="P1035" s="115"/>
    </row>
    <row r="1036" spans="16:16">
      <c r="P1036" s="115"/>
    </row>
    <row r="1037" spans="16:16">
      <c r="P1037" s="115"/>
    </row>
    <row r="1038" spans="16:16">
      <c r="P1038" s="115"/>
    </row>
    <row r="1039" spans="16:16">
      <c r="P1039" s="115"/>
    </row>
    <row r="1040" spans="16:16">
      <c r="P1040" s="115"/>
    </row>
    <row r="1041" spans="16:16">
      <c r="P1041" s="115"/>
    </row>
    <row r="1042" spans="16:16">
      <c r="P1042" s="115"/>
    </row>
    <row r="1043" spans="16:16">
      <c r="P1043" s="115"/>
    </row>
    <row r="1044" spans="16:16">
      <c r="P1044" s="115"/>
    </row>
    <row r="1045" spans="16:16">
      <c r="P1045" s="115"/>
    </row>
    <row r="1046" spans="16:16">
      <c r="P1046" s="115"/>
    </row>
    <row r="1047" spans="16:16">
      <c r="P1047" s="115"/>
    </row>
    <row r="1048" spans="16:16">
      <c r="P1048" s="115"/>
    </row>
    <row r="1049" spans="16:16">
      <c r="P1049" s="115"/>
    </row>
    <row r="1050" spans="16:16">
      <c r="P1050" s="115"/>
    </row>
    <row r="1051" spans="16:16">
      <c r="P1051" s="115"/>
    </row>
    <row r="1052" spans="16:16">
      <c r="P1052" s="115"/>
    </row>
    <row r="1053" spans="16:16">
      <c r="P1053" s="115"/>
    </row>
    <row r="1054" spans="16:16">
      <c r="P1054" s="115"/>
    </row>
    <row r="1055" spans="16:16">
      <c r="P1055" s="115"/>
    </row>
    <row r="1056" spans="16:16">
      <c r="P1056" s="115"/>
    </row>
    <row r="1057" spans="16:16">
      <c r="P1057" s="115"/>
    </row>
    <row r="1058" spans="16:16">
      <c r="P1058" s="115"/>
    </row>
    <row r="1059" spans="16:16">
      <c r="P1059" s="115"/>
    </row>
    <row r="1060" spans="16:16">
      <c r="P1060" s="115"/>
    </row>
    <row r="1061" spans="16:16">
      <c r="P1061" s="115"/>
    </row>
    <row r="1062" spans="16:16">
      <c r="P1062" s="115"/>
    </row>
    <row r="1063" spans="16:16">
      <c r="P1063" s="115"/>
    </row>
    <row r="1064" spans="16:16">
      <c r="P1064" s="115"/>
    </row>
    <row r="1065" spans="16:16">
      <c r="P1065" s="115"/>
    </row>
    <row r="1066" spans="16:16">
      <c r="P1066" s="115"/>
    </row>
    <row r="1067" spans="16:16">
      <c r="P1067" s="115"/>
    </row>
    <row r="1068" spans="16:16">
      <c r="P1068" s="115"/>
    </row>
    <row r="1069" spans="16:16">
      <c r="P1069" s="115"/>
    </row>
    <row r="1070" spans="16:16">
      <c r="P1070" s="115"/>
    </row>
    <row r="1071" spans="16:16">
      <c r="P1071" s="115"/>
    </row>
    <row r="1072" spans="16:16">
      <c r="P1072" s="115"/>
    </row>
    <row r="1073" spans="16:16">
      <c r="P1073" s="115"/>
    </row>
    <row r="1074" spans="16:16">
      <c r="P1074" s="115"/>
    </row>
    <row r="1075" spans="16:16">
      <c r="P1075" s="115"/>
    </row>
    <row r="1076" spans="16:16">
      <c r="P1076" s="115"/>
    </row>
    <row r="1077" spans="16:16">
      <c r="P1077" s="115"/>
    </row>
    <row r="1078" spans="16:16">
      <c r="P1078" s="115"/>
    </row>
    <row r="1079" spans="16:16">
      <c r="P1079" s="115"/>
    </row>
    <row r="1080" spans="16:16">
      <c r="P1080" s="115"/>
    </row>
    <row r="1081" spans="16:16">
      <c r="P1081" s="115"/>
    </row>
    <row r="1082" spans="16:16">
      <c r="P1082" s="115"/>
    </row>
    <row r="1083" spans="16:16">
      <c r="P1083" s="115"/>
    </row>
    <row r="1084" spans="16:16">
      <c r="P1084" s="115"/>
    </row>
    <row r="1085" spans="16:16">
      <c r="P1085" s="115"/>
    </row>
    <row r="1086" spans="16:16">
      <c r="P1086" s="115"/>
    </row>
    <row r="1087" spans="16:16">
      <c r="P1087" s="115"/>
    </row>
    <row r="1088" spans="16:16">
      <c r="P1088" s="115"/>
    </row>
    <row r="1089" spans="16:16">
      <c r="P1089" s="115"/>
    </row>
    <row r="1090" spans="16:16">
      <c r="P1090" s="115"/>
    </row>
    <row r="1091" spans="16:16">
      <c r="P1091" s="115"/>
    </row>
    <row r="1092" spans="16:16">
      <c r="P1092" s="115"/>
    </row>
    <row r="1093" spans="16:16">
      <c r="P1093" s="115"/>
    </row>
    <row r="1094" spans="16:16">
      <c r="P1094" s="115"/>
    </row>
    <row r="1095" spans="16:16">
      <c r="P1095" s="115"/>
    </row>
    <row r="1096" spans="16:16">
      <c r="P1096" s="115"/>
    </row>
    <row r="1097" spans="16:16">
      <c r="P1097" s="115"/>
    </row>
    <row r="1098" spans="16:16">
      <c r="P1098" s="115"/>
    </row>
    <row r="1099" spans="16:16">
      <c r="P1099" s="115"/>
    </row>
    <row r="1100" spans="16:16">
      <c r="P1100" s="115"/>
    </row>
    <row r="1101" spans="16:16">
      <c r="P1101" s="115"/>
    </row>
    <row r="1102" spans="16:16">
      <c r="P1102" s="115"/>
    </row>
    <row r="1103" spans="16:16">
      <c r="P1103" s="115"/>
    </row>
    <row r="1104" spans="16:16">
      <c r="P1104" s="115"/>
    </row>
    <row r="1105" spans="16:16">
      <c r="P1105" s="115"/>
    </row>
    <row r="1106" spans="16:16">
      <c r="P1106" s="115"/>
    </row>
    <row r="1107" spans="16:16">
      <c r="P1107" s="115"/>
    </row>
    <row r="1108" spans="16:16">
      <c r="P1108" s="115"/>
    </row>
    <row r="1109" spans="16:16">
      <c r="P1109" s="115"/>
    </row>
    <row r="1110" spans="16:16">
      <c r="P1110" s="115"/>
    </row>
    <row r="1111" spans="16:16">
      <c r="P1111" s="115"/>
    </row>
    <row r="1112" spans="16:16">
      <c r="P1112" s="115"/>
    </row>
    <row r="1113" spans="16:16">
      <c r="P1113" s="115"/>
    </row>
    <row r="1114" spans="16:16">
      <c r="P1114" s="115"/>
    </row>
    <row r="1115" spans="16:16">
      <c r="P1115" s="115"/>
    </row>
    <row r="1116" spans="16:16">
      <c r="P1116" s="115"/>
    </row>
    <row r="1117" spans="16:16">
      <c r="P1117" s="115"/>
    </row>
    <row r="1118" spans="16:16">
      <c r="P1118" s="115"/>
    </row>
    <row r="1119" spans="16:16">
      <c r="P1119" s="115"/>
    </row>
    <row r="1120" spans="16:16">
      <c r="P1120" s="115"/>
    </row>
    <row r="1121" spans="16:16">
      <c r="P1121" s="115"/>
    </row>
    <row r="1122" spans="16:16">
      <c r="P1122" s="115"/>
    </row>
    <row r="1123" spans="16:16">
      <c r="P1123" s="115"/>
    </row>
    <row r="1124" spans="16:16">
      <c r="P1124" s="115"/>
    </row>
    <row r="1125" spans="16:16">
      <c r="P1125" s="115"/>
    </row>
    <row r="1126" spans="16:16">
      <c r="P1126" s="115"/>
    </row>
    <row r="1127" spans="16:16">
      <c r="P1127" s="115"/>
    </row>
    <row r="1128" spans="16:16">
      <c r="P1128" s="115"/>
    </row>
    <row r="1129" spans="16:16">
      <c r="P1129" s="115"/>
    </row>
    <row r="1130" spans="16:16">
      <c r="P1130" s="115"/>
    </row>
    <row r="1131" spans="16:16">
      <c r="P1131" s="115"/>
    </row>
    <row r="1132" spans="16:16">
      <c r="P1132" s="115"/>
    </row>
    <row r="1133" spans="16:16">
      <c r="P1133" s="115"/>
    </row>
    <row r="1134" spans="16:16">
      <c r="P1134" s="115"/>
    </row>
    <row r="1135" spans="16:16">
      <c r="P1135" s="115"/>
    </row>
    <row r="1136" spans="16:16">
      <c r="P1136" s="115"/>
    </row>
    <row r="1137" spans="16:16">
      <c r="P1137" s="115"/>
    </row>
    <row r="1138" spans="16:16">
      <c r="P1138" s="115"/>
    </row>
    <row r="1139" spans="16:16">
      <c r="P1139" s="115"/>
    </row>
    <row r="1140" spans="16:16">
      <c r="P1140" s="115"/>
    </row>
    <row r="1141" spans="16:16">
      <c r="P1141" s="115"/>
    </row>
    <row r="1142" spans="16:16">
      <c r="P1142" s="115"/>
    </row>
    <row r="1143" spans="16:16">
      <c r="P1143" s="115"/>
    </row>
    <row r="1144" spans="16:16">
      <c r="P1144" s="115"/>
    </row>
    <row r="1145" spans="16:16">
      <c r="P1145" s="115"/>
    </row>
    <row r="1146" spans="16:16">
      <c r="P1146" s="115"/>
    </row>
    <row r="1147" spans="16:16">
      <c r="P1147" s="115"/>
    </row>
    <row r="1148" spans="16:16">
      <c r="P1148" s="115"/>
    </row>
    <row r="1149" spans="16:16">
      <c r="P1149" s="115"/>
    </row>
    <row r="1150" spans="16:16">
      <c r="P1150" s="115"/>
    </row>
    <row r="1151" spans="16:16">
      <c r="P1151" s="115"/>
    </row>
    <row r="1152" spans="16:16">
      <c r="P1152" s="115"/>
    </row>
    <row r="1153" spans="16:16">
      <c r="P1153" s="115"/>
    </row>
    <row r="1154" spans="16:16">
      <c r="P1154" s="115"/>
    </row>
    <row r="1155" spans="16:16">
      <c r="P1155" s="115"/>
    </row>
    <row r="1156" spans="16:16">
      <c r="P1156" s="115"/>
    </row>
    <row r="1157" spans="16:16">
      <c r="P1157" s="115"/>
    </row>
    <row r="1158" spans="16:16">
      <c r="P1158" s="115"/>
    </row>
    <row r="1159" spans="16:16">
      <c r="P1159" s="115"/>
    </row>
    <row r="1160" spans="16:16">
      <c r="P1160" s="115"/>
    </row>
    <row r="1161" spans="16:16">
      <c r="P1161" s="115"/>
    </row>
    <row r="1162" spans="16:16">
      <c r="P1162" s="115"/>
    </row>
    <row r="1163" spans="16:16">
      <c r="P1163" s="115"/>
    </row>
    <row r="1164" spans="16:16">
      <c r="P1164" s="115"/>
    </row>
    <row r="1165" spans="16:16">
      <c r="P1165" s="115"/>
    </row>
    <row r="1166" spans="16:16">
      <c r="P1166" s="115"/>
    </row>
    <row r="1167" spans="16:16">
      <c r="P1167" s="115"/>
    </row>
    <row r="1168" spans="16:16">
      <c r="P1168" s="115"/>
    </row>
    <row r="1169" spans="16:16">
      <c r="P1169" s="115"/>
    </row>
    <row r="1170" spans="16:16">
      <c r="P1170" s="115"/>
    </row>
    <row r="1171" spans="16:16">
      <c r="P1171" s="115"/>
    </row>
    <row r="1172" spans="16:16">
      <c r="P1172" s="115"/>
    </row>
    <row r="1173" spans="16:16">
      <c r="P1173" s="115"/>
    </row>
    <row r="1174" spans="16:16">
      <c r="P1174" s="115"/>
    </row>
    <row r="1175" spans="16:16">
      <c r="P1175" s="115"/>
    </row>
    <row r="1176" spans="16:16">
      <c r="P1176" s="115"/>
    </row>
    <row r="1177" spans="16:16">
      <c r="P1177" s="115"/>
    </row>
    <row r="1178" spans="16:16">
      <c r="P1178" s="115"/>
    </row>
    <row r="1179" spans="16:16">
      <c r="P1179" s="115"/>
    </row>
    <row r="1180" spans="16:16">
      <c r="P1180" s="115"/>
    </row>
    <row r="1181" spans="16:16">
      <c r="P1181" s="115"/>
    </row>
    <row r="1182" spans="16:16">
      <c r="P1182" s="115"/>
    </row>
    <row r="1183" spans="16:16">
      <c r="P1183" s="115"/>
    </row>
    <row r="1184" spans="16:16">
      <c r="P1184" s="115"/>
    </row>
    <row r="1185" spans="16:16">
      <c r="P1185" s="115"/>
    </row>
    <row r="1186" spans="16:16">
      <c r="P1186" s="115"/>
    </row>
    <row r="1187" spans="16:16">
      <c r="P1187" s="115"/>
    </row>
    <row r="1188" spans="16:16">
      <c r="P1188" s="115"/>
    </row>
    <row r="1189" spans="16:16">
      <c r="P1189" s="115"/>
    </row>
    <row r="1190" spans="16:16">
      <c r="P1190" s="115"/>
    </row>
    <row r="1191" spans="16:16">
      <c r="P1191" s="115"/>
    </row>
    <row r="1192" spans="16:16">
      <c r="P1192" s="115"/>
    </row>
    <row r="1193" spans="16:16">
      <c r="P1193" s="115"/>
    </row>
    <row r="1194" spans="16:16">
      <c r="P1194" s="115"/>
    </row>
    <row r="1195" spans="16:16">
      <c r="P1195" s="115"/>
    </row>
    <row r="1196" spans="16:16">
      <c r="P1196" s="115"/>
    </row>
    <row r="1197" spans="16:16">
      <c r="P1197" s="115"/>
    </row>
    <row r="1198" spans="16:16">
      <c r="P1198" s="115"/>
    </row>
    <row r="1199" spans="16:16">
      <c r="P1199" s="115"/>
    </row>
    <row r="1200" spans="16:16">
      <c r="P1200" s="115"/>
    </row>
    <row r="1201" spans="16:16">
      <c r="P1201" s="115"/>
    </row>
    <row r="1202" spans="16:16">
      <c r="P1202" s="115"/>
    </row>
    <row r="1203" spans="16:16">
      <c r="P1203" s="115"/>
    </row>
    <row r="1204" spans="16:16">
      <c r="P1204" s="115"/>
    </row>
    <row r="1205" spans="16:16">
      <c r="P1205" s="115"/>
    </row>
    <row r="1206" spans="16:16">
      <c r="P1206" s="115"/>
    </row>
    <row r="1207" spans="16:16">
      <c r="P1207" s="115"/>
    </row>
    <row r="1208" spans="16:16">
      <c r="P1208" s="115"/>
    </row>
    <row r="1209" spans="16:16">
      <c r="P1209" s="115"/>
    </row>
    <row r="1210" spans="16:16">
      <c r="P1210" s="115"/>
    </row>
    <row r="1211" spans="16:16">
      <c r="P1211" s="115"/>
    </row>
    <row r="1212" spans="16:16">
      <c r="P1212" s="115"/>
    </row>
    <row r="1213" spans="16:16">
      <c r="P1213" s="115"/>
    </row>
    <row r="1214" spans="16:16">
      <c r="P1214" s="115"/>
    </row>
    <row r="1215" spans="16:16">
      <c r="P1215" s="115"/>
    </row>
    <row r="1216" spans="16:16">
      <c r="P1216" s="115"/>
    </row>
    <row r="1217" spans="16:16">
      <c r="P1217" s="115"/>
    </row>
    <row r="1218" spans="16:16">
      <c r="P1218" s="115"/>
    </row>
    <row r="1219" spans="16:16">
      <c r="P1219" s="115"/>
    </row>
    <row r="1220" spans="16:16">
      <c r="P1220" s="115"/>
    </row>
    <row r="1221" spans="16:16">
      <c r="P1221" s="115"/>
    </row>
    <row r="1222" spans="16:16">
      <c r="P1222" s="115"/>
    </row>
    <row r="1223" spans="16:16">
      <c r="P1223" s="115"/>
    </row>
    <row r="1224" spans="16:16">
      <c r="P1224" s="115"/>
    </row>
    <row r="1225" spans="16:16">
      <c r="P1225" s="115"/>
    </row>
    <row r="1226" spans="16:16">
      <c r="P1226" s="115"/>
    </row>
    <row r="1227" spans="16:16">
      <c r="P1227" s="115"/>
    </row>
    <row r="1228" spans="16:16">
      <c r="P1228" s="115"/>
    </row>
    <row r="1229" spans="16:16">
      <c r="P1229" s="115"/>
    </row>
    <row r="1230" spans="16:16">
      <c r="P1230" s="115"/>
    </row>
    <row r="1231" spans="16:16">
      <c r="P1231" s="115"/>
    </row>
    <row r="1232" spans="16:16">
      <c r="P1232" s="115"/>
    </row>
    <row r="1233" spans="16:16">
      <c r="P1233" s="115"/>
    </row>
    <row r="1234" spans="16:16">
      <c r="P1234" s="115"/>
    </row>
    <row r="1235" spans="16:16">
      <c r="P1235" s="115"/>
    </row>
    <row r="1236" spans="16:16">
      <c r="P1236" s="115"/>
    </row>
    <row r="1237" spans="16:16">
      <c r="P1237" s="115"/>
    </row>
    <row r="1238" spans="16:16">
      <c r="P1238" s="115"/>
    </row>
    <row r="1239" spans="16:16">
      <c r="P1239" s="115"/>
    </row>
    <row r="1240" spans="16:16">
      <c r="P1240" s="115"/>
    </row>
    <row r="1241" spans="16:16">
      <c r="P1241" s="115"/>
    </row>
    <row r="1242" spans="16:16">
      <c r="P1242" s="115"/>
    </row>
    <row r="1243" spans="16:16">
      <c r="P1243" s="115"/>
    </row>
    <row r="1244" spans="16:16">
      <c r="P1244" s="115"/>
    </row>
    <row r="1245" spans="16:16">
      <c r="P1245" s="115"/>
    </row>
    <row r="1246" spans="16:16">
      <c r="P1246" s="115"/>
    </row>
    <row r="1247" spans="16:16">
      <c r="P1247" s="115"/>
    </row>
    <row r="1248" spans="16:16">
      <c r="P1248" s="115"/>
    </row>
    <row r="1249" spans="16:16">
      <c r="P1249" s="115"/>
    </row>
    <row r="1250" spans="16:16">
      <c r="P1250" s="115"/>
    </row>
    <row r="1251" spans="16:16">
      <c r="P1251" s="115"/>
    </row>
    <row r="1252" spans="16:16">
      <c r="P1252" s="115"/>
    </row>
    <row r="1253" spans="16:16">
      <c r="P1253" s="115"/>
    </row>
    <row r="1254" spans="16:16">
      <c r="P1254" s="115"/>
    </row>
    <row r="1255" spans="16:16">
      <c r="P1255" s="115"/>
    </row>
    <row r="1256" spans="16:16">
      <c r="P1256" s="115"/>
    </row>
    <row r="1257" spans="16:16">
      <c r="P1257" s="115"/>
    </row>
    <row r="1258" spans="16:16">
      <c r="P1258" s="115"/>
    </row>
    <row r="1259" spans="16:16">
      <c r="P1259" s="115"/>
    </row>
    <row r="1260" spans="16:16">
      <c r="P1260" s="115"/>
    </row>
    <row r="1261" spans="16:16">
      <c r="P1261" s="115"/>
    </row>
    <row r="1262" spans="16:16">
      <c r="P1262" s="115"/>
    </row>
    <row r="1263" spans="16:16">
      <c r="P1263" s="115"/>
    </row>
    <row r="1264" spans="16:16">
      <c r="P1264" s="115"/>
    </row>
    <row r="1265" spans="16:16">
      <c r="P1265" s="115"/>
    </row>
    <row r="1266" spans="16:16">
      <c r="P1266" s="115"/>
    </row>
    <row r="1267" spans="16:16">
      <c r="P1267" s="115"/>
    </row>
    <row r="1268" spans="16:16">
      <c r="P1268" s="115"/>
    </row>
    <row r="1269" spans="16:16">
      <c r="P1269" s="115"/>
    </row>
    <row r="1270" spans="16:16">
      <c r="P1270" s="115"/>
    </row>
    <row r="1271" spans="16:16">
      <c r="P1271" s="115"/>
    </row>
    <row r="1272" spans="16:16">
      <c r="P1272" s="115"/>
    </row>
    <row r="1273" spans="16:16">
      <c r="P1273" s="115"/>
    </row>
    <row r="1274" spans="16:16">
      <c r="P1274" s="115"/>
    </row>
    <row r="1275" spans="16:16">
      <c r="P1275" s="115"/>
    </row>
    <row r="1276" spans="16:16">
      <c r="P1276" s="115"/>
    </row>
    <row r="1277" spans="16:16">
      <c r="P1277" s="115"/>
    </row>
    <row r="1278" spans="16:16">
      <c r="P1278" s="115"/>
    </row>
    <row r="1279" spans="16:16">
      <c r="P1279" s="115"/>
    </row>
    <row r="1280" spans="16:16">
      <c r="P1280" s="115"/>
    </row>
    <row r="1281" spans="16:16">
      <c r="P1281" s="115"/>
    </row>
    <row r="1282" spans="16:16">
      <c r="P1282" s="115"/>
    </row>
    <row r="1283" spans="16:16">
      <c r="P1283" s="115"/>
    </row>
    <row r="1284" spans="16:16">
      <c r="P1284" s="115"/>
    </row>
    <row r="1285" spans="16:16">
      <c r="P1285" s="115"/>
    </row>
    <row r="1286" spans="16:16">
      <c r="P1286" s="115"/>
    </row>
    <row r="1287" spans="16:16">
      <c r="P1287" s="115"/>
    </row>
    <row r="1288" spans="16:16">
      <c r="P1288" s="115"/>
    </row>
    <row r="1289" spans="16:16">
      <c r="P1289" s="115"/>
    </row>
    <row r="1290" spans="16:16">
      <c r="P1290" s="115"/>
    </row>
    <row r="1291" spans="16:16">
      <c r="P1291" s="115"/>
    </row>
    <row r="1292" spans="16:16">
      <c r="P1292" s="115"/>
    </row>
    <row r="1293" spans="16:16">
      <c r="P1293" s="115"/>
    </row>
    <row r="1294" spans="16:16">
      <c r="P1294" s="115"/>
    </row>
    <row r="1295" spans="16:16">
      <c r="P1295" s="115"/>
    </row>
    <row r="1296" spans="16:16">
      <c r="P1296" s="115"/>
    </row>
    <row r="1297" spans="16:16">
      <c r="P1297" s="115"/>
    </row>
    <row r="1298" spans="16:16">
      <c r="P1298" s="115"/>
    </row>
    <row r="1299" spans="16:16">
      <c r="P1299" s="115"/>
    </row>
    <row r="1300" spans="16:16">
      <c r="P1300" s="115"/>
    </row>
    <row r="1301" spans="16:16">
      <c r="P1301" s="115"/>
    </row>
    <row r="1302" spans="16:16">
      <c r="P1302" s="115"/>
    </row>
    <row r="1303" spans="16:16">
      <c r="P1303" s="115"/>
    </row>
    <row r="1304" spans="16:16">
      <c r="P1304" s="115"/>
    </row>
    <row r="1305" spans="16:16">
      <c r="P1305" s="115"/>
    </row>
    <row r="1306" spans="16:16">
      <c r="P1306" s="115"/>
    </row>
    <row r="1307" spans="16:16">
      <c r="P1307" s="115"/>
    </row>
    <row r="1308" spans="16:16">
      <c r="P1308" s="115"/>
    </row>
    <row r="1309" spans="16:16">
      <c r="P1309" s="115"/>
    </row>
    <row r="1310" spans="16:16">
      <c r="P1310" s="115"/>
    </row>
    <row r="1311" spans="16:16">
      <c r="P1311" s="115"/>
    </row>
    <row r="1312" spans="16:16">
      <c r="P1312" s="115"/>
    </row>
    <row r="1313" spans="16:16">
      <c r="P1313" s="115"/>
    </row>
    <row r="1314" spans="16:16">
      <c r="P1314" s="115"/>
    </row>
    <row r="1315" spans="16:16">
      <c r="P1315" s="115"/>
    </row>
    <row r="1316" spans="16:16">
      <c r="P1316" s="115"/>
    </row>
    <row r="1317" spans="16:16">
      <c r="P1317" s="115"/>
    </row>
    <row r="1318" spans="16:16">
      <c r="P1318" s="115"/>
    </row>
    <row r="1319" spans="16:16">
      <c r="P1319" s="115"/>
    </row>
    <row r="1320" spans="16:16">
      <c r="P1320" s="115"/>
    </row>
    <row r="1321" spans="16:16">
      <c r="P1321" s="115"/>
    </row>
    <row r="1322" spans="16:16">
      <c r="P1322" s="115"/>
    </row>
    <row r="1323" spans="16:16">
      <c r="P1323" s="115"/>
    </row>
    <row r="1324" spans="16:16">
      <c r="P1324" s="115"/>
    </row>
    <row r="1325" spans="16:16">
      <c r="P1325" s="115"/>
    </row>
    <row r="1326" spans="16:16">
      <c r="P1326" s="115"/>
    </row>
    <row r="1327" spans="16:16">
      <c r="P1327" s="115"/>
    </row>
    <row r="1328" spans="16:16">
      <c r="P1328" s="115"/>
    </row>
    <row r="1329" spans="16:16">
      <c r="P1329" s="115"/>
    </row>
    <row r="1330" spans="16:16">
      <c r="P1330" s="115"/>
    </row>
    <row r="1331" spans="16:16">
      <c r="P1331" s="115"/>
    </row>
    <row r="1332" spans="16:16">
      <c r="P1332" s="115"/>
    </row>
    <row r="1333" spans="16:16">
      <c r="P1333" s="115"/>
    </row>
    <row r="1334" spans="16:16">
      <c r="P1334" s="115"/>
    </row>
    <row r="1335" spans="16:16">
      <c r="P1335" s="115"/>
    </row>
    <row r="1336" spans="16:16">
      <c r="P1336" s="115"/>
    </row>
    <row r="1337" spans="16:16">
      <c r="P1337" s="115"/>
    </row>
    <row r="1338" spans="16:16">
      <c r="P1338" s="115"/>
    </row>
    <row r="1339" spans="16:16">
      <c r="P1339" s="115"/>
    </row>
    <row r="1340" spans="16:16">
      <c r="P1340" s="115"/>
    </row>
    <row r="1341" spans="16:16">
      <c r="P1341" s="115"/>
    </row>
    <row r="1342" spans="16:16">
      <c r="P1342" s="115"/>
    </row>
    <row r="1343" spans="16:16">
      <c r="P1343" s="115"/>
    </row>
    <row r="1344" spans="16:16">
      <c r="P1344" s="115"/>
    </row>
    <row r="1345" spans="16:16">
      <c r="P1345" s="115"/>
    </row>
    <row r="1346" spans="16:16">
      <c r="P1346" s="115"/>
    </row>
    <row r="1347" spans="16:16">
      <c r="P1347" s="115"/>
    </row>
    <row r="1348" spans="16:16">
      <c r="P1348" s="115"/>
    </row>
    <row r="1349" spans="16:16">
      <c r="P1349" s="115"/>
    </row>
    <row r="1350" spans="16:16">
      <c r="P1350" s="115"/>
    </row>
    <row r="1351" spans="16:16">
      <c r="P1351" s="115"/>
    </row>
    <row r="1352" spans="16:16">
      <c r="P1352" s="115"/>
    </row>
    <row r="1353" spans="16:16">
      <c r="P1353" s="115"/>
    </row>
    <row r="1354" spans="16:16">
      <c r="P1354" s="115"/>
    </row>
    <row r="1355" spans="16:16">
      <c r="P1355" s="115"/>
    </row>
    <row r="1356" spans="16:16">
      <c r="P1356" s="115"/>
    </row>
    <row r="1357" spans="16:16">
      <c r="P1357" s="115"/>
    </row>
    <row r="1358" spans="16:16">
      <c r="P1358" s="115"/>
    </row>
    <row r="1359" spans="16:16">
      <c r="P1359" s="115"/>
    </row>
    <row r="1360" spans="16:16">
      <c r="P1360" s="115"/>
    </row>
    <row r="1361" spans="16:16">
      <c r="P1361" s="115"/>
    </row>
    <row r="1362" spans="16:16">
      <c r="P1362" s="115"/>
    </row>
    <row r="1363" spans="16:16">
      <c r="P1363" s="115"/>
    </row>
    <row r="1364" spans="16:16">
      <c r="P1364" s="115"/>
    </row>
    <row r="1365" spans="16:16">
      <c r="P1365" s="115"/>
    </row>
    <row r="1366" spans="16:16">
      <c r="P1366" s="115"/>
    </row>
    <row r="1367" spans="16:16">
      <c r="P1367" s="115"/>
    </row>
    <row r="1368" spans="16:16">
      <c r="P1368" s="115"/>
    </row>
    <row r="1369" spans="16:16">
      <c r="P1369" s="115"/>
    </row>
    <row r="1370" spans="16:16">
      <c r="P1370" s="115"/>
    </row>
    <row r="1371" spans="16:16">
      <c r="P1371" s="115"/>
    </row>
    <row r="1372" spans="16:16">
      <c r="P1372" s="115"/>
    </row>
    <row r="1373" spans="16:16">
      <c r="P1373" s="115"/>
    </row>
    <row r="1374" spans="16:16">
      <c r="P1374" s="115"/>
    </row>
    <row r="1375" spans="16:16">
      <c r="P1375" s="115"/>
    </row>
    <row r="1376" spans="16:16">
      <c r="P1376" s="115"/>
    </row>
    <row r="1377" spans="16:16">
      <c r="P1377" s="115"/>
    </row>
    <row r="1378" spans="16:16">
      <c r="P1378" s="115"/>
    </row>
    <row r="1379" spans="16:16">
      <c r="P1379" s="115"/>
    </row>
    <row r="1380" spans="16:16">
      <c r="P1380" s="115"/>
    </row>
    <row r="1381" spans="16:16">
      <c r="P1381" s="115"/>
    </row>
    <row r="1382" spans="16:16">
      <c r="P1382" s="115"/>
    </row>
    <row r="1383" spans="16:16">
      <c r="P1383" s="115"/>
    </row>
    <row r="1384" spans="16:16">
      <c r="P1384" s="115"/>
    </row>
    <row r="1385" spans="16:16">
      <c r="P1385" s="115"/>
    </row>
    <row r="1386" spans="16:16">
      <c r="P1386" s="115"/>
    </row>
    <row r="1387" spans="16:16">
      <c r="P1387" s="115"/>
    </row>
    <row r="1388" spans="16:16">
      <c r="P1388" s="115"/>
    </row>
    <row r="1389" spans="16:16">
      <c r="P1389" s="115"/>
    </row>
    <row r="1390" spans="16:16">
      <c r="P1390" s="115"/>
    </row>
    <row r="1391" spans="16:16">
      <c r="P1391" s="115"/>
    </row>
    <row r="1392" spans="16:16">
      <c r="P1392" s="115"/>
    </row>
    <row r="1393" spans="16:16">
      <c r="P1393" s="115"/>
    </row>
    <row r="1394" spans="16:16">
      <c r="P1394" s="115"/>
    </row>
    <row r="1395" spans="16:16">
      <c r="P1395" s="115"/>
    </row>
    <row r="1396" spans="16:16">
      <c r="P1396" s="115"/>
    </row>
    <row r="1397" spans="16:16">
      <c r="P1397" s="115"/>
    </row>
    <row r="1398" spans="16:16">
      <c r="P1398" s="115"/>
    </row>
    <row r="1399" spans="16:16">
      <c r="P1399" s="115"/>
    </row>
    <row r="1400" spans="16:16">
      <c r="P1400" s="115"/>
    </row>
    <row r="1401" spans="16:16">
      <c r="P1401" s="115"/>
    </row>
    <row r="1402" spans="16:16">
      <c r="P1402" s="115"/>
    </row>
    <row r="1403" spans="16:16">
      <c r="P1403" s="115"/>
    </row>
    <row r="1404" spans="16:16">
      <c r="P1404" s="115"/>
    </row>
    <row r="1405" spans="16:16">
      <c r="P1405" s="115"/>
    </row>
    <row r="1406" spans="16:16">
      <c r="P1406" s="115"/>
    </row>
    <row r="1407" spans="16:16">
      <c r="P1407" s="115"/>
    </row>
    <row r="1408" spans="16:16">
      <c r="P1408" s="115"/>
    </row>
    <row r="1409" spans="16:16">
      <c r="P1409" s="115"/>
    </row>
    <row r="1410" spans="16:16">
      <c r="P1410" s="115"/>
    </row>
    <row r="1411" spans="16:16">
      <c r="P1411" s="115"/>
    </row>
    <row r="1412" spans="16:16">
      <c r="P1412" s="115"/>
    </row>
    <row r="1413" spans="16:16">
      <c r="P1413" s="115"/>
    </row>
    <row r="1414" spans="16:16">
      <c r="P1414" s="115"/>
    </row>
    <row r="1415" spans="16:16">
      <c r="P1415" s="115"/>
    </row>
    <row r="1416" spans="16:16">
      <c r="P1416" s="115"/>
    </row>
    <row r="1417" spans="16:16">
      <c r="P1417" s="115"/>
    </row>
    <row r="1418" spans="16:16">
      <c r="P1418" s="115"/>
    </row>
    <row r="1419" spans="16:16">
      <c r="P1419" s="115"/>
    </row>
    <row r="1420" spans="16:16">
      <c r="P1420" s="115"/>
    </row>
    <row r="1421" spans="16:16">
      <c r="P1421" s="115"/>
    </row>
    <row r="1422" spans="16:16">
      <c r="P1422" s="115"/>
    </row>
    <row r="1423" spans="16:16">
      <c r="P1423" s="115"/>
    </row>
    <row r="1424" spans="16:16">
      <c r="P1424" s="115"/>
    </row>
    <row r="1425" spans="16:16">
      <c r="P1425" s="115"/>
    </row>
    <row r="1426" spans="16:16">
      <c r="P1426" s="115"/>
    </row>
    <row r="1427" spans="16:16">
      <c r="P1427" s="115"/>
    </row>
    <row r="1428" spans="16:16">
      <c r="P1428" s="115"/>
    </row>
    <row r="1429" spans="16:16">
      <c r="P1429" s="115"/>
    </row>
    <row r="1430" spans="16:16">
      <c r="P1430" s="115"/>
    </row>
    <row r="1431" spans="16:16">
      <c r="P1431" s="115"/>
    </row>
    <row r="1432" spans="16:16">
      <c r="P1432" s="115"/>
    </row>
    <row r="1433" spans="16:16">
      <c r="P1433" s="115"/>
    </row>
    <row r="1434" spans="16:16">
      <c r="P1434" s="115"/>
    </row>
    <row r="1435" spans="16:16">
      <c r="P1435" s="115"/>
    </row>
    <row r="1436" spans="16:16">
      <c r="P1436" s="115"/>
    </row>
    <row r="1437" spans="16:16">
      <c r="P1437" s="115"/>
    </row>
    <row r="1438" spans="16:16">
      <c r="P1438" s="115"/>
    </row>
    <row r="1439" spans="16:16">
      <c r="P1439" s="115"/>
    </row>
    <row r="1440" spans="16:16">
      <c r="P1440" s="115"/>
    </row>
    <row r="1441" spans="16:16">
      <c r="P1441" s="115"/>
    </row>
    <row r="1442" spans="16:16">
      <c r="P1442" s="115"/>
    </row>
    <row r="1443" spans="16:16">
      <c r="P1443" s="115"/>
    </row>
    <row r="1444" spans="16:16">
      <c r="P1444" s="115"/>
    </row>
    <row r="1445" spans="16:16">
      <c r="P1445" s="115"/>
    </row>
    <row r="1446" spans="16:16">
      <c r="P1446" s="115"/>
    </row>
    <row r="1447" spans="16:16">
      <c r="P1447" s="115"/>
    </row>
    <row r="1448" spans="16:16">
      <c r="P1448" s="115"/>
    </row>
    <row r="1449" spans="16:16">
      <c r="P1449" s="115"/>
    </row>
    <row r="1450" spans="16:16">
      <c r="P1450" s="115"/>
    </row>
    <row r="1451" spans="16:16">
      <c r="P1451" s="115"/>
    </row>
    <row r="1452" spans="16:16">
      <c r="P1452" s="115"/>
    </row>
    <row r="1453" spans="16:16">
      <c r="P1453" s="115"/>
    </row>
    <row r="1454" spans="16:16">
      <c r="P1454" s="115"/>
    </row>
    <row r="1455" spans="16:16">
      <c r="P1455" s="115"/>
    </row>
    <row r="1456" spans="16:16">
      <c r="P1456" s="115"/>
    </row>
    <row r="1457" spans="16:16">
      <c r="P1457" s="115"/>
    </row>
    <row r="1458" spans="16:16">
      <c r="P1458" s="115"/>
    </row>
    <row r="1459" spans="16:16">
      <c r="P1459" s="115"/>
    </row>
    <row r="1460" spans="16:16">
      <c r="P1460" s="115"/>
    </row>
    <row r="1461" spans="16:16">
      <c r="P1461" s="115"/>
    </row>
    <row r="1462" spans="16:16">
      <c r="P1462" s="115"/>
    </row>
    <row r="1463" spans="16:16">
      <c r="P1463" s="115"/>
    </row>
    <row r="1464" spans="16:16">
      <c r="P1464" s="115"/>
    </row>
    <row r="1465" spans="16:16">
      <c r="P1465" s="115"/>
    </row>
    <row r="1466" spans="16:16">
      <c r="P1466" s="115"/>
    </row>
    <row r="1467" spans="16:16">
      <c r="P1467" s="115"/>
    </row>
    <row r="1468" spans="16:16">
      <c r="P1468" s="115"/>
    </row>
    <row r="1469" spans="16:16">
      <c r="P1469" s="115"/>
    </row>
    <row r="1470" spans="16:16">
      <c r="P1470" s="115"/>
    </row>
    <row r="1471" spans="16:16">
      <c r="P1471" s="115"/>
    </row>
    <row r="1472" spans="16:16">
      <c r="P1472" s="115"/>
    </row>
    <row r="1473" spans="16:16">
      <c r="P1473" s="115"/>
    </row>
    <row r="1474" spans="16:16">
      <c r="P1474" s="115"/>
    </row>
    <row r="1475" spans="16:16">
      <c r="P1475" s="115"/>
    </row>
    <row r="1476" spans="16:16">
      <c r="P1476" s="115"/>
    </row>
    <row r="1477" spans="16:16">
      <c r="P1477" s="115"/>
    </row>
    <row r="1478" spans="16:16">
      <c r="P1478" s="115"/>
    </row>
    <row r="1479" spans="16:16">
      <c r="P1479" s="115"/>
    </row>
    <row r="1480" spans="16:16">
      <c r="P1480" s="115"/>
    </row>
    <row r="1481" spans="16:16">
      <c r="P1481" s="115"/>
    </row>
    <row r="1482" spans="16:16">
      <c r="P1482" s="115"/>
    </row>
    <row r="1483" spans="16:16">
      <c r="P1483" s="115"/>
    </row>
    <row r="1484" spans="16:16">
      <c r="P1484" s="115"/>
    </row>
    <row r="1485" spans="16:16">
      <c r="P1485" s="115"/>
    </row>
    <row r="1486" spans="16:16">
      <c r="P1486" s="115"/>
    </row>
    <row r="1487" spans="16:16">
      <c r="P1487" s="115"/>
    </row>
    <row r="1488" spans="16:16">
      <c r="P1488" s="115"/>
    </row>
    <row r="1489" spans="16:16">
      <c r="P1489" s="115"/>
    </row>
    <row r="1490" spans="16:16">
      <c r="P1490" s="115"/>
    </row>
    <row r="1491" spans="16:16">
      <c r="P1491" s="115"/>
    </row>
    <row r="1492" spans="16:16">
      <c r="P1492" s="115"/>
    </row>
    <row r="1493" spans="16:16">
      <c r="P1493" s="115"/>
    </row>
    <row r="1494" spans="16:16">
      <c r="P1494" s="115"/>
    </row>
    <row r="1495" spans="16:16">
      <c r="P1495" s="115"/>
    </row>
    <row r="1496" spans="16:16">
      <c r="P1496" s="115"/>
    </row>
    <row r="1497" spans="16:16">
      <c r="P1497" s="115"/>
    </row>
    <row r="1498" spans="16:16">
      <c r="P1498" s="115"/>
    </row>
    <row r="1499" spans="16:16">
      <c r="P1499" s="115"/>
    </row>
    <row r="1500" spans="16:16">
      <c r="P1500" s="115"/>
    </row>
    <row r="1501" spans="16:16">
      <c r="P1501" s="115"/>
    </row>
    <row r="1502" spans="16:16">
      <c r="P1502" s="115"/>
    </row>
    <row r="1503" spans="16:16">
      <c r="P1503" s="115"/>
    </row>
    <row r="1504" spans="16:16">
      <c r="P1504" s="115"/>
    </row>
    <row r="1505" spans="16:16">
      <c r="P1505" s="115"/>
    </row>
    <row r="1506" spans="16:16">
      <c r="P1506" s="115"/>
    </row>
    <row r="1507" spans="16:16">
      <c r="P1507" s="115"/>
    </row>
    <row r="1508" spans="16:16">
      <c r="P1508" s="115"/>
    </row>
    <row r="1509" spans="16:16">
      <c r="P1509" s="115"/>
    </row>
    <row r="1510" spans="16:16">
      <c r="P1510" s="115"/>
    </row>
    <row r="1511" spans="16:16">
      <c r="P1511" s="115"/>
    </row>
    <row r="1512" spans="16:16">
      <c r="P1512" s="115"/>
    </row>
    <row r="1513" spans="16:16">
      <c r="P1513" s="115"/>
    </row>
    <row r="1514" spans="16:16">
      <c r="P1514" s="115"/>
    </row>
    <row r="1515" spans="16:16">
      <c r="P1515" s="115"/>
    </row>
    <row r="1516" spans="16:16">
      <c r="P1516" s="115"/>
    </row>
    <row r="1517" spans="16:16">
      <c r="P1517" s="115"/>
    </row>
    <row r="1518" spans="16:16">
      <c r="P1518" s="115"/>
    </row>
    <row r="1519" spans="16:16">
      <c r="P1519" s="115"/>
    </row>
    <row r="1520" spans="16:16">
      <c r="P1520" s="115"/>
    </row>
    <row r="1521" spans="16:16">
      <c r="P1521" s="115"/>
    </row>
    <row r="1522" spans="16:16">
      <c r="P1522" s="115"/>
    </row>
    <row r="1523" spans="16:16">
      <c r="P1523" s="115"/>
    </row>
    <row r="1524" spans="16:16">
      <c r="P1524" s="115"/>
    </row>
    <row r="1525" spans="16:16">
      <c r="P1525" s="115"/>
    </row>
    <row r="1526" spans="16:16">
      <c r="P1526" s="115"/>
    </row>
    <row r="1527" spans="16:16">
      <c r="P1527" s="115"/>
    </row>
    <row r="1528" spans="16:16">
      <c r="P1528" s="115"/>
    </row>
    <row r="1529" spans="16:16">
      <c r="P1529" s="115"/>
    </row>
    <row r="1530" spans="16:16">
      <c r="P1530" s="115"/>
    </row>
    <row r="1531" spans="16:16">
      <c r="P1531" s="115"/>
    </row>
    <row r="1532" spans="16:16">
      <c r="P1532" s="115"/>
    </row>
    <row r="1533" spans="16:16">
      <c r="P1533" s="115"/>
    </row>
    <row r="1534" spans="16:16">
      <c r="P1534" s="115"/>
    </row>
    <row r="1535" spans="16:16">
      <c r="P1535" s="115"/>
    </row>
    <row r="1536" spans="16:16">
      <c r="P1536" s="115"/>
    </row>
    <row r="1537" spans="16:16">
      <c r="P1537" s="115"/>
    </row>
    <row r="1538" spans="16:16">
      <c r="P1538" s="115"/>
    </row>
    <row r="1539" spans="16:16">
      <c r="P1539" s="115"/>
    </row>
    <row r="1540" spans="16:16">
      <c r="P1540" s="115"/>
    </row>
    <row r="1541" spans="16:16">
      <c r="P1541" s="115"/>
    </row>
    <row r="1542" spans="16:16">
      <c r="P1542" s="115"/>
    </row>
    <row r="1543" spans="16:16">
      <c r="P1543" s="115"/>
    </row>
    <row r="1544" spans="16:16">
      <c r="P1544" s="115"/>
    </row>
    <row r="1545" spans="16:16">
      <c r="P1545" s="115"/>
    </row>
    <row r="1546" spans="16:16">
      <c r="P1546" s="115"/>
    </row>
    <row r="1547" spans="16:16">
      <c r="P1547" s="115"/>
    </row>
    <row r="1548" spans="16:16">
      <c r="P1548" s="115"/>
    </row>
    <row r="1549" spans="16:16">
      <c r="P1549" s="115"/>
    </row>
    <row r="1550" spans="16:16">
      <c r="P1550" s="115"/>
    </row>
    <row r="1551" spans="16:16">
      <c r="P1551" s="115"/>
    </row>
    <row r="1552" spans="16:16">
      <c r="P1552" s="115"/>
    </row>
    <row r="1553" spans="16:16">
      <c r="P1553" s="115"/>
    </row>
    <row r="1554" spans="16:16">
      <c r="P1554" s="115"/>
    </row>
    <row r="1555" spans="16:16">
      <c r="P1555" s="115"/>
    </row>
    <row r="1556" spans="16:16">
      <c r="P1556" s="115"/>
    </row>
    <row r="1557" spans="16:16">
      <c r="P1557" s="115"/>
    </row>
    <row r="1558" spans="16:16">
      <c r="P1558" s="115"/>
    </row>
    <row r="1559" spans="16:16">
      <c r="P1559" s="115"/>
    </row>
    <row r="1560" spans="16:16">
      <c r="P1560" s="115"/>
    </row>
    <row r="1561" spans="16:16">
      <c r="P1561" s="115"/>
    </row>
    <row r="1562" spans="16:16">
      <c r="P1562" s="115"/>
    </row>
    <row r="1563" spans="16:16">
      <c r="P1563" s="115"/>
    </row>
    <row r="1564" spans="16:16">
      <c r="P1564" s="115"/>
    </row>
    <row r="1565" spans="16:16">
      <c r="P1565" s="115"/>
    </row>
    <row r="1566" spans="16:16">
      <c r="P1566" s="115"/>
    </row>
    <row r="1567" spans="16:16">
      <c r="P1567" s="115"/>
    </row>
    <row r="1568" spans="16:16">
      <c r="P1568" s="115"/>
    </row>
    <row r="1569" spans="16:16">
      <c r="P1569" s="115"/>
    </row>
    <row r="1570" spans="16:16">
      <c r="P1570" s="115"/>
    </row>
    <row r="1571" spans="16:16">
      <c r="P1571" s="115"/>
    </row>
    <row r="1572" spans="16:16">
      <c r="P1572" s="115"/>
    </row>
    <row r="1573" spans="16:16">
      <c r="P1573" s="115"/>
    </row>
    <row r="1574" spans="16:16">
      <c r="P1574" s="115"/>
    </row>
    <row r="1575" spans="16:16">
      <c r="P1575" s="115"/>
    </row>
    <row r="1576" spans="16:16">
      <c r="P1576" s="115"/>
    </row>
    <row r="1577" spans="16:16">
      <c r="P1577" s="115"/>
    </row>
    <row r="1578" spans="16:16">
      <c r="P1578" s="115"/>
    </row>
    <row r="1579" spans="16:16">
      <c r="P1579" s="115"/>
    </row>
    <row r="1580" spans="16:16">
      <c r="P1580" s="115"/>
    </row>
    <row r="1581" spans="16:16">
      <c r="P1581" s="115"/>
    </row>
    <row r="1582" spans="16:16">
      <c r="P1582" s="115"/>
    </row>
    <row r="1583" spans="16:16">
      <c r="P1583" s="115"/>
    </row>
    <row r="1584" spans="16:16">
      <c r="P1584" s="115"/>
    </row>
    <row r="1585" spans="16:16">
      <c r="P1585" s="115"/>
    </row>
    <row r="1586" spans="16:16">
      <c r="P1586" s="115"/>
    </row>
    <row r="1587" spans="16:16">
      <c r="P1587" s="115"/>
    </row>
    <row r="1588" spans="16:16">
      <c r="P1588" s="115"/>
    </row>
    <row r="1589" spans="16:16">
      <c r="P1589" s="115"/>
    </row>
    <row r="1590" spans="16:16">
      <c r="P1590" s="115"/>
    </row>
    <row r="1591" spans="16:16">
      <c r="P1591" s="115"/>
    </row>
    <row r="1592" spans="16:16">
      <c r="P1592" s="115"/>
    </row>
    <row r="1593" spans="16:16">
      <c r="P1593" s="115"/>
    </row>
    <row r="1594" spans="16:16">
      <c r="P1594" s="115"/>
    </row>
    <row r="1595" spans="16:16">
      <c r="P1595" s="115"/>
    </row>
    <row r="1596" spans="16:16">
      <c r="P1596" s="115"/>
    </row>
    <row r="1597" spans="16:16">
      <c r="P1597" s="115"/>
    </row>
    <row r="1598" spans="16:16">
      <c r="P1598" s="115"/>
    </row>
    <row r="1599" spans="16:16">
      <c r="P1599" s="115"/>
    </row>
    <row r="1600" spans="16:16">
      <c r="P1600" s="115"/>
    </row>
    <row r="1601" spans="16:16">
      <c r="P1601" s="115"/>
    </row>
    <row r="1602" spans="16:16">
      <c r="P1602" s="115"/>
    </row>
    <row r="1603" spans="16:16">
      <c r="P1603" s="115"/>
    </row>
    <row r="1604" spans="16:16">
      <c r="P1604" s="115"/>
    </row>
    <row r="1605" spans="16:16">
      <c r="P1605" s="115"/>
    </row>
    <row r="1606" spans="16:16">
      <c r="P1606" s="115"/>
    </row>
    <row r="1607" spans="16:16">
      <c r="P1607" s="115"/>
    </row>
    <row r="1608" spans="16:16">
      <c r="P1608" s="115"/>
    </row>
    <row r="1609" spans="16:16">
      <c r="P1609" s="115"/>
    </row>
    <row r="1610" spans="16:16">
      <c r="P1610" s="115"/>
    </row>
    <row r="1611" spans="16:16">
      <c r="P1611" s="115"/>
    </row>
    <row r="1612" spans="16:16">
      <c r="P1612" s="115"/>
    </row>
    <row r="1613" spans="16:16">
      <c r="P1613" s="115"/>
    </row>
    <row r="1614" spans="16:16">
      <c r="P1614" s="115"/>
    </row>
    <row r="1615" spans="16:16">
      <c r="P1615" s="115"/>
    </row>
    <row r="1616" spans="16:16">
      <c r="P1616" s="115"/>
    </row>
    <row r="1617" spans="16:16">
      <c r="P1617" s="115"/>
    </row>
    <row r="1618" spans="16:16">
      <c r="P1618" s="115"/>
    </row>
    <row r="1619" spans="16:16">
      <c r="P1619" s="115"/>
    </row>
    <row r="1620" spans="16:16">
      <c r="P1620" s="115"/>
    </row>
    <row r="1621" spans="16:16">
      <c r="P1621" s="115"/>
    </row>
    <row r="1622" spans="16:16">
      <c r="P1622" s="115"/>
    </row>
    <row r="1623" spans="16:16">
      <c r="P1623" s="115"/>
    </row>
    <row r="1624" spans="16:16">
      <c r="P1624" s="115"/>
    </row>
    <row r="1625" spans="16:16">
      <c r="P1625" s="115"/>
    </row>
    <row r="1626" spans="16:16">
      <c r="P1626" s="115"/>
    </row>
    <row r="1627" spans="16:16">
      <c r="P1627" s="115"/>
    </row>
    <row r="1628" spans="16:16">
      <c r="P1628" s="115"/>
    </row>
    <row r="1629" spans="16:16">
      <c r="P1629" s="115"/>
    </row>
    <row r="1630" spans="16:16">
      <c r="P1630" s="115"/>
    </row>
    <row r="1631" spans="16:16">
      <c r="P1631" s="115"/>
    </row>
    <row r="1632" spans="16:16">
      <c r="P1632" s="115"/>
    </row>
    <row r="1633" spans="16:16">
      <c r="P1633" s="115"/>
    </row>
    <row r="1634" spans="16:16">
      <c r="P1634" s="115"/>
    </row>
    <row r="1635" spans="16:16">
      <c r="P1635" s="115"/>
    </row>
    <row r="1636" spans="16:16">
      <c r="P1636" s="115"/>
    </row>
    <row r="1637" spans="16:16">
      <c r="P1637" s="115"/>
    </row>
    <row r="1638" spans="16:16">
      <c r="P1638" s="115"/>
    </row>
    <row r="1639" spans="16:16">
      <c r="P1639" s="115"/>
    </row>
    <row r="1640" spans="16:16">
      <c r="P1640" s="115"/>
    </row>
    <row r="1641" spans="16:16">
      <c r="P1641" s="115"/>
    </row>
    <row r="1642" spans="16:16">
      <c r="P1642" s="115"/>
    </row>
    <row r="1643" spans="16:16">
      <c r="P1643" s="115"/>
    </row>
    <row r="1644" spans="16:16">
      <c r="P1644" s="115"/>
    </row>
    <row r="1645" spans="16:16">
      <c r="P1645" s="115"/>
    </row>
    <row r="1646" spans="16:16">
      <c r="P1646" s="115"/>
    </row>
    <row r="1647" spans="16:16">
      <c r="P1647" s="115"/>
    </row>
    <row r="1648" spans="16:16">
      <c r="P1648" s="115"/>
    </row>
    <row r="1649" spans="16:16">
      <c r="P1649" s="115"/>
    </row>
    <row r="1650" spans="16:16">
      <c r="P1650" s="115"/>
    </row>
    <row r="1651" spans="16:16">
      <c r="P1651" s="115"/>
    </row>
    <row r="1652" spans="16:16">
      <c r="P1652" s="115"/>
    </row>
    <row r="1653" spans="16:16">
      <c r="P1653" s="115"/>
    </row>
    <row r="1654" spans="16:16">
      <c r="P1654" s="115"/>
    </row>
    <row r="1655" spans="16:16">
      <c r="P1655" s="115"/>
    </row>
    <row r="1656" spans="16:16">
      <c r="P1656" s="115"/>
    </row>
    <row r="1657" spans="16:16">
      <c r="P1657" s="115"/>
    </row>
    <row r="1658" spans="16:16">
      <c r="P1658" s="115"/>
    </row>
    <row r="1659" spans="16:16">
      <c r="P1659" s="115"/>
    </row>
    <row r="1660" spans="16:16">
      <c r="P1660" s="115"/>
    </row>
    <row r="1661" spans="16:16">
      <c r="P1661" s="115"/>
    </row>
    <row r="1662" spans="16:16">
      <c r="P1662" s="115"/>
    </row>
    <row r="1663" spans="16:16">
      <c r="P1663" s="115"/>
    </row>
    <row r="1664" spans="16:16">
      <c r="P1664" s="115"/>
    </row>
    <row r="1665" spans="16:16">
      <c r="P1665" s="115"/>
    </row>
    <row r="1666" spans="16:16">
      <c r="P1666" s="115"/>
    </row>
    <row r="1667" spans="16:16">
      <c r="P1667" s="115"/>
    </row>
    <row r="1668" spans="16:16">
      <c r="P1668" s="115"/>
    </row>
    <row r="1669" spans="16:16">
      <c r="P1669" s="115"/>
    </row>
    <row r="1670" spans="16:16">
      <c r="P1670" s="115"/>
    </row>
    <row r="1671" spans="16:16">
      <c r="P1671" s="115"/>
    </row>
    <row r="1672" spans="16:16">
      <c r="P1672" s="115"/>
    </row>
    <row r="1673" spans="16:16">
      <c r="P1673" s="115"/>
    </row>
    <row r="1674" spans="16:16">
      <c r="P1674" s="115"/>
    </row>
    <row r="1675" spans="16:16">
      <c r="P1675" s="115"/>
    </row>
    <row r="1676" spans="16:16">
      <c r="P1676" s="115"/>
    </row>
    <row r="1677" spans="16:16">
      <c r="P1677" s="115"/>
    </row>
    <row r="1678" spans="16:16">
      <c r="P1678" s="115"/>
    </row>
    <row r="1679" spans="16:16">
      <c r="P1679" s="115"/>
    </row>
    <row r="1680" spans="16:16">
      <c r="P1680" s="115"/>
    </row>
    <row r="1681" spans="16:16">
      <c r="P1681" s="115"/>
    </row>
    <row r="1682" spans="16:16">
      <c r="P1682" s="115"/>
    </row>
    <row r="1683" spans="16:16">
      <c r="P1683" s="115"/>
    </row>
    <row r="1684" spans="16:16">
      <c r="P1684" s="115"/>
    </row>
    <row r="1685" spans="16:16">
      <c r="P1685" s="115"/>
    </row>
    <row r="1686" spans="16:16">
      <c r="P1686" s="115"/>
    </row>
    <row r="1687" spans="16:16">
      <c r="P1687" s="115"/>
    </row>
    <row r="1688" spans="16:16">
      <c r="P1688" s="115"/>
    </row>
    <row r="1689" spans="16:16">
      <c r="P1689" s="115"/>
    </row>
    <row r="1690" spans="16:16">
      <c r="P1690" s="115"/>
    </row>
    <row r="1691" spans="16:16">
      <c r="P1691" s="115"/>
    </row>
    <row r="1692" spans="16:16">
      <c r="P1692" s="115"/>
    </row>
    <row r="1693" spans="16:16">
      <c r="P1693" s="115"/>
    </row>
    <row r="1694" spans="16:16">
      <c r="P1694" s="115"/>
    </row>
    <row r="1695" spans="16:16">
      <c r="P1695" s="115"/>
    </row>
    <row r="1696" spans="16:16">
      <c r="P1696" s="115"/>
    </row>
    <row r="1697" spans="16:16">
      <c r="P1697" s="115"/>
    </row>
    <row r="1698" spans="16:16">
      <c r="P1698" s="115"/>
    </row>
    <row r="1699" spans="16:16">
      <c r="P1699" s="115"/>
    </row>
    <row r="1700" spans="16:16">
      <c r="P1700" s="115"/>
    </row>
    <row r="1701" spans="16:16">
      <c r="P1701" s="115"/>
    </row>
    <row r="1702" spans="16:16">
      <c r="P1702" s="115"/>
    </row>
    <row r="1703" spans="16:16">
      <c r="P1703" s="115"/>
    </row>
    <row r="1704" spans="16:16">
      <c r="P1704" s="115"/>
    </row>
    <row r="1705" spans="16:16">
      <c r="P1705" s="115"/>
    </row>
    <row r="1706" spans="16:16">
      <c r="P1706" s="115"/>
    </row>
    <row r="1707" spans="16:16">
      <c r="P1707" s="115"/>
    </row>
    <row r="1708" spans="16:16">
      <c r="P1708" s="115"/>
    </row>
    <row r="1709" spans="16:16">
      <c r="P1709" s="115"/>
    </row>
    <row r="1710" spans="16:16">
      <c r="P1710" s="115"/>
    </row>
    <row r="1711" spans="16:16">
      <c r="P1711" s="115"/>
    </row>
    <row r="1712" spans="16:16">
      <c r="P1712" s="115"/>
    </row>
    <row r="1713" spans="16:16">
      <c r="P1713" s="115"/>
    </row>
    <row r="1714" spans="16:16">
      <c r="P1714" s="115"/>
    </row>
    <row r="1715" spans="16:16">
      <c r="P1715" s="115"/>
    </row>
    <row r="1716" spans="16:16">
      <c r="P1716" s="115"/>
    </row>
    <row r="1717" spans="16:16">
      <c r="P1717" s="115"/>
    </row>
    <row r="1718" spans="16:16">
      <c r="P1718" s="115"/>
    </row>
    <row r="1719" spans="16:16">
      <c r="P1719" s="115"/>
    </row>
    <row r="1720" spans="16:16">
      <c r="P1720" s="115"/>
    </row>
    <row r="1721" spans="16:16">
      <c r="P1721" s="115"/>
    </row>
    <row r="1722" spans="16:16">
      <c r="P1722" s="115"/>
    </row>
    <row r="1723" spans="16:16">
      <c r="P1723" s="115"/>
    </row>
    <row r="1724" spans="16:16">
      <c r="P1724" s="115"/>
    </row>
    <row r="1725" spans="16:16">
      <c r="P1725" s="115"/>
    </row>
    <row r="1726" spans="16:16">
      <c r="P1726" s="115"/>
    </row>
    <row r="1727" spans="16:16">
      <c r="P1727" s="115"/>
    </row>
    <row r="1728" spans="16:16">
      <c r="P1728" s="115"/>
    </row>
    <row r="1729" spans="16:16">
      <c r="P1729" s="115"/>
    </row>
    <row r="1730" spans="16:16">
      <c r="P1730" s="115"/>
    </row>
    <row r="1731" spans="16:16">
      <c r="P1731" s="115"/>
    </row>
    <row r="1732" spans="16:16">
      <c r="P1732" s="115"/>
    </row>
    <row r="1733" spans="16:16">
      <c r="P1733" s="115"/>
    </row>
    <row r="1734" spans="16:16">
      <c r="P1734" s="115"/>
    </row>
    <row r="1735" spans="16:16">
      <c r="P1735" s="115"/>
    </row>
    <row r="1736" spans="16:16">
      <c r="P1736" s="115"/>
    </row>
    <row r="1737" spans="16:16">
      <c r="P1737" s="115"/>
    </row>
    <row r="1738" spans="16:16">
      <c r="P1738" s="115"/>
    </row>
    <row r="1739" spans="16:16">
      <c r="P1739" s="115"/>
    </row>
    <row r="1740" spans="16:16">
      <c r="P1740" s="115"/>
    </row>
    <row r="1741" spans="16:16">
      <c r="P1741" s="115"/>
    </row>
    <row r="1742" spans="16:16">
      <c r="P1742" s="115"/>
    </row>
    <row r="1743" spans="16:16">
      <c r="P1743" s="115"/>
    </row>
    <row r="1744" spans="16:16">
      <c r="P1744" s="115"/>
    </row>
    <row r="1745" spans="16:16">
      <c r="P1745" s="115"/>
    </row>
    <row r="1746" spans="16:16">
      <c r="P1746" s="115"/>
    </row>
    <row r="1747" spans="16:16">
      <c r="P1747" s="115"/>
    </row>
    <row r="1748" spans="16:16">
      <c r="P1748" s="115"/>
    </row>
    <row r="1749" spans="16:16">
      <c r="P1749" s="115"/>
    </row>
    <row r="1750" spans="16:16">
      <c r="P1750" s="115"/>
    </row>
    <row r="1751" spans="16:16">
      <c r="P1751" s="115"/>
    </row>
    <row r="1752" spans="16:16">
      <c r="P1752" s="115"/>
    </row>
    <row r="1753" spans="16:16">
      <c r="P1753" s="115"/>
    </row>
    <row r="1754" spans="16:16">
      <c r="P1754" s="115"/>
    </row>
    <row r="1755" spans="16:16">
      <c r="P1755" s="115"/>
    </row>
    <row r="1756" spans="16:16">
      <c r="P1756" s="115"/>
    </row>
    <row r="1757" spans="16:16">
      <c r="P1757" s="115"/>
    </row>
    <row r="1758" spans="16:16">
      <c r="P1758" s="115"/>
    </row>
    <row r="1759" spans="16:16">
      <c r="P1759" s="115"/>
    </row>
    <row r="1760" spans="16:16">
      <c r="P1760" s="115"/>
    </row>
    <row r="1761" spans="16:16">
      <c r="P1761" s="115"/>
    </row>
    <row r="1762" spans="16:16">
      <c r="P1762" s="115"/>
    </row>
    <row r="1763" spans="16:16">
      <c r="P1763" s="115"/>
    </row>
    <row r="1764" spans="16:16">
      <c r="P1764" s="115"/>
    </row>
    <row r="1765" spans="16:16">
      <c r="P1765" s="115"/>
    </row>
    <row r="1766" spans="16:16">
      <c r="P1766" s="115"/>
    </row>
    <row r="1767" spans="16:16">
      <c r="P1767" s="115"/>
    </row>
    <row r="1768" spans="16:16">
      <c r="P1768" s="115"/>
    </row>
    <row r="1769" spans="16:16">
      <c r="P1769" s="115"/>
    </row>
    <row r="1770" spans="16:16">
      <c r="P1770" s="115"/>
    </row>
    <row r="1771" spans="16:16">
      <c r="P1771" s="115"/>
    </row>
    <row r="1772" spans="16:16">
      <c r="P1772" s="115"/>
    </row>
    <row r="1773" spans="16:16">
      <c r="P1773" s="115"/>
    </row>
    <row r="1774" spans="16:16">
      <c r="P1774" s="115"/>
    </row>
    <row r="1775" spans="16:16">
      <c r="P1775" s="115"/>
    </row>
    <row r="1776" spans="16:16">
      <c r="P1776" s="115"/>
    </row>
    <row r="1777" spans="16:16">
      <c r="P1777" s="115"/>
    </row>
    <row r="1778" spans="16:16">
      <c r="P1778" s="115"/>
    </row>
    <row r="1779" spans="16:16">
      <c r="P1779" s="115"/>
    </row>
    <row r="1780" spans="16:16">
      <c r="P1780" s="115"/>
    </row>
    <row r="1781" spans="16:16">
      <c r="P1781" s="115"/>
    </row>
    <row r="1782" spans="16:16">
      <c r="P1782" s="115"/>
    </row>
    <row r="1783" spans="16:16">
      <c r="P1783" s="115"/>
    </row>
    <row r="1784" spans="16:16">
      <c r="P1784" s="115"/>
    </row>
    <row r="1785" spans="16:16">
      <c r="P1785" s="115"/>
    </row>
    <row r="1786" spans="16:16">
      <c r="P1786" s="115"/>
    </row>
    <row r="1787" spans="16:16">
      <c r="P1787" s="115"/>
    </row>
    <row r="1788" spans="16:16">
      <c r="P1788" s="115"/>
    </row>
    <row r="1789" spans="16:16">
      <c r="P1789" s="115"/>
    </row>
    <row r="1790" spans="16:16">
      <c r="P1790" s="115"/>
    </row>
    <row r="1791" spans="16:16">
      <c r="P1791" s="115"/>
    </row>
    <row r="1792" spans="16:16">
      <c r="P1792" s="115"/>
    </row>
    <row r="1793" spans="16:16">
      <c r="P1793" s="115"/>
    </row>
    <row r="1794" spans="16:16">
      <c r="P1794" s="115"/>
    </row>
    <row r="1795" spans="16:16">
      <c r="P1795" s="115"/>
    </row>
    <row r="1796" spans="16:16">
      <c r="P1796" s="115"/>
    </row>
    <row r="1797" spans="16:16">
      <c r="P1797" s="115"/>
    </row>
    <row r="1798" spans="16:16">
      <c r="P1798" s="115"/>
    </row>
    <row r="1799" spans="16:16">
      <c r="P1799" s="115"/>
    </row>
    <row r="1800" spans="16:16">
      <c r="P1800" s="115"/>
    </row>
    <row r="1801" spans="16:16">
      <c r="P1801" s="115"/>
    </row>
    <row r="1802" spans="16:16">
      <c r="P1802" s="115"/>
    </row>
    <row r="1803" spans="16:16">
      <c r="P1803" s="115"/>
    </row>
    <row r="1804" spans="16:16">
      <c r="P1804" s="115"/>
    </row>
    <row r="1805" spans="16:16">
      <c r="P1805" s="115"/>
    </row>
    <row r="1806" spans="16:16">
      <c r="P1806" s="115"/>
    </row>
    <row r="1807" spans="16:16">
      <c r="P1807" s="115"/>
    </row>
    <row r="1808" spans="16:16">
      <c r="P1808" s="115"/>
    </row>
    <row r="1809" spans="16:16">
      <c r="P1809" s="115"/>
    </row>
    <row r="1810" spans="16:16">
      <c r="P1810" s="115"/>
    </row>
    <row r="1811" spans="16:16">
      <c r="P1811" s="115"/>
    </row>
    <row r="1812" spans="16:16">
      <c r="P1812" s="115"/>
    </row>
    <row r="1813" spans="16:16">
      <c r="P1813" s="115"/>
    </row>
    <row r="1814" spans="16:16">
      <c r="P1814" s="115"/>
    </row>
    <row r="1815" spans="16:16">
      <c r="P1815" s="115"/>
    </row>
    <row r="1816" spans="16:16">
      <c r="P1816" s="115"/>
    </row>
    <row r="1817" spans="16:16">
      <c r="P1817" s="115"/>
    </row>
    <row r="1818" spans="16:16">
      <c r="P1818" s="115"/>
    </row>
    <row r="1819" spans="16:16">
      <c r="P1819" s="115"/>
    </row>
    <row r="1820" spans="16:16">
      <c r="P1820" s="115"/>
    </row>
    <row r="1821" spans="16:16">
      <c r="P1821" s="115"/>
    </row>
    <row r="1822" spans="16:16">
      <c r="P1822" s="115"/>
    </row>
    <row r="1823" spans="16:16">
      <c r="P1823" s="115"/>
    </row>
    <row r="1824" spans="16:16">
      <c r="P1824" s="115"/>
    </row>
    <row r="1825" spans="16:16">
      <c r="P1825" s="115"/>
    </row>
    <row r="1826" spans="16:16">
      <c r="P1826" s="115"/>
    </row>
    <row r="1827" spans="16:16">
      <c r="P1827" s="115"/>
    </row>
    <row r="1828" spans="16:16">
      <c r="P1828" s="115"/>
    </row>
    <row r="1829" spans="16:16">
      <c r="P1829" s="115"/>
    </row>
    <row r="1830" spans="16:16">
      <c r="P1830" s="115"/>
    </row>
    <row r="1831" spans="16:16">
      <c r="P1831" s="115"/>
    </row>
    <row r="1832" spans="16:16">
      <c r="P1832" s="115"/>
    </row>
    <row r="1833" spans="16:16">
      <c r="P1833" s="115"/>
    </row>
    <row r="1834" spans="16:16">
      <c r="P1834" s="115"/>
    </row>
    <row r="1835" spans="16:16">
      <c r="P1835" s="115"/>
    </row>
    <row r="1836" spans="16:16">
      <c r="P1836" s="115"/>
    </row>
    <row r="1837" spans="16:16">
      <c r="P1837" s="115"/>
    </row>
    <row r="1838" spans="16:16">
      <c r="P1838" s="115"/>
    </row>
    <row r="1839" spans="16:16">
      <c r="P1839" s="115"/>
    </row>
    <row r="1840" spans="16:16">
      <c r="P1840" s="115"/>
    </row>
    <row r="1841" spans="16:16">
      <c r="P1841" s="115"/>
    </row>
    <row r="1842" spans="16:16">
      <c r="P1842" s="115"/>
    </row>
    <row r="1843" spans="16:16">
      <c r="P1843" s="115"/>
    </row>
    <row r="1844" spans="16:16">
      <c r="P1844" s="115"/>
    </row>
    <row r="1845" spans="16:16">
      <c r="P1845" s="115"/>
    </row>
    <row r="1846" spans="16:16">
      <c r="P1846" s="115"/>
    </row>
    <row r="1847" spans="16:16">
      <c r="P1847" s="115"/>
    </row>
    <row r="1848" spans="16:16">
      <c r="P1848" s="115"/>
    </row>
    <row r="1849" spans="16:16">
      <c r="P1849" s="115"/>
    </row>
    <row r="1850" spans="16:16">
      <c r="P1850" s="115"/>
    </row>
    <row r="1851" spans="16:16">
      <c r="P1851" s="115"/>
    </row>
    <row r="1852" spans="16:16">
      <c r="P1852" s="115"/>
    </row>
    <row r="1853" spans="16:16">
      <c r="P1853" s="115"/>
    </row>
    <row r="1854" spans="16:16">
      <c r="P1854" s="115"/>
    </row>
    <row r="1855" spans="16:16">
      <c r="P1855" s="115"/>
    </row>
    <row r="1856" spans="16:16">
      <c r="P1856" s="115"/>
    </row>
    <row r="1857" spans="16:16">
      <c r="P1857" s="115"/>
    </row>
    <row r="1858" spans="16:16">
      <c r="P1858" s="115"/>
    </row>
    <row r="1859" spans="16:16">
      <c r="P1859" s="115"/>
    </row>
    <row r="1860" spans="16:16">
      <c r="P1860" s="115"/>
    </row>
    <row r="1861" spans="16:16">
      <c r="P1861" s="115"/>
    </row>
    <row r="1862" spans="16:16">
      <c r="P1862" s="115"/>
    </row>
    <row r="1863" spans="16:16">
      <c r="P1863" s="115"/>
    </row>
    <row r="1864" spans="16:16">
      <c r="P1864" s="115"/>
    </row>
    <row r="1865" spans="16:16">
      <c r="P1865" s="115"/>
    </row>
    <row r="1866" spans="16:16">
      <c r="P1866" s="115"/>
    </row>
    <row r="1867" spans="16:16">
      <c r="P1867" s="115"/>
    </row>
    <row r="1868" spans="16:16">
      <c r="P1868" s="115"/>
    </row>
    <row r="1869" spans="16:16">
      <c r="P1869" s="115"/>
    </row>
    <row r="1870" spans="16:16">
      <c r="P1870" s="115"/>
    </row>
    <row r="1871" spans="16:16">
      <c r="P1871" s="115"/>
    </row>
    <row r="1872" spans="16:16">
      <c r="P1872" s="115"/>
    </row>
    <row r="1873" spans="16:16">
      <c r="P1873" s="115"/>
    </row>
    <row r="1874" spans="16:16">
      <c r="P1874" s="115"/>
    </row>
    <row r="1875" spans="16:16">
      <c r="P1875" s="115"/>
    </row>
    <row r="1876" spans="16:16">
      <c r="P1876" s="115"/>
    </row>
    <row r="1877" spans="16:16">
      <c r="P1877" s="115"/>
    </row>
    <row r="1878" spans="16:16">
      <c r="P1878" s="115"/>
    </row>
    <row r="1879" spans="16:16">
      <c r="P1879" s="115"/>
    </row>
    <row r="1880" spans="16:16">
      <c r="P1880" s="115"/>
    </row>
    <row r="1881" spans="16:16">
      <c r="P1881" s="115"/>
    </row>
    <row r="1882" spans="16:16">
      <c r="P1882" s="115"/>
    </row>
    <row r="1883" spans="16:16">
      <c r="P1883" s="115"/>
    </row>
    <row r="1884" spans="16:16">
      <c r="P1884" s="115"/>
    </row>
    <row r="1885" spans="16:16">
      <c r="P1885" s="115"/>
    </row>
    <row r="1886" spans="16:16">
      <c r="P1886" s="115"/>
    </row>
    <row r="1887" spans="16:16">
      <c r="P1887" s="115"/>
    </row>
    <row r="1888" spans="16:16">
      <c r="P1888" s="115"/>
    </row>
    <row r="1889" spans="16:16">
      <c r="P1889" s="115"/>
    </row>
    <row r="1890" spans="16:16">
      <c r="P1890" s="115"/>
    </row>
    <row r="1891" spans="16:16">
      <c r="P1891" s="115"/>
    </row>
    <row r="1892" spans="16:16">
      <c r="P1892" s="115"/>
    </row>
    <row r="1893" spans="16:16">
      <c r="P1893" s="115"/>
    </row>
    <row r="1894" spans="16:16">
      <c r="P1894" s="115"/>
    </row>
    <row r="1895" spans="16:16">
      <c r="P1895" s="115"/>
    </row>
    <row r="1896" spans="16:16">
      <c r="P1896" s="115"/>
    </row>
    <row r="1897" spans="16:16">
      <c r="P1897" s="115"/>
    </row>
    <row r="1898" spans="16:16">
      <c r="P1898" s="115"/>
    </row>
    <row r="1899" spans="16:16">
      <c r="P1899" s="115"/>
    </row>
    <row r="1900" spans="16:16">
      <c r="P1900" s="115"/>
    </row>
    <row r="1901" spans="16:16">
      <c r="P1901" s="115"/>
    </row>
    <row r="1902" spans="16:16">
      <c r="P1902" s="115"/>
    </row>
    <row r="1903" spans="16:16">
      <c r="P1903" s="115"/>
    </row>
    <row r="1904" spans="16:16">
      <c r="P1904" s="115"/>
    </row>
    <row r="1905" spans="16:16">
      <c r="P1905" s="115"/>
    </row>
    <row r="1906" spans="16:16">
      <c r="P1906" s="115"/>
    </row>
    <row r="1907" spans="16:16">
      <c r="P1907" s="115"/>
    </row>
    <row r="1908" spans="16:16">
      <c r="P1908" s="115"/>
    </row>
    <row r="1909" spans="16:16">
      <c r="P1909" s="115"/>
    </row>
    <row r="1910" spans="16:16">
      <c r="P1910" s="115"/>
    </row>
    <row r="1911" spans="16:16">
      <c r="P1911" s="115"/>
    </row>
    <row r="1912" spans="16:16">
      <c r="P1912" s="115"/>
    </row>
    <row r="1913" spans="16:16">
      <c r="P1913" s="115"/>
    </row>
    <row r="1914" spans="16:16">
      <c r="P1914" s="115"/>
    </row>
    <row r="1915" spans="16:16">
      <c r="P1915" s="115"/>
    </row>
    <row r="1916" spans="16:16">
      <c r="P1916" s="115"/>
    </row>
    <row r="1917" spans="16:16">
      <c r="P1917" s="115"/>
    </row>
    <row r="1918" spans="16:16">
      <c r="P1918" s="115"/>
    </row>
    <row r="1919" spans="16:16">
      <c r="P1919" s="115"/>
    </row>
    <row r="1920" spans="16:16">
      <c r="P1920" s="115"/>
    </row>
    <row r="1921" spans="16:16">
      <c r="P1921" s="115"/>
    </row>
    <row r="1922" spans="16:16">
      <c r="P1922" s="115"/>
    </row>
    <row r="1923" spans="16:16">
      <c r="P1923" s="115"/>
    </row>
    <row r="1924" spans="16:16">
      <c r="P1924" s="115"/>
    </row>
    <row r="1925" spans="16:16">
      <c r="P1925" s="115"/>
    </row>
    <row r="1926" spans="16:16">
      <c r="P1926" s="115"/>
    </row>
    <row r="1927" spans="16:16">
      <c r="P1927" s="115"/>
    </row>
    <row r="1928" spans="16:16">
      <c r="P1928" s="115"/>
    </row>
    <row r="1929" spans="16:16">
      <c r="P1929" s="115"/>
    </row>
    <row r="1930" spans="16:16">
      <c r="P1930" s="115"/>
    </row>
    <row r="1931" spans="16:16">
      <c r="P1931" s="115"/>
    </row>
    <row r="1932" spans="16:16">
      <c r="P1932" s="115"/>
    </row>
    <row r="1933" spans="16:16">
      <c r="P1933" s="115"/>
    </row>
    <row r="1934" spans="16:16">
      <c r="P1934" s="115"/>
    </row>
    <row r="1935" spans="16:16">
      <c r="P1935" s="115"/>
    </row>
    <row r="1936" spans="16:16">
      <c r="P1936" s="115"/>
    </row>
    <row r="1937" spans="16:16">
      <c r="P1937" s="115"/>
    </row>
    <row r="1938" spans="16:16">
      <c r="P1938" s="115"/>
    </row>
    <row r="1939" spans="16:16">
      <c r="P1939" s="115"/>
    </row>
    <row r="1940" spans="16:16">
      <c r="P1940" s="115"/>
    </row>
    <row r="1941" spans="16:16">
      <c r="P1941" s="115"/>
    </row>
    <row r="1942" spans="16:16">
      <c r="P1942" s="115"/>
    </row>
    <row r="1943" spans="16:16">
      <c r="P1943" s="115"/>
    </row>
    <row r="1944" spans="16:16">
      <c r="P1944" s="115"/>
    </row>
    <row r="1945" spans="16:16">
      <c r="P1945" s="115"/>
    </row>
    <row r="1946" spans="16:16">
      <c r="P1946" s="115"/>
    </row>
    <row r="1947" spans="16:16">
      <c r="P1947" s="115"/>
    </row>
    <row r="1948" spans="16:16">
      <c r="P1948" s="115"/>
    </row>
    <row r="1949" spans="16:16">
      <c r="P1949" s="115"/>
    </row>
    <row r="1950" spans="16:16">
      <c r="P1950" s="115"/>
    </row>
    <row r="1951" spans="16:16">
      <c r="P1951" s="115"/>
    </row>
    <row r="1952" spans="16:16">
      <c r="P1952" s="115"/>
    </row>
    <row r="1953" spans="16:16">
      <c r="P1953" s="115"/>
    </row>
    <row r="1954" spans="16:16">
      <c r="P1954" s="115"/>
    </row>
    <row r="1955" spans="16:16">
      <c r="P1955" s="115"/>
    </row>
    <row r="1956" spans="16:16">
      <c r="P1956" s="115"/>
    </row>
    <row r="1957" spans="16:16">
      <c r="P1957" s="115"/>
    </row>
    <row r="1958" spans="16:16">
      <c r="P1958" s="115"/>
    </row>
    <row r="1959" spans="16:16">
      <c r="P1959" s="115"/>
    </row>
    <row r="1960" spans="16:16">
      <c r="P1960" s="115"/>
    </row>
    <row r="1961" spans="16:16">
      <c r="P1961" s="115"/>
    </row>
    <row r="1962" spans="16:16">
      <c r="P1962" s="115"/>
    </row>
    <row r="1963" spans="16:16">
      <c r="P1963" s="115"/>
    </row>
    <row r="1964" spans="16:16">
      <c r="P1964" s="115"/>
    </row>
    <row r="1965" spans="16:16">
      <c r="P1965" s="115"/>
    </row>
    <row r="1966" spans="16:16">
      <c r="P1966" s="115"/>
    </row>
    <row r="1967" spans="16:16">
      <c r="P1967" s="115"/>
    </row>
    <row r="1968" spans="16:16">
      <c r="P1968" s="115"/>
    </row>
    <row r="1969" spans="16:16">
      <c r="P1969" s="115"/>
    </row>
    <row r="1970" spans="16:16">
      <c r="P1970" s="115"/>
    </row>
    <row r="1971" spans="16:16">
      <c r="P1971" s="115"/>
    </row>
    <row r="1972" spans="16:16">
      <c r="P1972" s="115"/>
    </row>
    <row r="1973" spans="16:16">
      <c r="P1973" s="115"/>
    </row>
    <row r="1974" spans="16:16">
      <c r="P1974" s="115"/>
    </row>
    <row r="1975" spans="16:16">
      <c r="P1975" s="115"/>
    </row>
    <row r="1976" spans="16:16">
      <c r="P1976" s="115"/>
    </row>
    <row r="1977" spans="16:16">
      <c r="P1977" s="115"/>
    </row>
    <row r="1978" spans="16:16">
      <c r="P1978" s="115"/>
    </row>
    <row r="1979" spans="16:16">
      <c r="P1979" s="115"/>
    </row>
    <row r="1980" spans="16:16">
      <c r="P1980" s="115"/>
    </row>
    <row r="1981" spans="16:16">
      <c r="P1981" s="115"/>
    </row>
    <row r="1982" spans="16:16">
      <c r="P1982" s="115"/>
    </row>
    <row r="1983" spans="16:16">
      <c r="P1983" s="115"/>
    </row>
    <row r="1984" spans="16:16">
      <c r="P1984" s="115"/>
    </row>
    <row r="1985" spans="16:16">
      <c r="P1985" s="115"/>
    </row>
    <row r="1986" spans="16:16">
      <c r="P1986" s="115"/>
    </row>
    <row r="1987" spans="16:16">
      <c r="P1987" s="115"/>
    </row>
    <row r="1988" spans="16:16">
      <c r="P1988" s="115"/>
    </row>
    <row r="1989" spans="16:16">
      <c r="P1989" s="115"/>
    </row>
    <row r="1990" spans="16:16">
      <c r="P1990" s="115"/>
    </row>
    <row r="1991" spans="16:16">
      <c r="P1991" s="115"/>
    </row>
    <row r="1992" spans="16:16">
      <c r="P1992" s="115"/>
    </row>
    <row r="1993" spans="16:16">
      <c r="P1993" s="115"/>
    </row>
    <row r="1994" spans="16:16">
      <c r="P1994" s="115"/>
    </row>
    <row r="1995" spans="16:16">
      <c r="P1995" s="115"/>
    </row>
    <row r="1996" spans="16:16">
      <c r="P1996" s="115"/>
    </row>
    <row r="1997" spans="16:16">
      <c r="P1997" s="115"/>
    </row>
    <row r="1998" spans="16:16">
      <c r="P1998" s="115"/>
    </row>
    <row r="1999" spans="16:16">
      <c r="P1999" s="115"/>
    </row>
    <row r="2000" spans="16:16">
      <c r="P2000" s="115"/>
    </row>
    <row r="2001" spans="16:16">
      <c r="P2001" s="115"/>
    </row>
    <row r="2002" spans="16:16">
      <c r="P2002" s="115"/>
    </row>
    <row r="2003" spans="16:16">
      <c r="P2003" s="115"/>
    </row>
    <row r="2004" spans="16:16">
      <c r="P2004" s="115"/>
    </row>
    <row r="2005" spans="16:16">
      <c r="P2005" s="115"/>
    </row>
    <row r="2006" spans="16:16">
      <c r="P2006" s="115"/>
    </row>
    <row r="2007" spans="16:16">
      <c r="P2007" s="115"/>
    </row>
    <row r="2008" spans="16:16">
      <c r="P2008" s="115"/>
    </row>
    <row r="2009" spans="16:16">
      <c r="P2009" s="115"/>
    </row>
    <row r="2010" spans="16:16">
      <c r="P2010" s="115"/>
    </row>
    <row r="2011" spans="16:16">
      <c r="P2011" s="115"/>
    </row>
    <row r="2012" spans="16:16">
      <c r="P2012" s="115"/>
    </row>
    <row r="2013" spans="16:16">
      <c r="P2013" s="115"/>
    </row>
    <row r="2014" spans="16:16">
      <c r="P2014" s="115"/>
    </row>
    <row r="2015" spans="16:16">
      <c r="P2015" s="115"/>
    </row>
    <row r="2016" spans="16:16">
      <c r="P2016" s="115"/>
    </row>
    <row r="2017" spans="16:16">
      <c r="P2017" s="115"/>
    </row>
    <row r="2018" spans="16:16">
      <c r="P2018" s="115"/>
    </row>
    <row r="2019" spans="16:16">
      <c r="P2019" s="115"/>
    </row>
    <row r="2020" spans="16:16">
      <c r="P2020" s="115"/>
    </row>
    <row r="2021" spans="16:16">
      <c r="P2021" s="115"/>
    </row>
    <row r="2022" spans="16:16">
      <c r="P2022" s="115"/>
    </row>
    <row r="2023" spans="16:16">
      <c r="P2023" s="115"/>
    </row>
    <row r="2024" spans="16:16">
      <c r="P2024" s="115"/>
    </row>
    <row r="2025" spans="16:16">
      <c r="P2025" s="115"/>
    </row>
    <row r="2026" spans="16:16">
      <c r="P2026" s="115"/>
    </row>
    <row r="2027" spans="16:16">
      <c r="P2027" s="115"/>
    </row>
    <row r="2028" spans="16:16">
      <c r="P2028" s="115"/>
    </row>
    <row r="2029" spans="16:16">
      <c r="P2029" s="115"/>
    </row>
    <row r="2030" spans="16:16">
      <c r="P2030" s="115"/>
    </row>
    <row r="2031" spans="16:16">
      <c r="P2031" s="115"/>
    </row>
    <row r="2032" spans="16:16">
      <c r="P2032" s="115"/>
    </row>
    <row r="2033" spans="16:16">
      <c r="P2033" s="115"/>
    </row>
    <row r="2034" spans="16:16">
      <c r="P2034" s="115"/>
    </row>
    <row r="2035" spans="16:16">
      <c r="P2035" s="115"/>
    </row>
    <row r="2036" spans="16:16">
      <c r="P2036" s="115"/>
    </row>
    <row r="2037" spans="16:16">
      <c r="P2037" s="115"/>
    </row>
    <row r="2038" spans="16:16">
      <c r="P2038" s="115"/>
    </row>
    <row r="2039" spans="16:16">
      <c r="P2039" s="115"/>
    </row>
    <row r="2040" spans="16:16">
      <c r="P2040" s="115"/>
    </row>
    <row r="2041" spans="16:16">
      <c r="P2041" s="115"/>
    </row>
    <row r="2042" spans="16:16">
      <c r="P2042" s="115"/>
    </row>
    <row r="2043" spans="16:16">
      <c r="P2043" s="115"/>
    </row>
    <row r="2044" spans="16:16">
      <c r="P2044" s="115"/>
    </row>
    <row r="2045" spans="16:16">
      <c r="P2045" s="115"/>
    </row>
    <row r="2046" spans="16:16">
      <c r="P2046" s="115"/>
    </row>
    <row r="2047" spans="16:16">
      <c r="P2047" s="115"/>
    </row>
    <row r="2048" spans="16:16">
      <c r="P2048" s="115"/>
    </row>
    <row r="2049" spans="16:16">
      <c r="P2049" s="115"/>
    </row>
    <row r="2050" spans="16:16">
      <c r="P2050" s="115"/>
    </row>
    <row r="2051" spans="16:16">
      <c r="P2051" s="115"/>
    </row>
    <row r="2052" spans="16:16">
      <c r="P2052" s="115"/>
    </row>
    <row r="2053" spans="16:16">
      <c r="P2053" s="115"/>
    </row>
    <row r="2054" spans="16:16">
      <c r="P2054" s="115"/>
    </row>
    <row r="2055" spans="16:16">
      <c r="P2055" s="115"/>
    </row>
    <row r="2056" spans="16:16">
      <c r="P2056" s="115"/>
    </row>
    <row r="2057" spans="16:16">
      <c r="P2057" s="115"/>
    </row>
    <row r="2058" spans="16:16">
      <c r="P2058" s="115"/>
    </row>
    <row r="2059" spans="16:16">
      <c r="P2059" s="115"/>
    </row>
    <row r="2060" spans="16:16">
      <c r="P2060" s="115"/>
    </row>
    <row r="2061" spans="16:16">
      <c r="P2061" s="115"/>
    </row>
    <row r="2062" spans="16:16">
      <c r="P2062" s="115"/>
    </row>
    <row r="2063" spans="16:16">
      <c r="P2063" s="115"/>
    </row>
    <row r="2064" spans="16:16">
      <c r="P2064" s="115"/>
    </row>
    <row r="2065" spans="16:16">
      <c r="P2065" s="115"/>
    </row>
    <row r="2066" spans="16:16">
      <c r="P2066" s="115"/>
    </row>
    <row r="2067" spans="16:16">
      <c r="P2067" s="115"/>
    </row>
    <row r="2068" spans="16:16">
      <c r="P2068" s="115"/>
    </row>
    <row r="2069" spans="16:16">
      <c r="P2069" s="115"/>
    </row>
    <row r="2070" spans="16:16">
      <c r="P2070" s="115"/>
    </row>
    <row r="2071" spans="16:16">
      <c r="P2071" s="115"/>
    </row>
    <row r="2072" spans="16:16">
      <c r="P2072" s="115"/>
    </row>
    <row r="2073" spans="16:16">
      <c r="P2073" s="115"/>
    </row>
    <row r="2074" spans="16:16">
      <c r="P2074" s="115"/>
    </row>
    <row r="2075" spans="16:16">
      <c r="P2075" s="115"/>
    </row>
    <row r="2076" spans="16:16">
      <c r="P2076" s="115"/>
    </row>
    <row r="2077" spans="16:16">
      <c r="P2077" s="115"/>
    </row>
    <row r="2078" spans="16:16">
      <c r="P2078" s="115"/>
    </row>
    <row r="2079" spans="16:16">
      <c r="P2079" s="115"/>
    </row>
    <row r="2080" spans="16:16">
      <c r="P2080" s="115"/>
    </row>
    <row r="2081" spans="16:16">
      <c r="P2081" s="115"/>
    </row>
    <row r="2082" spans="16:16">
      <c r="P2082" s="115"/>
    </row>
    <row r="2083" spans="16:16">
      <c r="P2083" s="115"/>
    </row>
    <row r="2084" spans="16:16">
      <c r="P2084" s="115"/>
    </row>
    <row r="2085" spans="16:16">
      <c r="P2085" s="115"/>
    </row>
    <row r="2086" spans="16:16">
      <c r="P2086" s="115"/>
    </row>
    <row r="2087" spans="16:16">
      <c r="P2087" s="115"/>
    </row>
    <row r="2088" spans="16:16">
      <c r="P2088" s="115"/>
    </row>
    <row r="2089" spans="16:16">
      <c r="P2089" s="115"/>
    </row>
    <row r="2090" spans="16:16">
      <c r="P2090" s="115"/>
    </row>
    <row r="2091" spans="16:16">
      <c r="P2091" s="115"/>
    </row>
    <row r="2092" spans="16:16">
      <c r="P2092" s="115"/>
    </row>
    <row r="2093" spans="16:16">
      <c r="P2093" s="115"/>
    </row>
    <row r="2094" spans="16:16">
      <c r="P2094" s="115"/>
    </row>
    <row r="2095" spans="16:16">
      <c r="P2095" s="115"/>
    </row>
    <row r="2096" spans="16:16">
      <c r="P2096" s="115"/>
    </row>
    <row r="2097" spans="16:16">
      <c r="P2097" s="115"/>
    </row>
    <row r="2098" spans="16:16">
      <c r="P2098" s="115"/>
    </row>
    <row r="2099" spans="16:16">
      <c r="P2099" s="115"/>
    </row>
    <row r="2100" spans="16:16">
      <c r="P2100" s="115"/>
    </row>
    <row r="2101" spans="16:16">
      <c r="P2101" s="115"/>
    </row>
    <row r="2102" spans="16:16">
      <c r="P2102" s="115"/>
    </row>
    <row r="2103" spans="16:16">
      <c r="P2103" s="115"/>
    </row>
    <row r="2104" spans="16:16">
      <c r="P2104" s="115"/>
    </row>
    <row r="2105" spans="16:16">
      <c r="P2105" s="115"/>
    </row>
    <row r="2106" spans="16:16">
      <c r="P2106" s="115"/>
    </row>
    <row r="2107" spans="16:16">
      <c r="P2107" s="115"/>
    </row>
    <row r="2108" spans="16:16">
      <c r="P2108" s="115"/>
    </row>
    <row r="2109" spans="16:16">
      <c r="P2109" s="115"/>
    </row>
    <row r="2110" spans="16:16">
      <c r="P2110" s="115"/>
    </row>
    <row r="2111" spans="16:16">
      <c r="P2111" s="115"/>
    </row>
    <row r="2112" spans="16:16">
      <c r="P2112" s="115"/>
    </row>
    <row r="2113" spans="16:16">
      <c r="P2113" s="115"/>
    </row>
    <row r="2114" spans="16:16">
      <c r="P2114" s="115"/>
    </row>
    <row r="2115" spans="16:16">
      <c r="P2115" s="115"/>
    </row>
    <row r="2116" spans="16:16">
      <c r="P2116" s="115"/>
    </row>
    <row r="2117" spans="16:16">
      <c r="P2117" s="115"/>
    </row>
    <row r="2118" spans="16:16">
      <c r="P2118" s="115"/>
    </row>
    <row r="2119" spans="16:16">
      <c r="P2119" s="115"/>
    </row>
    <row r="2120" spans="16:16">
      <c r="P2120" s="115"/>
    </row>
    <row r="2121" spans="16:16">
      <c r="P2121" s="115"/>
    </row>
    <row r="2122" spans="16:16">
      <c r="P2122" s="115"/>
    </row>
    <row r="2123" spans="16:16">
      <c r="P2123" s="115"/>
    </row>
    <row r="2124" spans="16:16">
      <c r="P2124" s="115"/>
    </row>
    <row r="2125" spans="16:16">
      <c r="P2125" s="115"/>
    </row>
    <row r="2126" spans="16:16">
      <c r="P2126" s="115"/>
    </row>
    <row r="2127" spans="16:16">
      <c r="P2127" s="115"/>
    </row>
    <row r="2128" spans="16:16">
      <c r="P2128" s="115"/>
    </row>
    <row r="2129" spans="16:16">
      <c r="P2129" s="115"/>
    </row>
    <row r="2130" spans="16:16">
      <c r="P2130" s="115"/>
    </row>
    <row r="2131" spans="16:16">
      <c r="P2131" s="115"/>
    </row>
    <row r="2132" spans="16:16">
      <c r="P2132" s="115"/>
    </row>
    <row r="2133" spans="16:16">
      <c r="P2133" s="115"/>
    </row>
    <row r="2134" spans="16:16">
      <c r="P2134" s="115"/>
    </row>
    <row r="2135" spans="16:16">
      <c r="P2135" s="115"/>
    </row>
    <row r="2136" spans="16:16">
      <c r="P2136" s="115"/>
    </row>
    <row r="2137" spans="16:16">
      <c r="P2137" s="115"/>
    </row>
    <row r="2138" spans="16:16">
      <c r="P2138" s="115"/>
    </row>
    <row r="2139" spans="16:16">
      <c r="P2139" s="115"/>
    </row>
    <row r="2140" spans="16:16">
      <c r="P2140" s="115"/>
    </row>
    <row r="2141" spans="16:16">
      <c r="P2141" s="115"/>
    </row>
    <row r="2142" spans="16:16">
      <c r="P2142" s="115"/>
    </row>
    <row r="2143" spans="16:16">
      <c r="P2143" s="115"/>
    </row>
    <row r="2144" spans="16:16">
      <c r="P2144" s="115"/>
    </row>
    <row r="2145" spans="16:16">
      <c r="P2145" s="115"/>
    </row>
    <row r="2146" spans="16:16">
      <c r="P2146" s="115"/>
    </row>
    <row r="2147" spans="16:16">
      <c r="P2147" s="115"/>
    </row>
    <row r="2148" spans="16:16">
      <c r="P2148" s="115"/>
    </row>
    <row r="2149" spans="16:16">
      <c r="P2149" s="115"/>
    </row>
    <row r="2150" spans="16:16">
      <c r="P2150" s="115"/>
    </row>
    <row r="2151" spans="16:16">
      <c r="P2151" s="115"/>
    </row>
    <row r="2152" spans="16:16">
      <c r="P2152" s="115"/>
    </row>
    <row r="2153" spans="16:16">
      <c r="P2153" s="115"/>
    </row>
    <row r="2154" spans="16:16">
      <c r="P2154" s="115"/>
    </row>
    <row r="2155" spans="16:16">
      <c r="P2155" s="115"/>
    </row>
    <row r="2156" spans="16:16">
      <c r="P2156" s="115"/>
    </row>
    <row r="2157" spans="16:16">
      <c r="P2157" s="115"/>
    </row>
    <row r="2158" spans="16:16">
      <c r="P2158" s="115"/>
    </row>
    <row r="2159" spans="16:16">
      <c r="P2159" s="115"/>
    </row>
    <row r="2160" spans="16:16">
      <c r="P2160" s="115"/>
    </row>
    <row r="2161" spans="16:16">
      <c r="P2161" s="115"/>
    </row>
    <row r="2162" spans="16:16">
      <c r="P2162" s="115"/>
    </row>
    <row r="2163" spans="16:16">
      <c r="P2163" s="115"/>
    </row>
    <row r="2164" spans="16:16">
      <c r="P2164" s="115"/>
    </row>
    <row r="2165" spans="16:16">
      <c r="P2165" s="115"/>
    </row>
    <row r="2166" spans="16:16">
      <c r="P2166" s="115"/>
    </row>
    <row r="2167" spans="16:16">
      <c r="P2167" s="115"/>
    </row>
    <row r="2168" spans="16:16">
      <c r="P2168" s="115"/>
    </row>
    <row r="2169" spans="16:16">
      <c r="P2169" s="115"/>
    </row>
    <row r="2170" spans="16:16">
      <c r="P2170" s="115"/>
    </row>
    <row r="2171" spans="16:16">
      <c r="P2171" s="115"/>
    </row>
    <row r="2172" spans="16:16">
      <c r="P2172" s="115"/>
    </row>
    <row r="2173" spans="16:16">
      <c r="P2173" s="115"/>
    </row>
    <row r="2174" spans="16:16">
      <c r="P2174" s="115"/>
    </row>
    <row r="2175" spans="16:16">
      <c r="P2175" s="115"/>
    </row>
    <row r="2176" spans="16:16">
      <c r="P2176" s="115"/>
    </row>
    <row r="2177" spans="16:16">
      <c r="P2177" s="115"/>
    </row>
    <row r="2178" spans="16:16">
      <c r="P2178" s="115"/>
    </row>
    <row r="2179" spans="16:16">
      <c r="P2179" s="115"/>
    </row>
    <row r="2180" spans="16:16">
      <c r="P2180" s="115"/>
    </row>
    <row r="2181" spans="16:16">
      <c r="P2181" s="115"/>
    </row>
    <row r="2182" spans="16:16">
      <c r="P2182" s="115"/>
    </row>
    <row r="2183" spans="16:16">
      <c r="P2183" s="115"/>
    </row>
    <row r="2184" spans="16:16">
      <c r="P2184" s="115"/>
    </row>
    <row r="2185" spans="16:16">
      <c r="P2185" s="115"/>
    </row>
    <row r="2186" spans="16:16">
      <c r="P2186" s="115"/>
    </row>
    <row r="2187" spans="16:16">
      <c r="P2187" s="115"/>
    </row>
    <row r="2188" spans="16:16">
      <c r="P2188" s="115"/>
    </row>
    <row r="2189" spans="16:16">
      <c r="P2189" s="115"/>
    </row>
    <row r="2190" spans="16:16">
      <c r="P2190" s="115"/>
    </row>
    <row r="2191" spans="16:16">
      <c r="P2191" s="115"/>
    </row>
    <row r="2192" spans="16:16">
      <c r="P2192" s="115"/>
    </row>
    <row r="2193" spans="16:16">
      <c r="P2193" s="115"/>
    </row>
    <row r="2194" spans="16:16">
      <c r="P2194" s="115"/>
    </row>
    <row r="2195" spans="16:16">
      <c r="P2195" s="115"/>
    </row>
    <row r="2196" spans="16:16">
      <c r="P2196" s="115"/>
    </row>
    <row r="2197" spans="16:16">
      <c r="P2197" s="115"/>
    </row>
    <row r="2198" spans="16:16">
      <c r="P2198" s="115"/>
    </row>
    <row r="2199" spans="16:16">
      <c r="P2199" s="115"/>
    </row>
    <row r="2200" spans="16:16">
      <c r="P2200" s="115"/>
    </row>
    <row r="2201" spans="16:16">
      <c r="P2201" s="115"/>
    </row>
    <row r="2202" spans="16:16">
      <c r="P2202" s="115"/>
    </row>
    <row r="2203" spans="16:16">
      <c r="P2203" s="115"/>
    </row>
    <row r="2204" spans="16:16">
      <c r="P2204" s="115"/>
    </row>
    <row r="2205" spans="16:16">
      <c r="P2205" s="115"/>
    </row>
    <row r="2206" spans="16:16">
      <c r="P2206" s="115"/>
    </row>
    <row r="2207" spans="16:16">
      <c r="P2207" s="115"/>
    </row>
    <row r="2208" spans="16:16">
      <c r="P2208" s="115"/>
    </row>
    <row r="2209" spans="16:16">
      <c r="P2209" s="115"/>
    </row>
    <row r="2210" spans="16:16">
      <c r="P2210" s="115"/>
    </row>
    <row r="2211" spans="16:16">
      <c r="P2211" s="115"/>
    </row>
    <row r="2212" spans="16:16">
      <c r="P2212" s="115"/>
    </row>
    <row r="2213" spans="16:16">
      <c r="P2213" s="115"/>
    </row>
    <row r="2214" spans="16:16">
      <c r="P2214" s="115"/>
    </row>
    <row r="2215" spans="16:16">
      <c r="P2215" s="115"/>
    </row>
    <row r="2216" spans="16:16">
      <c r="P2216" s="115"/>
    </row>
    <row r="2217" spans="16:16">
      <c r="P2217" s="115"/>
    </row>
    <row r="2218" spans="16:16">
      <c r="P2218" s="115"/>
    </row>
    <row r="2219" spans="16:16">
      <c r="P2219" s="115"/>
    </row>
    <row r="2220" spans="16:16">
      <c r="P2220" s="115"/>
    </row>
    <row r="2221" spans="16:16">
      <c r="P2221" s="115"/>
    </row>
    <row r="2222" spans="16:16">
      <c r="P2222" s="115"/>
    </row>
    <row r="2223" spans="16:16">
      <c r="P2223" s="115"/>
    </row>
    <row r="2224" spans="16:16">
      <c r="P2224" s="115"/>
    </row>
    <row r="2225" spans="16:16">
      <c r="P2225" s="115"/>
    </row>
    <row r="2226" spans="16:16">
      <c r="P2226" s="115"/>
    </row>
    <row r="2227" spans="16:16">
      <c r="P2227" s="115"/>
    </row>
    <row r="2228" spans="16:16">
      <c r="P2228" s="115"/>
    </row>
    <row r="2229" spans="16:16">
      <c r="P2229" s="115"/>
    </row>
    <row r="2230" spans="16:16">
      <c r="P2230" s="115"/>
    </row>
    <row r="2231" spans="16:16">
      <c r="P2231" s="115"/>
    </row>
    <row r="2232" spans="16:16">
      <c r="P2232" s="115"/>
    </row>
    <row r="2233" spans="16:16">
      <c r="P2233" s="115"/>
    </row>
    <row r="2234" spans="16:16">
      <c r="P2234" s="115"/>
    </row>
    <row r="2235" spans="16:16">
      <c r="P2235" s="115"/>
    </row>
    <row r="2236" spans="16:16">
      <c r="P2236" s="115"/>
    </row>
    <row r="2237" spans="16:16">
      <c r="P2237" s="115"/>
    </row>
    <row r="2238" spans="16:16">
      <c r="P2238" s="115"/>
    </row>
    <row r="2239" spans="16:16">
      <c r="P2239" s="115"/>
    </row>
    <row r="2240" spans="16:16">
      <c r="P2240" s="115"/>
    </row>
    <row r="2241" spans="16:16">
      <c r="P2241" s="115"/>
    </row>
    <row r="2242" spans="16:16">
      <c r="P2242" s="115"/>
    </row>
    <row r="2243" spans="16:16">
      <c r="P2243" s="115"/>
    </row>
    <row r="2244" spans="16:16">
      <c r="P2244" s="115"/>
    </row>
    <row r="2245" spans="16:16">
      <c r="P2245" s="115"/>
    </row>
    <row r="2246" spans="16:16">
      <c r="P2246" s="115"/>
    </row>
    <row r="2247" spans="16:16">
      <c r="P2247" s="115"/>
    </row>
    <row r="2248" spans="16:16">
      <c r="P2248" s="115"/>
    </row>
    <row r="2249" spans="16:16">
      <c r="P2249" s="115"/>
    </row>
    <row r="2250" spans="16:16">
      <c r="P2250" s="115"/>
    </row>
    <row r="2251" spans="16:16">
      <c r="P2251" s="115"/>
    </row>
    <row r="2252" spans="16:16">
      <c r="P2252" s="115"/>
    </row>
    <row r="2253" spans="16:16">
      <c r="P2253" s="115"/>
    </row>
    <row r="2254" spans="16:16">
      <c r="P2254" s="115"/>
    </row>
    <row r="2255" spans="16:16">
      <c r="P2255" s="115"/>
    </row>
    <row r="2256" spans="16:16">
      <c r="P2256" s="115"/>
    </row>
    <row r="2257" spans="16:16">
      <c r="P2257" s="115"/>
    </row>
    <row r="2258" spans="16:16">
      <c r="P2258" s="115"/>
    </row>
    <row r="2259" spans="16:16">
      <c r="P2259" s="115"/>
    </row>
    <row r="2260" spans="16:16">
      <c r="P2260" s="115"/>
    </row>
    <row r="2261" spans="16:16">
      <c r="P2261" s="115"/>
    </row>
    <row r="2262" spans="16:16">
      <c r="P2262" s="115"/>
    </row>
    <row r="2263" spans="16:16">
      <c r="P2263" s="115"/>
    </row>
    <row r="2264" spans="16:16">
      <c r="P2264" s="115"/>
    </row>
    <row r="2265" spans="16:16">
      <c r="P2265" s="115"/>
    </row>
    <row r="2266" spans="16:16">
      <c r="P2266" s="115"/>
    </row>
    <row r="2267" spans="16:16">
      <c r="P2267" s="115"/>
    </row>
    <row r="2268" spans="16:16">
      <c r="P2268" s="115"/>
    </row>
    <row r="2269" spans="16:16">
      <c r="P2269" s="115"/>
    </row>
    <row r="2270" spans="16:16">
      <c r="P2270" s="115"/>
    </row>
    <row r="2271" spans="16:16">
      <c r="P2271" s="115"/>
    </row>
    <row r="2272" spans="16:16">
      <c r="P2272" s="115"/>
    </row>
    <row r="2273" spans="16:16">
      <c r="P2273" s="115"/>
    </row>
    <row r="2274" spans="16:16">
      <c r="P2274" s="115"/>
    </row>
    <row r="2275" spans="16:16">
      <c r="P2275" s="115"/>
    </row>
    <row r="2276" spans="16:16">
      <c r="P2276" s="115"/>
    </row>
    <row r="2277" spans="16:16">
      <c r="P2277" s="115"/>
    </row>
    <row r="2278" spans="16:16">
      <c r="P2278" s="115"/>
    </row>
    <row r="2279" spans="16:16">
      <c r="P2279" s="115"/>
    </row>
    <row r="2280" spans="16:16">
      <c r="P2280" s="115"/>
    </row>
    <row r="2281" spans="16:16">
      <c r="P2281" s="115"/>
    </row>
    <row r="2282" spans="16:16">
      <c r="P2282" s="115"/>
    </row>
    <row r="2283" spans="16:16">
      <c r="P2283" s="115"/>
    </row>
    <row r="2284" spans="16:16">
      <c r="P2284" s="115"/>
    </row>
    <row r="2285" spans="16:16">
      <c r="P2285" s="115"/>
    </row>
    <row r="2286" spans="16:16">
      <c r="P2286" s="115"/>
    </row>
    <row r="2287" spans="16:16">
      <c r="P2287" s="115"/>
    </row>
    <row r="2288" spans="16:16">
      <c r="P2288" s="115"/>
    </row>
    <row r="2289" spans="16:16">
      <c r="P2289" s="115"/>
    </row>
    <row r="2290" spans="16:16">
      <c r="P2290" s="115"/>
    </row>
    <row r="2291" spans="16:16">
      <c r="P2291" s="115"/>
    </row>
    <row r="2292" spans="16:16">
      <c r="P2292" s="115"/>
    </row>
    <row r="2293" spans="16:16">
      <c r="P2293" s="115"/>
    </row>
    <row r="2294" spans="16:16">
      <c r="P2294" s="115"/>
    </row>
    <row r="2295" spans="16:16">
      <c r="P2295" s="115"/>
    </row>
    <row r="2296" spans="16:16">
      <c r="P2296" s="115"/>
    </row>
    <row r="2297" spans="16:16">
      <c r="P2297" s="115"/>
    </row>
    <row r="2298" spans="16:16">
      <c r="P2298" s="115"/>
    </row>
    <row r="2299" spans="16:16">
      <c r="P2299" s="115"/>
    </row>
    <row r="2300" spans="16:16">
      <c r="P2300" s="115"/>
    </row>
    <row r="2301" spans="16:16">
      <c r="P2301" s="115"/>
    </row>
    <row r="2302" spans="16:16">
      <c r="P2302" s="115"/>
    </row>
    <row r="2303" spans="16:16">
      <c r="P2303" s="115"/>
    </row>
    <row r="2304" spans="16:16">
      <c r="P2304" s="115"/>
    </row>
    <row r="2305" spans="16:16">
      <c r="P2305" s="115"/>
    </row>
    <row r="2306" spans="16:16">
      <c r="P2306" s="115"/>
    </row>
    <row r="2307" spans="16:16">
      <c r="P2307" s="115"/>
    </row>
    <row r="2308" spans="16:16">
      <c r="P2308" s="115"/>
    </row>
    <row r="2309" spans="16:16">
      <c r="P2309" s="115"/>
    </row>
    <row r="2310" spans="16:16">
      <c r="P2310" s="115"/>
    </row>
    <row r="2311" spans="16:16">
      <c r="P2311" s="115"/>
    </row>
    <row r="2312" spans="16:16">
      <c r="P2312" s="115"/>
    </row>
    <row r="2313" spans="16:16">
      <c r="P2313" s="115"/>
    </row>
    <row r="2314" spans="16:16">
      <c r="P2314" s="115"/>
    </row>
    <row r="2315" spans="16:16">
      <c r="P2315" s="115"/>
    </row>
    <row r="2316" spans="16:16">
      <c r="P2316" s="115"/>
    </row>
    <row r="2317" spans="16:16">
      <c r="P2317" s="115"/>
    </row>
    <row r="2318" spans="16:16">
      <c r="P2318" s="115"/>
    </row>
    <row r="2319" spans="16:16">
      <c r="P2319" s="115"/>
    </row>
    <row r="2320" spans="16:16">
      <c r="P2320" s="115"/>
    </row>
    <row r="2321" spans="16:16">
      <c r="P2321" s="115"/>
    </row>
    <row r="2322" spans="16:16">
      <c r="P2322" s="115"/>
    </row>
    <row r="2323" spans="16:16">
      <c r="P2323" s="115"/>
    </row>
    <row r="2324" spans="16:16">
      <c r="P2324" s="115"/>
    </row>
    <row r="2325" spans="16:16">
      <c r="P2325" s="115"/>
    </row>
    <row r="2326" spans="16:16">
      <c r="P2326" s="115"/>
    </row>
    <row r="2327" spans="16:16">
      <c r="P2327" s="115"/>
    </row>
    <row r="2328" spans="16:16">
      <c r="P2328" s="115"/>
    </row>
    <row r="2329" spans="16:16">
      <c r="P2329" s="115"/>
    </row>
    <row r="2330" spans="16:16">
      <c r="P2330" s="115"/>
    </row>
    <row r="2331" spans="16:16">
      <c r="P2331" s="115"/>
    </row>
    <row r="2332" spans="16:16">
      <c r="P2332" s="115"/>
    </row>
    <row r="2333" spans="16:16">
      <c r="P2333" s="115"/>
    </row>
    <row r="2334" spans="16:16">
      <c r="P2334" s="115"/>
    </row>
    <row r="2335" spans="16:16">
      <c r="P2335" s="115"/>
    </row>
    <row r="2336" spans="16:16">
      <c r="P2336" s="115"/>
    </row>
    <row r="2337" spans="16:16">
      <c r="P2337" s="115"/>
    </row>
    <row r="2338" spans="16:16">
      <c r="P2338" s="115"/>
    </row>
    <row r="2339" spans="16:16">
      <c r="P2339" s="115"/>
    </row>
    <row r="2340" spans="16:16">
      <c r="P2340" s="115"/>
    </row>
    <row r="2341" spans="16:16">
      <c r="P2341" s="115"/>
    </row>
    <row r="2342" spans="16:16">
      <c r="P2342" s="115"/>
    </row>
    <row r="2343" spans="16:16">
      <c r="P2343" s="115"/>
    </row>
    <row r="2344" spans="16:16">
      <c r="P2344" s="115"/>
    </row>
    <row r="2345" spans="16:16">
      <c r="P2345" s="115"/>
    </row>
    <row r="2346" spans="16:16">
      <c r="P2346" s="115"/>
    </row>
    <row r="2347" spans="16:16">
      <c r="P2347" s="115"/>
    </row>
    <row r="2348" spans="16:16">
      <c r="P2348" s="115"/>
    </row>
    <row r="2349" spans="16:16">
      <c r="P2349" s="115"/>
    </row>
    <row r="2350" spans="16:16">
      <c r="P2350" s="115"/>
    </row>
    <row r="2351" spans="16:16">
      <c r="P2351" s="115"/>
    </row>
    <row r="2352" spans="16:16">
      <c r="P2352" s="115"/>
    </row>
    <row r="2353" spans="16:16">
      <c r="P2353" s="115"/>
    </row>
    <row r="2354" spans="16:16">
      <c r="P2354" s="115"/>
    </row>
    <row r="2355" spans="16:16">
      <c r="P2355" s="115"/>
    </row>
    <row r="2356" spans="16:16">
      <c r="P2356" s="115"/>
    </row>
    <row r="2357" spans="16:16">
      <c r="P2357" s="115"/>
    </row>
    <row r="2358" spans="16:16">
      <c r="P2358" s="115"/>
    </row>
    <row r="2359" spans="16:16">
      <c r="P2359" s="115"/>
    </row>
    <row r="2360" spans="16:16">
      <c r="P2360" s="115"/>
    </row>
    <row r="2361" spans="16:16">
      <c r="P2361" s="115"/>
    </row>
    <row r="2362" spans="16:16">
      <c r="P2362" s="115"/>
    </row>
    <row r="2363" spans="16:16">
      <c r="P2363" s="115"/>
    </row>
    <row r="2364" spans="16:16">
      <c r="P2364" s="115"/>
    </row>
    <row r="2365" spans="16:16">
      <c r="P2365" s="115"/>
    </row>
    <row r="2366" spans="16:16">
      <c r="P2366" s="115"/>
    </row>
    <row r="2367" spans="16:16">
      <c r="P2367" s="115"/>
    </row>
    <row r="2368" spans="16:16">
      <c r="P2368" s="115"/>
    </row>
    <row r="2369" spans="16:16">
      <c r="P2369" s="115"/>
    </row>
    <row r="2370" spans="16:16">
      <c r="P2370" s="115"/>
    </row>
    <row r="2371" spans="16:16">
      <c r="P2371" s="115"/>
    </row>
    <row r="2372" spans="16:16">
      <c r="P2372" s="115"/>
    </row>
    <row r="2373" spans="16:16">
      <c r="P2373" s="115"/>
    </row>
    <row r="2374" spans="16:16">
      <c r="P2374" s="115"/>
    </row>
    <row r="2375" spans="16:16">
      <c r="P2375" s="115"/>
    </row>
    <row r="2376" spans="16:16">
      <c r="P2376" s="115"/>
    </row>
    <row r="2377" spans="16:16">
      <c r="P2377" s="115"/>
    </row>
    <row r="2378" spans="16:16">
      <c r="P2378" s="115"/>
    </row>
    <row r="2379" spans="16:16">
      <c r="P2379" s="115"/>
    </row>
    <row r="2380" spans="16:16">
      <c r="P2380" s="115"/>
    </row>
    <row r="2381" spans="16:16">
      <c r="P2381" s="115"/>
    </row>
    <row r="2382" spans="16:16">
      <c r="P2382" s="115"/>
    </row>
    <row r="2383" spans="16:16">
      <c r="P2383" s="115"/>
    </row>
    <row r="2384" spans="16:16">
      <c r="P2384" s="115"/>
    </row>
    <row r="2385" spans="16:16">
      <c r="P2385" s="115"/>
    </row>
    <row r="2386" spans="16:16">
      <c r="P2386" s="115"/>
    </row>
    <row r="2387" spans="16:16">
      <c r="P2387" s="115"/>
    </row>
    <row r="2388" spans="16:16">
      <c r="P2388" s="115"/>
    </row>
    <row r="2389" spans="16:16">
      <c r="P2389" s="115"/>
    </row>
    <row r="2390" spans="16:16">
      <c r="P2390" s="115"/>
    </row>
    <row r="2391" spans="16:16">
      <c r="P2391" s="115"/>
    </row>
    <row r="2392" spans="16:16">
      <c r="P2392" s="115"/>
    </row>
    <row r="2393" spans="16:16">
      <c r="P2393" s="115"/>
    </row>
    <row r="2394" spans="16:16">
      <c r="P2394" s="115"/>
    </row>
    <row r="2395" spans="16:16">
      <c r="P2395" s="115"/>
    </row>
    <row r="2396" spans="16:16">
      <c r="P2396" s="115"/>
    </row>
    <row r="2397" spans="16:16">
      <c r="P2397" s="115"/>
    </row>
    <row r="2398" spans="16:16">
      <c r="P2398" s="115"/>
    </row>
    <row r="2399" spans="16:16">
      <c r="P2399" s="115"/>
    </row>
    <row r="2400" spans="16:16">
      <c r="P2400" s="115"/>
    </row>
    <row r="2401" spans="16:16">
      <c r="P2401" s="115"/>
    </row>
    <row r="2402" spans="16:16">
      <c r="P2402" s="115"/>
    </row>
    <row r="2403" spans="16:16">
      <c r="P2403" s="115"/>
    </row>
    <row r="2404" spans="16:16">
      <c r="P2404" s="115"/>
    </row>
    <row r="2405" spans="16:16">
      <c r="P2405" s="115"/>
    </row>
    <row r="2406" spans="16:16">
      <c r="P2406" s="115"/>
    </row>
    <row r="2407" spans="16:16">
      <c r="P2407" s="115"/>
    </row>
    <row r="2408" spans="16:16">
      <c r="P2408" s="115"/>
    </row>
    <row r="2409" spans="16:16">
      <c r="P2409" s="115"/>
    </row>
    <row r="2410" spans="16:16">
      <c r="P2410" s="115"/>
    </row>
    <row r="2411" spans="16:16">
      <c r="P2411" s="115"/>
    </row>
    <row r="2412" spans="16:16">
      <c r="P2412" s="115"/>
    </row>
    <row r="2413" spans="16:16">
      <c r="P2413" s="115"/>
    </row>
    <row r="2414" spans="16:16">
      <c r="P2414" s="115"/>
    </row>
    <row r="2415" spans="16:16">
      <c r="P2415" s="115"/>
    </row>
    <row r="2416" spans="16:16">
      <c r="P2416" s="115"/>
    </row>
    <row r="2417" spans="16:16">
      <c r="P2417" s="115"/>
    </row>
    <row r="2418" spans="16:16">
      <c r="P2418" s="115"/>
    </row>
    <row r="2419" spans="16:16">
      <c r="P2419" s="115"/>
    </row>
    <row r="2420" spans="16:16">
      <c r="P2420" s="115"/>
    </row>
    <row r="2421" spans="16:16">
      <c r="P2421" s="115"/>
    </row>
    <row r="2422" spans="16:16">
      <c r="P2422" s="115"/>
    </row>
    <row r="2423" spans="16:16">
      <c r="P2423" s="115"/>
    </row>
    <row r="2424" spans="16:16">
      <c r="P2424" s="115"/>
    </row>
    <row r="2425" spans="16:16">
      <c r="P2425" s="115"/>
    </row>
    <row r="2426" spans="16:16">
      <c r="P2426" s="115"/>
    </row>
    <row r="2427" spans="16:16">
      <c r="P2427" s="115"/>
    </row>
    <row r="2428" spans="16:16">
      <c r="P2428" s="115"/>
    </row>
    <row r="2429" spans="16:16">
      <c r="P2429" s="115"/>
    </row>
    <row r="2430" spans="16:16">
      <c r="P2430" s="115"/>
    </row>
    <row r="2431" spans="16:16">
      <c r="P2431" s="115"/>
    </row>
    <row r="2432" spans="16:16">
      <c r="P2432" s="115"/>
    </row>
    <row r="2433" spans="16:16">
      <c r="P2433" s="115"/>
    </row>
    <row r="2434" spans="16:16">
      <c r="P2434" s="115"/>
    </row>
    <row r="2435" spans="16:16">
      <c r="P2435" s="115"/>
    </row>
    <row r="2436" spans="16:16">
      <c r="P2436" s="115"/>
    </row>
    <row r="2437" spans="16:16">
      <c r="P2437" s="115"/>
    </row>
    <row r="2438" spans="16:16">
      <c r="P2438" s="115"/>
    </row>
    <row r="2439" spans="16:16">
      <c r="P2439" s="115"/>
    </row>
    <row r="2440" spans="16:16">
      <c r="P2440" s="115"/>
    </row>
    <row r="2441" spans="16:16">
      <c r="P2441" s="115"/>
    </row>
    <row r="2442" spans="16:16">
      <c r="P2442" s="115"/>
    </row>
    <row r="2443" spans="16:16">
      <c r="P2443" s="115"/>
    </row>
    <row r="2444" spans="16:16">
      <c r="P2444" s="115"/>
    </row>
    <row r="2445" spans="16:16">
      <c r="P2445" s="115"/>
    </row>
    <row r="2446" spans="16:16">
      <c r="P2446" s="115"/>
    </row>
    <row r="2447" spans="16:16">
      <c r="P2447" s="115"/>
    </row>
    <row r="2448" spans="16:16">
      <c r="P2448" s="115"/>
    </row>
    <row r="2449" spans="16:16">
      <c r="P2449" s="115"/>
    </row>
    <row r="2450" spans="16:16">
      <c r="P2450" s="115"/>
    </row>
    <row r="2451" spans="16:16">
      <c r="P2451" s="115"/>
    </row>
    <row r="2452" spans="16:16">
      <c r="P2452" s="115"/>
    </row>
    <row r="2453" spans="16:16">
      <c r="P2453" s="115"/>
    </row>
    <row r="2454" spans="16:16">
      <c r="P2454" s="115"/>
    </row>
    <row r="2455" spans="16:16">
      <c r="P2455" s="115"/>
    </row>
    <row r="2456" spans="16:16">
      <c r="P2456" s="115"/>
    </row>
    <row r="2457" spans="16:16">
      <c r="P2457" s="115"/>
    </row>
    <row r="2458" spans="16:16">
      <c r="P2458" s="115"/>
    </row>
    <row r="2459" spans="16:16">
      <c r="P2459" s="115"/>
    </row>
    <row r="2460" spans="16:16">
      <c r="P2460" s="115"/>
    </row>
    <row r="2461" spans="16:16">
      <c r="P2461" s="115"/>
    </row>
    <row r="2462" spans="16:16">
      <c r="P2462" s="115"/>
    </row>
    <row r="2463" spans="16:16">
      <c r="P2463" s="115"/>
    </row>
    <row r="2464" spans="16:16">
      <c r="P2464" s="115"/>
    </row>
    <row r="2465" spans="16:16">
      <c r="P2465" s="115"/>
    </row>
    <row r="2466" spans="16:16">
      <c r="P2466" s="115"/>
    </row>
    <row r="2467" spans="16:16">
      <c r="P2467" s="115"/>
    </row>
    <row r="2468" spans="16:16">
      <c r="P2468" s="115"/>
    </row>
    <row r="2469" spans="16:16">
      <c r="P2469" s="115"/>
    </row>
    <row r="2470" spans="16:16">
      <c r="P2470" s="115"/>
    </row>
    <row r="2471" spans="16:16">
      <c r="P2471" s="115"/>
    </row>
    <row r="2472" spans="16:16">
      <c r="P2472" s="115"/>
    </row>
    <row r="2473" spans="16:16">
      <c r="P2473" s="115"/>
    </row>
    <row r="2474" spans="16:16">
      <c r="P2474" s="115"/>
    </row>
    <row r="2475" spans="16:16">
      <c r="P2475" s="115"/>
    </row>
    <row r="2476" spans="16:16">
      <c r="P2476" s="115"/>
    </row>
    <row r="2477" spans="16:16">
      <c r="P2477" s="115"/>
    </row>
    <row r="2478" spans="16:16">
      <c r="P2478" s="115"/>
    </row>
    <row r="2479" spans="16:16">
      <c r="P2479" s="115"/>
    </row>
    <row r="2480" spans="16:16">
      <c r="P2480" s="115"/>
    </row>
    <row r="2481" spans="16:16">
      <c r="P2481" s="115"/>
    </row>
    <row r="2482" spans="16:16">
      <c r="P2482" s="115"/>
    </row>
    <row r="2483" spans="16:16">
      <c r="P2483" s="115"/>
    </row>
    <row r="2484" spans="16:16">
      <c r="P2484" s="115"/>
    </row>
    <row r="2485" spans="16:16">
      <c r="P2485" s="115"/>
    </row>
    <row r="2486" spans="16:16">
      <c r="P2486" s="115"/>
    </row>
    <row r="2487" spans="16:16">
      <c r="P2487" s="115"/>
    </row>
    <row r="2488" spans="16:16">
      <c r="P2488" s="115"/>
    </row>
    <row r="2489" spans="16:16">
      <c r="P2489" s="115"/>
    </row>
    <row r="2490" spans="16:16">
      <c r="P2490" s="115"/>
    </row>
    <row r="2491" spans="16:16">
      <c r="P2491" s="115"/>
    </row>
    <row r="2492" spans="16:16">
      <c r="P2492" s="115"/>
    </row>
    <row r="2493" spans="16:16">
      <c r="P2493" s="115"/>
    </row>
    <row r="2494" spans="16:16">
      <c r="P2494" s="115"/>
    </row>
    <row r="2495" spans="16:16">
      <c r="P2495" s="115"/>
    </row>
    <row r="2496" spans="16:16">
      <c r="P2496" s="115"/>
    </row>
    <row r="2497" spans="16:16">
      <c r="P2497" s="115"/>
    </row>
    <row r="2498" spans="16:16">
      <c r="P2498" s="115"/>
    </row>
    <row r="2499" spans="16:16">
      <c r="P2499" s="115"/>
    </row>
    <row r="2500" spans="16:16">
      <c r="P2500" s="115"/>
    </row>
    <row r="2501" spans="16:16">
      <c r="P2501" s="115"/>
    </row>
    <row r="2502" spans="16:16">
      <c r="P2502" s="115"/>
    </row>
    <row r="2503" spans="16:16">
      <c r="P2503" s="115"/>
    </row>
    <row r="2504" spans="16:16">
      <c r="P2504" s="115"/>
    </row>
    <row r="2505" spans="16:16">
      <c r="P2505" s="115"/>
    </row>
    <row r="2506" spans="16:16">
      <c r="P2506" s="115"/>
    </row>
    <row r="2507" spans="16:16">
      <c r="P2507" s="115"/>
    </row>
    <row r="2508" spans="16:16">
      <c r="P2508" s="115"/>
    </row>
    <row r="2509" spans="16:16">
      <c r="P2509" s="115"/>
    </row>
    <row r="2510" spans="16:16">
      <c r="P2510" s="115"/>
    </row>
    <row r="2511" spans="16:16">
      <c r="P2511" s="115"/>
    </row>
    <row r="2512" spans="16:16">
      <c r="P2512" s="115"/>
    </row>
    <row r="2513" spans="16:16">
      <c r="P2513" s="115"/>
    </row>
    <row r="2514" spans="16:16">
      <c r="P2514" s="115"/>
    </row>
    <row r="2515" spans="16:16">
      <c r="P2515" s="115"/>
    </row>
    <row r="2516" spans="16:16">
      <c r="P2516" s="115"/>
    </row>
    <row r="2517" spans="16:16">
      <c r="P2517" s="115"/>
    </row>
    <row r="2518" spans="16:16">
      <c r="P2518" s="115"/>
    </row>
    <row r="2519" spans="16:16">
      <c r="P2519" s="115"/>
    </row>
    <row r="2520" spans="16:16">
      <c r="P2520" s="115"/>
    </row>
    <row r="2521" spans="16:16">
      <c r="P2521" s="115"/>
    </row>
    <row r="2522" spans="16:16">
      <c r="P2522" s="115"/>
    </row>
    <row r="2523" spans="16:16">
      <c r="P2523" s="115"/>
    </row>
    <row r="2524" spans="16:16">
      <c r="P2524" s="115"/>
    </row>
    <row r="2525" spans="16:16">
      <c r="P2525" s="115"/>
    </row>
    <row r="2526" spans="16:16">
      <c r="P2526" s="115"/>
    </row>
    <row r="2527" spans="16:16">
      <c r="P2527" s="115"/>
    </row>
    <row r="2528" spans="16:16">
      <c r="P2528" s="115"/>
    </row>
    <row r="2529" spans="16:16">
      <c r="P2529" s="115"/>
    </row>
    <row r="2530" spans="16:16">
      <c r="P2530" s="115"/>
    </row>
    <row r="2531" spans="16:16">
      <c r="P2531" s="115"/>
    </row>
    <row r="2532" spans="16:16">
      <c r="P2532" s="115"/>
    </row>
    <row r="2533" spans="16:16">
      <c r="P2533" s="115"/>
    </row>
    <row r="2534" spans="16:16">
      <c r="P2534" s="115"/>
    </row>
    <row r="2535" spans="16:16">
      <c r="P2535" s="115"/>
    </row>
    <row r="2536" spans="16:16">
      <c r="P2536" s="115"/>
    </row>
    <row r="2537" spans="16:16">
      <c r="P2537" s="115"/>
    </row>
    <row r="2538" spans="16:16">
      <c r="P2538" s="115"/>
    </row>
    <row r="2539" spans="16:16">
      <c r="P2539" s="115"/>
    </row>
    <row r="2540" spans="16:16">
      <c r="P2540" s="115"/>
    </row>
    <row r="2541" spans="16:16">
      <c r="P2541" s="115"/>
    </row>
    <row r="2542" spans="16:16">
      <c r="P2542" s="115"/>
    </row>
    <row r="2543" spans="16:16">
      <c r="P2543" s="115"/>
    </row>
    <row r="2544" spans="16:16">
      <c r="P2544" s="115"/>
    </row>
    <row r="2545" spans="16:16">
      <c r="P2545" s="115"/>
    </row>
    <row r="2546" spans="16:16">
      <c r="P2546" s="115"/>
    </row>
    <row r="2547" spans="16:16">
      <c r="P2547" s="115"/>
    </row>
    <row r="2548" spans="16:16">
      <c r="P2548" s="115"/>
    </row>
    <row r="2549" spans="16:16">
      <c r="P2549" s="115"/>
    </row>
    <row r="2550" spans="16:16">
      <c r="P2550" s="115"/>
    </row>
    <row r="2551" spans="16:16">
      <c r="P2551" s="115"/>
    </row>
    <row r="2552" spans="16:16">
      <c r="P2552" s="115"/>
    </row>
    <row r="2553" spans="16:16">
      <c r="P2553" s="115"/>
    </row>
    <row r="2554" spans="16:16">
      <c r="P2554" s="115"/>
    </row>
    <row r="2555" spans="16:16">
      <c r="P2555" s="115"/>
    </row>
    <row r="2556" spans="16:16">
      <c r="P2556" s="115"/>
    </row>
    <row r="2557" spans="16:16">
      <c r="P2557" s="115"/>
    </row>
    <row r="2558" spans="16:16">
      <c r="P2558" s="115"/>
    </row>
    <row r="2559" spans="16:16">
      <c r="P2559" s="115"/>
    </row>
    <row r="2560" spans="16:16">
      <c r="P2560" s="115"/>
    </row>
    <row r="2561" spans="16:16">
      <c r="P2561" s="115"/>
    </row>
    <row r="2562" spans="16:16">
      <c r="P2562" s="115"/>
    </row>
    <row r="2563" spans="16:16">
      <c r="P2563" s="115"/>
    </row>
    <row r="2564" spans="16:16">
      <c r="P2564" s="115"/>
    </row>
    <row r="2565" spans="16:16">
      <c r="P2565" s="115"/>
    </row>
    <row r="2566" spans="16:16">
      <c r="P2566" s="115"/>
    </row>
    <row r="2567" spans="16:16">
      <c r="P2567" s="115"/>
    </row>
    <row r="2568" spans="16:16">
      <c r="P2568" s="115"/>
    </row>
    <row r="2569" spans="16:16">
      <c r="P2569" s="115"/>
    </row>
    <row r="2570" spans="16:16">
      <c r="P2570" s="115"/>
    </row>
    <row r="2571" spans="16:16">
      <c r="P2571" s="115"/>
    </row>
    <row r="2572" spans="16:16">
      <c r="P2572" s="115"/>
    </row>
    <row r="2573" spans="16:16">
      <c r="P2573" s="115"/>
    </row>
    <row r="2574" spans="16:16">
      <c r="P2574" s="115"/>
    </row>
    <row r="2575" spans="16:16">
      <c r="P2575" s="115"/>
    </row>
    <row r="2576" spans="16:16">
      <c r="P2576" s="115"/>
    </row>
    <row r="2577" spans="16:16">
      <c r="P2577" s="115"/>
    </row>
    <row r="2578" spans="16:16">
      <c r="P2578" s="115"/>
    </row>
    <row r="2579" spans="16:16">
      <c r="P2579" s="115"/>
    </row>
    <row r="2580" spans="16:16">
      <c r="P2580" s="115"/>
    </row>
    <row r="2581" spans="16:16">
      <c r="P2581" s="115"/>
    </row>
    <row r="2582" spans="16:16">
      <c r="P2582" s="115"/>
    </row>
    <row r="2583" spans="16:16">
      <c r="P2583" s="115"/>
    </row>
    <row r="2584" spans="16:16">
      <c r="P2584" s="115"/>
    </row>
    <row r="2585" spans="16:16">
      <c r="P2585" s="115"/>
    </row>
    <row r="2586" spans="16:16">
      <c r="P2586" s="115"/>
    </row>
    <row r="2587" spans="16:16">
      <c r="P2587" s="115"/>
    </row>
    <row r="2588" spans="16:16">
      <c r="P2588" s="115"/>
    </row>
    <row r="2589" spans="16:16">
      <c r="P2589" s="115"/>
    </row>
    <row r="2590" spans="16:16">
      <c r="P2590" s="115"/>
    </row>
    <row r="2591" spans="16:16">
      <c r="P2591" s="115"/>
    </row>
    <row r="2592" spans="16:16">
      <c r="P2592" s="115"/>
    </row>
    <row r="2593" spans="16:16">
      <c r="P2593" s="115"/>
    </row>
    <row r="2594" spans="16:16">
      <c r="P2594" s="115"/>
    </row>
    <row r="2595" spans="16:16">
      <c r="P2595" s="115"/>
    </row>
    <row r="2596" spans="16:16">
      <c r="P2596" s="115"/>
    </row>
    <row r="2597" spans="16:16">
      <c r="P2597" s="115"/>
    </row>
    <row r="2598" spans="16:16">
      <c r="P2598" s="115"/>
    </row>
    <row r="2599" spans="16:16">
      <c r="P2599" s="115"/>
    </row>
    <row r="2600" spans="16:16">
      <c r="P2600" s="115"/>
    </row>
    <row r="2601" spans="16:16">
      <c r="P2601" s="115"/>
    </row>
    <row r="2602" spans="16:16">
      <c r="P2602" s="115"/>
    </row>
    <row r="2603" spans="16:16">
      <c r="P2603" s="115"/>
    </row>
    <row r="2604" spans="16:16">
      <c r="P2604" s="115"/>
    </row>
    <row r="2605" spans="16:16">
      <c r="P2605" s="115"/>
    </row>
    <row r="2606" spans="16:16">
      <c r="P2606" s="115"/>
    </row>
    <row r="2607" spans="16:16">
      <c r="P2607" s="115"/>
    </row>
    <row r="2608" spans="16:16">
      <c r="P2608" s="115"/>
    </row>
    <row r="2609" spans="16:16">
      <c r="P2609" s="115"/>
    </row>
    <row r="2610" spans="16:16">
      <c r="P2610" s="115"/>
    </row>
    <row r="2611" spans="16:16">
      <c r="P2611" s="115"/>
    </row>
    <row r="2612" spans="16:16">
      <c r="P2612" s="115"/>
    </row>
    <row r="2613" spans="16:16">
      <c r="P2613" s="115"/>
    </row>
    <row r="2614" spans="16:16">
      <c r="P2614" s="115"/>
    </row>
    <row r="2615" spans="16:16">
      <c r="P2615" s="115"/>
    </row>
    <row r="2616" spans="16:16">
      <c r="P2616" s="115"/>
    </row>
    <row r="2617" spans="16:16">
      <c r="P2617" s="115"/>
    </row>
    <row r="2618" spans="16:16">
      <c r="P2618" s="115"/>
    </row>
    <row r="2619" spans="16:16">
      <c r="P2619" s="115"/>
    </row>
    <row r="2620" spans="16:16">
      <c r="P2620" s="115"/>
    </row>
    <row r="2621" spans="16:16">
      <c r="P2621" s="115"/>
    </row>
    <row r="2622" spans="16:16">
      <c r="P2622" s="115"/>
    </row>
    <row r="2623" spans="16:16">
      <c r="P2623" s="115"/>
    </row>
    <row r="2624" spans="16:16">
      <c r="P2624" s="115"/>
    </row>
    <row r="2625" spans="16:16">
      <c r="P2625" s="115"/>
    </row>
    <row r="2626" spans="16:16">
      <c r="P2626" s="115"/>
    </row>
    <row r="2627" spans="16:16">
      <c r="P2627" s="115"/>
    </row>
    <row r="2628" spans="16:16">
      <c r="P2628" s="115"/>
    </row>
    <row r="2629" spans="16:16">
      <c r="P2629" s="115"/>
    </row>
    <row r="2630" spans="16:16">
      <c r="P2630" s="115"/>
    </row>
    <row r="2631" spans="16:16">
      <c r="P2631" s="115"/>
    </row>
    <row r="2632" spans="16:16">
      <c r="P2632" s="115"/>
    </row>
    <row r="2633" spans="16:16">
      <c r="P2633" s="115"/>
    </row>
    <row r="2634" spans="16:16">
      <c r="P2634" s="115"/>
    </row>
    <row r="2635" spans="16:16">
      <c r="P2635" s="115"/>
    </row>
    <row r="2636" spans="16:16">
      <c r="P2636" s="115"/>
    </row>
    <row r="2637" spans="16:16">
      <c r="P2637" s="115"/>
    </row>
    <row r="2638" spans="16:16">
      <c r="P2638" s="115"/>
    </row>
    <row r="2639" spans="16:16">
      <c r="P2639" s="115"/>
    </row>
    <row r="2640" spans="16:16">
      <c r="P2640" s="115"/>
    </row>
    <row r="2641" spans="16:16">
      <c r="P2641" s="115"/>
    </row>
    <row r="2642" spans="16:16">
      <c r="P2642" s="115"/>
    </row>
    <row r="2643" spans="16:16">
      <c r="P2643" s="115"/>
    </row>
    <row r="2644" spans="16:16">
      <c r="P2644" s="115"/>
    </row>
    <row r="2645" spans="16:16">
      <c r="P2645" s="115"/>
    </row>
    <row r="2646" spans="16:16">
      <c r="P2646" s="115"/>
    </row>
    <row r="2647" spans="16:16">
      <c r="P2647" s="115"/>
    </row>
    <row r="2648" spans="16:16">
      <c r="P2648" s="115"/>
    </row>
    <row r="2649" spans="16:16">
      <c r="P2649" s="115"/>
    </row>
    <row r="2650" spans="16:16">
      <c r="P2650" s="115"/>
    </row>
    <row r="2651" spans="16:16">
      <c r="P2651" s="115"/>
    </row>
    <row r="2652" spans="16:16">
      <c r="P2652" s="115"/>
    </row>
    <row r="2653" spans="16:16">
      <c r="P2653" s="115"/>
    </row>
    <row r="2654" spans="16:16">
      <c r="P2654" s="115"/>
    </row>
    <row r="2655" spans="16:16">
      <c r="P2655" s="115"/>
    </row>
    <row r="2656" spans="16:16">
      <c r="P2656" s="115"/>
    </row>
    <row r="2657" spans="16:16">
      <c r="P2657" s="115"/>
    </row>
    <row r="2658" spans="16:16">
      <c r="P2658" s="115"/>
    </row>
    <row r="2659" spans="16:16">
      <c r="P2659" s="115"/>
    </row>
    <row r="2660" spans="16:16">
      <c r="P2660" s="115"/>
    </row>
    <row r="2661" spans="16:16">
      <c r="P2661" s="115"/>
    </row>
    <row r="2662" spans="16:16">
      <c r="P2662" s="115"/>
    </row>
    <row r="2663" spans="16:16">
      <c r="P2663" s="115"/>
    </row>
    <row r="2664" spans="16:16">
      <c r="P2664" s="115"/>
    </row>
    <row r="2665" spans="16:16">
      <c r="P2665" s="115"/>
    </row>
    <row r="2666" spans="16:16">
      <c r="P2666" s="115"/>
    </row>
    <row r="2667" spans="16:16">
      <c r="P2667" s="115"/>
    </row>
    <row r="2668" spans="16:16">
      <c r="P2668" s="115"/>
    </row>
    <row r="2669" spans="16:16">
      <c r="P2669" s="115"/>
    </row>
    <row r="2670" spans="16:16">
      <c r="P2670" s="115"/>
    </row>
    <row r="2671" spans="16:16">
      <c r="P2671" s="115"/>
    </row>
    <row r="2672" spans="16:16">
      <c r="P2672" s="115"/>
    </row>
    <row r="2673" spans="16:16">
      <c r="P2673" s="115"/>
    </row>
    <row r="2674" spans="16:16">
      <c r="P2674" s="115"/>
    </row>
    <row r="2675" spans="16:16">
      <c r="P2675" s="115"/>
    </row>
    <row r="2676" spans="16:16">
      <c r="P2676" s="115"/>
    </row>
    <row r="2677" spans="16:16">
      <c r="P2677" s="115"/>
    </row>
    <row r="2678" spans="16:16">
      <c r="P2678" s="115"/>
    </row>
    <row r="2679" spans="16:16">
      <c r="P2679" s="115"/>
    </row>
    <row r="2680" spans="16:16">
      <c r="P2680" s="115"/>
    </row>
    <row r="2681" spans="16:16">
      <c r="P2681" s="115"/>
    </row>
    <row r="2682" spans="16:16">
      <c r="P2682" s="115"/>
    </row>
    <row r="2683" spans="16:16">
      <c r="P2683" s="115"/>
    </row>
    <row r="2684" spans="16:16">
      <c r="P2684" s="115"/>
    </row>
    <row r="2685" spans="16:16">
      <c r="P2685" s="115"/>
    </row>
    <row r="2686" spans="16:16">
      <c r="P2686" s="115"/>
    </row>
    <row r="2687" spans="16:16">
      <c r="P2687" s="115"/>
    </row>
    <row r="2688" spans="16:16">
      <c r="P2688" s="115"/>
    </row>
    <row r="2689" spans="16:16">
      <c r="P2689" s="115"/>
    </row>
    <row r="2690" spans="16:16">
      <c r="P2690" s="115"/>
    </row>
    <row r="2691" spans="16:16">
      <c r="P2691" s="115"/>
    </row>
    <row r="2692" spans="16:16">
      <c r="P2692" s="115"/>
    </row>
    <row r="2693" spans="16:16">
      <c r="P2693" s="115"/>
    </row>
    <row r="2694" spans="16:16">
      <c r="P2694" s="115"/>
    </row>
    <row r="2695" spans="16:16">
      <c r="P2695" s="115"/>
    </row>
    <row r="2696" spans="16:16">
      <c r="P2696" s="115"/>
    </row>
    <row r="2697" spans="16:16">
      <c r="P2697" s="115"/>
    </row>
    <row r="2698" spans="16:16">
      <c r="P2698" s="115"/>
    </row>
    <row r="2699" spans="16:16">
      <c r="P2699" s="115"/>
    </row>
    <row r="2700" spans="16:16">
      <c r="P2700" s="115"/>
    </row>
    <row r="2701" spans="16:16">
      <c r="P2701" s="115"/>
    </row>
    <row r="2702" spans="16:16">
      <c r="P2702" s="115"/>
    </row>
    <row r="2703" spans="16:16">
      <c r="P2703" s="115"/>
    </row>
    <row r="2704" spans="16:16">
      <c r="P2704" s="115"/>
    </row>
    <row r="2705" spans="16:16">
      <c r="P2705" s="115"/>
    </row>
    <row r="2706" spans="16:16">
      <c r="P2706" s="115"/>
    </row>
    <row r="2707" spans="16:16">
      <c r="P2707" s="115"/>
    </row>
    <row r="2708" spans="16:16">
      <c r="P2708" s="115"/>
    </row>
    <row r="2709" spans="16:16">
      <c r="P2709" s="115"/>
    </row>
    <row r="2710" spans="16:16">
      <c r="P2710" s="115"/>
    </row>
    <row r="2711" spans="16:16">
      <c r="P2711" s="115"/>
    </row>
    <row r="2712" spans="16:16">
      <c r="P2712" s="115"/>
    </row>
    <row r="2713" spans="16:16">
      <c r="P2713" s="115"/>
    </row>
    <row r="2714" spans="16:16">
      <c r="P2714" s="115"/>
    </row>
    <row r="2715" spans="16:16">
      <c r="P2715" s="115"/>
    </row>
    <row r="2716" spans="16:16">
      <c r="P2716" s="115"/>
    </row>
    <row r="2717" spans="16:16">
      <c r="P2717" s="115"/>
    </row>
    <row r="2718" spans="16:16">
      <c r="P2718" s="115"/>
    </row>
    <row r="2719" spans="16:16">
      <c r="P2719" s="115"/>
    </row>
    <row r="2720" spans="16:16">
      <c r="P2720" s="115"/>
    </row>
    <row r="2721" spans="16:16">
      <c r="P2721" s="115"/>
    </row>
    <row r="2722" spans="16:16">
      <c r="P2722" s="115"/>
    </row>
    <row r="2723" spans="16:16">
      <c r="P2723" s="115"/>
    </row>
    <row r="2724" spans="16:16">
      <c r="P2724" s="115"/>
    </row>
    <row r="2725" spans="16:16">
      <c r="P2725" s="115"/>
    </row>
    <row r="2726" spans="16:16">
      <c r="P2726" s="115"/>
    </row>
    <row r="2727" spans="16:16">
      <c r="P2727" s="115"/>
    </row>
    <row r="2728" spans="16:16">
      <c r="P2728" s="115"/>
    </row>
    <row r="2729" spans="16:16">
      <c r="P2729" s="115"/>
    </row>
    <row r="2730" spans="16:16">
      <c r="P2730" s="115"/>
    </row>
    <row r="2731" spans="16:16">
      <c r="P2731" s="115"/>
    </row>
    <row r="2732" spans="16:16">
      <c r="P2732" s="115"/>
    </row>
    <row r="2733" spans="16:16">
      <c r="P2733" s="115"/>
    </row>
    <row r="2734" spans="16:16">
      <c r="P2734" s="115"/>
    </row>
    <row r="2735" spans="16:16">
      <c r="P2735" s="115"/>
    </row>
    <row r="2736" spans="16:16">
      <c r="P2736" s="115"/>
    </row>
    <row r="2737" spans="16:16">
      <c r="P2737" s="115"/>
    </row>
    <row r="2738" spans="16:16">
      <c r="P2738" s="115"/>
    </row>
    <row r="2739" spans="16:16">
      <c r="P2739" s="115"/>
    </row>
    <row r="2740" spans="16:16">
      <c r="P2740" s="115"/>
    </row>
    <row r="2741" spans="16:16">
      <c r="P2741" s="115"/>
    </row>
    <row r="2742" spans="16:16">
      <c r="P2742" s="115"/>
    </row>
    <row r="2743" spans="16:16">
      <c r="P2743" s="115"/>
    </row>
    <row r="2744" spans="16:16">
      <c r="P2744" s="115"/>
    </row>
    <row r="2745" spans="16:16">
      <c r="P2745" s="115"/>
    </row>
    <row r="2746" spans="16:16">
      <c r="P2746" s="115"/>
    </row>
    <row r="2747" spans="16:16">
      <c r="P2747" s="115"/>
    </row>
    <row r="2748" spans="16:16">
      <c r="P2748" s="115"/>
    </row>
    <row r="2749" spans="16:16">
      <c r="P2749" s="115"/>
    </row>
    <row r="2750" spans="16:16">
      <c r="P2750" s="115"/>
    </row>
    <row r="2751" spans="16:16">
      <c r="P2751" s="115"/>
    </row>
    <row r="2752" spans="16:16">
      <c r="P2752" s="115"/>
    </row>
    <row r="2753" spans="16:16">
      <c r="P2753" s="115"/>
    </row>
    <row r="2754" spans="16:16">
      <c r="P2754" s="115"/>
    </row>
    <row r="2755" spans="16:16">
      <c r="P2755" s="115"/>
    </row>
    <row r="2756" spans="16:16">
      <c r="P2756" s="115"/>
    </row>
    <row r="2757" spans="16:16">
      <c r="P2757" s="115"/>
    </row>
    <row r="2758" spans="16:16">
      <c r="P2758" s="115"/>
    </row>
    <row r="2759" spans="16:16">
      <c r="P2759" s="115"/>
    </row>
    <row r="2760" spans="16:16">
      <c r="P2760" s="115"/>
    </row>
    <row r="2761" spans="16:16">
      <c r="P2761" s="115"/>
    </row>
    <row r="2762" spans="16:16">
      <c r="P2762" s="115"/>
    </row>
    <row r="2763" spans="16:16">
      <c r="P2763" s="115"/>
    </row>
    <row r="2764" spans="16:16">
      <c r="P2764" s="115"/>
    </row>
    <row r="2765" spans="16:16">
      <c r="P2765" s="115"/>
    </row>
    <row r="2766" spans="16:16">
      <c r="P2766" s="115"/>
    </row>
    <row r="2767" spans="16:16">
      <c r="P2767" s="115"/>
    </row>
    <row r="2768" spans="16:16">
      <c r="P2768" s="115"/>
    </row>
    <row r="2769" spans="16:16">
      <c r="P2769" s="115"/>
    </row>
    <row r="2770" spans="16:16">
      <c r="P2770" s="115"/>
    </row>
    <row r="2771" spans="16:16">
      <c r="P2771" s="115"/>
    </row>
    <row r="2772" spans="16:16">
      <c r="P2772" s="115"/>
    </row>
    <row r="2773" spans="16:16">
      <c r="P2773" s="115"/>
    </row>
    <row r="2774" spans="16:16">
      <c r="P2774" s="115"/>
    </row>
    <row r="2775" spans="16:16">
      <c r="P2775" s="115"/>
    </row>
    <row r="2776" spans="16:16">
      <c r="P2776" s="115"/>
    </row>
    <row r="2777" spans="16:16">
      <c r="P2777" s="115"/>
    </row>
    <row r="2778" spans="16:16">
      <c r="P2778" s="115"/>
    </row>
    <row r="2779" spans="16:16">
      <c r="P2779" s="115"/>
    </row>
    <row r="2780" spans="16:16">
      <c r="P2780" s="115"/>
    </row>
    <row r="2781" spans="16:16">
      <c r="P2781" s="115"/>
    </row>
    <row r="2782" spans="16:16">
      <c r="P2782" s="115"/>
    </row>
    <row r="2783" spans="16:16">
      <c r="P2783" s="115"/>
    </row>
    <row r="2784" spans="16:16">
      <c r="P2784" s="115"/>
    </row>
    <row r="2785" spans="16:16">
      <c r="P2785" s="115"/>
    </row>
    <row r="2786" spans="16:16">
      <c r="P2786" s="115"/>
    </row>
    <row r="2787" spans="16:16">
      <c r="P2787" s="115"/>
    </row>
    <row r="2788" spans="16:16">
      <c r="P2788" s="115"/>
    </row>
    <row r="2789" spans="16:16">
      <c r="P2789" s="115"/>
    </row>
    <row r="2790" spans="16:16">
      <c r="P2790" s="115"/>
    </row>
    <row r="2791" spans="16:16">
      <c r="P2791" s="115"/>
    </row>
    <row r="2792" spans="16:16">
      <c r="P2792" s="115"/>
    </row>
    <row r="2793" spans="16:16">
      <c r="P2793" s="115"/>
    </row>
    <row r="2794" spans="16:16">
      <c r="P2794" s="115"/>
    </row>
    <row r="2795" spans="16:16">
      <c r="P2795" s="115"/>
    </row>
    <row r="2796" spans="16:16">
      <c r="P2796" s="115"/>
    </row>
    <row r="2797" spans="16:16">
      <c r="P2797" s="115"/>
    </row>
    <row r="2798" spans="16:16">
      <c r="P2798" s="115"/>
    </row>
    <row r="2799" spans="16:16">
      <c r="P2799" s="115"/>
    </row>
    <row r="2800" spans="16:16">
      <c r="P2800" s="115"/>
    </row>
    <row r="2801" spans="16:16">
      <c r="P2801" s="115"/>
    </row>
    <row r="2802" spans="16:16">
      <c r="P2802" s="115"/>
    </row>
    <row r="2803" spans="16:16">
      <c r="P2803" s="115"/>
    </row>
    <row r="2804" spans="16:16">
      <c r="P2804" s="115"/>
    </row>
    <row r="2805" spans="16:16">
      <c r="P2805" s="115"/>
    </row>
    <row r="2806" spans="16:16">
      <c r="P2806" s="115"/>
    </row>
    <row r="2807" spans="16:16">
      <c r="P2807" s="115"/>
    </row>
    <row r="2808" spans="16:16">
      <c r="P2808" s="115"/>
    </row>
    <row r="2809" spans="16:16">
      <c r="P2809" s="115"/>
    </row>
    <row r="2810" spans="16:16">
      <c r="P2810" s="115"/>
    </row>
    <row r="2811" spans="16:16">
      <c r="P2811" s="115"/>
    </row>
    <row r="2812" spans="16:16">
      <c r="P2812" s="115"/>
    </row>
    <row r="2813" spans="16:16">
      <c r="P2813" s="115"/>
    </row>
    <row r="2814" spans="16:16">
      <c r="P2814" s="115"/>
    </row>
    <row r="2815" spans="16:16">
      <c r="P2815" s="115"/>
    </row>
    <row r="2816" spans="16:16">
      <c r="P2816" s="115"/>
    </row>
    <row r="2817" spans="16:16">
      <c r="P2817" s="115"/>
    </row>
    <row r="2818" spans="16:16">
      <c r="P2818" s="115"/>
    </row>
    <row r="2819" spans="16:16">
      <c r="P2819" s="115"/>
    </row>
    <row r="2820" spans="16:16">
      <c r="P2820" s="115"/>
    </row>
    <row r="2821" spans="16:16">
      <c r="P2821" s="115"/>
    </row>
    <row r="2822" spans="16:16">
      <c r="P2822" s="115"/>
    </row>
    <row r="2823" spans="16:16">
      <c r="P2823" s="115"/>
    </row>
    <row r="2824" spans="16:16">
      <c r="P2824" s="115"/>
    </row>
    <row r="2825" spans="16:16">
      <c r="P2825" s="115"/>
    </row>
    <row r="2826" spans="16:16">
      <c r="P2826" s="115"/>
    </row>
    <row r="2827" spans="16:16">
      <c r="P2827" s="115"/>
    </row>
    <row r="2828" spans="16:16">
      <c r="P2828" s="115"/>
    </row>
    <row r="2829" spans="16:16">
      <c r="P2829" s="115"/>
    </row>
    <row r="2830" spans="16:16">
      <c r="P2830" s="115"/>
    </row>
    <row r="2831" spans="16:16">
      <c r="P2831" s="115"/>
    </row>
    <row r="2832" spans="16:16">
      <c r="P2832" s="115"/>
    </row>
    <row r="2833" spans="16:16">
      <c r="P2833" s="115"/>
    </row>
    <row r="2834" spans="16:16">
      <c r="P2834" s="115"/>
    </row>
    <row r="2835" spans="16:16">
      <c r="P2835" s="115"/>
    </row>
    <row r="2836" spans="16:16">
      <c r="P2836" s="115"/>
    </row>
    <row r="2837" spans="16:16">
      <c r="P2837" s="115"/>
    </row>
    <row r="2838" spans="16:16">
      <c r="P2838" s="115"/>
    </row>
    <row r="2839" spans="16:16">
      <c r="P2839" s="115"/>
    </row>
    <row r="2840" spans="16:16">
      <c r="P2840" s="115"/>
    </row>
    <row r="2841" spans="16:16">
      <c r="P2841" s="115"/>
    </row>
    <row r="2842" spans="16:16">
      <c r="P2842" s="115"/>
    </row>
    <row r="2843" spans="16:16">
      <c r="P2843" s="115"/>
    </row>
    <row r="2844" spans="16:16">
      <c r="P2844" s="115"/>
    </row>
    <row r="2845" spans="16:16">
      <c r="P2845" s="115"/>
    </row>
    <row r="2846" spans="16:16">
      <c r="P2846" s="115"/>
    </row>
    <row r="2847" spans="16:16">
      <c r="P2847" s="115"/>
    </row>
    <row r="2848" spans="16:16">
      <c r="P2848" s="115"/>
    </row>
    <row r="2849" spans="16:16">
      <c r="P2849" s="115"/>
    </row>
    <row r="2850" spans="16:16">
      <c r="P2850" s="115"/>
    </row>
    <row r="2851" spans="16:16">
      <c r="P2851" s="115"/>
    </row>
    <row r="2852" spans="16:16">
      <c r="P2852" s="115"/>
    </row>
    <row r="2853" spans="16:16">
      <c r="P2853" s="115"/>
    </row>
    <row r="2854" spans="16:16">
      <c r="P2854" s="115"/>
    </row>
    <row r="2855" spans="16:16">
      <c r="P2855" s="115"/>
    </row>
    <row r="2856" spans="16:16">
      <c r="P2856" s="115"/>
    </row>
    <row r="2857" spans="16:16">
      <c r="P2857" s="115"/>
    </row>
    <row r="2858" spans="16:16">
      <c r="P2858" s="115"/>
    </row>
    <row r="2859" spans="16:16">
      <c r="P2859" s="115"/>
    </row>
    <row r="2860" spans="16:16">
      <c r="P2860" s="115"/>
    </row>
    <row r="2861" spans="16:16">
      <c r="P2861" s="115"/>
    </row>
    <row r="2862" spans="16:16">
      <c r="P2862" s="115"/>
    </row>
    <row r="2863" spans="16:16">
      <c r="P2863" s="115"/>
    </row>
    <row r="2864" spans="16:16">
      <c r="P2864" s="115"/>
    </row>
    <row r="2865" spans="16:16">
      <c r="P2865" s="115"/>
    </row>
    <row r="2866" spans="16:16">
      <c r="P2866" s="115"/>
    </row>
    <row r="2867" spans="16:16">
      <c r="P2867" s="115"/>
    </row>
    <row r="2868" spans="16:16">
      <c r="P2868" s="115"/>
    </row>
    <row r="2869" spans="16:16">
      <c r="P2869" s="115"/>
    </row>
    <row r="2870" spans="16:16">
      <c r="P2870" s="115"/>
    </row>
    <row r="2871" spans="16:16">
      <c r="P2871" s="115"/>
    </row>
    <row r="2872" spans="16:16">
      <c r="P2872" s="115"/>
    </row>
    <row r="2873" spans="16:16">
      <c r="P2873" s="115"/>
    </row>
    <row r="2874" spans="16:16">
      <c r="P2874" s="115"/>
    </row>
    <row r="2875" spans="16:16">
      <c r="P2875" s="115"/>
    </row>
    <row r="2876" spans="16:16">
      <c r="P2876" s="115"/>
    </row>
    <row r="2877" spans="16:16">
      <c r="P2877" s="115"/>
    </row>
    <row r="2878" spans="16:16">
      <c r="P2878" s="115"/>
    </row>
    <row r="2879" spans="16:16">
      <c r="P2879" s="115"/>
    </row>
    <row r="2880" spans="16:16">
      <c r="P2880" s="115"/>
    </row>
    <row r="2881" spans="16:16">
      <c r="P2881" s="115"/>
    </row>
    <row r="2882" spans="16:16">
      <c r="P2882" s="115"/>
    </row>
    <row r="2883" spans="16:16">
      <c r="P2883" s="115"/>
    </row>
    <row r="2884" spans="16:16">
      <c r="P2884" s="115"/>
    </row>
    <row r="2885" spans="16:16">
      <c r="P2885" s="115"/>
    </row>
    <row r="2886" spans="16:16">
      <c r="P2886" s="115"/>
    </row>
    <row r="2887" spans="16:16">
      <c r="P2887" s="115"/>
    </row>
    <row r="2888" spans="16:16">
      <c r="P2888" s="115"/>
    </row>
    <row r="2889" spans="16:16">
      <c r="P2889" s="115"/>
    </row>
    <row r="2890" spans="16:16">
      <c r="P2890" s="115"/>
    </row>
    <row r="2891" spans="16:16">
      <c r="P2891" s="115"/>
    </row>
    <row r="2892" spans="16:16">
      <c r="P2892" s="115"/>
    </row>
    <row r="2893" spans="16:16">
      <c r="P2893" s="115"/>
    </row>
    <row r="2894" spans="16:16">
      <c r="P2894" s="115"/>
    </row>
    <row r="2895" spans="16:16">
      <c r="P2895" s="115"/>
    </row>
    <row r="2896" spans="16:16">
      <c r="P2896" s="115"/>
    </row>
    <row r="2897" spans="16:16">
      <c r="P2897" s="115"/>
    </row>
    <row r="2898" spans="16:16">
      <c r="P2898" s="115"/>
    </row>
    <row r="2899" spans="16:16">
      <c r="P2899" s="115"/>
    </row>
    <row r="2900" spans="16:16">
      <c r="P2900" s="115"/>
    </row>
    <row r="2901" spans="16:16">
      <c r="P2901" s="115"/>
    </row>
    <row r="2902" spans="16:16">
      <c r="P2902" s="115"/>
    </row>
    <row r="2903" spans="16:16">
      <c r="P2903" s="115"/>
    </row>
    <row r="2904" spans="16:16">
      <c r="P2904" s="115"/>
    </row>
    <row r="2905" spans="16:16">
      <c r="P2905" s="115"/>
    </row>
    <row r="2906" spans="16:16">
      <c r="P2906" s="115"/>
    </row>
    <row r="2907" spans="16:16">
      <c r="P2907" s="115"/>
    </row>
    <row r="2908" spans="16:16">
      <c r="P2908" s="115"/>
    </row>
    <row r="2909" spans="16:16">
      <c r="P2909" s="115"/>
    </row>
    <row r="2910" spans="16:16">
      <c r="P2910" s="115"/>
    </row>
    <row r="2911" spans="16:16">
      <c r="P2911" s="115"/>
    </row>
    <row r="2912" spans="16:16">
      <c r="P2912" s="115"/>
    </row>
    <row r="2913" spans="16:16">
      <c r="P2913" s="115"/>
    </row>
    <row r="2914" spans="16:16">
      <c r="P2914" s="115"/>
    </row>
    <row r="2915" spans="16:16">
      <c r="P2915" s="115"/>
    </row>
    <row r="2916" spans="16:16">
      <c r="P2916" s="115"/>
    </row>
    <row r="2917" spans="16:16">
      <c r="P2917" s="115"/>
    </row>
    <row r="2918" spans="16:16">
      <c r="P2918" s="115"/>
    </row>
    <row r="2919" spans="16:16">
      <c r="P2919" s="115"/>
    </row>
    <row r="2920" spans="16:16">
      <c r="P2920" s="115"/>
    </row>
    <row r="2921" spans="16:16">
      <c r="P2921" s="115"/>
    </row>
    <row r="2922" spans="16:16">
      <c r="P2922" s="115"/>
    </row>
    <row r="2923" spans="16:16">
      <c r="P2923" s="115"/>
    </row>
    <row r="2924" spans="16:16">
      <c r="P2924" s="115"/>
    </row>
    <row r="2925" spans="16:16">
      <c r="P2925" s="115"/>
    </row>
    <row r="2926" spans="16:16">
      <c r="P2926" s="115"/>
    </row>
    <row r="2927" spans="16:16">
      <c r="P2927" s="115"/>
    </row>
    <row r="2928" spans="16:16">
      <c r="P2928" s="115"/>
    </row>
    <row r="2929" spans="16:16">
      <c r="P2929" s="115"/>
    </row>
    <row r="2930" spans="16:16">
      <c r="P2930" s="115"/>
    </row>
    <row r="2931" spans="16:16">
      <c r="P2931" s="115"/>
    </row>
    <row r="2932" spans="16:16">
      <c r="P2932" s="115"/>
    </row>
    <row r="2933" spans="16:16">
      <c r="P2933" s="115"/>
    </row>
    <row r="2934" spans="16:16">
      <c r="P2934" s="115"/>
    </row>
    <row r="2935" spans="16:16">
      <c r="P2935" s="115"/>
    </row>
    <row r="2936" spans="16:16">
      <c r="P2936" s="115"/>
    </row>
    <row r="2937" spans="16:16">
      <c r="P2937" s="115"/>
    </row>
    <row r="2938" spans="16:16">
      <c r="P2938" s="115"/>
    </row>
    <row r="2939" spans="16:16">
      <c r="P2939" s="115"/>
    </row>
    <row r="2940" spans="16:16">
      <c r="P2940" s="115"/>
    </row>
    <row r="2941" spans="16:16">
      <c r="P2941" s="115"/>
    </row>
    <row r="2942" spans="16:16">
      <c r="P2942" s="115"/>
    </row>
    <row r="2943" spans="16:16">
      <c r="P2943" s="115"/>
    </row>
    <row r="2944" spans="16:16">
      <c r="P2944" s="115"/>
    </row>
    <row r="2945" spans="16:16">
      <c r="P2945" s="115"/>
    </row>
    <row r="2946" spans="16:16">
      <c r="P2946" s="115"/>
    </row>
    <row r="2947" spans="16:16">
      <c r="P2947" s="115"/>
    </row>
    <row r="2948" spans="16:16">
      <c r="P2948" s="115"/>
    </row>
    <row r="2949" spans="16:16">
      <c r="P2949" s="115"/>
    </row>
    <row r="2950" spans="16:16">
      <c r="P2950" s="115"/>
    </row>
    <row r="2951" spans="16:16">
      <c r="P2951" s="115"/>
    </row>
    <row r="2952" spans="16:16">
      <c r="P2952" s="115"/>
    </row>
    <row r="2953" spans="16:16">
      <c r="P2953" s="115"/>
    </row>
    <row r="2954" spans="16:16">
      <c r="P2954" s="115"/>
    </row>
    <row r="2955" spans="16:16">
      <c r="P2955" s="115"/>
    </row>
    <row r="2956" spans="16:16">
      <c r="P2956" s="115"/>
    </row>
    <row r="2957" spans="16:16">
      <c r="P2957" s="115"/>
    </row>
    <row r="2958" spans="16:16">
      <c r="P2958" s="115"/>
    </row>
    <row r="2959" spans="16:16">
      <c r="P2959" s="115"/>
    </row>
    <row r="2960" spans="16:16">
      <c r="P2960" s="115"/>
    </row>
    <row r="2961" spans="16:16">
      <c r="P2961" s="115"/>
    </row>
    <row r="2962" spans="16:16">
      <c r="P2962" s="115"/>
    </row>
    <row r="2963" spans="16:16">
      <c r="P2963" s="115"/>
    </row>
    <row r="2964" spans="16:16">
      <c r="P2964" s="115"/>
    </row>
    <row r="2965" spans="16:16">
      <c r="P2965" s="115"/>
    </row>
    <row r="2966" spans="16:16">
      <c r="P2966" s="115"/>
    </row>
    <row r="2967" spans="16:16">
      <c r="P2967" s="115"/>
    </row>
    <row r="2968" spans="16:16">
      <c r="P2968" s="115"/>
    </row>
    <row r="2969" spans="16:16">
      <c r="P2969" s="115"/>
    </row>
    <row r="2970" spans="16:16">
      <c r="P2970" s="115"/>
    </row>
    <row r="2971" spans="16:16">
      <c r="P2971" s="115"/>
    </row>
    <row r="2972" spans="16:16">
      <c r="P2972" s="115"/>
    </row>
    <row r="2973" spans="16:16">
      <c r="P2973" s="115"/>
    </row>
    <row r="2974" spans="16:16">
      <c r="P2974" s="115"/>
    </row>
    <row r="2975" spans="16:16">
      <c r="P2975" s="115"/>
    </row>
    <row r="2976" spans="16:16">
      <c r="P2976" s="115"/>
    </row>
    <row r="2977" spans="16:16">
      <c r="P2977" s="115"/>
    </row>
    <row r="2978" spans="16:16">
      <c r="P2978" s="115"/>
    </row>
    <row r="2979" spans="16:16">
      <c r="P2979" s="115"/>
    </row>
    <row r="2980" spans="16:16">
      <c r="P2980" s="115"/>
    </row>
    <row r="2981" spans="16:16">
      <c r="P2981" s="115"/>
    </row>
    <row r="2982" spans="16:16">
      <c r="P2982" s="115"/>
    </row>
    <row r="2983" spans="16:16">
      <c r="P2983" s="115"/>
    </row>
    <row r="2984" spans="16:16">
      <c r="P2984" s="115"/>
    </row>
    <row r="2985" spans="16:16">
      <c r="P2985" s="115"/>
    </row>
    <row r="2986" spans="16:16">
      <c r="P2986" s="115"/>
    </row>
    <row r="2987" spans="16:16">
      <c r="P2987" s="115"/>
    </row>
    <row r="2988" spans="16:16">
      <c r="P2988" s="115"/>
    </row>
    <row r="2989" spans="16:16">
      <c r="P2989" s="115"/>
    </row>
    <row r="2990" spans="16:16">
      <c r="P2990" s="115"/>
    </row>
    <row r="2991" spans="16:16">
      <c r="P2991" s="115"/>
    </row>
    <row r="2992" spans="16:16">
      <c r="P2992" s="115"/>
    </row>
    <row r="2993" spans="16:16">
      <c r="P2993" s="115"/>
    </row>
    <row r="2994" spans="16:16">
      <c r="P2994" s="115"/>
    </row>
    <row r="2995" spans="16:16">
      <c r="P2995" s="115"/>
    </row>
    <row r="2996" spans="16:16">
      <c r="P2996" s="115"/>
    </row>
    <row r="2997" spans="16:16">
      <c r="P2997" s="115"/>
    </row>
    <row r="2998" spans="16:16">
      <c r="P2998" s="115"/>
    </row>
    <row r="2999" spans="16:16">
      <c r="P2999" s="115"/>
    </row>
    <row r="3000" spans="16:16">
      <c r="P3000" s="115"/>
    </row>
    <row r="3001" spans="16:16">
      <c r="P3001" s="115"/>
    </row>
    <row r="3002" spans="16:16">
      <c r="P3002" s="115"/>
    </row>
    <row r="3003" spans="16:16">
      <c r="P3003" s="115"/>
    </row>
    <row r="3004" spans="16:16">
      <c r="P3004" s="115"/>
    </row>
    <row r="3005" spans="16:16">
      <c r="P3005" s="115"/>
    </row>
    <row r="3006" spans="16:16">
      <c r="P3006" s="115"/>
    </row>
    <row r="3007" spans="16:16">
      <c r="P3007" s="115"/>
    </row>
    <row r="3008" spans="16:16">
      <c r="P3008" s="115"/>
    </row>
    <row r="3009" spans="16:16">
      <c r="P3009" s="115"/>
    </row>
    <row r="3010" spans="16:16">
      <c r="P3010" s="115"/>
    </row>
    <row r="3011" spans="16:16">
      <c r="P3011" s="115"/>
    </row>
    <row r="3012" spans="16:16">
      <c r="P3012" s="115"/>
    </row>
    <row r="3013" spans="16:16">
      <c r="P3013" s="115"/>
    </row>
    <row r="3014" spans="16:16">
      <c r="P3014" s="115"/>
    </row>
    <row r="3015" spans="16:16">
      <c r="P3015" s="115"/>
    </row>
    <row r="3016" spans="16:16">
      <c r="P3016" s="115"/>
    </row>
    <row r="3017" spans="16:16">
      <c r="P3017" s="115"/>
    </row>
    <row r="3018" spans="16:16">
      <c r="P3018" s="115"/>
    </row>
    <row r="3019" spans="16:16">
      <c r="P3019" s="115"/>
    </row>
    <row r="3020" spans="16:16">
      <c r="P3020" s="115"/>
    </row>
    <row r="3021" spans="16:16">
      <c r="P3021" s="115"/>
    </row>
    <row r="3022" spans="16:16">
      <c r="P3022" s="115"/>
    </row>
    <row r="3023" spans="16:16">
      <c r="P3023" s="115"/>
    </row>
    <row r="3024" spans="16:16">
      <c r="P3024" s="115"/>
    </row>
    <row r="3025" spans="16:16">
      <c r="P3025" s="115"/>
    </row>
    <row r="3026" spans="16:16">
      <c r="P3026" s="115"/>
    </row>
    <row r="3027" spans="16:16">
      <c r="P3027" s="115"/>
    </row>
    <row r="3028" spans="16:16">
      <c r="P3028" s="115"/>
    </row>
    <row r="3029" spans="16:16">
      <c r="P3029" s="115"/>
    </row>
    <row r="3030" spans="16:16">
      <c r="P3030" s="115"/>
    </row>
    <row r="3031" spans="16:16">
      <c r="P3031" s="115"/>
    </row>
    <row r="3032" spans="16:16">
      <c r="P3032" s="115"/>
    </row>
    <row r="3033" spans="16:16">
      <c r="P3033" s="115"/>
    </row>
    <row r="3034" spans="16:16">
      <c r="P3034" s="115"/>
    </row>
    <row r="3035" spans="16:16">
      <c r="P3035" s="115"/>
    </row>
    <row r="3036" spans="16:16">
      <c r="P3036" s="115"/>
    </row>
    <row r="3037" spans="16:16">
      <c r="P3037" s="115"/>
    </row>
    <row r="3038" spans="16:16">
      <c r="P3038" s="115"/>
    </row>
    <row r="3039" spans="16:16">
      <c r="P3039" s="115"/>
    </row>
    <row r="3040" spans="16:16">
      <c r="P3040" s="115"/>
    </row>
    <row r="3041" spans="16:16">
      <c r="P3041" s="115"/>
    </row>
    <row r="3042" spans="16:16">
      <c r="P3042" s="115"/>
    </row>
    <row r="3043" spans="16:16">
      <c r="P3043" s="115"/>
    </row>
    <row r="3044" spans="16:16">
      <c r="P3044" s="115"/>
    </row>
    <row r="3045" spans="16:16">
      <c r="P3045" s="115"/>
    </row>
    <row r="3046" spans="16:16">
      <c r="P3046" s="115"/>
    </row>
    <row r="3047" spans="16:16">
      <c r="P3047" s="115"/>
    </row>
    <row r="3048" spans="16:16">
      <c r="P3048" s="115"/>
    </row>
    <row r="3049" spans="16:16">
      <c r="P3049" s="115"/>
    </row>
    <row r="3050" spans="16:16">
      <c r="P3050" s="115"/>
    </row>
    <row r="3051" spans="16:16">
      <c r="P3051" s="115"/>
    </row>
    <row r="3052" spans="16:16">
      <c r="P3052" s="115"/>
    </row>
    <row r="3053" spans="16:16">
      <c r="P3053" s="115"/>
    </row>
    <row r="3054" spans="16:16">
      <c r="P3054" s="115"/>
    </row>
    <row r="3055" spans="16:16">
      <c r="P3055" s="115"/>
    </row>
    <row r="3056" spans="16:16">
      <c r="P3056" s="115"/>
    </row>
    <row r="3057" spans="16:16">
      <c r="P3057" s="115"/>
    </row>
    <row r="3058" spans="16:16">
      <c r="P3058" s="115"/>
    </row>
    <row r="3059" spans="16:16">
      <c r="P3059" s="115"/>
    </row>
    <row r="3060" spans="16:16">
      <c r="P3060" s="115"/>
    </row>
    <row r="3061" spans="16:16">
      <c r="P3061" s="115"/>
    </row>
    <row r="3062" spans="16:16">
      <c r="P3062" s="115"/>
    </row>
    <row r="3063" spans="16:16">
      <c r="P3063" s="115"/>
    </row>
    <row r="3064" spans="16:16">
      <c r="P3064" s="115"/>
    </row>
    <row r="3065" spans="16:16">
      <c r="P3065" s="115"/>
    </row>
    <row r="3066" spans="16:16">
      <c r="P3066" s="115"/>
    </row>
    <row r="3067" spans="16:16">
      <c r="P3067" s="115"/>
    </row>
    <row r="3068" spans="16:16">
      <c r="P3068" s="115"/>
    </row>
    <row r="3069" spans="16:16">
      <c r="P3069" s="115"/>
    </row>
    <row r="3070" spans="16:16">
      <c r="P3070" s="115"/>
    </row>
    <row r="3071" spans="16:16">
      <c r="P3071" s="115"/>
    </row>
    <row r="3072" spans="16:16">
      <c r="P3072" s="115"/>
    </row>
    <row r="3073" spans="16:16">
      <c r="P3073" s="115"/>
    </row>
    <row r="3074" spans="16:16">
      <c r="P3074" s="115"/>
    </row>
    <row r="3075" spans="16:16">
      <c r="P3075" s="115"/>
    </row>
    <row r="3076" spans="16:16">
      <c r="P3076" s="115"/>
    </row>
    <row r="3077" spans="16:16">
      <c r="P3077" s="115"/>
    </row>
    <row r="3078" spans="16:16">
      <c r="P3078" s="115"/>
    </row>
    <row r="3079" spans="16:16">
      <c r="P3079" s="115"/>
    </row>
    <row r="3080" spans="16:16">
      <c r="P3080" s="115"/>
    </row>
    <row r="3081" spans="16:16">
      <c r="P3081" s="115"/>
    </row>
    <row r="3082" spans="16:16">
      <c r="P3082" s="115"/>
    </row>
    <row r="3083" spans="16:16">
      <c r="P3083" s="115"/>
    </row>
    <row r="3084" spans="16:16">
      <c r="P3084" s="115"/>
    </row>
    <row r="3085" spans="16:16">
      <c r="P3085" s="115"/>
    </row>
    <row r="3086" spans="16:16">
      <c r="P3086" s="115"/>
    </row>
    <row r="3087" spans="16:16">
      <c r="P3087" s="115"/>
    </row>
    <row r="3088" spans="16:16">
      <c r="P3088" s="115"/>
    </row>
    <row r="3089" spans="16:16">
      <c r="P3089" s="115"/>
    </row>
    <row r="3090" spans="16:16">
      <c r="P3090" s="115"/>
    </row>
    <row r="3091" spans="16:16">
      <c r="P3091" s="115"/>
    </row>
    <row r="3092" spans="16:16">
      <c r="P3092" s="115"/>
    </row>
    <row r="3093" spans="16:16">
      <c r="P3093" s="115"/>
    </row>
    <row r="3094" spans="16:16">
      <c r="P3094" s="115"/>
    </row>
    <row r="3095" spans="16:16">
      <c r="P3095" s="115"/>
    </row>
    <row r="3096" spans="16:16">
      <c r="P3096" s="115"/>
    </row>
    <row r="3097" spans="16:16">
      <c r="P3097" s="115"/>
    </row>
    <row r="3098" spans="16:16">
      <c r="P3098" s="115"/>
    </row>
    <row r="3099" spans="16:16">
      <c r="P3099" s="115"/>
    </row>
    <row r="3100" spans="16:16">
      <c r="P3100" s="115"/>
    </row>
    <row r="3101" spans="16:16">
      <c r="P3101" s="115"/>
    </row>
    <row r="3102" spans="16:16">
      <c r="P3102" s="115"/>
    </row>
    <row r="3103" spans="16:16">
      <c r="P3103" s="115"/>
    </row>
    <row r="3104" spans="16:16">
      <c r="P3104" s="115"/>
    </row>
    <row r="3105" spans="16:16">
      <c r="P3105" s="115"/>
    </row>
    <row r="3106" spans="16:16">
      <c r="P3106" s="115"/>
    </row>
    <row r="3107" spans="16:16">
      <c r="P3107" s="115"/>
    </row>
    <row r="3108" spans="16:16">
      <c r="P3108" s="115"/>
    </row>
    <row r="3109" spans="16:16">
      <c r="P3109" s="115"/>
    </row>
    <row r="3110" spans="16:16">
      <c r="P3110" s="115"/>
    </row>
    <row r="3111" spans="16:16">
      <c r="P3111" s="115"/>
    </row>
    <row r="3112" spans="16:16">
      <c r="P3112" s="115"/>
    </row>
    <row r="3113" spans="16:16">
      <c r="P3113" s="115"/>
    </row>
    <row r="3114" spans="16:16">
      <c r="P3114" s="115"/>
    </row>
    <row r="3115" spans="16:16">
      <c r="P3115" s="115"/>
    </row>
    <row r="3116" spans="16:16">
      <c r="P3116" s="115"/>
    </row>
    <row r="3117" spans="16:16">
      <c r="P3117" s="115"/>
    </row>
    <row r="3118" spans="16:16">
      <c r="P3118" s="115"/>
    </row>
    <row r="3119" spans="16:16">
      <c r="P3119" s="115"/>
    </row>
    <row r="3120" spans="16:16">
      <c r="P3120" s="115"/>
    </row>
    <row r="3121" spans="16:16">
      <c r="P3121" s="115"/>
    </row>
    <row r="3122" spans="16:16">
      <c r="P3122" s="115"/>
    </row>
    <row r="3123" spans="16:16">
      <c r="P3123" s="115"/>
    </row>
    <row r="3124" spans="16:16">
      <c r="P3124" s="115"/>
    </row>
    <row r="3125" spans="16:16">
      <c r="P3125" s="115"/>
    </row>
    <row r="3126" spans="16:16">
      <c r="P3126" s="115"/>
    </row>
    <row r="3127" spans="16:16">
      <c r="P3127" s="115"/>
    </row>
    <row r="3128" spans="16:16">
      <c r="P3128" s="115"/>
    </row>
    <row r="3129" spans="16:16">
      <c r="P3129" s="115"/>
    </row>
    <row r="3130" spans="16:16">
      <c r="P3130" s="115"/>
    </row>
    <row r="3131" spans="16:16">
      <c r="P3131" s="115"/>
    </row>
    <row r="3132" spans="16:16">
      <c r="P3132" s="115"/>
    </row>
    <row r="3133" spans="16:16">
      <c r="P3133" s="115"/>
    </row>
    <row r="3134" spans="16:16">
      <c r="P3134" s="115"/>
    </row>
    <row r="3135" spans="16:16">
      <c r="P3135" s="115"/>
    </row>
    <row r="3136" spans="16:16">
      <c r="P3136" s="115"/>
    </row>
    <row r="3137" spans="16:16">
      <c r="P3137" s="115"/>
    </row>
    <row r="3138" spans="16:16">
      <c r="P3138" s="115"/>
    </row>
    <row r="3139" spans="16:16">
      <c r="P3139" s="115"/>
    </row>
    <row r="3140" spans="16:16">
      <c r="P3140" s="115"/>
    </row>
    <row r="3141" spans="16:16">
      <c r="P3141" s="115"/>
    </row>
    <row r="3142" spans="16:16">
      <c r="P3142" s="115"/>
    </row>
    <row r="3143" spans="16:16">
      <c r="P3143" s="115"/>
    </row>
    <row r="3144" spans="16:16">
      <c r="P3144" s="115"/>
    </row>
    <row r="3145" spans="16:16">
      <c r="P3145" s="115"/>
    </row>
    <row r="3146" spans="16:16">
      <c r="P3146" s="115"/>
    </row>
    <row r="3147" spans="16:16">
      <c r="P3147" s="115"/>
    </row>
    <row r="3148" spans="16:16">
      <c r="P3148" s="115"/>
    </row>
    <row r="3149" spans="16:16">
      <c r="P3149" s="115"/>
    </row>
    <row r="3150" spans="16:16">
      <c r="P3150" s="115"/>
    </row>
    <row r="3151" spans="16:16">
      <c r="P3151" s="115"/>
    </row>
    <row r="3152" spans="16:16">
      <c r="P3152" s="115"/>
    </row>
    <row r="3153" spans="16:16">
      <c r="P3153" s="115"/>
    </row>
    <row r="3154" spans="16:16">
      <c r="P3154" s="115"/>
    </row>
    <row r="3155" spans="16:16">
      <c r="P3155" s="115"/>
    </row>
    <row r="3156" spans="16:16">
      <c r="P3156" s="115"/>
    </row>
    <row r="3157" spans="16:16">
      <c r="P3157" s="115"/>
    </row>
    <row r="3158" spans="16:16">
      <c r="P3158" s="115"/>
    </row>
    <row r="3159" spans="16:16">
      <c r="P3159" s="115"/>
    </row>
    <row r="3160" spans="16:16">
      <c r="P3160" s="115"/>
    </row>
    <row r="3161" spans="16:16">
      <c r="P3161" s="115"/>
    </row>
    <row r="3162" spans="16:16">
      <c r="P3162" s="115"/>
    </row>
    <row r="3163" spans="16:16">
      <c r="P3163" s="115"/>
    </row>
    <row r="3164" spans="16:16">
      <c r="P3164" s="115"/>
    </row>
    <row r="3165" spans="16:16">
      <c r="P3165" s="115"/>
    </row>
    <row r="3166" spans="16:16">
      <c r="P3166" s="115"/>
    </row>
    <row r="3167" spans="16:16">
      <c r="P3167" s="115"/>
    </row>
    <row r="3168" spans="16:16">
      <c r="P3168" s="115"/>
    </row>
    <row r="3169" spans="16:16">
      <c r="P3169" s="115"/>
    </row>
    <row r="3170" spans="16:16">
      <c r="P3170" s="115"/>
    </row>
    <row r="3171" spans="16:16">
      <c r="P3171" s="115"/>
    </row>
    <row r="3172" spans="16:16">
      <c r="P3172" s="115"/>
    </row>
    <row r="3173" spans="16:16">
      <c r="P3173" s="115"/>
    </row>
    <row r="3174" spans="16:16">
      <c r="P3174" s="115"/>
    </row>
    <row r="3175" spans="16:16">
      <c r="P3175" s="115"/>
    </row>
    <row r="3176" spans="16:16">
      <c r="P3176" s="115"/>
    </row>
    <row r="3177" spans="16:16">
      <c r="P3177" s="115"/>
    </row>
    <row r="3178" spans="16:16">
      <c r="P3178" s="115"/>
    </row>
    <row r="3179" spans="16:16">
      <c r="P3179" s="115"/>
    </row>
    <row r="3180" spans="16:16">
      <c r="P3180" s="115"/>
    </row>
    <row r="3181" spans="16:16">
      <c r="P3181" s="115"/>
    </row>
    <row r="3182" spans="16:16">
      <c r="P3182" s="115"/>
    </row>
    <row r="3183" spans="16:16">
      <c r="P3183" s="115"/>
    </row>
    <row r="3184" spans="16:16">
      <c r="P3184" s="115"/>
    </row>
    <row r="3185" spans="16:16">
      <c r="P3185" s="115"/>
    </row>
    <row r="3186" spans="16:16">
      <c r="P3186" s="115"/>
    </row>
    <row r="3187" spans="16:16">
      <c r="P3187" s="115"/>
    </row>
    <row r="3188" spans="16:16">
      <c r="P3188" s="115"/>
    </row>
    <row r="3189" spans="16:16">
      <c r="P3189" s="115"/>
    </row>
    <row r="3190" spans="16:16">
      <c r="P3190" s="115"/>
    </row>
    <row r="3191" spans="16:16">
      <c r="P3191" s="115"/>
    </row>
    <row r="3192" spans="16:16">
      <c r="P3192" s="115"/>
    </row>
    <row r="3193" spans="16:16">
      <c r="P3193" s="115"/>
    </row>
    <row r="3194" spans="16:16">
      <c r="P3194" s="115"/>
    </row>
    <row r="3195" spans="16:16">
      <c r="P3195" s="115"/>
    </row>
    <row r="3196" spans="16:16">
      <c r="P3196" s="115"/>
    </row>
    <row r="3197" spans="16:16">
      <c r="P3197" s="115"/>
    </row>
    <row r="3198" spans="16:16">
      <c r="P3198" s="115"/>
    </row>
    <row r="3199" spans="16:16">
      <c r="P3199" s="115"/>
    </row>
    <row r="3200" spans="16:16">
      <c r="P3200" s="115"/>
    </row>
    <row r="3201" spans="16:16">
      <c r="P3201" s="115"/>
    </row>
    <row r="3202" spans="16:16">
      <c r="P3202" s="115"/>
    </row>
    <row r="3203" spans="16:16">
      <c r="P3203" s="115"/>
    </row>
    <row r="3204" spans="16:16">
      <c r="P3204" s="115"/>
    </row>
    <row r="3205" spans="16:16">
      <c r="P3205" s="115"/>
    </row>
    <row r="3206" spans="16:16">
      <c r="P3206" s="115"/>
    </row>
    <row r="3207" spans="16:16">
      <c r="P3207" s="115"/>
    </row>
    <row r="3208" spans="16:16">
      <c r="P3208" s="115"/>
    </row>
    <row r="3209" spans="16:16">
      <c r="P3209" s="115"/>
    </row>
    <row r="3210" spans="16:16">
      <c r="P3210" s="115"/>
    </row>
    <row r="3211" spans="16:16">
      <c r="P3211" s="115"/>
    </row>
    <row r="3212" spans="16:16">
      <c r="P3212" s="115"/>
    </row>
    <row r="3213" spans="16:16">
      <c r="P3213" s="115"/>
    </row>
    <row r="3214" spans="16:16">
      <c r="P3214" s="115"/>
    </row>
    <row r="3215" spans="16:16">
      <c r="P3215" s="115"/>
    </row>
    <row r="3216" spans="16:16">
      <c r="P3216" s="115"/>
    </row>
    <row r="3217" spans="16:16">
      <c r="P3217" s="115"/>
    </row>
    <row r="3218" spans="16:16">
      <c r="P3218" s="115"/>
    </row>
    <row r="3219" spans="16:16">
      <c r="P3219" s="115"/>
    </row>
    <row r="3220" spans="16:16">
      <c r="P3220" s="115"/>
    </row>
    <row r="3221" spans="16:16">
      <c r="P3221" s="115"/>
    </row>
    <row r="3222" spans="16:16">
      <c r="P3222" s="115"/>
    </row>
    <row r="3223" spans="16:16">
      <c r="P3223" s="115"/>
    </row>
    <row r="3224" spans="16:16">
      <c r="P3224" s="115"/>
    </row>
    <row r="3225" spans="16:16">
      <c r="P3225" s="115"/>
    </row>
    <row r="3226" spans="16:16">
      <c r="P3226" s="115"/>
    </row>
    <row r="3227" spans="16:16">
      <c r="P3227" s="115"/>
    </row>
    <row r="3228" spans="16:16">
      <c r="P3228" s="115"/>
    </row>
    <row r="3229" spans="16:16">
      <c r="P3229" s="115"/>
    </row>
    <row r="3230" spans="16:16">
      <c r="P3230" s="115"/>
    </row>
    <row r="3231" spans="16:16">
      <c r="P3231" s="115"/>
    </row>
    <row r="3232" spans="16:16">
      <c r="P3232" s="115"/>
    </row>
    <row r="3233" spans="16:16">
      <c r="P3233" s="115"/>
    </row>
    <row r="3234" spans="16:16">
      <c r="P3234" s="115"/>
    </row>
    <row r="3235" spans="16:16">
      <c r="P3235" s="115"/>
    </row>
    <row r="3236" spans="16:16">
      <c r="P3236" s="115"/>
    </row>
    <row r="3237" spans="16:16">
      <c r="P3237" s="115"/>
    </row>
    <row r="3238" spans="16:16">
      <c r="P3238" s="115"/>
    </row>
    <row r="3239" spans="16:16">
      <c r="P3239" s="115"/>
    </row>
    <row r="3240" spans="16:16">
      <c r="P3240" s="115"/>
    </row>
    <row r="3241" spans="16:16">
      <c r="P3241" s="115"/>
    </row>
    <row r="3242" spans="16:16">
      <c r="P3242" s="115"/>
    </row>
    <row r="3243" spans="16:16">
      <c r="P3243" s="115"/>
    </row>
    <row r="3244" spans="16:16">
      <c r="P3244" s="115"/>
    </row>
    <row r="3245" spans="16:16">
      <c r="P3245" s="115"/>
    </row>
    <row r="3246" spans="16:16">
      <c r="P3246" s="115"/>
    </row>
    <row r="3247" spans="16:16">
      <c r="P3247" s="115"/>
    </row>
    <row r="3248" spans="16:16">
      <c r="P3248" s="115"/>
    </row>
    <row r="3249" spans="16:16">
      <c r="P3249" s="115"/>
    </row>
    <row r="3250" spans="16:16">
      <c r="P3250" s="115"/>
    </row>
    <row r="3251" spans="16:16">
      <c r="P3251" s="115"/>
    </row>
    <row r="3252" spans="16:16">
      <c r="P3252" s="115"/>
    </row>
    <row r="3253" spans="16:16">
      <c r="P3253" s="115"/>
    </row>
    <row r="3254" spans="16:16">
      <c r="P3254" s="115"/>
    </row>
    <row r="3255" spans="16:16">
      <c r="P3255" s="115"/>
    </row>
    <row r="3256" spans="16:16">
      <c r="P3256" s="115"/>
    </row>
    <row r="3257" spans="16:16">
      <c r="P3257" s="115"/>
    </row>
    <row r="3258" spans="16:16">
      <c r="P3258" s="115"/>
    </row>
    <row r="3259" spans="16:16">
      <c r="P3259" s="115"/>
    </row>
    <row r="3260" spans="16:16">
      <c r="P3260" s="115"/>
    </row>
    <row r="3261" spans="16:16">
      <c r="P3261" s="115"/>
    </row>
    <row r="3262" spans="16:16">
      <c r="P3262" s="115"/>
    </row>
    <row r="3263" spans="16:16">
      <c r="P3263" s="115"/>
    </row>
    <row r="3264" spans="16:16">
      <c r="P3264" s="115"/>
    </row>
    <row r="3265" spans="16:16">
      <c r="P3265" s="115"/>
    </row>
    <row r="3266" spans="16:16">
      <c r="P3266" s="115"/>
    </row>
    <row r="3267" spans="16:16">
      <c r="P3267" s="115"/>
    </row>
    <row r="3268" spans="16:16">
      <c r="P3268" s="115"/>
    </row>
    <row r="3269" spans="16:16">
      <c r="P3269" s="115"/>
    </row>
    <row r="3270" spans="16:16">
      <c r="P3270" s="115"/>
    </row>
    <row r="3271" spans="16:16">
      <c r="P3271" s="115"/>
    </row>
    <row r="3272" spans="16:16">
      <c r="P3272" s="115"/>
    </row>
    <row r="3273" spans="16:16">
      <c r="P3273" s="115"/>
    </row>
    <row r="3274" spans="16:16">
      <c r="P3274" s="115"/>
    </row>
    <row r="3275" spans="16:16">
      <c r="P3275" s="115"/>
    </row>
    <row r="3276" spans="16:16">
      <c r="P3276" s="115"/>
    </row>
    <row r="3277" spans="16:16">
      <c r="P3277" s="115"/>
    </row>
    <row r="3278" spans="16:16">
      <c r="P3278" s="115"/>
    </row>
    <row r="3279" spans="16:16">
      <c r="P3279" s="115"/>
    </row>
    <row r="3280" spans="16:16">
      <c r="P3280" s="115"/>
    </row>
    <row r="3281" spans="16:16">
      <c r="P3281" s="115"/>
    </row>
    <row r="3282" spans="16:16">
      <c r="P3282" s="115"/>
    </row>
    <row r="3283" spans="16:16">
      <c r="P3283" s="115"/>
    </row>
    <row r="3284" spans="16:16">
      <c r="P3284" s="115"/>
    </row>
    <row r="3285" spans="16:16">
      <c r="P3285" s="115"/>
    </row>
    <row r="3286" spans="16:16">
      <c r="P3286" s="115"/>
    </row>
    <row r="3287" spans="16:16">
      <c r="P3287" s="115"/>
    </row>
    <row r="3288" spans="16:16">
      <c r="P3288" s="115"/>
    </row>
    <row r="3289" spans="16:16">
      <c r="P3289" s="115"/>
    </row>
    <row r="3290" spans="16:16">
      <c r="P3290" s="115"/>
    </row>
    <row r="3291" spans="16:16">
      <c r="P3291" s="115"/>
    </row>
    <row r="3292" spans="16:16">
      <c r="P3292" s="115"/>
    </row>
    <row r="3293" spans="16:16">
      <c r="P3293" s="115"/>
    </row>
    <row r="3294" spans="16:16">
      <c r="P3294" s="115"/>
    </row>
    <row r="3295" spans="16:16">
      <c r="P3295" s="115"/>
    </row>
    <row r="3296" spans="16:16">
      <c r="P3296" s="115"/>
    </row>
    <row r="3297" spans="16:16">
      <c r="P3297" s="115"/>
    </row>
    <row r="3298" spans="16:16">
      <c r="P3298" s="115"/>
    </row>
    <row r="3299" spans="16:16">
      <c r="P3299" s="115"/>
    </row>
    <row r="3300" spans="16:16">
      <c r="P3300" s="115"/>
    </row>
    <row r="3301" spans="16:16">
      <c r="P3301" s="115"/>
    </row>
    <row r="3302" spans="16:16">
      <c r="P3302" s="115"/>
    </row>
    <row r="3303" spans="16:16">
      <c r="P3303" s="115"/>
    </row>
    <row r="3304" spans="16:16">
      <c r="P3304" s="115"/>
    </row>
    <row r="3305" spans="16:16">
      <c r="P3305" s="115"/>
    </row>
    <row r="3306" spans="16:16">
      <c r="P3306" s="115"/>
    </row>
    <row r="3307" spans="16:16">
      <c r="P3307" s="115"/>
    </row>
    <row r="3308" spans="16:16">
      <c r="P3308" s="115"/>
    </row>
    <row r="3309" spans="16:16">
      <c r="P3309" s="115"/>
    </row>
    <row r="3310" spans="16:16">
      <c r="P3310" s="115"/>
    </row>
    <row r="3311" spans="16:16">
      <c r="P3311" s="115"/>
    </row>
    <row r="3312" spans="16:16">
      <c r="P3312" s="115"/>
    </row>
    <row r="3313" spans="16:16">
      <c r="P3313" s="115"/>
    </row>
    <row r="3314" spans="16:16">
      <c r="P3314" s="115"/>
    </row>
    <row r="3315" spans="16:16">
      <c r="P3315" s="115"/>
    </row>
    <row r="3316" spans="16:16">
      <c r="P3316" s="115"/>
    </row>
    <row r="3317" spans="16:16">
      <c r="P3317" s="115"/>
    </row>
    <row r="3318" spans="16:16">
      <c r="P3318" s="115"/>
    </row>
    <row r="3319" spans="16:16">
      <c r="P3319" s="115"/>
    </row>
    <row r="3320" spans="16:16">
      <c r="P3320" s="115"/>
    </row>
    <row r="3321" spans="16:16">
      <c r="P3321" s="115"/>
    </row>
    <row r="3322" spans="16:16">
      <c r="P3322" s="115"/>
    </row>
    <row r="3323" spans="16:16">
      <c r="P3323" s="115"/>
    </row>
    <row r="3324" spans="16:16">
      <c r="P3324" s="115"/>
    </row>
    <row r="3325" spans="16:16">
      <c r="P3325" s="115"/>
    </row>
    <row r="3326" spans="16:16">
      <c r="P3326" s="115"/>
    </row>
    <row r="3327" spans="16:16">
      <c r="P3327" s="115"/>
    </row>
    <row r="3328" spans="16:16">
      <c r="P3328" s="115"/>
    </row>
    <row r="3329" spans="16:16">
      <c r="P3329" s="115"/>
    </row>
    <row r="3330" spans="16:16">
      <c r="P3330" s="115"/>
    </row>
    <row r="3331" spans="16:16">
      <c r="P3331" s="115"/>
    </row>
    <row r="3332" spans="16:16">
      <c r="P3332" s="115"/>
    </row>
    <row r="3333" spans="16:16">
      <c r="P3333" s="115"/>
    </row>
    <row r="3334" spans="16:16">
      <c r="P3334" s="115"/>
    </row>
    <row r="3335" spans="16:16">
      <c r="P3335" s="115"/>
    </row>
    <row r="3336" spans="16:16">
      <c r="P3336" s="115"/>
    </row>
    <row r="3337" spans="16:16">
      <c r="P3337" s="115"/>
    </row>
    <row r="3338" spans="16:16">
      <c r="P3338" s="115"/>
    </row>
    <row r="3339" spans="16:16">
      <c r="P3339" s="115"/>
    </row>
    <row r="3340" spans="16:16">
      <c r="P3340" s="115"/>
    </row>
    <row r="3341" spans="16:16">
      <c r="P3341" s="115"/>
    </row>
    <row r="3342" spans="16:16">
      <c r="P3342" s="115"/>
    </row>
    <row r="3343" spans="16:16">
      <c r="P3343" s="115"/>
    </row>
    <row r="3344" spans="16:16">
      <c r="P3344" s="115"/>
    </row>
    <row r="3345" spans="16:16">
      <c r="P3345" s="115"/>
    </row>
    <row r="3346" spans="16:16">
      <c r="P3346" s="115"/>
    </row>
    <row r="3347" spans="16:16">
      <c r="P3347" s="115"/>
    </row>
    <row r="3348" spans="16:16">
      <c r="P3348" s="115"/>
    </row>
    <row r="3349" spans="16:16">
      <c r="P3349" s="115"/>
    </row>
    <row r="3350" spans="16:16">
      <c r="P3350" s="115"/>
    </row>
    <row r="3351" spans="16:16">
      <c r="P3351" s="115"/>
    </row>
    <row r="3352" spans="16:16">
      <c r="P3352" s="115"/>
    </row>
    <row r="3353" spans="16:16">
      <c r="P3353" s="115"/>
    </row>
    <row r="3354" spans="16:16">
      <c r="P3354" s="115"/>
    </row>
    <row r="3355" spans="16:16">
      <c r="P3355" s="115"/>
    </row>
    <row r="3356" spans="16:16">
      <c r="P3356" s="115"/>
    </row>
    <row r="3357" spans="16:16">
      <c r="P3357" s="115"/>
    </row>
    <row r="3358" spans="16:16">
      <c r="P3358" s="115"/>
    </row>
    <row r="3359" spans="16:16">
      <c r="P3359" s="115"/>
    </row>
    <row r="3360" spans="16:16">
      <c r="P3360" s="115"/>
    </row>
    <row r="3361" spans="16:16">
      <c r="P3361" s="115"/>
    </row>
    <row r="3362" spans="16:16">
      <c r="P3362" s="115"/>
    </row>
    <row r="3363" spans="16:16">
      <c r="P3363" s="115"/>
    </row>
    <row r="3364" spans="16:16">
      <c r="P3364" s="115"/>
    </row>
    <row r="3365" spans="16:16">
      <c r="P3365" s="115"/>
    </row>
    <row r="3366" spans="16:16">
      <c r="P3366" s="115"/>
    </row>
    <row r="3367" spans="16:16">
      <c r="P3367" s="115"/>
    </row>
    <row r="3368" spans="16:16">
      <c r="P3368" s="115"/>
    </row>
    <row r="3369" spans="16:16">
      <c r="P3369" s="115"/>
    </row>
    <row r="3370" spans="16:16">
      <c r="P3370" s="115"/>
    </row>
    <row r="3371" spans="16:16">
      <c r="P3371" s="115"/>
    </row>
    <row r="3372" spans="16:16">
      <c r="P3372" s="115"/>
    </row>
    <row r="3373" spans="16:16">
      <c r="P3373" s="115"/>
    </row>
    <row r="3374" spans="16:16">
      <c r="P3374" s="115"/>
    </row>
    <row r="3375" spans="16:16">
      <c r="P3375" s="115"/>
    </row>
    <row r="3376" spans="16:16">
      <c r="P3376" s="115"/>
    </row>
    <row r="3377" spans="16:16">
      <c r="P3377" s="115"/>
    </row>
    <row r="3378" spans="16:16">
      <c r="P3378" s="115"/>
    </row>
    <row r="3379" spans="16:16">
      <c r="P3379" s="115"/>
    </row>
    <row r="3380" spans="16:16">
      <c r="P3380" s="115"/>
    </row>
    <row r="3381" spans="16:16">
      <c r="P3381" s="115"/>
    </row>
    <row r="3382" spans="16:16">
      <c r="P3382" s="115"/>
    </row>
    <row r="3383" spans="16:16">
      <c r="P3383" s="115"/>
    </row>
    <row r="3384" spans="16:16">
      <c r="P3384" s="115"/>
    </row>
    <row r="3385" spans="16:16">
      <c r="P3385" s="115"/>
    </row>
    <row r="3386" spans="16:16">
      <c r="P3386" s="115"/>
    </row>
    <row r="3387" spans="16:16">
      <c r="P3387" s="115"/>
    </row>
    <row r="3388" spans="16:16">
      <c r="P3388" s="115"/>
    </row>
    <row r="3389" spans="16:16">
      <c r="P3389" s="115"/>
    </row>
    <row r="3390" spans="16:16">
      <c r="P3390" s="115"/>
    </row>
    <row r="3391" spans="16:16">
      <c r="P3391" s="115"/>
    </row>
    <row r="3392" spans="16:16">
      <c r="P3392" s="115"/>
    </row>
    <row r="3393" spans="16:16">
      <c r="P3393" s="115"/>
    </row>
    <row r="3394" spans="16:16">
      <c r="P3394" s="115"/>
    </row>
    <row r="3395" spans="16:16">
      <c r="P3395" s="115"/>
    </row>
    <row r="3396" spans="16:16">
      <c r="P3396" s="115"/>
    </row>
    <row r="3397" spans="16:16">
      <c r="P3397" s="115"/>
    </row>
    <row r="3398" spans="16:16">
      <c r="P3398" s="115"/>
    </row>
    <row r="3399" spans="16:16">
      <c r="P3399" s="115"/>
    </row>
    <row r="3400" spans="16:16">
      <c r="P3400" s="115"/>
    </row>
    <row r="3401" spans="16:16">
      <c r="P3401" s="115"/>
    </row>
    <row r="3402" spans="16:16">
      <c r="P3402" s="115"/>
    </row>
    <row r="3403" spans="16:16">
      <c r="P3403" s="115"/>
    </row>
    <row r="3404" spans="16:16">
      <c r="P3404" s="115"/>
    </row>
    <row r="3405" spans="16:16">
      <c r="P3405" s="115"/>
    </row>
    <row r="3406" spans="16:16">
      <c r="P3406" s="115"/>
    </row>
    <row r="3407" spans="16:16">
      <c r="P3407" s="115"/>
    </row>
    <row r="3408" spans="16:16">
      <c r="P3408" s="115"/>
    </row>
    <row r="3409" spans="16:16">
      <c r="P3409" s="115"/>
    </row>
    <row r="3410" spans="16:16">
      <c r="P3410" s="115"/>
    </row>
    <row r="3411" spans="16:16">
      <c r="P3411" s="115"/>
    </row>
    <row r="3412" spans="16:16">
      <c r="P3412" s="115"/>
    </row>
    <row r="3413" spans="16:16">
      <c r="P3413" s="115"/>
    </row>
    <row r="3414" spans="16:16">
      <c r="P3414" s="115"/>
    </row>
    <row r="3415" spans="16:16">
      <c r="P3415" s="115"/>
    </row>
    <row r="3416" spans="16:16">
      <c r="P3416" s="115"/>
    </row>
    <row r="3417" spans="16:16">
      <c r="P3417" s="115"/>
    </row>
    <row r="3418" spans="16:16">
      <c r="P3418" s="115"/>
    </row>
    <row r="3419" spans="16:16">
      <c r="P3419" s="115"/>
    </row>
    <row r="3420" spans="16:16">
      <c r="P3420" s="115"/>
    </row>
    <row r="3421" spans="16:16">
      <c r="P3421" s="115"/>
    </row>
    <row r="3422" spans="16:16">
      <c r="P3422" s="115"/>
    </row>
    <row r="3423" spans="16:16">
      <c r="P3423" s="115"/>
    </row>
    <row r="3424" spans="16:16">
      <c r="P3424" s="115"/>
    </row>
    <row r="3425" spans="16:16">
      <c r="P3425" s="115"/>
    </row>
    <row r="3426" spans="16:16">
      <c r="P3426" s="115"/>
    </row>
    <row r="3427" spans="16:16">
      <c r="P3427" s="115"/>
    </row>
    <row r="3428" spans="16:16">
      <c r="P3428" s="115"/>
    </row>
    <row r="3429" spans="16:16">
      <c r="P3429" s="115"/>
    </row>
    <row r="3430" spans="16:16">
      <c r="P3430" s="115"/>
    </row>
    <row r="3431" spans="16:16">
      <c r="P3431" s="115"/>
    </row>
    <row r="3432" spans="16:16">
      <c r="P3432" s="115"/>
    </row>
    <row r="3433" spans="16:16">
      <c r="P3433" s="115"/>
    </row>
    <row r="3434" spans="16:16">
      <c r="P3434" s="115"/>
    </row>
    <row r="3435" spans="16:16">
      <c r="P3435" s="115"/>
    </row>
    <row r="3436" spans="16:16">
      <c r="P3436" s="115"/>
    </row>
    <row r="3437" spans="16:16">
      <c r="P3437" s="115"/>
    </row>
    <row r="3438" spans="16:16">
      <c r="P3438" s="115"/>
    </row>
    <row r="3439" spans="16:16">
      <c r="P3439" s="115"/>
    </row>
    <row r="3440" spans="16:16">
      <c r="P3440" s="115"/>
    </row>
    <row r="3441" spans="16:16">
      <c r="P3441" s="115"/>
    </row>
    <row r="3442" spans="16:16">
      <c r="P3442" s="115"/>
    </row>
    <row r="3443" spans="16:16">
      <c r="P3443" s="115"/>
    </row>
    <row r="3444" spans="16:16">
      <c r="P3444" s="115"/>
    </row>
    <row r="3445" spans="16:16">
      <c r="P3445" s="115"/>
    </row>
    <row r="3446" spans="16:16">
      <c r="P3446" s="115"/>
    </row>
    <row r="3447" spans="16:16">
      <c r="P3447" s="115"/>
    </row>
    <row r="3448" spans="16:16">
      <c r="P3448" s="115"/>
    </row>
    <row r="3449" spans="16:16">
      <c r="P3449" s="115"/>
    </row>
    <row r="3450" spans="16:16">
      <c r="P3450" s="115"/>
    </row>
    <row r="3451" spans="16:16">
      <c r="P3451" s="115"/>
    </row>
    <row r="3452" spans="16:16">
      <c r="P3452" s="115"/>
    </row>
    <row r="3453" spans="16:16">
      <c r="P3453" s="115"/>
    </row>
    <row r="3454" spans="16:16">
      <c r="P3454" s="115"/>
    </row>
    <row r="3455" spans="16:16">
      <c r="P3455" s="115"/>
    </row>
    <row r="3456" spans="16:16">
      <c r="P3456" s="115"/>
    </row>
    <row r="3457" spans="16:16">
      <c r="P3457" s="115"/>
    </row>
    <row r="3458" spans="16:16">
      <c r="P3458" s="115"/>
    </row>
    <row r="3459" spans="16:16">
      <c r="P3459" s="115"/>
    </row>
    <row r="3460" spans="16:16">
      <c r="P3460" s="115"/>
    </row>
    <row r="3461" spans="16:16">
      <c r="P3461" s="115"/>
    </row>
    <row r="3462" spans="16:16">
      <c r="P3462" s="115"/>
    </row>
    <row r="3463" spans="16:16">
      <c r="P3463" s="115"/>
    </row>
    <row r="3464" spans="16:16">
      <c r="P3464" s="115"/>
    </row>
    <row r="3465" spans="16:16">
      <c r="P3465" s="115"/>
    </row>
    <row r="3466" spans="16:16">
      <c r="P3466" s="115"/>
    </row>
    <row r="3467" spans="16:16">
      <c r="P3467" s="115"/>
    </row>
    <row r="3468" spans="16:16">
      <c r="P3468" s="115"/>
    </row>
    <row r="3469" spans="16:16">
      <c r="P3469" s="115"/>
    </row>
    <row r="3470" spans="16:16">
      <c r="P3470" s="115"/>
    </row>
    <row r="3471" spans="16:16">
      <c r="P3471" s="115"/>
    </row>
    <row r="3472" spans="16:16">
      <c r="P3472" s="115"/>
    </row>
    <row r="3473" spans="16:16">
      <c r="P3473" s="115"/>
    </row>
    <row r="3474" spans="16:16">
      <c r="P3474" s="115"/>
    </row>
    <row r="3475" spans="16:16">
      <c r="P3475" s="115"/>
    </row>
    <row r="3476" spans="16:16">
      <c r="P3476" s="115"/>
    </row>
    <row r="3477" spans="16:16">
      <c r="P3477" s="115"/>
    </row>
    <row r="3478" spans="16:16">
      <c r="P3478" s="115"/>
    </row>
    <row r="3479" spans="16:16">
      <c r="P3479" s="115"/>
    </row>
    <row r="3480" spans="16:16">
      <c r="P3480" s="115"/>
    </row>
    <row r="3481" spans="16:16">
      <c r="P3481" s="115"/>
    </row>
    <row r="3482" spans="16:16">
      <c r="P3482" s="115"/>
    </row>
    <row r="3483" spans="16:16">
      <c r="P3483" s="115"/>
    </row>
    <row r="3484" spans="16:16">
      <c r="P3484" s="115"/>
    </row>
    <row r="3485" spans="16:16">
      <c r="P3485" s="115"/>
    </row>
    <row r="3486" spans="16:16">
      <c r="P3486" s="115"/>
    </row>
    <row r="3487" spans="16:16">
      <c r="P3487" s="115"/>
    </row>
    <row r="3488" spans="16:16">
      <c r="P3488" s="115"/>
    </row>
    <row r="3489" spans="16:16">
      <c r="P3489" s="115"/>
    </row>
    <row r="3490" spans="16:16">
      <c r="P3490" s="115"/>
    </row>
    <row r="3491" spans="16:16">
      <c r="P3491" s="115"/>
    </row>
    <row r="3492" spans="16:16">
      <c r="P3492" s="115"/>
    </row>
    <row r="3493" spans="16:16">
      <c r="P3493" s="115"/>
    </row>
    <row r="3494" spans="16:16">
      <c r="P3494" s="115"/>
    </row>
    <row r="3495" spans="16:16">
      <c r="P3495" s="115"/>
    </row>
    <row r="3496" spans="16:16">
      <c r="P3496" s="115"/>
    </row>
    <row r="3497" spans="16:16">
      <c r="P3497" s="115"/>
    </row>
    <row r="3498" spans="16:16">
      <c r="P3498" s="115"/>
    </row>
    <row r="3499" spans="16:16">
      <c r="P3499" s="115"/>
    </row>
    <row r="3500" spans="16:16">
      <c r="P3500" s="115"/>
    </row>
    <row r="3501" spans="16:16">
      <c r="P3501" s="115"/>
    </row>
    <row r="3502" spans="16:16">
      <c r="P3502" s="115"/>
    </row>
    <row r="3503" spans="16:16">
      <c r="P3503" s="115"/>
    </row>
    <row r="3504" spans="16:16">
      <c r="P3504" s="115"/>
    </row>
    <row r="3505" spans="16:16">
      <c r="P3505" s="115"/>
    </row>
    <row r="3506" spans="16:16">
      <c r="P3506" s="115"/>
    </row>
    <row r="3507" spans="16:16">
      <c r="P3507" s="115"/>
    </row>
    <row r="3508" spans="16:16">
      <c r="P3508" s="115"/>
    </row>
    <row r="3509" spans="16:16">
      <c r="P3509" s="115"/>
    </row>
    <row r="3510" spans="16:16">
      <c r="P3510" s="115"/>
    </row>
    <row r="3511" spans="16:16">
      <c r="P3511" s="115"/>
    </row>
    <row r="3512" spans="16:16">
      <c r="P3512" s="115"/>
    </row>
    <row r="3513" spans="16:16">
      <c r="P3513" s="115"/>
    </row>
    <row r="3514" spans="16:16">
      <c r="P3514" s="115"/>
    </row>
    <row r="3515" spans="16:16">
      <c r="P3515" s="115"/>
    </row>
    <row r="3516" spans="16:16">
      <c r="P3516" s="115"/>
    </row>
    <row r="3517" spans="16:16">
      <c r="P3517" s="115"/>
    </row>
    <row r="3518" spans="16:16">
      <c r="P3518" s="115"/>
    </row>
    <row r="3519" spans="16:16">
      <c r="P3519" s="115"/>
    </row>
    <row r="3520" spans="16:16">
      <c r="P3520" s="115"/>
    </row>
    <row r="3521" spans="16:16">
      <c r="P3521" s="115"/>
    </row>
    <row r="3522" spans="16:16">
      <c r="P3522" s="115"/>
    </row>
    <row r="3523" spans="16:16">
      <c r="P3523" s="115"/>
    </row>
    <row r="3524" spans="16:16">
      <c r="P3524" s="115"/>
    </row>
    <row r="3525" spans="16:16">
      <c r="P3525" s="115"/>
    </row>
    <row r="3526" spans="16:16">
      <c r="P3526" s="115"/>
    </row>
    <row r="3527" spans="16:16">
      <c r="P3527" s="115"/>
    </row>
    <row r="3528" spans="16:16">
      <c r="P3528" s="115"/>
    </row>
    <row r="3529" spans="16:16">
      <c r="P3529" s="115"/>
    </row>
    <row r="3530" spans="16:16">
      <c r="P3530" s="115"/>
    </row>
    <row r="3531" spans="16:16">
      <c r="P3531" s="115"/>
    </row>
    <row r="3532" spans="16:16">
      <c r="P3532" s="115"/>
    </row>
    <row r="3533" spans="16:16">
      <c r="P3533" s="115"/>
    </row>
    <row r="3534" spans="16:16">
      <c r="P3534" s="115"/>
    </row>
    <row r="3535" spans="16:16">
      <c r="P3535" s="115"/>
    </row>
    <row r="3536" spans="16:16">
      <c r="P3536" s="115"/>
    </row>
    <row r="3537" spans="16:16">
      <c r="P3537" s="115"/>
    </row>
    <row r="3538" spans="16:16">
      <c r="P3538" s="115"/>
    </row>
    <row r="3539" spans="16:16">
      <c r="P3539" s="115"/>
    </row>
    <row r="3540" spans="16:16">
      <c r="P3540" s="115"/>
    </row>
    <row r="3541" spans="16:16">
      <c r="P3541" s="115"/>
    </row>
    <row r="3542" spans="16:16">
      <c r="P3542" s="115"/>
    </row>
    <row r="3543" spans="16:16">
      <c r="P3543" s="115"/>
    </row>
    <row r="3544" spans="16:16">
      <c r="P3544" s="115"/>
    </row>
    <row r="3545" spans="16:16">
      <c r="P3545" s="115"/>
    </row>
    <row r="3546" spans="16:16">
      <c r="P3546" s="115"/>
    </row>
    <row r="3547" spans="16:16">
      <c r="P3547" s="115"/>
    </row>
    <row r="3548" spans="16:16">
      <c r="P3548" s="115"/>
    </row>
    <row r="3549" spans="16:16">
      <c r="P3549" s="115"/>
    </row>
    <row r="3550" spans="16:16">
      <c r="P3550" s="115"/>
    </row>
    <row r="3551" spans="16:16">
      <c r="P3551" s="115"/>
    </row>
    <row r="3552" spans="16:16">
      <c r="P3552" s="115"/>
    </row>
    <row r="3553" spans="16:16">
      <c r="P3553" s="115"/>
    </row>
    <row r="3554" spans="16:16">
      <c r="P3554" s="115"/>
    </row>
    <row r="3555" spans="16:16">
      <c r="P3555" s="115"/>
    </row>
    <row r="3556" spans="16:16">
      <c r="P3556" s="115"/>
    </row>
    <row r="3557" spans="16:16">
      <c r="P3557" s="115"/>
    </row>
    <row r="3558" spans="16:16">
      <c r="P3558" s="115"/>
    </row>
    <row r="3559" spans="16:16">
      <c r="P3559" s="115"/>
    </row>
    <row r="3560" spans="16:16">
      <c r="P3560" s="115"/>
    </row>
    <row r="3561" spans="16:16">
      <c r="P3561" s="115"/>
    </row>
    <row r="3562" spans="16:16">
      <c r="P3562" s="115"/>
    </row>
    <row r="3563" spans="16:16">
      <c r="P3563" s="115"/>
    </row>
    <row r="3564" spans="16:16">
      <c r="P3564" s="115"/>
    </row>
    <row r="3565" spans="16:16">
      <c r="P3565" s="115"/>
    </row>
    <row r="3566" spans="16:16">
      <c r="P3566" s="115"/>
    </row>
    <row r="3567" spans="16:16">
      <c r="P3567" s="115"/>
    </row>
    <row r="3568" spans="16:16">
      <c r="P3568" s="115"/>
    </row>
    <row r="3569" spans="16:16">
      <c r="P3569" s="115"/>
    </row>
    <row r="3570" spans="16:16">
      <c r="P3570" s="115"/>
    </row>
    <row r="3571" spans="16:16">
      <c r="P3571" s="115"/>
    </row>
    <row r="3572" spans="16:16">
      <c r="P3572" s="115"/>
    </row>
    <row r="3573" spans="16:16">
      <c r="P3573" s="115"/>
    </row>
    <row r="3574" spans="16:16">
      <c r="P3574" s="115"/>
    </row>
    <row r="3575" spans="16:16">
      <c r="P3575" s="115"/>
    </row>
    <row r="3576" spans="16:16">
      <c r="P3576" s="115"/>
    </row>
    <row r="3577" spans="16:16">
      <c r="P3577" s="115"/>
    </row>
    <row r="3578" spans="16:16">
      <c r="P3578" s="115"/>
    </row>
    <row r="3579" spans="16:16">
      <c r="P3579" s="115"/>
    </row>
    <row r="3580" spans="16:16">
      <c r="P3580" s="115"/>
    </row>
    <row r="3581" spans="16:16">
      <c r="P3581" s="115"/>
    </row>
    <row r="3582" spans="16:16">
      <c r="P3582" s="115"/>
    </row>
    <row r="3583" spans="16:16">
      <c r="P3583" s="115"/>
    </row>
    <row r="3584" spans="16:16">
      <c r="P3584" s="115"/>
    </row>
    <row r="3585" spans="16:16">
      <c r="P3585" s="115"/>
    </row>
    <row r="3586" spans="16:16">
      <c r="P3586" s="115"/>
    </row>
    <row r="3587" spans="16:16">
      <c r="P3587" s="115"/>
    </row>
    <row r="3588" spans="16:16">
      <c r="P3588" s="115"/>
    </row>
    <row r="3589" spans="16:16">
      <c r="P3589" s="115"/>
    </row>
    <row r="3590" spans="16:16">
      <c r="P3590" s="115"/>
    </row>
    <row r="3591" spans="16:16">
      <c r="P3591" s="115"/>
    </row>
    <row r="3592" spans="16:16">
      <c r="P3592" s="115"/>
    </row>
    <row r="3593" spans="16:16">
      <c r="P3593" s="115"/>
    </row>
    <row r="3594" spans="16:16">
      <c r="P3594" s="115"/>
    </row>
    <row r="3595" spans="16:16">
      <c r="P3595" s="115"/>
    </row>
    <row r="3596" spans="16:16">
      <c r="P3596" s="115"/>
    </row>
    <row r="3597" spans="16:16">
      <c r="P3597" s="115"/>
    </row>
    <row r="3598" spans="16:16">
      <c r="P3598" s="115"/>
    </row>
    <row r="3599" spans="16:16">
      <c r="P3599" s="115"/>
    </row>
    <row r="3600" spans="16:16">
      <c r="P3600" s="115"/>
    </row>
    <row r="3601" spans="16:16">
      <c r="P3601" s="115"/>
    </row>
    <row r="3602" spans="16:16">
      <c r="P3602" s="115"/>
    </row>
    <row r="3603" spans="16:16">
      <c r="P3603" s="115"/>
    </row>
    <row r="3604" spans="16:16">
      <c r="P3604" s="115"/>
    </row>
    <row r="3605" spans="16:16">
      <c r="P3605" s="115"/>
    </row>
    <row r="3606" spans="16:16">
      <c r="P3606" s="115"/>
    </row>
    <row r="3607" spans="16:16">
      <c r="P3607" s="115"/>
    </row>
    <row r="3608" spans="16:16">
      <c r="P3608" s="115"/>
    </row>
    <row r="3609" spans="16:16">
      <c r="P3609" s="115"/>
    </row>
    <row r="3610" spans="16:16">
      <c r="P3610" s="115"/>
    </row>
    <row r="3611" spans="16:16">
      <c r="P3611" s="115"/>
    </row>
    <row r="3612" spans="16:16">
      <c r="P3612" s="115"/>
    </row>
    <row r="3613" spans="16:16">
      <c r="P3613" s="115"/>
    </row>
    <row r="3614" spans="16:16">
      <c r="P3614" s="115"/>
    </row>
    <row r="3615" spans="16:16">
      <c r="P3615" s="115"/>
    </row>
    <row r="3616" spans="16:16">
      <c r="P3616" s="115"/>
    </row>
    <row r="3617" spans="16:16">
      <c r="P3617" s="115"/>
    </row>
    <row r="3618" spans="16:16">
      <c r="P3618" s="115"/>
    </row>
    <row r="3619" spans="16:16">
      <c r="P3619" s="115"/>
    </row>
    <row r="3620" spans="16:16">
      <c r="P3620" s="115"/>
    </row>
    <row r="3621" spans="16:16">
      <c r="P3621" s="115"/>
    </row>
    <row r="3622" spans="16:16">
      <c r="P3622" s="115"/>
    </row>
    <row r="3623" spans="16:16">
      <c r="P3623" s="115"/>
    </row>
    <row r="3624" spans="16:16">
      <c r="P3624" s="115"/>
    </row>
    <row r="3625" spans="16:16">
      <c r="P3625" s="115"/>
    </row>
    <row r="3626" spans="16:16">
      <c r="P3626" s="115"/>
    </row>
    <row r="3627" spans="16:16">
      <c r="P3627" s="115"/>
    </row>
    <row r="3628" spans="16:16">
      <c r="P3628" s="115"/>
    </row>
    <row r="3629" spans="16:16">
      <c r="P3629" s="115"/>
    </row>
    <row r="3630" spans="16:16">
      <c r="P3630" s="115"/>
    </row>
    <row r="3631" spans="16:16">
      <c r="P3631" s="115"/>
    </row>
    <row r="3632" spans="16:16">
      <c r="P3632" s="115"/>
    </row>
    <row r="3633" spans="16:16">
      <c r="P3633" s="115"/>
    </row>
    <row r="3634" spans="16:16">
      <c r="P3634" s="115"/>
    </row>
    <row r="3635" spans="16:16">
      <c r="P3635" s="115"/>
    </row>
    <row r="3636" spans="16:16">
      <c r="P3636" s="115"/>
    </row>
    <row r="3637" spans="16:16">
      <c r="P3637" s="115"/>
    </row>
    <row r="3638" spans="16:16">
      <c r="P3638" s="115"/>
    </row>
    <row r="3639" spans="16:16">
      <c r="P3639" s="115"/>
    </row>
    <row r="3640" spans="16:16">
      <c r="P3640" s="115"/>
    </row>
    <row r="3641" spans="16:16">
      <c r="P3641" s="115"/>
    </row>
    <row r="3642" spans="16:16">
      <c r="P3642" s="115"/>
    </row>
    <row r="3643" spans="16:16">
      <c r="P3643" s="115"/>
    </row>
    <row r="3644" spans="16:16">
      <c r="P3644" s="115"/>
    </row>
    <row r="3645" spans="16:16">
      <c r="P3645" s="115"/>
    </row>
    <row r="3646" spans="16:16">
      <c r="P3646" s="115"/>
    </row>
    <row r="3647" spans="16:16">
      <c r="P3647" s="115"/>
    </row>
    <row r="3648" spans="16:16">
      <c r="P3648" s="115"/>
    </row>
    <row r="3649" spans="16:16">
      <c r="P3649" s="115"/>
    </row>
    <row r="3650" spans="16:16">
      <c r="P3650" s="115"/>
    </row>
    <row r="3651" spans="16:16">
      <c r="P3651" s="115"/>
    </row>
    <row r="3652" spans="16:16">
      <c r="P3652" s="115"/>
    </row>
    <row r="3653" spans="16:16">
      <c r="P3653" s="115"/>
    </row>
    <row r="3654" spans="16:16">
      <c r="P3654" s="115"/>
    </row>
    <row r="3655" spans="16:16">
      <c r="P3655" s="115"/>
    </row>
    <row r="3656" spans="16:16">
      <c r="P3656" s="115"/>
    </row>
    <row r="3657" spans="16:16">
      <c r="P3657" s="115"/>
    </row>
    <row r="3658" spans="16:16">
      <c r="P3658" s="115"/>
    </row>
    <row r="3659" spans="16:16">
      <c r="P3659" s="115"/>
    </row>
    <row r="3660" spans="16:16">
      <c r="P3660" s="115"/>
    </row>
    <row r="3661" spans="16:16">
      <c r="P3661" s="115"/>
    </row>
    <row r="3662" spans="16:16">
      <c r="P3662" s="115"/>
    </row>
    <row r="3663" spans="16:16">
      <c r="P3663" s="115"/>
    </row>
    <row r="3664" spans="16:16">
      <c r="P3664" s="115"/>
    </row>
    <row r="3665" spans="16:16">
      <c r="P3665" s="115"/>
    </row>
    <row r="3666" spans="16:16">
      <c r="P3666" s="115"/>
    </row>
    <row r="3667" spans="16:16">
      <c r="P3667" s="115"/>
    </row>
    <row r="3668" spans="16:16">
      <c r="P3668" s="115"/>
    </row>
    <row r="3669" spans="16:16">
      <c r="P3669" s="115"/>
    </row>
    <row r="3670" spans="16:16">
      <c r="P3670" s="115"/>
    </row>
    <row r="3671" spans="16:16">
      <c r="P3671" s="115"/>
    </row>
    <row r="3672" spans="16:16">
      <c r="P3672" s="115"/>
    </row>
    <row r="3673" spans="16:16">
      <c r="P3673" s="115"/>
    </row>
    <row r="3674" spans="16:16">
      <c r="P3674" s="115"/>
    </row>
    <row r="3675" spans="16:16">
      <c r="P3675" s="115"/>
    </row>
    <row r="3676" spans="16:16">
      <c r="P3676" s="115"/>
    </row>
    <row r="3677" spans="16:16">
      <c r="P3677" s="115"/>
    </row>
    <row r="3678" spans="16:16">
      <c r="P3678" s="115"/>
    </row>
    <row r="3679" spans="16:16">
      <c r="P3679" s="115"/>
    </row>
    <row r="3680" spans="16:16">
      <c r="P3680" s="115"/>
    </row>
    <row r="3681" spans="16:16">
      <c r="P3681" s="115"/>
    </row>
    <row r="3682" spans="16:16">
      <c r="P3682" s="115"/>
    </row>
    <row r="3683" spans="16:16">
      <c r="P3683" s="115"/>
    </row>
    <row r="3684" spans="16:16">
      <c r="P3684" s="115"/>
    </row>
    <row r="3685" spans="16:16">
      <c r="P3685" s="115"/>
    </row>
    <row r="3686" spans="16:16">
      <c r="P3686" s="115"/>
    </row>
    <row r="3687" spans="16:16">
      <c r="P3687" s="115"/>
    </row>
    <row r="3688" spans="16:16">
      <c r="P3688" s="115"/>
    </row>
    <row r="3689" spans="16:16">
      <c r="P3689" s="115"/>
    </row>
    <row r="3690" spans="16:16">
      <c r="P3690" s="115"/>
    </row>
    <row r="3691" spans="16:16">
      <c r="P3691" s="115"/>
    </row>
    <row r="3692" spans="16:16">
      <c r="P3692" s="115"/>
    </row>
    <row r="3693" spans="16:16">
      <c r="P3693" s="115"/>
    </row>
    <row r="3694" spans="16:16">
      <c r="P3694" s="115"/>
    </row>
    <row r="3695" spans="16:16">
      <c r="P3695" s="115"/>
    </row>
    <row r="3696" spans="16:16">
      <c r="P3696" s="115"/>
    </row>
    <row r="3697" spans="16:16">
      <c r="P3697" s="115"/>
    </row>
    <row r="3698" spans="16:16">
      <c r="P3698" s="115"/>
    </row>
    <row r="3699" spans="16:16">
      <c r="P3699" s="115"/>
    </row>
    <row r="3700" spans="16:16">
      <c r="P3700" s="115"/>
    </row>
    <row r="3701" spans="16:16">
      <c r="P3701" s="115"/>
    </row>
    <row r="3702" spans="16:16">
      <c r="P3702" s="115"/>
    </row>
    <row r="3703" spans="16:16">
      <c r="P3703" s="115"/>
    </row>
    <row r="3704" spans="16:16">
      <c r="P3704" s="115"/>
    </row>
    <row r="3705" spans="16:16">
      <c r="P3705" s="115"/>
    </row>
    <row r="3706" spans="16:16">
      <c r="P3706" s="115"/>
    </row>
    <row r="3707" spans="16:16">
      <c r="P3707" s="115"/>
    </row>
    <row r="3708" spans="16:16">
      <c r="P3708" s="115"/>
    </row>
    <row r="3709" spans="16:16">
      <c r="P3709" s="115"/>
    </row>
    <row r="3710" spans="16:16">
      <c r="P3710" s="115"/>
    </row>
    <row r="3711" spans="16:16">
      <c r="P3711" s="115"/>
    </row>
    <row r="3712" spans="16:16">
      <c r="P3712" s="115"/>
    </row>
    <row r="3713" spans="16:16">
      <c r="P3713" s="115"/>
    </row>
    <row r="3714" spans="16:16">
      <c r="P3714" s="115"/>
    </row>
    <row r="3715" spans="16:16">
      <c r="P3715" s="115"/>
    </row>
    <row r="3716" spans="16:16">
      <c r="P3716" s="115"/>
    </row>
    <row r="3717" spans="16:16">
      <c r="P3717" s="115"/>
    </row>
    <row r="3718" spans="16:16">
      <c r="P3718" s="115"/>
    </row>
    <row r="3719" spans="16:16">
      <c r="P3719" s="115"/>
    </row>
    <row r="3720" spans="16:16">
      <c r="P3720" s="115"/>
    </row>
    <row r="3721" spans="16:16">
      <c r="P3721" s="115"/>
    </row>
    <row r="3722" spans="16:16">
      <c r="P3722" s="115"/>
    </row>
    <row r="3723" spans="16:16">
      <c r="P3723" s="115"/>
    </row>
    <row r="3724" spans="16:16">
      <c r="P3724" s="115"/>
    </row>
    <row r="3725" spans="16:16">
      <c r="P3725" s="115"/>
    </row>
    <row r="3726" spans="16:16">
      <c r="P3726" s="115"/>
    </row>
    <row r="3727" spans="16:16">
      <c r="P3727" s="115"/>
    </row>
    <row r="3728" spans="16:16">
      <c r="P3728" s="115"/>
    </row>
    <row r="3729" spans="16:16">
      <c r="P3729" s="115"/>
    </row>
    <row r="3730" spans="16:16">
      <c r="P3730" s="115"/>
    </row>
    <row r="3731" spans="16:16">
      <c r="P3731" s="115"/>
    </row>
    <row r="3732" spans="16:16">
      <c r="P3732" s="115"/>
    </row>
    <row r="3733" spans="16:16">
      <c r="P3733" s="115"/>
    </row>
    <row r="3734" spans="16:16">
      <c r="P3734" s="115"/>
    </row>
    <row r="3735" spans="16:16">
      <c r="P3735" s="115"/>
    </row>
    <row r="3736" spans="16:16">
      <c r="P3736" s="115"/>
    </row>
    <row r="3737" spans="16:16">
      <c r="P3737" s="115"/>
    </row>
    <row r="3738" spans="16:16">
      <c r="P3738" s="115"/>
    </row>
    <row r="3739" spans="16:16">
      <c r="P3739" s="115"/>
    </row>
    <row r="3740" spans="16:16">
      <c r="P3740" s="115"/>
    </row>
    <row r="3741" spans="16:16">
      <c r="P3741" s="115"/>
    </row>
    <row r="3742" spans="16:16">
      <c r="P3742" s="115"/>
    </row>
    <row r="3743" spans="16:16">
      <c r="P3743" s="115"/>
    </row>
    <row r="3744" spans="16:16">
      <c r="P3744" s="115"/>
    </row>
    <row r="3745" spans="16:16">
      <c r="P3745" s="115"/>
    </row>
    <row r="3746" spans="16:16">
      <c r="P3746" s="115"/>
    </row>
    <row r="3747" spans="16:16">
      <c r="P3747" s="115"/>
    </row>
    <row r="3748" spans="16:16">
      <c r="P3748" s="115"/>
    </row>
    <row r="3749" spans="16:16">
      <c r="P3749" s="115"/>
    </row>
    <row r="3750" spans="16:16">
      <c r="P3750" s="115"/>
    </row>
    <row r="3751" spans="16:16">
      <c r="P3751" s="115"/>
    </row>
    <row r="3752" spans="16:16">
      <c r="P3752" s="115"/>
    </row>
    <row r="3753" spans="16:16">
      <c r="P3753" s="115"/>
    </row>
    <row r="3754" spans="16:16">
      <c r="P3754" s="115"/>
    </row>
    <row r="3755" spans="16:16">
      <c r="P3755" s="115"/>
    </row>
    <row r="3756" spans="16:16">
      <c r="P3756" s="115"/>
    </row>
    <row r="3757" spans="16:16">
      <c r="P3757" s="115"/>
    </row>
    <row r="3758" spans="16:16">
      <c r="P3758" s="115"/>
    </row>
    <row r="3759" spans="16:16">
      <c r="P3759" s="115"/>
    </row>
    <row r="3760" spans="16:16">
      <c r="P3760" s="115"/>
    </row>
    <row r="3761" spans="16:16">
      <c r="P3761" s="115"/>
    </row>
    <row r="3762" spans="16:16">
      <c r="P3762" s="115"/>
    </row>
    <row r="3763" spans="16:16">
      <c r="P3763" s="115"/>
    </row>
    <row r="3764" spans="16:16">
      <c r="P3764" s="115"/>
    </row>
    <row r="3765" spans="16:16">
      <c r="P3765" s="115"/>
    </row>
    <row r="3766" spans="16:16">
      <c r="P3766" s="115"/>
    </row>
    <row r="3767" spans="16:16">
      <c r="P3767" s="115"/>
    </row>
    <row r="3768" spans="16:16">
      <c r="P3768" s="115"/>
    </row>
    <row r="3769" spans="16:16">
      <c r="P3769" s="115"/>
    </row>
    <row r="3770" spans="16:16">
      <c r="P3770" s="115"/>
    </row>
    <row r="3771" spans="16:16">
      <c r="P3771" s="115"/>
    </row>
    <row r="3772" spans="16:16">
      <c r="P3772" s="115"/>
    </row>
    <row r="3773" spans="16:16">
      <c r="P3773" s="115"/>
    </row>
    <row r="3774" spans="16:16">
      <c r="P3774" s="115"/>
    </row>
    <row r="3775" spans="16:16">
      <c r="P3775" s="115"/>
    </row>
    <row r="3776" spans="16:16">
      <c r="P3776" s="115"/>
    </row>
    <row r="3777" spans="16:16">
      <c r="P3777" s="115"/>
    </row>
    <row r="3778" spans="16:16">
      <c r="P3778" s="115"/>
    </row>
    <row r="3779" spans="16:16">
      <c r="P3779" s="115"/>
    </row>
    <row r="3780" spans="16:16">
      <c r="P3780" s="115"/>
    </row>
    <row r="3781" spans="16:16">
      <c r="P3781" s="115"/>
    </row>
    <row r="3782" spans="16:16">
      <c r="P3782" s="115"/>
    </row>
    <row r="3783" spans="16:16">
      <c r="P3783" s="115"/>
    </row>
    <row r="3784" spans="16:16">
      <c r="P3784" s="115"/>
    </row>
    <row r="3785" spans="16:16">
      <c r="P3785" s="115"/>
    </row>
    <row r="3786" spans="16:16">
      <c r="P3786" s="115"/>
    </row>
    <row r="3787" spans="16:16">
      <c r="P3787" s="115"/>
    </row>
    <row r="3788" spans="16:16">
      <c r="P3788" s="115"/>
    </row>
    <row r="3789" spans="16:16">
      <c r="P3789" s="115"/>
    </row>
    <row r="3790" spans="16:16">
      <c r="P3790" s="115"/>
    </row>
    <row r="3791" spans="16:16">
      <c r="P3791" s="115"/>
    </row>
    <row r="3792" spans="16:16">
      <c r="P3792" s="115"/>
    </row>
    <row r="3793" spans="16:16">
      <c r="P3793" s="115"/>
    </row>
    <row r="3794" spans="16:16">
      <c r="P3794" s="115"/>
    </row>
    <row r="3795" spans="16:16">
      <c r="P3795" s="115"/>
    </row>
    <row r="3796" spans="16:16">
      <c r="P3796" s="115"/>
    </row>
    <row r="3797" spans="16:16">
      <c r="P3797" s="115"/>
    </row>
    <row r="3798" spans="16:16">
      <c r="P3798" s="115"/>
    </row>
    <row r="3799" spans="16:16">
      <c r="P3799" s="115"/>
    </row>
    <row r="3800" spans="16:16">
      <c r="P3800" s="115"/>
    </row>
    <row r="3801" spans="16:16">
      <c r="P3801" s="115"/>
    </row>
    <row r="3802" spans="16:16">
      <c r="P3802" s="115"/>
    </row>
    <row r="3803" spans="16:16">
      <c r="P3803" s="115"/>
    </row>
    <row r="3804" spans="16:16">
      <c r="P3804" s="115"/>
    </row>
    <row r="3805" spans="16:16">
      <c r="P3805" s="115"/>
    </row>
    <row r="3806" spans="16:16">
      <c r="P3806" s="115"/>
    </row>
    <row r="3807" spans="16:16">
      <c r="P3807" s="115"/>
    </row>
    <row r="3808" spans="16:16">
      <c r="P3808" s="115"/>
    </row>
    <row r="3809" spans="16:16">
      <c r="P3809" s="115"/>
    </row>
    <row r="3810" spans="16:16">
      <c r="P3810" s="115"/>
    </row>
    <row r="3811" spans="16:16">
      <c r="P3811" s="115"/>
    </row>
    <row r="3812" spans="16:16">
      <c r="P3812" s="115"/>
    </row>
    <row r="3813" spans="16:16">
      <c r="P3813" s="115"/>
    </row>
    <row r="3814" spans="16:16">
      <c r="P3814" s="115"/>
    </row>
    <row r="3815" spans="16:16">
      <c r="P3815" s="115"/>
    </row>
    <row r="3816" spans="16:16">
      <c r="P3816" s="115"/>
    </row>
    <row r="3817" spans="16:16">
      <c r="P3817" s="115"/>
    </row>
    <row r="3818" spans="16:16">
      <c r="P3818" s="115"/>
    </row>
    <row r="3819" spans="16:16">
      <c r="P3819" s="115"/>
    </row>
    <row r="3820" spans="16:16">
      <c r="P3820" s="115"/>
    </row>
    <row r="3821" spans="16:16">
      <c r="P3821" s="115"/>
    </row>
    <row r="3822" spans="16:16">
      <c r="P3822" s="115"/>
    </row>
    <row r="3823" spans="16:16">
      <c r="P3823" s="115"/>
    </row>
    <row r="3824" spans="16:16">
      <c r="P3824" s="115"/>
    </row>
    <row r="3825" spans="16:16">
      <c r="P3825" s="115"/>
    </row>
    <row r="3826" spans="16:16">
      <c r="P3826" s="115"/>
    </row>
    <row r="3827" spans="16:16">
      <c r="P3827" s="115"/>
    </row>
    <row r="3828" spans="16:16">
      <c r="P3828" s="115"/>
    </row>
    <row r="3829" spans="16:16">
      <c r="P3829" s="115"/>
    </row>
    <row r="3830" spans="16:16">
      <c r="P3830" s="115"/>
    </row>
    <row r="3831" spans="16:16">
      <c r="P3831" s="115"/>
    </row>
    <row r="3832" spans="16:16">
      <c r="P3832" s="115"/>
    </row>
    <row r="3833" spans="16:16">
      <c r="P3833" s="115"/>
    </row>
    <row r="3834" spans="16:16">
      <c r="P3834" s="115"/>
    </row>
    <row r="3835" spans="16:16">
      <c r="P3835" s="115"/>
    </row>
    <row r="3836" spans="16:16">
      <c r="P3836" s="115"/>
    </row>
    <row r="3837" spans="16:16">
      <c r="P3837" s="115"/>
    </row>
    <row r="3838" spans="16:16">
      <c r="P3838" s="115"/>
    </row>
    <row r="3839" spans="16:16">
      <c r="P3839" s="115"/>
    </row>
    <row r="3840" spans="16:16">
      <c r="P3840" s="115"/>
    </row>
    <row r="3841" spans="16:16">
      <c r="P3841" s="115"/>
    </row>
    <row r="3842" spans="16:16">
      <c r="P3842" s="115"/>
    </row>
    <row r="3843" spans="16:16">
      <c r="P3843" s="115"/>
    </row>
    <row r="3844" spans="16:16">
      <c r="P3844" s="115"/>
    </row>
    <row r="3845" spans="16:16">
      <c r="P3845" s="115"/>
    </row>
    <row r="3846" spans="16:16">
      <c r="P3846" s="115"/>
    </row>
    <row r="3847" spans="16:16">
      <c r="P3847" s="115"/>
    </row>
    <row r="3848" spans="16:16">
      <c r="P3848" s="115"/>
    </row>
    <row r="3849" spans="16:16">
      <c r="P3849" s="115"/>
    </row>
    <row r="3850" spans="16:16">
      <c r="P3850" s="115"/>
    </row>
    <row r="3851" spans="16:16">
      <c r="P3851" s="115"/>
    </row>
    <row r="3852" spans="16:16">
      <c r="P3852" s="115"/>
    </row>
    <row r="3853" spans="16:16">
      <c r="P3853" s="115"/>
    </row>
    <row r="3854" spans="16:16">
      <c r="P3854" s="115"/>
    </row>
    <row r="3855" spans="16:16">
      <c r="P3855" s="115"/>
    </row>
    <row r="3856" spans="16:16">
      <c r="P3856" s="115"/>
    </row>
    <row r="3857" spans="16:16">
      <c r="P3857" s="115"/>
    </row>
    <row r="3858" spans="16:16">
      <c r="P3858" s="115"/>
    </row>
    <row r="3859" spans="16:16">
      <c r="P3859" s="115"/>
    </row>
    <row r="3860" spans="16:16">
      <c r="P3860" s="115"/>
    </row>
    <row r="3861" spans="16:16">
      <c r="P3861" s="115"/>
    </row>
    <row r="3862" spans="16:16">
      <c r="P3862" s="115"/>
    </row>
    <row r="3863" spans="16:16">
      <c r="P3863" s="115"/>
    </row>
    <row r="3864" spans="16:16">
      <c r="P3864" s="115"/>
    </row>
    <row r="3865" spans="16:16">
      <c r="P3865" s="115"/>
    </row>
    <row r="3866" spans="16:16">
      <c r="P3866" s="115"/>
    </row>
    <row r="3867" spans="16:16">
      <c r="P3867" s="115"/>
    </row>
    <row r="3868" spans="16:16">
      <c r="P3868" s="115"/>
    </row>
    <row r="3869" spans="16:16">
      <c r="P3869" s="115"/>
    </row>
    <row r="3870" spans="16:16">
      <c r="P3870" s="115"/>
    </row>
    <row r="3871" spans="16:16">
      <c r="P3871" s="115"/>
    </row>
    <row r="3872" spans="16:16">
      <c r="P3872" s="115"/>
    </row>
    <row r="3873" spans="16:16">
      <c r="P3873" s="115"/>
    </row>
    <row r="3874" spans="16:16">
      <c r="P3874" s="115"/>
    </row>
    <row r="3875" spans="16:16">
      <c r="P3875" s="115"/>
    </row>
    <row r="3876" spans="16:16">
      <c r="P3876" s="115"/>
    </row>
    <row r="3877" spans="16:16">
      <c r="P3877" s="115"/>
    </row>
    <row r="3878" spans="16:16">
      <c r="P3878" s="115"/>
    </row>
    <row r="3879" spans="16:16">
      <c r="P3879" s="115"/>
    </row>
    <row r="3880" spans="16:16">
      <c r="P3880" s="115"/>
    </row>
    <row r="3881" spans="16:16">
      <c r="P3881" s="115"/>
    </row>
    <row r="3882" spans="16:16">
      <c r="P3882" s="115"/>
    </row>
    <row r="3883" spans="16:16">
      <c r="P3883" s="115"/>
    </row>
    <row r="3884" spans="16:16">
      <c r="P3884" s="115"/>
    </row>
    <row r="3885" spans="16:16">
      <c r="P3885" s="115"/>
    </row>
    <row r="3886" spans="16:16">
      <c r="P3886" s="115"/>
    </row>
    <row r="3887" spans="16:16">
      <c r="P3887" s="115"/>
    </row>
    <row r="3888" spans="16:16">
      <c r="P3888" s="115"/>
    </row>
    <row r="3889" spans="16:16">
      <c r="P3889" s="115"/>
    </row>
    <row r="3890" spans="16:16">
      <c r="P3890" s="115"/>
    </row>
    <row r="3891" spans="16:16">
      <c r="P3891" s="115"/>
    </row>
    <row r="3892" spans="16:16">
      <c r="P3892" s="115"/>
    </row>
    <row r="3893" spans="16:16">
      <c r="P3893" s="115"/>
    </row>
    <row r="3894" spans="16:16">
      <c r="P3894" s="115"/>
    </row>
    <row r="3895" spans="16:16">
      <c r="P3895" s="115"/>
    </row>
    <row r="3896" spans="16:16">
      <c r="P3896" s="115"/>
    </row>
    <row r="3897" spans="16:16">
      <c r="P3897" s="115"/>
    </row>
    <row r="3898" spans="16:16">
      <c r="P3898" s="115"/>
    </row>
    <row r="3899" spans="16:16">
      <c r="P3899" s="115"/>
    </row>
    <row r="3900" spans="16:16">
      <c r="P3900" s="115"/>
    </row>
    <row r="3901" spans="16:16">
      <c r="P3901" s="115"/>
    </row>
    <row r="3902" spans="16:16">
      <c r="P3902" s="115"/>
    </row>
    <row r="3903" spans="16:16">
      <c r="P3903" s="115"/>
    </row>
    <row r="3904" spans="16:16">
      <c r="P3904" s="115"/>
    </row>
    <row r="3905" spans="16:16">
      <c r="P3905" s="115"/>
    </row>
    <row r="3906" spans="16:16">
      <c r="P3906" s="115"/>
    </row>
    <row r="3907" spans="16:16">
      <c r="P3907" s="115"/>
    </row>
    <row r="3908" spans="16:16">
      <c r="P3908" s="115"/>
    </row>
    <row r="3909" spans="16:16">
      <c r="P3909" s="115"/>
    </row>
    <row r="3910" spans="16:16">
      <c r="P3910" s="115"/>
    </row>
    <row r="3911" spans="16:16">
      <c r="P3911" s="115"/>
    </row>
    <row r="3912" spans="16:16">
      <c r="P3912" s="115"/>
    </row>
    <row r="3913" spans="16:16">
      <c r="P3913" s="115"/>
    </row>
    <row r="3914" spans="16:16">
      <c r="P3914" s="115"/>
    </row>
    <row r="3915" spans="16:16">
      <c r="P3915" s="115"/>
    </row>
    <row r="3916" spans="16:16">
      <c r="P3916" s="115"/>
    </row>
    <row r="3917" spans="16:16">
      <c r="P3917" s="115"/>
    </row>
    <row r="3918" spans="16:16">
      <c r="P3918" s="115"/>
    </row>
    <row r="3919" spans="16:16">
      <c r="P3919" s="115"/>
    </row>
    <row r="3920" spans="16:16">
      <c r="P3920" s="115"/>
    </row>
    <row r="3921" spans="16:16">
      <c r="P3921" s="115"/>
    </row>
    <row r="3922" spans="16:16">
      <c r="P3922" s="115"/>
    </row>
    <row r="3923" spans="16:16">
      <c r="P3923" s="115"/>
    </row>
    <row r="3924" spans="16:16">
      <c r="P3924" s="115"/>
    </row>
    <row r="3925" spans="16:16">
      <c r="P3925" s="115"/>
    </row>
    <row r="3926" spans="16:16">
      <c r="P3926" s="115"/>
    </row>
    <row r="3927" spans="16:16">
      <c r="P3927" s="115"/>
    </row>
    <row r="3928" spans="16:16">
      <c r="P3928" s="115"/>
    </row>
    <row r="3929" spans="16:16">
      <c r="P3929" s="115"/>
    </row>
    <row r="3930" spans="16:16">
      <c r="P3930" s="115"/>
    </row>
    <row r="3931" spans="16:16">
      <c r="P3931" s="115"/>
    </row>
    <row r="3932" spans="16:16">
      <c r="P3932" s="115"/>
    </row>
    <row r="3933" spans="16:16">
      <c r="P3933" s="115"/>
    </row>
    <row r="3934" spans="16:16">
      <c r="P3934" s="115"/>
    </row>
    <row r="3935" spans="16:16">
      <c r="P3935" s="115"/>
    </row>
    <row r="3936" spans="16:16">
      <c r="P3936" s="115"/>
    </row>
    <row r="3937" spans="16:16">
      <c r="P3937" s="115"/>
    </row>
    <row r="3938" spans="16:16">
      <c r="P3938" s="115"/>
    </row>
    <row r="3939" spans="16:16">
      <c r="P3939" s="115"/>
    </row>
    <row r="3940" spans="16:16">
      <c r="P3940" s="115"/>
    </row>
    <row r="3941" spans="16:16">
      <c r="P3941" s="115"/>
    </row>
    <row r="3942" spans="16:16">
      <c r="P3942" s="115"/>
    </row>
    <row r="3943" spans="16:16">
      <c r="P3943" s="115"/>
    </row>
    <row r="3944" spans="16:16">
      <c r="P3944" s="115"/>
    </row>
    <row r="3945" spans="16:16">
      <c r="P3945" s="115"/>
    </row>
    <row r="3946" spans="16:16">
      <c r="P3946" s="115"/>
    </row>
    <row r="3947" spans="16:16">
      <c r="P3947" s="115"/>
    </row>
    <row r="3948" spans="16:16">
      <c r="P3948" s="115"/>
    </row>
    <row r="3949" spans="16:16">
      <c r="P3949" s="115"/>
    </row>
    <row r="3950" spans="16:16">
      <c r="P3950" s="115"/>
    </row>
    <row r="3951" spans="16:16">
      <c r="P3951" s="115"/>
    </row>
    <row r="3952" spans="16:16">
      <c r="P3952" s="115"/>
    </row>
    <row r="3953" spans="16:16">
      <c r="P3953" s="115"/>
    </row>
    <row r="3954" spans="16:16">
      <c r="P3954" s="115"/>
    </row>
    <row r="3955" spans="16:16">
      <c r="P3955" s="115"/>
    </row>
    <row r="3956" spans="16:16">
      <c r="P3956" s="115"/>
    </row>
    <row r="3957" spans="16:16">
      <c r="P3957" s="115"/>
    </row>
    <row r="3958" spans="16:16">
      <c r="P3958" s="115"/>
    </row>
    <row r="3959" spans="16:16">
      <c r="P3959" s="115"/>
    </row>
    <row r="3960" spans="16:16">
      <c r="P3960" s="115"/>
    </row>
    <row r="3961" spans="16:16">
      <c r="P3961" s="115"/>
    </row>
    <row r="3962" spans="16:16">
      <c r="P3962" s="115"/>
    </row>
    <row r="3963" spans="16:16">
      <c r="P3963" s="115"/>
    </row>
    <row r="3964" spans="16:16">
      <c r="P3964" s="115"/>
    </row>
    <row r="3965" spans="16:16">
      <c r="P3965" s="115"/>
    </row>
    <row r="3966" spans="16:16">
      <c r="P3966" s="115"/>
    </row>
    <row r="3967" spans="16:16">
      <c r="P3967" s="115"/>
    </row>
    <row r="3968" spans="16:16">
      <c r="P3968" s="115"/>
    </row>
    <row r="3969" spans="16:16">
      <c r="P3969" s="115"/>
    </row>
    <row r="3970" spans="16:16">
      <c r="P3970" s="115"/>
    </row>
    <row r="3971" spans="16:16">
      <c r="P3971" s="115"/>
    </row>
    <row r="3972" spans="16:16">
      <c r="P3972" s="115"/>
    </row>
    <row r="3973" spans="16:16">
      <c r="P3973" s="115"/>
    </row>
    <row r="3974" spans="16:16">
      <c r="P3974" s="115"/>
    </row>
    <row r="3975" spans="16:16">
      <c r="P3975" s="115"/>
    </row>
    <row r="3976" spans="16:16">
      <c r="P3976" s="115"/>
    </row>
    <row r="3977" spans="16:16">
      <c r="P3977" s="115"/>
    </row>
    <row r="3978" spans="16:16">
      <c r="P3978" s="115"/>
    </row>
    <row r="3979" spans="16:16">
      <c r="P3979" s="115"/>
    </row>
    <row r="3980" spans="16:16">
      <c r="P3980" s="115"/>
    </row>
    <row r="3981" spans="16:16">
      <c r="P3981" s="115"/>
    </row>
    <row r="3982" spans="16:16">
      <c r="P3982" s="115"/>
    </row>
    <row r="3983" spans="16:16">
      <c r="P3983" s="115"/>
    </row>
    <row r="3984" spans="16:16">
      <c r="P3984" s="115"/>
    </row>
    <row r="3985" spans="16:16">
      <c r="P3985" s="115"/>
    </row>
    <row r="3986" spans="16:16">
      <c r="P3986" s="115"/>
    </row>
    <row r="3987" spans="16:16">
      <c r="P3987" s="115"/>
    </row>
    <row r="3988" spans="16:16">
      <c r="P3988" s="115"/>
    </row>
    <row r="3989" spans="16:16">
      <c r="P3989" s="115"/>
    </row>
    <row r="3990" spans="16:16">
      <c r="P3990" s="115"/>
    </row>
    <row r="3991" spans="16:16">
      <c r="P3991" s="115"/>
    </row>
    <row r="3992" spans="16:16">
      <c r="P3992" s="115"/>
    </row>
    <row r="3993" spans="16:16">
      <c r="P3993" s="115"/>
    </row>
    <row r="3994" spans="16:16">
      <c r="P3994" s="115"/>
    </row>
    <row r="3995" spans="16:16">
      <c r="P3995" s="115"/>
    </row>
    <row r="3996" spans="16:16">
      <c r="P3996" s="115"/>
    </row>
    <row r="3997" spans="16:16">
      <c r="P3997" s="115"/>
    </row>
    <row r="3998" spans="16:16">
      <c r="P3998" s="115"/>
    </row>
    <row r="3999" spans="16:16">
      <c r="P3999" s="115"/>
    </row>
    <row r="4000" spans="16:16">
      <c r="P4000" s="115"/>
    </row>
    <row r="4001" spans="16:16">
      <c r="P4001" s="115"/>
    </row>
    <row r="4002" spans="16:16">
      <c r="P4002" s="115"/>
    </row>
    <row r="4003" spans="16:16">
      <c r="P4003" s="115"/>
    </row>
    <row r="4004" spans="16:16">
      <c r="P4004" s="115"/>
    </row>
    <row r="4005" spans="16:16">
      <c r="P4005" s="115"/>
    </row>
    <row r="4006" spans="16:16">
      <c r="P4006" s="115"/>
    </row>
    <row r="4007" spans="16:16">
      <c r="P4007" s="115"/>
    </row>
    <row r="4008" spans="16:16">
      <c r="P4008" s="115"/>
    </row>
    <row r="4009" spans="16:16">
      <c r="P4009" s="115"/>
    </row>
    <row r="4010" spans="16:16">
      <c r="P4010" s="115"/>
    </row>
    <row r="4011" spans="16:16">
      <c r="P4011" s="115"/>
    </row>
    <row r="4012" spans="16:16">
      <c r="P4012" s="115"/>
    </row>
    <row r="4013" spans="16:16">
      <c r="P4013" s="115"/>
    </row>
    <row r="4014" spans="16:16">
      <c r="P4014" s="115"/>
    </row>
    <row r="4015" spans="16:16">
      <c r="P4015" s="115"/>
    </row>
    <row r="4016" spans="16:16">
      <c r="P4016" s="115"/>
    </row>
    <row r="4017" spans="16:16">
      <c r="P4017" s="115"/>
    </row>
    <row r="4018" spans="16:16">
      <c r="P4018" s="115"/>
    </row>
    <row r="4019" spans="16:16">
      <c r="P4019" s="115"/>
    </row>
    <row r="4020" spans="16:16">
      <c r="P4020" s="115"/>
    </row>
    <row r="4021" spans="16:16">
      <c r="P4021" s="115"/>
    </row>
    <row r="4022" spans="16:16">
      <c r="P4022" s="115"/>
    </row>
    <row r="4023" spans="16:16">
      <c r="P4023" s="115"/>
    </row>
    <row r="4024" spans="16:16">
      <c r="P4024" s="115"/>
    </row>
    <row r="4025" spans="16:16">
      <c r="P4025" s="115"/>
    </row>
    <row r="4026" spans="16:16">
      <c r="P4026" s="115"/>
    </row>
    <row r="4027" spans="16:16">
      <c r="P4027" s="115"/>
    </row>
    <row r="4028" spans="16:16">
      <c r="P4028" s="115"/>
    </row>
    <row r="4029" spans="16:16">
      <c r="P4029" s="115"/>
    </row>
    <row r="4030" spans="16:16">
      <c r="P4030" s="115"/>
    </row>
    <row r="4031" spans="16:16">
      <c r="P4031" s="115"/>
    </row>
    <row r="4032" spans="16:16">
      <c r="P4032" s="115"/>
    </row>
    <row r="4033" spans="16:16">
      <c r="P4033" s="115"/>
    </row>
    <row r="4034" spans="16:16">
      <c r="P4034" s="115"/>
    </row>
    <row r="4035" spans="16:16">
      <c r="P4035" s="115"/>
    </row>
    <row r="4036" spans="16:16">
      <c r="P4036" s="115"/>
    </row>
    <row r="4037" spans="16:16">
      <c r="P4037" s="115"/>
    </row>
    <row r="4038" spans="16:16">
      <c r="P4038" s="115"/>
    </row>
    <row r="4039" spans="16:16">
      <c r="P4039" s="115"/>
    </row>
    <row r="4040" spans="16:16">
      <c r="P4040" s="115"/>
    </row>
    <row r="4041" spans="16:16">
      <c r="P4041" s="115"/>
    </row>
    <row r="4042" spans="16:16">
      <c r="P4042" s="115"/>
    </row>
    <row r="4043" spans="16:16">
      <c r="P4043" s="115"/>
    </row>
    <row r="4044" spans="16:16">
      <c r="P4044" s="115"/>
    </row>
    <row r="4045" spans="16:16">
      <c r="P4045" s="115"/>
    </row>
    <row r="4046" spans="16:16">
      <c r="P4046" s="115"/>
    </row>
    <row r="4047" spans="16:16">
      <c r="P4047" s="115"/>
    </row>
    <row r="4048" spans="16:16">
      <c r="P4048" s="115"/>
    </row>
    <row r="4049" spans="16:16">
      <c r="P4049" s="115"/>
    </row>
    <row r="4050" spans="16:16">
      <c r="P4050" s="115"/>
    </row>
    <row r="4051" spans="16:16">
      <c r="P4051" s="115"/>
    </row>
    <row r="4052" spans="16:16">
      <c r="P4052" s="115"/>
    </row>
    <row r="4053" spans="16:16">
      <c r="P4053" s="115"/>
    </row>
    <row r="4054" spans="16:16">
      <c r="P4054" s="115"/>
    </row>
    <row r="4055" spans="16:16">
      <c r="P4055" s="115"/>
    </row>
    <row r="4056" spans="16:16">
      <c r="P4056" s="115"/>
    </row>
    <row r="4057" spans="16:16">
      <c r="P4057" s="115"/>
    </row>
    <row r="4058" spans="16:16">
      <c r="P4058" s="115"/>
    </row>
    <row r="4059" spans="16:16">
      <c r="P4059" s="115"/>
    </row>
    <row r="4060" spans="16:16">
      <c r="P4060" s="115"/>
    </row>
    <row r="4061" spans="16:16">
      <c r="P4061" s="115"/>
    </row>
    <row r="4062" spans="16:16">
      <c r="P4062" s="115"/>
    </row>
    <row r="4063" spans="16:16">
      <c r="P4063" s="115"/>
    </row>
    <row r="4064" spans="16:16">
      <c r="P4064" s="115"/>
    </row>
    <row r="4065" spans="16:16">
      <c r="P4065" s="115"/>
    </row>
    <row r="4066" spans="16:16">
      <c r="P4066" s="115"/>
    </row>
    <row r="4067" spans="16:16">
      <c r="P4067" s="115"/>
    </row>
    <row r="4068" spans="16:16">
      <c r="P4068" s="115"/>
    </row>
    <row r="4069" spans="16:16">
      <c r="P4069" s="115"/>
    </row>
    <row r="4070" spans="16:16">
      <c r="P4070" s="115"/>
    </row>
    <row r="4071" spans="16:16">
      <c r="P4071" s="115"/>
    </row>
    <row r="4072" spans="16:16">
      <c r="P4072" s="115"/>
    </row>
    <row r="4073" spans="16:16">
      <c r="P4073" s="115"/>
    </row>
    <row r="4074" spans="16:16">
      <c r="P4074" s="115"/>
    </row>
    <row r="4075" spans="16:16">
      <c r="P4075" s="115"/>
    </row>
    <row r="4076" spans="16:16">
      <c r="P4076" s="115"/>
    </row>
    <row r="4077" spans="16:16">
      <c r="P4077" s="115"/>
    </row>
    <row r="4078" spans="16:16">
      <c r="P4078" s="115"/>
    </row>
    <row r="4079" spans="16:16">
      <c r="P4079" s="115"/>
    </row>
    <row r="4080" spans="16:16">
      <c r="P4080" s="115"/>
    </row>
    <row r="4081" spans="16:16">
      <c r="P4081" s="115"/>
    </row>
    <row r="4082" spans="16:16">
      <c r="P4082" s="115"/>
    </row>
    <row r="4083" spans="16:16">
      <c r="P4083" s="115"/>
    </row>
    <row r="4084" spans="16:16">
      <c r="P4084" s="115"/>
    </row>
    <row r="4085" spans="16:16">
      <c r="P4085" s="115"/>
    </row>
    <row r="4086" spans="16:16">
      <c r="P4086" s="115"/>
    </row>
    <row r="4087" spans="16:16">
      <c r="P4087" s="115"/>
    </row>
    <row r="4088" spans="16:16">
      <c r="P4088" s="115"/>
    </row>
    <row r="4089" spans="16:16">
      <c r="P4089" s="115"/>
    </row>
    <row r="4090" spans="16:16">
      <c r="P4090" s="115"/>
    </row>
    <row r="4091" spans="16:16">
      <c r="P4091" s="115"/>
    </row>
    <row r="4092" spans="16:16">
      <c r="P4092" s="115"/>
    </row>
    <row r="4093" spans="16:16">
      <c r="P4093" s="115"/>
    </row>
    <row r="4094" spans="16:16">
      <c r="P4094" s="115"/>
    </row>
    <row r="4095" spans="16:16">
      <c r="P4095" s="115"/>
    </row>
    <row r="4096" spans="16:16">
      <c r="P4096" s="115"/>
    </row>
    <row r="4097" spans="16:16">
      <c r="P4097" s="115"/>
    </row>
    <row r="4098" spans="16:16">
      <c r="P4098" s="115"/>
    </row>
    <row r="4099" spans="16:16">
      <c r="P4099" s="115"/>
    </row>
    <row r="4100" spans="16:16">
      <c r="P4100" s="115"/>
    </row>
    <row r="4101" spans="16:16">
      <c r="P4101" s="115"/>
    </row>
    <row r="4102" spans="16:16">
      <c r="P4102" s="115"/>
    </row>
    <row r="4103" spans="16:16">
      <c r="P4103" s="115"/>
    </row>
    <row r="4104" spans="16:16">
      <c r="P4104" s="115"/>
    </row>
    <row r="4105" spans="16:16">
      <c r="P4105" s="115"/>
    </row>
    <row r="4106" spans="16:16">
      <c r="P4106" s="115"/>
    </row>
    <row r="4107" spans="16:16">
      <c r="P4107" s="115"/>
    </row>
    <row r="4108" spans="16:16">
      <c r="P4108" s="115"/>
    </row>
    <row r="4109" spans="16:16">
      <c r="P4109" s="115"/>
    </row>
    <row r="4110" spans="16:16">
      <c r="P4110" s="115"/>
    </row>
    <row r="4111" spans="16:16">
      <c r="P4111" s="115"/>
    </row>
    <row r="4112" spans="16:16">
      <c r="P4112" s="115"/>
    </row>
    <row r="4113" spans="16:16">
      <c r="P4113" s="115"/>
    </row>
    <row r="4114" spans="16:16">
      <c r="P4114" s="115"/>
    </row>
    <row r="4115" spans="16:16">
      <c r="P4115" s="115"/>
    </row>
    <row r="4116" spans="16:16">
      <c r="P4116" s="115"/>
    </row>
    <row r="4117" spans="16:16">
      <c r="P4117" s="115"/>
    </row>
    <row r="4118" spans="16:16">
      <c r="P4118" s="115"/>
    </row>
    <row r="4119" spans="16:16">
      <c r="P4119" s="115"/>
    </row>
    <row r="4120" spans="16:16">
      <c r="P4120" s="115"/>
    </row>
    <row r="4121" spans="16:16">
      <c r="P4121" s="115"/>
    </row>
    <row r="4122" spans="16:16">
      <c r="P4122" s="115"/>
    </row>
    <row r="4123" spans="16:16">
      <c r="P4123" s="115"/>
    </row>
    <row r="4124" spans="16:16">
      <c r="P4124" s="115"/>
    </row>
    <row r="4125" spans="16:16">
      <c r="P4125" s="115"/>
    </row>
    <row r="4126" spans="16:16">
      <c r="P4126" s="115"/>
    </row>
    <row r="4127" spans="16:16">
      <c r="P4127" s="115"/>
    </row>
    <row r="4128" spans="16:16">
      <c r="P4128" s="115"/>
    </row>
    <row r="4129" spans="16:16">
      <c r="P4129" s="115"/>
    </row>
    <row r="4130" spans="16:16">
      <c r="P4130" s="115"/>
    </row>
    <row r="4131" spans="16:16">
      <c r="P4131" s="115"/>
    </row>
    <row r="4132" spans="16:16">
      <c r="P4132" s="115"/>
    </row>
    <row r="4133" spans="16:16">
      <c r="P4133" s="115"/>
    </row>
    <row r="4134" spans="16:16">
      <c r="P4134" s="115"/>
    </row>
    <row r="4135" spans="16:16">
      <c r="P4135" s="115"/>
    </row>
    <row r="4136" spans="16:16">
      <c r="P4136" s="115"/>
    </row>
    <row r="4137" spans="16:16">
      <c r="P4137" s="115"/>
    </row>
    <row r="4138" spans="16:16">
      <c r="P4138" s="115"/>
    </row>
    <row r="4139" spans="16:16">
      <c r="P4139" s="115"/>
    </row>
    <row r="4140" spans="16:16">
      <c r="P4140" s="115"/>
    </row>
    <row r="4141" spans="16:16">
      <c r="P4141" s="115"/>
    </row>
    <row r="4142" spans="16:16">
      <c r="P4142" s="115"/>
    </row>
    <row r="4143" spans="16:16">
      <c r="P4143" s="115"/>
    </row>
    <row r="4144" spans="16:16">
      <c r="P4144" s="115"/>
    </row>
    <row r="4145" spans="16:16">
      <c r="P4145" s="115"/>
    </row>
    <row r="4146" spans="16:16">
      <c r="P4146" s="115"/>
    </row>
    <row r="4147" spans="16:16">
      <c r="P4147" s="115"/>
    </row>
    <row r="4148" spans="16:16">
      <c r="P4148" s="115"/>
    </row>
    <row r="4149" spans="16:16">
      <c r="P4149" s="115"/>
    </row>
    <row r="4150" spans="16:16">
      <c r="P4150" s="115"/>
    </row>
    <row r="4151" spans="16:16">
      <c r="P4151" s="115"/>
    </row>
    <row r="4152" spans="16:16">
      <c r="P4152" s="115"/>
    </row>
    <row r="4153" spans="16:16">
      <c r="P4153" s="115"/>
    </row>
    <row r="4154" spans="16:16">
      <c r="P4154" s="115"/>
    </row>
    <row r="4155" spans="16:16">
      <c r="P4155" s="115"/>
    </row>
    <row r="4156" spans="16:16">
      <c r="P4156" s="115"/>
    </row>
    <row r="4157" spans="16:16">
      <c r="P4157" s="115"/>
    </row>
    <row r="4158" spans="16:16">
      <c r="P4158" s="115"/>
    </row>
    <row r="4159" spans="16:16">
      <c r="P4159" s="115"/>
    </row>
    <row r="4160" spans="16:16">
      <c r="P4160" s="115"/>
    </row>
    <row r="4161" spans="16:16">
      <c r="P4161" s="115"/>
    </row>
    <row r="4162" spans="16:16">
      <c r="P4162" s="115"/>
    </row>
    <row r="4163" spans="16:16">
      <c r="P4163" s="115"/>
    </row>
    <row r="4164" spans="16:16">
      <c r="P4164" s="115"/>
    </row>
    <row r="4165" spans="16:16">
      <c r="P4165" s="115"/>
    </row>
    <row r="4166" spans="16:16">
      <c r="P4166" s="115"/>
    </row>
    <row r="4167" spans="16:16">
      <c r="P4167" s="115"/>
    </row>
    <row r="4168" spans="16:16">
      <c r="P4168" s="115"/>
    </row>
    <row r="4169" spans="16:16">
      <c r="P4169" s="115"/>
    </row>
    <row r="4170" spans="16:16">
      <c r="P4170" s="115"/>
    </row>
    <row r="4171" spans="16:16">
      <c r="P4171" s="115"/>
    </row>
    <row r="4172" spans="16:16">
      <c r="P4172" s="115"/>
    </row>
    <row r="4173" spans="16:16">
      <c r="P4173" s="115"/>
    </row>
    <row r="4174" spans="16:16">
      <c r="P4174" s="115"/>
    </row>
    <row r="4175" spans="16:16">
      <c r="P4175" s="115"/>
    </row>
    <row r="4176" spans="16:16">
      <c r="P4176" s="115"/>
    </row>
    <row r="4177" spans="16:16">
      <c r="P4177" s="115"/>
    </row>
    <row r="4178" spans="16:16">
      <c r="P4178" s="115"/>
    </row>
    <row r="4179" spans="16:16">
      <c r="P4179" s="115"/>
    </row>
    <row r="4180" spans="16:16">
      <c r="P4180" s="115"/>
    </row>
    <row r="4181" spans="16:16">
      <c r="P4181" s="115"/>
    </row>
    <row r="4182" spans="16:16">
      <c r="P4182" s="115"/>
    </row>
    <row r="4183" spans="16:16">
      <c r="P4183" s="115"/>
    </row>
    <row r="4184" spans="16:16">
      <c r="P4184" s="115"/>
    </row>
    <row r="4185" spans="16:16">
      <c r="P4185" s="115"/>
    </row>
    <row r="4186" spans="16:16">
      <c r="P4186" s="115"/>
    </row>
    <row r="4187" spans="16:16">
      <c r="P4187" s="115"/>
    </row>
    <row r="4188" spans="16:16">
      <c r="P4188" s="115"/>
    </row>
    <row r="4189" spans="16:16">
      <c r="P4189" s="115"/>
    </row>
    <row r="4190" spans="16:16">
      <c r="P4190" s="115"/>
    </row>
    <row r="4191" spans="16:16">
      <c r="P4191" s="115"/>
    </row>
    <row r="4192" spans="16:16">
      <c r="P4192" s="115"/>
    </row>
    <row r="4193" spans="16:16">
      <c r="P4193" s="115"/>
    </row>
    <row r="4194" spans="16:16">
      <c r="P4194" s="115"/>
    </row>
    <row r="4195" spans="16:16">
      <c r="P4195" s="115"/>
    </row>
    <row r="4196" spans="16:16">
      <c r="P4196" s="115"/>
    </row>
    <row r="4197" spans="16:16">
      <c r="P4197" s="115"/>
    </row>
    <row r="4198" spans="16:16">
      <c r="P4198" s="115"/>
    </row>
    <row r="4199" spans="16:16">
      <c r="P4199" s="115"/>
    </row>
    <row r="4200" spans="16:16">
      <c r="P4200" s="115"/>
    </row>
    <row r="4201" spans="16:16">
      <c r="P4201" s="115"/>
    </row>
    <row r="4202" spans="16:16">
      <c r="P4202" s="115"/>
    </row>
    <row r="4203" spans="16:16">
      <c r="P4203" s="115"/>
    </row>
    <row r="4204" spans="16:16">
      <c r="P4204" s="115"/>
    </row>
    <row r="4205" spans="16:16">
      <c r="P4205" s="115"/>
    </row>
    <row r="4206" spans="16:16">
      <c r="P4206" s="115"/>
    </row>
    <row r="4207" spans="16:16">
      <c r="P4207" s="115"/>
    </row>
    <row r="4208" spans="16:16">
      <c r="P4208" s="115"/>
    </row>
    <row r="4209" spans="16:16">
      <c r="P4209" s="115"/>
    </row>
    <row r="4210" spans="16:16">
      <c r="P4210" s="115"/>
    </row>
    <row r="4211" spans="16:16">
      <c r="P4211" s="115"/>
    </row>
    <row r="4212" spans="16:16">
      <c r="P4212" s="115"/>
    </row>
    <row r="4213" spans="16:16">
      <c r="P4213" s="115"/>
    </row>
    <row r="4214" spans="16:16">
      <c r="P4214" s="115"/>
    </row>
    <row r="4215" spans="16:16">
      <c r="P4215" s="115"/>
    </row>
    <row r="4216" spans="16:16">
      <c r="P4216" s="115"/>
    </row>
    <row r="4217" spans="16:16">
      <c r="P4217" s="115"/>
    </row>
    <row r="4218" spans="16:16">
      <c r="P4218" s="115"/>
    </row>
    <row r="4219" spans="16:16">
      <c r="P4219" s="115"/>
    </row>
    <row r="4220" spans="16:16">
      <c r="P4220" s="115"/>
    </row>
    <row r="4221" spans="16:16">
      <c r="P4221" s="115"/>
    </row>
    <row r="4222" spans="16:16">
      <c r="P4222" s="115"/>
    </row>
    <row r="4223" spans="16:16">
      <c r="P4223" s="115"/>
    </row>
    <row r="4224" spans="16:16">
      <c r="P4224" s="115"/>
    </row>
    <row r="4225" spans="16:16">
      <c r="P4225" s="115"/>
    </row>
    <row r="4226" spans="16:16">
      <c r="P4226" s="115"/>
    </row>
    <row r="4227" spans="16:16">
      <c r="P4227" s="115"/>
    </row>
    <row r="4228" spans="16:16">
      <c r="P4228" s="115"/>
    </row>
    <row r="4229" spans="16:16">
      <c r="P4229" s="115"/>
    </row>
    <row r="4230" spans="16:16">
      <c r="P4230" s="115"/>
    </row>
    <row r="4231" spans="16:16">
      <c r="P4231" s="115"/>
    </row>
    <row r="4232" spans="16:16">
      <c r="P4232" s="115"/>
    </row>
    <row r="4233" spans="16:16">
      <c r="P4233" s="115"/>
    </row>
    <row r="4234" spans="16:16">
      <c r="P4234" s="115"/>
    </row>
    <row r="4235" spans="16:16">
      <c r="P4235" s="115"/>
    </row>
    <row r="4236" spans="16:16">
      <c r="P4236" s="115"/>
    </row>
    <row r="4237" spans="16:16">
      <c r="P4237" s="115"/>
    </row>
    <row r="4238" spans="16:16">
      <c r="P4238" s="115"/>
    </row>
    <row r="4239" spans="16:16">
      <c r="P4239" s="115"/>
    </row>
    <row r="4240" spans="16:16">
      <c r="P4240" s="115"/>
    </row>
    <row r="4241" spans="16:16">
      <c r="P4241" s="115"/>
    </row>
    <row r="4242" spans="16:16">
      <c r="P4242" s="115"/>
    </row>
    <row r="4243" spans="16:16">
      <c r="P4243" s="115"/>
    </row>
    <row r="4244" spans="16:16">
      <c r="P4244" s="115"/>
    </row>
    <row r="4245" spans="16:16">
      <c r="P4245" s="115"/>
    </row>
    <row r="4246" spans="16:16">
      <c r="P4246" s="115"/>
    </row>
    <row r="4247" spans="16:16">
      <c r="P4247" s="115"/>
    </row>
    <row r="4248" spans="16:16">
      <c r="P4248" s="115"/>
    </row>
    <row r="4249" spans="16:16">
      <c r="P4249" s="115"/>
    </row>
    <row r="4250" spans="16:16">
      <c r="P4250" s="115"/>
    </row>
    <row r="4251" spans="16:16">
      <c r="P4251" s="115"/>
    </row>
    <row r="4252" spans="16:16">
      <c r="P4252" s="115"/>
    </row>
    <row r="4253" spans="16:16">
      <c r="P4253" s="115"/>
    </row>
    <row r="4254" spans="16:16">
      <c r="P4254" s="115"/>
    </row>
    <row r="4255" spans="16:16">
      <c r="P4255" s="115"/>
    </row>
    <row r="4256" spans="16:16">
      <c r="P4256" s="115"/>
    </row>
    <row r="4257" spans="16:16">
      <c r="P4257" s="115"/>
    </row>
    <row r="4258" spans="16:16">
      <c r="P4258" s="115"/>
    </row>
    <row r="4259" spans="16:16">
      <c r="P4259" s="115"/>
    </row>
    <row r="4260" spans="16:16">
      <c r="P4260" s="115"/>
    </row>
    <row r="4261" spans="16:16">
      <c r="P4261" s="115"/>
    </row>
    <row r="4262" spans="16:16">
      <c r="P4262" s="115"/>
    </row>
    <row r="4263" spans="16:16">
      <c r="P4263" s="115"/>
    </row>
    <row r="4264" spans="16:16">
      <c r="P4264" s="115"/>
    </row>
    <row r="4265" spans="16:16">
      <c r="P4265" s="115"/>
    </row>
    <row r="4266" spans="16:16">
      <c r="P4266" s="115"/>
    </row>
    <row r="4267" spans="16:16">
      <c r="P4267" s="115"/>
    </row>
    <row r="4268" spans="16:16">
      <c r="P4268" s="115"/>
    </row>
    <row r="4269" spans="16:16">
      <c r="P4269" s="115"/>
    </row>
    <row r="4270" spans="16:16">
      <c r="P4270" s="115"/>
    </row>
    <row r="4271" spans="16:16">
      <c r="P4271" s="115"/>
    </row>
    <row r="4272" spans="16:16">
      <c r="P4272" s="115"/>
    </row>
    <row r="4273" spans="16:16">
      <c r="P4273" s="115"/>
    </row>
    <row r="4274" spans="16:16">
      <c r="P4274" s="115"/>
    </row>
    <row r="4275" spans="16:16">
      <c r="P4275" s="115"/>
    </row>
    <row r="4276" spans="16:16">
      <c r="P4276" s="115"/>
    </row>
    <row r="4277" spans="16:16">
      <c r="P4277" s="115"/>
    </row>
    <row r="4278" spans="16:16">
      <c r="P4278" s="115"/>
    </row>
    <row r="4279" spans="16:16">
      <c r="P4279" s="115"/>
    </row>
    <row r="4280" spans="16:16">
      <c r="P4280" s="115"/>
    </row>
    <row r="4281" spans="16:16">
      <c r="P4281" s="115"/>
    </row>
    <row r="4282" spans="16:16">
      <c r="P4282" s="115"/>
    </row>
    <row r="4283" spans="16:16">
      <c r="P4283" s="115"/>
    </row>
    <row r="4284" spans="16:16">
      <c r="P4284" s="115"/>
    </row>
    <row r="4285" spans="16:16">
      <c r="P4285" s="115"/>
    </row>
    <row r="4286" spans="16:16">
      <c r="P4286" s="115"/>
    </row>
    <row r="4287" spans="16:16">
      <c r="P4287" s="115"/>
    </row>
    <row r="4288" spans="16:16">
      <c r="P4288" s="115"/>
    </row>
    <row r="4289" spans="16:16">
      <c r="P4289" s="115"/>
    </row>
    <row r="4290" spans="16:16">
      <c r="P4290" s="115"/>
    </row>
    <row r="4291" spans="16:16">
      <c r="P4291" s="115"/>
    </row>
    <row r="4292" spans="16:16">
      <c r="P4292" s="115"/>
    </row>
    <row r="4293" spans="16:16">
      <c r="P4293" s="115"/>
    </row>
    <row r="4294" spans="16:16">
      <c r="P4294" s="115"/>
    </row>
    <row r="4295" spans="16:16">
      <c r="P4295" s="115"/>
    </row>
    <row r="4296" spans="16:16">
      <c r="P4296" s="115"/>
    </row>
    <row r="4297" spans="16:16">
      <c r="P4297" s="115"/>
    </row>
    <row r="4298" spans="16:16">
      <c r="P4298" s="115"/>
    </row>
    <row r="4299" spans="16:16">
      <c r="P4299" s="115"/>
    </row>
    <row r="4300" spans="16:16">
      <c r="P4300" s="115"/>
    </row>
    <row r="4301" spans="16:16">
      <c r="P4301" s="115"/>
    </row>
    <row r="4302" spans="16:16">
      <c r="P4302" s="115"/>
    </row>
    <row r="4303" spans="16:16">
      <c r="P4303" s="115"/>
    </row>
    <row r="4304" spans="16:16">
      <c r="P4304" s="115"/>
    </row>
    <row r="4305" spans="16:16">
      <c r="P4305" s="115"/>
    </row>
    <row r="4306" spans="16:16">
      <c r="P4306" s="115"/>
    </row>
    <row r="4307" spans="16:16">
      <c r="P4307" s="115"/>
    </row>
    <row r="4308" spans="16:16">
      <c r="P4308" s="115"/>
    </row>
    <row r="4309" spans="16:16">
      <c r="P4309" s="115"/>
    </row>
    <row r="4310" spans="16:16">
      <c r="P4310" s="115"/>
    </row>
    <row r="4311" spans="16:16">
      <c r="P4311" s="115"/>
    </row>
    <row r="4312" spans="16:16">
      <c r="P4312" s="115"/>
    </row>
    <row r="4313" spans="16:16">
      <c r="P4313" s="115"/>
    </row>
    <row r="4314" spans="16:16">
      <c r="P4314" s="115"/>
    </row>
    <row r="4315" spans="16:16">
      <c r="P4315" s="115"/>
    </row>
    <row r="4316" spans="16:16">
      <c r="P4316" s="115"/>
    </row>
    <row r="4317" spans="16:16">
      <c r="P4317" s="115"/>
    </row>
    <row r="4318" spans="16:16">
      <c r="P4318" s="115"/>
    </row>
    <row r="4319" spans="16:16">
      <c r="P4319" s="115"/>
    </row>
    <row r="4320" spans="16:16">
      <c r="P4320" s="115"/>
    </row>
    <row r="4321" spans="16:16">
      <c r="P4321" s="115"/>
    </row>
    <row r="4322" spans="16:16">
      <c r="P4322" s="115"/>
    </row>
    <row r="4323" spans="16:16">
      <c r="P4323" s="115"/>
    </row>
    <row r="4324" spans="16:16">
      <c r="P4324" s="115"/>
    </row>
    <row r="4325" spans="16:16">
      <c r="P4325" s="115"/>
    </row>
    <row r="4326" spans="16:16">
      <c r="P4326" s="115"/>
    </row>
    <row r="4327" spans="16:16">
      <c r="P4327" s="115"/>
    </row>
    <row r="4328" spans="16:16">
      <c r="P4328" s="115"/>
    </row>
    <row r="4329" spans="16:16">
      <c r="P4329" s="115"/>
    </row>
    <row r="4330" spans="16:16">
      <c r="P4330" s="115"/>
    </row>
    <row r="4331" spans="16:16">
      <c r="P4331" s="115"/>
    </row>
    <row r="4332" spans="16:16">
      <c r="P4332" s="115"/>
    </row>
    <row r="4333" spans="16:16">
      <c r="P4333" s="115"/>
    </row>
    <row r="4334" spans="16:16">
      <c r="P4334" s="115"/>
    </row>
    <row r="4335" spans="16:16">
      <c r="P4335" s="115"/>
    </row>
    <row r="4336" spans="16:16">
      <c r="P4336" s="115"/>
    </row>
    <row r="4337" spans="16:16">
      <c r="P4337" s="115"/>
    </row>
    <row r="4338" spans="16:16">
      <c r="P4338" s="115"/>
    </row>
    <row r="4339" spans="16:16">
      <c r="P4339" s="115"/>
    </row>
    <row r="4340" spans="16:16">
      <c r="P4340" s="115"/>
    </row>
    <row r="4341" spans="16:16">
      <c r="P4341" s="115"/>
    </row>
    <row r="4342" spans="16:16">
      <c r="P4342" s="115"/>
    </row>
    <row r="4343" spans="16:16">
      <c r="P4343" s="115"/>
    </row>
    <row r="4344" spans="16:16">
      <c r="P4344" s="115"/>
    </row>
    <row r="4345" spans="16:16">
      <c r="P4345" s="115"/>
    </row>
    <row r="4346" spans="16:16">
      <c r="P4346" s="115"/>
    </row>
    <row r="4347" spans="16:16">
      <c r="P4347" s="115"/>
    </row>
    <row r="4348" spans="16:16">
      <c r="P4348" s="115"/>
    </row>
    <row r="4349" spans="16:16">
      <c r="P4349" s="115"/>
    </row>
    <row r="4350" spans="16:16">
      <c r="P4350" s="115"/>
    </row>
    <row r="4351" spans="16:16">
      <c r="P4351" s="115"/>
    </row>
    <row r="4352" spans="16:16">
      <c r="P4352" s="115"/>
    </row>
    <row r="4353" spans="16:16">
      <c r="P4353" s="115"/>
    </row>
    <row r="4354" spans="16:16">
      <c r="P4354" s="115"/>
    </row>
    <row r="4355" spans="16:16">
      <c r="P4355" s="115"/>
    </row>
    <row r="4356" spans="16:16">
      <c r="P4356" s="115"/>
    </row>
    <row r="4357" spans="16:16">
      <c r="P4357" s="115"/>
    </row>
    <row r="4358" spans="16:16">
      <c r="P4358" s="115"/>
    </row>
    <row r="4359" spans="16:16">
      <c r="P4359" s="115"/>
    </row>
    <row r="4360" spans="16:16">
      <c r="P4360" s="115"/>
    </row>
    <row r="4361" spans="16:16">
      <c r="P4361" s="115"/>
    </row>
    <row r="4362" spans="16:16">
      <c r="P4362" s="115"/>
    </row>
    <row r="4363" spans="16:16">
      <c r="P4363" s="115"/>
    </row>
    <row r="4364" spans="16:16">
      <c r="P4364" s="115"/>
    </row>
    <row r="4365" spans="16:16">
      <c r="P4365" s="115"/>
    </row>
    <row r="4366" spans="16:16">
      <c r="P4366" s="115"/>
    </row>
    <row r="4367" spans="16:16">
      <c r="P4367" s="115"/>
    </row>
    <row r="4368" spans="16:16">
      <c r="P4368" s="115"/>
    </row>
    <row r="4369" spans="16:16">
      <c r="P4369" s="115"/>
    </row>
    <row r="4370" spans="16:16">
      <c r="P4370" s="115"/>
    </row>
    <row r="4371" spans="16:16">
      <c r="P4371" s="115"/>
    </row>
    <row r="4372" spans="16:16">
      <c r="P4372" s="115"/>
    </row>
    <row r="4373" spans="16:16">
      <c r="P4373" s="115"/>
    </row>
    <row r="4374" spans="16:16">
      <c r="P4374" s="115"/>
    </row>
    <row r="4375" spans="16:16">
      <c r="P4375" s="115"/>
    </row>
    <row r="4376" spans="16:16">
      <c r="P4376" s="115"/>
    </row>
    <row r="4377" spans="16:16">
      <c r="P4377" s="115"/>
    </row>
    <row r="4378" spans="16:16">
      <c r="P4378" s="115"/>
    </row>
    <row r="4379" spans="16:16">
      <c r="P4379" s="115"/>
    </row>
    <row r="4380" spans="16:16">
      <c r="P4380" s="115"/>
    </row>
    <row r="4381" spans="16:16">
      <c r="P4381" s="115"/>
    </row>
    <row r="4382" spans="16:16">
      <c r="P4382" s="115"/>
    </row>
    <row r="4383" spans="16:16">
      <c r="P4383" s="115"/>
    </row>
    <row r="4384" spans="16:16">
      <c r="P4384" s="115"/>
    </row>
    <row r="4385" spans="16:16">
      <c r="P4385" s="115"/>
    </row>
    <row r="4386" spans="16:16">
      <c r="P4386" s="115"/>
    </row>
    <row r="4387" spans="16:16">
      <c r="P4387" s="115"/>
    </row>
    <row r="4388" spans="16:16">
      <c r="P4388" s="115"/>
    </row>
    <row r="4389" spans="16:16">
      <c r="P4389" s="115"/>
    </row>
    <row r="4390" spans="16:16">
      <c r="P4390" s="115"/>
    </row>
    <row r="4391" spans="16:16">
      <c r="P4391" s="115"/>
    </row>
    <row r="4392" spans="16:16">
      <c r="P4392" s="115"/>
    </row>
    <row r="4393" spans="16:16">
      <c r="P4393" s="115"/>
    </row>
    <row r="4394" spans="16:16">
      <c r="P4394" s="115"/>
    </row>
    <row r="4395" spans="16:16">
      <c r="P4395" s="115"/>
    </row>
    <row r="4396" spans="16:16">
      <c r="P4396" s="115"/>
    </row>
    <row r="4397" spans="16:16">
      <c r="P4397" s="115"/>
    </row>
    <row r="4398" spans="16:16">
      <c r="P4398" s="115"/>
    </row>
    <row r="4399" spans="16:16">
      <c r="P4399" s="115"/>
    </row>
    <row r="4400" spans="16:16">
      <c r="P4400" s="115"/>
    </row>
    <row r="4401" spans="16:16">
      <c r="P4401" s="115"/>
    </row>
    <row r="4402" spans="16:16">
      <c r="P4402" s="115"/>
    </row>
    <row r="4403" spans="16:16">
      <c r="P4403" s="115"/>
    </row>
    <row r="4404" spans="16:16">
      <c r="P4404" s="115"/>
    </row>
    <row r="4405" spans="16:16">
      <c r="P4405" s="115"/>
    </row>
    <row r="4406" spans="16:16">
      <c r="P4406" s="115"/>
    </row>
    <row r="4407" spans="16:16">
      <c r="P4407" s="115"/>
    </row>
    <row r="4408" spans="16:16">
      <c r="P4408" s="115"/>
    </row>
    <row r="4409" spans="16:16">
      <c r="P4409" s="115"/>
    </row>
    <row r="4410" spans="16:16">
      <c r="P4410" s="115"/>
    </row>
    <row r="4411" spans="16:16">
      <c r="P4411" s="115"/>
    </row>
    <row r="4412" spans="16:16">
      <c r="P4412" s="115"/>
    </row>
    <row r="4413" spans="16:16">
      <c r="P4413" s="115"/>
    </row>
    <row r="4414" spans="16:16">
      <c r="P4414" s="115"/>
    </row>
    <row r="4415" spans="16:16">
      <c r="P4415" s="115"/>
    </row>
    <row r="4416" spans="16:16">
      <c r="P4416" s="115"/>
    </row>
    <row r="4417" spans="16:16">
      <c r="P4417" s="115"/>
    </row>
    <row r="4418" spans="16:16">
      <c r="P4418" s="115"/>
    </row>
    <row r="4419" spans="16:16">
      <c r="P4419" s="115"/>
    </row>
    <row r="4420" spans="16:16">
      <c r="P4420" s="115"/>
    </row>
    <row r="4421" spans="16:16">
      <c r="P4421" s="115"/>
    </row>
    <row r="4422" spans="16:16">
      <c r="P4422" s="115"/>
    </row>
    <row r="4423" spans="16:16">
      <c r="P4423" s="115"/>
    </row>
    <row r="4424" spans="16:16">
      <c r="P4424" s="115"/>
    </row>
    <row r="4425" spans="16:16">
      <c r="P4425" s="115"/>
    </row>
    <row r="4426" spans="16:16">
      <c r="P4426" s="115"/>
    </row>
    <row r="4427" spans="16:16">
      <c r="P4427" s="115"/>
    </row>
    <row r="4428" spans="16:16">
      <c r="P4428" s="115"/>
    </row>
    <row r="4429" spans="16:16">
      <c r="P4429" s="115"/>
    </row>
    <row r="4430" spans="16:16">
      <c r="P4430" s="115"/>
    </row>
    <row r="4431" spans="16:16">
      <c r="P4431" s="115"/>
    </row>
    <row r="4432" spans="16:16">
      <c r="P4432" s="115"/>
    </row>
    <row r="4433" spans="16:16">
      <c r="P4433" s="115"/>
    </row>
    <row r="4434" spans="16:16">
      <c r="P4434" s="115"/>
    </row>
    <row r="4435" spans="16:16">
      <c r="P4435" s="115"/>
    </row>
    <row r="4436" spans="16:16">
      <c r="P4436" s="115"/>
    </row>
    <row r="4437" spans="16:16">
      <c r="P4437" s="115"/>
    </row>
    <row r="4438" spans="16:16">
      <c r="P4438" s="115"/>
    </row>
    <row r="4439" spans="16:16">
      <c r="P4439" s="115"/>
    </row>
    <row r="4440" spans="16:16">
      <c r="P4440" s="115"/>
    </row>
    <row r="4441" spans="16:16">
      <c r="P4441" s="115"/>
    </row>
    <row r="4442" spans="16:16">
      <c r="P4442" s="115"/>
    </row>
    <row r="4443" spans="16:16">
      <c r="P4443" s="115"/>
    </row>
    <row r="4444" spans="16:16">
      <c r="P4444" s="115"/>
    </row>
    <row r="4445" spans="16:16">
      <c r="P4445" s="115"/>
    </row>
    <row r="4446" spans="16:16">
      <c r="P4446" s="115"/>
    </row>
    <row r="4447" spans="16:16">
      <c r="P4447" s="115"/>
    </row>
    <row r="4448" spans="16:16">
      <c r="P4448" s="115"/>
    </row>
    <row r="4449" spans="16:16">
      <c r="P4449" s="115"/>
    </row>
    <row r="4450" spans="16:16">
      <c r="P4450" s="115"/>
    </row>
    <row r="4451" spans="16:16">
      <c r="P4451" s="115"/>
    </row>
    <row r="4452" spans="16:16">
      <c r="P4452" s="115"/>
    </row>
    <row r="4453" spans="16:16">
      <c r="P4453" s="115"/>
    </row>
    <row r="4454" spans="16:16">
      <c r="P4454" s="115"/>
    </row>
    <row r="4455" spans="16:16">
      <c r="P4455" s="115"/>
    </row>
    <row r="4456" spans="16:16">
      <c r="P4456" s="115"/>
    </row>
    <row r="4457" spans="16:16">
      <c r="P4457" s="115"/>
    </row>
    <row r="4458" spans="16:16">
      <c r="P4458" s="115"/>
    </row>
    <row r="4459" spans="16:16">
      <c r="P4459" s="115"/>
    </row>
    <row r="4460" spans="16:16">
      <c r="P4460" s="115"/>
    </row>
    <row r="4461" spans="16:16">
      <c r="P4461" s="115"/>
    </row>
    <row r="4462" spans="16:16">
      <c r="P4462" s="115"/>
    </row>
    <row r="4463" spans="16:16">
      <c r="P4463" s="115"/>
    </row>
    <row r="4464" spans="16:16">
      <c r="P4464" s="115"/>
    </row>
    <row r="4465" spans="16:16">
      <c r="P4465" s="115"/>
    </row>
    <row r="4466" spans="16:16">
      <c r="P4466" s="115"/>
    </row>
    <row r="4467" spans="16:16">
      <c r="P4467" s="115"/>
    </row>
    <row r="4468" spans="16:16">
      <c r="P4468" s="115"/>
    </row>
    <row r="4469" spans="16:16">
      <c r="P4469" s="115"/>
    </row>
    <row r="4470" spans="16:16">
      <c r="P4470" s="115"/>
    </row>
    <row r="4471" spans="16:16">
      <c r="P4471" s="115"/>
    </row>
    <row r="4472" spans="16:16">
      <c r="P4472" s="115"/>
    </row>
    <row r="4473" spans="16:16">
      <c r="P4473" s="115"/>
    </row>
    <row r="4474" spans="16:16">
      <c r="P4474" s="115"/>
    </row>
    <row r="4475" spans="16:16">
      <c r="P4475" s="115"/>
    </row>
    <row r="4476" spans="16:16">
      <c r="P4476" s="115"/>
    </row>
    <row r="4477" spans="16:16">
      <c r="P4477" s="115"/>
    </row>
    <row r="4478" spans="16:16">
      <c r="P4478" s="115"/>
    </row>
    <row r="4479" spans="16:16">
      <c r="P4479" s="115"/>
    </row>
    <row r="4480" spans="16:16">
      <c r="P4480" s="115"/>
    </row>
    <row r="4481" spans="16:16">
      <c r="P4481" s="115"/>
    </row>
    <row r="4482" spans="16:16">
      <c r="P4482" s="115"/>
    </row>
    <row r="4483" spans="16:16">
      <c r="P4483" s="115"/>
    </row>
    <row r="4484" spans="16:16">
      <c r="P4484" s="115"/>
    </row>
    <row r="4485" spans="16:16">
      <c r="P4485" s="115"/>
    </row>
    <row r="4486" spans="16:16">
      <c r="P4486" s="115"/>
    </row>
    <row r="4487" spans="16:16">
      <c r="P4487" s="115"/>
    </row>
    <row r="4488" spans="16:16">
      <c r="P4488" s="115"/>
    </row>
    <row r="4489" spans="16:16">
      <c r="P4489" s="115"/>
    </row>
    <row r="4490" spans="16:16">
      <c r="P4490" s="115"/>
    </row>
    <row r="4491" spans="16:16">
      <c r="P4491" s="115"/>
    </row>
    <row r="4492" spans="16:16">
      <c r="P4492" s="115"/>
    </row>
    <row r="4493" spans="16:16">
      <c r="P4493" s="115"/>
    </row>
    <row r="4494" spans="16:16">
      <c r="P4494" s="115"/>
    </row>
    <row r="4495" spans="16:16">
      <c r="P4495" s="115"/>
    </row>
    <row r="4496" spans="16:16">
      <c r="P4496" s="115"/>
    </row>
    <row r="4497" spans="16:16">
      <c r="P4497" s="115"/>
    </row>
    <row r="4498" spans="16:16">
      <c r="P4498" s="115"/>
    </row>
    <row r="4499" spans="16:16">
      <c r="P4499" s="115"/>
    </row>
    <row r="4500" spans="16:16">
      <c r="P4500" s="115"/>
    </row>
    <row r="4501" spans="16:16">
      <c r="P4501" s="115"/>
    </row>
    <row r="4502" spans="16:16">
      <c r="P4502" s="115"/>
    </row>
    <row r="4503" spans="16:16">
      <c r="P4503" s="115"/>
    </row>
    <row r="4504" spans="16:16">
      <c r="P4504" s="115"/>
    </row>
    <row r="4505" spans="16:16">
      <c r="P4505" s="115"/>
    </row>
    <row r="4506" spans="16:16">
      <c r="P4506" s="115"/>
    </row>
    <row r="4507" spans="16:16">
      <c r="P4507" s="115"/>
    </row>
    <row r="4508" spans="16:16">
      <c r="P4508" s="115"/>
    </row>
    <row r="4509" spans="16:16">
      <c r="P4509" s="115"/>
    </row>
    <row r="4510" spans="16:16">
      <c r="P4510" s="115"/>
    </row>
    <row r="4511" spans="16:16">
      <c r="P4511" s="115"/>
    </row>
    <row r="4512" spans="16:16">
      <c r="P4512" s="115"/>
    </row>
    <row r="4513" spans="16:16">
      <c r="P4513" s="115"/>
    </row>
    <row r="4514" spans="16:16">
      <c r="P4514" s="115"/>
    </row>
    <row r="4515" spans="16:16">
      <c r="P4515" s="115"/>
    </row>
    <row r="4516" spans="16:16">
      <c r="P4516" s="115"/>
    </row>
    <row r="4517" spans="16:16">
      <c r="P4517" s="115"/>
    </row>
    <row r="4518" spans="16:16">
      <c r="P4518" s="115"/>
    </row>
    <row r="4519" spans="16:16">
      <c r="P4519" s="115"/>
    </row>
    <row r="4520" spans="16:16">
      <c r="P4520" s="115"/>
    </row>
    <row r="4521" spans="16:16">
      <c r="P4521" s="115"/>
    </row>
    <row r="4522" spans="16:16">
      <c r="P4522" s="115"/>
    </row>
    <row r="4523" spans="16:16">
      <c r="P4523" s="115"/>
    </row>
    <row r="4524" spans="16:16">
      <c r="P4524" s="115"/>
    </row>
    <row r="4525" spans="16:16">
      <c r="P4525" s="115"/>
    </row>
    <row r="4526" spans="16:16">
      <c r="P4526" s="115"/>
    </row>
    <row r="4527" spans="16:16">
      <c r="P4527" s="115"/>
    </row>
    <row r="4528" spans="16:16">
      <c r="P4528" s="115"/>
    </row>
    <row r="4529" spans="16:16">
      <c r="P4529" s="115"/>
    </row>
    <row r="4530" spans="16:16">
      <c r="P4530" s="115"/>
    </row>
    <row r="4531" spans="16:16">
      <c r="P4531" s="115"/>
    </row>
    <row r="4532" spans="16:16">
      <c r="P4532" s="115"/>
    </row>
    <row r="4533" spans="16:16">
      <c r="P4533" s="115"/>
    </row>
    <row r="4534" spans="16:16">
      <c r="P4534" s="115"/>
    </row>
    <row r="4535" spans="16:16">
      <c r="P4535" s="115"/>
    </row>
    <row r="4536" spans="16:16">
      <c r="P4536" s="115"/>
    </row>
    <row r="4537" spans="16:16">
      <c r="P4537" s="115"/>
    </row>
    <row r="4538" spans="16:16">
      <c r="P4538" s="115"/>
    </row>
    <row r="4539" spans="16:16">
      <c r="P4539" s="115"/>
    </row>
    <row r="4540" spans="16:16">
      <c r="P4540" s="115"/>
    </row>
    <row r="4541" spans="16:16">
      <c r="P4541" s="115"/>
    </row>
    <row r="4542" spans="16:16">
      <c r="P4542" s="115"/>
    </row>
    <row r="4543" spans="16:16">
      <c r="P4543" s="115"/>
    </row>
    <row r="4544" spans="16:16">
      <c r="P4544" s="115"/>
    </row>
    <row r="4545" spans="16:16">
      <c r="P4545" s="115"/>
    </row>
    <row r="4546" spans="16:16">
      <c r="P4546" s="115"/>
    </row>
    <row r="4547" spans="16:16">
      <c r="P4547" s="115"/>
    </row>
    <row r="4548" spans="16:16">
      <c r="P4548" s="115"/>
    </row>
    <row r="4549" spans="16:16">
      <c r="P4549" s="115"/>
    </row>
    <row r="4550" spans="16:16">
      <c r="P4550" s="115"/>
    </row>
    <row r="4551" spans="16:16">
      <c r="P4551" s="115"/>
    </row>
    <row r="4552" spans="16:16">
      <c r="P4552" s="115"/>
    </row>
    <row r="4553" spans="16:16">
      <c r="P4553" s="115"/>
    </row>
    <row r="4554" spans="16:16">
      <c r="P4554" s="115"/>
    </row>
    <row r="4555" spans="16:16">
      <c r="P4555" s="115"/>
    </row>
    <row r="4556" spans="16:16">
      <c r="P4556" s="115"/>
    </row>
    <row r="4557" spans="16:16">
      <c r="P4557" s="115"/>
    </row>
    <row r="4558" spans="16:16">
      <c r="P4558" s="115"/>
    </row>
    <row r="4559" spans="16:16">
      <c r="P4559" s="115"/>
    </row>
    <row r="4560" spans="16:16">
      <c r="P4560" s="115"/>
    </row>
    <row r="4561" spans="16:16">
      <c r="P4561" s="115"/>
    </row>
    <row r="4562" spans="16:16">
      <c r="P4562" s="115"/>
    </row>
    <row r="4563" spans="16:16">
      <c r="P4563" s="115"/>
    </row>
    <row r="4564" spans="16:16">
      <c r="P4564" s="115"/>
    </row>
    <row r="4565" spans="16:16">
      <c r="P4565" s="115"/>
    </row>
    <row r="4566" spans="16:16">
      <c r="P4566" s="115"/>
    </row>
    <row r="4567" spans="16:16">
      <c r="P4567" s="115"/>
    </row>
    <row r="4568" spans="16:16">
      <c r="P4568" s="115"/>
    </row>
    <row r="4569" spans="16:16">
      <c r="P4569" s="115"/>
    </row>
    <row r="4570" spans="16:16">
      <c r="P4570" s="115"/>
    </row>
    <row r="4571" spans="16:16">
      <c r="P4571" s="115"/>
    </row>
    <row r="4572" spans="16:16">
      <c r="P4572" s="115"/>
    </row>
    <row r="4573" spans="16:16">
      <c r="P4573" s="115"/>
    </row>
    <row r="4574" spans="16:16">
      <c r="P4574" s="115"/>
    </row>
    <row r="4575" spans="16:16">
      <c r="P4575" s="115"/>
    </row>
    <row r="4576" spans="16:16">
      <c r="P4576" s="115"/>
    </row>
    <row r="4577" spans="16:16">
      <c r="P4577" s="115"/>
    </row>
    <row r="4578" spans="16:16">
      <c r="P4578" s="115"/>
    </row>
    <row r="4579" spans="16:16">
      <c r="P4579" s="115"/>
    </row>
    <row r="4580" spans="16:16">
      <c r="P4580" s="115"/>
    </row>
    <row r="4581" spans="16:16">
      <c r="P4581" s="115"/>
    </row>
    <row r="4582" spans="16:16">
      <c r="P4582" s="115"/>
    </row>
    <row r="4583" spans="16:16">
      <c r="P4583" s="115"/>
    </row>
    <row r="4584" spans="16:16">
      <c r="P4584" s="115"/>
    </row>
    <row r="4585" spans="16:16">
      <c r="P4585" s="115"/>
    </row>
    <row r="4586" spans="16:16">
      <c r="P4586" s="115"/>
    </row>
    <row r="4587" spans="16:16">
      <c r="P4587" s="115"/>
    </row>
    <row r="4588" spans="16:16">
      <c r="P4588" s="115"/>
    </row>
    <row r="4589" spans="16:16">
      <c r="P4589" s="115"/>
    </row>
    <row r="4590" spans="16:16">
      <c r="P4590" s="115"/>
    </row>
    <row r="4591" spans="16:16">
      <c r="P4591" s="115"/>
    </row>
    <row r="4592" spans="16:16">
      <c r="P4592" s="115"/>
    </row>
    <row r="4593" spans="16:16">
      <c r="P4593" s="115"/>
    </row>
    <row r="4594" spans="16:16">
      <c r="P4594" s="115"/>
    </row>
    <row r="4595" spans="16:16">
      <c r="P4595" s="115"/>
    </row>
    <row r="4596" spans="16:16">
      <c r="P4596" s="115"/>
    </row>
    <row r="4597" spans="16:16">
      <c r="P4597" s="115"/>
    </row>
    <row r="4598" spans="16:16">
      <c r="P4598" s="115"/>
    </row>
    <row r="4599" spans="16:16">
      <c r="P4599" s="115"/>
    </row>
    <row r="4600" spans="16:16">
      <c r="P4600" s="115"/>
    </row>
    <row r="4601" spans="16:16">
      <c r="P4601" s="115"/>
    </row>
    <row r="4602" spans="16:16">
      <c r="P4602" s="115"/>
    </row>
    <row r="4603" spans="16:16">
      <c r="P4603" s="115"/>
    </row>
    <row r="4604" spans="16:16">
      <c r="P4604" s="115"/>
    </row>
    <row r="4605" spans="16:16">
      <c r="P4605" s="115"/>
    </row>
    <row r="4606" spans="16:16">
      <c r="P4606" s="115"/>
    </row>
    <row r="4607" spans="16:16">
      <c r="P4607" s="115"/>
    </row>
    <row r="4608" spans="16:16">
      <c r="P4608" s="115"/>
    </row>
    <row r="4609" spans="16:16">
      <c r="P4609" s="115"/>
    </row>
    <row r="4610" spans="16:16">
      <c r="P4610" s="115"/>
    </row>
    <row r="4611" spans="16:16">
      <c r="P4611" s="115"/>
    </row>
    <row r="4612" spans="16:16">
      <c r="P4612" s="115"/>
    </row>
    <row r="4613" spans="16:16">
      <c r="P4613" s="115"/>
    </row>
    <row r="4614" spans="16:16">
      <c r="P4614" s="115"/>
    </row>
    <row r="4615" spans="16:16">
      <c r="P4615" s="115"/>
    </row>
    <row r="4616" spans="16:16">
      <c r="P4616" s="115"/>
    </row>
    <row r="4617" spans="16:16">
      <c r="P4617" s="115"/>
    </row>
    <row r="4618" spans="16:16">
      <c r="P4618" s="115"/>
    </row>
    <row r="4619" spans="16:16">
      <c r="P4619" s="115"/>
    </row>
    <row r="4620" spans="16:16">
      <c r="P4620" s="115"/>
    </row>
    <row r="4621" spans="16:16">
      <c r="P4621" s="115"/>
    </row>
    <row r="4622" spans="16:16">
      <c r="P4622" s="115"/>
    </row>
    <row r="4623" spans="16:16">
      <c r="P4623" s="115"/>
    </row>
    <row r="4624" spans="16:16">
      <c r="P4624" s="115"/>
    </row>
    <row r="4625" spans="16:16">
      <c r="P4625" s="115"/>
    </row>
    <row r="4626" spans="16:16">
      <c r="P4626" s="115"/>
    </row>
    <row r="4627" spans="16:16">
      <c r="P4627" s="115"/>
    </row>
    <row r="4628" spans="16:16">
      <c r="P4628" s="115"/>
    </row>
    <row r="4629" spans="16:16">
      <c r="P4629" s="115"/>
    </row>
    <row r="4630" spans="16:16">
      <c r="P4630" s="115"/>
    </row>
    <row r="4631" spans="16:16">
      <c r="P4631" s="115"/>
    </row>
    <row r="4632" spans="16:16">
      <c r="P4632" s="115"/>
    </row>
    <row r="4633" spans="16:16">
      <c r="P4633" s="115"/>
    </row>
    <row r="4634" spans="16:16">
      <c r="P4634" s="115"/>
    </row>
    <row r="4635" spans="16:16">
      <c r="P4635" s="115"/>
    </row>
    <row r="4636" spans="16:16">
      <c r="P4636" s="115"/>
    </row>
    <row r="4637" spans="16:16">
      <c r="P4637" s="115"/>
    </row>
    <row r="4638" spans="16:16">
      <c r="P4638" s="115"/>
    </row>
    <row r="4639" spans="16:16">
      <c r="P4639" s="115"/>
    </row>
    <row r="4640" spans="16:16">
      <c r="P4640" s="115"/>
    </row>
    <row r="4641" spans="16:16">
      <c r="P4641" s="115"/>
    </row>
    <row r="4642" spans="16:16">
      <c r="P4642" s="115"/>
    </row>
    <row r="4643" spans="16:16">
      <c r="P4643" s="115"/>
    </row>
    <row r="4644" spans="16:16">
      <c r="P4644" s="115"/>
    </row>
    <row r="4645" spans="16:16">
      <c r="P4645" s="115"/>
    </row>
    <row r="4646" spans="16:16">
      <c r="P4646" s="115"/>
    </row>
    <row r="4647" spans="16:16">
      <c r="P4647" s="115"/>
    </row>
    <row r="4648" spans="16:16">
      <c r="P4648" s="115"/>
    </row>
    <row r="4649" spans="16:16">
      <c r="P4649" s="115"/>
    </row>
    <row r="4650" spans="16:16">
      <c r="P4650" s="115"/>
    </row>
    <row r="4651" spans="16:16">
      <c r="P4651" s="115"/>
    </row>
    <row r="4652" spans="16:16">
      <c r="P4652" s="115"/>
    </row>
    <row r="4653" spans="16:16">
      <c r="P4653" s="115"/>
    </row>
    <row r="4654" spans="16:16">
      <c r="P4654" s="115"/>
    </row>
    <row r="4655" spans="16:16">
      <c r="P4655" s="115"/>
    </row>
    <row r="4656" spans="16:16">
      <c r="P4656" s="115"/>
    </row>
    <row r="4657" spans="16:16">
      <c r="P4657" s="115"/>
    </row>
    <row r="4658" spans="16:16">
      <c r="P4658" s="115"/>
    </row>
    <row r="4659" spans="16:16">
      <c r="P4659" s="115"/>
    </row>
    <row r="4660" spans="16:16">
      <c r="P4660" s="115"/>
    </row>
    <row r="4661" spans="16:16">
      <c r="P4661" s="115"/>
    </row>
    <row r="4662" spans="16:16">
      <c r="P4662" s="115"/>
    </row>
    <row r="4663" spans="16:16">
      <c r="P4663" s="115"/>
    </row>
    <row r="4664" spans="16:16">
      <c r="P4664" s="115"/>
    </row>
    <row r="4665" spans="16:16">
      <c r="P4665" s="115"/>
    </row>
    <row r="4666" spans="16:16">
      <c r="P4666" s="115"/>
    </row>
    <row r="4667" spans="16:16">
      <c r="P4667" s="115"/>
    </row>
    <row r="4668" spans="16:16">
      <c r="P4668" s="115"/>
    </row>
    <row r="4669" spans="16:16">
      <c r="P4669" s="115"/>
    </row>
    <row r="4670" spans="16:16">
      <c r="P4670" s="115"/>
    </row>
    <row r="4671" spans="16:16">
      <c r="P4671" s="115"/>
    </row>
    <row r="4672" spans="16:16">
      <c r="P4672" s="115"/>
    </row>
    <row r="4673" spans="16:16">
      <c r="P4673" s="115"/>
    </row>
    <row r="4674" spans="16:16">
      <c r="P4674" s="115"/>
    </row>
    <row r="4675" spans="16:16">
      <c r="P4675" s="115"/>
    </row>
    <row r="4676" spans="16:16">
      <c r="P4676" s="115"/>
    </row>
    <row r="4677" spans="16:16">
      <c r="P4677" s="115"/>
    </row>
    <row r="4678" spans="16:16">
      <c r="P4678" s="115"/>
    </row>
    <row r="4679" spans="16:16">
      <c r="P4679" s="115"/>
    </row>
    <row r="4680" spans="16:16">
      <c r="P4680" s="115"/>
    </row>
    <row r="4681" spans="16:16">
      <c r="P4681" s="115"/>
    </row>
    <row r="4682" spans="16:16">
      <c r="P4682" s="115"/>
    </row>
    <row r="4683" spans="16:16">
      <c r="P4683" s="115"/>
    </row>
    <row r="4684" spans="16:16">
      <c r="P4684" s="115"/>
    </row>
    <row r="4685" spans="16:16">
      <c r="P4685" s="115"/>
    </row>
    <row r="4686" spans="16:16">
      <c r="P4686" s="115"/>
    </row>
    <row r="4687" spans="16:16">
      <c r="P4687" s="115"/>
    </row>
    <row r="4688" spans="16:16">
      <c r="P4688" s="115"/>
    </row>
    <row r="4689" spans="16:16">
      <c r="P4689" s="115"/>
    </row>
    <row r="4690" spans="16:16">
      <c r="P4690" s="115"/>
    </row>
    <row r="4691" spans="16:16">
      <c r="P4691" s="115"/>
    </row>
    <row r="4692" spans="16:16">
      <c r="P4692" s="115"/>
    </row>
    <row r="4693" spans="16:16">
      <c r="P4693" s="115"/>
    </row>
    <row r="4694" spans="16:16">
      <c r="P4694" s="115"/>
    </row>
    <row r="4695" spans="16:16">
      <c r="P4695" s="115"/>
    </row>
    <row r="4696" spans="16:16">
      <c r="P4696" s="115"/>
    </row>
    <row r="4697" spans="16:16">
      <c r="P4697" s="115"/>
    </row>
    <row r="4698" spans="16:16">
      <c r="P4698" s="115"/>
    </row>
    <row r="4699" spans="16:16">
      <c r="P4699" s="115"/>
    </row>
    <row r="4700" spans="16:16">
      <c r="P4700" s="115"/>
    </row>
    <row r="4701" spans="16:16">
      <c r="P4701" s="115"/>
    </row>
    <row r="4702" spans="16:16">
      <c r="P4702" s="115"/>
    </row>
    <row r="4703" spans="16:16">
      <c r="P4703" s="115"/>
    </row>
    <row r="4704" spans="16:16">
      <c r="P4704" s="115"/>
    </row>
    <row r="4705" spans="16:16">
      <c r="P4705" s="115"/>
    </row>
    <row r="4706" spans="16:16">
      <c r="P4706" s="115"/>
    </row>
    <row r="4707" spans="16:16">
      <c r="P4707" s="115"/>
    </row>
    <row r="4708" spans="16:16">
      <c r="P4708" s="115"/>
    </row>
    <row r="4709" spans="16:16">
      <c r="P4709" s="115"/>
    </row>
    <row r="4710" spans="16:16">
      <c r="P4710" s="115"/>
    </row>
    <row r="4711" spans="16:16">
      <c r="P4711" s="115"/>
    </row>
    <row r="4712" spans="16:16">
      <c r="P4712" s="115"/>
    </row>
    <row r="4713" spans="16:16">
      <c r="P4713" s="115"/>
    </row>
    <row r="4714" spans="16:16">
      <c r="P4714" s="115"/>
    </row>
    <row r="4715" spans="16:16">
      <c r="P4715" s="115"/>
    </row>
    <row r="4716" spans="16:16">
      <c r="P4716" s="115"/>
    </row>
    <row r="4717" spans="16:16">
      <c r="P4717" s="115"/>
    </row>
    <row r="4718" spans="16:16">
      <c r="P4718" s="115"/>
    </row>
    <row r="4719" spans="16:16">
      <c r="P4719" s="115"/>
    </row>
    <row r="4720" spans="16:16">
      <c r="P4720" s="115"/>
    </row>
    <row r="4721" spans="16:16">
      <c r="P4721" s="115"/>
    </row>
    <row r="4722" spans="16:16">
      <c r="P4722" s="115"/>
    </row>
    <row r="4723" spans="16:16">
      <c r="P4723" s="115"/>
    </row>
    <row r="4724" spans="16:16">
      <c r="P4724" s="115"/>
    </row>
    <row r="4725" spans="16:16">
      <c r="P4725" s="115"/>
    </row>
    <row r="4726" spans="16:16">
      <c r="P4726" s="115"/>
    </row>
    <row r="4727" spans="16:16">
      <c r="P4727" s="115"/>
    </row>
    <row r="4728" spans="16:16">
      <c r="P4728" s="115"/>
    </row>
    <row r="4729" spans="16:16">
      <c r="P4729" s="115"/>
    </row>
    <row r="4730" spans="16:16">
      <c r="P4730" s="115"/>
    </row>
    <row r="4731" spans="16:16">
      <c r="P4731" s="115"/>
    </row>
    <row r="4732" spans="16:16">
      <c r="P4732" s="115"/>
    </row>
    <row r="4733" spans="16:16">
      <c r="P4733" s="115"/>
    </row>
    <row r="4734" spans="16:16">
      <c r="P4734" s="115"/>
    </row>
    <row r="4735" spans="16:16">
      <c r="P4735" s="115"/>
    </row>
    <row r="4736" spans="16:16">
      <c r="P4736" s="115"/>
    </row>
    <row r="4737" spans="16:16">
      <c r="P4737" s="115"/>
    </row>
    <row r="4738" spans="16:16">
      <c r="P4738" s="115"/>
    </row>
    <row r="4739" spans="16:16">
      <c r="P4739" s="115"/>
    </row>
    <row r="4740" spans="16:16">
      <c r="P4740" s="115"/>
    </row>
    <row r="4741" spans="16:16">
      <c r="P4741" s="115"/>
    </row>
    <row r="4742" spans="16:16">
      <c r="P4742" s="115"/>
    </row>
    <row r="4743" spans="16:16">
      <c r="P4743" s="115"/>
    </row>
    <row r="4744" spans="16:16">
      <c r="P4744" s="115"/>
    </row>
    <row r="4745" spans="16:16">
      <c r="P4745" s="115"/>
    </row>
    <row r="4746" spans="16:16">
      <c r="P4746" s="115"/>
    </row>
    <row r="4747" spans="16:16">
      <c r="P4747" s="115"/>
    </row>
    <row r="4748" spans="16:16">
      <c r="P4748" s="115"/>
    </row>
    <row r="4749" spans="16:16">
      <c r="P4749" s="115"/>
    </row>
    <row r="4750" spans="16:16">
      <c r="P4750" s="115"/>
    </row>
    <row r="4751" spans="16:16">
      <c r="P4751" s="115"/>
    </row>
    <row r="4752" spans="16:16">
      <c r="P4752" s="115"/>
    </row>
    <row r="4753" spans="16:16">
      <c r="P4753" s="115"/>
    </row>
    <row r="4754" spans="16:16">
      <c r="P4754" s="115"/>
    </row>
    <row r="4755" spans="16:16">
      <c r="P4755" s="115"/>
    </row>
    <row r="4756" spans="16:16">
      <c r="P4756" s="115"/>
    </row>
    <row r="4757" spans="16:16">
      <c r="P4757" s="115"/>
    </row>
    <row r="4758" spans="16:16">
      <c r="P4758" s="115"/>
    </row>
    <row r="4759" spans="16:16">
      <c r="P4759" s="115"/>
    </row>
    <row r="4760" spans="16:16">
      <c r="P4760" s="115"/>
    </row>
    <row r="4761" spans="16:16">
      <c r="P4761" s="115"/>
    </row>
    <row r="4762" spans="16:16">
      <c r="P4762" s="115"/>
    </row>
    <row r="4763" spans="16:16">
      <c r="P4763" s="115"/>
    </row>
    <row r="4764" spans="16:16">
      <c r="P4764" s="115"/>
    </row>
    <row r="4765" spans="16:16">
      <c r="P4765" s="115"/>
    </row>
    <row r="4766" spans="16:16">
      <c r="P4766" s="115"/>
    </row>
    <row r="4767" spans="16:16">
      <c r="P4767" s="115"/>
    </row>
    <row r="4768" spans="16:16">
      <c r="P4768" s="115"/>
    </row>
    <row r="4769" spans="16:16">
      <c r="P4769" s="115"/>
    </row>
    <row r="4770" spans="16:16">
      <c r="P4770" s="115"/>
    </row>
    <row r="4771" spans="16:16">
      <c r="P4771" s="115"/>
    </row>
    <row r="4772" spans="16:16">
      <c r="P4772" s="115"/>
    </row>
    <row r="4773" spans="16:16">
      <c r="P4773" s="115"/>
    </row>
    <row r="4774" spans="16:16">
      <c r="P4774" s="115"/>
    </row>
    <row r="4775" spans="16:16">
      <c r="P4775" s="115"/>
    </row>
    <row r="4776" spans="16:16">
      <c r="P4776" s="115"/>
    </row>
    <row r="4777" spans="16:16">
      <c r="P4777" s="115"/>
    </row>
    <row r="4778" spans="16:16">
      <c r="P4778" s="115"/>
    </row>
    <row r="4779" spans="16:16">
      <c r="P4779" s="115"/>
    </row>
    <row r="4780" spans="16:16">
      <c r="P4780" s="115"/>
    </row>
    <row r="4781" spans="16:16">
      <c r="P4781" s="115"/>
    </row>
    <row r="4782" spans="16:16">
      <c r="P4782" s="115"/>
    </row>
    <row r="4783" spans="16:16">
      <c r="P4783" s="115"/>
    </row>
    <row r="4784" spans="16:16">
      <c r="P4784" s="115"/>
    </row>
    <row r="4785" spans="16:16">
      <c r="P4785" s="115"/>
    </row>
    <row r="4786" spans="16:16">
      <c r="P4786" s="115"/>
    </row>
    <row r="4787" spans="16:16">
      <c r="P4787" s="115"/>
    </row>
    <row r="4788" spans="16:16">
      <c r="P4788" s="115"/>
    </row>
    <row r="4789" spans="16:16">
      <c r="P4789" s="115"/>
    </row>
    <row r="4790" spans="16:16">
      <c r="P4790" s="115"/>
    </row>
    <row r="4791" spans="16:16">
      <c r="P4791" s="115"/>
    </row>
    <row r="4792" spans="16:16">
      <c r="P4792" s="115"/>
    </row>
    <row r="4793" spans="16:16">
      <c r="P4793" s="115"/>
    </row>
    <row r="4794" spans="16:16">
      <c r="P4794" s="115"/>
    </row>
    <row r="4795" spans="16:16">
      <c r="P4795" s="115"/>
    </row>
    <row r="4796" spans="16:16">
      <c r="P4796" s="115"/>
    </row>
    <row r="4797" spans="16:16">
      <c r="P4797" s="115"/>
    </row>
    <row r="4798" spans="16:16">
      <c r="P4798" s="115"/>
    </row>
    <row r="4799" spans="16:16">
      <c r="P4799" s="115"/>
    </row>
    <row r="4800" spans="16:16">
      <c r="P4800" s="115"/>
    </row>
    <row r="4801" spans="16:16">
      <c r="P4801" s="115"/>
    </row>
    <row r="4802" spans="16:16">
      <c r="P4802" s="115"/>
    </row>
    <row r="4803" spans="16:16">
      <c r="P4803" s="115"/>
    </row>
    <row r="4804" spans="16:16">
      <c r="P4804" s="115"/>
    </row>
    <row r="4805" spans="16:16">
      <c r="P4805" s="115"/>
    </row>
    <row r="4806" spans="16:16">
      <c r="P4806" s="115"/>
    </row>
    <row r="4807" spans="16:16">
      <c r="P4807" s="115"/>
    </row>
    <row r="4808" spans="16:16">
      <c r="P4808" s="115"/>
    </row>
    <row r="4809" spans="16:16">
      <c r="P4809" s="115"/>
    </row>
    <row r="4810" spans="16:16">
      <c r="P4810" s="115"/>
    </row>
    <row r="4811" spans="16:16">
      <c r="P4811" s="115"/>
    </row>
    <row r="4812" spans="16:16">
      <c r="P4812" s="115"/>
    </row>
    <row r="4813" spans="16:16">
      <c r="P4813" s="115"/>
    </row>
    <row r="4814" spans="16:16">
      <c r="P4814" s="115"/>
    </row>
    <row r="4815" spans="16:16">
      <c r="P4815" s="115"/>
    </row>
    <row r="4816" spans="16:16">
      <c r="P4816" s="115"/>
    </row>
    <row r="4817" spans="16:16">
      <c r="P4817" s="115"/>
    </row>
    <row r="4818" spans="16:16">
      <c r="P4818" s="115"/>
    </row>
    <row r="4819" spans="16:16">
      <c r="P4819" s="115"/>
    </row>
    <row r="4820" spans="16:16">
      <c r="P4820" s="115"/>
    </row>
    <row r="4821" spans="16:16">
      <c r="P4821" s="115"/>
    </row>
    <row r="4822" spans="16:16">
      <c r="P4822" s="115"/>
    </row>
    <row r="4823" spans="16:16">
      <c r="P4823" s="115"/>
    </row>
    <row r="4824" spans="16:16">
      <c r="P4824" s="115"/>
    </row>
    <row r="4825" spans="16:16">
      <c r="P4825" s="115"/>
    </row>
    <row r="4826" spans="16:16">
      <c r="P4826" s="115"/>
    </row>
    <row r="4827" spans="16:16">
      <c r="P4827" s="115"/>
    </row>
    <row r="4828" spans="16:16">
      <c r="P4828" s="115"/>
    </row>
    <row r="4829" spans="16:16">
      <c r="P4829" s="115"/>
    </row>
    <row r="4830" spans="16:16">
      <c r="P4830" s="115"/>
    </row>
    <row r="4831" spans="16:16">
      <c r="P4831" s="115"/>
    </row>
    <row r="4832" spans="16:16">
      <c r="P4832" s="115"/>
    </row>
    <row r="4833" spans="16:16">
      <c r="P4833" s="115"/>
    </row>
    <row r="4834" spans="16:16">
      <c r="P4834" s="115"/>
    </row>
    <row r="4835" spans="16:16">
      <c r="P4835" s="115"/>
    </row>
    <row r="4836" spans="16:16">
      <c r="P4836" s="115"/>
    </row>
    <row r="4837" spans="16:16">
      <c r="P4837" s="115"/>
    </row>
    <row r="4838" spans="16:16">
      <c r="P4838" s="115"/>
    </row>
    <row r="4839" spans="16:16">
      <c r="P4839" s="115"/>
    </row>
    <row r="4840" spans="16:16">
      <c r="P4840" s="115"/>
    </row>
    <row r="4841" spans="16:16">
      <c r="P4841" s="115"/>
    </row>
    <row r="4842" spans="16:16">
      <c r="P4842" s="115"/>
    </row>
    <row r="4843" spans="16:16">
      <c r="P4843" s="115"/>
    </row>
    <row r="4844" spans="16:16">
      <c r="P4844" s="115"/>
    </row>
    <row r="4845" spans="16:16">
      <c r="P4845" s="115"/>
    </row>
    <row r="4846" spans="16:16">
      <c r="P4846" s="115"/>
    </row>
    <row r="4847" spans="16:16">
      <c r="P4847" s="115"/>
    </row>
    <row r="4848" spans="16:16">
      <c r="P4848" s="115"/>
    </row>
    <row r="4849" spans="16:16">
      <c r="P4849" s="115"/>
    </row>
    <row r="4850" spans="16:16">
      <c r="P4850" s="115"/>
    </row>
    <row r="4851" spans="16:16">
      <c r="P4851" s="115"/>
    </row>
    <row r="4852" spans="16:16">
      <c r="P4852" s="115"/>
    </row>
    <row r="4853" spans="16:16">
      <c r="P4853" s="115"/>
    </row>
    <row r="4854" spans="16:16">
      <c r="P4854" s="115"/>
    </row>
    <row r="4855" spans="16:16">
      <c r="P4855" s="115"/>
    </row>
    <row r="4856" spans="16:16">
      <c r="P4856" s="115"/>
    </row>
    <row r="4857" spans="16:16">
      <c r="P4857" s="115"/>
    </row>
    <row r="4858" spans="16:16">
      <c r="P4858" s="115"/>
    </row>
    <row r="4859" spans="16:16">
      <c r="P4859" s="115"/>
    </row>
    <row r="4860" spans="16:16">
      <c r="P4860" s="115"/>
    </row>
    <row r="4861" spans="16:16">
      <c r="P4861" s="115"/>
    </row>
    <row r="4862" spans="16:16">
      <c r="P4862" s="115"/>
    </row>
    <row r="4863" spans="16:16">
      <c r="P4863" s="115"/>
    </row>
    <row r="4864" spans="16:16">
      <c r="P4864" s="115"/>
    </row>
    <row r="4865" spans="16:16">
      <c r="P4865" s="115"/>
    </row>
    <row r="4866" spans="16:16">
      <c r="P4866" s="115"/>
    </row>
    <row r="4867" spans="16:16">
      <c r="P4867" s="115"/>
    </row>
    <row r="4868" spans="16:16">
      <c r="P4868" s="115"/>
    </row>
    <row r="4869" spans="16:16">
      <c r="P4869" s="115"/>
    </row>
    <row r="4870" spans="16:16">
      <c r="P4870" s="115"/>
    </row>
    <row r="4871" spans="16:16">
      <c r="P4871" s="115"/>
    </row>
    <row r="4872" spans="16:16">
      <c r="P4872" s="115"/>
    </row>
    <row r="4873" spans="16:16">
      <c r="P4873" s="115"/>
    </row>
    <row r="4874" spans="16:16">
      <c r="P4874" s="115"/>
    </row>
    <row r="4875" spans="16:16">
      <c r="P4875" s="115"/>
    </row>
    <row r="4876" spans="16:16">
      <c r="P4876" s="115"/>
    </row>
    <row r="4877" spans="16:16">
      <c r="P4877" s="115"/>
    </row>
    <row r="4878" spans="16:16">
      <c r="P4878" s="115"/>
    </row>
    <row r="4879" spans="16:16">
      <c r="P4879" s="115"/>
    </row>
    <row r="4880" spans="16:16">
      <c r="P4880" s="115"/>
    </row>
    <row r="4881" spans="16:16">
      <c r="P4881" s="115"/>
    </row>
    <row r="4882" spans="16:16">
      <c r="P4882" s="115"/>
    </row>
    <row r="4883" spans="16:16">
      <c r="P4883" s="115"/>
    </row>
    <row r="4884" spans="16:16">
      <c r="P4884" s="115"/>
    </row>
    <row r="4885" spans="16:16">
      <c r="P4885" s="115"/>
    </row>
    <row r="4886" spans="16:16">
      <c r="P4886" s="115"/>
    </row>
    <row r="4887" spans="16:16">
      <c r="P4887" s="115"/>
    </row>
    <row r="4888" spans="16:16">
      <c r="P4888" s="115"/>
    </row>
    <row r="4889" spans="16:16">
      <c r="P4889" s="115"/>
    </row>
    <row r="4890" spans="16:16">
      <c r="P4890" s="115"/>
    </row>
    <row r="4891" spans="16:16">
      <c r="P4891" s="115"/>
    </row>
    <row r="4892" spans="16:16">
      <c r="P4892" s="115"/>
    </row>
    <row r="4893" spans="16:16">
      <c r="P4893" s="115"/>
    </row>
    <row r="4894" spans="16:16">
      <c r="P4894" s="115"/>
    </row>
    <row r="4895" spans="16:16">
      <c r="P4895" s="115"/>
    </row>
    <row r="4896" spans="16:16">
      <c r="P4896" s="115"/>
    </row>
    <row r="4897" spans="16:16">
      <c r="P4897" s="115"/>
    </row>
    <row r="4898" spans="16:16">
      <c r="P4898" s="115"/>
    </row>
    <row r="4899" spans="16:16">
      <c r="P4899" s="115"/>
    </row>
    <row r="4900" spans="16:16">
      <c r="P4900" s="115"/>
    </row>
    <row r="4901" spans="16:16">
      <c r="P4901" s="115"/>
    </row>
    <row r="4902" spans="16:16">
      <c r="P4902" s="115"/>
    </row>
    <row r="4903" spans="16:16">
      <c r="P4903" s="115"/>
    </row>
    <row r="4904" spans="16:16">
      <c r="P4904" s="115"/>
    </row>
    <row r="4905" spans="16:16">
      <c r="P4905" s="115"/>
    </row>
    <row r="4906" spans="16:16">
      <c r="P4906" s="115"/>
    </row>
    <row r="4907" spans="16:16">
      <c r="P4907" s="115"/>
    </row>
    <row r="4908" spans="16:16">
      <c r="P4908" s="115"/>
    </row>
    <row r="4909" spans="16:16">
      <c r="P4909" s="115"/>
    </row>
    <row r="4910" spans="16:16">
      <c r="P4910" s="115"/>
    </row>
    <row r="4911" spans="16:16">
      <c r="P4911" s="115"/>
    </row>
    <row r="4912" spans="16:16">
      <c r="P4912" s="115"/>
    </row>
    <row r="4913" spans="16:16">
      <c r="P4913" s="115"/>
    </row>
    <row r="4914" spans="16:16">
      <c r="P4914" s="115"/>
    </row>
    <row r="4915" spans="16:16">
      <c r="P4915" s="115"/>
    </row>
    <row r="4916" spans="16:16">
      <c r="P4916" s="115"/>
    </row>
    <row r="4917" spans="16:16">
      <c r="P4917" s="115"/>
    </row>
    <row r="4918" spans="16:16">
      <c r="P4918" s="115"/>
    </row>
    <row r="4919" spans="16:16">
      <c r="P4919" s="115"/>
    </row>
    <row r="4920" spans="16:16">
      <c r="P4920" s="115"/>
    </row>
    <row r="4921" spans="16:16">
      <c r="P4921" s="115"/>
    </row>
    <row r="4922" spans="16:16">
      <c r="P4922" s="115"/>
    </row>
    <row r="4923" spans="16:16">
      <c r="P4923" s="115"/>
    </row>
    <row r="4924" spans="16:16">
      <c r="P4924" s="115"/>
    </row>
    <row r="4925" spans="16:16">
      <c r="P4925" s="115"/>
    </row>
    <row r="4926" spans="16:16">
      <c r="P4926" s="115"/>
    </row>
    <row r="4927" spans="16:16">
      <c r="P4927" s="115"/>
    </row>
    <row r="4928" spans="16:16">
      <c r="P4928" s="115"/>
    </row>
    <row r="4929" spans="16:16">
      <c r="P4929" s="115"/>
    </row>
    <row r="4930" spans="16:16">
      <c r="P4930" s="115"/>
    </row>
    <row r="4931" spans="16:16">
      <c r="P4931" s="115"/>
    </row>
    <row r="4932" spans="16:16">
      <c r="P4932" s="115"/>
    </row>
    <row r="4933" spans="16:16">
      <c r="P4933" s="115"/>
    </row>
    <row r="4934" spans="16:16">
      <c r="P4934" s="115"/>
    </row>
    <row r="4935" spans="16:16">
      <c r="P4935" s="115"/>
    </row>
    <row r="4936" spans="16:16">
      <c r="P4936" s="115"/>
    </row>
    <row r="4937" spans="16:16">
      <c r="P4937" s="115"/>
    </row>
    <row r="4938" spans="16:16">
      <c r="P4938" s="115"/>
    </row>
    <row r="4939" spans="16:16">
      <c r="P4939" s="115"/>
    </row>
    <row r="4940" spans="16:16">
      <c r="P4940" s="115"/>
    </row>
    <row r="4941" spans="16:16">
      <c r="P4941" s="115"/>
    </row>
    <row r="4942" spans="16:16">
      <c r="P4942" s="115"/>
    </row>
    <row r="4943" spans="16:16">
      <c r="P4943" s="115"/>
    </row>
    <row r="4944" spans="16:16">
      <c r="P4944" s="115"/>
    </row>
    <row r="4945" spans="16:16">
      <c r="P4945" s="115"/>
    </row>
    <row r="4946" spans="16:16">
      <c r="P4946" s="115"/>
    </row>
    <row r="4947" spans="16:16">
      <c r="P4947" s="115"/>
    </row>
    <row r="4948" spans="16:16">
      <c r="P4948" s="115"/>
    </row>
    <row r="4949" spans="16:16">
      <c r="P4949" s="115"/>
    </row>
    <row r="4950" spans="16:16">
      <c r="P4950" s="115"/>
    </row>
    <row r="4951" spans="16:16">
      <c r="P4951" s="115"/>
    </row>
    <row r="4952" spans="16:16">
      <c r="P4952" s="115"/>
    </row>
    <row r="4953" spans="16:16">
      <c r="P4953" s="115"/>
    </row>
    <row r="4954" spans="16:16">
      <c r="P4954" s="115"/>
    </row>
    <row r="4955" spans="16:16">
      <c r="P4955" s="115"/>
    </row>
    <row r="4956" spans="16:16">
      <c r="P4956" s="115"/>
    </row>
    <row r="4957" spans="16:16">
      <c r="P4957" s="115"/>
    </row>
    <row r="4958" spans="16:16">
      <c r="P4958" s="115"/>
    </row>
    <row r="4959" spans="16:16">
      <c r="P4959" s="115"/>
    </row>
    <row r="4960" spans="16:16">
      <c r="P4960" s="115"/>
    </row>
    <row r="4961" spans="16:16">
      <c r="P4961" s="115"/>
    </row>
    <row r="4962" spans="16:16">
      <c r="P4962" s="115"/>
    </row>
    <row r="4963" spans="16:16">
      <c r="P4963" s="115"/>
    </row>
    <row r="4964" spans="16:16">
      <c r="P4964" s="115"/>
    </row>
    <row r="4965" spans="16:16">
      <c r="P4965" s="115"/>
    </row>
    <row r="4966" spans="16:16">
      <c r="P4966" s="115"/>
    </row>
    <row r="4967" spans="16:16">
      <c r="P4967" s="115"/>
    </row>
    <row r="4968" spans="16:16">
      <c r="P4968" s="115"/>
    </row>
    <row r="4969" spans="16:16">
      <c r="P4969" s="115"/>
    </row>
    <row r="4970" spans="16:16">
      <c r="P4970" s="115"/>
    </row>
    <row r="4971" spans="16:16">
      <c r="P4971" s="115"/>
    </row>
    <row r="4972" spans="16:16">
      <c r="P4972" s="115"/>
    </row>
    <row r="4973" spans="16:16">
      <c r="P4973" s="115"/>
    </row>
    <row r="4974" spans="16:16">
      <c r="P4974" s="115"/>
    </row>
    <row r="4975" spans="16:16">
      <c r="P4975" s="115"/>
    </row>
    <row r="4976" spans="16:16">
      <c r="P4976" s="115"/>
    </row>
    <row r="4977" spans="16:16">
      <c r="P4977" s="115"/>
    </row>
    <row r="4978" spans="16:16">
      <c r="P4978" s="115"/>
    </row>
    <row r="4979" spans="16:16">
      <c r="P4979" s="115"/>
    </row>
    <row r="4980" spans="16:16">
      <c r="P4980" s="115"/>
    </row>
    <row r="4981" spans="16:16">
      <c r="P4981" s="115"/>
    </row>
    <row r="4982" spans="16:16">
      <c r="P4982" s="115"/>
    </row>
    <row r="4983" spans="16:16">
      <c r="P4983" s="115"/>
    </row>
    <row r="4984" spans="16:16">
      <c r="P4984" s="115"/>
    </row>
    <row r="4985" spans="16:16">
      <c r="P4985" s="115"/>
    </row>
    <row r="4986" spans="16:16">
      <c r="P4986" s="115"/>
    </row>
    <row r="4987" spans="16:16">
      <c r="P4987" s="115"/>
    </row>
    <row r="4988" spans="16:16">
      <c r="P4988" s="115"/>
    </row>
    <row r="4989" spans="16:16">
      <c r="P4989" s="115"/>
    </row>
    <row r="4990" spans="16:16">
      <c r="P4990" s="115"/>
    </row>
    <row r="4991" spans="16:16">
      <c r="P4991" s="115"/>
    </row>
    <row r="4992" spans="16:16">
      <c r="P4992" s="115"/>
    </row>
    <row r="4993" spans="16:16">
      <c r="P4993" s="115"/>
    </row>
    <row r="4994" spans="16:16">
      <c r="P4994" s="115"/>
    </row>
    <row r="4995" spans="16:16">
      <c r="P4995" s="115"/>
    </row>
    <row r="4996" spans="16:16">
      <c r="P4996" s="115"/>
    </row>
    <row r="4997" spans="16:16">
      <c r="P4997" s="115"/>
    </row>
    <row r="4998" spans="16:16">
      <c r="P4998" s="115"/>
    </row>
    <row r="4999" spans="16:16">
      <c r="P4999" s="115"/>
    </row>
    <row r="5000" spans="16:16">
      <c r="P5000" s="115"/>
    </row>
    <row r="5001" spans="16:16">
      <c r="P5001" s="115"/>
    </row>
    <row r="5002" spans="16:16">
      <c r="P5002" s="115"/>
    </row>
    <row r="5003" spans="16:16">
      <c r="P5003" s="115"/>
    </row>
    <row r="5004" spans="16:16">
      <c r="P5004" s="115"/>
    </row>
    <row r="5005" spans="16:16">
      <c r="P5005" s="115"/>
    </row>
    <row r="5006" spans="16:16">
      <c r="P5006" s="115"/>
    </row>
    <row r="5007" spans="16:16">
      <c r="P5007" s="115"/>
    </row>
    <row r="5008" spans="16:16">
      <c r="P5008" s="115"/>
    </row>
    <row r="5009" spans="16:16">
      <c r="P5009" s="115"/>
    </row>
    <row r="5010" spans="16:16">
      <c r="P5010" s="115"/>
    </row>
    <row r="5011" spans="16:16">
      <c r="P5011" s="115"/>
    </row>
    <row r="5012" spans="16:16">
      <c r="P5012" s="115"/>
    </row>
    <row r="5013" spans="16:16">
      <c r="P5013" s="115"/>
    </row>
    <row r="5014" spans="16:16">
      <c r="P5014" s="115"/>
    </row>
    <row r="5015" spans="16:16">
      <c r="P5015" s="115"/>
    </row>
    <row r="5016" spans="16:16">
      <c r="P5016" s="115"/>
    </row>
    <row r="5017" spans="16:16">
      <c r="P5017" s="115"/>
    </row>
    <row r="5018" spans="16:16">
      <c r="P5018" s="115"/>
    </row>
    <row r="5019" spans="16:16">
      <c r="P5019" s="115"/>
    </row>
    <row r="5020" spans="16:16">
      <c r="P5020" s="115"/>
    </row>
    <row r="5021" spans="16:16">
      <c r="P5021" s="115"/>
    </row>
    <row r="5022" spans="16:16">
      <c r="P5022" s="115"/>
    </row>
    <row r="5023" spans="16:16">
      <c r="P5023" s="115"/>
    </row>
    <row r="5024" spans="16:16">
      <c r="P5024" s="115"/>
    </row>
    <row r="5025" spans="16:16">
      <c r="P5025" s="115"/>
    </row>
    <row r="5026" spans="16:16">
      <c r="P5026" s="115"/>
    </row>
    <row r="5027" spans="16:16">
      <c r="P5027" s="115"/>
    </row>
    <row r="5028" spans="16:16">
      <c r="P5028" s="115"/>
    </row>
    <row r="5029" spans="16:16">
      <c r="P5029" s="115"/>
    </row>
    <row r="5030" spans="16:16">
      <c r="P5030" s="115"/>
    </row>
    <row r="5031" spans="16:16">
      <c r="P5031" s="115"/>
    </row>
    <row r="5032" spans="16:16">
      <c r="P5032" s="115"/>
    </row>
    <row r="5033" spans="16:16">
      <c r="P5033" s="115"/>
    </row>
    <row r="5034" spans="16:16">
      <c r="P5034" s="115"/>
    </row>
    <row r="5035" spans="16:16">
      <c r="P5035" s="115"/>
    </row>
    <row r="5036" spans="16:16">
      <c r="P5036" s="115"/>
    </row>
    <row r="5037" spans="16:16">
      <c r="P5037" s="115"/>
    </row>
    <row r="5038" spans="16:16">
      <c r="P5038" s="115"/>
    </row>
    <row r="5039" spans="16:16">
      <c r="P5039" s="115"/>
    </row>
    <row r="5040" spans="16:16">
      <c r="P5040" s="115"/>
    </row>
    <row r="5041" spans="16:16">
      <c r="P5041" s="115"/>
    </row>
    <row r="5042" spans="16:16">
      <c r="P5042" s="115"/>
    </row>
    <row r="5043" spans="16:16">
      <c r="P5043" s="115"/>
    </row>
    <row r="5044" spans="16:16">
      <c r="P5044" s="115"/>
    </row>
    <row r="5045" spans="16:16">
      <c r="P5045" s="115"/>
    </row>
    <row r="5046" spans="16:16">
      <c r="P5046" s="115"/>
    </row>
    <row r="5047" spans="16:16">
      <c r="P5047" s="115"/>
    </row>
    <row r="5048" spans="16:16">
      <c r="P5048" s="115"/>
    </row>
    <row r="5049" spans="16:16">
      <c r="P5049" s="115"/>
    </row>
    <row r="5050" spans="16:16">
      <c r="P5050" s="115"/>
    </row>
    <row r="5051" spans="16:16">
      <c r="P5051" s="115"/>
    </row>
    <row r="5052" spans="16:16">
      <c r="P5052" s="115"/>
    </row>
    <row r="5053" spans="16:16">
      <c r="P5053" s="115"/>
    </row>
    <row r="5054" spans="16:16">
      <c r="P5054" s="115"/>
    </row>
    <row r="5055" spans="16:16">
      <c r="P5055" s="115"/>
    </row>
    <row r="5056" spans="16:16">
      <c r="P5056" s="115"/>
    </row>
    <row r="5057" spans="16:16">
      <c r="P5057" s="115"/>
    </row>
    <row r="5058" spans="16:16">
      <c r="P5058" s="115"/>
    </row>
    <row r="5059" spans="16:16">
      <c r="P5059" s="115"/>
    </row>
    <row r="5060" spans="16:16">
      <c r="P5060" s="115"/>
    </row>
    <row r="5061" spans="16:16">
      <c r="P5061" s="115"/>
    </row>
    <row r="5062" spans="16:16">
      <c r="P5062" s="115"/>
    </row>
    <row r="5063" spans="16:16">
      <c r="P5063" s="115"/>
    </row>
    <row r="5064" spans="16:16">
      <c r="P5064" s="115"/>
    </row>
    <row r="5065" spans="16:16">
      <c r="P5065" s="115"/>
    </row>
    <row r="5066" spans="16:16">
      <c r="P5066" s="115"/>
    </row>
    <row r="5067" spans="16:16">
      <c r="P5067" s="115"/>
    </row>
    <row r="5068" spans="16:16">
      <c r="P5068" s="115"/>
    </row>
    <row r="5069" spans="16:16">
      <c r="P5069" s="115"/>
    </row>
    <row r="5070" spans="16:16">
      <c r="P5070" s="115"/>
    </row>
    <row r="5071" spans="16:16">
      <c r="P5071" s="115"/>
    </row>
    <row r="5072" spans="16:16">
      <c r="P5072" s="115"/>
    </row>
    <row r="5073" spans="16:16">
      <c r="P5073" s="115"/>
    </row>
    <row r="5074" spans="16:16">
      <c r="P5074" s="115"/>
    </row>
    <row r="5075" spans="16:16">
      <c r="P5075" s="115"/>
    </row>
    <row r="5076" spans="16:16">
      <c r="P5076" s="115"/>
    </row>
    <row r="5077" spans="16:16">
      <c r="P5077" s="115"/>
    </row>
    <row r="5078" spans="16:16">
      <c r="P5078" s="115"/>
    </row>
    <row r="5079" spans="16:16">
      <c r="P5079" s="115"/>
    </row>
    <row r="5080" spans="16:16">
      <c r="P5080" s="115"/>
    </row>
    <row r="5081" spans="16:16">
      <c r="P5081" s="115"/>
    </row>
    <row r="5082" spans="16:16">
      <c r="P5082" s="115"/>
    </row>
    <row r="5083" spans="16:16">
      <c r="P5083" s="115"/>
    </row>
    <row r="5084" spans="16:16">
      <c r="P5084" s="115"/>
    </row>
    <row r="5085" spans="16:16">
      <c r="P5085" s="115"/>
    </row>
    <row r="5086" spans="16:16">
      <c r="P5086" s="115"/>
    </row>
    <row r="5087" spans="16:16">
      <c r="P5087" s="115"/>
    </row>
    <row r="5088" spans="16:16">
      <c r="P5088" s="115"/>
    </row>
    <row r="5089" spans="16:16">
      <c r="P5089" s="115"/>
    </row>
    <row r="5090" spans="16:16">
      <c r="P5090" s="115"/>
    </row>
    <row r="5091" spans="16:16">
      <c r="P5091" s="115"/>
    </row>
    <row r="5092" spans="16:16">
      <c r="P5092" s="115"/>
    </row>
    <row r="5093" spans="16:16">
      <c r="P5093" s="115"/>
    </row>
    <row r="5094" spans="16:16">
      <c r="P5094" s="115"/>
    </row>
    <row r="5095" spans="16:16">
      <c r="P5095" s="115"/>
    </row>
    <row r="5096" spans="16:16">
      <c r="P5096" s="115"/>
    </row>
    <row r="5097" spans="16:16">
      <c r="P5097" s="115"/>
    </row>
    <row r="5098" spans="16:16">
      <c r="P5098" s="115"/>
    </row>
    <row r="5099" spans="16:16">
      <c r="P5099" s="115"/>
    </row>
    <row r="5100" spans="16:16">
      <c r="P5100" s="115"/>
    </row>
    <row r="5101" spans="16:16">
      <c r="P5101" s="115"/>
    </row>
    <row r="5102" spans="16:16">
      <c r="P5102" s="115"/>
    </row>
    <row r="5103" spans="16:16">
      <c r="P5103" s="115"/>
    </row>
    <row r="5104" spans="16:16">
      <c r="P5104" s="115"/>
    </row>
    <row r="5105" spans="16:16">
      <c r="P5105" s="115"/>
    </row>
    <row r="5106" spans="16:16">
      <c r="P5106" s="115"/>
    </row>
    <row r="5107" spans="16:16">
      <c r="P5107" s="115"/>
    </row>
    <row r="5108" spans="16:16">
      <c r="P5108" s="115"/>
    </row>
    <row r="5109" spans="16:16">
      <c r="P5109" s="115"/>
    </row>
    <row r="5110" spans="16:16">
      <c r="P5110" s="115"/>
    </row>
    <row r="5111" spans="16:16">
      <c r="P5111" s="115"/>
    </row>
    <row r="5112" spans="16:16">
      <c r="P5112" s="115"/>
    </row>
    <row r="5113" spans="16:16">
      <c r="P5113" s="115"/>
    </row>
    <row r="5114" spans="16:16">
      <c r="P5114" s="115"/>
    </row>
    <row r="5115" spans="16:16">
      <c r="P5115" s="115"/>
    </row>
    <row r="5116" spans="16:16">
      <c r="P5116" s="115"/>
    </row>
    <row r="5117" spans="16:16">
      <c r="P5117" s="115"/>
    </row>
    <row r="5118" spans="16:16">
      <c r="P5118" s="115"/>
    </row>
    <row r="5119" spans="16:16">
      <c r="P5119" s="115"/>
    </row>
    <row r="5120" spans="16:16">
      <c r="P5120" s="115"/>
    </row>
    <row r="5121" spans="16:16">
      <c r="P5121" s="115"/>
    </row>
    <row r="5122" spans="16:16">
      <c r="P5122" s="115"/>
    </row>
    <row r="5123" spans="16:16">
      <c r="P5123" s="115"/>
    </row>
    <row r="5124" spans="16:16">
      <c r="P5124" s="115"/>
    </row>
    <row r="5125" spans="16:16">
      <c r="P5125" s="115"/>
    </row>
    <row r="5126" spans="16:16">
      <c r="P5126" s="115"/>
    </row>
    <row r="5127" spans="16:16">
      <c r="P5127" s="115"/>
    </row>
    <row r="5128" spans="16:16">
      <c r="P5128" s="115"/>
    </row>
    <row r="5129" spans="16:16">
      <c r="P5129" s="115"/>
    </row>
    <row r="5130" spans="16:16">
      <c r="P5130" s="115"/>
    </row>
    <row r="5131" spans="16:16">
      <c r="P5131" s="115"/>
    </row>
    <row r="5132" spans="16:16">
      <c r="P5132" s="115"/>
    </row>
    <row r="5133" spans="16:16">
      <c r="P5133" s="115"/>
    </row>
    <row r="5134" spans="16:16">
      <c r="P5134" s="115"/>
    </row>
    <row r="5135" spans="16:16">
      <c r="P5135" s="115"/>
    </row>
    <row r="5136" spans="16:16">
      <c r="P5136" s="115"/>
    </row>
    <row r="5137" spans="16:16">
      <c r="P5137" s="115"/>
    </row>
    <row r="5138" spans="16:16">
      <c r="P5138" s="115"/>
    </row>
    <row r="5139" spans="16:16">
      <c r="P5139" s="115"/>
    </row>
    <row r="5140" spans="16:16">
      <c r="P5140" s="115"/>
    </row>
    <row r="5141" spans="16:16">
      <c r="P5141" s="115"/>
    </row>
    <row r="5142" spans="16:16">
      <c r="P5142" s="115"/>
    </row>
    <row r="5143" spans="16:16">
      <c r="P5143" s="115"/>
    </row>
    <row r="5144" spans="16:16">
      <c r="P5144" s="115"/>
    </row>
    <row r="5145" spans="16:16">
      <c r="P5145" s="115"/>
    </row>
    <row r="5146" spans="16:16">
      <c r="P5146" s="115"/>
    </row>
    <row r="5147" spans="16:16">
      <c r="P5147" s="115"/>
    </row>
    <row r="5148" spans="16:16">
      <c r="P5148" s="115"/>
    </row>
    <row r="5149" spans="16:16">
      <c r="P5149" s="115"/>
    </row>
    <row r="5150" spans="16:16">
      <c r="P5150" s="115"/>
    </row>
    <row r="5151" spans="16:16">
      <c r="P5151" s="115"/>
    </row>
    <row r="5152" spans="16:16">
      <c r="P5152" s="115"/>
    </row>
    <row r="5153" spans="16:16">
      <c r="P5153" s="115"/>
    </row>
    <row r="5154" spans="16:16">
      <c r="P5154" s="115"/>
    </row>
    <row r="5155" spans="16:16">
      <c r="P5155" s="115"/>
    </row>
    <row r="5156" spans="16:16">
      <c r="P5156" s="115"/>
    </row>
    <row r="5157" spans="16:16">
      <c r="P5157" s="115"/>
    </row>
    <row r="5158" spans="16:16">
      <c r="P5158" s="115"/>
    </row>
    <row r="5159" spans="16:16">
      <c r="P5159" s="115"/>
    </row>
    <row r="5160" spans="16:16">
      <c r="P5160" s="115"/>
    </row>
    <row r="5161" spans="16:16">
      <c r="P5161" s="115"/>
    </row>
    <row r="5162" spans="16:16">
      <c r="P5162" s="115"/>
    </row>
    <row r="5163" spans="16:16">
      <c r="P5163" s="115"/>
    </row>
    <row r="5164" spans="16:16">
      <c r="P5164" s="115"/>
    </row>
    <row r="5165" spans="16:16">
      <c r="P5165" s="115"/>
    </row>
    <row r="5166" spans="16:16">
      <c r="P5166" s="115"/>
    </row>
    <row r="5167" spans="16:16">
      <c r="P5167" s="115"/>
    </row>
    <row r="5168" spans="16:16">
      <c r="P5168" s="115"/>
    </row>
    <row r="5169" spans="16:16">
      <c r="P5169" s="115"/>
    </row>
    <row r="5170" spans="16:16">
      <c r="P5170" s="115"/>
    </row>
    <row r="5171" spans="16:16">
      <c r="P5171" s="115"/>
    </row>
    <row r="5172" spans="16:16">
      <c r="P5172" s="115"/>
    </row>
    <row r="5173" spans="16:16">
      <c r="P5173" s="115"/>
    </row>
    <row r="5174" spans="16:16">
      <c r="P5174" s="115"/>
    </row>
    <row r="5175" spans="16:16">
      <c r="P5175" s="115"/>
    </row>
    <row r="5176" spans="16:16">
      <c r="P5176" s="115"/>
    </row>
    <row r="5177" spans="16:16">
      <c r="P5177" s="115"/>
    </row>
    <row r="5178" spans="16:16">
      <c r="P5178" s="115"/>
    </row>
    <row r="5179" spans="16:16">
      <c r="P5179" s="115"/>
    </row>
    <row r="5180" spans="16:16">
      <c r="P5180" s="115"/>
    </row>
    <row r="5181" spans="16:16">
      <c r="P5181" s="115"/>
    </row>
    <row r="5182" spans="16:16">
      <c r="P5182" s="115"/>
    </row>
    <row r="5183" spans="16:16">
      <c r="P5183" s="115"/>
    </row>
    <row r="5184" spans="16:16">
      <c r="P5184" s="115"/>
    </row>
    <row r="5185" spans="16:16">
      <c r="P5185" s="115"/>
    </row>
    <row r="5186" spans="16:16">
      <c r="P5186" s="115"/>
    </row>
    <row r="5187" spans="16:16">
      <c r="P5187" s="115"/>
    </row>
    <row r="5188" spans="16:16">
      <c r="P5188" s="115"/>
    </row>
    <row r="5189" spans="16:16">
      <c r="P5189" s="115"/>
    </row>
    <row r="5190" spans="16:16">
      <c r="P5190" s="115"/>
    </row>
    <row r="5191" spans="16:16">
      <c r="P5191" s="115"/>
    </row>
    <row r="5192" spans="16:16">
      <c r="P5192" s="115"/>
    </row>
    <row r="5193" spans="16:16">
      <c r="P5193" s="115"/>
    </row>
    <row r="5194" spans="16:16">
      <c r="P5194" s="115"/>
    </row>
    <row r="5195" spans="16:16">
      <c r="P5195" s="115"/>
    </row>
    <row r="5196" spans="16:16">
      <c r="P5196" s="115"/>
    </row>
    <row r="5197" spans="16:16">
      <c r="P5197" s="115"/>
    </row>
    <row r="5198" spans="16:16">
      <c r="P5198" s="115"/>
    </row>
    <row r="5199" spans="16:16">
      <c r="P5199" s="115"/>
    </row>
    <row r="5200" spans="16:16">
      <c r="P5200" s="115"/>
    </row>
    <row r="5201" spans="16:16">
      <c r="P5201" s="115"/>
    </row>
    <row r="5202" spans="16:16">
      <c r="P5202" s="115"/>
    </row>
    <row r="5203" spans="16:16">
      <c r="P5203" s="115"/>
    </row>
    <row r="5204" spans="16:16">
      <c r="P5204" s="115"/>
    </row>
    <row r="5205" spans="16:16">
      <c r="P5205" s="115"/>
    </row>
    <row r="5206" spans="16:16">
      <c r="P5206" s="115"/>
    </row>
    <row r="5207" spans="16:16">
      <c r="P5207" s="115"/>
    </row>
    <row r="5208" spans="16:16">
      <c r="P5208" s="115"/>
    </row>
    <row r="5209" spans="16:16">
      <c r="P5209" s="115"/>
    </row>
    <row r="5210" spans="16:16">
      <c r="P5210" s="115"/>
    </row>
    <row r="5211" spans="16:16">
      <c r="P5211" s="115"/>
    </row>
    <row r="5212" spans="16:16">
      <c r="P5212" s="115"/>
    </row>
    <row r="5213" spans="16:16">
      <c r="P5213" s="115"/>
    </row>
    <row r="5214" spans="16:16">
      <c r="P5214" s="115"/>
    </row>
    <row r="5215" spans="16:16">
      <c r="P5215" s="115"/>
    </row>
    <row r="5216" spans="16:16">
      <c r="P5216" s="115"/>
    </row>
    <row r="5217" spans="16:16">
      <c r="P5217" s="115"/>
    </row>
    <row r="5218" spans="16:16">
      <c r="P5218" s="115"/>
    </row>
    <row r="5219" spans="16:16">
      <c r="P5219" s="115"/>
    </row>
    <row r="5220" spans="16:16">
      <c r="P5220" s="115"/>
    </row>
    <row r="5221" spans="16:16">
      <c r="P5221" s="115"/>
    </row>
    <row r="5222" spans="16:16">
      <c r="P5222" s="115"/>
    </row>
    <row r="5223" spans="16:16">
      <c r="P5223" s="115"/>
    </row>
    <row r="5224" spans="16:16">
      <c r="P5224" s="115"/>
    </row>
    <row r="5225" spans="16:16">
      <c r="P5225" s="115"/>
    </row>
    <row r="5226" spans="16:16">
      <c r="P5226" s="115"/>
    </row>
    <row r="5227" spans="16:16">
      <c r="P5227" s="115"/>
    </row>
    <row r="5228" spans="16:16">
      <c r="P5228" s="115"/>
    </row>
    <row r="5229" spans="16:16">
      <c r="P5229" s="115"/>
    </row>
    <row r="5230" spans="16:16">
      <c r="P5230" s="115"/>
    </row>
    <row r="5231" spans="16:16">
      <c r="P5231" s="115"/>
    </row>
    <row r="5232" spans="16:16">
      <c r="P5232" s="115"/>
    </row>
    <row r="5233" spans="16:16">
      <c r="P5233" s="115"/>
    </row>
    <row r="5234" spans="16:16">
      <c r="P5234" s="115"/>
    </row>
    <row r="5235" spans="16:16">
      <c r="P5235" s="115"/>
    </row>
    <row r="5236" spans="16:16">
      <c r="P5236" s="115"/>
    </row>
    <row r="5237" spans="16:16">
      <c r="P5237" s="115"/>
    </row>
    <row r="5238" spans="16:16">
      <c r="P5238" s="115"/>
    </row>
    <row r="5239" spans="16:16">
      <c r="P5239" s="115"/>
    </row>
    <row r="5240" spans="16:16">
      <c r="P5240" s="115"/>
    </row>
    <row r="5241" spans="16:16">
      <c r="P5241" s="115"/>
    </row>
    <row r="5242" spans="16:16">
      <c r="P5242" s="115"/>
    </row>
    <row r="5243" spans="16:16">
      <c r="P5243" s="115"/>
    </row>
    <row r="5244" spans="16:16">
      <c r="P5244" s="115"/>
    </row>
    <row r="5245" spans="16:16">
      <c r="P5245" s="115"/>
    </row>
    <row r="5246" spans="16:16">
      <c r="P5246" s="115"/>
    </row>
    <row r="5247" spans="16:16">
      <c r="P5247" s="115"/>
    </row>
    <row r="5248" spans="16:16">
      <c r="P5248" s="115"/>
    </row>
    <row r="5249" spans="16:16">
      <c r="P5249" s="115"/>
    </row>
    <row r="5250" spans="16:16">
      <c r="P5250" s="115"/>
    </row>
    <row r="5251" spans="16:16">
      <c r="P5251" s="115"/>
    </row>
    <row r="5252" spans="16:16">
      <c r="P5252" s="115"/>
    </row>
    <row r="5253" spans="16:16">
      <c r="P5253" s="115"/>
    </row>
    <row r="5254" spans="16:16">
      <c r="P5254" s="115"/>
    </row>
    <row r="5255" spans="16:16">
      <c r="P5255" s="115"/>
    </row>
    <row r="5256" spans="16:16">
      <c r="P5256" s="115"/>
    </row>
    <row r="5257" spans="16:16">
      <c r="P5257" s="115"/>
    </row>
    <row r="5258" spans="16:16">
      <c r="P5258" s="115"/>
    </row>
    <row r="5259" spans="16:16">
      <c r="P5259" s="115"/>
    </row>
    <row r="5260" spans="16:16">
      <c r="P5260" s="115"/>
    </row>
    <row r="5261" spans="16:16">
      <c r="P5261" s="115"/>
    </row>
    <row r="5262" spans="16:16">
      <c r="P5262" s="115"/>
    </row>
    <row r="5263" spans="16:16">
      <c r="P5263" s="115"/>
    </row>
    <row r="5264" spans="16:16">
      <c r="P5264" s="115"/>
    </row>
    <row r="5265" spans="16:16">
      <c r="P5265" s="115"/>
    </row>
    <row r="5266" spans="16:16">
      <c r="P5266" s="115"/>
    </row>
    <row r="5267" spans="16:16">
      <c r="P5267" s="115"/>
    </row>
    <row r="5268" spans="16:16">
      <c r="P5268" s="115"/>
    </row>
    <row r="5269" spans="16:16">
      <c r="P5269" s="115"/>
    </row>
    <row r="5270" spans="16:16">
      <c r="P5270" s="115"/>
    </row>
    <row r="5271" spans="16:16">
      <c r="P5271" s="115"/>
    </row>
    <row r="5272" spans="16:16">
      <c r="P5272" s="115"/>
    </row>
    <row r="5273" spans="16:16">
      <c r="P5273" s="115"/>
    </row>
    <row r="5274" spans="16:16">
      <c r="P5274" s="115"/>
    </row>
    <row r="5275" spans="16:16">
      <c r="P5275" s="115"/>
    </row>
    <row r="5276" spans="16:16">
      <c r="P5276" s="115"/>
    </row>
    <row r="5277" spans="16:16">
      <c r="P5277" s="115"/>
    </row>
    <row r="5278" spans="16:16">
      <c r="P5278" s="115"/>
    </row>
    <row r="5279" spans="16:16">
      <c r="P5279" s="115"/>
    </row>
    <row r="5280" spans="16:16">
      <c r="P5280" s="115"/>
    </row>
    <row r="5281" spans="16:16">
      <c r="P5281" s="115"/>
    </row>
    <row r="5282" spans="16:16">
      <c r="P5282" s="115"/>
    </row>
    <row r="5283" spans="16:16">
      <c r="P5283" s="115"/>
    </row>
    <row r="5284" spans="16:16">
      <c r="P5284" s="115"/>
    </row>
    <row r="5285" spans="16:16">
      <c r="P5285" s="115"/>
    </row>
    <row r="5286" spans="16:16">
      <c r="P5286" s="115"/>
    </row>
    <row r="5287" spans="16:16">
      <c r="P5287" s="115"/>
    </row>
    <row r="5288" spans="16:16">
      <c r="P5288" s="115"/>
    </row>
    <row r="5289" spans="16:16">
      <c r="P5289" s="115"/>
    </row>
    <row r="5290" spans="16:16">
      <c r="P5290" s="115"/>
    </row>
    <row r="5291" spans="16:16">
      <c r="P5291" s="115"/>
    </row>
    <row r="5292" spans="16:16">
      <c r="P5292" s="115"/>
    </row>
    <row r="5293" spans="16:16">
      <c r="P5293" s="115"/>
    </row>
    <row r="5294" spans="16:16">
      <c r="P5294" s="115"/>
    </row>
    <row r="5295" spans="16:16">
      <c r="P5295" s="115"/>
    </row>
    <row r="5296" spans="16:16">
      <c r="P5296" s="115"/>
    </row>
    <row r="5297" spans="16:16">
      <c r="P5297" s="115"/>
    </row>
    <row r="5298" spans="16:16">
      <c r="P5298" s="115"/>
    </row>
    <row r="5299" spans="16:16">
      <c r="P5299" s="115"/>
    </row>
    <row r="5300" spans="16:16">
      <c r="P5300" s="115"/>
    </row>
    <row r="5301" spans="16:16">
      <c r="P5301" s="115"/>
    </row>
    <row r="5302" spans="16:16">
      <c r="P5302" s="115"/>
    </row>
    <row r="5303" spans="16:16">
      <c r="P5303" s="115"/>
    </row>
    <row r="5304" spans="16:16">
      <c r="P5304" s="115"/>
    </row>
    <row r="5305" spans="16:16">
      <c r="P5305" s="115"/>
    </row>
    <row r="5306" spans="16:16">
      <c r="P5306" s="115"/>
    </row>
    <row r="5307" spans="16:16">
      <c r="P5307" s="115"/>
    </row>
    <row r="5308" spans="16:16">
      <c r="P5308" s="115"/>
    </row>
    <row r="5309" spans="16:16">
      <c r="P5309" s="115"/>
    </row>
    <row r="5310" spans="16:16">
      <c r="P5310" s="115"/>
    </row>
    <row r="5311" spans="16:16">
      <c r="P5311" s="115"/>
    </row>
    <row r="5312" spans="16:16">
      <c r="P5312" s="115"/>
    </row>
    <row r="5313" spans="16:16">
      <c r="P5313" s="115"/>
    </row>
    <row r="5314" spans="16:16">
      <c r="P5314" s="115"/>
    </row>
    <row r="5315" spans="16:16">
      <c r="P5315" s="115"/>
    </row>
    <row r="5316" spans="16:16">
      <c r="P5316" s="115"/>
    </row>
    <row r="5317" spans="16:16">
      <c r="P5317" s="115"/>
    </row>
    <row r="5318" spans="16:16">
      <c r="P5318" s="115"/>
    </row>
    <row r="5319" spans="16:16">
      <c r="P5319" s="115"/>
    </row>
    <row r="5320" spans="16:16">
      <c r="P5320" s="115"/>
    </row>
    <row r="5321" spans="16:16">
      <c r="P5321" s="115"/>
    </row>
    <row r="5322" spans="16:16">
      <c r="P5322" s="115"/>
    </row>
    <row r="5323" spans="16:16">
      <c r="P5323" s="115"/>
    </row>
    <row r="5324" spans="16:16">
      <c r="P5324" s="115"/>
    </row>
    <row r="5325" spans="16:16">
      <c r="P5325" s="115"/>
    </row>
    <row r="5326" spans="16:16">
      <c r="P5326" s="115"/>
    </row>
    <row r="5327" spans="16:16">
      <c r="P5327" s="115"/>
    </row>
    <row r="5328" spans="16:16">
      <c r="P5328" s="115"/>
    </row>
    <row r="5329" spans="16:16">
      <c r="P5329" s="115"/>
    </row>
    <row r="5330" spans="16:16">
      <c r="P5330" s="115"/>
    </row>
    <row r="5331" spans="16:16">
      <c r="P5331" s="115"/>
    </row>
    <row r="5332" spans="16:16">
      <c r="P5332" s="115"/>
    </row>
    <row r="5333" spans="16:16">
      <c r="P5333" s="115"/>
    </row>
    <row r="5334" spans="16:16">
      <c r="P5334" s="115"/>
    </row>
    <row r="5335" spans="16:16">
      <c r="P5335" s="115"/>
    </row>
    <row r="5336" spans="16:16">
      <c r="P5336" s="115"/>
    </row>
    <row r="5337" spans="16:16">
      <c r="P5337" s="115"/>
    </row>
    <row r="5338" spans="16:16">
      <c r="P5338" s="115"/>
    </row>
    <row r="5339" spans="16:16">
      <c r="P5339" s="115"/>
    </row>
    <row r="5340" spans="16:16">
      <c r="P5340" s="115"/>
    </row>
    <row r="5341" spans="16:16">
      <c r="P5341" s="115"/>
    </row>
    <row r="5342" spans="16:16">
      <c r="P5342" s="115"/>
    </row>
    <row r="5343" spans="16:16">
      <c r="P5343" s="115"/>
    </row>
    <row r="5344" spans="16:16">
      <c r="P5344" s="115"/>
    </row>
    <row r="5345" spans="16:16">
      <c r="P5345" s="115"/>
    </row>
    <row r="5346" spans="16:16">
      <c r="P5346" s="115"/>
    </row>
    <row r="5347" spans="16:16">
      <c r="P5347" s="115"/>
    </row>
    <row r="5348" spans="16:16">
      <c r="P5348" s="115"/>
    </row>
    <row r="5349" spans="16:16">
      <c r="P5349" s="115"/>
    </row>
    <row r="5350" spans="16:16">
      <c r="P5350" s="115"/>
    </row>
    <row r="5351" spans="16:16">
      <c r="P5351" s="115"/>
    </row>
    <row r="5352" spans="16:16">
      <c r="P5352" s="115"/>
    </row>
    <row r="5353" spans="16:16">
      <c r="P5353" s="115"/>
    </row>
    <row r="5354" spans="16:16">
      <c r="P5354" s="115"/>
    </row>
    <row r="5355" spans="16:16">
      <c r="P5355" s="115"/>
    </row>
    <row r="5356" spans="16:16">
      <c r="P5356" s="115"/>
    </row>
    <row r="5357" spans="16:16">
      <c r="P5357" s="115"/>
    </row>
    <row r="5358" spans="16:16">
      <c r="P5358" s="115"/>
    </row>
    <row r="5359" spans="16:16">
      <c r="P5359" s="115"/>
    </row>
    <row r="5360" spans="16:16">
      <c r="P5360" s="115"/>
    </row>
    <row r="5361" spans="16:16">
      <c r="P5361" s="115"/>
    </row>
    <row r="5362" spans="16:16">
      <c r="P5362" s="115"/>
    </row>
    <row r="5363" spans="16:16">
      <c r="P5363" s="115"/>
    </row>
    <row r="5364" spans="16:16">
      <c r="P5364" s="115"/>
    </row>
    <row r="5365" spans="16:16">
      <c r="P5365" s="115"/>
    </row>
    <row r="5366" spans="16:16">
      <c r="P5366" s="115"/>
    </row>
    <row r="5367" spans="16:16">
      <c r="P5367" s="115"/>
    </row>
    <row r="5368" spans="16:16">
      <c r="P5368" s="115"/>
    </row>
    <row r="5369" spans="16:16">
      <c r="P5369" s="115"/>
    </row>
    <row r="5370" spans="16:16">
      <c r="P5370" s="115"/>
    </row>
    <row r="5371" spans="16:16">
      <c r="P5371" s="115"/>
    </row>
    <row r="5372" spans="16:16">
      <c r="P5372" s="115"/>
    </row>
    <row r="5373" spans="16:16">
      <c r="P5373" s="115"/>
    </row>
    <row r="5374" spans="16:16">
      <c r="P5374" s="115"/>
    </row>
    <row r="5375" spans="16:16">
      <c r="P5375" s="115"/>
    </row>
    <row r="5376" spans="16:16">
      <c r="P5376" s="115"/>
    </row>
    <row r="5377" spans="16:16">
      <c r="P5377" s="115"/>
    </row>
    <row r="5378" spans="16:16">
      <c r="P5378" s="115"/>
    </row>
    <row r="5379" spans="16:16">
      <c r="P5379" s="115"/>
    </row>
    <row r="5380" spans="16:16">
      <c r="P5380" s="115"/>
    </row>
    <row r="5381" spans="16:16">
      <c r="P5381" s="115"/>
    </row>
    <row r="5382" spans="16:16">
      <c r="P5382" s="115"/>
    </row>
    <row r="5383" spans="16:16">
      <c r="P5383" s="115"/>
    </row>
    <row r="5384" spans="16:16">
      <c r="P5384" s="115"/>
    </row>
    <row r="5385" spans="16:16">
      <c r="P5385" s="115"/>
    </row>
    <row r="5386" spans="16:16">
      <c r="P5386" s="115"/>
    </row>
    <row r="5387" spans="16:16">
      <c r="P5387" s="115"/>
    </row>
    <row r="5388" spans="16:16">
      <c r="P5388" s="115"/>
    </row>
    <row r="5389" spans="16:16">
      <c r="P5389" s="115"/>
    </row>
    <row r="5390" spans="16:16">
      <c r="P5390" s="115"/>
    </row>
    <row r="5391" spans="16:16">
      <c r="P5391" s="115"/>
    </row>
    <row r="5392" spans="16:16">
      <c r="P5392" s="115"/>
    </row>
    <row r="5393" spans="16:16">
      <c r="P5393" s="115"/>
    </row>
    <row r="5394" spans="16:16">
      <c r="P5394" s="115"/>
    </row>
    <row r="5395" spans="16:16">
      <c r="P5395" s="115"/>
    </row>
    <row r="5396" spans="16:16">
      <c r="P5396" s="115"/>
    </row>
    <row r="5397" spans="16:16">
      <c r="P5397" s="115"/>
    </row>
    <row r="5398" spans="16:16">
      <c r="P5398" s="115"/>
    </row>
    <row r="5399" spans="16:16">
      <c r="P5399" s="115"/>
    </row>
    <row r="5400" spans="16:16">
      <c r="P5400" s="115"/>
    </row>
    <row r="5401" spans="16:16">
      <c r="P5401" s="115"/>
    </row>
    <row r="5402" spans="16:16">
      <c r="P5402" s="115"/>
    </row>
    <row r="5403" spans="16:16">
      <c r="P5403" s="115"/>
    </row>
    <row r="5404" spans="16:16">
      <c r="P5404" s="115"/>
    </row>
    <row r="5405" spans="16:16">
      <c r="P5405" s="115"/>
    </row>
    <row r="5406" spans="16:16">
      <c r="P5406" s="115"/>
    </row>
    <row r="5407" spans="16:16">
      <c r="P5407" s="115"/>
    </row>
    <row r="5408" spans="16:16">
      <c r="P5408" s="115"/>
    </row>
    <row r="5409" spans="16:16">
      <c r="P5409" s="115"/>
    </row>
    <row r="5410" spans="16:16">
      <c r="P5410" s="115"/>
    </row>
    <row r="5411" spans="16:16">
      <c r="P5411" s="115"/>
    </row>
    <row r="5412" spans="16:16">
      <c r="P5412" s="115"/>
    </row>
    <row r="5413" spans="16:16">
      <c r="P5413" s="115"/>
    </row>
    <row r="5414" spans="16:16">
      <c r="P5414" s="115"/>
    </row>
    <row r="5415" spans="16:16">
      <c r="P5415" s="115"/>
    </row>
    <row r="5416" spans="16:16">
      <c r="P5416" s="115"/>
    </row>
    <row r="5417" spans="16:16">
      <c r="P5417" s="115"/>
    </row>
    <row r="5418" spans="16:16">
      <c r="P5418" s="115"/>
    </row>
    <row r="5419" spans="16:16">
      <c r="P5419" s="115"/>
    </row>
    <row r="5420" spans="16:16">
      <c r="P5420" s="115"/>
    </row>
    <row r="5421" spans="16:16">
      <c r="P5421" s="115"/>
    </row>
    <row r="5422" spans="16:16">
      <c r="P5422" s="115"/>
    </row>
    <row r="5423" spans="16:16">
      <c r="P5423" s="115"/>
    </row>
    <row r="5424" spans="16:16">
      <c r="P5424" s="115"/>
    </row>
    <row r="5425" spans="16:16">
      <c r="P5425" s="115"/>
    </row>
    <row r="5426" spans="16:16">
      <c r="P5426" s="115"/>
    </row>
    <row r="5427" spans="16:16">
      <c r="P5427" s="115"/>
    </row>
    <row r="5428" spans="16:16">
      <c r="P5428" s="115"/>
    </row>
    <row r="5429" spans="16:16">
      <c r="P5429" s="115"/>
    </row>
    <row r="5430" spans="16:16">
      <c r="P5430" s="115"/>
    </row>
    <row r="5431" spans="16:16">
      <c r="P5431" s="115"/>
    </row>
    <row r="5432" spans="16:16">
      <c r="P5432" s="115"/>
    </row>
    <row r="5433" spans="16:16">
      <c r="P5433" s="115"/>
    </row>
    <row r="5434" spans="16:16">
      <c r="P5434" s="115"/>
    </row>
    <row r="5435" spans="16:16">
      <c r="P5435" s="115"/>
    </row>
    <row r="5436" spans="16:16">
      <c r="P5436" s="115"/>
    </row>
    <row r="5437" spans="16:16">
      <c r="P5437" s="115"/>
    </row>
    <row r="5438" spans="16:16">
      <c r="P5438" s="115"/>
    </row>
    <row r="5439" spans="16:16">
      <c r="P5439" s="115"/>
    </row>
    <row r="5440" spans="16:16">
      <c r="P5440" s="115"/>
    </row>
    <row r="5441" spans="16:16">
      <c r="P5441" s="115"/>
    </row>
    <row r="5442" spans="16:16">
      <c r="P5442" s="115"/>
    </row>
    <row r="5443" spans="16:16">
      <c r="P5443" s="115"/>
    </row>
    <row r="5444" spans="16:16">
      <c r="P5444" s="115"/>
    </row>
    <row r="5445" spans="16:16">
      <c r="P5445" s="115"/>
    </row>
    <row r="5446" spans="16:16">
      <c r="P5446" s="115"/>
    </row>
    <row r="5447" spans="16:16">
      <c r="P5447" s="115"/>
    </row>
    <row r="5448" spans="16:16">
      <c r="P5448" s="115"/>
    </row>
    <row r="5449" spans="16:16">
      <c r="P5449" s="115"/>
    </row>
    <row r="5450" spans="16:16">
      <c r="P5450" s="115"/>
    </row>
    <row r="5451" spans="16:16">
      <c r="P5451" s="115"/>
    </row>
    <row r="5452" spans="16:16">
      <c r="P5452" s="115"/>
    </row>
    <row r="5453" spans="16:16">
      <c r="P5453" s="115"/>
    </row>
    <row r="5454" spans="16:16">
      <c r="P5454" s="115"/>
    </row>
    <row r="5455" spans="16:16">
      <c r="P5455" s="115"/>
    </row>
    <row r="5456" spans="16:16">
      <c r="P5456" s="115"/>
    </row>
    <row r="5457" spans="16:16">
      <c r="P5457" s="115"/>
    </row>
    <row r="5458" spans="16:16">
      <c r="P5458" s="115"/>
    </row>
    <row r="5459" spans="16:16">
      <c r="P5459" s="115"/>
    </row>
    <row r="5460" spans="16:16">
      <c r="P5460" s="115"/>
    </row>
    <row r="5461" spans="16:16">
      <c r="P5461" s="115"/>
    </row>
    <row r="5462" spans="16:16">
      <c r="P5462" s="115"/>
    </row>
    <row r="5463" spans="16:16">
      <c r="P5463" s="115"/>
    </row>
    <row r="5464" spans="16:16">
      <c r="P5464" s="115"/>
    </row>
    <row r="5465" spans="16:16">
      <c r="P5465" s="115"/>
    </row>
    <row r="5466" spans="16:16">
      <c r="P5466" s="115"/>
    </row>
    <row r="5467" spans="16:16">
      <c r="P5467" s="115"/>
    </row>
    <row r="5468" spans="16:16">
      <c r="P5468" s="115"/>
    </row>
    <row r="5469" spans="16:16">
      <c r="P5469" s="115"/>
    </row>
    <row r="5470" spans="16:16">
      <c r="P5470" s="115"/>
    </row>
    <row r="5471" spans="16:16">
      <c r="P5471" s="115"/>
    </row>
    <row r="5472" spans="16:16">
      <c r="P5472" s="115"/>
    </row>
    <row r="5473" spans="16:16">
      <c r="P5473" s="115"/>
    </row>
    <row r="5474" spans="16:16">
      <c r="P5474" s="115"/>
    </row>
    <row r="5475" spans="16:16">
      <c r="P5475" s="115"/>
    </row>
    <row r="5476" spans="16:16">
      <c r="P5476" s="115"/>
    </row>
    <row r="5477" spans="16:16">
      <c r="P5477" s="115"/>
    </row>
    <row r="5478" spans="16:16">
      <c r="P5478" s="115"/>
    </row>
    <row r="5479" spans="16:16">
      <c r="P5479" s="115"/>
    </row>
    <row r="5480" spans="16:16">
      <c r="P5480" s="115"/>
    </row>
    <row r="5481" spans="16:16">
      <c r="P5481" s="115"/>
    </row>
    <row r="5482" spans="16:16">
      <c r="P5482" s="115"/>
    </row>
    <row r="5483" spans="16:16">
      <c r="P5483" s="115"/>
    </row>
    <row r="5484" spans="16:16">
      <c r="P5484" s="115"/>
    </row>
    <row r="5485" spans="16:16">
      <c r="P5485" s="115"/>
    </row>
    <row r="5486" spans="16:16">
      <c r="P5486" s="115"/>
    </row>
    <row r="5487" spans="16:16">
      <c r="P5487" s="115"/>
    </row>
    <row r="5488" spans="16:16">
      <c r="P5488" s="115"/>
    </row>
    <row r="5489" spans="16:16">
      <c r="P5489" s="115"/>
    </row>
    <row r="5490" spans="16:16">
      <c r="P5490" s="115"/>
    </row>
    <row r="5491" spans="16:16">
      <c r="P5491" s="115"/>
    </row>
    <row r="5492" spans="16:16">
      <c r="P5492" s="115"/>
    </row>
    <row r="5493" spans="16:16">
      <c r="P5493" s="115"/>
    </row>
    <row r="5494" spans="16:16">
      <c r="P5494" s="115"/>
    </row>
    <row r="5495" spans="16:16">
      <c r="P5495" s="115"/>
    </row>
    <row r="5496" spans="16:16">
      <c r="P5496" s="115"/>
    </row>
    <row r="5497" spans="16:16">
      <c r="P5497" s="115"/>
    </row>
    <row r="5498" spans="16:16">
      <c r="P5498" s="115"/>
    </row>
    <row r="5499" spans="16:16">
      <c r="P5499" s="115"/>
    </row>
    <row r="5500" spans="16:16">
      <c r="P5500" s="115"/>
    </row>
    <row r="5501" spans="16:16">
      <c r="P5501" s="115"/>
    </row>
    <row r="5502" spans="16:16">
      <c r="P5502" s="115"/>
    </row>
    <row r="5503" spans="16:16">
      <c r="P5503" s="115"/>
    </row>
    <row r="5504" spans="16:16">
      <c r="P5504" s="115"/>
    </row>
    <row r="5505" spans="16:16">
      <c r="P5505" s="115"/>
    </row>
    <row r="5506" spans="16:16">
      <c r="P5506" s="115"/>
    </row>
    <row r="5507" spans="16:16">
      <c r="P5507" s="115"/>
    </row>
    <row r="5508" spans="16:16">
      <c r="P5508" s="115"/>
    </row>
    <row r="5509" spans="16:16">
      <c r="P5509" s="115"/>
    </row>
    <row r="5510" spans="16:16">
      <c r="P5510" s="115"/>
    </row>
    <row r="5511" spans="16:16">
      <c r="P5511" s="115"/>
    </row>
    <row r="5512" spans="16:16">
      <c r="P5512" s="115"/>
    </row>
    <row r="5513" spans="16:16">
      <c r="P5513" s="115"/>
    </row>
    <row r="5514" spans="16:16">
      <c r="P5514" s="115"/>
    </row>
    <row r="5515" spans="16:16">
      <c r="P5515" s="115"/>
    </row>
    <row r="5516" spans="16:16">
      <c r="P5516" s="115"/>
    </row>
    <row r="5517" spans="16:16">
      <c r="P5517" s="115"/>
    </row>
    <row r="5518" spans="16:16">
      <c r="P5518" s="115"/>
    </row>
    <row r="5519" spans="16:16">
      <c r="P5519" s="115"/>
    </row>
    <row r="5520" spans="16:16">
      <c r="P5520" s="115"/>
    </row>
    <row r="5521" spans="16:16">
      <c r="P5521" s="115"/>
    </row>
    <row r="5522" spans="16:16">
      <c r="P5522" s="115"/>
    </row>
    <row r="5523" spans="16:16">
      <c r="P5523" s="115"/>
    </row>
    <row r="5524" spans="16:16">
      <c r="P5524" s="115"/>
    </row>
    <row r="5525" spans="16:16">
      <c r="P5525" s="115"/>
    </row>
    <row r="5526" spans="16:16">
      <c r="P5526" s="115"/>
    </row>
    <row r="5527" spans="16:16">
      <c r="P5527" s="115"/>
    </row>
    <row r="5528" spans="16:16">
      <c r="P5528" s="115"/>
    </row>
    <row r="5529" spans="16:16">
      <c r="P5529" s="115"/>
    </row>
    <row r="5530" spans="16:16">
      <c r="P5530" s="115"/>
    </row>
    <row r="5531" spans="16:16">
      <c r="P5531" s="115"/>
    </row>
    <row r="5532" spans="16:16">
      <c r="P5532" s="115"/>
    </row>
    <row r="5533" spans="16:16">
      <c r="P5533" s="115"/>
    </row>
    <row r="5534" spans="16:16">
      <c r="P5534" s="115"/>
    </row>
    <row r="5535" spans="16:16">
      <c r="P5535" s="115"/>
    </row>
    <row r="5536" spans="16:16">
      <c r="P5536" s="115"/>
    </row>
    <row r="5537" spans="16:16">
      <c r="P5537" s="115"/>
    </row>
    <row r="5538" spans="16:16">
      <c r="P5538" s="115"/>
    </row>
    <row r="5539" spans="16:16">
      <c r="P5539" s="115"/>
    </row>
    <row r="5540" spans="16:16">
      <c r="P5540" s="115"/>
    </row>
    <row r="5541" spans="16:16">
      <c r="P5541" s="115"/>
    </row>
    <row r="5542" spans="16:16">
      <c r="P5542" s="115"/>
    </row>
    <row r="5543" spans="16:16">
      <c r="P5543" s="115"/>
    </row>
    <row r="5544" spans="16:16">
      <c r="P5544" s="115"/>
    </row>
    <row r="5545" spans="16:16">
      <c r="P5545" s="115"/>
    </row>
    <row r="5546" spans="16:16">
      <c r="P5546" s="115"/>
    </row>
    <row r="5547" spans="16:16">
      <c r="P5547" s="115"/>
    </row>
    <row r="5548" spans="16:16">
      <c r="P5548" s="115"/>
    </row>
    <row r="5549" spans="16:16">
      <c r="P5549" s="115"/>
    </row>
    <row r="5550" spans="16:16">
      <c r="P5550" s="115"/>
    </row>
    <row r="5551" spans="16:16">
      <c r="P5551" s="115"/>
    </row>
    <row r="5552" spans="16:16">
      <c r="P5552" s="115"/>
    </row>
    <row r="5553" spans="16:16">
      <c r="P5553" s="115"/>
    </row>
    <row r="5554" spans="16:16">
      <c r="P5554" s="115"/>
    </row>
    <row r="5555" spans="16:16">
      <c r="P5555" s="115"/>
    </row>
    <row r="5556" spans="16:16">
      <c r="P5556" s="115"/>
    </row>
    <row r="5557" spans="16:16">
      <c r="P5557" s="115"/>
    </row>
    <row r="5558" spans="16:16">
      <c r="P5558" s="115"/>
    </row>
    <row r="5559" spans="16:16">
      <c r="P5559" s="115"/>
    </row>
    <row r="5560" spans="16:16">
      <c r="P5560" s="115"/>
    </row>
    <row r="5561" spans="16:16">
      <c r="P5561" s="115"/>
    </row>
    <row r="5562" spans="16:16">
      <c r="P5562" s="115"/>
    </row>
    <row r="5563" spans="16:16">
      <c r="P5563" s="115"/>
    </row>
    <row r="5564" spans="16:16">
      <c r="P5564" s="115"/>
    </row>
    <row r="5565" spans="16:16">
      <c r="P5565" s="115"/>
    </row>
    <row r="5566" spans="16:16">
      <c r="P5566" s="115"/>
    </row>
    <row r="5567" spans="16:16">
      <c r="P5567" s="115"/>
    </row>
    <row r="5568" spans="16:16">
      <c r="P5568" s="115"/>
    </row>
    <row r="5569" spans="16:16">
      <c r="P5569" s="115"/>
    </row>
    <row r="5570" spans="16:16">
      <c r="P5570" s="115"/>
    </row>
    <row r="5571" spans="16:16">
      <c r="P5571" s="115"/>
    </row>
    <row r="5572" spans="16:16">
      <c r="P5572" s="115"/>
    </row>
    <row r="5573" spans="16:16">
      <c r="P5573" s="115"/>
    </row>
    <row r="5574" spans="16:16">
      <c r="P5574" s="115"/>
    </row>
    <row r="5575" spans="16:16">
      <c r="P5575" s="115"/>
    </row>
    <row r="5576" spans="16:16">
      <c r="P5576" s="115"/>
    </row>
    <row r="5577" spans="16:16">
      <c r="P5577" s="115"/>
    </row>
    <row r="5578" spans="16:16">
      <c r="P5578" s="115"/>
    </row>
    <row r="5579" spans="16:16">
      <c r="P5579" s="115"/>
    </row>
    <row r="5580" spans="16:16">
      <c r="P5580" s="115"/>
    </row>
    <row r="5581" spans="16:16">
      <c r="P5581" s="115"/>
    </row>
    <row r="5582" spans="16:16">
      <c r="P5582" s="115"/>
    </row>
    <row r="5583" spans="16:16">
      <c r="P5583" s="115"/>
    </row>
    <row r="5584" spans="16:16">
      <c r="P5584" s="115"/>
    </row>
    <row r="5585" spans="16:16">
      <c r="P5585" s="115"/>
    </row>
    <row r="5586" spans="16:16">
      <c r="P5586" s="115"/>
    </row>
    <row r="5587" spans="16:16">
      <c r="P5587" s="115"/>
    </row>
    <row r="5588" spans="16:16">
      <c r="P5588" s="115"/>
    </row>
    <row r="5589" spans="16:16">
      <c r="P5589" s="115"/>
    </row>
    <row r="5590" spans="16:16">
      <c r="P5590" s="115"/>
    </row>
    <row r="5591" spans="16:16">
      <c r="P5591" s="115"/>
    </row>
    <row r="5592" spans="16:16">
      <c r="P5592" s="115"/>
    </row>
    <row r="5593" spans="16:16">
      <c r="P5593" s="115"/>
    </row>
    <row r="5594" spans="16:16">
      <c r="P5594" s="115"/>
    </row>
    <row r="5595" spans="16:16">
      <c r="P5595" s="115"/>
    </row>
    <row r="5596" spans="16:16">
      <c r="P5596" s="115"/>
    </row>
    <row r="5597" spans="16:16">
      <c r="P5597" s="115"/>
    </row>
    <row r="5598" spans="16:16">
      <c r="P5598" s="115"/>
    </row>
    <row r="5599" spans="16:16">
      <c r="P5599" s="115"/>
    </row>
    <row r="5600" spans="16:16">
      <c r="P5600" s="115"/>
    </row>
    <row r="5601" spans="16:16">
      <c r="P5601" s="115"/>
    </row>
    <row r="5602" spans="16:16">
      <c r="P5602" s="115"/>
    </row>
    <row r="5603" spans="16:16">
      <c r="P5603" s="115"/>
    </row>
    <row r="5604" spans="16:16">
      <c r="P5604" s="115"/>
    </row>
    <row r="5605" spans="16:16">
      <c r="P5605" s="115"/>
    </row>
    <row r="5606" spans="16:16">
      <c r="P5606" s="115"/>
    </row>
    <row r="5607" spans="16:16">
      <c r="P5607" s="115"/>
    </row>
    <row r="5608" spans="16:16">
      <c r="P5608" s="115"/>
    </row>
    <row r="5609" spans="16:16">
      <c r="P5609" s="115"/>
    </row>
    <row r="5610" spans="16:16">
      <c r="P5610" s="115"/>
    </row>
    <row r="5611" spans="16:16">
      <c r="P5611" s="115"/>
    </row>
    <row r="5612" spans="16:16">
      <c r="P5612" s="115"/>
    </row>
    <row r="5613" spans="16:16">
      <c r="P5613" s="115"/>
    </row>
    <row r="5614" spans="16:16">
      <c r="P5614" s="115"/>
    </row>
    <row r="5615" spans="16:16">
      <c r="P5615" s="115"/>
    </row>
    <row r="5616" spans="16:16">
      <c r="P5616" s="115"/>
    </row>
    <row r="5617" spans="16:16">
      <c r="P5617" s="115"/>
    </row>
    <row r="5618" spans="16:16">
      <c r="P5618" s="115"/>
    </row>
    <row r="5619" spans="16:16">
      <c r="P5619" s="115"/>
    </row>
    <row r="5620" spans="16:16">
      <c r="P5620" s="115"/>
    </row>
    <row r="5621" spans="16:16">
      <c r="P5621" s="115"/>
    </row>
    <row r="5622" spans="16:16">
      <c r="P5622" s="115"/>
    </row>
    <row r="5623" spans="16:16">
      <c r="P5623" s="115"/>
    </row>
    <row r="5624" spans="16:16">
      <c r="P5624" s="115"/>
    </row>
    <row r="5625" spans="16:16">
      <c r="P5625" s="115"/>
    </row>
    <row r="5626" spans="16:16">
      <c r="P5626" s="115"/>
    </row>
    <row r="5627" spans="16:16">
      <c r="P5627" s="115"/>
    </row>
    <row r="5628" spans="16:16">
      <c r="P5628" s="115"/>
    </row>
    <row r="5629" spans="16:16">
      <c r="P5629" s="115"/>
    </row>
    <row r="5630" spans="16:16">
      <c r="P5630" s="115"/>
    </row>
    <row r="5631" spans="16:16">
      <c r="P5631" s="115"/>
    </row>
    <row r="5632" spans="16:16">
      <c r="P5632" s="115"/>
    </row>
    <row r="5633" spans="16:16">
      <c r="P5633" s="115"/>
    </row>
    <row r="5634" spans="16:16">
      <c r="P5634" s="115"/>
    </row>
    <row r="5635" spans="16:16">
      <c r="P5635" s="115"/>
    </row>
    <row r="5636" spans="16:16">
      <c r="P5636" s="115"/>
    </row>
    <row r="5637" spans="16:16">
      <c r="P5637" s="115"/>
    </row>
    <row r="5638" spans="16:16">
      <c r="P5638" s="115"/>
    </row>
    <row r="5639" spans="16:16">
      <c r="P5639" s="115"/>
    </row>
    <row r="5640" spans="16:16">
      <c r="P5640" s="115"/>
    </row>
    <row r="5641" spans="16:16">
      <c r="P5641" s="115"/>
    </row>
    <row r="5642" spans="16:16">
      <c r="P5642" s="115"/>
    </row>
    <row r="5643" spans="16:16">
      <c r="P5643" s="115"/>
    </row>
    <row r="5644" spans="16:16">
      <c r="P5644" s="115"/>
    </row>
    <row r="5645" spans="16:16">
      <c r="P5645" s="115"/>
    </row>
    <row r="5646" spans="16:16">
      <c r="P5646" s="115"/>
    </row>
    <row r="5647" spans="16:16">
      <c r="P5647" s="115"/>
    </row>
    <row r="5648" spans="16:16">
      <c r="P5648" s="115"/>
    </row>
    <row r="5649" spans="16:16">
      <c r="P5649" s="115"/>
    </row>
    <row r="5650" spans="16:16">
      <c r="P5650" s="115"/>
    </row>
    <row r="5651" spans="16:16">
      <c r="P5651" s="115"/>
    </row>
    <row r="5652" spans="16:16">
      <c r="P5652" s="115"/>
    </row>
    <row r="5653" spans="16:16">
      <c r="P5653" s="115"/>
    </row>
    <row r="5654" spans="16:16">
      <c r="P5654" s="115"/>
    </row>
    <row r="5655" spans="16:16">
      <c r="P5655" s="115"/>
    </row>
    <row r="5656" spans="16:16">
      <c r="P5656" s="115"/>
    </row>
    <row r="5657" spans="16:16">
      <c r="P5657" s="115"/>
    </row>
    <row r="5658" spans="16:16">
      <c r="P5658" s="115"/>
    </row>
    <row r="5659" spans="16:16">
      <c r="P5659" s="115"/>
    </row>
    <row r="5660" spans="16:16">
      <c r="P5660" s="115"/>
    </row>
    <row r="5661" spans="16:16">
      <c r="P5661" s="115"/>
    </row>
    <row r="5662" spans="16:16">
      <c r="P5662" s="115"/>
    </row>
    <row r="5663" spans="16:16">
      <c r="P5663" s="115"/>
    </row>
    <row r="5664" spans="16:16">
      <c r="P5664" s="115"/>
    </row>
    <row r="5665" spans="16:16">
      <c r="P5665" s="115"/>
    </row>
    <row r="5666" spans="16:16">
      <c r="P5666" s="115"/>
    </row>
    <row r="5667" spans="16:16">
      <c r="P5667" s="115"/>
    </row>
    <row r="5668" spans="16:16">
      <c r="P5668" s="115"/>
    </row>
    <row r="5669" spans="16:16">
      <c r="P5669" s="115"/>
    </row>
    <row r="5670" spans="16:16">
      <c r="P5670" s="115"/>
    </row>
    <row r="5671" spans="16:16">
      <c r="P5671" s="115"/>
    </row>
    <row r="5672" spans="16:16">
      <c r="P5672" s="115"/>
    </row>
    <row r="5673" spans="16:16">
      <c r="P5673" s="115"/>
    </row>
    <row r="5674" spans="16:16">
      <c r="P5674" s="115"/>
    </row>
    <row r="5675" spans="16:16">
      <c r="P5675" s="115"/>
    </row>
    <row r="5676" spans="16:16">
      <c r="P5676" s="115"/>
    </row>
    <row r="5677" spans="16:16">
      <c r="P5677" s="115"/>
    </row>
    <row r="5678" spans="16:16">
      <c r="P5678" s="115"/>
    </row>
    <row r="5679" spans="16:16">
      <c r="P5679" s="115"/>
    </row>
    <row r="5680" spans="16:16">
      <c r="P5680" s="115"/>
    </row>
    <row r="5681" spans="16:16">
      <c r="P5681" s="115"/>
    </row>
    <row r="5682" spans="16:16">
      <c r="P5682" s="115"/>
    </row>
    <row r="5683" spans="16:16">
      <c r="P5683" s="115"/>
    </row>
    <row r="5684" spans="16:16">
      <c r="P5684" s="115"/>
    </row>
    <row r="5685" spans="16:16">
      <c r="P5685" s="115"/>
    </row>
    <row r="5686" spans="16:16">
      <c r="P5686" s="115"/>
    </row>
    <row r="5687" spans="16:16">
      <c r="P5687" s="115"/>
    </row>
    <row r="5688" spans="16:16">
      <c r="P5688" s="115"/>
    </row>
    <row r="5689" spans="16:16">
      <c r="P5689" s="115"/>
    </row>
    <row r="5690" spans="16:16">
      <c r="P5690" s="115"/>
    </row>
    <row r="5691" spans="16:16">
      <c r="P5691" s="115"/>
    </row>
    <row r="5692" spans="16:16">
      <c r="P5692" s="115"/>
    </row>
    <row r="5693" spans="16:16">
      <c r="P5693" s="115"/>
    </row>
    <row r="5694" spans="16:16">
      <c r="P5694" s="115"/>
    </row>
    <row r="5695" spans="16:16">
      <c r="P5695" s="115"/>
    </row>
    <row r="5696" spans="16:16">
      <c r="P5696" s="115"/>
    </row>
    <row r="5697" spans="16:16">
      <c r="P5697" s="115"/>
    </row>
    <row r="5698" spans="16:16">
      <c r="P5698" s="115"/>
    </row>
    <row r="5699" spans="16:16">
      <c r="P5699" s="115"/>
    </row>
    <row r="5700" spans="16:16">
      <c r="P5700" s="115"/>
    </row>
    <row r="5701" spans="16:16">
      <c r="P5701" s="115"/>
    </row>
    <row r="5702" spans="16:16">
      <c r="P5702" s="115"/>
    </row>
    <row r="5703" spans="16:16">
      <c r="P5703" s="115"/>
    </row>
    <row r="5704" spans="16:16">
      <c r="P5704" s="115"/>
    </row>
    <row r="5705" spans="16:16">
      <c r="P5705" s="115"/>
    </row>
    <row r="5706" spans="16:16">
      <c r="P5706" s="115"/>
    </row>
    <row r="5707" spans="16:16">
      <c r="P5707" s="115"/>
    </row>
    <row r="5708" spans="16:16">
      <c r="P5708" s="115"/>
    </row>
    <row r="5709" spans="16:16">
      <c r="P5709" s="115"/>
    </row>
    <row r="5710" spans="16:16">
      <c r="P5710" s="115"/>
    </row>
    <row r="5711" spans="16:16">
      <c r="P5711" s="115"/>
    </row>
    <row r="5712" spans="16:16">
      <c r="P5712" s="115"/>
    </row>
    <row r="5713" spans="16:16">
      <c r="P5713" s="115"/>
    </row>
    <row r="5714" spans="16:16">
      <c r="P5714" s="115"/>
    </row>
    <row r="5715" spans="16:16">
      <c r="P5715" s="115"/>
    </row>
    <row r="5716" spans="16:16">
      <c r="P5716" s="115"/>
    </row>
    <row r="5717" spans="16:16">
      <c r="P5717" s="115"/>
    </row>
    <row r="5718" spans="16:16">
      <c r="P5718" s="115"/>
    </row>
    <row r="5719" spans="16:16">
      <c r="P5719" s="115"/>
    </row>
    <row r="5720" spans="16:16">
      <c r="P5720" s="115"/>
    </row>
    <row r="5721" spans="16:16">
      <c r="P5721" s="115"/>
    </row>
    <row r="5722" spans="16:16">
      <c r="P5722" s="115"/>
    </row>
    <row r="5723" spans="16:16">
      <c r="P5723" s="115"/>
    </row>
    <row r="5724" spans="16:16">
      <c r="P5724" s="115"/>
    </row>
    <row r="5725" spans="16:16">
      <c r="P5725" s="115"/>
    </row>
    <row r="5726" spans="16:16">
      <c r="P5726" s="115"/>
    </row>
    <row r="5727" spans="16:16">
      <c r="P5727" s="115"/>
    </row>
    <row r="5728" spans="16:16">
      <c r="P5728" s="115"/>
    </row>
    <row r="5729" spans="16:16">
      <c r="P5729" s="115"/>
    </row>
    <row r="5730" spans="16:16">
      <c r="P5730" s="115"/>
    </row>
    <row r="5731" spans="16:16">
      <c r="P5731" s="115"/>
    </row>
    <row r="5732" spans="16:16">
      <c r="P5732" s="115"/>
    </row>
    <row r="5733" spans="16:16">
      <c r="P5733" s="115"/>
    </row>
    <row r="5734" spans="16:16">
      <c r="P5734" s="115"/>
    </row>
    <row r="5735" spans="16:16">
      <c r="P5735" s="115"/>
    </row>
    <row r="5736" spans="16:16">
      <c r="P5736" s="115"/>
    </row>
    <row r="5737" spans="16:16">
      <c r="P5737" s="115"/>
    </row>
    <row r="5738" spans="16:16">
      <c r="P5738" s="115"/>
    </row>
    <row r="5739" spans="16:16">
      <c r="P5739" s="115"/>
    </row>
    <row r="5740" spans="16:16">
      <c r="P5740" s="115"/>
    </row>
    <row r="5741" spans="16:16">
      <c r="P5741" s="115"/>
    </row>
    <row r="5742" spans="16:16">
      <c r="P5742" s="115"/>
    </row>
    <row r="5743" spans="16:16">
      <c r="P5743" s="115"/>
    </row>
    <row r="5744" spans="16:16">
      <c r="P5744" s="115"/>
    </row>
    <row r="5745" spans="16:16">
      <c r="P5745" s="115"/>
    </row>
    <row r="5746" spans="16:16">
      <c r="P5746" s="115"/>
    </row>
    <row r="5747" spans="16:16">
      <c r="P5747" s="115"/>
    </row>
    <row r="5748" spans="16:16">
      <c r="P5748" s="115"/>
    </row>
    <row r="5749" spans="16:16">
      <c r="P5749" s="115"/>
    </row>
    <row r="5750" spans="16:16">
      <c r="P5750" s="115"/>
    </row>
    <row r="5751" spans="16:16">
      <c r="P5751" s="115"/>
    </row>
    <row r="5752" spans="16:16">
      <c r="P5752" s="115"/>
    </row>
    <row r="5753" spans="16:16">
      <c r="P5753" s="115"/>
    </row>
    <row r="5754" spans="16:16">
      <c r="P5754" s="115"/>
    </row>
    <row r="5755" spans="16:16">
      <c r="P5755" s="115"/>
    </row>
    <row r="5756" spans="16:16">
      <c r="P5756" s="115"/>
    </row>
    <row r="5757" spans="16:16">
      <c r="P5757" s="115"/>
    </row>
    <row r="5758" spans="16:16">
      <c r="P5758" s="115"/>
    </row>
    <row r="5759" spans="16:16">
      <c r="P5759" s="115"/>
    </row>
    <row r="5760" spans="16:16">
      <c r="P5760" s="115"/>
    </row>
    <row r="5761" spans="16:16">
      <c r="P5761" s="115"/>
    </row>
    <row r="5762" spans="16:16">
      <c r="P5762" s="115"/>
    </row>
    <row r="5763" spans="16:16">
      <c r="P5763" s="115"/>
    </row>
    <row r="5764" spans="16:16">
      <c r="P5764" s="115"/>
    </row>
    <row r="5765" spans="16:16">
      <c r="P5765" s="115"/>
    </row>
    <row r="5766" spans="16:16">
      <c r="P5766" s="115"/>
    </row>
    <row r="5767" spans="16:16">
      <c r="P5767" s="115"/>
    </row>
    <row r="5768" spans="16:16">
      <c r="P5768" s="115"/>
    </row>
    <row r="5769" spans="16:16">
      <c r="P5769" s="115"/>
    </row>
    <row r="5770" spans="16:16">
      <c r="P5770" s="115"/>
    </row>
    <row r="5771" spans="16:16">
      <c r="P5771" s="115"/>
    </row>
    <row r="5772" spans="16:16">
      <c r="P5772" s="115"/>
    </row>
    <row r="5773" spans="16:16">
      <c r="P5773" s="115"/>
    </row>
    <row r="5774" spans="16:16">
      <c r="P5774" s="115"/>
    </row>
    <row r="5775" spans="16:16">
      <c r="P5775" s="115"/>
    </row>
    <row r="5776" spans="16:16">
      <c r="P5776" s="115"/>
    </row>
    <row r="5777" spans="16:16">
      <c r="P5777" s="115"/>
    </row>
    <row r="5778" spans="16:16">
      <c r="P5778" s="115"/>
    </row>
    <row r="5779" spans="16:16">
      <c r="P5779" s="115"/>
    </row>
    <row r="5780" spans="16:16">
      <c r="P5780" s="115"/>
    </row>
    <row r="5781" spans="16:16">
      <c r="P5781" s="115"/>
    </row>
    <row r="5782" spans="16:16">
      <c r="P5782" s="115"/>
    </row>
    <row r="5783" spans="16:16">
      <c r="P5783" s="115"/>
    </row>
    <row r="5784" spans="16:16">
      <c r="P5784" s="115"/>
    </row>
    <row r="5785" spans="16:16">
      <c r="P5785" s="115"/>
    </row>
    <row r="5786" spans="16:16">
      <c r="P5786" s="115"/>
    </row>
    <row r="5787" spans="16:16">
      <c r="P5787" s="115"/>
    </row>
    <row r="5788" spans="16:16">
      <c r="P5788" s="115"/>
    </row>
    <row r="5789" spans="16:16">
      <c r="P5789" s="115"/>
    </row>
    <row r="5790" spans="16:16">
      <c r="P5790" s="115"/>
    </row>
    <row r="5791" spans="16:16">
      <c r="P5791" s="115"/>
    </row>
    <row r="5792" spans="16:16">
      <c r="P5792" s="115"/>
    </row>
    <row r="5793" spans="16:16">
      <c r="P5793" s="115"/>
    </row>
    <row r="5794" spans="16:16">
      <c r="P5794" s="115"/>
    </row>
    <row r="5795" spans="16:16">
      <c r="P5795" s="115"/>
    </row>
    <row r="5796" spans="16:16">
      <c r="P5796" s="115"/>
    </row>
    <row r="5797" spans="16:16">
      <c r="P5797" s="115"/>
    </row>
    <row r="5798" spans="16:16">
      <c r="P5798" s="115"/>
    </row>
    <row r="5799" spans="16:16">
      <c r="P5799" s="115"/>
    </row>
    <row r="5800" spans="16:16">
      <c r="P5800" s="115"/>
    </row>
    <row r="5801" spans="16:16">
      <c r="P5801" s="115"/>
    </row>
    <row r="5802" spans="16:16">
      <c r="P5802" s="115"/>
    </row>
    <row r="5803" spans="16:16">
      <c r="P5803" s="115"/>
    </row>
    <row r="5804" spans="16:16">
      <c r="P5804" s="115"/>
    </row>
    <row r="5805" spans="16:16">
      <c r="P5805" s="115"/>
    </row>
    <row r="5806" spans="16:16">
      <c r="P5806" s="115"/>
    </row>
    <row r="5807" spans="16:16">
      <c r="P5807" s="115"/>
    </row>
    <row r="5808" spans="16:16">
      <c r="P5808" s="115"/>
    </row>
    <row r="5809" spans="16:16">
      <c r="P5809" s="115"/>
    </row>
    <row r="5810" spans="16:16">
      <c r="P5810" s="115"/>
    </row>
    <row r="5811" spans="16:16">
      <c r="P5811" s="115"/>
    </row>
    <row r="5812" spans="16:16">
      <c r="P5812" s="115"/>
    </row>
    <row r="5813" spans="16:16">
      <c r="P5813" s="115"/>
    </row>
    <row r="5814" spans="16:16">
      <c r="P5814" s="115"/>
    </row>
    <row r="5815" spans="16:16">
      <c r="P5815" s="115"/>
    </row>
    <row r="5816" spans="16:16">
      <c r="P5816" s="115"/>
    </row>
    <row r="5817" spans="16:16">
      <c r="P5817" s="115"/>
    </row>
    <row r="5818" spans="16:16">
      <c r="P5818" s="115"/>
    </row>
    <row r="5819" spans="16:16">
      <c r="P5819" s="115"/>
    </row>
    <row r="5820" spans="16:16">
      <c r="P5820" s="115"/>
    </row>
    <row r="5821" spans="16:16">
      <c r="P5821" s="115"/>
    </row>
    <row r="5822" spans="16:16">
      <c r="P5822" s="115"/>
    </row>
    <row r="5823" spans="16:16">
      <c r="P5823" s="115"/>
    </row>
    <row r="5824" spans="16:16">
      <c r="P5824" s="115"/>
    </row>
    <row r="5825" spans="16:16">
      <c r="P5825" s="115"/>
    </row>
    <row r="5826" spans="16:16">
      <c r="P5826" s="115"/>
    </row>
    <row r="5827" spans="16:16">
      <c r="P5827" s="115"/>
    </row>
    <row r="5828" spans="16:16">
      <c r="P5828" s="115"/>
    </row>
    <row r="5829" spans="16:16">
      <c r="P5829" s="115"/>
    </row>
    <row r="5830" spans="16:16">
      <c r="P5830" s="115"/>
    </row>
    <row r="5831" spans="16:16">
      <c r="P5831" s="115"/>
    </row>
    <row r="5832" spans="16:16">
      <c r="P5832" s="115"/>
    </row>
    <row r="5833" spans="16:16">
      <c r="P5833" s="115"/>
    </row>
    <row r="5834" spans="16:16">
      <c r="P5834" s="115"/>
    </row>
    <row r="5835" spans="16:16">
      <c r="P5835" s="115"/>
    </row>
    <row r="5836" spans="16:16">
      <c r="P5836" s="115"/>
    </row>
    <row r="5837" spans="16:16">
      <c r="P5837" s="115"/>
    </row>
    <row r="5838" spans="16:16">
      <c r="P5838" s="115"/>
    </row>
    <row r="5839" spans="16:16">
      <c r="P5839" s="115"/>
    </row>
    <row r="5840" spans="16:16">
      <c r="P5840" s="115"/>
    </row>
    <row r="5841" spans="16:16">
      <c r="P5841" s="115"/>
    </row>
    <row r="5842" spans="16:16">
      <c r="P5842" s="115"/>
    </row>
    <row r="5843" spans="16:16">
      <c r="P5843" s="115"/>
    </row>
    <row r="5844" spans="16:16">
      <c r="P5844" s="115"/>
    </row>
    <row r="5845" spans="16:16">
      <c r="P5845" s="115"/>
    </row>
    <row r="5846" spans="16:16">
      <c r="P5846" s="115"/>
    </row>
    <row r="5847" spans="16:16">
      <c r="P5847" s="115"/>
    </row>
    <row r="5848" spans="16:16">
      <c r="P5848" s="115"/>
    </row>
    <row r="5849" spans="16:16">
      <c r="P5849" s="115"/>
    </row>
    <row r="5850" spans="16:16">
      <c r="P5850" s="115"/>
    </row>
    <row r="5851" spans="16:16">
      <c r="P5851" s="115"/>
    </row>
    <row r="5852" spans="16:16">
      <c r="P5852" s="115"/>
    </row>
    <row r="5853" spans="16:16">
      <c r="P5853" s="115"/>
    </row>
    <row r="5854" spans="16:16">
      <c r="P5854" s="115"/>
    </row>
    <row r="5855" spans="16:16">
      <c r="P5855" s="115"/>
    </row>
    <row r="5856" spans="16:16">
      <c r="P5856" s="115"/>
    </row>
    <row r="5857" spans="16:16">
      <c r="P5857" s="115"/>
    </row>
    <row r="5858" spans="16:16">
      <c r="P5858" s="115"/>
    </row>
    <row r="5859" spans="16:16">
      <c r="P5859" s="115"/>
    </row>
    <row r="5860" spans="16:16">
      <c r="P5860" s="115"/>
    </row>
    <row r="5861" spans="16:16">
      <c r="P5861" s="115"/>
    </row>
    <row r="5862" spans="16:16">
      <c r="P5862" s="115"/>
    </row>
    <row r="5863" spans="16:16">
      <c r="P5863" s="115"/>
    </row>
    <row r="5864" spans="16:16">
      <c r="P5864" s="115"/>
    </row>
    <row r="5865" spans="16:16">
      <c r="P5865" s="115"/>
    </row>
    <row r="5866" spans="16:16">
      <c r="P5866" s="115"/>
    </row>
    <row r="5867" spans="16:16">
      <c r="P5867" s="115"/>
    </row>
    <row r="5868" spans="16:16">
      <c r="P5868" s="115"/>
    </row>
    <row r="5869" spans="16:16">
      <c r="P5869" s="115"/>
    </row>
    <row r="5870" spans="16:16">
      <c r="P5870" s="115"/>
    </row>
    <row r="5871" spans="16:16">
      <c r="P5871" s="115"/>
    </row>
    <row r="5872" spans="16:16">
      <c r="P5872" s="115"/>
    </row>
    <row r="5873" spans="16:16">
      <c r="P5873" s="115"/>
    </row>
    <row r="5874" spans="16:16">
      <c r="P5874" s="115"/>
    </row>
    <row r="5875" spans="16:16">
      <c r="P5875" s="115"/>
    </row>
    <row r="5876" spans="16:16">
      <c r="P5876" s="115"/>
    </row>
    <row r="5877" spans="16:16">
      <c r="P5877" s="115"/>
    </row>
    <row r="5878" spans="16:16">
      <c r="P5878" s="115"/>
    </row>
    <row r="5879" spans="16:16">
      <c r="P5879" s="115"/>
    </row>
    <row r="5880" spans="16:16">
      <c r="P5880" s="115"/>
    </row>
    <row r="5881" spans="16:16">
      <c r="P5881" s="115"/>
    </row>
    <row r="5882" spans="16:16">
      <c r="P5882" s="115"/>
    </row>
    <row r="5883" spans="16:16">
      <c r="P5883" s="115"/>
    </row>
    <row r="5884" spans="16:16">
      <c r="P5884" s="115"/>
    </row>
    <row r="5885" spans="16:16">
      <c r="P5885" s="115"/>
    </row>
    <row r="5886" spans="16:16">
      <c r="P5886" s="115"/>
    </row>
    <row r="5887" spans="16:16">
      <c r="P5887" s="115"/>
    </row>
    <row r="5888" spans="16:16">
      <c r="P5888" s="115"/>
    </row>
    <row r="5889" spans="16:16">
      <c r="P5889" s="115"/>
    </row>
    <row r="5890" spans="16:16">
      <c r="P5890" s="115"/>
    </row>
    <row r="5891" spans="16:16">
      <c r="P5891" s="115"/>
    </row>
    <row r="5892" spans="16:16">
      <c r="P5892" s="115"/>
    </row>
    <row r="5893" spans="16:16">
      <c r="P5893" s="115"/>
    </row>
    <row r="5894" spans="16:16">
      <c r="P5894" s="115"/>
    </row>
    <row r="5895" spans="16:16">
      <c r="P5895" s="115"/>
    </row>
    <row r="5896" spans="16:16">
      <c r="P5896" s="115"/>
    </row>
    <row r="5897" spans="16:16">
      <c r="P5897" s="115"/>
    </row>
    <row r="5898" spans="16:16">
      <c r="P5898" s="115"/>
    </row>
    <row r="5899" spans="16:16">
      <c r="P5899" s="115"/>
    </row>
    <row r="5900" spans="16:16">
      <c r="P5900" s="115"/>
    </row>
    <row r="5901" spans="16:16">
      <c r="P5901" s="115"/>
    </row>
    <row r="5902" spans="16:16">
      <c r="P5902" s="115"/>
    </row>
    <row r="5903" spans="16:16">
      <c r="P5903" s="115"/>
    </row>
    <row r="5904" spans="16:16">
      <c r="P5904" s="115"/>
    </row>
    <row r="5905" spans="16:16">
      <c r="P5905" s="115"/>
    </row>
    <row r="5906" spans="16:16">
      <c r="P5906" s="115"/>
    </row>
    <row r="5907" spans="16:16">
      <c r="P5907" s="115"/>
    </row>
    <row r="5908" spans="16:16">
      <c r="P5908" s="115"/>
    </row>
    <row r="5909" spans="16:16">
      <c r="P5909" s="115"/>
    </row>
    <row r="5910" spans="16:16">
      <c r="P5910" s="115"/>
    </row>
    <row r="5911" spans="16:16">
      <c r="P5911" s="115"/>
    </row>
    <row r="5912" spans="16:16">
      <c r="P5912" s="115"/>
    </row>
    <row r="5913" spans="16:16">
      <c r="P5913" s="115"/>
    </row>
    <row r="5914" spans="16:16">
      <c r="P5914" s="115"/>
    </row>
    <row r="5915" spans="16:16">
      <c r="P5915" s="115"/>
    </row>
    <row r="5916" spans="16:16">
      <c r="P5916" s="115"/>
    </row>
    <row r="5917" spans="16:16">
      <c r="P5917" s="115"/>
    </row>
    <row r="5918" spans="16:16">
      <c r="P5918" s="115"/>
    </row>
    <row r="5919" spans="16:16">
      <c r="P5919" s="115"/>
    </row>
    <row r="5920" spans="16:16">
      <c r="P5920" s="115"/>
    </row>
    <row r="5921" spans="16:16">
      <c r="P5921" s="115"/>
    </row>
    <row r="5922" spans="16:16">
      <c r="P5922" s="115"/>
    </row>
    <row r="5923" spans="16:16">
      <c r="P5923" s="115"/>
    </row>
    <row r="5924" spans="16:16">
      <c r="P5924" s="115"/>
    </row>
    <row r="5925" spans="16:16">
      <c r="P5925" s="115"/>
    </row>
    <row r="5926" spans="16:16">
      <c r="P5926" s="115"/>
    </row>
    <row r="5927" spans="16:16">
      <c r="P5927" s="115"/>
    </row>
    <row r="5928" spans="16:16">
      <c r="P5928" s="115"/>
    </row>
    <row r="5929" spans="16:16">
      <c r="P5929" s="115"/>
    </row>
    <row r="5930" spans="16:16">
      <c r="P5930" s="115"/>
    </row>
    <row r="5931" spans="16:16">
      <c r="P5931" s="115"/>
    </row>
    <row r="5932" spans="16:16">
      <c r="P5932" s="115"/>
    </row>
    <row r="5933" spans="16:16">
      <c r="P5933" s="115"/>
    </row>
    <row r="5934" spans="16:16">
      <c r="P5934" s="115"/>
    </row>
    <row r="5935" spans="16:16">
      <c r="P5935" s="115"/>
    </row>
    <row r="5936" spans="16:16">
      <c r="P5936" s="115"/>
    </row>
    <row r="5937" spans="16:16">
      <c r="P5937" s="115"/>
    </row>
    <row r="5938" spans="16:16">
      <c r="P5938" s="115"/>
    </row>
    <row r="5939" spans="16:16">
      <c r="P5939" s="115"/>
    </row>
    <row r="5940" spans="16:16">
      <c r="P5940" s="115"/>
    </row>
    <row r="5941" spans="16:16">
      <c r="P5941" s="115"/>
    </row>
    <row r="5942" spans="16:16">
      <c r="P5942" s="115"/>
    </row>
    <row r="5943" spans="16:16">
      <c r="P5943" s="115"/>
    </row>
    <row r="5944" spans="16:16">
      <c r="P5944" s="115"/>
    </row>
    <row r="5945" spans="16:16">
      <c r="P5945" s="115"/>
    </row>
    <row r="5946" spans="16:16">
      <c r="P5946" s="115"/>
    </row>
    <row r="5947" spans="16:16">
      <c r="P5947" s="115"/>
    </row>
    <row r="5948" spans="16:16">
      <c r="P5948" s="115"/>
    </row>
    <row r="5949" spans="16:16">
      <c r="P5949" s="115"/>
    </row>
    <row r="5950" spans="16:16">
      <c r="P5950" s="115"/>
    </row>
    <row r="5951" spans="16:16">
      <c r="P5951" s="115"/>
    </row>
    <row r="5952" spans="16:16">
      <c r="P5952" s="115"/>
    </row>
    <row r="5953" spans="16:16">
      <c r="P5953" s="115"/>
    </row>
    <row r="5954" spans="16:16">
      <c r="P5954" s="115"/>
    </row>
    <row r="5955" spans="16:16">
      <c r="P5955" s="115"/>
    </row>
    <row r="5956" spans="16:16">
      <c r="P5956" s="115"/>
    </row>
    <row r="5957" spans="16:16">
      <c r="P5957" s="115"/>
    </row>
    <row r="5958" spans="16:16">
      <c r="P5958" s="115"/>
    </row>
    <row r="5959" spans="16:16">
      <c r="P5959" s="115"/>
    </row>
    <row r="5960" spans="16:16">
      <c r="P5960" s="115"/>
    </row>
    <row r="5961" spans="16:16">
      <c r="P5961" s="115"/>
    </row>
    <row r="5962" spans="16:16">
      <c r="P5962" s="115"/>
    </row>
    <row r="5963" spans="16:16">
      <c r="P5963" s="115"/>
    </row>
    <row r="5964" spans="16:16">
      <c r="P5964" s="115"/>
    </row>
    <row r="5965" spans="16:16">
      <c r="P5965" s="115"/>
    </row>
    <row r="5966" spans="16:16">
      <c r="P5966" s="115"/>
    </row>
    <row r="5967" spans="16:16">
      <c r="P5967" s="115"/>
    </row>
    <row r="5968" spans="16:16">
      <c r="P5968" s="115"/>
    </row>
    <row r="5969" spans="16:16">
      <c r="P5969" s="115"/>
    </row>
    <row r="5970" spans="16:16">
      <c r="P5970" s="115"/>
    </row>
    <row r="5971" spans="16:16">
      <c r="P5971" s="115"/>
    </row>
    <row r="5972" spans="16:16">
      <c r="P5972" s="115"/>
    </row>
    <row r="5973" spans="16:16">
      <c r="P5973" s="115"/>
    </row>
    <row r="5974" spans="16:16">
      <c r="P5974" s="115"/>
    </row>
    <row r="5975" spans="16:16">
      <c r="P5975" s="115"/>
    </row>
    <row r="5976" spans="16:16">
      <c r="P5976" s="115"/>
    </row>
    <row r="5977" spans="16:16">
      <c r="P5977" s="115"/>
    </row>
    <row r="5978" spans="16:16">
      <c r="P5978" s="115"/>
    </row>
    <row r="5979" spans="16:16">
      <c r="P5979" s="115"/>
    </row>
    <row r="5980" spans="16:16">
      <c r="P5980" s="115"/>
    </row>
    <row r="5981" spans="16:16">
      <c r="P5981" s="115"/>
    </row>
    <row r="5982" spans="16:16">
      <c r="P5982" s="115"/>
    </row>
    <row r="5983" spans="16:16">
      <c r="P5983" s="115"/>
    </row>
    <row r="5984" spans="16:16">
      <c r="P5984" s="115"/>
    </row>
    <row r="5985" spans="16:16">
      <c r="P5985" s="115"/>
    </row>
    <row r="5986" spans="16:16">
      <c r="P5986" s="115"/>
    </row>
    <row r="5987" spans="16:16">
      <c r="P5987" s="115"/>
    </row>
    <row r="5988" spans="16:16">
      <c r="P5988" s="115"/>
    </row>
    <row r="5989" spans="16:16">
      <c r="P5989" s="115"/>
    </row>
    <row r="5990" spans="16:16">
      <c r="P5990" s="115"/>
    </row>
    <row r="5991" spans="16:16">
      <c r="P5991" s="115"/>
    </row>
    <row r="5992" spans="16:16">
      <c r="P5992" s="115"/>
    </row>
    <row r="5993" spans="16:16">
      <c r="P5993" s="115"/>
    </row>
    <row r="5994" spans="16:16">
      <c r="P5994" s="115"/>
    </row>
    <row r="5995" spans="16:16">
      <c r="P5995" s="115"/>
    </row>
    <row r="5996" spans="16:16">
      <c r="P5996" s="115"/>
    </row>
    <row r="5997" spans="16:16">
      <c r="P5997" s="115"/>
    </row>
    <row r="5998" spans="16:16">
      <c r="P5998" s="115"/>
    </row>
    <row r="5999" spans="16:16">
      <c r="P5999" s="115"/>
    </row>
    <row r="6000" spans="16:16">
      <c r="P6000" s="115"/>
    </row>
    <row r="6001" spans="16:16">
      <c r="P6001" s="115"/>
    </row>
    <row r="6002" spans="16:16">
      <c r="P6002" s="115"/>
    </row>
    <row r="6003" spans="16:16">
      <c r="P6003" s="115"/>
    </row>
    <row r="6004" spans="16:16">
      <c r="P6004" s="115"/>
    </row>
    <row r="6005" spans="16:16">
      <c r="P6005" s="115"/>
    </row>
    <row r="6006" spans="16:16">
      <c r="P6006" s="115"/>
    </row>
    <row r="6007" spans="16:16">
      <c r="P6007" s="115"/>
    </row>
    <row r="6008" spans="16:16">
      <c r="P6008" s="115"/>
    </row>
    <row r="6009" spans="16:16">
      <c r="P6009" s="115"/>
    </row>
    <row r="6010" spans="16:16">
      <c r="P6010" s="115"/>
    </row>
    <row r="6011" spans="16:16">
      <c r="P6011" s="115"/>
    </row>
    <row r="6012" spans="16:16">
      <c r="P6012" s="115"/>
    </row>
    <row r="6013" spans="16:16">
      <c r="P6013" s="115"/>
    </row>
    <row r="6014" spans="16:16">
      <c r="P6014" s="115"/>
    </row>
    <row r="6015" spans="16:16">
      <c r="P6015" s="115"/>
    </row>
    <row r="6016" spans="16:16">
      <c r="P6016" s="115"/>
    </row>
    <row r="6017" spans="16:16">
      <c r="P6017" s="115"/>
    </row>
    <row r="6018" spans="16:16">
      <c r="P6018" s="115"/>
    </row>
    <row r="6019" spans="16:16">
      <c r="P6019" s="115"/>
    </row>
    <row r="6020" spans="16:16">
      <c r="P6020" s="115"/>
    </row>
    <row r="6021" spans="16:16">
      <c r="P6021" s="115"/>
    </row>
    <row r="6022" spans="16:16">
      <c r="P6022" s="115"/>
    </row>
    <row r="6023" spans="16:16">
      <c r="P6023" s="115"/>
    </row>
    <row r="6024" spans="16:16">
      <c r="P6024" s="115"/>
    </row>
    <row r="6025" spans="16:16">
      <c r="P6025" s="115"/>
    </row>
    <row r="6026" spans="16:16">
      <c r="P6026" s="115"/>
    </row>
    <row r="6027" spans="16:16">
      <c r="P6027" s="115"/>
    </row>
    <row r="6028" spans="16:16">
      <c r="P6028" s="115"/>
    </row>
    <row r="6029" spans="16:16">
      <c r="P6029" s="115"/>
    </row>
    <row r="6030" spans="16:16">
      <c r="P6030" s="115"/>
    </row>
    <row r="6031" spans="16:16">
      <c r="P6031" s="115"/>
    </row>
    <row r="6032" spans="16:16">
      <c r="P6032" s="115"/>
    </row>
    <row r="6033" spans="16:16">
      <c r="P6033" s="115"/>
    </row>
    <row r="6034" spans="16:16">
      <c r="P6034" s="115"/>
    </row>
    <row r="6035" spans="16:16">
      <c r="P6035" s="115"/>
    </row>
    <row r="6036" spans="16:16">
      <c r="P6036" s="115"/>
    </row>
    <row r="6037" spans="16:16">
      <c r="P6037" s="115"/>
    </row>
    <row r="6038" spans="16:16">
      <c r="P6038" s="115"/>
    </row>
    <row r="6039" spans="16:16">
      <c r="P6039" s="115"/>
    </row>
    <row r="6040" spans="16:16">
      <c r="P6040" s="115"/>
    </row>
    <row r="6041" spans="16:16">
      <c r="P6041" s="115"/>
    </row>
    <row r="6042" spans="16:16">
      <c r="P6042" s="115"/>
    </row>
    <row r="6043" spans="16:16">
      <c r="P6043" s="115"/>
    </row>
    <row r="6044" spans="16:16">
      <c r="P6044" s="115"/>
    </row>
    <row r="6045" spans="16:16">
      <c r="P6045" s="115"/>
    </row>
    <row r="6046" spans="16:16">
      <c r="P6046" s="115"/>
    </row>
    <row r="6047" spans="16:16">
      <c r="P6047" s="115"/>
    </row>
    <row r="6048" spans="16:16">
      <c r="P6048" s="115"/>
    </row>
    <row r="6049" spans="16:16">
      <c r="P6049" s="115"/>
    </row>
    <row r="6050" spans="16:16">
      <c r="P6050" s="115"/>
    </row>
    <row r="6051" spans="16:16">
      <c r="P6051" s="115"/>
    </row>
    <row r="6052" spans="16:16">
      <c r="P6052" s="115"/>
    </row>
    <row r="6053" spans="16:16">
      <c r="P6053" s="115"/>
    </row>
    <row r="6054" spans="16:16">
      <c r="P6054" s="115"/>
    </row>
    <row r="6055" spans="16:16">
      <c r="P6055" s="115"/>
    </row>
    <row r="6056" spans="16:16">
      <c r="P6056" s="115"/>
    </row>
    <row r="6057" spans="16:16">
      <c r="P6057" s="115"/>
    </row>
    <row r="6058" spans="16:16">
      <c r="P6058" s="115"/>
    </row>
    <row r="6059" spans="16:16">
      <c r="P6059" s="115"/>
    </row>
    <row r="6060" spans="16:16">
      <c r="P6060" s="115"/>
    </row>
    <row r="6061" spans="16:16">
      <c r="P6061" s="115"/>
    </row>
    <row r="6062" spans="16:16">
      <c r="P6062" s="115"/>
    </row>
    <row r="6063" spans="16:16">
      <c r="P6063" s="115"/>
    </row>
    <row r="6064" spans="16:16">
      <c r="P6064" s="115"/>
    </row>
    <row r="6065" spans="16:16">
      <c r="P6065" s="115"/>
    </row>
    <row r="6066" spans="16:16">
      <c r="P6066" s="115"/>
    </row>
    <row r="6067" spans="16:16">
      <c r="P6067" s="115"/>
    </row>
    <row r="6068" spans="16:16">
      <c r="P6068" s="115"/>
    </row>
    <row r="6069" spans="16:16">
      <c r="P6069" s="115"/>
    </row>
    <row r="6070" spans="16:16">
      <c r="P6070" s="115"/>
    </row>
    <row r="6071" spans="16:16">
      <c r="P6071" s="115"/>
    </row>
    <row r="6072" spans="16:16">
      <c r="P6072" s="115"/>
    </row>
    <row r="6073" spans="16:16">
      <c r="P6073" s="115"/>
    </row>
    <row r="6074" spans="16:16">
      <c r="P6074" s="115"/>
    </row>
    <row r="6075" spans="16:16">
      <c r="P6075" s="115"/>
    </row>
    <row r="6076" spans="16:16">
      <c r="P6076" s="115"/>
    </row>
    <row r="6077" spans="16:16">
      <c r="P6077" s="115"/>
    </row>
    <row r="6078" spans="16:16">
      <c r="P6078" s="115"/>
    </row>
    <row r="6079" spans="16:16">
      <c r="P6079" s="115"/>
    </row>
    <row r="6080" spans="16:16">
      <c r="P6080" s="115"/>
    </row>
    <row r="6081" spans="16:16">
      <c r="P6081" s="115"/>
    </row>
    <row r="6082" spans="16:16">
      <c r="P6082" s="115"/>
    </row>
    <row r="6083" spans="16:16">
      <c r="P6083" s="115"/>
    </row>
    <row r="6084" spans="16:16">
      <c r="P6084" s="115"/>
    </row>
    <row r="6085" spans="16:16">
      <c r="P6085" s="115"/>
    </row>
    <row r="6086" spans="16:16">
      <c r="P6086" s="115"/>
    </row>
    <row r="6087" spans="16:16">
      <c r="P6087" s="115"/>
    </row>
    <row r="6088" spans="16:16">
      <c r="P6088" s="115"/>
    </row>
    <row r="6089" spans="16:16">
      <c r="P6089" s="115"/>
    </row>
    <row r="6090" spans="16:16">
      <c r="P6090" s="115"/>
    </row>
    <row r="6091" spans="16:16">
      <c r="P6091" s="115"/>
    </row>
    <row r="6092" spans="16:16">
      <c r="P6092" s="115"/>
    </row>
    <row r="6093" spans="16:16">
      <c r="P6093" s="115"/>
    </row>
    <row r="6094" spans="16:16">
      <c r="P6094" s="115"/>
    </row>
    <row r="6095" spans="16:16">
      <c r="P6095" s="115"/>
    </row>
    <row r="6096" spans="16:16">
      <c r="P6096" s="115"/>
    </row>
    <row r="6097" spans="16:16">
      <c r="P6097" s="115"/>
    </row>
    <row r="6098" spans="16:16">
      <c r="P6098" s="115"/>
    </row>
    <row r="6099" spans="16:16">
      <c r="P6099" s="115"/>
    </row>
    <row r="6100" spans="16:16">
      <c r="P6100" s="115"/>
    </row>
    <row r="6101" spans="16:16">
      <c r="P6101" s="115"/>
    </row>
    <row r="6102" spans="16:16">
      <c r="P6102" s="115"/>
    </row>
    <row r="6103" spans="16:16">
      <c r="P6103" s="115"/>
    </row>
    <row r="6104" spans="16:16">
      <c r="P6104" s="115"/>
    </row>
    <row r="6105" spans="16:16">
      <c r="P6105" s="115"/>
    </row>
    <row r="6106" spans="16:16">
      <c r="P6106" s="115"/>
    </row>
    <row r="6107" spans="16:16">
      <c r="P6107" s="115"/>
    </row>
    <row r="6108" spans="16:16">
      <c r="P6108" s="115"/>
    </row>
    <row r="6109" spans="16:16">
      <c r="P6109" s="115"/>
    </row>
    <row r="6110" spans="16:16">
      <c r="P6110" s="115"/>
    </row>
    <row r="6111" spans="16:16">
      <c r="P6111" s="115"/>
    </row>
    <row r="6112" spans="16:16">
      <c r="P6112" s="115"/>
    </row>
    <row r="6113" spans="16:16">
      <c r="P6113" s="115"/>
    </row>
    <row r="6114" spans="16:16">
      <c r="P6114" s="115"/>
    </row>
    <row r="6115" spans="16:16">
      <c r="P6115" s="115"/>
    </row>
    <row r="6116" spans="16:16">
      <c r="P6116" s="115"/>
    </row>
    <row r="6117" spans="16:16">
      <c r="P6117" s="115"/>
    </row>
    <row r="6118" spans="16:16">
      <c r="P6118" s="115"/>
    </row>
    <row r="6119" spans="16:16">
      <c r="P6119" s="115"/>
    </row>
    <row r="6120" spans="16:16">
      <c r="P6120" s="115"/>
    </row>
    <row r="6121" spans="16:16">
      <c r="P6121" s="115"/>
    </row>
    <row r="6122" spans="16:16">
      <c r="P6122" s="115"/>
    </row>
    <row r="6123" spans="16:16">
      <c r="P6123" s="115"/>
    </row>
    <row r="6124" spans="16:16">
      <c r="P6124" s="115"/>
    </row>
    <row r="6125" spans="16:16">
      <c r="P6125" s="115"/>
    </row>
    <row r="6126" spans="16:16">
      <c r="P6126" s="115"/>
    </row>
    <row r="6127" spans="16:16">
      <c r="P6127" s="115"/>
    </row>
    <row r="6128" spans="16:16">
      <c r="P6128" s="115"/>
    </row>
    <row r="6129" spans="16:16">
      <c r="P6129" s="115"/>
    </row>
    <row r="6130" spans="16:16">
      <c r="P6130" s="115"/>
    </row>
    <row r="6131" spans="16:16">
      <c r="P6131" s="115"/>
    </row>
    <row r="6132" spans="16:16">
      <c r="P6132" s="115"/>
    </row>
    <row r="6133" spans="16:16">
      <c r="P6133" s="115"/>
    </row>
    <row r="6134" spans="16:16">
      <c r="P6134" s="115"/>
    </row>
    <row r="6135" spans="16:16">
      <c r="P6135" s="115"/>
    </row>
    <row r="6136" spans="16:16">
      <c r="P6136" s="115"/>
    </row>
    <row r="6137" spans="16:16">
      <c r="P6137" s="115"/>
    </row>
    <row r="6138" spans="16:16">
      <c r="P6138" s="115"/>
    </row>
    <row r="6139" spans="16:16">
      <c r="P6139" s="115"/>
    </row>
    <row r="6140" spans="16:16">
      <c r="P6140" s="115"/>
    </row>
    <row r="6141" spans="16:16">
      <c r="P6141" s="115"/>
    </row>
    <row r="6142" spans="16:16">
      <c r="P6142" s="115"/>
    </row>
    <row r="6143" spans="16:16">
      <c r="P6143" s="115"/>
    </row>
    <row r="6144" spans="16:16">
      <c r="P6144" s="115"/>
    </row>
    <row r="6145" spans="16:16">
      <c r="P6145" s="115"/>
    </row>
    <row r="6146" spans="16:16">
      <c r="P6146" s="115"/>
    </row>
    <row r="6147" spans="16:16">
      <c r="P6147" s="115"/>
    </row>
    <row r="6148" spans="16:16">
      <c r="P6148" s="115"/>
    </row>
    <row r="6149" spans="16:16">
      <c r="P6149" s="115"/>
    </row>
    <row r="6150" spans="16:16">
      <c r="P6150" s="115"/>
    </row>
    <row r="6151" spans="16:16">
      <c r="P6151" s="115"/>
    </row>
    <row r="6152" spans="16:16">
      <c r="P6152" s="115"/>
    </row>
    <row r="6153" spans="16:16">
      <c r="P6153" s="115"/>
    </row>
    <row r="6154" spans="16:16">
      <c r="P6154" s="115"/>
    </row>
    <row r="6155" spans="16:16">
      <c r="P6155" s="115"/>
    </row>
    <row r="6156" spans="16:16">
      <c r="P6156" s="115"/>
    </row>
    <row r="6157" spans="16:16">
      <c r="P6157" s="115"/>
    </row>
    <row r="6158" spans="16:16">
      <c r="P6158" s="115"/>
    </row>
    <row r="6159" spans="16:16">
      <c r="P6159" s="115"/>
    </row>
    <row r="6160" spans="16:16">
      <c r="P6160" s="115"/>
    </row>
    <row r="6161" spans="16:16">
      <c r="P6161" s="115"/>
    </row>
    <row r="6162" spans="16:16">
      <c r="P6162" s="115"/>
    </row>
    <row r="6163" spans="16:16">
      <c r="P6163" s="115"/>
    </row>
    <row r="6164" spans="16:16">
      <c r="P6164" s="115"/>
    </row>
    <row r="6165" spans="16:16">
      <c r="P6165" s="115"/>
    </row>
    <row r="6166" spans="16:16">
      <c r="P6166" s="115"/>
    </row>
    <row r="6167" spans="16:16">
      <c r="P6167" s="115"/>
    </row>
    <row r="6168" spans="16:16">
      <c r="P6168" s="115"/>
    </row>
    <row r="6169" spans="16:16">
      <c r="P6169" s="115"/>
    </row>
    <row r="6170" spans="16:16">
      <c r="P6170" s="115"/>
    </row>
    <row r="6171" spans="16:16">
      <c r="P6171" s="115"/>
    </row>
    <row r="6172" spans="16:16">
      <c r="P6172" s="115"/>
    </row>
    <row r="6173" spans="16:16">
      <c r="P6173" s="115"/>
    </row>
    <row r="6174" spans="16:16">
      <c r="P6174" s="115"/>
    </row>
    <row r="6175" spans="16:16">
      <c r="P6175" s="115"/>
    </row>
    <row r="6176" spans="16:16">
      <c r="P6176" s="115"/>
    </row>
    <row r="6177" spans="16:16">
      <c r="P6177" s="115"/>
    </row>
    <row r="6178" spans="16:16">
      <c r="P6178" s="115"/>
    </row>
    <row r="6179" spans="16:16">
      <c r="P6179" s="115"/>
    </row>
    <row r="6180" spans="16:16">
      <c r="P6180" s="115"/>
    </row>
    <row r="6181" spans="16:16">
      <c r="P6181" s="115"/>
    </row>
    <row r="6182" spans="16:16">
      <c r="P6182" s="115"/>
    </row>
    <row r="6183" spans="16:16">
      <c r="P6183" s="115"/>
    </row>
    <row r="6184" spans="16:16">
      <c r="P6184" s="115"/>
    </row>
    <row r="6185" spans="16:16">
      <c r="P6185" s="115"/>
    </row>
    <row r="6186" spans="16:16">
      <c r="P6186" s="115"/>
    </row>
    <row r="6187" spans="16:16">
      <c r="P6187" s="115"/>
    </row>
    <row r="6188" spans="16:16">
      <c r="P6188" s="115"/>
    </row>
    <row r="6189" spans="16:16">
      <c r="P6189" s="115"/>
    </row>
    <row r="6190" spans="16:16">
      <c r="P6190" s="115"/>
    </row>
    <row r="6191" spans="16:16">
      <c r="P6191" s="115"/>
    </row>
    <row r="6192" spans="16:16">
      <c r="P6192" s="115"/>
    </row>
    <row r="6193" spans="16:16">
      <c r="P6193" s="115"/>
    </row>
    <row r="6194" spans="16:16">
      <c r="P6194" s="115"/>
    </row>
    <row r="6195" spans="16:16">
      <c r="P6195" s="115"/>
    </row>
    <row r="6196" spans="16:16">
      <c r="P6196" s="115"/>
    </row>
    <row r="6197" spans="16:16">
      <c r="P6197" s="115"/>
    </row>
    <row r="6198" spans="16:16">
      <c r="P6198" s="115"/>
    </row>
    <row r="6199" spans="16:16">
      <c r="P6199" s="115"/>
    </row>
    <row r="6200" spans="16:16">
      <c r="P6200" s="115"/>
    </row>
    <row r="6201" spans="16:16">
      <c r="P6201" s="115"/>
    </row>
    <row r="6202" spans="16:16">
      <c r="P6202" s="115"/>
    </row>
    <row r="6203" spans="16:16">
      <c r="P6203" s="115"/>
    </row>
    <row r="6204" spans="16:16">
      <c r="P6204" s="115"/>
    </row>
    <row r="6205" spans="16:16">
      <c r="P6205" s="115"/>
    </row>
    <row r="6206" spans="16:16">
      <c r="P6206" s="115"/>
    </row>
    <row r="6207" spans="16:16">
      <c r="P6207" s="115"/>
    </row>
    <row r="6208" spans="16:16">
      <c r="P6208" s="115"/>
    </row>
    <row r="6209" spans="16:16">
      <c r="P6209" s="115"/>
    </row>
    <row r="6210" spans="16:16">
      <c r="P6210" s="115"/>
    </row>
    <row r="6211" spans="16:16">
      <c r="P6211" s="115"/>
    </row>
    <row r="6212" spans="16:16">
      <c r="P6212" s="115"/>
    </row>
    <row r="6213" spans="16:16">
      <c r="P6213" s="115"/>
    </row>
    <row r="6214" spans="16:16">
      <c r="P6214" s="115"/>
    </row>
    <row r="6215" spans="16:16">
      <c r="P6215" s="115"/>
    </row>
    <row r="6216" spans="16:16">
      <c r="P6216" s="115"/>
    </row>
    <row r="6217" spans="16:16">
      <c r="P6217" s="115"/>
    </row>
    <row r="6218" spans="16:16">
      <c r="P6218" s="115"/>
    </row>
    <row r="6219" spans="16:16">
      <c r="P6219" s="115"/>
    </row>
    <row r="6220" spans="16:16">
      <c r="P6220" s="115"/>
    </row>
    <row r="6221" spans="16:16">
      <c r="P6221" s="115"/>
    </row>
    <row r="6222" spans="16:16">
      <c r="P6222" s="115"/>
    </row>
    <row r="6223" spans="16:16">
      <c r="P6223" s="115"/>
    </row>
    <row r="6224" spans="16:16">
      <c r="P6224" s="115"/>
    </row>
    <row r="6225" spans="16:16">
      <c r="P6225" s="115"/>
    </row>
    <row r="6226" spans="16:16">
      <c r="P6226" s="115"/>
    </row>
    <row r="6227" spans="16:16">
      <c r="P6227" s="115"/>
    </row>
    <row r="6228" spans="16:16">
      <c r="P6228" s="115"/>
    </row>
    <row r="6229" spans="16:16">
      <c r="P6229" s="115"/>
    </row>
    <row r="6230" spans="16:16">
      <c r="P6230" s="115"/>
    </row>
    <row r="6231" spans="16:16">
      <c r="P6231" s="115"/>
    </row>
    <row r="6232" spans="16:16">
      <c r="P6232" s="115"/>
    </row>
    <row r="6233" spans="16:16">
      <c r="P6233" s="115"/>
    </row>
    <row r="6234" spans="16:16">
      <c r="P6234" s="115"/>
    </row>
    <row r="6235" spans="16:16">
      <c r="P6235" s="115"/>
    </row>
    <row r="6236" spans="16:16">
      <c r="P6236" s="115"/>
    </row>
    <row r="6237" spans="16:16">
      <c r="P6237" s="115"/>
    </row>
    <row r="6238" spans="16:16">
      <c r="P6238" s="115"/>
    </row>
    <row r="6239" spans="16:16">
      <c r="P6239" s="115"/>
    </row>
    <row r="6240" spans="16:16">
      <c r="P6240" s="115"/>
    </row>
    <row r="6241" spans="16:16">
      <c r="P6241" s="115"/>
    </row>
    <row r="6242" spans="16:16">
      <c r="P6242" s="115"/>
    </row>
    <row r="6243" spans="16:16">
      <c r="P6243" s="115"/>
    </row>
    <row r="6244" spans="16:16">
      <c r="P6244" s="115"/>
    </row>
    <row r="6245" spans="16:16">
      <c r="P6245" s="115"/>
    </row>
    <row r="6246" spans="16:16">
      <c r="P6246" s="115"/>
    </row>
    <row r="6247" spans="16:16">
      <c r="P6247" s="115"/>
    </row>
    <row r="6248" spans="16:16">
      <c r="P6248" s="115"/>
    </row>
    <row r="6249" spans="16:16">
      <c r="P6249" s="115"/>
    </row>
    <row r="6250" spans="16:16">
      <c r="P6250" s="115"/>
    </row>
    <row r="6251" spans="16:16">
      <c r="P6251" s="115"/>
    </row>
    <row r="6252" spans="16:16">
      <c r="P6252" s="115"/>
    </row>
    <row r="6253" spans="16:16">
      <c r="P6253" s="115"/>
    </row>
    <row r="6254" spans="16:16">
      <c r="P6254" s="115"/>
    </row>
    <row r="6255" spans="16:16">
      <c r="P6255" s="115"/>
    </row>
    <row r="6256" spans="16:16">
      <c r="P6256" s="115"/>
    </row>
    <row r="6257" spans="16:16">
      <c r="P6257" s="115"/>
    </row>
    <row r="6258" spans="16:16">
      <c r="P6258" s="115"/>
    </row>
    <row r="6259" spans="16:16">
      <c r="P6259" s="115"/>
    </row>
    <row r="6260" spans="16:16">
      <c r="P6260" s="115"/>
    </row>
    <row r="6261" spans="16:16">
      <c r="P6261" s="115"/>
    </row>
    <row r="6262" spans="16:16">
      <c r="P6262" s="115"/>
    </row>
    <row r="6263" spans="16:16">
      <c r="P6263" s="115"/>
    </row>
    <row r="6264" spans="16:16">
      <c r="P6264" s="115"/>
    </row>
    <row r="6265" spans="16:16">
      <c r="P6265" s="115"/>
    </row>
    <row r="6266" spans="16:16">
      <c r="P6266" s="115"/>
    </row>
    <row r="6267" spans="16:16">
      <c r="P6267" s="115"/>
    </row>
    <row r="6268" spans="16:16">
      <c r="P6268" s="115"/>
    </row>
    <row r="6269" spans="16:16">
      <c r="P6269" s="115"/>
    </row>
    <row r="6270" spans="16:16">
      <c r="P6270" s="115"/>
    </row>
    <row r="6271" spans="16:16">
      <c r="P6271" s="115"/>
    </row>
    <row r="6272" spans="16:16">
      <c r="P6272" s="115"/>
    </row>
    <row r="6273" spans="16:16">
      <c r="P6273" s="115"/>
    </row>
    <row r="6274" spans="16:16">
      <c r="P6274" s="115"/>
    </row>
    <row r="6275" spans="16:16">
      <c r="P6275" s="115"/>
    </row>
    <row r="6276" spans="16:16">
      <c r="P6276" s="115"/>
    </row>
    <row r="6277" spans="16:16">
      <c r="P6277" s="115"/>
    </row>
    <row r="6278" spans="16:16">
      <c r="P6278" s="115"/>
    </row>
    <row r="6279" spans="16:16">
      <c r="P6279" s="115"/>
    </row>
    <row r="6280" spans="16:16">
      <c r="P6280" s="115"/>
    </row>
    <row r="6281" spans="16:16">
      <c r="P6281" s="115"/>
    </row>
    <row r="6282" spans="16:16">
      <c r="P6282" s="115"/>
    </row>
    <row r="6283" spans="16:16">
      <c r="P6283" s="115"/>
    </row>
    <row r="6284" spans="16:16">
      <c r="P6284" s="115"/>
    </row>
    <row r="6285" spans="16:16">
      <c r="P6285" s="115"/>
    </row>
    <row r="6286" spans="16:16">
      <c r="P6286" s="115"/>
    </row>
    <row r="6287" spans="16:16">
      <c r="P6287" s="115"/>
    </row>
    <row r="6288" spans="16:16">
      <c r="P6288" s="115"/>
    </row>
    <row r="6289" spans="16:16">
      <c r="P6289" s="115"/>
    </row>
    <row r="6290" spans="16:16">
      <c r="P6290" s="115"/>
    </row>
    <row r="6291" spans="16:16">
      <c r="P6291" s="115"/>
    </row>
    <row r="6292" spans="16:16">
      <c r="P6292" s="115"/>
    </row>
    <row r="6293" spans="16:16">
      <c r="P6293" s="115"/>
    </row>
    <row r="6294" spans="16:16">
      <c r="P6294" s="115"/>
    </row>
    <row r="6295" spans="16:16">
      <c r="P6295" s="115"/>
    </row>
    <row r="6296" spans="16:16">
      <c r="P6296" s="115"/>
    </row>
    <row r="6297" spans="16:16">
      <c r="P6297" s="115"/>
    </row>
    <row r="6298" spans="16:16">
      <c r="P6298" s="115"/>
    </row>
    <row r="6299" spans="16:16">
      <c r="P6299" s="115"/>
    </row>
    <row r="6300" spans="16:16">
      <c r="P6300" s="115"/>
    </row>
    <row r="6301" spans="16:16">
      <c r="P6301" s="115"/>
    </row>
    <row r="6302" spans="16:16">
      <c r="P6302" s="115"/>
    </row>
    <row r="6303" spans="16:16">
      <c r="P6303" s="115"/>
    </row>
    <row r="6304" spans="16:16">
      <c r="P6304" s="115"/>
    </row>
    <row r="6305" spans="16:16">
      <c r="P6305" s="115"/>
    </row>
    <row r="6306" spans="16:16">
      <c r="P6306" s="115"/>
    </row>
    <row r="6307" spans="16:16">
      <c r="P6307" s="115"/>
    </row>
    <row r="6308" spans="16:16">
      <c r="P6308" s="115"/>
    </row>
    <row r="6309" spans="16:16">
      <c r="P6309" s="115"/>
    </row>
    <row r="6310" spans="16:16">
      <c r="P6310" s="115"/>
    </row>
    <row r="6311" spans="16:16">
      <c r="P6311" s="115"/>
    </row>
    <row r="6312" spans="16:16">
      <c r="P6312" s="115"/>
    </row>
    <row r="6313" spans="16:16">
      <c r="P6313" s="115"/>
    </row>
    <row r="6314" spans="16:16">
      <c r="P6314" s="115"/>
    </row>
    <row r="6315" spans="16:16">
      <c r="P6315" s="115"/>
    </row>
    <row r="6316" spans="16:16">
      <c r="P6316" s="115"/>
    </row>
    <row r="6317" spans="16:16">
      <c r="P6317" s="115"/>
    </row>
    <row r="6318" spans="16:16">
      <c r="P6318" s="115"/>
    </row>
    <row r="6319" spans="16:16">
      <c r="P6319" s="115"/>
    </row>
    <row r="6320" spans="16:16">
      <c r="P6320" s="115"/>
    </row>
    <row r="6321" spans="16:16">
      <c r="P6321" s="115"/>
    </row>
    <row r="6322" spans="16:16">
      <c r="P6322" s="115"/>
    </row>
    <row r="6323" spans="16:16">
      <c r="P6323" s="115"/>
    </row>
    <row r="6324" spans="16:16">
      <c r="P6324" s="115"/>
    </row>
    <row r="6325" spans="16:16">
      <c r="P6325" s="115"/>
    </row>
    <row r="6326" spans="16:16">
      <c r="P6326" s="115"/>
    </row>
    <row r="6327" spans="16:16">
      <c r="P6327" s="115"/>
    </row>
    <row r="6328" spans="16:16">
      <c r="P6328" s="115"/>
    </row>
    <row r="6329" spans="16:16">
      <c r="P6329" s="115"/>
    </row>
    <row r="6330" spans="16:16">
      <c r="P6330" s="115"/>
    </row>
    <row r="6331" spans="16:16">
      <c r="P6331" s="115"/>
    </row>
    <row r="6332" spans="16:16">
      <c r="P6332" s="115"/>
    </row>
    <row r="6333" spans="16:16">
      <c r="P6333" s="115"/>
    </row>
    <row r="6334" spans="16:16">
      <c r="P6334" s="115"/>
    </row>
    <row r="6335" spans="16:16">
      <c r="P6335" s="115"/>
    </row>
    <row r="6336" spans="16:16">
      <c r="P6336" s="115"/>
    </row>
    <row r="6337" spans="16:16">
      <c r="P6337" s="115"/>
    </row>
    <row r="6338" spans="16:16">
      <c r="P6338" s="115"/>
    </row>
    <row r="6339" spans="16:16">
      <c r="P6339" s="115"/>
    </row>
    <row r="6340" spans="16:16">
      <c r="P6340" s="115"/>
    </row>
    <row r="6341" spans="16:16">
      <c r="P6341" s="115"/>
    </row>
    <row r="6342" spans="16:16">
      <c r="P6342" s="115"/>
    </row>
    <row r="6343" spans="16:16">
      <c r="P6343" s="115"/>
    </row>
    <row r="6344" spans="16:16">
      <c r="P6344" s="115"/>
    </row>
    <row r="6345" spans="16:16">
      <c r="P6345" s="115"/>
    </row>
    <row r="6346" spans="16:16">
      <c r="P6346" s="115"/>
    </row>
    <row r="6347" spans="16:16">
      <c r="P6347" s="115"/>
    </row>
    <row r="6348" spans="16:16">
      <c r="P6348" s="115"/>
    </row>
    <row r="6349" spans="16:16">
      <c r="P6349" s="115"/>
    </row>
    <row r="6350" spans="16:16">
      <c r="P6350" s="115"/>
    </row>
    <row r="6351" spans="16:16">
      <c r="P6351" s="115"/>
    </row>
    <row r="6352" spans="16:16">
      <c r="P6352" s="115"/>
    </row>
    <row r="6353" spans="16:16">
      <c r="P6353" s="115"/>
    </row>
    <row r="6354" spans="16:16">
      <c r="P6354" s="115"/>
    </row>
    <row r="6355" spans="16:16">
      <c r="P6355" s="115"/>
    </row>
    <row r="6356" spans="16:16">
      <c r="P6356" s="115"/>
    </row>
    <row r="6357" spans="16:16">
      <c r="P6357" s="115"/>
    </row>
    <row r="6358" spans="16:16">
      <c r="P6358" s="115"/>
    </row>
    <row r="6359" spans="16:16">
      <c r="P6359" s="115"/>
    </row>
    <row r="6360" spans="16:16">
      <c r="P6360" s="115"/>
    </row>
    <row r="6361" spans="16:16">
      <c r="P6361" s="115"/>
    </row>
    <row r="6362" spans="16:16">
      <c r="P6362" s="115"/>
    </row>
    <row r="6363" spans="16:16">
      <c r="P6363" s="115"/>
    </row>
    <row r="6364" spans="16:16">
      <c r="P6364" s="115"/>
    </row>
    <row r="6365" spans="16:16">
      <c r="P6365" s="115"/>
    </row>
    <row r="6366" spans="16:16">
      <c r="P6366" s="115"/>
    </row>
    <row r="6367" spans="16:16">
      <c r="P6367" s="115"/>
    </row>
    <row r="6368" spans="16:16">
      <c r="P6368" s="115"/>
    </row>
    <row r="6369" spans="16:16">
      <c r="P6369" s="115"/>
    </row>
    <row r="6370" spans="16:16">
      <c r="P6370" s="115"/>
    </row>
    <row r="6371" spans="16:16">
      <c r="P6371" s="115"/>
    </row>
    <row r="6372" spans="16:16">
      <c r="P6372" s="115"/>
    </row>
    <row r="6373" spans="16:16">
      <c r="P6373" s="115"/>
    </row>
    <row r="6374" spans="16:16">
      <c r="P6374" s="115"/>
    </row>
    <row r="6375" spans="16:16">
      <c r="P6375" s="115"/>
    </row>
    <row r="6376" spans="16:16">
      <c r="P6376" s="115"/>
    </row>
    <row r="6377" spans="16:16">
      <c r="P6377" s="115"/>
    </row>
    <row r="6378" spans="16:16">
      <c r="P6378" s="115"/>
    </row>
    <row r="6379" spans="16:16">
      <c r="P6379" s="115"/>
    </row>
    <row r="6380" spans="16:16">
      <c r="P6380" s="115"/>
    </row>
    <row r="6381" spans="16:16">
      <c r="P6381" s="115"/>
    </row>
    <row r="6382" spans="16:16">
      <c r="P6382" s="115"/>
    </row>
    <row r="6383" spans="16:16">
      <c r="P6383" s="115"/>
    </row>
    <row r="6384" spans="16:16">
      <c r="P6384" s="115"/>
    </row>
    <row r="6385" spans="16:16">
      <c r="P6385" s="115"/>
    </row>
    <row r="6386" spans="16:16">
      <c r="P6386" s="115"/>
    </row>
    <row r="6387" spans="16:16">
      <c r="P6387" s="115"/>
    </row>
    <row r="6388" spans="16:16">
      <c r="P6388" s="115"/>
    </row>
    <row r="6389" spans="16:16">
      <c r="P6389" s="115"/>
    </row>
    <row r="6390" spans="16:16">
      <c r="P6390" s="115"/>
    </row>
    <row r="6391" spans="16:16">
      <c r="P6391" s="115"/>
    </row>
    <row r="6392" spans="16:16">
      <c r="P6392" s="115"/>
    </row>
    <row r="6393" spans="16:16">
      <c r="P6393" s="115"/>
    </row>
    <row r="6394" spans="16:16">
      <c r="P6394" s="115"/>
    </row>
    <row r="6395" spans="16:16">
      <c r="P6395" s="115"/>
    </row>
    <row r="6396" spans="16:16">
      <c r="P6396" s="115"/>
    </row>
    <row r="6397" spans="16:16">
      <c r="P6397" s="115"/>
    </row>
    <row r="6398" spans="16:16">
      <c r="P6398" s="115"/>
    </row>
    <row r="6399" spans="16:16">
      <c r="P6399" s="115"/>
    </row>
    <row r="6400" spans="16:16">
      <c r="P6400" s="115"/>
    </row>
    <row r="6401" spans="16:16">
      <c r="P6401" s="115"/>
    </row>
    <row r="6402" spans="16:16">
      <c r="P6402" s="115"/>
    </row>
    <row r="6403" spans="16:16">
      <c r="P6403" s="115"/>
    </row>
    <row r="6404" spans="16:16">
      <c r="P6404" s="115"/>
    </row>
    <row r="6405" spans="16:16">
      <c r="P6405" s="115"/>
    </row>
    <row r="6406" spans="16:16">
      <c r="P6406" s="115"/>
    </row>
    <row r="6407" spans="16:16">
      <c r="P6407" s="115"/>
    </row>
    <row r="6408" spans="16:16">
      <c r="P6408" s="115"/>
    </row>
    <row r="6409" spans="16:16">
      <c r="P6409" s="115"/>
    </row>
    <row r="6410" spans="16:16">
      <c r="P6410" s="115"/>
    </row>
    <row r="6411" spans="16:16">
      <c r="P6411" s="115"/>
    </row>
    <row r="6412" spans="16:16">
      <c r="P6412" s="115"/>
    </row>
    <row r="6413" spans="16:16">
      <c r="P6413" s="115"/>
    </row>
    <row r="6414" spans="16:16">
      <c r="P6414" s="115"/>
    </row>
    <row r="6415" spans="16:16">
      <c r="P6415" s="115"/>
    </row>
    <row r="6416" spans="16:16">
      <c r="P6416" s="115"/>
    </row>
    <row r="6417" spans="16:16">
      <c r="P6417" s="115"/>
    </row>
    <row r="6418" spans="16:16">
      <c r="P6418" s="115"/>
    </row>
    <row r="6419" spans="16:16">
      <c r="P6419" s="115"/>
    </row>
    <row r="6420" spans="16:16">
      <c r="P6420" s="115"/>
    </row>
    <row r="6421" spans="16:16">
      <c r="P6421" s="115"/>
    </row>
    <row r="6422" spans="16:16">
      <c r="P6422" s="115"/>
    </row>
    <row r="6423" spans="16:16">
      <c r="P6423" s="115"/>
    </row>
    <row r="6424" spans="16:16">
      <c r="P6424" s="115"/>
    </row>
    <row r="6425" spans="16:16">
      <c r="P6425" s="115"/>
    </row>
    <row r="6426" spans="16:16">
      <c r="P6426" s="115"/>
    </row>
    <row r="6427" spans="16:16">
      <c r="P6427" s="115"/>
    </row>
    <row r="6428" spans="16:16">
      <c r="P6428" s="115"/>
    </row>
    <row r="6429" spans="16:16">
      <c r="P6429" s="115"/>
    </row>
    <row r="6430" spans="16:16">
      <c r="P6430" s="115"/>
    </row>
    <row r="6431" spans="16:16">
      <c r="P6431" s="115"/>
    </row>
    <row r="6432" spans="16:16">
      <c r="P6432" s="115"/>
    </row>
    <row r="6433" spans="16:16">
      <c r="P6433" s="115"/>
    </row>
    <row r="6434" spans="16:16">
      <c r="P6434" s="115"/>
    </row>
    <row r="6435" spans="16:16">
      <c r="P6435" s="115"/>
    </row>
    <row r="6436" spans="16:16">
      <c r="P6436" s="115"/>
    </row>
    <row r="6437" spans="16:16">
      <c r="P6437" s="115"/>
    </row>
    <row r="6438" spans="16:16">
      <c r="P6438" s="115"/>
    </row>
    <row r="6439" spans="16:16">
      <c r="P6439" s="115"/>
    </row>
    <row r="6440" spans="16:16">
      <c r="P6440" s="115"/>
    </row>
    <row r="6441" spans="16:16">
      <c r="P6441" s="115"/>
    </row>
    <row r="6442" spans="16:16">
      <c r="P6442" s="115"/>
    </row>
    <row r="6443" spans="16:16">
      <c r="P6443" s="115"/>
    </row>
    <row r="6444" spans="16:16">
      <c r="P6444" s="115"/>
    </row>
    <row r="6445" spans="16:16">
      <c r="P6445" s="115"/>
    </row>
    <row r="6446" spans="16:16">
      <c r="P6446" s="115"/>
    </row>
    <row r="6447" spans="16:16">
      <c r="P6447" s="115"/>
    </row>
    <row r="6448" spans="16:16">
      <c r="P6448" s="115"/>
    </row>
    <row r="6449" spans="16:16">
      <c r="P6449" s="115"/>
    </row>
    <row r="6450" spans="16:16">
      <c r="P6450" s="115"/>
    </row>
    <row r="6451" spans="16:16">
      <c r="P6451" s="115"/>
    </row>
    <row r="6452" spans="16:16">
      <c r="P6452" s="115"/>
    </row>
    <row r="6453" spans="16:16">
      <c r="P6453" s="115"/>
    </row>
    <row r="6454" spans="16:16">
      <c r="P6454" s="115"/>
    </row>
    <row r="6455" spans="16:16">
      <c r="P6455" s="115"/>
    </row>
    <row r="6456" spans="16:16">
      <c r="P6456" s="115"/>
    </row>
    <row r="6457" spans="16:16">
      <c r="P6457" s="115"/>
    </row>
    <row r="6458" spans="16:16">
      <c r="P6458" s="115"/>
    </row>
    <row r="6459" spans="16:16">
      <c r="P6459" s="115"/>
    </row>
    <row r="6460" spans="16:16">
      <c r="P6460" s="115"/>
    </row>
    <row r="6461" spans="16:16">
      <c r="P6461" s="115"/>
    </row>
    <row r="6462" spans="16:16">
      <c r="P6462" s="115"/>
    </row>
    <row r="6463" spans="16:16">
      <c r="P6463" s="115"/>
    </row>
    <row r="6464" spans="16:16">
      <c r="P6464" s="115"/>
    </row>
    <row r="6465" spans="16:16">
      <c r="P6465" s="115"/>
    </row>
    <row r="6466" spans="16:16">
      <c r="P6466" s="115"/>
    </row>
    <row r="6467" spans="16:16">
      <c r="P6467" s="115"/>
    </row>
    <row r="6468" spans="16:16">
      <c r="P6468" s="115"/>
    </row>
    <row r="6469" spans="16:16">
      <c r="P6469" s="115"/>
    </row>
    <row r="6470" spans="16:16">
      <c r="P6470" s="115"/>
    </row>
    <row r="6471" spans="16:16">
      <c r="P6471" s="115"/>
    </row>
    <row r="6472" spans="16:16">
      <c r="P6472" s="115"/>
    </row>
    <row r="6473" spans="16:16">
      <c r="P6473" s="115"/>
    </row>
    <row r="6474" spans="16:16">
      <c r="P6474" s="115"/>
    </row>
    <row r="6475" spans="16:16">
      <c r="P6475" s="115"/>
    </row>
    <row r="6476" spans="16:16">
      <c r="P6476" s="115"/>
    </row>
    <row r="6477" spans="16:16">
      <c r="P6477" s="115"/>
    </row>
    <row r="6478" spans="16:16">
      <c r="P6478" s="115"/>
    </row>
    <row r="6479" spans="16:16">
      <c r="P6479" s="115"/>
    </row>
    <row r="6480" spans="16:16">
      <c r="P6480" s="115"/>
    </row>
    <row r="6481" spans="16:16">
      <c r="P6481" s="115"/>
    </row>
    <row r="6482" spans="16:16">
      <c r="P6482" s="115"/>
    </row>
    <row r="6483" spans="16:16">
      <c r="P6483" s="115"/>
    </row>
    <row r="6484" spans="16:16">
      <c r="P6484" s="115"/>
    </row>
    <row r="6485" spans="16:16">
      <c r="P6485" s="115"/>
    </row>
    <row r="6486" spans="16:16">
      <c r="P6486" s="115"/>
    </row>
    <row r="6487" spans="16:16">
      <c r="P6487" s="115"/>
    </row>
    <row r="6488" spans="16:16">
      <c r="P6488" s="115"/>
    </row>
    <row r="6489" spans="16:16">
      <c r="P6489" s="115"/>
    </row>
    <row r="6490" spans="16:16">
      <c r="P6490" s="115"/>
    </row>
    <row r="6491" spans="16:16">
      <c r="P6491" s="115"/>
    </row>
    <row r="6492" spans="16:16">
      <c r="P6492" s="115"/>
    </row>
    <row r="6493" spans="16:16">
      <c r="P6493" s="115"/>
    </row>
    <row r="6494" spans="16:16">
      <c r="P6494" s="115"/>
    </row>
    <row r="6495" spans="16:16">
      <c r="P6495" s="115"/>
    </row>
    <row r="6496" spans="16:16">
      <c r="P6496" s="115"/>
    </row>
    <row r="6497" spans="16:16">
      <c r="P6497" s="115"/>
    </row>
    <row r="6498" spans="16:16">
      <c r="P6498" s="115"/>
    </row>
    <row r="6499" spans="16:16">
      <c r="P6499" s="115"/>
    </row>
    <row r="6500" spans="16:16">
      <c r="P6500" s="115"/>
    </row>
    <row r="6501" spans="16:16">
      <c r="P6501" s="115"/>
    </row>
    <row r="6502" spans="16:16">
      <c r="P6502" s="115"/>
    </row>
    <row r="6503" spans="16:16">
      <c r="P6503" s="115"/>
    </row>
    <row r="6504" spans="16:16">
      <c r="P6504" s="115"/>
    </row>
    <row r="6505" spans="16:16">
      <c r="P6505" s="115"/>
    </row>
    <row r="6506" spans="16:16">
      <c r="P6506" s="115"/>
    </row>
    <row r="6507" spans="16:16">
      <c r="P6507" s="115"/>
    </row>
    <row r="6508" spans="16:16">
      <c r="P6508" s="115"/>
    </row>
    <row r="6509" spans="16:16">
      <c r="P6509" s="115"/>
    </row>
    <row r="6510" spans="16:16">
      <c r="P6510" s="115"/>
    </row>
    <row r="6511" spans="16:16">
      <c r="P6511" s="115"/>
    </row>
    <row r="6512" spans="16:16">
      <c r="P6512" s="115"/>
    </row>
    <row r="6513" spans="16:16">
      <c r="P6513" s="115"/>
    </row>
    <row r="6514" spans="16:16">
      <c r="P6514" s="115"/>
    </row>
    <row r="6515" spans="16:16">
      <c r="P6515" s="115"/>
    </row>
    <row r="6516" spans="16:16">
      <c r="P6516" s="115"/>
    </row>
    <row r="6517" spans="16:16">
      <c r="P6517" s="115"/>
    </row>
    <row r="6518" spans="16:16">
      <c r="P6518" s="115"/>
    </row>
    <row r="6519" spans="16:16">
      <c r="P6519" s="115"/>
    </row>
    <row r="6520" spans="16:16">
      <c r="P6520" s="115"/>
    </row>
    <row r="6521" spans="16:16">
      <c r="P6521" s="115"/>
    </row>
    <row r="6522" spans="16:16">
      <c r="P6522" s="115"/>
    </row>
    <row r="6523" spans="16:16">
      <c r="P6523" s="115"/>
    </row>
    <row r="6524" spans="16:16">
      <c r="P6524" s="115"/>
    </row>
    <row r="6525" spans="16:16">
      <c r="P6525" s="115"/>
    </row>
    <row r="6526" spans="16:16">
      <c r="P6526" s="115"/>
    </row>
    <row r="6527" spans="16:16">
      <c r="P6527" s="115"/>
    </row>
    <row r="6528" spans="16:16">
      <c r="P6528" s="115"/>
    </row>
    <row r="6529" spans="16:16">
      <c r="P6529" s="115"/>
    </row>
    <row r="6530" spans="16:16">
      <c r="P6530" s="115"/>
    </row>
    <row r="6531" spans="16:16">
      <c r="P6531" s="115"/>
    </row>
    <row r="6532" spans="16:16">
      <c r="P6532" s="115"/>
    </row>
    <row r="6533" spans="16:16">
      <c r="P6533" s="115"/>
    </row>
    <row r="6534" spans="16:16">
      <c r="P6534" s="115"/>
    </row>
    <row r="6535" spans="16:16">
      <c r="P6535" s="115"/>
    </row>
    <row r="6536" spans="16:16">
      <c r="P6536" s="115"/>
    </row>
    <row r="6537" spans="16:16">
      <c r="P6537" s="115"/>
    </row>
    <row r="6538" spans="16:16">
      <c r="P6538" s="115"/>
    </row>
    <row r="6539" spans="16:16">
      <c r="P6539" s="115"/>
    </row>
    <row r="6540" spans="16:16">
      <c r="P6540" s="115"/>
    </row>
    <row r="6541" spans="16:16">
      <c r="P6541" s="115"/>
    </row>
    <row r="6542" spans="16:16">
      <c r="P6542" s="115"/>
    </row>
    <row r="6543" spans="16:16">
      <c r="P6543" s="115"/>
    </row>
    <row r="6544" spans="16:16">
      <c r="P6544" s="115"/>
    </row>
    <row r="6545" spans="16:16">
      <c r="P6545" s="115"/>
    </row>
    <row r="6546" spans="16:16">
      <c r="P6546" s="115"/>
    </row>
    <row r="6547" spans="16:16">
      <c r="P6547" s="115"/>
    </row>
    <row r="6548" spans="16:16">
      <c r="P6548" s="115"/>
    </row>
    <row r="6549" spans="16:16">
      <c r="P6549" s="115"/>
    </row>
    <row r="6550" spans="16:16">
      <c r="P6550" s="115"/>
    </row>
    <row r="6551" spans="16:16">
      <c r="P6551" s="115"/>
    </row>
    <row r="6552" spans="16:16">
      <c r="P6552" s="115"/>
    </row>
    <row r="6553" spans="16:16">
      <c r="P6553" s="115"/>
    </row>
    <row r="6554" spans="16:16">
      <c r="P6554" s="115"/>
    </row>
    <row r="6555" spans="16:16">
      <c r="P6555" s="115"/>
    </row>
    <row r="6556" spans="16:16">
      <c r="P6556" s="115"/>
    </row>
    <row r="6557" spans="16:16">
      <c r="P6557" s="115"/>
    </row>
    <row r="6558" spans="16:16">
      <c r="P6558" s="115"/>
    </row>
    <row r="6559" spans="16:16">
      <c r="P6559" s="115"/>
    </row>
    <row r="6560" spans="16:16">
      <c r="P6560" s="115"/>
    </row>
    <row r="6561" spans="16:16">
      <c r="P6561" s="115"/>
    </row>
    <row r="6562" spans="16:16">
      <c r="P6562" s="115"/>
    </row>
    <row r="6563" spans="16:16">
      <c r="P6563" s="115"/>
    </row>
    <row r="6564" spans="16:16">
      <c r="P6564" s="115"/>
    </row>
    <row r="6565" spans="16:16">
      <c r="P6565" s="115"/>
    </row>
    <row r="6566" spans="16:16">
      <c r="P6566" s="115"/>
    </row>
    <row r="6567" spans="16:16">
      <c r="P6567" s="115"/>
    </row>
    <row r="6568" spans="16:16">
      <c r="P6568" s="115"/>
    </row>
    <row r="6569" spans="16:16">
      <c r="P6569" s="115"/>
    </row>
    <row r="6570" spans="16:16">
      <c r="P6570" s="115"/>
    </row>
    <row r="6571" spans="16:16">
      <c r="P6571" s="115"/>
    </row>
    <row r="6572" spans="16:16">
      <c r="P6572" s="115"/>
    </row>
    <row r="6573" spans="16:16">
      <c r="P6573" s="115"/>
    </row>
    <row r="6574" spans="16:16">
      <c r="P6574" s="115"/>
    </row>
    <row r="6575" spans="16:16">
      <c r="P6575" s="115"/>
    </row>
    <row r="6576" spans="16:16">
      <c r="P6576" s="115"/>
    </row>
    <row r="6577" spans="16:16">
      <c r="P6577" s="115"/>
    </row>
    <row r="6578" spans="16:16">
      <c r="P6578" s="115"/>
    </row>
    <row r="6579" spans="16:16">
      <c r="P6579" s="115"/>
    </row>
    <row r="6580" spans="16:16">
      <c r="P6580" s="115"/>
    </row>
    <row r="6581" spans="16:16">
      <c r="P6581" s="115"/>
    </row>
    <row r="6582" spans="16:16">
      <c r="P6582" s="115"/>
    </row>
    <row r="6583" spans="16:16">
      <c r="P6583" s="115"/>
    </row>
    <row r="6584" spans="16:16">
      <c r="P6584" s="115"/>
    </row>
    <row r="6585" spans="16:16">
      <c r="P6585" s="115"/>
    </row>
    <row r="6586" spans="16:16">
      <c r="P6586" s="115"/>
    </row>
    <row r="6587" spans="16:16">
      <c r="P6587" s="115"/>
    </row>
    <row r="6588" spans="16:16">
      <c r="P6588" s="115"/>
    </row>
    <row r="6589" spans="16:16">
      <c r="P6589" s="115"/>
    </row>
    <row r="6590" spans="16:16">
      <c r="P6590" s="115"/>
    </row>
    <row r="6591" spans="16:16">
      <c r="P6591" s="115"/>
    </row>
    <row r="6592" spans="16:16">
      <c r="P6592" s="115"/>
    </row>
    <row r="6593" spans="16:16">
      <c r="P6593" s="115"/>
    </row>
    <row r="6594" spans="16:16">
      <c r="P6594" s="115"/>
    </row>
    <row r="6595" spans="16:16">
      <c r="P6595" s="115"/>
    </row>
    <row r="6596" spans="16:16">
      <c r="P6596" s="115"/>
    </row>
    <row r="6597" spans="16:16">
      <c r="P6597" s="115"/>
    </row>
    <row r="6598" spans="16:16">
      <c r="P6598" s="115"/>
    </row>
    <row r="6599" spans="16:16">
      <c r="P6599" s="115"/>
    </row>
    <row r="6600" spans="16:16">
      <c r="P6600" s="115"/>
    </row>
    <row r="6601" spans="16:16">
      <c r="P6601" s="115"/>
    </row>
    <row r="6602" spans="16:16">
      <c r="P6602" s="115"/>
    </row>
    <row r="6603" spans="16:16">
      <c r="P6603" s="115"/>
    </row>
    <row r="6604" spans="16:16">
      <c r="P6604" s="115"/>
    </row>
    <row r="6605" spans="16:16">
      <c r="P6605" s="115"/>
    </row>
    <row r="6606" spans="16:16">
      <c r="P6606" s="115"/>
    </row>
    <row r="6607" spans="16:16">
      <c r="P6607" s="115"/>
    </row>
    <row r="6608" spans="16:16">
      <c r="P6608" s="115"/>
    </row>
    <row r="6609" spans="16:16">
      <c r="P6609" s="115"/>
    </row>
    <row r="6610" spans="16:16">
      <c r="P6610" s="115"/>
    </row>
    <row r="6611" spans="16:16">
      <c r="P6611" s="115"/>
    </row>
    <row r="6612" spans="16:16">
      <c r="P6612" s="115"/>
    </row>
    <row r="6613" spans="16:16">
      <c r="P6613" s="115"/>
    </row>
    <row r="6614" spans="16:16">
      <c r="P6614" s="115"/>
    </row>
    <row r="6615" spans="16:16">
      <c r="P6615" s="115"/>
    </row>
    <row r="6616" spans="16:16">
      <c r="P6616" s="115"/>
    </row>
    <row r="6617" spans="16:16">
      <c r="P6617" s="115"/>
    </row>
    <row r="6618" spans="16:16">
      <c r="P6618" s="115"/>
    </row>
    <row r="6619" spans="16:16">
      <c r="P6619" s="115"/>
    </row>
    <row r="6620" spans="16:16">
      <c r="P6620" s="115"/>
    </row>
    <row r="6621" spans="16:16">
      <c r="P6621" s="115"/>
    </row>
    <row r="6622" spans="16:16">
      <c r="P6622" s="115"/>
    </row>
    <row r="6623" spans="16:16">
      <c r="P6623" s="115"/>
    </row>
    <row r="6624" spans="16:16">
      <c r="P6624" s="115"/>
    </row>
    <row r="6625" spans="16:16">
      <c r="P6625" s="115"/>
    </row>
    <row r="6626" spans="16:16">
      <c r="P6626" s="115"/>
    </row>
    <row r="6627" spans="16:16">
      <c r="P6627" s="115"/>
    </row>
    <row r="6628" spans="16:16">
      <c r="P6628" s="115"/>
    </row>
    <row r="6629" spans="16:16">
      <c r="P6629" s="115"/>
    </row>
    <row r="6630" spans="16:16">
      <c r="P6630" s="115"/>
    </row>
    <row r="6631" spans="16:16">
      <c r="P6631" s="115"/>
    </row>
    <row r="6632" spans="16:16">
      <c r="P6632" s="115"/>
    </row>
    <row r="6633" spans="16:16">
      <c r="P6633" s="115"/>
    </row>
    <row r="6634" spans="16:16">
      <c r="P6634" s="115"/>
    </row>
    <row r="6635" spans="16:16">
      <c r="P6635" s="115"/>
    </row>
    <row r="6636" spans="16:16">
      <c r="P6636" s="115"/>
    </row>
    <row r="6637" spans="16:16">
      <c r="P6637" s="115"/>
    </row>
    <row r="6638" spans="16:16">
      <c r="P6638" s="115"/>
    </row>
    <row r="6639" spans="16:16">
      <c r="P6639" s="115"/>
    </row>
    <row r="6640" spans="16:16">
      <c r="P6640" s="115"/>
    </row>
    <row r="6641" spans="16:16">
      <c r="P6641" s="115"/>
    </row>
    <row r="6642" spans="16:16">
      <c r="P6642" s="115"/>
    </row>
    <row r="6643" spans="16:16">
      <c r="P6643" s="115"/>
    </row>
    <row r="6644" spans="16:16">
      <c r="P6644" s="115"/>
    </row>
    <row r="6645" spans="16:16">
      <c r="P6645" s="115"/>
    </row>
    <row r="6646" spans="16:16">
      <c r="P6646" s="115"/>
    </row>
    <row r="6647" spans="16:16">
      <c r="P6647" s="115"/>
    </row>
    <row r="6648" spans="16:16">
      <c r="P6648" s="115"/>
    </row>
    <row r="6649" spans="16:16">
      <c r="P6649" s="115"/>
    </row>
    <row r="6650" spans="16:16">
      <c r="P6650" s="115"/>
    </row>
    <row r="6651" spans="16:16">
      <c r="P6651" s="115"/>
    </row>
    <row r="6652" spans="16:16">
      <c r="P6652" s="115"/>
    </row>
    <row r="6653" spans="16:16">
      <c r="P6653" s="115"/>
    </row>
    <row r="6654" spans="16:16">
      <c r="P6654" s="115"/>
    </row>
    <row r="6655" spans="16:16">
      <c r="P6655" s="115"/>
    </row>
    <row r="6656" spans="16:16">
      <c r="P6656" s="115"/>
    </row>
    <row r="6657" spans="16:16">
      <c r="P6657" s="115"/>
    </row>
    <row r="6658" spans="16:16">
      <c r="P6658" s="115"/>
    </row>
    <row r="6659" spans="16:16">
      <c r="P6659" s="115"/>
    </row>
    <row r="6660" spans="16:16">
      <c r="P6660" s="115"/>
    </row>
    <row r="6661" spans="16:16">
      <c r="P6661" s="115"/>
    </row>
    <row r="6662" spans="16:16">
      <c r="P6662" s="115"/>
    </row>
    <row r="6663" spans="16:16">
      <c r="P6663" s="115"/>
    </row>
    <row r="6664" spans="16:16">
      <c r="P6664" s="115"/>
    </row>
    <row r="6665" spans="16:16">
      <c r="P6665" s="115"/>
    </row>
    <row r="6666" spans="16:16">
      <c r="P6666" s="115"/>
    </row>
    <row r="6667" spans="16:16">
      <c r="P6667" s="115"/>
    </row>
    <row r="6668" spans="16:16">
      <c r="P6668" s="115"/>
    </row>
    <row r="6669" spans="16:16">
      <c r="P6669" s="115"/>
    </row>
    <row r="6670" spans="16:16">
      <c r="P6670" s="115"/>
    </row>
    <row r="6671" spans="16:16">
      <c r="P6671" s="115"/>
    </row>
    <row r="6672" spans="16:16">
      <c r="P6672" s="115"/>
    </row>
    <row r="6673" spans="16:16">
      <c r="P6673" s="115"/>
    </row>
    <row r="6674" spans="16:16">
      <c r="P6674" s="115"/>
    </row>
    <row r="6675" spans="16:16">
      <c r="P6675" s="115"/>
    </row>
    <row r="6676" spans="16:16">
      <c r="P6676" s="115"/>
    </row>
    <row r="6677" spans="16:16">
      <c r="P6677" s="115"/>
    </row>
    <row r="6678" spans="16:16">
      <c r="P6678" s="115"/>
    </row>
    <row r="6679" spans="16:16">
      <c r="P6679" s="115"/>
    </row>
    <row r="6680" spans="16:16">
      <c r="P6680" s="115"/>
    </row>
    <row r="6681" spans="16:16">
      <c r="P6681" s="115"/>
    </row>
    <row r="6682" spans="16:16">
      <c r="P6682" s="115"/>
    </row>
    <row r="6683" spans="16:16">
      <c r="P6683" s="115"/>
    </row>
    <row r="6684" spans="16:16">
      <c r="P6684" s="115"/>
    </row>
    <row r="6685" spans="16:16">
      <c r="P6685" s="115"/>
    </row>
    <row r="6686" spans="16:16">
      <c r="P6686" s="115"/>
    </row>
    <row r="6687" spans="16:16">
      <c r="P6687" s="115"/>
    </row>
    <row r="6688" spans="16:16">
      <c r="P6688" s="115"/>
    </row>
    <row r="6689" spans="16:16">
      <c r="P6689" s="115"/>
    </row>
    <row r="6690" spans="16:16">
      <c r="P6690" s="115"/>
    </row>
    <row r="6691" spans="16:16">
      <c r="P6691" s="115"/>
    </row>
    <row r="6692" spans="16:16">
      <c r="P6692" s="115"/>
    </row>
    <row r="6693" spans="16:16">
      <c r="P6693" s="115"/>
    </row>
    <row r="6694" spans="16:16">
      <c r="P6694" s="115"/>
    </row>
    <row r="6695" spans="16:16">
      <c r="P6695" s="115"/>
    </row>
    <row r="6696" spans="16:16">
      <c r="P6696" s="115"/>
    </row>
    <row r="6697" spans="16:16">
      <c r="P6697" s="115"/>
    </row>
    <row r="6698" spans="16:16">
      <c r="P6698" s="115"/>
    </row>
    <row r="6699" spans="16:16">
      <c r="P6699" s="115"/>
    </row>
    <row r="6700" spans="16:16">
      <c r="P6700" s="115"/>
    </row>
    <row r="6701" spans="16:16">
      <c r="P6701" s="115"/>
    </row>
    <row r="6702" spans="16:16">
      <c r="P6702" s="115"/>
    </row>
    <row r="6703" spans="16:16">
      <c r="P6703" s="115"/>
    </row>
    <row r="6704" spans="16:16">
      <c r="P6704" s="115"/>
    </row>
    <row r="6705" spans="16:16">
      <c r="P6705" s="115"/>
    </row>
    <row r="6706" spans="16:16">
      <c r="P6706" s="115"/>
    </row>
    <row r="6707" spans="16:16">
      <c r="P6707" s="115"/>
    </row>
    <row r="6708" spans="16:16">
      <c r="P6708" s="115"/>
    </row>
    <row r="6709" spans="16:16">
      <c r="P6709" s="115"/>
    </row>
    <row r="6710" spans="16:16">
      <c r="P6710" s="115"/>
    </row>
    <row r="6711" spans="16:16">
      <c r="P6711" s="115"/>
    </row>
    <row r="6712" spans="16:16">
      <c r="P6712" s="115"/>
    </row>
    <row r="6713" spans="16:16">
      <c r="P6713" s="115"/>
    </row>
    <row r="6714" spans="16:16">
      <c r="P6714" s="115"/>
    </row>
    <row r="6715" spans="16:16">
      <c r="P6715" s="115"/>
    </row>
    <row r="6716" spans="16:16">
      <c r="P6716" s="115"/>
    </row>
    <row r="6717" spans="16:16">
      <c r="P6717" s="115"/>
    </row>
    <row r="6718" spans="16:16">
      <c r="P6718" s="115"/>
    </row>
    <row r="6719" spans="16:16">
      <c r="P6719" s="115"/>
    </row>
    <row r="6720" spans="16:16">
      <c r="P6720" s="115"/>
    </row>
    <row r="6721" spans="16:16">
      <c r="P6721" s="115"/>
    </row>
    <row r="6722" spans="16:16">
      <c r="P6722" s="115"/>
    </row>
    <row r="6723" spans="16:16">
      <c r="P6723" s="115"/>
    </row>
    <row r="6724" spans="16:16">
      <c r="P6724" s="115"/>
    </row>
    <row r="6725" spans="16:16">
      <c r="P6725" s="115"/>
    </row>
    <row r="6726" spans="16:16">
      <c r="P6726" s="115"/>
    </row>
    <row r="6727" spans="16:16">
      <c r="P6727" s="115"/>
    </row>
    <row r="6728" spans="16:16">
      <c r="P6728" s="115"/>
    </row>
    <row r="6729" spans="16:16">
      <c r="P6729" s="115"/>
    </row>
    <row r="6730" spans="16:16">
      <c r="P6730" s="115"/>
    </row>
    <row r="6731" spans="16:16">
      <c r="P6731" s="115"/>
    </row>
    <row r="6732" spans="16:16">
      <c r="P6732" s="115"/>
    </row>
    <row r="6733" spans="16:16">
      <c r="P6733" s="115"/>
    </row>
    <row r="6734" spans="16:16">
      <c r="P6734" s="115"/>
    </row>
    <row r="6735" spans="16:16">
      <c r="P6735" s="115"/>
    </row>
    <row r="6736" spans="16:16">
      <c r="P6736" s="115"/>
    </row>
    <row r="6737" spans="16:16">
      <c r="P6737" s="115"/>
    </row>
    <row r="6738" spans="16:16">
      <c r="P6738" s="115"/>
    </row>
    <row r="6739" spans="16:16">
      <c r="P6739" s="115"/>
    </row>
    <row r="6740" spans="16:16">
      <c r="P6740" s="115"/>
    </row>
    <row r="6741" spans="16:16">
      <c r="P6741" s="115"/>
    </row>
    <row r="6742" spans="16:16">
      <c r="P6742" s="115"/>
    </row>
    <row r="6743" spans="16:16">
      <c r="P6743" s="115"/>
    </row>
    <row r="6744" spans="16:16">
      <c r="P6744" s="115"/>
    </row>
    <row r="6745" spans="16:16">
      <c r="P6745" s="115"/>
    </row>
    <row r="6746" spans="16:16">
      <c r="P6746" s="115"/>
    </row>
    <row r="6747" spans="16:16">
      <c r="P6747" s="115"/>
    </row>
    <row r="6748" spans="16:16">
      <c r="P6748" s="115"/>
    </row>
    <row r="6749" spans="16:16">
      <c r="P6749" s="115"/>
    </row>
    <row r="6750" spans="16:16">
      <c r="P6750" s="115"/>
    </row>
    <row r="6751" spans="16:16">
      <c r="P6751" s="115"/>
    </row>
    <row r="6752" spans="16:16">
      <c r="P6752" s="115"/>
    </row>
    <row r="6753" spans="16:16">
      <c r="P6753" s="115"/>
    </row>
    <row r="6754" spans="16:16">
      <c r="P6754" s="115"/>
    </row>
    <row r="6755" spans="16:16">
      <c r="P6755" s="115"/>
    </row>
    <row r="6756" spans="16:16">
      <c r="P6756" s="115"/>
    </row>
    <row r="6757" spans="16:16">
      <c r="P6757" s="115"/>
    </row>
    <row r="6758" spans="16:16">
      <c r="P6758" s="115"/>
    </row>
    <row r="6759" spans="16:16">
      <c r="P6759" s="115"/>
    </row>
    <row r="6760" spans="16:16">
      <c r="P6760" s="115"/>
    </row>
    <row r="6761" spans="16:16">
      <c r="P6761" s="115"/>
    </row>
    <row r="6762" spans="16:16">
      <c r="P6762" s="115"/>
    </row>
    <row r="6763" spans="16:16">
      <c r="P6763" s="115"/>
    </row>
    <row r="6764" spans="16:16">
      <c r="P6764" s="115"/>
    </row>
    <row r="6765" spans="16:16">
      <c r="P6765" s="115"/>
    </row>
    <row r="6766" spans="16:16">
      <c r="P6766" s="115"/>
    </row>
    <row r="6767" spans="16:16">
      <c r="P6767" s="115"/>
    </row>
    <row r="6768" spans="16:16">
      <c r="P6768" s="115"/>
    </row>
    <row r="6769" spans="16:16">
      <c r="P6769" s="115"/>
    </row>
    <row r="6770" spans="16:16">
      <c r="P6770" s="115"/>
    </row>
    <row r="6771" spans="16:16">
      <c r="P6771" s="115"/>
    </row>
    <row r="6772" spans="16:16">
      <c r="P6772" s="115"/>
    </row>
    <row r="6773" spans="16:16">
      <c r="P6773" s="115"/>
    </row>
    <row r="6774" spans="16:16">
      <c r="P6774" s="115"/>
    </row>
    <row r="6775" spans="16:16">
      <c r="P6775" s="115"/>
    </row>
    <row r="6776" spans="16:16">
      <c r="P6776" s="115"/>
    </row>
    <row r="6777" spans="16:16">
      <c r="P6777" s="115"/>
    </row>
    <row r="6778" spans="16:16">
      <c r="P6778" s="115"/>
    </row>
    <row r="6779" spans="16:16">
      <c r="P6779" s="115"/>
    </row>
    <row r="6780" spans="16:16">
      <c r="P6780" s="115"/>
    </row>
    <row r="6781" spans="16:16">
      <c r="P6781" s="115"/>
    </row>
    <row r="6782" spans="16:16">
      <c r="P6782" s="115"/>
    </row>
    <row r="6783" spans="16:16">
      <c r="P6783" s="115"/>
    </row>
    <row r="6784" spans="16:16">
      <c r="P6784" s="115"/>
    </row>
    <row r="6785" spans="16:16">
      <c r="P6785" s="115"/>
    </row>
    <row r="6786" spans="16:16">
      <c r="P6786" s="115"/>
    </row>
    <row r="6787" spans="16:16">
      <c r="P6787" s="115"/>
    </row>
    <row r="6788" spans="16:16">
      <c r="P6788" s="115"/>
    </row>
    <row r="6789" spans="16:16">
      <c r="P6789" s="115"/>
    </row>
    <row r="6790" spans="16:16">
      <c r="P6790" s="115"/>
    </row>
    <row r="6791" spans="16:16">
      <c r="P6791" s="115"/>
    </row>
    <row r="6792" spans="16:16">
      <c r="P6792" s="115"/>
    </row>
    <row r="6793" spans="16:16">
      <c r="P6793" s="115"/>
    </row>
    <row r="6794" spans="16:16">
      <c r="P6794" s="115"/>
    </row>
    <row r="6795" spans="16:16">
      <c r="P6795" s="115"/>
    </row>
    <row r="6796" spans="16:16">
      <c r="P6796" s="115"/>
    </row>
    <row r="6797" spans="16:16">
      <c r="P6797" s="115"/>
    </row>
    <row r="6798" spans="16:16">
      <c r="P6798" s="115"/>
    </row>
    <row r="6799" spans="16:16">
      <c r="P6799" s="115"/>
    </row>
    <row r="6800" spans="16:16">
      <c r="P6800" s="115"/>
    </row>
    <row r="6801" spans="16:16">
      <c r="P6801" s="115"/>
    </row>
    <row r="6802" spans="16:16">
      <c r="P6802" s="115"/>
    </row>
    <row r="6803" spans="16:16">
      <c r="P6803" s="115"/>
    </row>
    <row r="6804" spans="16:16">
      <c r="P6804" s="115"/>
    </row>
    <row r="6805" spans="16:16">
      <c r="P6805" s="115"/>
    </row>
    <row r="6806" spans="16:16">
      <c r="P6806" s="115"/>
    </row>
    <row r="6807" spans="16:16">
      <c r="P6807" s="115"/>
    </row>
    <row r="6808" spans="16:16">
      <c r="P6808" s="115"/>
    </row>
    <row r="6809" spans="16:16">
      <c r="P6809" s="115"/>
    </row>
    <row r="6810" spans="16:16">
      <c r="P6810" s="115"/>
    </row>
    <row r="6811" spans="16:16">
      <c r="P6811" s="115"/>
    </row>
    <row r="6812" spans="16:16">
      <c r="P6812" s="115"/>
    </row>
    <row r="6813" spans="16:16">
      <c r="P6813" s="115"/>
    </row>
    <row r="6814" spans="16:16">
      <c r="P6814" s="115"/>
    </row>
    <row r="6815" spans="16:16">
      <c r="P6815" s="115"/>
    </row>
    <row r="6816" spans="16:16">
      <c r="P6816" s="115"/>
    </row>
    <row r="6817" spans="16:16">
      <c r="P6817" s="115"/>
    </row>
    <row r="6818" spans="16:16">
      <c r="P6818" s="115"/>
    </row>
    <row r="6819" spans="16:16">
      <c r="P6819" s="115"/>
    </row>
    <row r="6820" spans="16:16">
      <c r="P6820" s="115"/>
    </row>
    <row r="6821" spans="16:16">
      <c r="P6821" s="115"/>
    </row>
    <row r="6822" spans="16:16">
      <c r="P6822" s="115"/>
    </row>
    <row r="6823" spans="16:16">
      <c r="P6823" s="115"/>
    </row>
    <row r="6824" spans="16:16">
      <c r="P6824" s="115"/>
    </row>
    <row r="6825" spans="16:16">
      <c r="P6825" s="115"/>
    </row>
    <row r="6826" spans="16:16">
      <c r="P6826" s="115"/>
    </row>
    <row r="6827" spans="16:16">
      <c r="P6827" s="115"/>
    </row>
    <row r="6828" spans="16:16">
      <c r="P6828" s="115"/>
    </row>
    <row r="6829" spans="16:16">
      <c r="P6829" s="115"/>
    </row>
    <row r="6830" spans="16:16">
      <c r="P6830" s="115"/>
    </row>
    <row r="6831" spans="16:16">
      <c r="P6831" s="115"/>
    </row>
    <row r="6832" spans="16:16">
      <c r="P6832" s="115"/>
    </row>
    <row r="6833" spans="16:16">
      <c r="P6833" s="115"/>
    </row>
    <row r="6834" spans="16:16">
      <c r="P6834" s="115"/>
    </row>
    <row r="6835" spans="16:16">
      <c r="P6835" s="115"/>
    </row>
    <row r="6836" spans="16:16">
      <c r="P6836" s="115"/>
    </row>
    <row r="6837" spans="16:16">
      <c r="P6837" s="115"/>
    </row>
    <row r="6838" spans="16:16">
      <c r="P6838" s="115"/>
    </row>
    <row r="6839" spans="16:16">
      <c r="P6839" s="115"/>
    </row>
    <row r="6840" spans="16:16">
      <c r="P6840" s="115"/>
    </row>
    <row r="6841" spans="16:16">
      <c r="P6841" s="115"/>
    </row>
    <row r="6842" spans="16:16">
      <c r="P6842" s="115"/>
    </row>
    <row r="6843" spans="16:16">
      <c r="P6843" s="115"/>
    </row>
    <row r="6844" spans="16:16">
      <c r="P6844" s="115"/>
    </row>
    <row r="6845" spans="16:16">
      <c r="P6845" s="115"/>
    </row>
    <row r="6846" spans="16:16">
      <c r="P6846" s="115"/>
    </row>
    <row r="6847" spans="16:16">
      <c r="P6847" s="115"/>
    </row>
    <row r="6848" spans="16:16">
      <c r="P6848" s="115"/>
    </row>
    <row r="6849" spans="16:16">
      <c r="P6849" s="115"/>
    </row>
    <row r="6850" spans="16:16">
      <c r="P6850" s="115"/>
    </row>
    <row r="6851" spans="16:16">
      <c r="P6851" s="115"/>
    </row>
    <row r="6852" spans="16:16">
      <c r="P6852" s="115"/>
    </row>
    <row r="6853" spans="16:16">
      <c r="P6853" s="115"/>
    </row>
    <row r="6854" spans="16:16">
      <c r="P6854" s="115"/>
    </row>
    <row r="6855" spans="16:16">
      <c r="P6855" s="115"/>
    </row>
    <row r="6856" spans="16:16">
      <c r="P6856" s="115"/>
    </row>
    <row r="6857" spans="16:16">
      <c r="P6857" s="115"/>
    </row>
    <row r="6858" spans="16:16">
      <c r="P6858" s="115"/>
    </row>
    <row r="6859" spans="16:16">
      <c r="P6859" s="115"/>
    </row>
    <row r="6860" spans="16:16">
      <c r="P6860" s="115"/>
    </row>
    <row r="6861" spans="16:16">
      <c r="P6861" s="115"/>
    </row>
    <row r="6862" spans="16:16">
      <c r="P6862" s="115"/>
    </row>
    <row r="6863" spans="16:16">
      <c r="P6863" s="115"/>
    </row>
    <row r="6864" spans="16:16">
      <c r="P6864" s="115"/>
    </row>
    <row r="6865" spans="16:16">
      <c r="P6865" s="115"/>
    </row>
    <row r="6866" spans="16:16">
      <c r="P6866" s="115"/>
    </row>
    <row r="6867" spans="16:16">
      <c r="P6867" s="115"/>
    </row>
    <row r="6868" spans="16:16">
      <c r="P6868" s="115"/>
    </row>
    <row r="6869" spans="16:16">
      <c r="P6869" s="115"/>
    </row>
    <row r="6870" spans="16:16">
      <c r="P6870" s="115"/>
    </row>
    <row r="6871" spans="16:16">
      <c r="P6871" s="115"/>
    </row>
    <row r="6872" spans="16:16">
      <c r="P6872" s="115"/>
    </row>
    <row r="6873" spans="16:16">
      <c r="P6873" s="115"/>
    </row>
    <row r="6874" spans="16:16">
      <c r="P6874" s="115"/>
    </row>
    <row r="6875" spans="16:16">
      <c r="P6875" s="115"/>
    </row>
    <row r="6876" spans="16:16">
      <c r="P6876" s="115"/>
    </row>
    <row r="6877" spans="16:16">
      <c r="P6877" s="115"/>
    </row>
    <row r="6878" spans="16:16">
      <c r="P6878" s="115"/>
    </row>
    <row r="6879" spans="16:16">
      <c r="P6879" s="115"/>
    </row>
    <row r="6880" spans="16:16">
      <c r="P6880" s="115"/>
    </row>
    <row r="6881" spans="16:16">
      <c r="P6881" s="115"/>
    </row>
    <row r="6882" spans="16:16">
      <c r="P6882" s="115"/>
    </row>
    <row r="6883" spans="16:16">
      <c r="P6883" s="115"/>
    </row>
    <row r="6884" spans="16:16">
      <c r="P6884" s="115"/>
    </row>
    <row r="6885" spans="16:16">
      <c r="P6885" s="115"/>
    </row>
    <row r="6886" spans="16:16">
      <c r="P6886" s="115"/>
    </row>
    <row r="6887" spans="16:16">
      <c r="P6887" s="115"/>
    </row>
    <row r="6888" spans="16:16">
      <c r="P6888" s="115"/>
    </row>
    <row r="6889" spans="16:16">
      <c r="P6889" s="115"/>
    </row>
    <row r="6890" spans="16:16">
      <c r="P6890" s="115"/>
    </row>
    <row r="6891" spans="16:16">
      <c r="P6891" s="115"/>
    </row>
    <row r="6892" spans="16:16">
      <c r="P6892" s="115"/>
    </row>
    <row r="6893" spans="16:16">
      <c r="P6893" s="115"/>
    </row>
    <row r="6894" spans="16:16">
      <c r="P6894" s="115"/>
    </row>
    <row r="6895" spans="16:16">
      <c r="P6895" s="115"/>
    </row>
    <row r="6896" spans="16:16">
      <c r="P6896" s="115"/>
    </row>
    <row r="6897" spans="16:16">
      <c r="P6897" s="115"/>
    </row>
    <row r="6898" spans="16:16">
      <c r="P6898" s="115"/>
    </row>
    <row r="6899" spans="16:16">
      <c r="P6899" s="115"/>
    </row>
    <row r="6900" spans="16:16">
      <c r="P6900" s="115"/>
    </row>
    <row r="6901" spans="16:16">
      <c r="P6901" s="115"/>
    </row>
    <row r="6902" spans="16:16">
      <c r="P6902" s="115"/>
    </row>
    <row r="6903" spans="16:16">
      <c r="P6903" s="115"/>
    </row>
    <row r="6904" spans="16:16">
      <c r="P6904" s="115"/>
    </row>
    <row r="6905" spans="16:16">
      <c r="P6905" s="115"/>
    </row>
    <row r="6906" spans="16:16">
      <c r="P6906" s="115"/>
    </row>
    <row r="6907" spans="16:16">
      <c r="P6907" s="115"/>
    </row>
    <row r="6908" spans="16:16">
      <c r="P6908" s="115"/>
    </row>
    <row r="6909" spans="16:16">
      <c r="P6909" s="115"/>
    </row>
    <row r="6910" spans="16:16">
      <c r="P6910" s="115"/>
    </row>
    <row r="6911" spans="16:16">
      <c r="P6911" s="115"/>
    </row>
    <row r="6912" spans="16:16">
      <c r="P6912" s="115"/>
    </row>
    <row r="6913" spans="16:16">
      <c r="P6913" s="115"/>
    </row>
    <row r="6914" spans="16:16">
      <c r="P6914" s="115"/>
    </row>
    <row r="6915" spans="16:16">
      <c r="P6915" s="115"/>
    </row>
    <row r="6916" spans="16:16">
      <c r="P6916" s="115"/>
    </row>
    <row r="6917" spans="16:16">
      <c r="P6917" s="115"/>
    </row>
    <row r="6918" spans="16:16">
      <c r="P6918" s="115"/>
    </row>
    <row r="6919" spans="16:16">
      <c r="P6919" s="115"/>
    </row>
    <row r="6920" spans="16:16">
      <c r="P6920" s="115"/>
    </row>
    <row r="6921" spans="16:16">
      <c r="P6921" s="115"/>
    </row>
    <row r="6922" spans="16:16">
      <c r="P6922" s="115"/>
    </row>
    <row r="6923" spans="16:16">
      <c r="P6923" s="115"/>
    </row>
    <row r="6924" spans="16:16">
      <c r="P6924" s="115"/>
    </row>
    <row r="6925" spans="16:16">
      <c r="P6925" s="115"/>
    </row>
    <row r="6926" spans="16:16">
      <c r="P6926" s="115"/>
    </row>
    <row r="6927" spans="16:16">
      <c r="P6927" s="115"/>
    </row>
    <row r="6928" spans="16:16">
      <c r="P6928" s="115"/>
    </row>
    <row r="6929" spans="16:16">
      <c r="P6929" s="115"/>
    </row>
    <row r="6930" spans="16:16">
      <c r="P6930" s="115"/>
    </row>
    <row r="6931" spans="16:16">
      <c r="P6931" s="115"/>
    </row>
    <row r="6932" spans="16:16">
      <c r="P6932" s="115"/>
    </row>
    <row r="6933" spans="16:16">
      <c r="P6933" s="115"/>
    </row>
    <row r="6934" spans="16:16">
      <c r="P6934" s="115"/>
    </row>
    <row r="6935" spans="16:16">
      <c r="P6935" s="115"/>
    </row>
    <row r="6936" spans="16:16">
      <c r="P6936" s="115"/>
    </row>
    <row r="6937" spans="16:16">
      <c r="P6937" s="115"/>
    </row>
    <row r="6938" spans="16:16">
      <c r="P6938" s="115"/>
    </row>
    <row r="6939" spans="16:16">
      <c r="P6939" s="115"/>
    </row>
    <row r="6940" spans="16:16">
      <c r="P6940" s="115"/>
    </row>
    <row r="6941" spans="16:16">
      <c r="P6941" s="115"/>
    </row>
    <row r="6942" spans="16:16">
      <c r="P6942" s="115"/>
    </row>
    <row r="6943" spans="16:16">
      <c r="P6943" s="115"/>
    </row>
    <row r="6944" spans="16:16">
      <c r="P6944" s="115"/>
    </row>
    <row r="6945" spans="16:16">
      <c r="P6945" s="115"/>
    </row>
    <row r="6946" spans="16:16">
      <c r="P6946" s="115"/>
    </row>
    <row r="6947" spans="16:16">
      <c r="P6947" s="115"/>
    </row>
    <row r="6948" spans="16:16">
      <c r="P6948" s="115"/>
    </row>
    <row r="6949" spans="16:16">
      <c r="P6949" s="115"/>
    </row>
    <row r="6950" spans="16:16">
      <c r="P6950" s="115"/>
    </row>
    <row r="6951" spans="16:16">
      <c r="P6951" s="115"/>
    </row>
    <row r="6952" spans="16:16">
      <c r="P6952" s="115"/>
    </row>
    <row r="6953" spans="16:16">
      <c r="P6953" s="115"/>
    </row>
    <row r="6954" spans="16:16">
      <c r="P6954" s="115"/>
    </row>
    <row r="6955" spans="16:16">
      <c r="P6955" s="115"/>
    </row>
    <row r="6956" spans="16:16">
      <c r="P6956" s="115"/>
    </row>
    <row r="6957" spans="16:16">
      <c r="P6957" s="115"/>
    </row>
    <row r="6958" spans="16:16">
      <c r="P6958" s="115"/>
    </row>
    <row r="6959" spans="16:16">
      <c r="P6959" s="115"/>
    </row>
    <row r="6960" spans="16:16">
      <c r="P6960" s="115"/>
    </row>
    <row r="6961" spans="16:16">
      <c r="P6961" s="115"/>
    </row>
    <row r="6962" spans="16:16">
      <c r="P6962" s="115"/>
    </row>
    <row r="6963" spans="16:16">
      <c r="P6963" s="115"/>
    </row>
    <row r="6964" spans="16:16">
      <c r="P6964" s="115"/>
    </row>
    <row r="6965" spans="16:16">
      <c r="P6965" s="115"/>
    </row>
    <row r="6966" spans="16:16">
      <c r="P6966" s="115"/>
    </row>
    <row r="6967" spans="16:16">
      <c r="P6967" s="115"/>
    </row>
    <row r="6968" spans="16:16">
      <c r="P6968" s="115"/>
    </row>
    <row r="6969" spans="16:16">
      <c r="P6969" s="115"/>
    </row>
    <row r="6970" spans="16:16">
      <c r="P6970" s="115"/>
    </row>
    <row r="6971" spans="16:16">
      <c r="P6971" s="115"/>
    </row>
    <row r="6972" spans="16:16">
      <c r="P6972" s="115"/>
    </row>
    <row r="6973" spans="16:16">
      <c r="P6973" s="115"/>
    </row>
    <row r="6974" spans="16:16">
      <c r="P6974" s="115"/>
    </row>
    <row r="6975" spans="16:16">
      <c r="P6975" s="115"/>
    </row>
    <row r="6976" spans="16:16">
      <c r="P6976" s="115"/>
    </row>
    <row r="6977" spans="16:16">
      <c r="P6977" s="115"/>
    </row>
    <row r="6978" spans="16:16">
      <c r="P6978" s="115"/>
    </row>
    <row r="6979" spans="16:16">
      <c r="P6979" s="115"/>
    </row>
    <row r="6980" spans="16:16">
      <c r="P6980" s="115"/>
    </row>
    <row r="6981" spans="16:16">
      <c r="P6981" s="115"/>
    </row>
    <row r="6982" spans="16:16">
      <c r="P6982" s="115"/>
    </row>
    <row r="6983" spans="16:16">
      <c r="P6983" s="115"/>
    </row>
    <row r="6984" spans="16:16">
      <c r="P6984" s="115"/>
    </row>
    <row r="6985" spans="16:16">
      <c r="P6985" s="115"/>
    </row>
    <row r="6986" spans="16:16">
      <c r="P6986" s="115"/>
    </row>
    <row r="6987" spans="16:16">
      <c r="P6987" s="115"/>
    </row>
    <row r="6988" spans="16:16">
      <c r="P6988" s="115"/>
    </row>
    <row r="6989" spans="16:16">
      <c r="P6989" s="115"/>
    </row>
    <row r="6990" spans="16:16">
      <c r="P6990" s="115"/>
    </row>
    <row r="6991" spans="16:16">
      <c r="P6991" s="115"/>
    </row>
    <row r="6992" spans="16:16">
      <c r="P6992" s="115"/>
    </row>
    <row r="6993" spans="16:16">
      <c r="P6993" s="115"/>
    </row>
    <row r="6994" spans="16:16">
      <c r="P6994" s="115"/>
    </row>
    <row r="6995" spans="16:16">
      <c r="P6995" s="115"/>
    </row>
    <row r="6996" spans="16:16">
      <c r="P6996" s="115"/>
    </row>
    <row r="6997" spans="16:16">
      <c r="P6997" s="115"/>
    </row>
    <row r="6998" spans="16:16">
      <c r="P6998" s="115"/>
    </row>
    <row r="6999" spans="16:16">
      <c r="P6999" s="115"/>
    </row>
    <row r="7000" spans="16:16">
      <c r="P7000" s="115"/>
    </row>
    <row r="7001" spans="16:16">
      <c r="P7001" s="115"/>
    </row>
    <row r="7002" spans="16:16">
      <c r="P7002" s="115"/>
    </row>
    <row r="7003" spans="16:16">
      <c r="P7003" s="115"/>
    </row>
    <row r="7004" spans="16:16">
      <c r="P7004" s="115"/>
    </row>
    <row r="7005" spans="16:16">
      <c r="P7005" s="115"/>
    </row>
    <row r="7006" spans="16:16">
      <c r="P7006" s="115"/>
    </row>
    <row r="7007" spans="16:16">
      <c r="P7007" s="115"/>
    </row>
    <row r="7008" spans="16:16">
      <c r="P7008" s="115"/>
    </row>
    <row r="7009" spans="16:16">
      <c r="P7009" s="115"/>
    </row>
    <row r="7010" spans="16:16">
      <c r="P7010" s="115"/>
    </row>
    <row r="7011" spans="16:16">
      <c r="P7011" s="115"/>
    </row>
    <row r="7012" spans="16:16">
      <c r="P7012" s="115"/>
    </row>
    <row r="7013" spans="16:16">
      <c r="P7013" s="115"/>
    </row>
    <row r="7014" spans="16:16">
      <c r="P7014" s="115"/>
    </row>
    <row r="7015" spans="16:16">
      <c r="P7015" s="115"/>
    </row>
    <row r="7016" spans="16:16">
      <c r="P7016" s="115"/>
    </row>
    <row r="7017" spans="16:16">
      <c r="P7017" s="115"/>
    </row>
    <row r="7018" spans="16:16">
      <c r="P7018" s="115"/>
    </row>
    <row r="7019" spans="16:16">
      <c r="P7019" s="115"/>
    </row>
    <row r="7020" spans="16:16">
      <c r="P7020" s="115"/>
    </row>
    <row r="7021" spans="16:16">
      <c r="P7021" s="115"/>
    </row>
    <row r="7022" spans="16:16">
      <c r="P7022" s="115"/>
    </row>
    <row r="7023" spans="16:16">
      <c r="P7023" s="115"/>
    </row>
    <row r="7024" spans="16:16">
      <c r="P7024" s="115"/>
    </row>
    <row r="7025" spans="16:16">
      <c r="P7025" s="115"/>
    </row>
    <row r="7026" spans="16:16">
      <c r="P7026" s="115"/>
    </row>
    <row r="7027" spans="16:16">
      <c r="P7027" s="115"/>
    </row>
    <row r="7028" spans="16:16">
      <c r="P7028" s="115"/>
    </row>
    <row r="7029" spans="16:16">
      <c r="P7029" s="115"/>
    </row>
    <row r="7030" spans="16:16">
      <c r="P7030" s="115"/>
    </row>
    <row r="7031" spans="16:16">
      <c r="P7031" s="115"/>
    </row>
    <row r="7032" spans="16:16">
      <c r="P7032" s="115"/>
    </row>
    <row r="7033" spans="16:16">
      <c r="P7033" s="115"/>
    </row>
    <row r="7034" spans="16:16">
      <c r="P7034" s="115"/>
    </row>
    <row r="7035" spans="16:16">
      <c r="P7035" s="115"/>
    </row>
    <row r="7036" spans="16:16">
      <c r="P7036" s="115"/>
    </row>
    <row r="7037" spans="16:16">
      <c r="P7037" s="115"/>
    </row>
    <row r="7038" spans="16:16">
      <c r="P7038" s="115"/>
    </row>
    <row r="7039" spans="16:16">
      <c r="P7039" s="115"/>
    </row>
    <row r="7040" spans="16:16">
      <c r="P7040" s="115"/>
    </row>
    <row r="7041" spans="16:16">
      <c r="P7041" s="115"/>
    </row>
    <row r="7042" spans="16:16">
      <c r="P7042" s="115"/>
    </row>
    <row r="7043" spans="16:16">
      <c r="P7043" s="115"/>
    </row>
    <row r="7044" spans="16:16">
      <c r="P7044" s="115"/>
    </row>
    <row r="7045" spans="16:16">
      <c r="P7045" s="115"/>
    </row>
    <row r="7046" spans="16:16">
      <c r="P7046" s="115"/>
    </row>
    <row r="7047" spans="16:16">
      <c r="P7047" s="115"/>
    </row>
    <row r="7048" spans="16:16">
      <c r="P7048" s="115"/>
    </row>
    <row r="7049" spans="16:16">
      <c r="P7049" s="115"/>
    </row>
    <row r="7050" spans="16:16">
      <c r="P7050" s="115"/>
    </row>
    <row r="7051" spans="16:16">
      <c r="P7051" s="115"/>
    </row>
    <row r="7052" spans="16:16">
      <c r="P7052" s="115"/>
    </row>
    <row r="7053" spans="16:16">
      <c r="P7053" s="115"/>
    </row>
    <row r="7054" spans="16:16">
      <c r="P7054" s="115"/>
    </row>
    <row r="7055" spans="16:16">
      <c r="P7055" s="115"/>
    </row>
    <row r="7056" spans="16:16">
      <c r="P7056" s="115"/>
    </row>
    <row r="7057" spans="16:16">
      <c r="P7057" s="115"/>
    </row>
    <row r="7058" spans="16:16">
      <c r="P7058" s="115"/>
    </row>
    <row r="7059" spans="16:16">
      <c r="P7059" s="115"/>
    </row>
    <row r="7060" spans="16:16">
      <c r="P7060" s="115"/>
    </row>
    <row r="7061" spans="16:16">
      <c r="P7061" s="115"/>
    </row>
    <row r="7062" spans="16:16">
      <c r="P7062" s="115"/>
    </row>
    <row r="7063" spans="16:16">
      <c r="P7063" s="115"/>
    </row>
    <row r="7064" spans="16:16">
      <c r="P7064" s="115"/>
    </row>
    <row r="7065" spans="16:16">
      <c r="P7065" s="115"/>
    </row>
    <row r="7066" spans="16:16">
      <c r="P7066" s="115"/>
    </row>
    <row r="7067" spans="16:16">
      <c r="P7067" s="115"/>
    </row>
    <row r="7068" spans="16:16">
      <c r="P7068" s="115"/>
    </row>
    <row r="7069" spans="16:16">
      <c r="P7069" s="115"/>
    </row>
    <row r="7070" spans="16:16">
      <c r="P7070" s="115"/>
    </row>
    <row r="7071" spans="16:16">
      <c r="P7071" s="115"/>
    </row>
    <row r="7072" spans="16:16">
      <c r="P7072" s="115"/>
    </row>
    <row r="7073" spans="16:16">
      <c r="P7073" s="115"/>
    </row>
    <row r="7074" spans="16:16">
      <c r="P7074" s="115"/>
    </row>
    <row r="7075" spans="16:16">
      <c r="P7075" s="115"/>
    </row>
    <row r="7076" spans="16:16">
      <c r="P7076" s="115"/>
    </row>
    <row r="7077" spans="16:16">
      <c r="P7077" s="115"/>
    </row>
    <row r="7078" spans="16:16">
      <c r="P7078" s="115"/>
    </row>
    <row r="7079" spans="16:16">
      <c r="P7079" s="115"/>
    </row>
    <row r="7080" spans="16:16">
      <c r="P7080" s="115"/>
    </row>
    <row r="7081" spans="16:16">
      <c r="P7081" s="115"/>
    </row>
    <row r="7082" spans="16:16">
      <c r="P7082" s="115"/>
    </row>
    <row r="7083" spans="16:16">
      <c r="P7083" s="115"/>
    </row>
    <row r="7084" spans="16:16">
      <c r="P7084" s="115"/>
    </row>
    <row r="7085" spans="16:16">
      <c r="P7085" s="115"/>
    </row>
    <row r="7086" spans="16:16">
      <c r="P7086" s="115"/>
    </row>
    <row r="7087" spans="16:16">
      <c r="P7087" s="115"/>
    </row>
    <row r="7088" spans="16:16">
      <c r="P7088" s="115"/>
    </row>
    <row r="7089" spans="16:16">
      <c r="P7089" s="115"/>
    </row>
    <row r="7090" spans="16:16">
      <c r="P7090" s="115"/>
    </row>
    <row r="7091" spans="16:16">
      <c r="P7091" s="115"/>
    </row>
    <row r="7092" spans="16:16">
      <c r="P7092" s="115"/>
    </row>
    <row r="7093" spans="16:16">
      <c r="P7093" s="115"/>
    </row>
    <row r="7094" spans="16:16">
      <c r="P7094" s="115"/>
    </row>
    <row r="7095" spans="16:16">
      <c r="P7095" s="115"/>
    </row>
    <row r="7096" spans="16:16">
      <c r="P7096" s="115"/>
    </row>
    <row r="7097" spans="16:16">
      <c r="P7097" s="115"/>
    </row>
    <row r="7098" spans="16:16">
      <c r="P7098" s="115"/>
    </row>
    <row r="7099" spans="16:16">
      <c r="P7099" s="115"/>
    </row>
    <row r="7100" spans="16:16">
      <c r="P7100" s="115"/>
    </row>
    <row r="7101" spans="16:16">
      <c r="P7101" s="115"/>
    </row>
    <row r="7102" spans="16:16">
      <c r="P7102" s="115"/>
    </row>
    <row r="7103" spans="16:16">
      <c r="P7103" s="115"/>
    </row>
    <row r="7104" spans="16:16">
      <c r="P7104" s="115"/>
    </row>
    <row r="7105" spans="16:16">
      <c r="P7105" s="115"/>
    </row>
    <row r="7106" spans="16:16">
      <c r="P7106" s="115"/>
    </row>
    <row r="7107" spans="16:16">
      <c r="P7107" s="115"/>
    </row>
    <row r="7108" spans="16:16">
      <c r="P7108" s="115"/>
    </row>
    <row r="7109" spans="16:16">
      <c r="P7109" s="115"/>
    </row>
    <row r="7110" spans="16:16">
      <c r="P7110" s="115"/>
    </row>
    <row r="7111" spans="16:16">
      <c r="P7111" s="115"/>
    </row>
    <row r="7112" spans="16:16">
      <c r="P7112" s="115"/>
    </row>
    <row r="7113" spans="16:16">
      <c r="P7113" s="115"/>
    </row>
    <row r="7114" spans="16:16">
      <c r="P7114" s="115"/>
    </row>
    <row r="7115" spans="16:16">
      <c r="P7115" s="115"/>
    </row>
    <row r="7116" spans="16:16">
      <c r="P7116" s="115"/>
    </row>
    <row r="7117" spans="16:16">
      <c r="P7117" s="115"/>
    </row>
    <row r="7118" spans="16:16">
      <c r="P7118" s="115"/>
    </row>
    <row r="7119" spans="16:16">
      <c r="P7119" s="115"/>
    </row>
    <row r="7120" spans="16:16">
      <c r="P7120" s="115"/>
    </row>
    <row r="7121" spans="16:16">
      <c r="P7121" s="115"/>
    </row>
    <row r="7122" spans="16:16">
      <c r="P7122" s="115"/>
    </row>
    <row r="7123" spans="16:16">
      <c r="P7123" s="115"/>
    </row>
    <row r="7124" spans="16:16">
      <c r="P7124" s="115"/>
    </row>
    <row r="7125" spans="16:16">
      <c r="P7125" s="115"/>
    </row>
    <row r="7126" spans="16:16">
      <c r="P7126" s="115"/>
    </row>
    <row r="7127" spans="16:16">
      <c r="P7127" s="115"/>
    </row>
    <row r="7128" spans="16:16">
      <c r="P7128" s="115"/>
    </row>
    <row r="7129" spans="16:16">
      <c r="P7129" s="115"/>
    </row>
    <row r="7130" spans="16:16">
      <c r="P7130" s="115"/>
    </row>
    <row r="7131" spans="16:16">
      <c r="P7131" s="115"/>
    </row>
    <row r="7132" spans="16:16">
      <c r="P7132" s="115"/>
    </row>
    <row r="7133" spans="16:16">
      <c r="P7133" s="115"/>
    </row>
    <row r="7134" spans="16:16">
      <c r="P7134" s="115"/>
    </row>
    <row r="7135" spans="16:16">
      <c r="P7135" s="115"/>
    </row>
    <row r="7136" spans="16:16">
      <c r="P7136" s="115"/>
    </row>
    <row r="7137" spans="16:16">
      <c r="P7137" s="115"/>
    </row>
    <row r="7138" spans="16:16">
      <c r="P7138" s="115"/>
    </row>
    <row r="7139" spans="16:16">
      <c r="P7139" s="115"/>
    </row>
    <row r="7140" spans="16:16">
      <c r="P7140" s="115"/>
    </row>
    <row r="7141" spans="16:16">
      <c r="P7141" s="115"/>
    </row>
    <row r="7142" spans="16:16">
      <c r="P7142" s="115"/>
    </row>
    <row r="7143" spans="16:16">
      <c r="P7143" s="115"/>
    </row>
    <row r="7144" spans="16:16">
      <c r="P7144" s="115"/>
    </row>
    <row r="7145" spans="16:16">
      <c r="P7145" s="115"/>
    </row>
    <row r="7146" spans="16:16">
      <c r="P7146" s="115"/>
    </row>
    <row r="7147" spans="16:16">
      <c r="P7147" s="115"/>
    </row>
    <row r="7148" spans="16:16">
      <c r="P7148" s="115"/>
    </row>
    <row r="7149" spans="16:16">
      <c r="P7149" s="115"/>
    </row>
    <row r="7150" spans="16:16">
      <c r="P7150" s="115"/>
    </row>
    <row r="7151" spans="16:16">
      <c r="P7151" s="115"/>
    </row>
    <row r="7152" spans="16:16">
      <c r="P7152" s="115"/>
    </row>
    <row r="7153" spans="16:16">
      <c r="P7153" s="115"/>
    </row>
    <row r="7154" spans="16:16">
      <c r="P7154" s="115"/>
    </row>
    <row r="7155" spans="16:16">
      <c r="P7155" s="115"/>
    </row>
    <row r="7156" spans="16:16">
      <c r="P7156" s="115"/>
    </row>
    <row r="7157" spans="16:16">
      <c r="P7157" s="115"/>
    </row>
    <row r="7158" spans="16:16">
      <c r="P7158" s="115"/>
    </row>
    <row r="7159" spans="16:16">
      <c r="P7159" s="115"/>
    </row>
    <row r="7160" spans="16:16">
      <c r="P7160" s="115"/>
    </row>
    <row r="7161" spans="16:16">
      <c r="P7161" s="115"/>
    </row>
    <row r="7162" spans="16:16">
      <c r="P7162" s="115"/>
    </row>
    <row r="7163" spans="16:16">
      <c r="P7163" s="115"/>
    </row>
    <row r="7164" spans="16:16">
      <c r="P7164" s="115"/>
    </row>
    <row r="7165" spans="16:16">
      <c r="P7165" s="115"/>
    </row>
    <row r="7166" spans="16:16">
      <c r="P7166" s="115"/>
    </row>
    <row r="7167" spans="16:16">
      <c r="P7167" s="115"/>
    </row>
    <row r="7168" spans="16:16">
      <c r="P7168" s="115"/>
    </row>
    <row r="7169" spans="16:16">
      <c r="P7169" s="115"/>
    </row>
    <row r="7170" spans="16:16">
      <c r="P7170" s="115"/>
    </row>
    <row r="7171" spans="16:16">
      <c r="P7171" s="115"/>
    </row>
    <row r="7172" spans="16:16">
      <c r="P7172" s="115"/>
    </row>
    <row r="7173" spans="16:16">
      <c r="P7173" s="115"/>
    </row>
    <row r="7174" spans="16:16">
      <c r="P7174" s="115"/>
    </row>
    <row r="7175" spans="16:16">
      <c r="P7175" s="115"/>
    </row>
    <row r="7176" spans="16:16">
      <c r="P7176" s="115"/>
    </row>
    <row r="7177" spans="16:16">
      <c r="P7177" s="115"/>
    </row>
    <row r="7178" spans="16:16">
      <c r="P7178" s="115"/>
    </row>
    <row r="7179" spans="16:16">
      <c r="P7179" s="115"/>
    </row>
    <row r="7180" spans="16:16">
      <c r="P7180" s="115"/>
    </row>
    <row r="7181" spans="16:16">
      <c r="P7181" s="115"/>
    </row>
    <row r="7182" spans="16:16">
      <c r="P7182" s="115"/>
    </row>
    <row r="7183" spans="16:16">
      <c r="P7183" s="115"/>
    </row>
    <row r="7184" spans="16:16">
      <c r="P7184" s="115"/>
    </row>
    <row r="7185" spans="16:16">
      <c r="P7185" s="115"/>
    </row>
    <row r="7186" spans="16:16">
      <c r="P7186" s="115"/>
    </row>
    <row r="7187" spans="16:16">
      <c r="P7187" s="115"/>
    </row>
    <row r="7188" spans="16:16">
      <c r="P7188" s="115"/>
    </row>
    <row r="7189" spans="16:16">
      <c r="P7189" s="115"/>
    </row>
    <row r="7190" spans="16:16">
      <c r="P7190" s="115"/>
    </row>
    <row r="7191" spans="16:16">
      <c r="P7191" s="115"/>
    </row>
    <row r="7192" spans="16:16">
      <c r="P7192" s="115"/>
    </row>
    <row r="7193" spans="16:16">
      <c r="P7193" s="115"/>
    </row>
    <row r="7194" spans="16:16">
      <c r="P7194" s="115"/>
    </row>
    <row r="7195" spans="16:16">
      <c r="P7195" s="115"/>
    </row>
    <row r="7196" spans="16:16">
      <c r="P7196" s="115"/>
    </row>
    <row r="7197" spans="16:16">
      <c r="P7197" s="115"/>
    </row>
    <row r="7198" spans="16:16">
      <c r="P7198" s="115"/>
    </row>
    <row r="7199" spans="16:16">
      <c r="P7199" s="115"/>
    </row>
    <row r="7200" spans="16:16">
      <c r="P7200" s="115"/>
    </row>
    <row r="7201" spans="16:16">
      <c r="P7201" s="115"/>
    </row>
    <row r="7202" spans="16:16">
      <c r="P7202" s="115"/>
    </row>
    <row r="7203" spans="16:16">
      <c r="P7203" s="115"/>
    </row>
    <row r="7204" spans="16:16">
      <c r="P7204" s="115"/>
    </row>
    <row r="7205" spans="16:16">
      <c r="P7205" s="115"/>
    </row>
    <row r="7206" spans="16:16">
      <c r="P7206" s="115"/>
    </row>
    <row r="7207" spans="16:16">
      <c r="P7207" s="115"/>
    </row>
    <row r="7208" spans="16:16">
      <c r="P7208" s="115"/>
    </row>
    <row r="7209" spans="16:16">
      <c r="P7209" s="115"/>
    </row>
    <row r="7210" spans="16:16">
      <c r="P7210" s="115"/>
    </row>
    <row r="7211" spans="16:16">
      <c r="P7211" s="115"/>
    </row>
    <row r="7212" spans="16:16">
      <c r="P7212" s="115"/>
    </row>
    <row r="7213" spans="16:16">
      <c r="P7213" s="115"/>
    </row>
    <row r="7214" spans="16:16">
      <c r="P7214" s="115"/>
    </row>
    <row r="7215" spans="16:16">
      <c r="P7215" s="115"/>
    </row>
    <row r="7216" spans="16:16">
      <c r="P7216" s="115"/>
    </row>
    <row r="7217" spans="16:16">
      <c r="P7217" s="115"/>
    </row>
    <row r="7218" spans="16:16">
      <c r="P7218" s="115"/>
    </row>
    <row r="7219" spans="16:16">
      <c r="P7219" s="115"/>
    </row>
    <row r="7220" spans="16:16">
      <c r="P7220" s="115"/>
    </row>
    <row r="7221" spans="16:16">
      <c r="P7221" s="115"/>
    </row>
    <row r="7222" spans="16:16">
      <c r="P7222" s="115"/>
    </row>
    <row r="7223" spans="16:16">
      <c r="P7223" s="115"/>
    </row>
    <row r="7224" spans="16:16">
      <c r="P7224" s="115"/>
    </row>
    <row r="7225" spans="16:16">
      <c r="P7225" s="115"/>
    </row>
    <row r="7226" spans="16:16">
      <c r="P7226" s="115"/>
    </row>
    <row r="7227" spans="16:16">
      <c r="P7227" s="115"/>
    </row>
    <row r="7228" spans="16:16">
      <c r="P7228" s="115"/>
    </row>
    <row r="7229" spans="16:16">
      <c r="P7229" s="115"/>
    </row>
    <row r="7230" spans="16:16">
      <c r="P7230" s="115"/>
    </row>
    <row r="7231" spans="16:16">
      <c r="P7231" s="115"/>
    </row>
    <row r="7232" spans="16:16">
      <c r="P7232" s="115"/>
    </row>
    <row r="7233" spans="16:16">
      <c r="P7233" s="115"/>
    </row>
    <row r="7234" spans="16:16">
      <c r="P7234" s="115"/>
    </row>
    <row r="7235" spans="16:16">
      <c r="P7235" s="115"/>
    </row>
    <row r="7236" spans="16:16">
      <c r="P7236" s="115"/>
    </row>
    <row r="7237" spans="16:16">
      <c r="P7237" s="115"/>
    </row>
    <row r="7238" spans="16:16">
      <c r="P7238" s="115"/>
    </row>
    <row r="7239" spans="16:16">
      <c r="P7239" s="115"/>
    </row>
    <row r="7240" spans="16:16">
      <c r="P7240" s="115"/>
    </row>
    <row r="7241" spans="16:16">
      <c r="P7241" s="115"/>
    </row>
    <row r="7242" spans="16:16">
      <c r="P7242" s="115"/>
    </row>
    <row r="7243" spans="16:16">
      <c r="P7243" s="115"/>
    </row>
    <row r="7244" spans="16:16">
      <c r="P7244" s="115"/>
    </row>
    <row r="7245" spans="16:16">
      <c r="P7245" s="115"/>
    </row>
    <row r="7246" spans="16:16">
      <c r="P7246" s="115"/>
    </row>
    <row r="7247" spans="16:16">
      <c r="P7247" s="115"/>
    </row>
    <row r="7248" spans="16:16">
      <c r="P7248" s="115"/>
    </row>
    <row r="7249" spans="16:16">
      <c r="P7249" s="115"/>
    </row>
    <row r="7250" spans="16:16">
      <c r="P7250" s="115"/>
    </row>
    <row r="7251" spans="16:16">
      <c r="P7251" s="115"/>
    </row>
    <row r="7252" spans="16:16">
      <c r="P7252" s="115"/>
    </row>
    <row r="7253" spans="16:16">
      <c r="P7253" s="115"/>
    </row>
    <row r="7254" spans="16:16">
      <c r="P7254" s="115"/>
    </row>
    <row r="7255" spans="16:16">
      <c r="P7255" s="115"/>
    </row>
    <row r="7256" spans="16:16">
      <c r="P7256" s="115"/>
    </row>
    <row r="7257" spans="16:16">
      <c r="P7257" s="115"/>
    </row>
    <row r="7258" spans="16:16">
      <c r="P7258" s="115"/>
    </row>
    <row r="7259" spans="16:16">
      <c r="P7259" s="115"/>
    </row>
    <row r="7260" spans="16:16">
      <c r="P7260" s="115"/>
    </row>
    <row r="7261" spans="16:16">
      <c r="P7261" s="115"/>
    </row>
    <row r="7262" spans="16:16">
      <c r="P7262" s="115"/>
    </row>
    <row r="7263" spans="16:16">
      <c r="P7263" s="115"/>
    </row>
    <row r="7264" spans="16:16">
      <c r="P7264" s="115"/>
    </row>
    <row r="7265" spans="16:16">
      <c r="P7265" s="115"/>
    </row>
    <row r="7266" spans="16:16">
      <c r="P7266" s="115"/>
    </row>
    <row r="7267" spans="16:16">
      <c r="P7267" s="115"/>
    </row>
    <row r="7268" spans="16:16">
      <c r="P7268" s="115"/>
    </row>
    <row r="7269" spans="16:16">
      <c r="P7269" s="115"/>
    </row>
    <row r="7270" spans="16:16">
      <c r="P7270" s="115"/>
    </row>
    <row r="7271" spans="16:16">
      <c r="P7271" s="115"/>
    </row>
    <row r="7272" spans="16:16">
      <c r="P7272" s="115"/>
    </row>
    <row r="7273" spans="16:16">
      <c r="P7273" s="115"/>
    </row>
    <row r="7274" spans="16:16">
      <c r="P7274" s="115"/>
    </row>
    <row r="7275" spans="16:16">
      <c r="P7275" s="115"/>
    </row>
    <row r="7276" spans="16:16">
      <c r="P7276" s="115"/>
    </row>
    <row r="7277" spans="16:16">
      <c r="P7277" s="115"/>
    </row>
    <row r="7278" spans="16:16">
      <c r="P7278" s="115"/>
    </row>
    <row r="7279" spans="16:16">
      <c r="P7279" s="115"/>
    </row>
    <row r="7280" spans="16:16">
      <c r="P7280" s="115"/>
    </row>
    <row r="7281" spans="16:16">
      <c r="P7281" s="115"/>
    </row>
    <row r="7282" spans="16:16">
      <c r="P7282" s="115"/>
    </row>
    <row r="7283" spans="16:16">
      <c r="P7283" s="115"/>
    </row>
    <row r="7284" spans="16:16">
      <c r="P7284" s="115"/>
    </row>
    <row r="7285" spans="16:16">
      <c r="P7285" s="115"/>
    </row>
    <row r="7286" spans="16:16">
      <c r="P7286" s="115"/>
    </row>
    <row r="7287" spans="16:16">
      <c r="P7287" s="115"/>
    </row>
    <row r="7288" spans="16:16">
      <c r="P7288" s="115"/>
    </row>
    <row r="7289" spans="16:16">
      <c r="P7289" s="115"/>
    </row>
    <row r="7290" spans="16:16">
      <c r="P7290" s="115"/>
    </row>
    <row r="7291" spans="16:16">
      <c r="P7291" s="115"/>
    </row>
    <row r="7292" spans="16:16">
      <c r="P7292" s="115"/>
    </row>
    <row r="7293" spans="16:16">
      <c r="P7293" s="115"/>
    </row>
    <row r="7294" spans="16:16">
      <c r="P7294" s="115"/>
    </row>
    <row r="7295" spans="16:16">
      <c r="P7295" s="115"/>
    </row>
    <row r="7296" spans="16:16">
      <c r="P7296" s="115"/>
    </row>
    <row r="7297" spans="16:16">
      <c r="P7297" s="115"/>
    </row>
    <row r="7298" spans="16:16">
      <c r="P7298" s="115"/>
    </row>
    <row r="7299" spans="16:16">
      <c r="P7299" s="115"/>
    </row>
    <row r="7300" spans="16:16">
      <c r="P7300" s="115"/>
    </row>
    <row r="7301" spans="16:16">
      <c r="P7301" s="115"/>
    </row>
    <row r="7302" spans="16:16">
      <c r="P7302" s="115"/>
    </row>
    <row r="7303" spans="16:16">
      <c r="P7303" s="115"/>
    </row>
    <row r="7304" spans="16:16">
      <c r="P7304" s="115"/>
    </row>
    <row r="7305" spans="16:16">
      <c r="P7305" s="115"/>
    </row>
    <row r="7306" spans="16:16">
      <c r="P7306" s="115"/>
    </row>
    <row r="7307" spans="16:16">
      <c r="P7307" s="115"/>
    </row>
    <row r="7308" spans="16:16">
      <c r="P7308" s="115"/>
    </row>
    <row r="7309" spans="16:16">
      <c r="P7309" s="115"/>
    </row>
    <row r="7310" spans="16:16">
      <c r="P7310" s="115"/>
    </row>
    <row r="7311" spans="16:16">
      <c r="P7311" s="115"/>
    </row>
    <row r="7312" spans="16:16">
      <c r="P7312" s="115"/>
    </row>
    <row r="7313" spans="16:16">
      <c r="P7313" s="115"/>
    </row>
    <row r="7314" spans="16:16">
      <c r="P7314" s="115"/>
    </row>
    <row r="7315" spans="16:16">
      <c r="P7315" s="115"/>
    </row>
    <row r="7316" spans="16:16">
      <c r="P7316" s="115"/>
    </row>
    <row r="7317" spans="16:16">
      <c r="P7317" s="115"/>
    </row>
    <row r="7318" spans="16:16">
      <c r="P7318" s="115"/>
    </row>
    <row r="7319" spans="16:16">
      <c r="P7319" s="115"/>
    </row>
    <row r="7320" spans="16:16">
      <c r="P7320" s="115"/>
    </row>
    <row r="7321" spans="16:16">
      <c r="P7321" s="115"/>
    </row>
    <row r="7322" spans="16:16">
      <c r="P7322" s="115"/>
    </row>
    <row r="7323" spans="16:16">
      <c r="P7323" s="115"/>
    </row>
    <row r="7324" spans="16:16">
      <c r="P7324" s="115"/>
    </row>
    <row r="7325" spans="16:16">
      <c r="P7325" s="115"/>
    </row>
    <row r="7326" spans="16:16">
      <c r="P7326" s="115"/>
    </row>
    <row r="7327" spans="16:16">
      <c r="P7327" s="115"/>
    </row>
    <row r="7328" spans="16:16">
      <c r="P7328" s="115"/>
    </row>
    <row r="7329" spans="16:16">
      <c r="P7329" s="115"/>
    </row>
    <row r="7330" spans="16:16">
      <c r="P7330" s="115"/>
    </row>
    <row r="7331" spans="16:16">
      <c r="P7331" s="115"/>
    </row>
    <row r="7332" spans="16:16">
      <c r="P7332" s="115"/>
    </row>
    <row r="7333" spans="16:16">
      <c r="P7333" s="115"/>
    </row>
    <row r="7334" spans="16:16">
      <c r="P7334" s="115"/>
    </row>
    <row r="7335" spans="16:16">
      <c r="P7335" s="115"/>
    </row>
    <row r="7336" spans="16:16">
      <c r="P7336" s="115"/>
    </row>
    <row r="7337" spans="16:16">
      <c r="P7337" s="115"/>
    </row>
    <row r="7338" spans="16:16">
      <c r="P7338" s="115"/>
    </row>
    <row r="7339" spans="16:16">
      <c r="P7339" s="115"/>
    </row>
    <row r="7340" spans="16:16">
      <c r="P7340" s="115"/>
    </row>
    <row r="7341" spans="16:16">
      <c r="P7341" s="115"/>
    </row>
    <row r="7342" spans="16:16">
      <c r="P7342" s="115"/>
    </row>
    <row r="7343" spans="16:16">
      <c r="P7343" s="115"/>
    </row>
    <row r="7344" spans="16:16">
      <c r="P7344" s="115"/>
    </row>
    <row r="7345" spans="16:16">
      <c r="P7345" s="115"/>
    </row>
    <row r="7346" spans="16:16">
      <c r="P7346" s="115"/>
    </row>
    <row r="7347" spans="16:16">
      <c r="P7347" s="115"/>
    </row>
    <row r="7348" spans="16:16">
      <c r="P7348" s="115"/>
    </row>
    <row r="7349" spans="16:16">
      <c r="P7349" s="115"/>
    </row>
    <row r="7350" spans="16:16">
      <c r="P7350" s="115"/>
    </row>
    <row r="7351" spans="16:16">
      <c r="P7351" s="115"/>
    </row>
    <row r="7352" spans="16:16">
      <c r="P7352" s="115"/>
    </row>
    <row r="7353" spans="16:16">
      <c r="P7353" s="115"/>
    </row>
    <row r="7354" spans="16:16">
      <c r="P7354" s="115"/>
    </row>
    <row r="7355" spans="16:16">
      <c r="P7355" s="115"/>
    </row>
    <row r="7356" spans="16:16">
      <c r="P7356" s="115"/>
    </row>
    <row r="7357" spans="16:16">
      <c r="P7357" s="115"/>
    </row>
    <row r="7358" spans="16:16">
      <c r="P7358" s="115"/>
    </row>
    <row r="7359" spans="16:16">
      <c r="P7359" s="115"/>
    </row>
    <row r="7360" spans="16:16">
      <c r="P7360" s="115"/>
    </row>
    <row r="7361" spans="16:16">
      <c r="P7361" s="115"/>
    </row>
    <row r="7362" spans="16:16">
      <c r="P7362" s="115"/>
    </row>
    <row r="7363" spans="16:16">
      <c r="P7363" s="115"/>
    </row>
    <row r="7364" spans="16:16">
      <c r="P7364" s="115"/>
    </row>
    <row r="7365" spans="16:16">
      <c r="P7365" s="115"/>
    </row>
    <row r="7366" spans="16:16">
      <c r="P7366" s="115"/>
    </row>
    <row r="7367" spans="16:16">
      <c r="P7367" s="115"/>
    </row>
    <row r="7368" spans="16:16">
      <c r="P7368" s="115"/>
    </row>
    <row r="7369" spans="16:16">
      <c r="P7369" s="115"/>
    </row>
    <row r="7370" spans="16:16">
      <c r="P7370" s="115"/>
    </row>
    <row r="7371" spans="16:16">
      <c r="P7371" s="115"/>
    </row>
    <row r="7372" spans="16:16">
      <c r="P7372" s="115"/>
    </row>
    <row r="7373" spans="16:16">
      <c r="P7373" s="115"/>
    </row>
    <row r="7374" spans="16:16">
      <c r="P7374" s="115"/>
    </row>
    <row r="7375" spans="16:16">
      <c r="P7375" s="115"/>
    </row>
    <row r="7376" spans="16:16">
      <c r="P7376" s="115"/>
    </row>
    <row r="7377" spans="16:16">
      <c r="P7377" s="115"/>
    </row>
    <row r="7378" spans="16:16">
      <c r="P7378" s="115"/>
    </row>
    <row r="7379" spans="16:16">
      <c r="P7379" s="115"/>
    </row>
    <row r="7380" spans="16:16">
      <c r="P7380" s="115"/>
    </row>
    <row r="7381" spans="16:16">
      <c r="P7381" s="115"/>
    </row>
    <row r="7382" spans="16:16">
      <c r="P7382" s="115"/>
    </row>
    <row r="7383" spans="16:16">
      <c r="P7383" s="115"/>
    </row>
    <row r="7384" spans="16:16">
      <c r="P7384" s="115"/>
    </row>
    <row r="7385" spans="16:16">
      <c r="P7385" s="115"/>
    </row>
    <row r="7386" spans="16:16">
      <c r="P7386" s="115"/>
    </row>
    <row r="7387" spans="16:16">
      <c r="P7387" s="115"/>
    </row>
    <row r="7388" spans="16:16">
      <c r="P7388" s="115"/>
    </row>
    <row r="7389" spans="16:16">
      <c r="P7389" s="115"/>
    </row>
    <row r="7390" spans="16:16">
      <c r="P7390" s="115"/>
    </row>
    <row r="7391" spans="16:16">
      <c r="P7391" s="115"/>
    </row>
    <row r="7392" spans="16:16">
      <c r="P7392" s="115"/>
    </row>
    <row r="7393" spans="16:16">
      <c r="P7393" s="115"/>
    </row>
    <row r="7394" spans="16:16">
      <c r="P7394" s="115"/>
    </row>
    <row r="7395" spans="16:16">
      <c r="P7395" s="115"/>
    </row>
    <row r="7396" spans="16:16">
      <c r="P7396" s="115"/>
    </row>
    <row r="7397" spans="16:16">
      <c r="P7397" s="115"/>
    </row>
    <row r="7398" spans="16:16">
      <c r="P7398" s="115"/>
    </row>
    <row r="7399" spans="16:16">
      <c r="P7399" s="115"/>
    </row>
    <row r="7400" spans="16:16">
      <c r="P7400" s="115"/>
    </row>
    <row r="7401" spans="16:16">
      <c r="P7401" s="115"/>
    </row>
    <row r="7402" spans="16:16">
      <c r="P7402" s="115"/>
    </row>
    <row r="7403" spans="16:16">
      <c r="P7403" s="115"/>
    </row>
    <row r="7404" spans="16:16">
      <c r="P7404" s="115"/>
    </row>
    <row r="7405" spans="16:16">
      <c r="P7405" s="115"/>
    </row>
    <row r="7406" spans="16:16">
      <c r="P7406" s="115"/>
    </row>
    <row r="7407" spans="16:16">
      <c r="P7407" s="115"/>
    </row>
    <row r="7408" spans="16:16">
      <c r="P7408" s="115"/>
    </row>
    <row r="7409" spans="16:16">
      <c r="P7409" s="115"/>
    </row>
    <row r="7410" spans="16:16">
      <c r="P7410" s="115"/>
    </row>
    <row r="7411" spans="16:16">
      <c r="P7411" s="115"/>
    </row>
    <row r="7412" spans="16:16">
      <c r="P7412" s="115"/>
    </row>
    <row r="7413" spans="16:16">
      <c r="P7413" s="115"/>
    </row>
    <row r="7414" spans="16:16">
      <c r="P7414" s="115"/>
    </row>
    <row r="7415" spans="16:16">
      <c r="P7415" s="115"/>
    </row>
    <row r="7416" spans="16:16">
      <c r="P7416" s="115"/>
    </row>
    <row r="7417" spans="16:16">
      <c r="P7417" s="115"/>
    </row>
    <row r="7418" spans="16:16">
      <c r="P7418" s="115"/>
    </row>
    <row r="7419" spans="16:16">
      <c r="P7419" s="115"/>
    </row>
    <row r="7420" spans="16:16">
      <c r="P7420" s="115"/>
    </row>
    <row r="7421" spans="16:16">
      <c r="P7421" s="115"/>
    </row>
    <row r="7422" spans="16:16">
      <c r="P7422" s="115"/>
    </row>
    <row r="7423" spans="16:16">
      <c r="P7423" s="115"/>
    </row>
    <row r="7424" spans="16:16">
      <c r="P7424" s="115"/>
    </row>
    <row r="7425" spans="16:16">
      <c r="P7425" s="115"/>
    </row>
    <row r="7426" spans="16:16">
      <c r="P7426" s="115"/>
    </row>
    <row r="7427" spans="16:16">
      <c r="P7427" s="115"/>
    </row>
    <row r="7428" spans="16:16">
      <c r="P7428" s="115"/>
    </row>
    <row r="7429" spans="16:16">
      <c r="P7429" s="115"/>
    </row>
    <row r="7430" spans="16:16">
      <c r="P7430" s="115"/>
    </row>
    <row r="7431" spans="16:16">
      <c r="P7431" s="115"/>
    </row>
    <row r="7432" spans="16:16">
      <c r="P7432" s="115"/>
    </row>
    <row r="7433" spans="16:16">
      <c r="P7433" s="115"/>
    </row>
    <row r="7434" spans="16:16">
      <c r="P7434" s="115"/>
    </row>
    <row r="7435" spans="16:16">
      <c r="P7435" s="115"/>
    </row>
    <row r="7436" spans="16:16">
      <c r="P7436" s="115"/>
    </row>
    <row r="7437" spans="16:16">
      <c r="P7437" s="115"/>
    </row>
    <row r="7438" spans="16:16">
      <c r="P7438" s="115"/>
    </row>
    <row r="7439" spans="16:16">
      <c r="P7439" s="115"/>
    </row>
    <row r="7440" spans="16:16">
      <c r="P7440" s="115"/>
    </row>
    <row r="7441" spans="16:16">
      <c r="P7441" s="115"/>
    </row>
    <row r="7442" spans="16:16">
      <c r="P7442" s="115"/>
    </row>
    <row r="7443" spans="16:16">
      <c r="P7443" s="115"/>
    </row>
    <row r="7444" spans="16:16">
      <c r="P7444" s="115"/>
    </row>
    <row r="7445" spans="16:16">
      <c r="P7445" s="115"/>
    </row>
    <row r="7446" spans="16:16">
      <c r="P7446" s="115"/>
    </row>
    <row r="7447" spans="16:16">
      <c r="P7447" s="115"/>
    </row>
    <row r="7448" spans="16:16">
      <c r="P7448" s="115"/>
    </row>
    <row r="7449" spans="16:16">
      <c r="P7449" s="115"/>
    </row>
    <row r="7450" spans="16:16">
      <c r="P7450" s="115"/>
    </row>
    <row r="7451" spans="16:16">
      <c r="P7451" s="115"/>
    </row>
    <row r="7452" spans="16:16">
      <c r="P7452" s="115"/>
    </row>
    <row r="7453" spans="16:16">
      <c r="P7453" s="115"/>
    </row>
    <row r="7454" spans="16:16">
      <c r="P7454" s="115"/>
    </row>
    <row r="7455" spans="16:16">
      <c r="P7455" s="115"/>
    </row>
    <row r="7456" spans="16:16">
      <c r="P7456" s="115"/>
    </row>
    <row r="7457" spans="16:16">
      <c r="P7457" s="115"/>
    </row>
    <row r="7458" spans="16:16">
      <c r="P7458" s="115"/>
    </row>
    <row r="7459" spans="16:16">
      <c r="P7459" s="115"/>
    </row>
    <row r="7460" spans="16:16">
      <c r="P7460" s="115"/>
    </row>
    <row r="7461" spans="16:16">
      <c r="P7461" s="115"/>
    </row>
    <row r="7462" spans="16:16">
      <c r="P7462" s="115"/>
    </row>
    <row r="7463" spans="16:16">
      <c r="P7463" s="115"/>
    </row>
    <row r="7464" spans="16:16">
      <c r="P7464" s="115"/>
    </row>
    <row r="7465" spans="16:16">
      <c r="P7465" s="115"/>
    </row>
    <row r="7466" spans="16:16">
      <c r="P7466" s="115"/>
    </row>
    <row r="7467" spans="16:16">
      <c r="P7467" s="115"/>
    </row>
    <row r="7468" spans="16:16">
      <c r="P7468" s="115"/>
    </row>
    <row r="7469" spans="16:16">
      <c r="P7469" s="115"/>
    </row>
    <row r="7470" spans="16:16">
      <c r="P7470" s="115"/>
    </row>
    <row r="7471" spans="16:16">
      <c r="P7471" s="115"/>
    </row>
    <row r="7472" spans="16:16">
      <c r="P7472" s="115"/>
    </row>
    <row r="7473" spans="16:16">
      <c r="P7473" s="115"/>
    </row>
    <row r="7474" spans="16:16">
      <c r="P7474" s="115"/>
    </row>
    <row r="7475" spans="16:16">
      <c r="P7475" s="115"/>
    </row>
    <row r="7476" spans="16:16">
      <c r="P7476" s="115"/>
    </row>
    <row r="7477" spans="16:16">
      <c r="P7477" s="115"/>
    </row>
    <row r="7478" spans="16:16">
      <c r="P7478" s="115"/>
    </row>
    <row r="7479" spans="16:16">
      <c r="P7479" s="115"/>
    </row>
    <row r="7480" spans="16:16">
      <c r="P7480" s="115"/>
    </row>
    <row r="7481" spans="16:16">
      <c r="P7481" s="115"/>
    </row>
    <row r="7482" spans="16:16">
      <c r="P7482" s="115"/>
    </row>
    <row r="7483" spans="16:16">
      <c r="P7483" s="115"/>
    </row>
    <row r="7484" spans="16:16">
      <c r="P7484" s="115"/>
    </row>
    <row r="7485" spans="16:16">
      <c r="P7485" s="115"/>
    </row>
    <row r="7486" spans="16:16">
      <c r="P7486" s="115"/>
    </row>
    <row r="7487" spans="16:16">
      <c r="P7487" s="115"/>
    </row>
    <row r="7488" spans="16:16">
      <c r="P7488" s="115"/>
    </row>
    <row r="7489" spans="16:16">
      <c r="P7489" s="115"/>
    </row>
    <row r="7490" spans="16:16">
      <c r="P7490" s="115"/>
    </row>
    <row r="7491" spans="16:16">
      <c r="P7491" s="115"/>
    </row>
    <row r="7492" spans="16:16">
      <c r="P7492" s="115"/>
    </row>
    <row r="7493" spans="16:16">
      <c r="P7493" s="115"/>
    </row>
    <row r="7494" spans="16:16">
      <c r="P7494" s="115"/>
    </row>
    <row r="7495" spans="16:16">
      <c r="P7495" s="115"/>
    </row>
    <row r="7496" spans="16:16">
      <c r="P7496" s="115"/>
    </row>
    <row r="7497" spans="16:16">
      <c r="P7497" s="115"/>
    </row>
    <row r="7498" spans="16:16">
      <c r="P7498" s="115"/>
    </row>
    <row r="7499" spans="16:16">
      <c r="P7499" s="115"/>
    </row>
    <row r="7500" spans="16:16">
      <c r="P7500" s="115"/>
    </row>
    <row r="7501" spans="16:16">
      <c r="P7501" s="115"/>
    </row>
    <row r="7502" spans="16:16">
      <c r="P7502" s="115"/>
    </row>
    <row r="7503" spans="16:16">
      <c r="P7503" s="115"/>
    </row>
    <row r="7504" spans="16:16">
      <c r="P7504" s="115"/>
    </row>
    <row r="7505" spans="16:16">
      <c r="P7505" s="115"/>
    </row>
    <row r="7506" spans="16:16">
      <c r="P7506" s="115"/>
    </row>
    <row r="7507" spans="16:16">
      <c r="P7507" s="115"/>
    </row>
    <row r="7508" spans="16:16">
      <c r="P7508" s="115"/>
    </row>
    <row r="7509" spans="16:16">
      <c r="P7509" s="115"/>
    </row>
    <row r="7510" spans="16:16">
      <c r="P7510" s="115"/>
    </row>
    <row r="7511" spans="16:16">
      <c r="P7511" s="115"/>
    </row>
    <row r="7512" spans="16:16">
      <c r="P7512" s="115"/>
    </row>
    <row r="7513" spans="16:16">
      <c r="P7513" s="115"/>
    </row>
    <row r="7514" spans="16:16">
      <c r="P7514" s="115"/>
    </row>
    <row r="7515" spans="16:16">
      <c r="P7515" s="115"/>
    </row>
    <row r="7516" spans="16:16">
      <c r="P7516" s="115"/>
    </row>
    <row r="7517" spans="16:16">
      <c r="P7517" s="115"/>
    </row>
    <row r="7518" spans="16:16">
      <c r="P7518" s="115"/>
    </row>
    <row r="7519" spans="16:16">
      <c r="P7519" s="115"/>
    </row>
    <row r="7520" spans="16:16">
      <c r="P7520" s="115"/>
    </row>
    <row r="7521" spans="16:16">
      <c r="P7521" s="115"/>
    </row>
    <row r="7522" spans="16:16">
      <c r="P7522" s="115"/>
    </row>
    <row r="7523" spans="16:16">
      <c r="P7523" s="115"/>
    </row>
    <row r="7524" spans="16:16">
      <c r="P7524" s="115"/>
    </row>
    <row r="7525" spans="16:16">
      <c r="P7525" s="115"/>
    </row>
    <row r="7526" spans="16:16">
      <c r="P7526" s="115"/>
    </row>
    <row r="7527" spans="16:16">
      <c r="P7527" s="115"/>
    </row>
    <row r="7528" spans="16:16">
      <c r="P7528" s="115"/>
    </row>
    <row r="7529" spans="16:16">
      <c r="P7529" s="115"/>
    </row>
    <row r="7530" spans="16:16">
      <c r="P7530" s="115"/>
    </row>
    <row r="7531" spans="16:16">
      <c r="P7531" s="115"/>
    </row>
    <row r="7532" spans="16:16">
      <c r="P7532" s="115"/>
    </row>
    <row r="7533" spans="16:16">
      <c r="P7533" s="115"/>
    </row>
    <row r="7534" spans="16:16">
      <c r="P7534" s="115"/>
    </row>
    <row r="7535" spans="16:16">
      <c r="P7535" s="115"/>
    </row>
    <row r="7536" spans="16:16">
      <c r="P7536" s="115"/>
    </row>
    <row r="7537" spans="16:16">
      <c r="P7537" s="115"/>
    </row>
    <row r="7538" spans="16:16">
      <c r="P7538" s="115"/>
    </row>
    <row r="7539" spans="16:16">
      <c r="P7539" s="115"/>
    </row>
    <row r="7540" spans="16:16">
      <c r="P7540" s="115"/>
    </row>
    <row r="7541" spans="16:16">
      <c r="P7541" s="115"/>
    </row>
    <row r="7542" spans="16:16">
      <c r="P7542" s="115"/>
    </row>
    <row r="7543" spans="16:16">
      <c r="P7543" s="115"/>
    </row>
    <row r="7544" spans="16:16">
      <c r="P7544" s="115"/>
    </row>
    <row r="7545" spans="16:16">
      <c r="P7545" s="115"/>
    </row>
    <row r="7546" spans="16:16">
      <c r="P7546" s="115"/>
    </row>
    <row r="7547" spans="16:16">
      <c r="P7547" s="115"/>
    </row>
    <row r="7548" spans="16:16">
      <c r="P7548" s="115"/>
    </row>
    <row r="7549" spans="16:16">
      <c r="P7549" s="115"/>
    </row>
    <row r="7550" spans="16:16">
      <c r="P7550" s="115"/>
    </row>
    <row r="7551" spans="16:16">
      <c r="P7551" s="115"/>
    </row>
    <row r="7552" spans="16:16">
      <c r="P7552" s="115"/>
    </row>
    <row r="7553" spans="16:16">
      <c r="P7553" s="115"/>
    </row>
    <row r="7554" spans="16:16">
      <c r="P7554" s="115"/>
    </row>
    <row r="7555" spans="16:16">
      <c r="P7555" s="115"/>
    </row>
    <row r="7556" spans="16:16">
      <c r="P7556" s="115"/>
    </row>
    <row r="7557" spans="16:16">
      <c r="P7557" s="115"/>
    </row>
    <row r="7558" spans="16:16">
      <c r="P7558" s="115"/>
    </row>
    <row r="7559" spans="16:16">
      <c r="P7559" s="115"/>
    </row>
    <row r="7560" spans="16:16">
      <c r="P7560" s="115"/>
    </row>
    <row r="7561" spans="16:16">
      <c r="P7561" s="115"/>
    </row>
    <row r="7562" spans="16:16">
      <c r="P7562" s="115"/>
    </row>
    <row r="7563" spans="16:16">
      <c r="P7563" s="115"/>
    </row>
    <row r="7564" spans="16:16">
      <c r="P7564" s="115"/>
    </row>
    <row r="7565" spans="16:16">
      <c r="P7565" s="115"/>
    </row>
    <row r="7566" spans="16:16">
      <c r="P7566" s="115"/>
    </row>
    <row r="7567" spans="16:16">
      <c r="P7567" s="115"/>
    </row>
    <row r="7568" spans="16:16">
      <c r="P7568" s="115"/>
    </row>
    <row r="7569" spans="16:16">
      <c r="P7569" s="115"/>
    </row>
    <row r="7570" spans="16:16">
      <c r="P7570" s="115"/>
    </row>
    <row r="7571" spans="16:16">
      <c r="P7571" s="115"/>
    </row>
    <row r="7572" spans="16:16">
      <c r="P7572" s="115"/>
    </row>
    <row r="7573" spans="16:16">
      <c r="P7573" s="115"/>
    </row>
    <row r="7574" spans="16:16">
      <c r="P7574" s="115"/>
    </row>
    <row r="7575" spans="16:16">
      <c r="P7575" s="115"/>
    </row>
    <row r="7576" spans="16:16">
      <c r="P7576" s="115"/>
    </row>
    <row r="7577" spans="16:16">
      <c r="P7577" s="115"/>
    </row>
    <row r="7578" spans="16:16">
      <c r="P7578" s="115"/>
    </row>
    <row r="7579" spans="16:16">
      <c r="P7579" s="115"/>
    </row>
    <row r="7580" spans="16:16">
      <c r="P7580" s="115"/>
    </row>
    <row r="7581" spans="16:16">
      <c r="P7581" s="115"/>
    </row>
    <row r="7582" spans="16:16">
      <c r="P7582" s="115"/>
    </row>
    <row r="7583" spans="16:16">
      <c r="P7583" s="115"/>
    </row>
    <row r="7584" spans="16:16">
      <c r="P7584" s="115"/>
    </row>
    <row r="7585" spans="16:16">
      <c r="P7585" s="115"/>
    </row>
    <row r="7586" spans="16:16">
      <c r="P7586" s="115"/>
    </row>
    <row r="7587" spans="16:16">
      <c r="P7587" s="115"/>
    </row>
    <row r="7588" spans="16:16">
      <c r="P7588" s="115"/>
    </row>
    <row r="7589" spans="16:16">
      <c r="P7589" s="115"/>
    </row>
    <row r="7590" spans="16:16">
      <c r="P7590" s="115"/>
    </row>
    <row r="7591" spans="16:16">
      <c r="P7591" s="115"/>
    </row>
    <row r="7592" spans="16:16">
      <c r="P7592" s="115"/>
    </row>
    <row r="7593" spans="16:16">
      <c r="P7593" s="115"/>
    </row>
    <row r="7594" spans="16:16">
      <c r="P7594" s="115"/>
    </row>
    <row r="7595" spans="16:16">
      <c r="P7595" s="115"/>
    </row>
    <row r="7596" spans="16:16">
      <c r="P7596" s="115"/>
    </row>
    <row r="7597" spans="16:16">
      <c r="P7597" s="115"/>
    </row>
    <row r="7598" spans="16:16">
      <c r="P7598" s="115"/>
    </row>
    <row r="7599" spans="16:16">
      <c r="P7599" s="115"/>
    </row>
    <row r="7600" spans="16:16">
      <c r="P7600" s="115"/>
    </row>
    <row r="7601" spans="16:16">
      <c r="P7601" s="115"/>
    </row>
    <row r="7602" spans="16:16">
      <c r="P7602" s="115"/>
    </row>
    <row r="7603" spans="16:16">
      <c r="P7603" s="115"/>
    </row>
    <row r="7604" spans="16:16">
      <c r="P7604" s="115"/>
    </row>
    <row r="7605" spans="16:16">
      <c r="P7605" s="115"/>
    </row>
    <row r="7606" spans="16:16">
      <c r="P7606" s="115"/>
    </row>
    <row r="7607" spans="16:16">
      <c r="P7607" s="115"/>
    </row>
    <row r="7608" spans="16:16">
      <c r="P7608" s="115"/>
    </row>
    <row r="7609" spans="16:16">
      <c r="P7609" s="115"/>
    </row>
    <row r="7610" spans="16:16">
      <c r="P7610" s="115"/>
    </row>
    <row r="7611" spans="16:16">
      <c r="P7611" s="115"/>
    </row>
    <row r="7612" spans="16:16">
      <c r="P7612" s="115"/>
    </row>
    <row r="7613" spans="16:16">
      <c r="P7613" s="115"/>
    </row>
    <row r="7614" spans="16:16">
      <c r="P7614" s="115"/>
    </row>
    <row r="7615" spans="16:16">
      <c r="P7615" s="115"/>
    </row>
    <row r="7616" spans="16:16">
      <c r="P7616" s="115"/>
    </row>
    <row r="7617" spans="16:16">
      <c r="P7617" s="115"/>
    </row>
    <row r="7618" spans="16:16">
      <c r="P7618" s="115"/>
    </row>
    <row r="7619" spans="16:16">
      <c r="P7619" s="115"/>
    </row>
    <row r="7620" spans="16:16">
      <c r="P7620" s="115"/>
    </row>
    <row r="7621" spans="16:16">
      <c r="P7621" s="115"/>
    </row>
    <row r="7622" spans="16:16">
      <c r="P7622" s="115"/>
    </row>
    <row r="7623" spans="16:16">
      <c r="P7623" s="115"/>
    </row>
    <row r="7624" spans="16:16">
      <c r="P7624" s="115"/>
    </row>
    <row r="7625" spans="16:16">
      <c r="P7625" s="115"/>
    </row>
    <row r="7626" spans="16:16">
      <c r="P7626" s="115"/>
    </row>
    <row r="7627" spans="16:16">
      <c r="P7627" s="115"/>
    </row>
    <row r="7628" spans="16:16">
      <c r="P7628" s="115"/>
    </row>
    <row r="7629" spans="16:16">
      <c r="P7629" s="115"/>
    </row>
    <row r="7630" spans="16:16">
      <c r="P7630" s="115"/>
    </row>
    <row r="7631" spans="16:16">
      <c r="P7631" s="115"/>
    </row>
    <row r="7632" spans="16:16">
      <c r="P7632" s="115"/>
    </row>
    <row r="7633" spans="16:16">
      <c r="P7633" s="115"/>
    </row>
    <row r="7634" spans="16:16">
      <c r="P7634" s="115"/>
    </row>
    <row r="7635" spans="16:16">
      <c r="P7635" s="115"/>
    </row>
    <row r="7636" spans="16:16">
      <c r="P7636" s="115"/>
    </row>
    <row r="7637" spans="16:16">
      <c r="P7637" s="115"/>
    </row>
    <row r="7638" spans="16:16">
      <c r="P7638" s="115"/>
    </row>
    <row r="7639" spans="16:16">
      <c r="P7639" s="115"/>
    </row>
    <row r="7640" spans="16:16">
      <c r="P7640" s="115"/>
    </row>
    <row r="7641" spans="16:16">
      <c r="P7641" s="115"/>
    </row>
    <row r="7642" spans="16:16">
      <c r="P7642" s="115"/>
    </row>
    <row r="7643" spans="16:16">
      <c r="P7643" s="115"/>
    </row>
    <row r="7644" spans="16:16">
      <c r="P7644" s="115"/>
    </row>
    <row r="7645" spans="16:16">
      <c r="P7645" s="115"/>
    </row>
    <row r="7646" spans="16:16">
      <c r="P7646" s="115"/>
    </row>
    <row r="7647" spans="16:16">
      <c r="P7647" s="115"/>
    </row>
    <row r="7648" spans="16:16">
      <c r="P7648" s="115"/>
    </row>
    <row r="7649" spans="16:16">
      <c r="P7649" s="115"/>
    </row>
    <row r="7650" spans="16:16">
      <c r="P7650" s="115"/>
    </row>
    <row r="7651" spans="16:16">
      <c r="P7651" s="115"/>
    </row>
    <row r="7652" spans="16:16">
      <c r="P7652" s="115"/>
    </row>
    <row r="7653" spans="16:16">
      <c r="P7653" s="115"/>
    </row>
    <row r="7654" spans="16:16">
      <c r="P7654" s="115"/>
    </row>
    <row r="7655" spans="16:16">
      <c r="P7655" s="115"/>
    </row>
    <row r="7656" spans="16:16">
      <c r="P7656" s="115"/>
    </row>
    <row r="7657" spans="16:16">
      <c r="P7657" s="115"/>
    </row>
    <row r="7658" spans="16:16">
      <c r="P7658" s="115"/>
    </row>
    <row r="7659" spans="16:16">
      <c r="P7659" s="115"/>
    </row>
    <row r="7660" spans="16:16">
      <c r="P7660" s="115"/>
    </row>
    <row r="7661" spans="16:16">
      <c r="P7661" s="115"/>
    </row>
    <row r="7662" spans="16:16">
      <c r="P7662" s="115"/>
    </row>
    <row r="7663" spans="16:16">
      <c r="P7663" s="115"/>
    </row>
    <row r="7664" spans="16:16">
      <c r="P7664" s="115"/>
    </row>
    <row r="7665" spans="16:16">
      <c r="P7665" s="115"/>
    </row>
    <row r="7666" spans="16:16">
      <c r="P7666" s="115"/>
    </row>
    <row r="7667" spans="16:16">
      <c r="P7667" s="115"/>
    </row>
    <row r="7668" spans="16:16">
      <c r="P7668" s="115"/>
    </row>
    <row r="7669" spans="16:16">
      <c r="P7669" s="115"/>
    </row>
    <row r="7670" spans="16:16">
      <c r="P7670" s="115"/>
    </row>
    <row r="7671" spans="16:16">
      <c r="P7671" s="115"/>
    </row>
    <row r="7672" spans="16:16">
      <c r="P7672" s="115"/>
    </row>
    <row r="7673" spans="16:16">
      <c r="P7673" s="115"/>
    </row>
    <row r="7674" spans="16:16">
      <c r="P7674" s="115"/>
    </row>
    <row r="7675" spans="16:16">
      <c r="P7675" s="115"/>
    </row>
    <row r="7676" spans="16:16">
      <c r="P7676" s="115"/>
    </row>
    <row r="7677" spans="16:16">
      <c r="P7677" s="115"/>
    </row>
    <row r="7678" spans="16:16">
      <c r="P7678" s="115"/>
    </row>
    <row r="7679" spans="16:16">
      <c r="P7679" s="115"/>
    </row>
    <row r="7680" spans="16:16">
      <c r="P7680" s="115"/>
    </row>
    <row r="7681" spans="16:16">
      <c r="P7681" s="115"/>
    </row>
    <row r="7682" spans="16:16">
      <c r="P7682" s="115"/>
    </row>
    <row r="7683" spans="16:16">
      <c r="P7683" s="115"/>
    </row>
    <row r="7684" spans="16:16">
      <c r="P7684" s="115"/>
    </row>
    <row r="7685" spans="16:16">
      <c r="P7685" s="115"/>
    </row>
    <row r="7686" spans="16:16">
      <c r="P7686" s="115"/>
    </row>
    <row r="7687" spans="16:16">
      <c r="P7687" s="115"/>
    </row>
    <row r="7688" spans="16:16">
      <c r="P7688" s="115"/>
    </row>
    <row r="7689" spans="16:16">
      <c r="P7689" s="115"/>
    </row>
    <row r="7690" spans="16:16">
      <c r="P7690" s="115"/>
    </row>
    <row r="7691" spans="16:16">
      <c r="P7691" s="115"/>
    </row>
    <row r="7692" spans="16:16">
      <c r="P7692" s="115"/>
    </row>
    <row r="7693" spans="16:16">
      <c r="P7693" s="115"/>
    </row>
    <row r="7694" spans="16:16">
      <c r="P7694" s="115"/>
    </row>
    <row r="7695" spans="16:16">
      <c r="P7695" s="115"/>
    </row>
    <row r="7696" spans="16:16">
      <c r="P7696" s="115"/>
    </row>
    <row r="7697" spans="16:16">
      <c r="P7697" s="115"/>
    </row>
    <row r="7698" spans="16:16">
      <c r="P7698" s="115"/>
    </row>
    <row r="7699" spans="16:16">
      <c r="P7699" s="115"/>
    </row>
    <row r="7700" spans="16:16">
      <c r="P7700" s="115"/>
    </row>
    <row r="7701" spans="16:16">
      <c r="P7701" s="115"/>
    </row>
    <row r="7702" spans="16:16">
      <c r="P7702" s="115"/>
    </row>
    <row r="7703" spans="16:16">
      <c r="P7703" s="115"/>
    </row>
    <row r="7704" spans="16:16">
      <c r="P7704" s="115"/>
    </row>
    <row r="7705" spans="16:16">
      <c r="P7705" s="115"/>
    </row>
    <row r="7706" spans="16:16">
      <c r="P7706" s="115"/>
    </row>
    <row r="7707" spans="16:16">
      <c r="P7707" s="115"/>
    </row>
    <row r="7708" spans="16:16">
      <c r="P7708" s="115"/>
    </row>
    <row r="7709" spans="16:16">
      <c r="P7709" s="115"/>
    </row>
    <row r="7710" spans="16:16">
      <c r="P7710" s="115"/>
    </row>
    <row r="7711" spans="16:16">
      <c r="P7711" s="115"/>
    </row>
    <row r="7712" spans="16:16">
      <c r="P7712" s="115"/>
    </row>
    <row r="7713" spans="16:16">
      <c r="P7713" s="115"/>
    </row>
    <row r="7714" spans="16:16">
      <c r="P7714" s="115"/>
    </row>
    <row r="7715" spans="16:16">
      <c r="P7715" s="115"/>
    </row>
    <row r="7716" spans="16:16">
      <c r="P7716" s="115"/>
    </row>
    <row r="7717" spans="16:16">
      <c r="P7717" s="115"/>
    </row>
    <row r="7718" spans="16:16">
      <c r="P7718" s="115"/>
    </row>
    <row r="7719" spans="16:16">
      <c r="P7719" s="115"/>
    </row>
    <row r="7720" spans="16:16">
      <c r="P7720" s="115"/>
    </row>
    <row r="7721" spans="16:16">
      <c r="P7721" s="115"/>
    </row>
    <row r="7722" spans="16:16">
      <c r="P7722" s="115"/>
    </row>
    <row r="7723" spans="16:16">
      <c r="P7723" s="115"/>
    </row>
    <row r="7724" spans="16:16">
      <c r="P7724" s="115"/>
    </row>
    <row r="7725" spans="16:16">
      <c r="P7725" s="115"/>
    </row>
    <row r="7726" spans="16:16">
      <c r="P7726" s="115"/>
    </row>
    <row r="7727" spans="16:16">
      <c r="P7727" s="115"/>
    </row>
    <row r="7728" spans="16:16">
      <c r="P7728" s="115"/>
    </row>
    <row r="7729" spans="16:16">
      <c r="P7729" s="115"/>
    </row>
    <row r="7730" spans="16:16">
      <c r="P7730" s="115"/>
    </row>
    <row r="7731" spans="16:16">
      <c r="P7731" s="115"/>
    </row>
    <row r="7732" spans="16:16">
      <c r="P7732" s="115"/>
    </row>
    <row r="7733" spans="16:16">
      <c r="P7733" s="115"/>
    </row>
    <row r="7734" spans="16:16">
      <c r="P7734" s="115"/>
    </row>
    <row r="7735" spans="16:16">
      <c r="P7735" s="115"/>
    </row>
    <row r="7736" spans="16:16">
      <c r="P7736" s="115"/>
    </row>
    <row r="7737" spans="16:16">
      <c r="P7737" s="115"/>
    </row>
    <row r="7738" spans="16:16">
      <c r="P7738" s="115"/>
    </row>
    <row r="7739" spans="16:16">
      <c r="P7739" s="115"/>
    </row>
    <row r="7740" spans="16:16">
      <c r="P7740" s="115"/>
    </row>
    <row r="7741" spans="16:16">
      <c r="P7741" s="115"/>
    </row>
    <row r="7742" spans="16:16">
      <c r="P7742" s="115"/>
    </row>
    <row r="7743" spans="16:16">
      <c r="P7743" s="115"/>
    </row>
    <row r="7744" spans="16:16">
      <c r="P7744" s="115"/>
    </row>
    <row r="7745" spans="16:16">
      <c r="P7745" s="115"/>
    </row>
    <row r="7746" spans="16:16">
      <c r="P7746" s="115"/>
    </row>
    <row r="7747" spans="16:16">
      <c r="P7747" s="115"/>
    </row>
    <row r="7748" spans="16:16">
      <c r="P7748" s="115"/>
    </row>
    <row r="7749" spans="16:16">
      <c r="P7749" s="115"/>
    </row>
    <row r="7750" spans="16:16">
      <c r="P7750" s="115"/>
    </row>
    <row r="7751" spans="16:16">
      <c r="P7751" s="115"/>
    </row>
    <row r="7752" spans="16:16">
      <c r="P7752" s="115"/>
    </row>
    <row r="7753" spans="16:16">
      <c r="P7753" s="115"/>
    </row>
    <row r="7754" spans="16:16">
      <c r="P7754" s="115"/>
    </row>
    <row r="7755" spans="16:16">
      <c r="P7755" s="115"/>
    </row>
    <row r="7756" spans="16:16">
      <c r="P7756" s="115"/>
    </row>
    <row r="7757" spans="16:16">
      <c r="P7757" s="115"/>
    </row>
    <row r="7758" spans="16:16">
      <c r="P7758" s="115"/>
    </row>
    <row r="7759" spans="16:16">
      <c r="P7759" s="115"/>
    </row>
    <row r="7760" spans="16:16">
      <c r="P7760" s="115"/>
    </row>
    <row r="7761" spans="16:16">
      <c r="P7761" s="115"/>
    </row>
    <row r="7762" spans="16:16">
      <c r="P7762" s="115"/>
    </row>
    <row r="7763" spans="16:16">
      <c r="P7763" s="115"/>
    </row>
    <row r="7764" spans="16:16">
      <c r="P7764" s="115"/>
    </row>
    <row r="7765" spans="16:16">
      <c r="P7765" s="115"/>
    </row>
    <row r="7766" spans="16:16">
      <c r="P7766" s="115"/>
    </row>
    <row r="7767" spans="16:16">
      <c r="P7767" s="115"/>
    </row>
    <row r="7768" spans="16:16">
      <c r="P7768" s="115"/>
    </row>
    <row r="7769" spans="16:16">
      <c r="P7769" s="115"/>
    </row>
    <row r="7770" spans="16:16">
      <c r="P7770" s="115"/>
    </row>
    <row r="7771" spans="16:16">
      <c r="P7771" s="115"/>
    </row>
    <row r="7772" spans="16:16">
      <c r="P7772" s="115"/>
    </row>
    <row r="7773" spans="16:16">
      <c r="P7773" s="115"/>
    </row>
    <row r="7774" spans="16:16">
      <c r="P7774" s="115"/>
    </row>
    <row r="7775" spans="16:16">
      <c r="P7775" s="115"/>
    </row>
    <row r="7776" spans="16:16">
      <c r="P7776" s="115"/>
    </row>
    <row r="7777" spans="16:16">
      <c r="P7777" s="115"/>
    </row>
    <row r="7778" spans="16:16">
      <c r="P7778" s="115"/>
    </row>
    <row r="7779" spans="16:16">
      <c r="P7779" s="115"/>
    </row>
    <row r="7780" spans="16:16">
      <c r="P7780" s="115"/>
    </row>
    <row r="7781" spans="16:16">
      <c r="P7781" s="115"/>
    </row>
    <row r="7782" spans="16:16">
      <c r="P7782" s="115"/>
    </row>
    <row r="7783" spans="16:16">
      <c r="P7783" s="115"/>
    </row>
    <row r="7784" spans="16:16">
      <c r="P7784" s="115"/>
    </row>
    <row r="7785" spans="16:16">
      <c r="P7785" s="115"/>
    </row>
    <row r="7786" spans="16:16">
      <c r="P7786" s="115"/>
    </row>
    <row r="7787" spans="16:16">
      <c r="P7787" s="115"/>
    </row>
    <row r="7788" spans="16:16">
      <c r="P7788" s="115"/>
    </row>
    <row r="7789" spans="16:16">
      <c r="P7789" s="115"/>
    </row>
    <row r="7790" spans="16:16">
      <c r="P7790" s="115"/>
    </row>
    <row r="7791" spans="16:16">
      <c r="P7791" s="115"/>
    </row>
    <row r="7792" spans="16:16">
      <c r="P7792" s="115"/>
    </row>
    <row r="7793" spans="16:16">
      <c r="P7793" s="115"/>
    </row>
    <row r="7794" spans="16:16">
      <c r="P7794" s="115"/>
    </row>
    <row r="7795" spans="16:16">
      <c r="P7795" s="115"/>
    </row>
    <row r="7796" spans="16:16">
      <c r="P7796" s="115"/>
    </row>
    <row r="7797" spans="16:16">
      <c r="P7797" s="115"/>
    </row>
    <row r="7798" spans="16:16">
      <c r="P7798" s="115"/>
    </row>
    <row r="7799" spans="16:16">
      <c r="P7799" s="115"/>
    </row>
    <row r="7800" spans="16:16">
      <c r="P7800" s="115"/>
    </row>
    <row r="7801" spans="16:16">
      <c r="P7801" s="115"/>
    </row>
    <row r="7802" spans="16:16">
      <c r="P7802" s="115"/>
    </row>
    <row r="7803" spans="16:16">
      <c r="P7803" s="115"/>
    </row>
    <row r="7804" spans="16:16">
      <c r="P7804" s="115"/>
    </row>
    <row r="7805" spans="16:16">
      <c r="P7805" s="115"/>
    </row>
    <row r="7806" spans="16:16">
      <c r="P7806" s="115"/>
    </row>
    <row r="7807" spans="16:16">
      <c r="P7807" s="115"/>
    </row>
    <row r="7808" spans="16:16">
      <c r="P7808" s="115"/>
    </row>
    <row r="7809" spans="16:16">
      <c r="P7809" s="115"/>
    </row>
    <row r="7810" spans="16:16">
      <c r="P7810" s="115"/>
    </row>
    <row r="7811" spans="16:16">
      <c r="P7811" s="115"/>
    </row>
    <row r="7812" spans="16:16">
      <c r="P7812" s="115"/>
    </row>
    <row r="7813" spans="16:16">
      <c r="P7813" s="115"/>
    </row>
    <row r="7814" spans="16:16">
      <c r="P7814" s="115"/>
    </row>
    <row r="7815" spans="16:16">
      <c r="P7815" s="115"/>
    </row>
    <row r="7816" spans="16:16">
      <c r="P7816" s="115"/>
    </row>
    <row r="7817" spans="16:16">
      <c r="P7817" s="115"/>
    </row>
    <row r="7818" spans="16:16">
      <c r="P7818" s="115"/>
    </row>
    <row r="7819" spans="16:16">
      <c r="P7819" s="115"/>
    </row>
    <row r="7820" spans="16:16">
      <c r="P7820" s="115"/>
    </row>
    <row r="7821" spans="16:16">
      <c r="P7821" s="115"/>
    </row>
    <row r="7822" spans="16:16">
      <c r="P7822" s="115"/>
    </row>
    <row r="7823" spans="16:16">
      <c r="P7823" s="115"/>
    </row>
    <row r="7824" spans="16:16">
      <c r="P7824" s="115"/>
    </row>
    <row r="7825" spans="16:16">
      <c r="P7825" s="115"/>
    </row>
    <row r="7826" spans="16:16">
      <c r="P7826" s="115"/>
    </row>
    <row r="7827" spans="16:16">
      <c r="P7827" s="115"/>
    </row>
    <row r="7828" spans="16:16">
      <c r="P7828" s="115"/>
    </row>
    <row r="7829" spans="16:16">
      <c r="P7829" s="115"/>
    </row>
    <row r="7830" spans="16:16">
      <c r="P7830" s="115"/>
    </row>
    <row r="7831" spans="16:16">
      <c r="P7831" s="115"/>
    </row>
    <row r="7832" spans="16:16">
      <c r="P7832" s="115"/>
    </row>
    <row r="7833" spans="16:16">
      <c r="P7833" s="115"/>
    </row>
    <row r="7834" spans="16:16">
      <c r="P7834" s="115"/>
    </row>
    <row r="7835" spans="16:16">
      <c r="P7835" s="115"/>
    </row>
    <row r="7836" spans="16:16">
      <c r="P7836" s="115"/>
    </row>
    <row r="7837" spans="16:16">
      <c r="P7837" s="115"/>
    </row>
    <row r="7838" spans="16:16">
      <c r="P7838" s="115"/>
    </row>
    <row r="7839" spans="16:16">
      <c r="P7839" s="115"/>
    </row>
    <row r="7840" spans="16:16">
      <c r="P7840" s="115"/>
    </row>
    <row r="7841" spans="16:16">
      <c r="P7841" s="115"/>
    </row>
    <row r="7842" spans="16:16">
      <c r="P7842" s="115"/>
    </row>
    <row r="7843" spans="16:16">
      <c r="P7843" s="115"/>
    </row>
    <row r="7844" spans="16:16">
      <c r="P7844" s="115"/>
    </row>
    <row r="7845" spans="16:16">
      <c r="P7845" s="115"/>
    </row>
    <row r="7846" spans="16:16">
      <c r="P7846" s="115"/>
    </row>
    <row r="7847" spans="16:16">
      <c r="P7847" s="115"/>
    </row>
    <row r="7848" spans="16:16">
      <c r="P7848" s="115"/>
    </row>
    <row r="7849" spans="16:16">
      <c r="P7849" s="115"/>
    </row>
    <row r="7850" spans="16:16">
      <c r="P7850" s="115"/>
    </row>
    <row r="7851" spans="16:16">
      <c r="P7851" s="115"/>
    </row>
    <row r="7852" spans="16:16">
      <c r="P7852" s="115"/>
    </row>
    <row r="7853" spans="16:16">
      <c r="P7853" s="115"/>
    </row>
    <row r="7854" spans="16:16">
      <c r="P7854" s="115"/>
    </row>
    <row r="7855" spans="16:16">
      <c r="P7855" s="115"/>
    </row>
    <row r="7856" spans="16:16">
      <c r="P7856" s="115"/>
    </row>
    <row r="7857" spans="16:16">
      <c r="P7857" s="115"/>
    </row>
    <row r="7858" spans="16:16">
      <c r="P7858" s="115"/>
    </row>
    <row r="7859" spans="16:16">
      <c r="P7859" s="115"/>
    </row>
    <row r="7860" spans="16:16">
      <c r="P7860" s="115"/>
    </row>
    <row r="7861" spans="16:16">
      <c r="P7861" s="115"/>
    </row>
    <row r="7862" spans="16:16">
      <c r="P7862" s="115"/>
    </row>
    <row r="7863" spans="16:16">
      <c r="P7863" s="115"/>
    </row>
    <row r="7864" spans="16:16">
      <c r="P7864" s="115"/>
    </row>
    <row r="7865" spans="16:16">
      <c r="P7865" s="115"/>
    </row>
    <row r="7866" spans="16:16">
      <c r="P7866" s="115"/>
    </row>
    <row r="7867" spans="16:16">
      <c r="P7867" s="115"/>
    </row>
    <row r="7868" spans="16:16">
      <c r="P7868" s="115"/>
    </row>
    <row r="7869" spans="16:16">
      <c r="P7869" s="115"/>
    </row>
    <row r="7870" spans="16:16">
      <c r="P7870" s="115"/>
    </row>
    <row r="7871" spans="16:16">
      <c r="P7871" s="115"/>
    </row>
    <row r="7872" spans="16:16">
      <c r="P7872" s="115"/>
    </row>
    <row r="7873" spans="16:16">
      <c r="P7873" s="115"/>
    </row>
    <row r="7874" spans="16:16">
      <c r="P7874" s="115"/>
    </row>
    <row r="7875" spans="16:16">
      <c r="P7875" s="115"/>
    </row>
    <row r="7876" spans="16:16">
      <c r="P7876" s="115"/>
    </row>
    <row r="7877" spans="16:16">
      <c r="P7877" s="115"/>
    </row>
    <row r="7878" spans="16:16">
      <c r="P7878" s="115"/>
    </row>
    <row r="7879" spans="16:16">
      <c r="P7879" s="115"/>
    </row>
    <row r="7880" spans="16:16">
      <c r="P7880" s="115"/>
    </row>
    <row r="7881" spans="16:16">
      <c r="P7881" s="115"/>
    </row>
    <row r="7882" spans="16:16">
      <c r="P7882" s="115"/>
    </row>
    <row r="7883" spans="16:16">
      <c r="P7883" s="115"/>
    </row>
    <row r="7884" spans="16:16">
      <c r="P7884" s="115"/>
    </row>
    <row r="7885" spans="16:16">
      <c r="P7885" s="115"/>
    </row>
    <row r="7886" spans="16:16">
      <c r="P7886" s="115"/>
    </row>
    <row r="7887" spans="16:16">
      <c r="P7887" s="115"/>
    </row>
    <row r="7888" spans="16:16">
      <c r="P7888" s="115"/>
    </row>
    <row r="7889" spans="16:16">
      <c r="P7889" s="115"/>
    </row>
    <row r="7890" spans="16:16">
      <c r="P7890" s="115"/>
    </row>
    <row r="7891" spans="16:16">
      <c r="P7891" s="115"/>
    </row>
    <row r="7892" spans="16:16">
      <c r="P7892" s="115"/>
    </row>
    <row r="7893" spans="16:16">
      <c r="P7893" s="115"/>
    </row>
    <row r="7894" spans="16:16">
      <c r="P7894" s="115"/>
    </row>
    <row r="7895" spans="16:16">
      <c r="P7895" s="115"/>
    </row>
    <row r="7896" spans="16:16">
      <c r="P7896" s="115"/>
    </row>
    <row r="7897" spans="16:16">
      <c r="P7897" s="115"/>
    </row>
    <row r="7898" spans="16:16">
      <c r="P7898" s="115"/>
    </row>
    <row r="7899" spans="16:16">
      <c r="P7899" s="115"/>
    </row>
    <row r="7900" spans="16:16">
      <c r="P7900" s="115"/>
    </row>
    <row r="7901" spans="16:16">
      <c r="P7901" s="115"/>
    </row>
    <row r="7902" spans="16:16">
      <c r="P7902" s="115"/>
    </row>
    <row r="7903" spans="16:16">
      <c r="P7903" s="115"/>
    </row>
    <row r="7904" spans="16:16">
      <c r="P7904" s="115"/>
    </row>
    <row r="7905" spans="16:16">
      <c r="P7905" s="115"/>
    </row>
    <row r="7906" spans="16:16">
      <c r="P7906" s="115"/>
    </row>
    <row r="7907" spans="16:16">
      <c r="P7907" s="115"/>
    </row>
    <row r="7908" spans="16:16">
      <c r="P7908" s="115"/>
    </row>
    <row r="7909" spans="16:16">
      <c r="P7909" s="115"/>
    </row>
    <row r="7910" spans="16:16">
      <c r="P7910" s="115"/>
    </row>
    <row r="7911" spans="16:16">
      <c r="P7911" s="115"/>
    </row>
    <row r="7912" spans="16:16">
      <c r="P7912" s="115"/>
    </row>
    <row r="7913" spans="16:16">
      <c r="P7913" s="115"/>
    </row>
    <row r="7914" spans="16:16">
      <c r="P7914" s="115"/>
    </row>
    <row r="7915" spans="16:16">
      <c r="P7915" s="115"/>
    </row>
    <row r="7916" spans="16:16">
      <c r="P7916" s="115"/>
    </row>
    <row r="7917" spans="16:16">
      <c r="P7917" s="115"/>
    </row>
    <row r="7918" spans="16:16">
      <c r="P7918" s="115"/>
    </row>
    <row r="7919" spans="16:16">
      <c r="P7919" s="115"/>
    </row>
    <row r="7920" spans="16:16">
      <c r="P7920" s="115"/>
    </row>
    <row r="7921" spans="16:16">
      <c r="P7921" s="115"/>
    </row>
    <row r="7922" spans="16:16">
      <c r="P7922" s="115"/>
    </row>
    <row r="7923" spans="16:16">
      <c r="P7923" s="115"/>
    </row>
    <row r="7924" spans="16:16">
      <c r="P7924" s="115"/>
    </row>
    <row r="7925" spans="16:16">
      <c r="P7925" s="115"/>
    </row>
    <row r="7926" spans="16:16">
      <c r="P7926" s="115"/>
    </row>
    <row r="7927" spans="16:16">
      <c r="P7927" s="115"/>
    </row>
    <row r="7928" spans="16:16">
      <c r="P7928" s="115"/>
    </row>
    <row r="7929" spans="16:16">
      <c r="P7929" s="115"/>
    </row>
    <row r="7930" spans="16:16">
      <c r="P7930" s="115"/>
    </row>
    <row r="7931" spans="16:16">
      <c r="P7931" s="115"/>
    </row>
    <row r="7932" spans="16:16">
      <c r="P7932" s="115"/>
    </row>
    <row r="7933" spans="16:16">
      <c r="P7933" s="115"/>
    </row>
    <row r="7934" spans="16:16">
      <c r="P7934" s="115"/>
    </row>
    <row r="7935" spans="16:16">
      <c r="P7935" s="115"/>
    </row>
    <row r="7936" spans="16:16">
      <c r="P7936" s="115"/>
    </row>
    <row r="7937" spans="16:16">
      <c r="P7937" s="115"/>
    </row>
    <row r="7938" spans="16:16">
      <c r="P7938" s="115"/>
    </row>
    <row r="7939" spans="16:16">
      <c r="P7939" s="115"/>
    </row>
    <row r="7940" spans="16:16">
      <c r="P7940" s="115"/>
    </row>
    <row r="7941" spans="16:16">
      <c r="P7941" s="115"/>
    </row>
    <row r="7942" spans="16:16">
      <c r="P7942" s="115"/>
    </row>
    <row r="7943" spans="16:16">
      <c r="P7943" s="115"/>
    </row>
    <row r="7944" spans="16:16">
      <c r="P7944" s="115"/>
    </row>
    <row r="7945" spans="16:16">
      <c r="P7945" s="115"/>
    </row>
    <row r="7946" spans="16:16">
      <c r="P7946" s="115"/>
    </row>
    <row r="7947" spans="16:16">
      <c r="P7947" s="115"/>
    </row>
    <row r="7948" spans="16:16">
      <c r="P7948" s="115"/>
    </row>
    <row r="7949" spans="16:16">
      <c r="P7949" s="115"/>
    </row>
    <row r="7950" spans="16:16">
      <c r="P7950" s="115"/>
    </row>
    <row r="7951" spans="16:16">
      <c r="P7951" s="115"/>
    </row>
    <row r="7952" spans="16:16">
      <c r="P7952" s="115"/>
    </row>
    <row r="7953" spans="16:16">
      <c r="P7953" s="115"/>
    </row>
    <row r="7954" spans="16:16">
      <c r="P7954" s="115"/>
    </row>
    <row r="7955" spans="16:16">
      <c r="P7955" s="115"/>
    </row>
    <row r="7956" spans="16:16">
      <c r="P7956" s="115"/>
    </row>
    <row r="7957" spans="16:16">
      <c r="P7957" s="115"/>
    </row>
    <row r="7958" spans="16:16">
      <c r="P7958" s="115"/>
    </row>
    <row r="7959" spans="16:16">
      <c r="P7959" s="115"/>
    </row>
    <row r="7960" spans="16:16">
      <c r="P7960" s="115"/>
    </row>
    <row r="7961" spans="16:16">
      <c r="P7961" s="115"/>
    </row>
    <row r="7962" spans="16:16">
      <c r="P7962" s="115"/>
    </row>
    <row r="7963" spans="16:16">
      <c r="P7963" s="115"/>
    </row>
    <row r="7964" spans="16:16">
      <c r="P7964" s="115"/>
    </row>
    <row r="7965" spans="16:16">
      <c r="P7965" s="115"/>
    </row>
    <row r="7966" spans="16:16">
      <c r="P7966" s="115"/>
    </row>
    <row r="7967" spans="16:16">
      <c r="P7967" s="115"/>
    </row>
    <row r="7968" spans="16:16">
      <c r="P7968" s="115"/>
    </row>
    <row r="7969" spans="16:16">
      <c r="P7969" s="115"/>
    </row>
    <row r="7970" spans="16:16">
      <c r="P7970" s="115"/>
    </row>
    <row r="7971" spans="16:16">
      <c r="P7971" s="115"/>
    </row>
    <row r="7972" spans="16:16">
      <c r="P7972" s="115"/>
    </row>
    <row r="7973" spans="16:16">
      <c r="P7973" s="115"/>
    </row>
    <row r="7974" spans="16:16">
      <c r="P7974" s="115"/>
    </row>
    <row r="7975" spans="16:16">
      <c r="P7975" s="115"/>
    </row>
    <row r="7976" spans="16:16">
      <c r="P7976" s="115"/>
    </row>
    <row r="7977" spans="16:16">
      <c r="P7977" s="115"/>
    </row>
    <row r="7978" spans="16:16">
      <c r="P7978" s="115"/>
    </row>
    <row r="7979" spans="16:16">
      <c r="P7979" s="115"/>
    </row>
    <row r="7980" spans="16:16">
      <c r="P7980" s="115"/>
    </row>
    <row r="7981" spans="16:16">
      <c r="P7981" s="115"/>
    </row>
    <row r="7982" spans="16:16">
      <c r="P7982" s="115"/>
    </row>
    <row r="7983" spans="16:16">
      <c r="P7983" s="115"/>
    </row>
    <row r="7984" spans="16:16">
      <c r="P7984" s="115"/>
    </row>
    <row r="7985" spans="16:16">
      <c r="P7985" s="115"/>
    </row>
    <row r="7986" spans="16:16">
      <c r="P7986" s="115"/>
    </row>
    <row r="7987" spans="16:16">
      <c r="P7987" s="115"/>
    </row>
    <row r="7988" spans="16:16">
      <c r="P7988" s="115"/>
    </row>
    <row r="7989" spans="16:16">
      <c r="P7989" s="115"/>
    </row>
    <row r="7990" spans="16:16">
      <c r="P7990" s="115"/>
    </row>
    <row r="7991" spans="16:16">
      <c r="P7991" s="115"/>
    </row>
    <row r="7992" spans="16:16">
      <c r="P7992" s="115"/>
    </row>
    <row r="7993" spans="16:16">
      <c r="P7993" s="115"/>
    </row>
    <row r="7994" spans="16:16">
      <c r="P7994" s="115"/>
    </row>
    <row r="7995" spans="16:16">
      <c r="P7995" s="115"/>
    </row>
    <row r="7996" spans="16:16">
      <c r="P7996" s="115"/>
    </row>
    <row r="7997" spans="16:16">
      <c r="P7997" s="115"/>
    </row>
    <row r="7998" spans="16:16">
      <c r="P7998" s="115"/>
    </row>
    <row r="7999" spans="16:16">
      <c r="P7999" s="115"/>
    </row>
    <row r="8000" spans="16:16">
      <c r="P8000" s="115"/>
    </row>
    <row r="8001" spans="16:16">
      <c r="P8001" s="115"/>
    </row>
    <row r="8002" spans="16:16">
      <c r="P8002" s="115"/>
    </row>
    <row r="8003" spans="16:16">
      <c r="P8003" s="115"/>
    </row>
    <row r="8004" spans="16:16">
      <c r="P8004" s="115"/>
    </row>
    <row r="8005" spans="16:16">
      <c r="P8005" s="115"/>
    </row>
    <row r="8006" spans="16:16">
      <c r="P8006" s="115"/>
    </row>
    <row r="8007" spans="16:16">
      <c r="P8007" s="115"/>
    </row>
    <row r="8008" spans="16:16">
      <c r="P8008" s="115"/>
    </row>
    <row r="8009" spans="16:16">
      <c r="P8009" s="115"/>
    </row>
    <row r="8010" spans="16:16">
      <c r="P8010" s="115"/>
    </row>
    <row r="8011" spans="16:16">
      <c r="P8011" s="115"/>
    </row>
    <row r="8012" spans="16:16">
      <c r="P8012" s="115"/>
    </row>
    <row r="8013" spans="16:16">
      <c r="P8013" s="115"/>
    </row>
    <row r="8014" spans="16:16">
      <c r="P8014" s="115"/>
    </row>
    <row r="8015" spans="16:16">
      <c r="P8015" s="115"/>
    </row>
    <row r="8016" spans="16:16">
      <c r="P8016" s="115"/>
    </row>
    <row r="8017" spans="16:16">
      <c r="P8017" s="115"/>
    </row>
    <row r="8018" spans="16:16">
      <c r="P8018" s="115"/>
    </row>
    <row r="8019" spans="16:16">
      <c r="P8019" s="115"/>
    </row>
    <row r="8020" spans="16:16">
      <c r="P8020" s="115"/>
    </row>
    <row r="8021" spans="16:16">
      <c r="P8021" s="115"/>
    </row>
    <row r="8022" spans="16:16">
      <c r="P8022" s="115"/>
    </row>
    <row r="8023" spans="16:16">
      <c r="P8023" s="115"/>
    </row>
    <row r="8024" spans="16:16">
      <c r="P8024" s="115"/>
    </row>
    <row r="8025" spans="16:16">
      <c r="P8025" s="115"/>
    </row>
    <row r="8026" spans="16:16">
      <c r="P8026" s="115"/>
    </row>
    <row r="8027" spans="16:16">
      <c r="P8027" s="115"/>
    </row>
    <row r="8028" spans="16:16">
      <c r="P8028" s="115"/>
    </row>
    <row r="8029" spans="16:16">
      <c r="P8029" s="115"/>
    </row>
    <row r="8030" spans="16:16">
      <c r="P8030" s="115"/>
    </row>
    <row r="8031" spans="16:16">
      <c r="P8031" s="115"/>
    </row>
    <row r="8032" spans="16:16">
      <c r="P8032" s="115"/>
    </row>
    <row r="8033" spans="16:16">
      <c r="P8033" s="115"/>
    </row>
    <row r="8034" spans="16:16">
      <c r="P8034" s="115"/>
    </row>
    <row r="8035" spans="16:16">
      <c r="P8035" s="115"/>
    </row>
    <row r="8036" spans="16:16">
      <c r="P8036" s="115"/>
    </row>
    <row r="8037" spans="16:16">
      <c r="P8037" s="115"/>
    </row>
    <row r="8038" spans="16:16">
      <c r="P8038" s="115"/>
    </row>
    <row r="8039" spans="16:16">
      <c r="P8039" s="115"/>
    </row>
    <row r="8040" spans="16:16">
      <c r="P8040" s="115"/>
    </row>
    <row r="8041" spans="16:16">
      <c r="P8041" s="115"/>
    </row>
    <row r="8042" spans="16:16">
      <c r="P8042" s="115"/>
    </row>
    <row r="8043" spans="16:16">
      <c r="P8043" s="115"/>
    </row>
    <row r="8044" spans="16:16">
      <c r="P8044" s="115"/>
    </row>
    <row r="8045" spans="16:16">
      <c r="P8045" s="115"/>
    </row>
    <row r="8046" spans="16:16">
      <c r="P8046" s="115"/>
    </row>
    <row r="8047" spans="16:16">
      <c r="P8047" s="115"/>
    </row>
    <row r="8048" spans="16:16">
      <c r="P8048" s="115"/>
    </row>
    <row r="8049" spans="16:16">
      <c r="P8049" s="115"/>
    </row>
    <row r="8050" spans="16:16">
      <c r="P8050" s="115"/>
    </row>
    <row r="8051" spans="16:16">
      <c r="P8051" s="115"/>
    </row>
    <row r="8052" spans="16:16">
      <c r="P8052" s="115"/>
    </row>
    <row r="8053" spans="16:16">
      <c r="P8053" s="115"/>
    </row>
    <row r="8054" spans="16:16">
      <c r="P8054" s="115"/>
    </row>
    <row r="8055" spans="16:16">
      <c r="P8055" s="115"/>
    </row>
    <row r="8056" spans="16:16">
      <c r="P8056" s="115"/>
    </row>
    <row r="8057" spans="16:16">
      <c r="P8057" s="115"/>
    </row>
    <row r="8058" spans="16:16">
      <c r="P8058" s="115"/>
    </row>
    <row r="8059" spans="16:16">
      <c r="P8059" s="115"/>
    </row>
    <row r="8060" spans="16:16">
      <c r="P8060" s="115"/>
    </row>
    <row r="8061" spans="16:16">
      <c r="P8061" s="115"/>
    </row>
    <row r="8062" spans="16:16">
      <c r="P8062" s="115"/>
    </row>
    <row r="8063" spans="16:16">
      <c r="P8063" s="115"/>
    </row>
    <row r="8064" spans="16:16">
      <c r="P8064" s="115"/>
    </row>
    <row r="8065" spans="16:16">
      <c r="P8065" s="115"/>
    </row>
    <row r="8066" spans="16:16">
      <c r="P8066" s="115"/>
    </row>
    <row r="8067" spans="16:16">
      <c r="P8067" s="115"/>
    </row>
    <row r="8068" spans="16:16">
      <c r="P8068" s="115"/>
    </row>
    <row r="8069" spans="16:16">
      <c r="P8069" s="115"/>
    </row>
    <row r="8070" spans="16:16">
      <c r="P8070" s="115"/>
    </row>
    <row r="8071" spans="16:16">
      <c r="P8071" s="115"/>
    </row>
    <row r="8072" spans="16:16">
      <c r="P8072" s="115"/>
    </row>
    <row r="8073" spans="16:16">
      <c r="P8073" s="115"/>
    </row>
    <row r="8074" spans="16:16">
      <c r="P8074" s="115"/>
    </row>
    <row r="8075" spans="16:16">
      <c r="P8075" s="115"/>
    </row>
    <row r="8076" spans="16:16">
      <c r="P8076" s="115"/>
    </row>
    <row r="8077" spans="16:16">
      <c r="P8077" s="115"/>
    </row>
    <row r="8078" spans="16:16">
      <c r="P8078" s="115"/>
    </row>
    <row r="8079" spans="16:16">
      <c r="P8079" s="115"/>
    </row>
    <row r="8080" spans="16:16">
      <c r="P8080" s="115"/>
    </row>
    <row r="8081" spans="16:16">
      <c r="P8081" s="115"/>
    </row>
    <row r="8082" spans="16:16">
      <c r="P8082" s="115"/>
    </row>
    <row r="8083" spans="16:16">
      <c r="P8083" s="115"/>
    </row>
    <row r="8084" spans="16:16">
      <c r="P8084" s="115"/>
    </row>
    <row r="8085" spans="16:16">
      <c r="P8085" s="115"/>
    </row>
    <row r="8086" spans="16:16">
      <c r="P8086" s="115"/>
    </row>
    <row r="8087" spans="16:16">
      <c r="P8087" s="115"/>
    </row>
    <row r="8088" spans="16:16">
      <c r="P8088" s="115"/>
    </row>
    <row r="8089" spans="16:16">
      <c r="P8089" s="115"/>
    </row>
    <row r="8090" spans="16:16">
      <c r="P8090" s="115"/>
    </row>
    <row r="8091" spans="16:16">
      <c r="P8091" s="115"/>
    </row>
    <row r="8092" spans="16:16">
      <c r="P8092" s="115"/>
    </row>
    <row r="8093" spans="16:16">
      <c r="P8093" s="115"/>
    </row>
    <row r="8094" spans="16:16">
      <c r="P8094" s="115"/>
    </row>
    <row r="8095" spans="16:16">
      <c r="P8095" s="115"/>
    </row>
    <row r="8096" spans="16:16">
      <c r="P8096" s="115"/>
    </row>
    <row r="8097" spans="16:16">
      <c r="P8097" s="115"/>
    </row>
    <row r="8098" spans="16:16">
      <c r="P8098" s="115"/>
    </row>
    <row r="8099" spans="16:16">
      <c r="P8099" s="115"/>
    </row>
    <row r="8100" spans="16:16">
      <c r="P8100" s="115"/>
    </row>
    <row r="8101" spans="16:16">
      <c r="P8101" s="115"/>
    </row>
    <row r="8102" spans="16:16">
      <c r="P8102" s="115"/>
    </row>
    <row r="8103" spans="16:16">
      <c r="P8103" s="115"/>
    </row>
    <row r="8104" spans="16:16">
      <c r="P8104" s="115"/>
    </row>
    <row r="8105" spans="16:16">
      <c r="P8105" s="115"/>
    </row>
    <row r="8106" spans="16:16">
      <c r="P8106" s="115"/>
    </row>
    <row r="8107" spans="16:16">
      <c r="P8107" s="115"/>
    </row>
    <row r="8108" spans="16:16">
      <c r="P8108" s="115"/>
    </row>
    <row r="8109" spans="16:16">
      <c r="P8109" s="115"/>
    </row>
    <row r="8110" spans="16:16">
      <c r="P8110" s="115"/>
    </row>
    <row r="8111" spans="16:16">
      <c r="P8111" s="115"/>
    </row>
    <row r="8112" spans="16:16">
      <c r="P8112" s="115"/>
    </row>
    <row r="8113" spans="16:16">
      <c r="P8113" s="115"/>
    </row>
    <row r="8114" spans="16:16">
      <c r="P8114" s="115"/>
    </row>
    <row r="8115" spans="16:16">
      <c r="P8115" s="115"/>
    </row>
    <row r="8116" spans="16:16">
      <c r="P8116" s="115"/>
    </row>
    <row r="8117" spans="16:16">
      <c r="P8117" s="115"/>
    </row>
    <row r="8118" spans="16:16">
      <c r="P8118" s="115"/>
    </row>
    <row r="8119" spans="16:16">
      <c r="P8119" s="115"/>
    </row>
    <row r="8120" spans="16:16">
      <c r="P8120" s="115"/>
    </row>
    <row r="8121" spans="16:16">
      <c r="P8121" s="115"/>
    </row>
    <row r="8122" spans="16:16">
      <c r="P8122" s="115"/>
    </row>
    <row r="8123" spans="16:16">
      <c r="P8123" s="115"/>
    </row>
    <row r="8124" spans="16:16">
      <c r="P8124" s="115"/>
    </row>
    <row r="8125" spans="16:16">
      <c r="P8125" s="115"/>
    </row>
    <row r="8126" spans="16:16">
      <c r="P8126" s="115"/>
    </row>
    <row r="8127" spans="16:16">
      <c r="P8127" s="115"/>
    </row>
    <row r="8128" spans="16:16">
      <c r="P8128" s="115"/>
    </row>
    <row r="8129" spans="16:16">
      <c r="P8129" s="115"/>
    </row>
    <row r="8130" spans="16:16">
      <c r="P8130" s="115"/>
    </row>
    <row r="8131" spans="16:16">
      <c r="P8131" s="115"/>
    </row>
    <row r="8132" spans="16:16">
      <c r="P8132" s="115"/>
    </row>
    <row r="8133" spans="16:16">
      <c r="P8133" s="115"/>
    </row>
    <row r="8134" spans="16:16">
      <c r="P8134" s="115"/>
    </row>
    <row r="8135" spans="16:16">
      <c r="P8135" s="115"/>
    </row>
    <row r="8136" spans="16:16">
      <c r="P8136" s="115"/>
    </row>
    <row r="8137" spans="16:16">
      <c r="P8137" s="115"/>
    </row>
    <row r="8138" spans="16:16">
      <c r="P8138" s="115"/>
    </row>
    <row r="8139" spans="16:16">
      <c r="P8139" s="115"/>
    </row>
    <row r="8140" spans="16:16">
      <c r="P8140" s="115"/>
    </row>
    <row r="8141" spans="16:16">
      <c r="P8141" s="115"/>
    </row>
    <row r="8142" spans="16:16">
      <c r="P8142" s="115"/>
    </row>
    <row r="8143" spans="16:16">
      <c r="P8143" s="115"/>
    </row>
    <row r="8144" spans="16:16">
      <c r="P8144" s="115"/>
    </row>
    <row r="8145" spans="16:16">
      <c r="P8145" s="115"/>
    </row>
    <row r="8146" spans="16:16">
      <c r="P8146" s="115"/>
    </row>
    <row r="8147" spans="16:16">
      <c r="P8147" s="115"/>
    </row>
    <row r="8148" spans="16:16">
      <c r="P8148" s="115"/>
    </row>
    <row r="8149" spans="16:16">
      <c r="P8149" s="115"/>
    </row>
    <row r="8150" spans="16:16">
      <c r="P8150" s="115"/>
    </row>
    <row r="8151" spans="16:16">
      <c r="P8151" s="115"/>
    </row>
    <row r="8152" spans="16:16">
      <c r="P8152" s="115"/>
    </row>
    <row r="8153" spans="16:16">
      <c r="P8153" s="115"/>
    </row>
    <row r="8154" spans="16:16">
      <c r="P8154" s="115"/>
    </row>
    <row r="8155" spans="16:16">
      <c r="P8155" s="115"/>
    </row>
    <row r="8156" spans="16:16">
      <c r="P8156" s="115"/>
    </row>
    <row r="8157" spans="16:16">
      <c r="P8157" s="115"/>
    </row>
    <row r="8158" spans="16:16">
      <c r="P8158" s="115"/>
    </row>
    <row r="8159" spans="16:16">
      <c r="P8159" s="115"/>
    </row>
    <row r="8160" spans="16:16">
      <c r="P8160" s="115"/>
    </row>
    <row r="8161" spans="16:16">
      <c r="P8161" s="115"/>
    </row>
    <row r="8162" spans="16:16">
      <c r="P8162" s="115"/>
    </row>
    <row r="8163" spans="16:16">
      <c r="P8163" s="115"/>
    </row>
    <row r="8164" spans="16:16">
      <c r="P8164" s="115"/>
    </row>
    <row r="8165" spans="16:16">
      <c r="P8165" s="115"/>
    </row>
    <row r="8166" spans="16:16">
      <c r="P8166" s="115"/>
    </row>
    <row r="8167" spans="16:16">
      <c r="P8167" s="115"/>
    </row>
    <row r="8168" spans="16:16">
      <c r="P8168" s="115"/>
    </row>
    <row r="8169" spans="16:16">
      <c r="P8169" s="115"/>
    </row>
    <row r="8170" spans="16:16">
      <c r="P8170" s="115"/>
    </row>
    <row r="8171" spans="16:16">
      <c r="P8171" s="115"/>
    </row>
    <row r="8172" spans="16:16">
      <c r="P8172" s="115"/>
    </row>
    <row r="8173" spans="16:16">
      <c r="P8173" s="115"/>
    </row>
    <row r="8174" spans="16:16">
      <c r="P8174" s="115"/>
    </row>
    <row r="8175" spans="16:16">
      <c r="P8175" s="115"/>
    </row>
    <row r="8176" spans="16:16">
      <c r="P8176" s="115"/>
    </row>
    <row r="8177" spans="16:16">
      <c r="P8177" s="115"/>
    </row>
    <row r="8178" spans="16:16">
      <c r="P8178" s="115"/>
    </row>
    <row r="8179" spans="16:16">
      <c r="P8179" s="115"/>
    </row>
    <row r="8180" spans="16:16">
      <c r="P8180" s="115"/>
    </row>
    <row r="8181" spans="16:16">
      <c r="P8181" s="115"/>
    </row>
    <row r="8182" spans="16:16">
      <c r="P8182" s="115"/>
    </row>
    <row r="8183" spans="16:16">
      <c r="P8183" s="115"/>
    </row>
    <row r="8184" spans="16:16">
      <c r="P8184" s="115"/>
    </row>
    <row r="8185" spans="16:16">
      <c r="P8185" s="115"/>
    </row>
    <row r="8186" spans="16:16">
      <c r="P8186" s="115"/>
    </row>
    <row r="8187" spans="16:16">
      <c r="P8187" s="115"/>
    </row>
    <row r="8188" spans="16:16">
      <c r="P8188" s="115"/>
    </row>
    <row r="8189" spans="16:16">
      <c r="P8189" s="115"/>
    </row>
    <row r="8190" spans="16:16">
      <c r="P8190" s="115"/>
    </row>
    <row r="8191" spans="16:16">
      <c r="P8191" s="115"/>
    </row>
    <row r="8192" spans="16:16">
      <c r="P8192" s="115"/>
    </row>
    <row r="8193" spans="16:16">
      <c r="P8193" s="115"/>
    </row>
    <row r="8194" spans="16:16">
      <c r="P8194" s="115"/>
    </row>
    <row r="8195" spans="16:16">
      <c r="P8195" s="115"/>
    </row>
    <row r="8196" spans="16:16">
      <c r="P8196" s="115"/>
    </row>
    <row r="8197" spans="16:16">
      <c r="P8197" s="115"/>
    </row>
    <row r="8198" spans="16:16">
      <c r="P8198" s="115"/>
    </row>
    <row r="8199" spans="16:16">
      <c r="P8199" s="115"/>
    </row>
    <row r="8200" spans="16:16">
      <c r="P8200" s="115"/>
    </row>
    <row r="8201" spans="16:16">
      <c r="P8201" s="115"/>
    </row>
    <row r="8202" spans="16:16">
      <c r="P8202" s="115"/>
    </row>
    <row r="8203" spans="16:16">
      <c r="P8203" s="115"/>
    </row>
    <row r="8204" spans="16:16">
      <c r="P8204" s="115"/>
    </row>
    <row r="8205" spans="16:16">
      <c r="P8205" s="115"/>
    </row>
    <row r="8206" spans="16:16">
      <c r="P8206" s="115"/>
    </row>
    <row r="8207" spans="16:16">
      <c r="P8207" s="115"/>
    </row>
    <row r="8208" spans="16:16">
      <c r="P8208" s="115"/>
    </row>
    <row r="8209" spans="16:16">
      <c r="P8209" s="115"/>
    </row>
    <row r="8210" spans="16:16">
      <c r="P8210" s="115"/>
    </row>
    <row r="8211" spans="16:16">
      <c r="P8211" s="115"/>
    </row>
    <row r="8212" spans="16:16">
      <c r="P8212" s="115"/>
    </row>
    <row r="8213" spans="16:16">
      <c r="P8213" s="115"/>
    </row>
    <row r="8214" spans="16:16">
      <c r="P8214" s="115"/>
    </row>
    <row r="8215" spans="16:16">
      <c r="P8215" s="115"/>
    </row>
    <row r="8216" spans="16:16">
      <c r="P8216" s="115"/>
    </row>
    <row r="8217" spans="16:16">
      <c r="P8217" s="115"/>
    </row>
    <row r="8218" spans="16:16">
      <c r="P8218" s="115"/>
    </row>
    <row r="8219" spans="16:16">
      <c r="P8219" s="115"/>
    </row>
    <row r="8220" spans="16:16">
      <c r="P8220" s="115"/>
    </row>
    <row r="8221" spans="16:16">
      <c r="P8221" s="115"/>
    </row>
    <row r="8222" spans="16:16">
      <c r="P8222" s="115"/>
    </row>
    <row r="8223" spans="16:16">
      <c r="P8223" s="115"/>
    </row>
    <row r="8224" spans="16:16">
      <c r="P8224" s="115"/>
    </row>
    <row r="8225" spans="16:16">
      <c r="P8225" s="115"/>
    </row>
    <row r="8226" spans="16:16">
      <c r="P8226" s="115"/>
    </row>
    <row r="8227" spans="16:16">
      <c r="P8227" s="115"/>
    </row>
    <row r="8228" spans="16:16">
      <c r="P8228" s="115"/>
    </row>
    <row r="8229" spans="16:16">
      <c r="P8229" s="115"/>
    </row>
    <row r="8230" spans="16:16">
      <c r="P8230" s="115"/>
    </row>
    <row r="8231" spans="16:16">
      <c r="P8231" s="115"/>
    </row>
    <row r="8232" spans="16:16">
      <c r="P8232" s="115"/>
    </row>
    <row r="8233" spans="16:16">
      <c r="P8233" s="115"/>
    </row>
    <row r="8234" spans="16:16">
      <c r="P8234" s="115"/>
    </row>
    <row r="8235" spans="16:16">
      <c r="P8235" s="115"/>
    </row>
    <row r="8236" spans="16:16">
      <c r="P8236" s="115"/>
    </row>
    <row r="8237" spans="16:16">
      <c r="P8237" s="115"/>
    </row>
    <row r="8238" spans="16:16">
      <c r="P8238" s="115"/>
    </row>
    <row r="8239" spans="16:16">
      <c r="P8239" s="115"/>
    </row>
    <row r="8240" spans="16:16">
      <c r="P8240" s="115"/>
    </row>
    <row r="8241" spans="16:16">
      <c r="P8241" s="115"/>
    </row>
    <row r="8242" spans="16:16">
      <c r="P8242" s="115"/>
    </row>
    <row r="8243" spans="16:16">
      <c r="P8243" s="115"/>
    </row>
    <row r="8244" spans="16:16">
      <c r="P8244" s="115"/>
    </row>
    <row r="8245" spans="16:16">
      <c r="P8245" s="115"/>
    </row>
    <row r="8246" spans="16:16">
      <c r="P8246" s="115"/>
    </row>
    <row r="8247" spans="16:16">
      <c r="P8247" s="115"/>
    </row>
    <row r="8248" spans="16:16">
      <c r="P8248" s="115"/>
    </row>
    <row r="8249" spans="16:16">
      <c r="P8249" s="115"/>
    </row>
    <row r="8250" spans="16:16">
      <c r="P8250" s="115"/>
    </row>
    <row r="8251" spans="16:16">
      <c r="P8251" s="115"/>
    </row>
    <row r="8252" spans="16:16">
      <c r="P8252" s="115"/>
    </row>
    <row r="8253" spans="16:16">
      <c r="P8253" s="115"/>
    </row>
    <row r="8254" spans="16:16">
      <c r="P8254" s="115"/>
    </row>
    <row r="8255" spans="16:16">
      <c r="P8255" s="115"/>
    </row>
    <row r="8256" spans="16:16">
      <c r="P8256" s="115"/>
    </row>
    <row r="8257" spans="16:16">
      <c r="P8257" s="115"/>
    </row>
    <row r="8258" spans="16:16">
      <c r="P8258" s="115"/>
    </row>
    <row r="8259" spans="16:16">
      <c r="P8259" s="115"/>
    </row>
    <row r="8260" spans="16:16">
      <c r="P8260" s="115"/>
    </row>
    <row r="8261" spans="16:16">
      <c r="P8261" s="115"/>
    </row>
    <row r="8262" spans="16:16">
      <c r="P8262" s="115"/>
    </row>
    <row r="8263" spans="16:16">
      <c r="P8263" s="115"/>
    </row>
    <row r="8264" spans="16:16">
      <c r="P8264" s="115"/>
    </row>
    <row r="8265" spans="16:16">
      <c r="P8265" s="115"/>
    </row>
    <row r="8266" spans="16:16">
      <c r="P8266" s="115"/>
    </row>
    <row r="8267" spans="16:16">
      <c r="P8267" s="115"/>
    </row>
    <row r="8268" spans="16:16">
      <c r="P8268" s="115"/>
    </row>
    <row r="8269" spans="16:16">
      <c r="P8269" s="115"/>
    </row>
    <row r="8270" spans="16:16">
      <c r="P8270" s="115"/>
    </row>
    <row r="8271" spans="16:16">
      <c r="P8271" s="115"/>
    </row>
    <row r="8272" spans="16:16">
      <c r="P8272" s="115"/>
    </row>
    <row r="8273" spans="16:16">
      <c r="P8273" s="115"/>
    </row>
    <row r="8274" spans="16:16">
      <c r="P8274" s="115"/>
    </row>
    <row r="8275" spans="16:16">
      <c r="P8275" s="115"/>
    </row>
    <row r="8276" spans="16:16">
      <c r="P8276" s="115"/>
    </row>
    <row r="8277" spans="16:16">
      <c r="P8277" s="115"/>
    </row>
    <row r="8278" spans="16:16">
      <c r="P8278" s="115"/>
    </row>
    <row r="8279" spans="16:16">
      <c r="P8279" s="115"/>
    </row>
    <row r="8280" spans="16:16">
      <c r="P8280" s="115"/>
    </row>
    <row r="8281" spans="16:16">
      <c r="P8281" s="115"/>
    </row>
    <row r="8282" spans="16:16">
      <c r="P8282" s="115"/>
    </row>
    <row r="8283" spans="16:16">
      <c r="P8283" s="115"/>
    </row>
    <row r="8284" spans="16:16">
      <c r="P8284" s="115"/>
    </row>
    <row r="8285" spans="16:16">
      <c r="P8285" s="115"/>
    </row>
    <row r="8286" spans="16:16">
      <c r="P8286" s="115"/>
    </row>
    <row r="8287" spans="16:16">
      <c r="P8287" s="115"/>
    </row>
    <row r="8288" spans="16:16">
      <c r="P8288" s="115"/>
    </row>
    <row r="8289" spans="16:16">
      <c r="P8289" s="115"/>
    </row>
    <row r="8290" spans="16:16">
      <c r="P8290" s="115"/>
    </row>
    <row r="8291" spans="16:16">
      <c r="P8291" s="115"/>
    </row>
    <row r="8292" spans="16:16">
      <c r="P8292" s="115"/>
    </row>
    <row r="8293" spans="16:16">
      <c r="P8293" s="115"/>
    </row>
    <row r="8294" spans="16:16">
      <c r="P8294" s="115"/>
    </row>
    <row r="8295" spans="16:16">
      <c r="P8295" s="115"/>
    </row>
    <row r="8296" spans="16:16">
      <c r="P8296" s="115"/>
    </row>
    <row r="8297" spans="16:16">
      <c r="P8297" s="115"/>
    </row>
    <row r="8298" spans="16:16">
      <c r="P8298" s="115"/>
    </row>
    <row r="8299" spans="16:16">
      <c r="P8299" s="115"/>
    </row>
    <row r="8300" spans="16:16">
      <c r="P8300" s="115"/>
    </row>
    <row r="8301" spans="16:16">
      <c r="P8301" s="115"/>
    </row>
    <row r="8302" spans="16:16">
      <c r="P8302" s="115"/>
    </row>
    <row r="8303" spans="16:16">
      <c r="P8303" s="115"/>
    </row>
    <row r="8304" spans="16:16">
      <c r="P8304" s="115"/>
    </row>
    <row r="8305" spans="16:16">
      <c r="P8305" s="115"/>
    </row>
    <row r="8306" spans="16:16">
      <c r="P8306" s="115"/>
    </row>
    <row r="8307" spans="16:16">
      <c r="P8307" s="115"/>
    </row>
    <row r="8308" spans="16:16">
      <c r="P8308" s="115"/>
    </row>
    <row r="8309" spans="16:16">
      <c r="P8309" s="115"/>
    </row>
    <row r="8310" spans="16:16">
      <c r="P8310" s="115"/>
    </row>
    <row r="8311" spans="16:16">
      <c r="P8311" s="115"/>
    </row>
    <row r="8312" spans="16:16">
      <c r="P8312" s="115"/>
    </row>
    <row r="8313" spans="16:16">
      <c r="P8313" s="115"/>
    </row>
    <row r="8314" spans="16:16">
      <c r="P8314" s="115"/>
    </row>
    <row r="8315" spans="16:16">
      <c r="P8315" s="115"/>
    </row>
    <row r="8316" spans="16:16">
      <c r="P8316" s="115"/>
    </row>
    <row r="8317" spans="16:16">
      <c r="P8317" s="115"/>
    </row>
    <row r="8318" spans="16:16">
      <c r="P8318" s="115"/>
    </row>
    <row r="8319" spans="16:16">
      <c r="P8319" s="115"/>
    </row>
    <row r="8320" spans="16:16">
      <c r="P8320" s="115"/>
    </row>
    <row r="8321" spans="16:16">
      <c r="P8321" s="115"/>
    </row>
    <row r="8322" spans="16:16">
      <c r="P8322" s="115"/>
    </row>
    <row r="8323" spans="16:16">
      <c r="P8323" s="115"/>
    </row>
    <row r="8324" spans="16:16">
      <c r="P8324" s="115"/>
    </row>
    <row r="8325" spans="16:16">
      <c r="P8325" s="115"/>
    </row>
    <row r="8326" spans="16:16">
      <c r="P8326" s="115"/>
    </row>
    <row r="8327" spans="16:16">
      <c r="P8327" s="115"/>
    </row>
    <row r="8328" spans="16:16">
      <c r="P8328" s="115"/>
    </row>
    <row r="8329" spans="16:16">
      <c r="P8329" s="115"/>
    </row>
    <row r="8330" spans="16:16">
      <c r="P8330" s="115"/>
    </row>
    <row r="8331" spans="16:16">
      <c r="P8331" s="115"/>
    </row>
    <row r="8332" spans="16:16">
      <c r="P8332" s="115"/>
    </row>
    <row r="8333" spans="16:16">
      <c r="P8333" s="115"/>
    </row>
    <row r="8334" spans="16:16">
      <c r="P8334" s="115"/>
    </row>
    <row r="8335" spans="16:16">
      <c r="P8335" s="115"/>
    </row>
    <row r="8336" spans="16:16">
      <c r="P8336" s="115"/>
    </row>
    <row r="8337" spans="16:16">
      <c r="P8337" s="115"/>
    </row>
    <row r="8338" spans="16:16">
      <c r="P8338" s="115"/>
    </row>
    <row r="8339" spans="16:16">
      <c r="P8339" s="115"/>
    </row>
    <row r="8340" spans="16:16">
      <c r="P8340" s="115"/>
    </row>
    <row r="8341" spans="16:16">
      <c r="P8341" s="115"/>
    </row>
    <row r="8342" spans="16:16">
      <c r="P8342" s="115"/>
    </row>
    <row r="8343" spans="16:16">
      <c r="P8343" s="115"/>
    </row>
    <row r="8344" spans="16:16">
      <c r="P8344" s="115"/>
    </row>
    <row r="8345" spans="16:16">
      <c r="P8345" s="115"/>
    </row>
    <row r="8346" spans="16:16">
      <c r="P8346" s="115"/>
    </row>
    <row r="8347" spans="16:16">
      <c r="P8347" s="115"/>
    </row>
    <row r="8348" spans="16:16">
      <c r="P8348" s="115"/>
    </row>
    <row r="8349" spans="16:16">
      <c r="P8349" s="115"/>
    </row>
    <row r="8350" spans="16:16">
      <c r="P8350" s="115"/>
    </row>
    <row r="8351" spans="16:16">
      <c r="P8351" s="115"/>
    </row>
    <row r="8352" spans="16:16">
      <c r="P8352" s="115"/>
    </row>
    <row r="8353" spans="16:16">
      <c r="P8353" s="115"/>
    </row>
    <row r="8354" spans="16:16">
      <c r="P8354" s="115"/>
    </row>
    <row r="8355" spans="16:16">
      <c r="P8355" s="115"/>
    </row>
    <row r="8356" spans="16:16">
      <c r="P8356" s="115"/>
    </row>
    <row r="8357" spans="16:16">
      <c r="P8357" s="115"/>
    </row>
    <row r="8358" spans="16:16">
      <c r="P8358" s="115"/>
    </row>
    <row r="8359" spans="16:16">
      <c r="P8359" s="115"/>
    </row>
    <row r="8360" spans="16:16">
      <c r="P8360" s="115"/>
    </row>
    <row r="8361" spans="16:16">
      <c r="P8361" s="115"/>
    </row>
    <row r="8362" spans="16:16">
      <c r="P8362" s="115"/>
    </row>
    <row r="8363" spans="16:16">
      <c r="P8363" s="115"/>
    </row>
    <row r="8364" spans="16:16">
      <c r="P8364" s="115"/>
    </row>
    <row r="8365" spans="16:16">
      <c r="P8365" s="115"/>
    </row>
    <row r="8366" spans="16:16">
      <c r="P8366" s="115"/>
    </row>
    <row r="8367" spans="16:16">
      <c r="P8367" s="115"/>
    </row>
    <row r="8368" spans="16:16">
      <c r="P8368" s="115"/>
    </row>
    <row r="8369" spans="16:16">
      <c r="P8369" s="115"/>
    </row>
    <row r="8370" spans="16:16">
      <c r="P8370" s="115"/>
    </row>
    <row r="8371" spans="16:16">
      <c r="P8371" s="115"/>
    </row>
    <row r="8372" spans="16:16">
      <c r="P8372" s="115"/>
    </row>
    <row r="8373" spans="16:16">
      <c r="P8373" s="115"/>
    </row>
    <row r="8374" spans="16:16">
      <c r="P8374" s="115"/>
    </row>
    <row r="8375" spans="16:16">
      <c r="P8375" s="115"/>
    </row>
    <row r="8376" spans="16:16">
      <c r="P8376" s="115"/>
    </row>
    <row r="8377" spans="16:16">
      <c r="P8377" s="115"/>
    </row>
    <row r="8378" spans="16:16">
      <c r="P8378" s="115"/>
    </row>
    <row r="8379" spans="16:16">
      <c r="P8379" s="115"/>
    </row>
    <row r="8380" spans="16:16">
      <c r="P8380" s="115"/>
    </row>
    <row r="8381" spans="16:16">
      <c r="P8381" s="115"/>
    </row>
    <row r="8382" spans="16:16">
      <c r="P8382" s="115"/>
    </row>
    <row r="8383" spans="16:16">
      <c r="P8383" s="115"/>
    </row>
    <row r="8384" spans="16:16">
      <c r="P8384" s="115"/>
    </row>
    <row r="8385" spans="16:16">
      <c r="P8385" s="115"/>
    </row>
    <row r="8386" spans="16:16">
      <c r="P8386" s="115"/>
    </row>
    <row r="8387" spans="16:16">
      <c r="P8387" s="115"/>
    </row>
    <row r="8388" spans="16:16">
      <c r="P8388" s="115"/>
    </row>
    <row r="8389" spans="16:16">
      <c r="P8389" s="115"/>
    </row>
    <row r="8390" spans="16:16">
      <c r="P8390" s="115"/>
    </row>
    <row r="8391" spans="16:16">
      <c r="P8391" s="115"/>
    </row>
    <row r="8392" spans="16:16">
      <c r="P8392" s="115"/>
    </row>
    <row r="8393" spans="16:16">
      <c r="P8393" s="115"/>
    </row>
    <row r="8394" spans="16:16">
      <c r="P8394" s="115"/>
    </row>
    <row r="8395" spans="16:16">
      <c r="P8395" s="115"/>
    </row>
    <row r="8396" spans="16:16">
      <c r="P8396" s="115"/>
    </row>
    <row r="8397" spans="16:16">
      <c r="P8397" s="115"/>
    </row>
    <row r="8398" spans="16:16">
      <c r="P8398" s="115"/>
    </row>
    <row r="8399" spans="16:16">
      <c r="P8399" s="115"/>
    </row>
    <row r="8400" spans="16:16">
      <c r="P8400" s="115"/>
    </row>
    <row r="8401" spans="16:16">
      <c r="P8401" s="115"/>
    </row>
    <row r="8402" spans="16:16">
      <c r="P8402" s="115"/>
    </row>
    <row r="8403" spans="16:16">
      <c r="P8403" s="115"/>
    </row>
    <row r="8404" spans="16:16">
      <c r="P8404" s="115"/>
    </row>
    <row r="8405" spans="16:16">
      <c r="P8405" s="115"/>
    </row>
    <row r="8406" spans="16:16">
      <c r="P8406" s="115"/>
    </row>
    <row r="8407" spans="16:16">
      <c r="P8407" s="115"/>
    </row>
    <row r="8408" spans="16:16">
      <c r="P8408" s="115"/>
    </row>
    <row r="8409" spans="16:16">
      <c r="P8409" s="115"/>
    </row>
    <row r="8410" spans="16:16">
      <c r="P8410" s="115"/>
    </row>
    <row r="8411" spans="16:16">
      <c r="P8411" s="115"/>
    </row>
    <row r="8412" spans="16:16">
      <c r="P8412" s="115"/>
    </row>
    <row r="8413" spans="16:16">
      <c r="P8413" s="115"/>
    </row>
    <row r="8414" spans="16:16">
      <c r="P8414" s="115"/>
    </row>
    <row r="8415" spans="16:16">
      <c r="P8415" s="115"/>
    </row>
    <row r="8416" spans="16:16">
      <c r="P8416" s="115"/>
    </row>
    <row r="8417" spans="16:16">
      <c r="P8417" s="115"/>
    </row>
    <row r="8418" spans="16:16">
      <c r="P8418" s="115"/>
    </row>
    <row r="8419" spans="16:16">
      <c r="P8419" s="115"/>
    </row>
    <row r="8420" spans="16:16">
      <c r="P8420" s="115"/>
    </row>
    <row r="8421" spans="16:16">
      <c r="P8421" s="115"/>
    </row>
    <row r="8422" spans="16:16">
      <c r="P8422" s="115"/>
    </row>
    <row r="8423" spans="16:16">
      <c r="P8423" s="115"/>
    </row>
    <row r="8424" spans="16:16">
      <c r="P8424" s="115"/>
    </row>
    <row r="8425" spans="16:16">
      <c r="P8425" s="115"/>
    </row>
    <row r="8426" spans="16:16">
      <c r="P8426" s="115"/>
    </row>
    <row r="8427" spans="16:16">
      <c r="P8427" s="115"/>
    </row>
    <row r="8428" spans="16:16">
      <c r="P8428" s="115"/>
    </row>
    <row r="8429" spans="16:16">
      <c r="P8429" s="115"/>
    </row>
    <row r="8430" spans="16:16">
      <c r="P8430" s="115"/>
    </row>
    <row r="8431" spans="16:16">
      <c r="P8431" s="115"/>
    </row>
    <row r="8432" spans="16:16">
      <c r="P8432" s="115"/>
    </row>
    <row r="8433" spans="16:16">
      <c r="P8433" s="115"/>
    </row>
    <row r="8434" spans="16:16">
      <c r="P8434" s="115"/>
    </row>
    <row r="8435" spans="16:16">
      <c r="P8435" s="115"/>
    </row>
    <row r="8436" spans="16:16">
      <c r="P8436" s="115"/>
    </row>
    <row r="8437" spans="16:16">
      <c r="P8437" s="115"/>
    </row>
    <row r="8438" spans="16:16">
      <c r="P8438" s="115"/>
    </row>
    <row r="8439" spans="16:16">
      <c r="P8439" s="115"/>
    </row>
    <row r="8440" spans="16:16">
      <c r="P8440" s="115"/>
    </row>
    <row r="8441" spans="16:16">
      <c r="P8441" s="115"/>
    </row>
    <row r="8442" spans="16:16">
      <c r="P8442" s="115"/>
    </row>
    <row r="8443" spans="16:16">
      <c r="P8443" s="115"/>
    </row>
    <row r="8444" spans="16:16">
      <c r="P8444" s="115"/>
    </row>
    <row r="8445" spans="16:16">
      <c r="P8445" s="115"/>
    </row>
    <row r="8446" spans="16:16">
      <c r="P8446" s="115"/>
    </row>
    <row r="8447" spans="16:16">
      <c r="P8447" s="115"/>
    </row>
    <row r="8448" spans="16:16">
      <c r="P8448" s="115"/>
    </row>
    <row r="8449" spans="16:16">
      <c r="P8449" s="115"/>
    </row>
    <row r="8450" spans="16:16">
      <c r="P8450" s="115"/>
    </row>
    <row r="8451" spans="16:16">
      <c r="P8451" s="115"/>
    </row>
    <row r="8452" spans="16:16">
      <c r="P8452" s="115"/>
    </row>
    <row r="8453" spans="16:16">
      <c r="P8453" s="115"/>
    </row>
    <row r="8454" spans="16:16">
      <c r="P8454" s="115"/>
    </row>
    <row r="8455" spans="16:16">
      <c r="P8455" s="115"/>
    </row>
    <row r="8456" spans="16:16">
      <c r="P8456" s="115"/>
    </row>
    <row r="8457" spans="16:16">
      <c r="P8457" s="115"/>
    </row>
    <row r="8458" spans="16:16">
      <c r="P8458" s="115"/>
    </row>
    <row r="8459" spans="16:16">
      <c r="P8459" s="115"/>
    </row>
    <row r="8460" spans="16:16">
      <c r="P8460" s="115"/>
    </row>
    <row r="8461" spans="16:16">
      <c r="P8461" s="115"/>
    </row>
    <row r="8462" spans="16:16">
      <c r="P8462" s="115"/>
    </row>
    <row r="8463" spans="16:16">
      <c r="P8463" s="115"/>
    </row>
    <row r="8464" spans="16:16">
      <c r="P8464" s="115"/>
    </row>
    <row r="8465" spans="16:16">
      <c r="P8465" s="115"/>
    </row>
    <row r="8466" spans="16:16">
      <c r="P8466" s="115"/>
    </row>
    <row r="8467" spans="16:16">
      <c r="P8467" s="115"/>
    </row>
    <row r="8468" spans="16:16">
      <c r="P8468" s="115"/>
    </row>
    <row r="8469" spans="16:16">
      <c r="P8469" s="115"/>
    </row>
    <row r="8470" spans="16:16">
      <c r="P8470" s="115"/>
    </row>
    <row r="8471" spans="16:16">
      <c r="P8471" s="115"/>
    </row>
    <row r="8472" spans="16:16">
      <c r="P8472" s="115"/>
    </row>
    <row r="8473" spans="16:16">
      <c r="P8473" s="115"/>
    </row>
    <row r="8474" spans="16:16">
      <c r="P8474" s="115"/>
    </row>
    <row r="8475" spans="16:16">
      <c r="P8475" s="115"/>
    </row>
    <row r="8476" spans="16:16">
      <c r="P8476" s="115"/>
    </row>
    <row r="8477" spans="16:16">
      <c r="P8477" s="115"/>
    </row>
    <row r="8478" spans="16:16">
      <c r="P8478" s="115"/>
    </row>
    <row r="8479" spans="16:16">
      <c r="P8479" s="115"/>
    </row>
    <row r="8480" spans="16:16">
      <c r="P8480" s="115"/>
    </row>
    <row r="8481" spans="16:16">
      <c r="P8481" s="115"/>
    </row>
    <row r="8482" spans="16:16">
      <c r="P8482" s="115"/>
    </row>
    <row r="8483" spans="16:16">
      <c r="P8483" s="115"/>
    </row>
    <row r="8484" spans="16:16">
      <c r="P8484" s="115"/>
    </row>
    <row r="8485" spans="16:16">
      <c r="P8485" s="115"/>
    </row>
    <row r="8486" spans="16:16">
      <c r="P8486" s="115"/>
    </row>
    <row r="8487" spans="16:16">
      <c r="P8487" s="115"/>
    </row>
    <row r="8488" spans="16:16">
      <c r="P8488" s="115"/>
    </row>
    <row r="8489" spans="16:16">
      <c r="P8489" s="115"/>
    </row>
    <row r="8490" spans="16:16">
      <c r="P8490" s="115"/>
    </row>
    <row r="8491" spans="16:16">
      <c r="P8491" s="115"/>
    </row>
    <row r="8492" spans="16:16">
      <c r="P8492" s="115"/>
    </row>
    <row r="8493" spans="16:16">
      <c r="P8493" s="115"/>
    </row>
    <row r="8494" spans="16:16">
      <c r="P8494" s="115"/>
    </row>
    <row r="8495" spans="16:16">
      <c r="P8495" s="115"/>
    </row>
    <row r="8496" spans="16:16">
      <c r="P8496" s="115"/>
    </row>
    <row r="8497" spans="16:16">
      <c r="P8497" s="115"/>
    </row>
    <row r="8498" spans="16:16">
      <c r="P8498" s="115"/>
    </row>
    <row r="8499" spans="16:16">
      <c r="P8499" s="115"/>
    </row>
    <row r="8500" spans="16:16">
      <c r="P8500" s="115"/>
    </row>
    <row r="8501" spans="16:16">
      <c r="P8501" s="115"/>
    </row>
    <row r="8502" spans="16:16">
      <c r="P8502" s="115"/>
    </row>
    <row r="8503" spans="16:16">
      <c r="P8503" s="115"/>
    </row>
    <row r="8504" spans="16:16">
      <c r="P8504" s="115"/>
    </row>
    <row r="8505" spans="16:16">
      <c r="P8505" s="115"/>
    </row>
    <row r="8506" spans="16:16">
      <c r="P8506" s="115"/>
    </row>
    <row r="8507" spans="16:16">
      <c r="P8507" s="115"/>
    </row>
    <row r="8508" spans="16:16">
      <c r="P8508" s="115"/>
    </row>
    <row r="8509" spans="16:16">
      <c r="P8509" s="115"/>
    </row>
    <row r="8510" spans="16:16">
      <c r="P8510" s="115"/>
    </row>
    <row r="8511" spans="16:16">
      <c r="P8511" s="115"/>
    </row>
    <row r="8512" spans="16:16">
      <c r="P8512" s="115"/>
    </row>
    <row r="8513" spans="16:16">
      <c r="P8513" s="115"/>
    </row>
    <row r="8514" spans="16:16">
      <c r="P8514" s="115"/>
    </row>
    <row r="8515" spans="16:16">
      <c r="P8515" s="115"/>
    </row>
    <row r="8516" spans="16:16">
      <c r="P8516" s="115"/>
    </row>
    <row r="8517" spans="16:16">
      <c r="P8517" s="115"/>
    </row>
    <row r="8518" spans="16:16">
      <c r="P8518" s="115"/>
    </row>
    <row r="8519" spans="16:16">
      <c r="P8519" s="115"/>
    </row>
    <row r="8520" spans="16:16">
      <c r="P8520" s="115"/>
    </row>
    <row r="8521" spans="16:16">
      <c r="P8521" s="115"/>
    </row>
    <row r="8522" spans="16:16">
      <c r="P8522" s="115"/>
    </row>
    <row r="8523" spans="16:16">
      <c r="P8523" s="115"/>
    </row>
    <row r="8524" spans="16:16">
      <c r="P8524" s="115"/>
    </row>
    <row r="8525" spans="16:16">
      <c r="P8525" s="115"/>
    </row>
    <row r="8526" spans="16:16">
      <c r="P8526" s="115"/>
    </row>
    <row r="8527" spans="16:16">
      <c r="P8527" s="115"/>
    </row>
    <row r="8528" spans="16:16">
      <c r="P8528" s="115"/>
    </row>
    <row r="8529" spans="16:16">
      <c r="P8529" s="115"/>
    </row>
    <row r="8530" spans="16:16">
      <c r="P8530" s="115"/>
    </row>
    <row r="8531" spans="16:16">
      <c r="P8531" s="115"/>
    </row>
    <row r="8532" spans="16:16">
      <c r="P8532" s="115"/>
    </row>
    <row r="8533" spans="16:16">
      <c r="P8533" s="115"/>
    </row>
    <row r="8534" spans="16:16">
      <c r="P8534" s="115"/>
    </row>
    <row r="8535" spans="16:16">
      <c r="P8535" s="115"/>
    </row>
    <row r="8536" spans="16:16">
      <c r="P8536" s="115"/>
    </row>
    <row r="8537" spans="16:16">
      <c r="P8537" s="115"/>
    </row>
    <row r="8538" spans="16:16">
      <c r="P8538" s="115"/>
    </row>
    <row r="8539" spans="16:16">
      <c r="P8539" s="115"/>
    </row>
    <row r="8540" spans="16:16">
      <c r="P8540" s="115"/>
    </row>
    <row r="8541" spans="16:16">
      <c r="P8541" s="115"/>
    </row>
    <row r="8542" spans="16:16">
      <c r="P8542" s="115"/>
    </row>
    <row r="8543" spans="16:16">
      <c r="P8543" s="115"/>
    </row>
    <row r="8544" spans="16:16">
      <c r="P8544" s="115"/>
    </row>
    <row r="8545" spans="16:16">
      <c r="P8545" s="115"/>
    </row>
    <row r="8546" spans="16:16">
      <c r="P8546" s="115"/>
    </row>
    <row r="8547" spans="16:16">
      <c r="P8547" s="115"/>
    </row>
    <row r="8548" spans="16:16">
      <c r="P8548" s="115"/>
    </row>
    <row r="8549" spans="16:16">
      <c r="P8549" s="115"/>
    </row>
    <row r="8550" spans="16:16">
      <c r="P8550" s="115"/>
    </row>
    <row r="8551" spans="16:16">
      <c r="P8551" s="115"/>
    </row>
    <row r="8552" spans="16:16">
      <c r="P8552" s="115"/>
    </row>
    <row r="8553" spans="16:16">
      <c r="P8553" s="115"/>
    </row>
    <row r="8554" spans="16:16">
      <c r="P8554" s="115"/>
    </row>
    <row r="8555" spans="16:16">
      <c r="P8555" s="115"/>
    </row>
    <row r="8556" spans="16:16">
      <c r="P8556" s="115"/>
    </row>
    <row r="8557" spans="16:16">
      <c r="P8557" s="115"/>
    </row>
    <row r="8558" spans="16:16">
      <c r="P8558" s="115"/>
    </row>
    <row r="8559" spans="16:16">
      <c r="P8559" s="115"/>
    </row>
    <row r="8560" spans="16:16">
      <c r="P8560" s="115"/>
    </row>
    <row r="8561" spans="16:16">
      <c r="P8561" s="115"/>
    </row>
    <row r="8562" spans="16:16">
      <c r="P8562" s="115"/>
    </row>
    <row r="8563" spans="16:16">
      <c r="P8563" s="115"/>
    </row>
    <row r="8564" spans="16:16">
      <c r="P8564" s="115"/>
    </row>
    <row r="8565" spans="16:16">
      <c r="P8565" s="115"/>
    </row>
    <row r="8566" spans="16:16">
      <c r="P8566" s="115"/>
    </row>
    <row r="8567" spans="16:16">
      <c r="P8567" s="115"/>
    </row>
    <row r="8568" spans="16:16">
      <c r="P8568" s="115"/>
    </row>
    <row r="8569" spans="16:16">
      <c r="P8569" s="115"/>
    </row>
    <row r="8570" spans="16:16">
      <c r="P8570" s="115"/>
    </row>
    <row r="8571" spans="16:16">
      <c r="P8571" s="115"/>
    </row>
    <row r="8572" spans="16:16">
      <c r="P8572" s="115"/>
    </row>
    <row r="8573" spans="16:16">
      <c r="P8573" s="115"/>
    </row>
    <row r="8574" spans="16:16">
      <c r="P8574" s="115"/>
    </row>
    <row r="8575" spans="16:16">
      <c r="P8575" s="115"/>
    </row>
    <row r="8576" spans="16:16">
      <c r="P8576" s="115"/>
    </row>
    <row r="8577" spans="16:16">
      <c r="P8577" s="115"/>
    </row>
    <row r="8578" spans="16:16">
      <c r="P8578" s="115"/>
    </row>
    <row r="8579" spans="16:16">
      <c r="P8579" s="115"/>
    </row>
    <row r="8580" spans="16:16">
      <c r="P8580" s="115"/>
    </row>
    <row r="8581" spans="16:16">
      <c r="P8581" s="115"/>
    </row>
    <row r="8582" spans="16:16">
      <c r="P8582" s="115"/>
    </row>
    <row r="8583" spans="16:16">
      <c r="P8583" s="115"/>
    </row>
    <row r="8584" spans="16:16">
      <c r="P8584" s="115"/>
    </row>
    <row r="8585" spans="16:16">
      <c r="P8585" s="115"/>
    </row>
    <row r="8586" spans="16:16">
      <c r="P8586" s="115"/>
    </row>
    <row r="8587" spans="16:16">
      <c r="P8587" s="115"/>
    </row>
    <row r="8588" spans="16:16">
      <c r="P8588" s="115"/>
    </row>
    <row r="8589" spans="16:16">
      <c r="P8589" s="115"/>
    </row>
    <row r="8590" spans="16:16">
      <c r="P8590" s="115"/>
    </row>
    <row r="8591" spans="16:16">
      <c r="P8591" s="115"/>
    </row>
    <row r="8592" spans="16:16">
      <c r="P8592" s="115"/>
    </row>
    <row r="8593" spans="16:16">
      <c r="P8593" s="115"/>
    </row>
    <row r="8594" spans="16:16">
      <c r="P8594" s="115"/>
    </row>
    <row r="8595" spans="16:16">
      <c r="P8595" s="115"/>
    </row>
    <row r="8596" spans="16:16">
      <c r="P8596" s="115"/>
    </row>
    <row r="8597" spans="16:16">
      <c r="P8597" s="115"/>
    </row>
    <row r="8598" spans="16:16">
      <c r="P8598" s="115"/>
    </row>
    <row r="8599" spans="16:16">
      <c r="P8599" s="115"/>
    </row>
    <row r="8600" spans="16:16">
      <c r="P8600" s="115"/>
    </row>
    <row r="8601" spans="16:16">
      <c r="P8601" s="115"/>
    </row>
    <row r="8602" spans="16:16">
      <c r="P8602" s="115"/>
    </row>
    <row r="8603" spans="16:16">
      <c r="P8603" s="115"/>
    </row>
    <row r="8604" spans="16:16">
      <c r="P8604" s="115"/>
    </row>
    <row r="8605" spans="16:16">
      <c r="P8605" s="115"/>
    </row>
    <row r="8606" spans="16:16">
      <c r="P8606" s="115"/>
    </row>
    <row r="8607" spans="16:16">
      <c r="P8607" s="115"/>
    </row>
    <row r="8608" spans="16:16">
      <c r="P8608" s="115"/>
    </row>
    <row r="8609" spans="16:16">
      <c r="P8609" s="115"/>
    </row>
    <row r="8610" spans="16:16">
      <c r="P8610" s="115"/>
    </row>
    <row r="8611" spans="16:16">
      <c r="P8611" s="115"/>
    </row>
    <row r="8612" spans="16:16">
      <c r="P8612" s="115"/>
    </row>
    <row r="8613" spans="16:16">
      <c r="P8613" s="115"/>
    </row>
    <row r="8614" spans="16:16">
      <c r="P8614" s="115"/>
    </row>
    <row r="8615" spans="16:16">
      <c r="P8615" s="115"/>
    </row>
    <row r="8616" spans="16:16">
      <c r="P8616" s="115"/>
    </row>
    <row r="8617" spans="16:16">
      <c r="P8617" s="115"/>
    </row>
    <row r="8618" spans="16:16">
      <c r="P8618" s="115"/>
    </row>
    <row r="8619" spans="16:16">
      <c r="P8619" s="115"/>
    </row>
    <row r="8620" spans="16:16">
      <c r="P8620" s="115"/>
    </row>
    <row r="8621" spans="16:16">
      <c r="P8621" s="115"/>
    </row>
    <row r="8622" spans="16:16">
      <c r="P8622" s="115"/>
    </row>
    <row r="8623" spans="16:16">
      <c r="P8623" s="115"/>
    </row>
    <row r="8624" spans="16:16">
      <c r="P8624" s="115"/>
    </row>
    <row r="8625" spans="16:16">
      <c r="P8625" s="115"/>
    </row>
    <row r="8626" spans="16:16">
      <c r="P8626" s="115"/>
    </row>
    <row r="8627" spans="16:16">
      <c r="P8627" s="115"/>
    </row>
    <row r="8628" spans="16:16">
      <c r="P8628" s="115"/>
    </row>
    <row r="8629" spans="16:16">
      <c r="P8629" s="115"/>
    </row>
    <row r="8630" spans="16:16">
      <c r="P8630" s="115"/>
    </row>
    <row r="8631" spans="16:16">
      <c r="P8631" s="115"/>
    </row>
    <row r="8632" spans="16:16">
      <c r="P8632" s="115"/>
    </row>
    <row r="8633" spans="16:16">
      <c r="P8633" s="115"/>
    </row>
    <row r="8634" spans="16:16">
      <c r="P8634" s="115"/>
    </row>
    <row r="8635" spans="16:16">
      <c r="P8635" s="115"/>
    </row>
    <row r="8636" spans="16:16">
      <c r="P8636" s="115"/>
    </row>
    <row r="8637" spans="16:16">
      <c r="P8637" s="115"/>
    </row>
    <row r="8638" spans="16:16">
      <c r="P8638" s="115"/>
    </row>
    <row r="8639" spans="16:16">
      <c r="P8639" s="115"/>
    </row>
    <row r="8640" spans="16:16">
      <c r="P8640" s="115"/>
    </row>
    <row r="8641" spans="16:16">
      <c r="P8641" s="115"/>
    </row>
    <row r="8642" spans="16:16">
      <c r="P8642" s="115"/>
    </row>
    <row r="8643" spans="16:16">
      <c r="P8643" s="115"/>
    </row>
    <row r="8644" spans="16:16">
      <c r="P8644" s="115"/>
    </row>
    <row r="8645" spans="16:16">
      <c r="P8645" s="115"/>
    </row>
    <row r="8646" spans="16:16">
      <c r="P8646" s="115"/>
    </row>
    <row r="8647" spans="16:16">
      <c r="P8647" s="115"/>
    </row>
    <row r="8648" spans="16:16">
      <c r="P8648" s="115"/>
    </row>
    <row r="8649" spans="16:16">
      <c r="P8649" s="115"/>
    </row>
    <row r="8650" spans="16:16">
      <c r="P8650" s="115"/>
    </row>
    <row r="8651" spans="16:16">
      <c r="P8651" s="115"/>
    </row>
    <row r="8652" spans="16:16">
      <c r="P8652" s="115"/>
    </row>
    <row r="8653" spans="16:16">
      <c r="P8653" s="115"/>
    </row>
    <row r="8654" spans="16:16">
      <c r="P8654" s="115"/>
    </row>
    <row r="8655" spans="16:16">
      <c r="P8655" s="115"/>
    </row>
    <row r="8656" spans="16:16">
      <c r="P8656" s="115"/>
    </row>
    <row r="8657" spans="16:16">
      <c r="P8657" s="115"/>
    </row>
    <row r="8658" spans="16:16">
      <c r="P8658" s="115"/>
    </row>
    <row r="8659" spans="16:16">
      <c r="P8659" s="115"/>
    </row>
    <row r="8660" spans="16:16">
      <c r="P8660" s="115"/>
    </row>
    <row r="8661" spans="16:16">
      <c r="P8661" s="115"/>
    </row>
    <row r="8662" spans="16:16">
      <c r="P8662" s="115"/>
    </row>
    <row r="8663" spans="16:16">
      <c r="P8663" s="115"/>
    </row>
    <row r="8664" spans="16:16">
      <c r="P8664" s="115"/>
    </row>
    <row r="8665" spans="16:16">
      <c r="P8665" s="115"/>
    </row>
    <row r="8666" spans="16:16">
      <c r="P8666" s="115"/>
    </row>
    <row r="8667" spans="16:16">
      <c r="P8667" s="115"/>
    </row>
    <row r="8668" spans="16:16">
      <c r="P8668" s="115"/>
    </row>
    <row r="8669" spans="16:16">
      <c r="P8669" s="115"/>
    </row>
    <row r="8670" spans="16:16">
      <c r="P8670" s="115"/>
    </row>
    <row r="8671" spans="16:16">
      <c r="P8671" s="115"/>
    </row>
    <row r="8672" spans="16:16">
      <c r="P8672" s="115"/>
    </row>
    <row r="8673" spans="16:16">
      <c r="P8673" s="115"/>
    </row>
    <row r="8674" spans="16:16">
      <c r="P8674" s="115"/>
    </row>
    <row r="8675" spans="16:16">
      <c r="P8675" s="115"/>
    </row>
    <row r="8676" spans="16:16">
      <c r="P8676" s="115"/>
    </row>
    <row r="8677" spans="16:16">
      <c r="P8677" s="115"/>
    </row>
    <row r="8678" spans="16:16">
      <c r="P8678" s="115"/>
    </row>
    <row r="8679" spans="16:16">
      <c r="P8679" s="115"/>
    </row>
    <row r="8680" spans="16:16">
      <c r="P8680" s="115"/>
    </row>
    <row r="8681" spans="16:16">
      <c r="P8681" s="115"/>
    </row>
    <row r="8682" spans="16:16">
      <c r="P8682" s="115"/>
    </row>
    <row r="8683" spans="16:16">
      <c r="P8683" s="115"/>
    </row>
    <row r="8684" spans="16:16">
      <c r="P8684" s="115"/>
    </row>
    <row r="8685" spans="16:16">
      <c r="P8685" s="115"/>
    </row>
    <row r="8686" spans="16:16">
      <c r="P8686" s="115"/>
    </row>
    <row r="8687" spans="16:16">
      <c r="P8687" s="115"/>
    </row>
    <row r="8688" spans="16:16">
      <c r="P8688" s="115"/>
    </row>
    <row r="8689" spans="16:16">
      <c r="P8689" s="115"/>
    </row>
    <row r="8690" spans="16:16">
      <c r="P8690" s="115"/>
    </row>
    <row r="8691" spans="16:16">
      <c r="P8691" s="115"/>
    </row>
    <row r="8692" spans="16:16">
      <c r="P8692" s="115"/>
    </row>
    <row r="8693" spans="16:16">
      <c r="P8693" s="115"/>
    </row>
    <row r="8694" spans="16:16">
      <c r="P8694" s="115"/>
    </row>
    <row r="8695" spans="16:16">
      <c r="P8695" s="115"/>
    </row>
    <row r="8696" spans="16:16">
      <c r="P8696" s="115"/>
    </row>
    <row r="8697" spans="16:16">
      <c r="P8697" s="115"/>
    </row>
    <row r="8698" spans="16:16">
      <c r="P8698" s="115"/>
    </row>
    <row r="8699" spans="16:16">
      <c r="P8699" s="115"/>
    </row>
    <row r="8700" spans="16:16">
      <c r="P8700" s="115"/>
    </row>
    <row r="8701" spans="16:16">
      <c r="P8701" s="115"/>
    </row>
    <row r="8702" spans="16:16">
      <c r="P8702" s="115"/>
    </row>
    <row r="8703" spans="16:16">
      <c r="P8703" s="115"/>
    </row>
    <row r="8704" spans="16:16">
      <c r="P8704" s="115"/>
    </row>
    <row r="8705" spans="16:16">
      <c r="P8705" s="115"/>
    </row>
    <row r="8706" spans="16:16">
      <c r="P8706" s="115"/>
    </row>
    <row r="8707" spans="16:16">
      <c r="P8707" s="115"/>
    </row>
    <row r="8708" spans="16:16">
      <c r="P8708" s="115"/>
    </row>
    <row r="8709" spans="16:16">
      <c r="P8709" s="115"/>
    </row>
    <row r="8710" spans="16:16">
      <c r="P8710" s="115"/>
    </row>
    <row r="8711" spans="16:16">
      <c r="P8711" s="115"/>
    </row>
    <row r="8712" spans="16:16">
      <c r="P8712" s="115"/>
    </row>
    <row r="8713" spans="16:16">
      <c r="P8713" s="115"/>
    </row>
    <row r="8714" spans="16:16">
      <c r="P8714" s="115"/>
    </row>
    <row r="8715" spans="16:16">
      <c r="P8715" s="115"/>
    </row>
    <row r="8716" spans="16:16">
      <c r="P8716" s="115"/>
    </row>
    <row r="8717" spans="16:16">
      <c r="P8717" s="115"/>
    </row>
    <row r="8718" spans="16:16">
      <c r="P8718" s="115"/>
    </row>
    <row r="8719" spans="16:16">
      <c r="P8719" s="115"/>
    </row>
    <row r="8720" spans="16:16">
      <c r="P8720" s="115"/>
    </row>
    <row r="8721" spans="16:16">
      <c r="P8721" s="115"/>
    </row>
    <row r="8722" spans="16:16">
      <c r="P8722" s="115"/>
    </row>
    <row r="8723" spans="16:16">
      <c r="P8723" s="115"/>
    </row>
    <row r="8724" spans="16:16">
      <c r="P8724" s="115"/>
    </row>
    <row r="8725" spans="16:16">
      <c r="P8725" s="115"/>
    </row>
    <row r="8726" spans="16:16">
      <c r="P8726" s="115"/>
    </row>
    <row r="8727" spans="16:16">
      <c r="P8727" s="115"/>
    </row>
    <row r="8728" spans="16:16">
      <c r="P8728" s="115"/>
    </row>
    <row r="8729" spans="16:16">
      <c r="P8729" s="115"/>
    </row>
    <row r="8730" spans="16:16">
      <c r="P8730" s="115"/>
    </row>
    <row r="8731" spans="16:16">
      <c r="P8731" s="115"/>
    </row>
    <row r="8732" spans="16:16">
      <c r="P8732" s="115"/>
    </row>
    <row r="8733" spans="16:16">
      <c r="P8733" s="115"/>
    </row>
    <row r="8734" spans="16:16">
      <c r="P8734" s="115"/>
    </row>
    <row r="8735" spans="16:16">
      <c r="P8735" s="115"/>
    </row>
    <row r="8736" spans="16:16">
      <c r="P8736" s="115"/>
    </row>
    <row r="8737" spans="16:16">
      <c r="P8737" s="115"/>
    </row>
    <row r="8738" spans="16:16">
      <c r="P8738" s="115"/>
    </row>
    <row r="8739" spans="16:16">
      <c r="P8739" s="115"/>
    </row>
    <row r="8740" spans="16:16">
      <c r="P8740" s="115"/>
    </row>
    <row r="8741" spans="16:16">
      <c r="P8741" s="115"/>
    </row>
    <row r="8742" spans="16:16">
      <c r="P8742" s="115"/>
    </row>
    <row r="8743" spans="16:16">
      <c r="P8743" s="115"/>
    </row>
    <row r="8744" spans="16:16">
      <c r="P8744" s="115"/>
    </row>
    <row r="8745" spans="16:16">
      <c r="P8745" s="115"/>
    </row>
    <row r="8746" spans="16:16">
      <c r="P8746" s="115"/>
    </row>
    <row r="8747" spans="16:16">
      <c r="P8747" s="115"/>
    </row>
    <row r="8748" spans="16:16">
      <c r="P8748" s="115"/>
    </row>
    <row r="8749" spans="16:16">
      <c r="P8749" s="115"/>
    </row>
    <row r="8750" spans="16:16">
      <c r="P8750" s="115"/>
    </row>
    <row r="8751" spans="16:16">
      <c r="P8751" s="115"/>
    </row>
    <row r="8752" spans="16:16">
      <c r="P8752" s="115"/>
    </row>
    <row r="8753" spans="16:16">
      <c r="P8753" s="115"/>
    </row>
    <row r="8754" spans="16:16">
      <c r="P8754" s="115"/>
    </row>
    <row r="8755" spans="16:16">
      <c r="P8755" s="115"/>
    </row>
    <row r="8756" spans="16:16">
      <c r="P8756" s="115"/>
    </row>
    <row r="8757" spans="16:16">
      <c r="P8757" s="115"/>
    </row>
    <row r="8758" spans="16:16">
      <c r="P8758" s="115"/>
    </row>
    <row r="8759" spans="16:16">
      <c r="P8759" s="115"/>
    </row>
    <row r="8760" spans="16:16">
      <c r="P8760" s="115"/>
    </row>
    <row r="8761" spans="16:16">
      <c r="P8761" s="115"/>
    </row>
    <row r="8762" spans="16:16">
      <c r="P8762" s="115"/>
    </row>
    <row r="8763" spans="16:16">
      <c r="P8763" s="115"/>
    </row>
    <row r="8764" spans="16:16">
      <c r="P8764" s="115"/>
    </row>
    <row r="8765" spans="16:16">
      <c r="P8765" s="115"/>
    </row>
    <row r="8766" spans="16:16">
      <c r="P8766" s="115"/>
    </row>
    <row r="8767" spans="16:16">
      <c r="P8767" s="115"/>
    </row>
    <row r="8768" spans="16:16">
      <c r="P8768" s="115"/>
    </row>
    <row r="8769" spans="16:16">
      <c r="P8769" s="115"/>
    </row>
    <row r="8770" spans="16:16">
      <c r="P8770" s="115"/>
    </row>
    <row r="8771" spans="16:16">
      <c r="P8771" s="115"/>
    </row>
    <row r="8772" spans="16:16">
      <c r="P8772" s="115"/>
    </row>
    <row r="8773" spans="16:16">
      <c r="P8773" s="115"/>
    </row>
    <row r="8774" spans="16:16">
      <c r="P8774" s="115"/>
    </row>
    <row r="8775" spans="16:16">
      <c r="P8775" s="115"/>
    </row>
    <row r="8776" spans="16:16">
      <c r="P8776" s="115"/>
    </row>
    <row r="8777" spans="16:16">
      <c r="P8777" s="115"/>
    </row>
    <row r="8778" spans="16:16">
      <c r="P8778" s="115"/>
    </row>
    <row r="8779" spans="16:16">
      <c r="P8779" s="115"/>
    </row>
    <row r="8780" spans="16:16">
      <c r="P8780" s="115"/>
    </row>
    <row r="8781" spans="16:16">
      <c r="P8781" s="115"/>
    </row>
    <row r="8782" spans="16:16">
      <c r="P8782" s="115"/>
    </row>
    <row r="8783" spans="16:16">
      <c r="P8783" s="115"/>
    </row>
    <row r="8784" spans="16:16">
      <c r="P8784" s="115"/>
    </row>
    <row r="8785" spans="16:16">
      <c r="P8785" s="115"/>
    </row>
    <row r="8786" spans="16:16">
      <c r="P8786" s="115"/>
    </row>
    <row r="8787" spans="16:16">
      <c r="P8787" s="115"/>
    </row>
    <row r="8788" spans="16:16">
      <c r="P8788" s="115"/>
    </row>
    <row r="8789" spans="16:16">
      <c r="P8789" s="115"/>
    </row>
    <row r="8790" spans="16:16">
      <c r="P8790" s="115"/>
    </row>
    <row r="8791" spans="16:16">
      <c r="P8791" s="115"/>
    </row>
    <row r="8792" spans="16:16">
      <c r="P8792" s="115"/>
    </row>
    <row r="8793" spans="16:16">
      <c r="P8793" s="115"/>
    </row>
    <row r="8794" spans="16:16">
      <c r="P8794" s="115"/>
    </row>
    <row r="8795" spans="16:16">
      <c r="P8795" s="115"/>
    </row>
    <row r="8796" spans="16:16">
      <c r="P8796" s="115"/>
    </row>
    <row r="8797" spans="16:16">
      <c r="P8797" s="115"/>
    </row>
    <row r="8798" spans="16:16">
      <c r="P8798" s="115"/>
    </row>
    <row r="8799" spans="16:16">
      <c r="P8799" s="115"/>
    </row>
    <row r="8800" spans="16:16">
      <c r="P8800" s="115"/>
    </row>
    <row r="8801" spans="16:16">
      <c r="P8801" s="115"/>
    </row>
    <row r="8802" spans="16:16">
      <c r="P8802" s="115"/>
    </row>
    <row r="8803" spans="16:16">
      <c r="P8803" s="115"/>
    </row>
    <row r="8804" spans="16:16">
      <c r="P8804" s="115"/>
    </row>
    <row r="8805" spans="16:16">
      <c r="P8805" s="115"/>
    </row>
    <row r="8806" spans="16:16">
      <c r="P8806" s="115"/>
    </row>
    <row r="8807" spans="16:16">
      <c r="P8807" s="115"/>
    </row>
    <row r="8808" spans="16:16">
      <c r="P8808" s="115"/>
    </row>
    <row r="8809" spans="16:16">
      <c r="P8809" s="115"/>
    </row>
    <row r="8810" spans="16:16">
      <c r="P8810" s="115"/>
    </row>
    <row r="8811" spans="16:16">
      <c r="P8811" s="115"/>
    </row>
    <row r="8812" spans="16:16">
      <c r="P8812" s="115"/>
    </row>
    <row r="8813" spans="16:16">
      <c r="P8813" s="115"/>
    </row>
    <row r="8814" spans="16:16">
      <c r="P8814" s="115"/>
    </row>
    <row r="8815" spans="16:16">
      <c r="P8815" s="115"/>
    </row>
    <row r="8816" spans="16:16">
      <c r="P8816" s="115"/>
    </row>
    <row r="8817" spans="16:16">
      <c r="P8817" s="115"/>
    </row>
    <row r="8818" spans="16:16">
      <c r="P8818" s="115"/>
    </row>
    <row r="8819" spans="16:16">
      <c r="P8819" s="115"/>
    </row>
    <row r="8820" spans="16:16">
      <c r="P8820" s="115"/>
    </row>
    <row r="8821" spans="16:16">
      <c r="P8821" s="115"/>
    </row>
    <row r="8822" spans="16:16">
      <c r="P8822" s="115"/>
    </row>
    <row r="8823" spans="16:16">
      <c r="P8823" s="115"/>
    </row>
    <row r="8824" spans="16:16">
      <c r="P8824" s="115"/>
    </row>
    <row r="8825" spans="16:16">
      <c r="P8825" s="115"/>
    </row>
    <row r="8826" spans="16:16">
      <c r="P8826" s="115"/>
    </row>
    <row r="8827" spans="16:16">
      <c r="P8827" s="115"/>
    </row>
    <row r="8828" spans="16:16">
      <c r="P8828" s="115"/>
    </row>
    <row r="8829" spans="16:16">
      <c r="P8829" s="115"/>
    </row>
    <row r="8830" spans="16:16">
      <c r="P8830" s="115"/>
    </row>
    <row r="8831" spans="16:16">
      <c r="P8831" s="115"/>
    </row>
    <row r="8832" spans="16:16">
      <c r="P8832" s="115"/>
    </row>
    <row r="8833" spans="16:16">
      <c r="P8833" s="115"/>
    </row>
    <row r="8834" spans="16:16">
      <c r="P8834" s="115"/>
    </row>
    <row r="8835" spans="16:16">
      <c r="P8835" s="115"/>
    </row>
    <row r="8836" spans="16:16">
      <c r="P8836" s="115"/>
    </row>
    <row r="8837" spans="16:16">
      <c r="P8837" s="115"/>
    </row>
    <row r="8838" spans="16:16">
      <c r="P8838" s="115"/>
    </row>
    <row r="8839" spans="16:16">
      <c r="P8839" s="115"/>
    </row>
    <row r="8840" spans="16:16">
      <c r="P8840" s="115"/>
    </row>
    <row r="8841" spans="16:16">
      <c r="P8841" s="115"/>
    </row>
    <row r="8842" spans="16:16">
      <c r="P8842" s="115"/>
    </row>
    <row r="8843" spans="16:16">
      <c r="P8843" s="115"/>
    </row>
    <row r="8844" spans="16:16">
      <c r="P8844" s="115"/>
    </row>
    <row r="8845" spans="16:16">
      <c r="P8845" s="115"/>
    </row>
    <row r="8846" spans="16:16">
      <c r="P8846" s="115"/>
    </row>
    <row r="8847" spans="16:16">
      <c r="P8847" s="115"/>
    </row>
    <row r="8848" spans="16:16">
      <c r="P8848" s="115"/>
    </row>
    <row r="8849" spans="16:16">
      <c r="P8849" s="115"/>
    </row>
    <row r="8850" spans="16:16">
      <c r="P8850" s="115"/>
    </row>
    <row r="8851" spans="16:16">
      <c r="P8851" s="115"/>
    </row>
    <row r="8852" spans="16:16">
      <c r="P8852" s="115"/>
    </row>
    <row r="8853" spans="16:16">
      <c r="P8853" s="115"/>
    </row>
    <row r="8854" spans="16:16">
      <c r="P8854" s="115"/>
    </row>
    <row r="8855" spans="16:16">
      <c r="P8855" s="115"/>
    </row>
    <row r="8856" spans="16:16">
      <c r="P8856" s="115"/>
    </row>
    <row r="8857" spans="16:16">
      <c r="P8857" s="115"/>
    </row>
    <row r="8858" spans="16:16">
      <c r="P8858" s="115"/>
    </row>
    <row r="8859" spans="16:16">
      <c r="P8859" s="115"/>
    </row>
    <row r="8860" spans="16:16">
      <c r="P8860" s="115"/>
    </row>
    <row r="8861" spans="16:16">
      <c r="P8861" s="115"/>
    </row>
    <row r="8862" spans="16:16">
      <c r="P8862" s="115"/>
    </row>
    <row r="8863" spans="16:16">
      <c r="P8863" s="115"/>
    </row>
    <row r="8864" spans="16:16">
      <c r="P8864" s="115"/>
    </row>
    <row r="8865" spans="16:16">
      <c r="P8865" s="115"/>
    </row>
    <row r="8866" spans="16:16">
      <c r="P8866" s="115"/>
    </row>
    <row r="8867" spans="16:16">
      <c r="P8867" s="115"/>
    </row>
    <row r="8868" spans="16:16">
      <c r="P8868" s="115"/>
    </row>
    <row r="8869" spans="16:16">
      <c r="P8869" s="115"/>
    </row>
    <row r="8870" spans="16:16">
      <c r="P8870" s="115"/>
    </row>
    <row r="8871" spans="16:16">
      <c r="P8871" s="115"/>
    </row>
    <row r="8872" spans="16:16">
      <c r="P8872" s="115"/>
    </row>
    <row r="8873" spans="16:16">
      <c r="P8873" s="115"/>
    </row>
    <row r="8874" spans="16:16">
      <c r="P8874" s="115"/>
    </row>
    <row r="8875" spans="16:16">
      <c r="P8875" s="115"/>
    </row>
    <row r="8876" spans="16:16">
      <c r="P8876" s="115"/>
    </row>
    <row r="8877" spans="16:16">
      <c r="P8877" s="115"/>
    </row>
    <row r="8878" spans="16:16">
      <c r="P8878" s="115"/>
    </row>
    <row r="8879" spans="16:16">
      <c r="P8879" s="115"/>
    </row>
    <row r="8880" spans="16:16">
      <c r="P8880" s="115"/>
    </row>
    <row r="8881" spans="16:16">
      <c r="P8881" s="115"/>
    </row>
    <row r="8882" spans="16:16">
      <c r="P8882" s="115"/>
    </row>
    <row r="8883" spans="16:16">
      <c r="P8883" s="115"/>
    </row>
    <row r="8884" spans="16:16">
      <c r="P8884" s="115"/>
    </row>
    <row r="8885" spans="16:16">
      <c r="P8885" s="115"/>
    </row>
    <row r="8886" spans="16:16">
      <c r="P8886" s="115"/>
    </row>
    <row r="8887" spans="16:16">
      <c r="P8887" s="115"/>
    </row>
    <row r="8888" spans="16:16">
      <c r="P8888" s="115"/>
    </row>
    <row r="8889" spans="16:16">
      <c r="P8889" s="115"/>
    </row>
    <row r="8890" spans="16:16">
      <c r="P8890" s="115"/>
    </row>
    <row r="8891" spans="16:16">
      <c r="P8891" s="115"/>
    </row>
    <row r="8892" spans="16:16">
      <c r="P8892" s="115"/>
    </row>
    <row r="8893" spans="16:16">
      <c r="P8893" s="115"/>
    </row>
    <row r="8894" spans="16:16">
      <c r="P8894" s="115"/>
    </row>
    <row r="8895" spans="16:16">
      <c r="P8895" s="115"/>
    </row>
    <row r="8896" spans="16:16">
      <c r="P8896" s="115"/>
    </row>
    <row r="8897" spans="16:16">
      <c r="P8897" s="115"/>
    </row>
    <row r="8898" spans="16:16">
      <c r="P8898" s="115"/>
    </row>
    <row r="8899" spans="16:16">
      <c r="P8899" s="115"/>
    </row>
    <row r="8900" spans="16:16">
      <c r="P8900" s="115"/>
    </row>
    <row r="8901" spans="16:16">
      <c r="P8901" s="115"/>
    </row>
    <row r="8902" spans="16:16">
      <c r="P8902" s="115"/>
    </row>
    <row r="8903" spans="16:16">
      <c r="P8903" s="115"/>
    </row>
    <row r="8904" spans="16:16">
      <c r="P8904" s="115"/>
    </row>
    <row r="8905" spans="16:16">
      <c r="P8905" s="115"/>
    </row>
    <row r="8906" spans="16:16">
      <c r="P8906" s="115"/>
    </row>
    <row r="8907" spans="16:16">
      <c r="P8907" s="115"/>
    </row>
    <row r="8908" spans="16:16">
      <c r="P8908" s="115"/>
    </row>
    <row r="8909" spans="16:16">
      <c r="P8909" s="115"/>
    </row>
    <row r="8910" spans="16:16">
      <c r="P8910" s="115"/>
    </row>
    <row r="8911" spans="16:16">
      <c r="P8911" s="115"/>
    </row>
    <row r="8912" spans="16:16">
      <c r="P8912" s="115"/>
    </row>
    <row r="8913" spans="16:16">
      <c r="P8913" s="115"/>
    </row>
    <row r="8914" spans="16:16">
      <c r="P8914" s="115"/>
    </row>
    <row r="8915" spans="16:16">
      <c r="P8915" s="115"/>
    </row>
    <row r="8916" spans="16:16">
      <c r="P8916" s="115"/>
    </row>
    <row r="8917" spans="16:16">
      <c r="P8917" s="115"/>
    </row>
    <row r="8918" spans="16:16">
      <c r="P8918" s="115"/>
    </row>
    <row r="8919" spans="16:16">
      <c r="P8919" s="115"/>
    </row>
    <row r="8920" spans="16:16">
      <c r="P8920" s="115"/>
    </row>
    <row r="8921" spans="16:16">
      <c r="P8921" s="115"/>
    </row>
    <row r="8922" spans="16:16">
      <c r="P8922" s="115"/>
    </row>
    <row r="8923" spans="16:16">
      <c r="P8923" s="115"/>
    </row>
    <row r="8924" spans="16:16">
      <c r="P8924" s="115"/>
    </row>
    <row r="8925" spans="16:16">
      <c r="P8925" s="115"/>
    </row>
    <row r="8926" spans="16:16">
      <c r="P8926" s="115"/>
    </row>
    <row r="8927" spans="16:16">
      <c r="P8927" s="115"/>
    </row>
    <row r="8928" spans="16:16">
      <c r="P8928" s="115"/>
    </row>
    <row r="8929" spans="16:16">
      <c r="P8929" s="115"/>
    </row>
    <row r="8930" spans="16:16">
      <c r="P8930" s="115"/>
    </row>
    <row r="8931" spans="16:16">
      <c r="P8931" s="115"/>
    </row>
    <row r="8932" spans="16:16">
      <c r="P8932" s="115"/>
    </row>
    <row r="8933" spans="16:16">
      <c r="P8933" s="115"/>
    </row>
    <row r="8934" spans="16:16">
      <c r="P8934" s="115"/>
    </row>
    <row r="8935" spans="16:16">
      <c r="P8935" s="115"/>
    </row>
    <row r="8936" spans="16:16">
      <c r="P8936" s="115"/>
    </row>
    <row r="8937" spans="16:16">
      <c r="P8937" s="115"/>
    </row>
    <row r="8938" spans="16:16">
      <c r="P8938" s="115"/>
    </row>
    <row r="8939" spans="16:16">
      <c r="P8939" s="115"/>
    </row>
    <row r="8940" spans="16:16">
      <c r="P8940" s="115"/>
    </row>
    <row r="8941" spans="16:16">
      <c r="P8941" s="115"/>
    </row>
    <row r="8942" spans="16:16">
      <c r="P8942" s="115"/>
    </row>
    <row r="8943" spans="16:16">
      <c r="P8943" s="115"/>
    </row>
    <row r="8944" spans="16:16">
      <c r="P8944" s="115"/>
    </row>
    <row r="8945" spans="16:16">
      <c r="P8945" s="115"/>
    </row>
    <row r="8946" spans="16:16">
      <c r="P8946" s="115"/>
    </row>
    <row r="8947" spans="16:16">
      <c r="P8947" s="115"/>
    </row>
    <row r="8948" spans="16:16">
      <c r="P8948" s="115"/>
    </row>
    <row r="8949" spans="16:16">
      <c r="P8949" s="115"/>
    </row>
    <row r="8950" spans="16:16">
      <c r="P8950" s="115"/>
    </row>
    <row r="8951" spans="16:16">
      <c r="P8951" s="115"/>
    </row>
    <row r="8952" spans="16:16">
      <c r="P8952" s="115"/>
    </row>
    <row r="8953" spans="16:16">
      <c r="P8953" s="115"/>
    </row>
    <row r="8954" spans="16:16">
      <c r="P8954" s="115"/>
    </row>
    <row r="8955" spans="16:16">
      <c r="P8955" s="115"/>
    </row>
    <row r="8956" spans="16:16">
      <c r="P8956" s="115"/>
    </row>
    <row r="8957" spans="16:16">
      <c r="P8957" s="115"/>
    </row>
    <row r="8958" spans="16:16">
      <c r="P8958" s="115"/>
    </row>
    <row r="8959" spans="16:16">
      <c r="P8959" s="115"/>
    </row>
    <row r="8960" spans="16:16">
      <c r="P8960" s="115"/>
    </row>
    <row r="8961" spans="16:16">
      <c r="P8961" s="115"/>
    </row>
    <row r="8962" spans="16:16">
      <c r="P8962" s="115"/>
    </row>
    <row r="8963" spans="16:16">
      <c r="P8963" s="115"/>
    </row>
    <row r="8964" spans="16:16">
      <c r="P8964" s="115"/>
    </row>
    <row r="8965" spans="16:16">
      <c r="P8965" s="115"/>
    </row>
    <row r="8966" spans="16:16">
      <c r="P8966" s="115"/>
    </row>
    <row r="8967" spans="16:16">
      <c r="P8967" s="115"/>
    </row>
    <row r="8968" spans="16:16">
      <c r="P8968" s="115"/>
    </row>
    <row r="8969" spans="16:16">
      <c r="P8969" s="115"/>
    </row>
    <row r="8970" spans="16:16">
      <c r="P8970" s="115"/>
    </row>
    <row r="8971" spans="16:16">
      <c r="P8971" s="115"/>
    </row>
    <row r="8972" spans="16:16">
      <c r="P8972" s="115"/>
    </row>
    <row r="8973" spans="16:16">
      <c r="P8973" s="115"/>
    </row>
    <row r="8974" spans="16:16">
      <c r="P8974" s="115"/>
    </row>
    <row r="8975" spans="16:16">
      <c r="P8975" s="115"/>
    </row>
    <row r="8976" spans="16:16">
      <c r="P8976" s="115"/>
    </row>
    <row r="8977" spans="16:16">
      <c r="P8977" s="115"/>
    </row>
    <row r="8978" spans="16:16">
      <c r="P8978" s="115"/>
    </row>
    <row r="8979" spans="16:16">
      <c r="P8979" s="115"/>
    </row>
    <row r="8980" spans="16:16">
      <c r="P8980" s="115"/>
    </row>
    <row r="8981" spans="16:16">
      <c r="P8981" s="115"/>
    </row>
    <row r="8982" spans="16:16">
      <c r="P8982" s="115"/>
    </row>
    <row r="8983" spans="16:16">
      <c r="P8983" s="115"/>
    </row>
    <row r="8984" spans="16:16">
      <c r="P8984" s="115"/>
    </row>
    <row r="8985" spans="16:16">
      <c r="P8985" s="115"/>
    </row>
    <row r="8986" spans="16:16">
      <c r="P8986" s="115"/>
    </row>
    <row r="8987" spans="16:16">
      <c r="P8987" s="115"/>
    </row>
    <row r="8988" spans="16:16">
      <c r="P8988" s="115"/>
    </row>
    <row r="8989" spans="16:16">
      <c r="P8989" s="115"/>
    </row>
    <row r="8990" spans="16:16">
      <c r="P8990" s="115"/>
    </row>
    <row r="8991" spans="16:16">
      <c r="P8991" s="115"/>
    </row>
    <row r="8992" spans="16:16">
      <c r="P8992" s="115"/>
    </row>
    <row r="8993" spans="16:16">
      <c r="P8993" s="115"/>
    </row>
    <row r="8994" spans="16:16">
      <c r="P8994" s="115"/>
    </row>
    <row r="8995" spans="16:16">
      <c r="P8995" s="115"/>
    </row>
    <row r="8996" spans="16:16">
      <c r="P8996" s="115"/>
    </row>
    <row r="8997" spans="16:16">
      <c r="P8997" s="115"/>
    </row>
    <row r="8998" spans="16:16">
      <c r="P8998" s="115"/>
    </row>
    <row r="8999" spans="16:16">
      <c r="P8999" s="115"/>
    </row>
    <row r="9000" spans="16:16">
      <c r="P9000" s="115"/>
    </row>
    <row r="9001" spans="16:16">
      <c r="P9001" s="115"/>
    </row>
    <row r="9002" spans="16:16">
      <c r="P9002" s="115"/>
    </row>
    <row r="9003" spans="16:16">
      <c r="P9003" s="115"/>
    </row>
    <row r="9004" spans="16:16">
      <c r="P9004" s="115"/>
    </row>
    <row r="9005" spans="16:16">
      <c r="P9005" s="115"/>
    </row>
    <row r="9006" spans="16:16">
      <c r="P9006" s="115"/>
    </row>
    <row r="9007" spans="16:16">
      <c r="P9007" s="115"/>
    </row>
    <row r="9008" spans="16:16">
      <c r="P9008" s="115"/>
    </row>
    <row r="9009" spans="16:16">
      <c r="P9009" s="115"/>
    </row>
    <row r="9010" spans="16:16">
      <c r="P9010" s="115"/>
    </row>
    <row r="9011" spans="16:16">
      <c r="P9011" s="115"/>
    </row>
    <row r="9012" spans="16:16">
      <c r="P9012" s="115"/>
    </row>
    <row r="9013" spans="16:16">
      <c r="P9013" s="115"/>
    </row>
    <row r="9014" spans="16:16">
      <c r="P9014" s="115"/>
    </row>
    <row r="9015" spans="16:16">
      <c r="P9015" s="115"/>
    </row>
    <row r="9016" spans="16:16">
      <c r="P9016" s="115"/>
    </row>
    <row r="9017" spans="16:16">
      <c r="P9017" s="115"/>
    </row>
    <row r="9018" spans="16:16">
      <c r="P9018" s="115"/>
    </row>
    <row r="9019" spans="16:16">
      <c r="P9019" s="115"/>
    </row>
    <row r="9020" spans="16:16">
      <c r="P9020" s="115"/>
    </row>
    <row r="9021" spans="16:16">
      <c r="P9021" s="115"/>
    </row>
    <row r="9022" spans="16:16">
      <c r="P9022" s="115"/>
    </row>
    <row r="9023" spans="16:16">
      <c r="P9023" s="115"/>
    </row>
    <row r="9024" spans="16:16">
      <c r="P9024" s="115"/>
    </row>
    <row r="9025" spans="16:16">
      <c r="P9025" s="115"/>
    </row>
    <row r="9026" spans="16:16">
      <c r="P9026" s="115"/>
    </row>
    <row r="9027" spans="16:16">
      <c r="P9027" s="115"/>
    </row>
    <row r="9028" spans="16:16">
      <c r="P9028" s="115"/>
    </row>
    <row r="9029" spans="16:16">
      <c r="P9029" s="115"/>
    </row>
    <row r="9030" spans="16:16">
      <c r="P9030" s="115"/>
    </row>
    <row r="9031" spans="16:16">
      <c r="P9031" s="115"/>
    </row>
    <row r="9032" spans="16:16">
      <c r="P9032" s="115"/>
    </row>
    <row r="9033" spans="16:16">
      <c r="P9033" s="115"/>
    </row>
    <row r="9034" spans="16:16">
      <c r="P9034" s="115"/>
    </row>
    <row r="9035" spans="16:16">
      <c r="P9035" s="115"/>
    </row>
    <row r="9036" spans="16:16">
      <c r="P9036" s="115"/>
    </row>
    <row r="9037" spans="16:16">
      <c r="P9037" s="115"/>
    </row>
    <row r="9038" spans="16:16">
      <c r="P9038" s="115"/>
    </row>
    <row r="9039" spans="16:16">
      <c r="P9039" s="115"/>
    </row>
    <row r="9040" spans="16:16">
      <c r="P9040" s="115"/>
    </row>
    <row r="9041" spans="16:16">
      <c r="P9041" s="115"/>
    </row>
    <row r="9042" spans="16:16">
      <c r="P9042" s="115"/>
    </row>
    <row r="9043" spans="16:16">
      <c r="P9043" s="115"/>
    </row>
    <row r="9044" spans="16:16">
      <c r="P9044" s="115"/>
    </row>
    <row r="9045" spans="16:16">
      <c r="P9045" s="115"/>
    </row>
    <row r="9046" spans="16:16">
      <c r="P9046" s="115"/>
    </row>
    <row r="9047" spans="16:16">
      <c r="P9047" s="115"/>
    </row>
    <row r="9048" spans="16:16">
      <c r="P9048" s="115"/>
    </row>
    <row r="9049" spans="16:16">
      <c r="P9049" s="115"/>
    </row>
    <row r="9050" spans="16:16">
      <c r="P9050" s="115"/>
    </row>
    <row r="9051" spans="16:16">
      <c r="P9051" s="115"/>
    </row>
    <row r="9052" spans="16:16">
      <c r="P9052" s="115"/>
    </row>
    <row r="9053" spans="16:16">
      <c r="P9053" s="115"/>
    </row>
    <row r="9054" spans="16:16">
      <c r="P9054" s="115"/>
    </row>
    <row r="9055" spans="16:16">
      <c r="P9055" s="115"/>
    </row>
    <row r="9056" spans="16:16">
      <c r="P9056" s="115"/>
    </row>
    <row r="9057" spans="16:16">
      <c r="P9057" s="115"/>
    </row>
    <row r="9058" spans="16:16">
      <c r="P9058" s="115"/>
    </row>
    <row r="9059" spans="16:16">
      <c r="P9059" s="115"/>
    </row>
    <row r="9060" spans="16:16">
      <c r="P9060" s="115"/>
    </row>
    <row r="9061" spans="16:16">
      <c r="P9061" s="115"/>
    </row>
    <row r="9062" spans="16:16">
      <c r="P9062" s="115"/>
    </row>
    <row r="9063" spans="16:16">
      <c r="P9063" s="115"/>
    </row>
    <row r="9064" spans="16:16">
      <c r="P9064" s="115"/>
    </row>
    <row r="9065" spans="16:16">
      <c r="P9065" s="115"/>
    </row>
    <row r="9066" spans="16:16">
      <c r="P9066" s="115"/>
    </row>
    <row r="9067" spans="16:16">
      <c r="P9067" s="115"/>
    </row>
    <row r="9068" spans="16:16">
      <c r="P9068" s="115"/>
    </row>
    <row r="9069" spans="16:16">
      <c r="P9069" s="115"/>
    </row>
    <row r="9070" spans="16:16">
      <c r="P9070" s="115"/>
    </row>
    <row r="9071" spans="16:16">
      <c r="P9071" s="115"/>
    </row>
    <row r="9072" spans="16:16">
      <c r="P9072" s="115"/>
    </row>
    <row r="9073" spans="16:16">
      <c r="P9073" s="115"/>
    </row>
    <row r="9074" spans="16:16">
      <c r="P9074" s="115"/>
    </row>
    <row r="9075" spans="16:16">
      <c r="P9075" s="115"/>
    </row>
    <row r="9076" spans="16:16">
      <c r="P9076" s="115"/>
    </row>
    <row r="9077" spans="16:16">
      <c r="P9077" s="115"/>
    </row>
    <row r="9078" spans="16:16">
      <c r="P9078" s="115"/>
    </row>
    <row r="9079" spans="16:16">
      <c r="P9079" s="115"/>
    </row>
    <row r="9080" spans="16:16">
      <c r="P9080" s="115"/>
    </row>
    <row r="9081" spans="16:16">
      <c r="P9081" s="115"/>
    </row>
    <row r="9082" spans="16:16">
      <c r="P9082" s="115"/>
    </row>
    <row r="9083" spans="16:16">
      <c r="P9083" s="115"/>
    </row>
    <row r="9084" spans="16:16">
      <c r="P9084" s="115"/>
    </row>
    <row r="9085" spans="16:16">
      <c r="P9085" s="115"/>
    </row>
    <row r="9086" spans="16:16">
      <c r="P9086" s="115"/>
    </row>
    <row r="9087" spans="16:16">
      <c r="P9087" s="115"/>
    </row>
    <row r="9088" spans="16:16">
      <c r="P9088" s="115"/>
    </row>
    <row r="9089" spans="16:16">
      <c r="P9089" s="115"/>
    </row>
    <row r="9090" spans="16:16">
      <c r="P9090" s="115"/>
    </row>
    <row r="9091" spans="16:16">
      <c r="P9091" s="115"/>
    </row>
    <row r="9092" spans="16:16">
      <c r="P9092" s="115"/>
    </row>
    <row r="9093" spans="16:16">
      <c r="P9093" s="115"/>
    </row>
    <row r="9094" spans="16:16">
      <c r="P9094" s="115"/>
    </row>
    <row r="9095" spans="16:16">
      <c r="P9095" s="115"/>
    </row>
    <row r="9096" spans="16:16">
      <c r="P9096" s="115"/>
    </row>
    <row r="9097" spans="16:16">
      <c r="P9097" s="115"/>
    </row>
    <row r="9098" spans="16:16">
      <c r="P9098" s="115"/>
    </row>
    <row r="9099" spans="16:16">
      <c r="P9099" s="115"/>
    </row>
    <row r="9100" spans="16:16">
      <c r="P9100" s="115"/>
    </row>
    <row r="9101" spans="16:16">
      <c r="P9101" s="115"/>
    </row>
    <row r="9102" spans="16:16">
      <c r="P9102" s="115"/>
    </row>
    <row r="9103" spans="16:16">
      <c r="P9103" s="115"/>
    </row>
    <row r="9104" spans="16:16">
      <c r="P9104" s="115"/>
    </row>
    <row r="9105" spans="16:16">
      <c r="P9105" s="115"/>
    </row>
    <row r="9106" spans="16:16">
      <c r="P9106" s="115"/>
    </row>
    <row r="9107" spans="16:16">
      <c r="P9107" s="115"/>
    </row>
    <row r="9108" spans="16:16">
      <c r="P9108" s="115"/>
    </row>
    <row r="9109" spans="16:16">
      <c r="P9109" s="115"/>
    </row>
    <row r="9110" spans="16:16">
      <c r="P9110" s="115"/>
    </row>
    <row r="9111" spans="16:16">
      <c r="P9111" s="115"/>
    </row>
    <row r="9112" spans="16:16">
      <c r="P9112" s="115"/>
    </row>
    <row r="9113" spans="16:16">
      <c r="P9113" s="115"/>
    </row>
    <row r="9114" spans="16:16">
      <c r="P9114" s="115"/>
    </row>
    <row r="9115" spans="16:16">
      <c r="P9115" s="115"/>
    </row>
    <row r="9116" spans="16:16">
      <c r="P9116" s="115"/>
    </row>
    <row r="9117" spans="16:16">
      <c r="P9117" s="115"/>
    </row>
    <row r="9118" spans="16:16">
      <c r="P9118" s="115"/>
    </row>
    <row r="9119" spans="16:16">
      <c r="P9119" s="115"/>
    </row>
    <row r="9120" spans="16:16">
      <c r="P9120" s="115"/>
    </row>
    <row r="9121" spans="16:16">
      <c r="P9121" s="115"/>
    </row>
    <row r="9122" spans="16:16">
      <c r="P9122" s="115"/>
    </row>
    <row r="9123" spans="16:16">
      <c r="P9123" s="115"/>
    </row>
    <row r="9124" spans="16:16">
      <c r="P9124" s="115"/>
    </row>
    <row r="9125" spans="16:16">
      <c r="P9125" s="115"/>
    </row>
    <row r="9126" spans="16:16">
      <c r="P9126" s="115"/>
    </row>
    <row r="9127" spans="16:16">
      <c r="P9127" s="115"/>
    </row>
    <row r="9128" spans="16:16">
      <c r="P9128" s="115"/>
    </row>
    <row r="9129" spans="16:16">
      <c r="P9129" s="115"/>
    </row>
    <row r="9130" spans="16:16">
      <c r="P9130" s="115"/>
    </row>
    <row r="9131" spans="16:16">
      <c r="P9131" s="115"/>
    </row>
    <row r="9132" spans="16:16">
      <c r="P9132" s="115"/>
    </row>
    <row r="9133" spans="16:16">
      <c r="P9133" s="115"/>
    </row>
    <row r="9134" spans="16:16">
      <c r="P9134" s="115"/>
    </row>
    <row r="9135" spans="16:16">
      <c r="P9135" s="115"/>
    </row>
    <row r="9136" spans="16:16">
      <c r="P9136" s="115"/>
    </row>
    <row r="9137" spans="16:16">
      <c r="P9137" s="115"/>
    </row>
    <row r="9138" spans="16:16">
      <c r="P9138" s="115"/>
    </row>
    <row r="9139" spans="16:16">
      <c r="P9139" s="115"/>
    </row>
    <row r="9140" spans="16:16">
      <c r="P9140" s="115"/>
    </row>
    <row r="9141" spans="16:16">
      <c r="P9141" s="115"/>
    </row>
    <row r="9142" spans="16:16">
      <c r="P9142" s="115"/>
    </row>
    <row r="9143" spans="16:16">
      <c r="P9143" s="115"/>
    </row>
    <row r="9144" spans="16:16">
      <c r="P9144" s="115"/>
    </row>
    <row r="9145" spans="16:16">
      <c r="P9145" s="115"/>
    </row>
    <row r="9146" spans="16:16">
      <c r="P9146" s="115"/>
    </row>
    <row r="9147" spans="16:16">
      <c r="P9147" s="115"/>
    </row>
    <row r="9148" spans="16:16">
      <c r="P9148" s="115"/>
    </row>
    <row r="9149" spans="16:16">
      <c r="P9149" s="115"/>
    </row>
    <row r="9150" spans="16:16">
      <c r="P9150" s="115"/>
    </row>
    <row r="9151" spans="16:16">
      <c r="P9151" s="115"/>
    </row>
    <row r="9152" spans="16:16">
      <c r="P9152" s="115"/>
    </row>
    <row r="9153" spans="16:16">
      <c r="P9153" s="115"/>
    </row>
    <row r="9154" spans="16:16">
      <c r="P9154" s="115"/>
    </row>
    <row r="9155" spans="16:16">
      <c r="P9155" s="115"/>
    </row>
    <row r="9156" spans="16:16">
      <c r="P9156" s="115"/>
    </row>
    <row r="9157" spans="16:16">
      <c r="P9157" s="115"/>
    </row>
    <row r="9158" spans="16:16">
      <c r="P9158" s="115"/>
    </row>
    <row r="9159" spans="16:16">
      <c r="P9159" s="115"/>
    </row>
    <row r="9160" spans="16:16">
      <c r="P9160" s="115"/>
    </row>
    <row r="9161" spans="16:16">
      <c r="P9161" s="115"/>
    </row>
    <row r="9162" spans="16:16">
      <c r="P9162" s="115"/>
    </row>
    <row r="9163" spans="16:16">
      <c r="P9163" s="115"/>
    </row>
    <row r="9164" spans="16:16">
      <c r="P9164" s="115"/>
    </row>
    <row r="9165" spans="16:16">
      <c r="P9165" s="115"/>
    </row>
    <row r="9166" spans="16:16">
      <c r="P9166" s="115"/>
    </row>
    <row r="9167" spans="16:16">
      <c r="P9167" s="115"/>
    </row>
    <row r="9168" spans="16:16">
      <c r="P9168" s="115"/>
    </row>
    <row r="9169" spans="16:16">
      <c r="P9169" s="115"/>
    </row>
    <row r="9170" spans="16:16">
      <c r="P9170" s="115"/>
    </row>
    <row r="9171" spans="16:16">
      <c r="P9171" s="115"/>
    </row>
    <row r="9172" spans="16:16">
      <c r="P9172" s="115"/>
    </row>
    <row r="9173" spans="16:16">
      <c r="P9173" s="115"/>
    </row>
    <row r="9174" spans="16:16">
      <c r="P9174" s="115"/>
    </row>
    <row r="9175" spans="16:16">
      <c r="P9175" s="115"/>
    </row>
    <row r="9176" spans="16:16">
      <c r="P9176" s="115"/>
    </row>
    <row r="9177" spans="16:16">
      <c r="P9177" s="115"/>
    </row>
    <row r="9178" spans="16:16">
      <c r="P9178" s="115"/>
    </row>
    <row r="9179" spans="16:16">
      <c r="P9179" s="115"/>
    </row>
    <row r="9180" spans="16:16">
      <c r="P9180" s="115"/>
    </row>
    <row r="9181" spans="16:16">
      <c r="P9181" s="115"/>
    </row>
    <row r="9182" spans="16:16">
      <c r="P9182" s="115"/>
    </row>
    <row r="9183" spans="16:16">
      <c r="P9183" s="115"/>
    </row>
    <row r="9184" spans="16:16">
      <c r="P9184" s="115"/>
    </row>
    <row r="9185" spans="16:16">
      <c r="P9185" s="115"/>
    </row>
    <row r="9186" spans="16:16">
      <c r="P9186" s="115"/>
    </row>
    <row r="9187" spans="16:16">
      <c r="P9187" s="115"/>
    </row>
    <row r="9188" spans="16:16">
      <c r="P9188" s="115"/>
    </row>
    <row r="9189" spans="16:16">
      <c r="P9189" s="115"/>
    </row>
    <row r="9190" spans="16:16">
      <c r="P9190" s="115"/>
    </row>
    <row r="9191" spans="16:16">
      <c r="P9191" s="115"/>
    </row>
    <row r="9192" spans="16:16">
      <c r="P9192" s="115"/>
    </row>
    <row r="9193" spans="16:16">
      <c r="P9193" s="115"/>
    </row>
    <row r="9194" spans="16:16">
      <c r="P9194" s="115"/>
    </row>
    <row r="9195" spans="16:16">
      <c r="P9195" s="115"/>
    </row>
    <row r="9196" spans="16:16">
      <c r="P9196" s="115"/>
    </row>
    <row r="9197" spans="16:16">
      <c r="P9197" s="115"/>
    </row>
    <row r="9198" spans="16:16">
      <c r="P9198" s="115"/>
    </row>
    <row r="9199" spans="16:16">
      <c r="P9199" s="115"/>
    </row>
    <row r="9200" spans="16:16">
      <c r="P9200" s="115"/>
    </row>
    <row r="9201" spans="16:16">
      <c r="P9201" s="115"/>
    </row>
    <row r="9202" spans="16:16">
      <c r="P9202" s="115"/>
    </row>
    <row r="9203" spans="16:16">
      <c r="P9203" s="115"/>
    </row>
    <row r="9204" spans="16:16">
      <c r="P9204" s="115"/>
    </row>
    <row r="9205" spans="16:16">
      <c r="P9205" s="115"/>
    </row>
    <row r="9206" spans="16:16">
      <c r="P9206" s="115"/>
    </row>
    <row r="9207" spans="16:16">
      <c r="P9207" s="115"/>
    </row>
    <row r="9208" spans="16:16">
      <c r="P9208" s="115"/>
    </row>
    <row r="9209" spans="16:16">
      <c r="P9209" s="115"/>
    </row>
    <row r="9210" spans="16:16">
      <c r="P9210" s="115"/>
    </row>
    <row r="9211" spans="16:16">
      <c r="P9211" s="115"/>
    </row>
    <row r="9212" spans="16:16">
      <c r="P9212" s="115"/>
    </row>
    <row r="9213" spans="16:16">
      <c r="P9213" s="115"/>
    </row>
    <row r="9214" spans="16:16">
      <c r="P9214" s="115"/>
    </row>
    <row r="9215" spans="16:16">
      <c r="P9215" s="115"/>
    </row>
    <row r="9216" spans="16:16">
      <c r="P9216" s="115"/>
    </row>
    <row r="9217" spans="16:16">
      <c r="P9217" s="115"/>
    </row>
    <row r="9218" spans="16:16">
      <c r="P9218" s="115"/>
    </row>
    <row r="9219" spans="16:16">
      <c r="P9219" s="115"/>
    </row>
    <row r="9220" spans="16:16">
      <c r="P9220" s="115"/>
    </row>
    <row r="9221" spans="16:16">
      <c r="P9221" s="115"/>
    </row>
    <row r="9222" spans="16:16">
      <c r="P9222" s="115"/>
    </row>
    <row r="9223" spans="16:16">
      <c r="P9223" s="115"/>
    </row>
    <row r="9224" spans="16:16">
      <c r="P9224" s="115"/>
    </row>
    <row r="9225" spans="16:16">
      <c r="P9225" s="115"/>
    </row>
    <row r="9226" spans="16:16">
      <c r="P9226" s="115"/>
    </row>
    <row r="9227" spans="16:16">
      <c r="P9227" s="115"/>
    </row>
    <row r="9228" spans="16:16">
      <c r="P9228" s="115"/>
    </row>
    <row r="9229" spans="16:16">
      <c r="P9229" s="115"/>
    </row>
    <row r="9230" spans="16:16">
      <c r="P9230" s="115"/>
    </row>
    <row r="9231" spans="16:16">
      <c r="P9231" s="115"/>
    </row>
    <row r="9232" spans="16:16">
      <c r="P9232" s="115"/>
    </row>
    <row r="9233" spans="16:16">
      <c r="P9233" s="115"/>
    </row>
    <row r="9234" spans="16:16">
      <c r="P9234" s="115"/>
    </row>
    <row r="9235" spans="16:16">
      <c r="P9235" s="115"/>
    </row>
    <row r="9236" spans="16:16">
      <c r="P9236" s="115"/>
    </row>
    <row r="9237" spans="16:16">
      <c r="P9237" s="115"/>
    </row>
    <row r="9238" spans="16:16">
      <c r="P9238" s="115"/>
    </row>
    <row r="9239" spans="16:16">
      <c r="P9239" s="115"/>
    </row>
    <row r="9240" spans="16:16">
      <c r="P9240" s="115"/>
    </row>
    <row r="9241" spans="16:16">
      <c r="P9241" s="115"/>
    </row>
    <row r="9242" spans="16:16">
      <c r="P9242" s="115"/>
    </row>
    <row r="9243" spans="16:16">
      <c r="P9243" s="115"/>
    </row>
    <row r="9244" spans="16:16">
      <c r="P9244" s="115"/>
    </row>
    <row r="9245" spans="16:16">
      <c r="P9245" s="115"/>
    </row>
    <row r="9246" spans="16:16">
      <c r="P9246" s="115"/>
    </row>
    <row r="9247" spans="16:16">
      <c r="P9247" s="115"/>
    </row>
    <row r="9248" spans="16:16">
      <c r="P9248" s="115"/>
    </row>
    <row r="9249" spans="16:16">
      <c r="P9249" s="115"/>
    </row>
    <row r="9250" spans="16:16">
      <c r="P9250" s="115"/>
    </row>
    <row r="9251" spans="16:16">
      <c r="P9251" s="115"/>
    </row>
    <row r="9252" spans="16:16">
      <c r="P9252" s="115"/>
    </row>
    <row r="9253" spans="16:16">
      <c r="P9253" s="115"/>
    </row>
    <row r="9254" spans="16:16">
      <c r="P9254" s="115"/>
    </row>
    <row r="9255" spans="16:16">
      <c r="P9255" s="115"/>
    </row>
    <row r="9256" spans="16:16">
      <c r="P9256" s="115"/>
    </row>
    <row r="9257" spans="16:16">
      <c r="P9257" s="115"/>
    </row>
    <row r="9258" spans="16:16">
      <c r="P9258" s="115"/>
    </row>
    <row r="9259" spans="16:16">
      <c r="P9259" s="115"/>
    </row>
    <row r="9260" spans="16:16">
      <c r="P9260" s="115"/>
    </row>
    <row r="9261" spans="16:16">
      <c r="P9261" s="115"/>
    </row>
    <row r="9262" spans="16:16">
      <c r="P9262" s="115"/>
    </row>
    <row r="9263" spans="16:16">
      <c r="P9263" s="115"/>
    </row>
    <row r="9264" spans="16:16">
      <c r="P9264" s="115"/>
    </row>
    <row r="9265" spans="16:16">
      <c r="P9265" s="115"/>
    </row>
    <row r="9266" spans="16:16">
      <c r="P9266" s="115"/>
    </row>
    <row r="9267" spans="16:16">
      <c r="P9267" s="115"/>
    </row>
    <row r="9268" spans="16:16">
      <c r="P9268" s="115"/>
    </row>
    <row r="9269" spans="16:16">
      <c r="P9269" s="115"/>
    </row>
    <row r="9270" spans="16:16">
      <c r="P9270" s="115"/>
    </row>
    <row r="9271" spans="16:16">
      <c r="P9271" s="115"/>
    </row>
    <row r="9272" spans="16:16">
      <c r="P9272" s="115"/>
    </row>
    <row r="9273" spans="16:16">
      <c r="P9273" s="115"/>
    </row>
    <row r="9274" spans="16:16">
      <c r="P9274" s="115"/>
    </row>
    <row r="9275" spans="16:16">
      <c r="P9275" s="115"/>
    </row>
    <row r="9276" spans="16:16">
      <c r="P9276" s="115"/>
    </row>
    <row r="9277" spans="16:16">
      <c r="P9277" s="115"/>
    </row>
    <row r="9278" spans="16:16">
      <c r="P9278" s="115"/>
    </row>
    <row r="9279" spans="16:16">
      <c r="P9279" s="115"/>
    </row>
    <row r="9280" spans="16:16">
      <c r="P9280" s="115"/>
    </row>
    <row r="9281" spans="16:16">
      <c r="P9281" s="115"/>
    </row>
    <row r="9282" spans="16:16">
      <c r="P9282" s="115"/>
    </row>
    <row r="9283" spans="16:16">
      <c r="P9283" s="115"/>
    </row>
    <row r="9284" spans="16:16">
      <c r="P9284" s="115"/>
    </row>
    <row r="9285" spans="16:16">
      <c r="P9285" s="115"/>
    </row>
    <row r="9286" spans="16:16">
      <c r="P9286" s="115"/>
    </row>
    <row r="9287" spans="16:16">
      <c r="P9287" s="115"/>
    </row>
    <row r="9288" spans="16:16">
      <c r="P9288" s="115"/>
    </row>
    <row r="9289" spans="16:16">
      <c r="P9289" s="115"/>
    </row>
    <row r="9290" spans="16:16">
      <c r="P9290" s="115"/>
    </row>
    <row r="9291" spans="16:16">
      <c r="P9291" s="115"/>
    </row>
    <row r="9292" spans="16:16">
      <c r="P9292" s="115"/>
    </row>
    <row r="9293" spans="16:16">
      <c r="P9293" s="115"/>
    </row>
    <row r="9294" spans="16:16">
      <c r="P9294" s="115"/>
    </row>
    <row r="9295" spans="16:16">
      <c r="P9295" s="115"/>
    </row>
    <row r="9296" spans="16:16">
      <c r="P9296" s="115"/>
    </row>
    <row r="9297" spans="16:16">
      <c r="P9297" s="115"/>
    </row>
    <row r="9298" spans="16:16">
      <c r="P9298" s="115"/>
    </row>
    <row r="9299" spans="16:16">
      <c r="P9299" s="115"/>
    </row>
    <row r="9300" spans="16:16">
      <c r="P9300" s="115"/>
    </row>
    <row r="9301" spans="16:16">
      <c r="P9301" s="115"/>
    </row>
    <row r="9302" spans="16:16">
      <c r="P9302" s="115"/>
    </row>
    <row r="9303" spans="16:16">
      <c r="P9303" s="115"/>
    </row>
    <row r="9304" spans="16:16">
      <c r="P9304" s="115"/>
    </row>
    <row r="9305" spans="16:16">
      <c r="P9305" s="115"/>
    </row>
    <row r="9306" spans="16:16">
      <c r="P9306" s="115"/>
    </row>
    <row r="9307" spans="16:16">
      <c r="P9307" s="115"/>
    </row>
    <row r="9308" spans="16:16">
      <c r="P9308" s="115"/>
    </row>
    <row r="9309" spans="16:16">
      <c r="P9309" s="115"/>
    </row>
    <row r="9310" spans="16:16">
      <c r="P9310" s="115"/>
    </row>
    <row r="9311" spans="16:16">
      <c r="P9311" s="115"/>
    </row>
    <row r="9312" spans="16:16">
      <c r="P9312" s="115"/>
    </row>
    <row r="9313" spans="16:16">
      <c r="P9313" s="115"/>
    </row>
    <row r="9314" spans="16:16">
      <c r="P9314" s="115"/>
    </row>
    <row r="9315" spans="16:16">
      <c r="P9315" s="115"/>
    </row>
    <row r="9316" spans="16:16">
      <c r="P9316" s="115"/>
    </row>
    <row r="9317" spans="16:16">
      <c r="P9317" s="115"/>
    </row>
    <row r="9318" spans="16:16">
      <c r="P9318" s="115"/>
    </row>
    <row r="9319" spans="16:16">
      <c r="P9319" s="115"/>
    </row>
    <row r="9320" spans="16:16">
      <c r="P9320" s="115"/>
    </row>
    <row r="9321" spans="16:16">
      <c r="P9321" s="115"/>
    </row>
    <row r="9322" spans="16:16">
      <c r="P9322" s="115"/>
    </row>
    <row r="9323" spans="16:16">
      <c r="P9323" s="115"/>
    </row>
    <row r="9324" spans="16:16">
      <c r="P9324" s="115"/>
    </row>
    <row r="9325" spans="16:16">
      <c r="P9325" s="115"/>
    </row>
    <row r="9326" spans="16:16">
      <c r="P9326" s="115"/>
    </row>
    <row r="9327" spans="16:16">
      <c r="P9327" s="115"/>
    </row>
    <row r="9328" spans="16:16">
      <c r="P9328" s="115"/>
    </row>
    <row r="9329" spans="16:16">
      <c r="P9329" s="115"/>
    </row>
    <row r="9330" spans="16:16">
      <c r="P9330" s="115"/>
    </row>
    <row r="9331" spans="16:16">
      <c r="P9331" s="115"/>
    </row>
    <row r="9332" spans="16:16">
      <c r="P9332" s="115"/>
    </row>
    <row r="9333" spans="16:16">
      <c r="P9333" s="115"/>
    </row>
    <row r="9334" spans="16:16">
      <c r="P9334" s="115"/>
    </row>
    <row r="9335" spans="16:16">
      <c r="P9335" s="115"/>
    </row>
    <row r="9336" spans="16:16">
      <c r="P9336" s="115"/>
    </row>
    <row r="9337" spans="16:16">
      <c r="P9337" s="115"/>
    </row>
    <row r="9338" spans="16:16">
      <c r="P9338" s="115"/>
    </row>
    <row r="9339" spans="16:16">
      <c r="P9339" s="115"/>
    </row>
    <row r="9340" spans="16:16">
      <c r="P9340" s="115"/>
    </row>
    <row r="9341" spans="16:16">
      <c r="P9341" s="115"/>
    </row>
    <row r="9342" spans="16:16">
      <c r="P9342" s="115"/>
    </row>
    <row r="9343" spans="16:16">
      <c r="P9343" s="115"/>
    </row>
    <row r="9344" spans="16:16">
      <c r="P9344" s="115"/>
    </row>
    <row r="9345" spans="16:16">
      <c r="P9345" s="115"/>
    </row>
    <row r="9346" spans="16:16">
      <c r="P9346" s="115"/>
    </row>
    <row r="9347" spans="16:16">
      <c r="P9347" s="115"/>
    </row>
    <row r="9348" spans="16:16">
      <c r="P9348" s="115"/>
    </row>
    <row r="9349" spans="16:16">
      <c r="P9349" s="115"/>
    </row>
    <row r="9350" spans="16:16">
      <c r="P9350" s="115"/>
    </row>
    <row r="9351" spans="16:16">
      <c r="P9351" s="115"/>
    </row>
    <row r="9352" spans="16:16">
      <c r="P9352" s="115"/>
    </row>
    <row r="9353" spans="16:16">
      <c r="P9353" s="115"/>
    </row>
    <row r="9354" spans="16:16">
      <c r="P9354" s="115"/>
    </row>
    <row r="9355" spans="16:16">
      <c r="P9355" s="115"/>
    </row>
    <row r="9356" spans="16:16">
      <c r="P9356" s="115"/>
    </row>
    <row r="9357" spans="16:16">
      <c r="P9357" s="115"/>
    </row>
    <row r="9358" spans="16:16">
      <c r="P9358" s="115"/>
    </row>
    <row r="9359" spans="16:16">
      <c r="P9359" s="115"/>
    </row>
    <row r="9360" spans="16:16">
      <c r="P9360" s="115"/>
    </row>
    <row r="9361" spans="16:16">
      <c r="P9361" s="115"/>
    </row>
    <row r="9362" spans="16:16">
      <c r="P9362" s="115"/>
    </row>
    <row r="9363" spans="16:16">
      <c r="P9363" s="115"/>
    </row>
    <row r="9364" spans="16:16">
      <c r="P9364" s="115"/>
    </row>
    <row r="9365" spans="16:16">
      <c r="P9365" s="115"/>
    </row>
    <row r="9366" spans="16:16">
      <c r="P9366" s="115"/>
    </row>
    <row r="9367" spans="16:16">
      <c r="P9367" s="115"/>
    </row>
    <row r="9368" spans="16:16">
      <c r="P9368" s="115"/>
    </row>
    <row r="9369" spans="16:16">
      <c r="P9369" s="115"/>
    </row>
    <row r="9370" spans="16:16">
      <c r="P9370" s="115"/>
    </row>
    <row r="9371" spans="16:16">
      <c r="P9371" s="115"/>
    </row>
    <row r="9372" spans="16:16">
      <c r="P9372" s="115"/>
    </row>
    <row r="9373" spans="16:16">
      <c r="P9373" s="115"/>
    </row>
    <row r="9374" spans="16:16">
      <c r="P9374" s="115"/>
    </row>
    <row r="9375" spans="16:16">
      <c r="P9375" s="115"/>
    </row>
    <row r="9376" spans="16:16">
      <c r="P9376" s="115"/>
    </row>
    <row r="9377" spans="16:16">
      <c r="P9377" s="115"/>
    </row>
    <row r="9378" spans="16:16">
      <c r="P9378" s="115"/>
    </row>
    <row r="9379" spans="16:16">
      <c r="P9379" s="115"/>
    </row>
    <row r="9380" spans="16:16">
      <c r="P9380" s="115"/>
    </row>
    <row r="9381" spans="16:16">
      <c r="P9381" s="115"/>
    </row>
    <row r="9382" spans="16:16">
      <c r="P9382" s="115"/>
    </row>
    <row r="9383" spans="16:16">
      <c r="P9383" s="115"/>
    </row>
    <row r="9384" spans="16:16">
      <c r="P9384" s="115"/>
    </row>
    <row r="9385" spans="16:16">
      <c r="P9385" s="115"/>
    </row>
    <row r="9386" spans="16:16">
      <c r="P9386" s="115"/>
    </row>
    <row r="9387" spans="16:16">
      <c r="P9387" s="115"/>
    </row>
    <row r="9388" spans="16:16">
      <c r="P9388" s="115"/>
    </row>
    <row r="9389" spans="16:16">
      <c r="P9389" s="115"/>
    </row>
    <row r="9390" spans="16:16">
      <c r="P9390" s="115"/>
    </row>
    <row r="9391" spans="16:16">
      <c r="P9391" s="115"/>
    </row>
    <row r="9392" spans="16:16">
      <c r="P9392" s="115"/>
    </row>
    <row r="9393" spans="16:16">
      <c r="P9393" s="115"/>
    </row>
    <row r="9394" spans="16:16">
      <c r="P9394" s="115"/>
    </row>
    <row r="9395" spans="16:16">
      <c r="P9395" s="115"/>
    </row>
    <row r="9396" spans="16:16">
      <c r="P9396" s="115"/>
    </row>
    <row r="9397" spans="16:16">
      <c r="P9397" s="115"/>
    </row>
    <row r="9398" spans="16:16">
      <c r="P9398" s="115"/>
    </row>
    <row r="9399" spans="16:16">
      <c r="P9399" s="115"/>
    </row>
    <row r="9400" spans="16:16">
      <c r="P9400" s="115"/>
    </row>
    <row r="9401" spans="16:16">
      <c r="P9401" s="115"/>
    </row>
    <row r="9402" spans="16:16">
      <c r="P9402" s="115"/>
    </row>
    <row r="9403" spans="16:16">
      <c r="P9403" s="115"/>
    </row>
    <row r="9404" spans="16:16">
      <c r="P9404" s="115"/>
    </row>
    <row r="9405" spans="16:16">
      <c r="P9405" s="115"/>
    </row>
    <row r="9406" spans="16:16">
      <c r="P9406" s="115"/>
    </row>
    <row r="9407" spans="16:16">
      <c r="P9407" s="115"/>
    </row>
    <row r="9408" spans="16:16">
      <c r="P9408" s="115"/>
    </row>
    <row r="9409" spans="16:16">
      <c r="P9409" s="115"/>
    </row>
    <row r="9410" spans="16:16">
      <c r="P9410" s="115"/>
    </row>
    <row r="9411" spans="16:16">
      <c r="P9411" s="115"/>
    </row>
    <row r="9412" spans="16:16">
      <c r="P9412" s="115"/>
    </row>
    <row r="9413" spans="16:16">
      <c r="P9413" s="115"/>
    </row>
    <row r="9414" spans="16:16">
      <c r="P9414" s="115"/>
    </row>
    <row r="9415" spans="16:16">
      <c r="P9415" s="115"/>
    </row>
    <row r="9416" spans="16:16">
      <c r="P9416" s="115"/>
    </row>
    <row r="9417" spans="16:16">
      <c r="P9417" s="115"/>
    </row>
    <row r="9418" spans="16:16">
      <c r="P9418" s="115"/>
    </row>
    <row r="9419" spans="16:16">
      <c r="P9419" s="115"/>
    </row>
    <row r="9420" spans="16:16">
      <c r="P9420" s="115"/>
    </row>
    <row r="9421" spans="16:16">
      <c r="P9421" s="115"/>
    </row>
    <row r="9422" spans="16:16">
      <c r="P9422" s="115"/>
    </row>
    <row r="9423" spans="16:16">
      <c r="P9423" s="115"/>
    </row>
    <row r="9424" spans="16:16">
      <c r="P9424" s="115"/>
    </row>
    <row r="9425" spans="16:16">
      <c r="P9425" s="115"/>
    </row>
    <row r="9426" spans="16:16">
      <c r="P9426" s="115"/>
    </row>
    <row r="9427" spans="16:16">
      <c r="P9427" s="115"/>
    </row>
    <row r="9428" spans="16:16">
      <c r="P9428" s="115"/>
    </row>
    <row r="9429" spans="16:16">
      <c r="P9429" s="115"/>
    </row>
    <row r="9430" spans="16:16">
      <c r="P9430" s="115"/>
    </row>
    <row r="9431" spans="16:16">
      <c r="P9431" s="115"/>
    </row>
    <row r="9432" spans="16:16">
      <c r="P9432" s="115"/>
    </row>
    <row r="9433" spans="16:16">
      <c r="P9433" s="115"/>
    </row>
    <row r="9434" spans="16:16">
      <c r="P9434" s="115"/>
    </row>
    <row r="9435" spans="16:16">
      <c r="P9435" s="115"/>
    </row>
    <row r="9436" spans="16:16">
      <c r="P9436" s="115"/>
    </row>
    <row r="9437" spans="16:16">
      <c r="P9437" s="115"/>
    </row>
    <row r="9438" spans="16:16">
      <c r="P9438" s="115"/>
    </row>
    <row r="9439" spans="16:16">
      <c r="P9439" s="115"/>
    </row>
    <row r="9440" spans="16:16">
      <c r="P9440" s="115"/>
    </row>
    <row r="9441" spans="16:16">
      <c r="P9441" s="115"/>
    </row>
    <row r="9442" spans="16:16">
      <c r="P9442" s="115"/>
    </row>
    <row r="9443" spans="16:16">
      <c r="P9443" s="115"/>
    </row>
    <row r="9444" spans="16:16">
      <c r="P9444" s="115"/>
    </row>
    <row r="9445" spans="16:16">
      <c r="P9445" s="115"/>
    </row>
    <row r="9446" spans="16:16">
      <c r="P9446" s="115"/>
    </row>
    <row r="9447" spans="16:16">
      <c r="P9447" s="115"/>
    </row>
    <row r="9448" spans="16:16">
      <c r="P9448" s="115"/>
    </row>
    <row r="9449" spans="16:16">
      <c r="P9449" s="115"/>
    </row>
    <row r="9450" spans="16:16">
      <c r="P9450" s="115"/>
    </row>
    <row r="9451" spans="16:16">
      <c r="P9451" s="115"/>
    </row>
    <row r="9452" spans="16:16">
      <c r="P9452" s="115"/>
    </row>
    <row r="9453" spans="16:16">
      <c r="P9453" s="115"/>
    </row>
    <row r="9454" spans="16:16">
      <c r="P9454" s="115"/>
    </row>
    <row r="9455" spans="16:16">
      <c r="P9455" s="115"/>
    </row>
    <row r="9456" spans="16:16">
      <c r="P9456" s="115"/>
    </row>
    <row r="9457" spans="16:16">
      <c r="P9457" s="115"/>
    </row>
    <row r="9458" spans="16:16">
      <c r="P9458" s="115"/>
    </row>
    <row r="9459" spans="16:16">
      <c r="P9459" s="115"/>
    </row>
    <row r="9460" spans="16:16">
      <c r="P9460" s="115"/>
    </row>
    <row r="9461" spans="16:16">
      <c r="P9461" s="115"/>
    </row>
    <row r="9462" spans="16:16">
      <c r="P9462" s="115"/>
    </row>
    <row r="9463" spans="16:16">
      <c r="P9463" s="115"/>
    </row>
    <row r="9464" spans="16:16">
      <c r="P9464" s="115"/>
    </row>
    <row r="9465" spans="16:16">
      <c r="P9465" s="115"/>
    </row>
    <row r="9466" spans="16:16">
      <c r="P9466" s="115"/>
    </row>
    <row r="9467" spans="16:16">
      <c r="P9467" s="115"/>
    </row>
    <row r="9468" spans="16:16">
      <c r="P9468" s="115"/>
    </row>
    <row r="9469" spans="16:16">
      <c r="P9469" s="115"/>
    </row>
    <row r="9470" spans="16:16">
      <c r="P9470" s="115"/>
    </row>
    <row r="9471" spans="16:16">
      <c r="P9471" s="115"/>
    </row>
    <row r="9472" spans="16:16">
      <c r="P9472" s="115"/>
    </row>
    <row r="9473" spans="16:16">
      <c r="P9473" s="115"/>
    </row>
    <row r="9474" spans="16:16">
      <c r="P9474" s="115"/>
    </row>
    <row r="9475" spans="16:16">
      <c r="P9475" s="115"/>
    </row>
    <row r="9476" spans="16:16">
      <c r="P9476" s="115"/>
    </row>
    <row r="9477" spans="16:16">
      <c r="P9477" s="115"/>
    </row>
    <row r="9478" spans="16:16">
      <c r="P9478" s="115"/>
    </row>
    <row r="9479" spans="16:16">
      <c r="P9479" s="115"/>
    </row>
    <row r="9480" spans="16:16">
      <c r="P9480" s="115"/>
    </row>
    <row r="9481" spans="16:16">
      <c r="P9481" s="115"/>
    </row>
    <row r="9482" spans="16:16">
      <c r="P9482" s="115"/>
    </row>
    <row r="9483" spans="16:16">
      <c r="P9483" s="115"/>
    </row>
    <row r="9484" spans="16:16">
      <c r="P9484" s="115"/>
    </row>
    <row r="9485" spans="16:16">
      <c r="P9485" s="115"/>
    </row>
    <row r="9486" spans="16:16">
      <c r="P9486" s="115"/>
    </row>
    <row r="9487" spans="16:16">
      <c r="P9487" s="115"/>
    </row>
    <row r="9488" spans="16:16">
      <c r="P9488" s="115"/>
    </row>
    <row r="9489" spans="16:16">
      <c r="P9489" s="115"/>
    </row>
    <row r="9490" spans="16:16">
      <c r="P9490" s="115"/>
    </row>
    <row r="9491" spans="16:16">
      <c r="P9491" s="115"/>
    </row>
    <row r="9492" spans="16:16">
      <c r="P9492" s="115"/>
    </row>
    <row r="9493" spans="16:16">
      <c r="P9493" s="115"/>
    </row>
    <row r="9494" spans="16:16">
      <c r="P9494" s="115"/>
    </row>
    <row r="9495" spans="16:16">
      <c r="P9495" s="115"/>
    </row>
    <row r="9496" spans="16:16">
      <c r="P9496" s="115"/>
    </row>
    <row r="9497" spans="16:16">
      <c r="P9497" s="115"/>
    </row>
    <row r="9498" spans="16:16">
      <c r="P9498" s="115"/>
    </row>
    <row r="9499" spans="16:16">
      <c r="P9499" s="115"/>
    </row>
    <row r="9500" spans="16:16">
      <c r="P9500" s="115"/>
    </row>
    <row r="9501" spans="16:16">
      <c r="P9501" s="115"/>
    </row>
    <row r="9502" spans="16:16">
      <c r="P9502" s="115"/>
    </row>
    <row r="9503" spans="16:16">
      <c r="P9503" s="115"/>
    </row>
    <row r="9504" spans="16:16">
      <c r="P9504" s="115"/>
    </row>
    <row r="9505" spans="16:16">
      <c r="P9505" s="115"/>
    </row>
    <row r="9506" spans="16:16">
      <c r="P9506" s="115"/>
    </row>
    <row r="9507" spans="16:16">
      <c r="P9507" s="115"/>
    </row>
    <row r="9508" spans="16:16">
      <c r="P9508" s="115"/>
    </row>
    <row r="9509" spans="16:16">
      <c r="P9509" s="115"/>
    </row>
    <row r="9510" spans="16:16">
      <c r="P9510" s="115"/>
    </row>
    <row r="9511" spans="16:16">
      <c r="P9511" s="115"/>
    </row>
    <row r="9512" spans="16:16">
      <c r="P9512" s="115"/>
    </row>
    <row r="9513" spans="16:16">
      <c r="P9513" s="115"/>
    </row>
    <row r="9514" spans="16:16">
      <c r="P9514" s="115"/>
    </row>
    <row r="9515" spans="16:16">
      <c r="P9515" s="115"/>
    </row>
    <row r="9516" spans="16:16">
      <c r="P9516" s="115"/>
    </row>
    <row r="9517" spans="16:16">
      <c r="P9517" s="115"/>
    </row>
    <row r="9518" spans="16:16">
      <c r="P9518" s="115"/>
    </row>
    <row r="9519" spans="16:16">
      <c r="P9519" s="115"/>
    </row>
    <row r="9520" spans="16:16">
      <c r="P9520" s="115"/>
    </row>
    <row r="9521" spans="16:16">
      <c r="P9521" s="115"/>
    </row>
    <row r="9522" spans="16:16">
      <c r="P9522" s="115"/>
    </row>
    <row r="9523" spans="16:16">
      <c r="P9523" s="115"/>
    </row>
    <row r="9524" spans="16:16">
      <c r="P9524" s="115"/>
    </row>
    <row r="9525" spans="16:16">
      <c r="P9525" s="115"/>
    </row>
    <row r="9526" spans="16:16">
      <c r="P9526" s="115"/>
    </row>
    <row r="9527" spans="16:16">
      <c r="P9527" s="115"/>
    </row>
    <row r="9528" spans="16:16">
      <c r="P9528" s="115"/>
    </row>
    <row r="9529" spans="16:16">
      <c r="P9529" s="115"/>
    </row>
    <row r="9530" spans="16:16">
      <c r="P9530" s="115"/>
    </row>
    <row r="9531" spans="16:16">
      <c r="P9531" s="115"/>
    </row>
    <row r="9532" spans="16:16">
      <c r="P9532" s="115"/>
    </row>
    <row r="9533" spans="16:16">
      <c r="P9533" s="115"/>
    </row>
    <row r="9534" spans="16:16">
      <c r="P9534" s="115"/>
    </row>
    <row r="9535" spans="16:16">
      <c r="P9535" s="115"/>
    </row>
    <row r="9536" spans="16:16">
      <c r="P9536" s="115"/>
    </row>
    <row r="9537" spans="16:16">
      <c r="P9537" s="115"/>
    </row>
    <row r="9538" spans="16:16">
      <c r="P9538" s="115"/>
    </row>
    <row r="9539" spans="16:16">
      <c r="P9539" s="115"/>
    </row>
    <row r="9540" spans="16:16">
      <c r="P9540" s="115"/>
    </row>
    <row r="9541" spans="16:16">
      <c r="P9541" s="115"/>
    </row>
    <row r="9542" spans="16:16">
      <c r="P9542" s="115"/>
    </row>
    <row r="9543" spans="16:16">
      <c r="P9543" s="115"/>
    </row>
    <row r="9544" spans="16:16">
      <c r="P9544" s="115"/>
    </row>
    <row r="9545" spans="16:16">
      <c r="P9545" s="115"/>
    </row>
    <row r="9546" spans="16:16">
      <c r="P9546" s="115"/>
    </row>
    <row r="9547" spans="16:16">
      <c r="P9547" s="115"/>
    </row>
    <row r="9548" spans="16:16">
      <c r="P9548" s="115"/>
    </row>
    <row r="9549" spans="16:16">
      <c r="P9549" s="115"/>
    </row>
    <row r="9550" spans="16:16">
      <c r="P9550" s="115"/>
    </row>
    <row r="9551" spans="16:16">
      <c r="P9551" s="115"/>
    </row>
    <row r="9552" spans="16:16">
      <c r="P9552" s="115"/>
    </row>
    <row r="9553" spans="16:16">
      <c r="P9553" s="115"/>
    </row>
    <row r="9554" spans="16:16">
      <c r="P9554" s="115"/>
    </row>
    <row r="9555" spans="16:16">
      <c r="P9555" s="115"/>
    </row>
    <row r="9556" spans="16:16">
      <c r="P9556" s="115"/>
    </row>
    <row r="9557" spans="16:16">
      <c r="P9557" s="115"/>
    </row>
    <row r="9558" spans="16:16">
      <c r="P9558" s="115"/>
    </row>
    <row r="9559" spans="16:16">
      <c r="P9559" s="115"/>
    </row>
    <row r="9560" spans="16:16">
      <c r="P9560" s="115"/>
    </row>
    <row r="9561" spans="16:16">
      <c r="P9561" s="115"/>
    </row>
    <row r="9562" spans="16:16">
      <c r="P9562" s="115"/>
    </row>
    <row r="9563" spans="16:16">
      <c r="P9563" s="115"/>
    </row>
    <row r="9564" spans="16:16">
      <c r="P9564" s="115"/>
    </row>
    <row r="9565" spans="16:16">
      <c r="P9565" s="115"/>
    </row>
    <row r="9566" spans="16:16">
      <c r="P9566" s="115"/>
    </row>
    <row r="9567" spans="16:16">
      <c r="P9567" s="115"/>
    </row>
    <row r="9568" spans="16:16">
      <c r="P9568" s="115"/>
    </row>
    <row r="9569" spans="16:16">
      <c r="P9569" s="115"/>
    </row>
    <row r="9570" spans="16:16">
      <c r="P9570" s="115"/>
    </row>
    <row r="9571" spans="16:16">
      <c r="P9571" s="115"/>
    </row>
    <row r="9572" spans="16:16">
      <c r="P9572" s="115"/>
    </row>
    <row r="9573" spans="16:16">
      <c r="P9573" s="115"/>
    </row>
    <row r="9574" spans="16:16">
      <c r="P9574" s="115"/>
    </row>
    <row r="9575" spans="16:16">
      <c r="P9575" s="115"/>
    </row>
    <row r="9576" spans="16:16">
      <c r="P9576" s="115"/>
    </row>
    <row r="9577" spans="16:16">
      <c r="P9577" s="115"/>
    </row>
    <row r="9578" spans="16:16">
      <c r="P9578" s="115"/>
    </row>
    <row r="9579" spans="16:16">
      <c r="P9579" s="115"/>
    </row>
    <row r="9580" spans="16:16">
      <c r="P9580" s="115"/>
    </row>
    <row r="9581" spans="16:16">
      <c r="P9581" s="115"/>
    </row>
    <row r="9582" spans="16:16">
      <c r="P9582" s="115"/>
    </row>
    <row r="9583" spans="16:16">
      <c r="P9583" s="115"/>
    </row>
    <row r="9584" spans="16:16">
      <c r="P9584" s="115"/>
    </row>
    <row r="9585" spans="16:16">
      <c r="P9585" s="115"/>
    </row>
    <row r="9586" spans="16:16">
      <c r="P9586" s="115"/>
    </row>
    <row r="9587" spans="16:16">
      <c r="P9587" s="115"/>
    </row>
    <row r="9588" spans="16:16">
      <c r="P9588" s="115"/>
    </row>
    <row r="9589" spans="16:16">
      <c r="P9589" s="115"/>
    </row>
    <row r="9590" spans="16:16">
      <c r="P9590" s="115"/>
    </row>
    <row r="9591" spans="16:16">
      <c r="P9591" s="115"/>
    </row>
    <row r="9592" spans="16:16">
      <c r="P9592" s="115"/>
    </row>
    <row r="9593" spans="16:16">
      <c r="P9593" s="115"/>
    </row>
    <row r="9594" spans="16:16">
      <c r="P9594" s="115"/>
    </row>
    <row r="9595" spans="16:16">
      <c r="P9595" s="115"/>
    </row>
    <row r="9596" spans="16:16">
      <c r="P9596" s="115"/>
    </row>
    <row r="9597" spans="16:16">
      <c r="P9597" s="115"/>
    </row>
    <row r="9598" spans="16:16">
      <c r="P9598" s="115"/>
    </row>
    <row r="9599" spans="16:16">
      <c r="P9599" s="115"/>
    </row>
    <row r="9600" spans="16:16">
      <c r="P9600" s="115"/>
    </row>
    <row r="9601" spans="16:16">
      <c r="P9601" s="115"/>
    </row>
    <row r="9602" spans="16:16">
      <c r="P9602" s="115"/>
    </row>
    <row r="9603" spans="16:16">
      <c r="P9603" s="115"/>
    </row>
    <row r="9604" spans="16:16">
      <c r="P9604" s="115"/>
    </row>
    <row r="9605" spans="16:16">
      <c r="P9605" s="115"/>
    </row>
    <row r="9606" spans="16:16">
      <c r="P9606" s="115"/>
    </row>
    <row r="9607" spans="16:16">
      <c r="P9607" s="115"/>
    </row>
    <row r="9608" spans="16:16">
      <c r="P9608" s="115"/>
    </row>
    <row r="9609" spans="16:16">
      <c r="P9609" s="115"/>
    </row>
    <row r="9610" spans="16:16">
      <c r="P9610" s="115"/>
    </row>
    <row r="9611" spans="16:16">
      <c r="P9611" s="115"/>
    </row>
    <row r="9612" spans="16:16">
      <c r="P9612" s="115"/>
    </row>
    <row r="9613" spans="16:16">
      <c r="P9613" s="115"/>
    </row>
    <row r="9614" spans="16:16">
      <c r="P9614" s="115"/>
    </row>
    <row r="9615" spans="16:16">
      <c r="P9615" s="115"/>
    </row>
    <row r="9616" spans="16:16">
      <c r="P9616" s="115"/>
    </row>
    <row r="9617" spans="16:16">
      <c r="P9617" s="115"/>
    </row>
    <row r="9618" spans="16:16">
      <c r="P9618" s="115"/>
    </row>
    <row r="9619" spans="16:16">
      <c r="P9619" s="115"/>
    </row>
    <row r="9620" spans="16:16">
      <c r="P9620" s="115"/>
    </row>
    <row r="9621" spans="16:16">
      <c r="P9621" s="115"/>
    </row>
    <row r="9622" spans="16:16">
      <c r="P9622" s="115"/>
    </row>
    <row r="9623" spans="16:16">
      <c r="P9623" s="115"/>
    </row>
    <row r="9624" spans="16:16">
      <c r="P9624" s="115"/>
    </row>
    <row r="9625" spans="16:16">
      <c r="P9625" s="115"/>
    </row>
    <row r="9626" spans="16:16">
      <c r="P9626" s="115"/>
    </row>
    <row r="9627" spans="16:16">
      <c r="P9627" s="115"/>
    </row>
    <row r="9628" spans="16:16">
      <c r="P9628" s="115"/>
    </row>
    <row r="9629" spans="16:16">
      <c r="P9629" s="115"/>
    </row>
    <row r="9630" spans="16:16">
      <c r="P9630" s="115"/>
    </row>
    <row r="9631" spans="16:16">
      <c r="P9631" s="115"/>
    </row>
    <row r="9632" spans="16:16">
      <c r="P9632" s="115"/>
    </row>
    <row r="9633" spans="16:16">
      <c r="P9633" s="115"/>
    </row>
    <row r="9634" spans="16:16">
      <c r="P9634" s="115"/>
    </row>
    <row r="9635" spans="16:16">
      <c r="P9635" s="115"/>
    </row>
    <row r="9636" spans="16:16">
      <c r="P9636" s="115"/>
    </row>
    <row r="9637" spans="16:16">
      <c r="P9637" s="115"/>
    </row>
    <row r="9638" spans="16:16">
      <c r="P9638" s="115"/>
    </row>
    <row r="9639" spans="16:16">
      <c r="P9639" s="115"/>
    </row>
    <row r="9640" spans="16:16">
      <c r="P9640" s="115"/>
    </row>
    <row r="9641" spans="16:16">
      <c r="P9641" s="115"/>
    </row>
    <row r="9642" spans="16:16">
      <c r="P9642" s="115"/>
    </row>
    <row r="9643" spans="16:16">
      <c r="P9643" s="115"/>
    </row>
    <row r="9644" spans="16:16">
      <c r="P9644" s="115"/>
    </row>
    <row r="9645" spans="16:16">
      <c r="P9645" s="115"/>
    </row>
    <row r="9646" spans="16:16">
      <c r="P9646" s="115"/>
    </row>
    <row r="9647" spans="16:16">
      <c r="P9647" s="115"/>
    </row>
    <row r="9648" spans="16:16">
      <c r="P9648" s="115"/>
    </row>
    <row r="9649" spans="16:16">
      <c r="P9649" s="115"/>
    </row>
    <row r="9650" spans="16:16">
      <c r="P9650" s="115"/>
    </row>
    <row r="9651" spans="16:16">
      <c r="P9651" s="115"/>
    </row>
    <row r="9652" spans="16:16">
      <c r="P9652" s="115"/>
    </row>
    <row r="9653" spans="16:16">
      <c r="P9653" s="115"/>
    </row>
    <row r="9654" spans="16:16">
      <c r="P9654" s="115"/>
    </row>
    <row r="9655" spans="16:16">
      <c r="P9655" s="115"/>
    </row>
    <row r="9656" spans="16:16">
      <c r="P9656" s="115"/>
    </row>
    <row r="9657" spans="16:16">
      <c r="P9657" s="115"/>
    </row>
    <row r="9658" spans="16:16">
      <c r="P9658" s="115"/>
    </row>
    <row r="9659" spans="16:16">
      <c r="P9659" s="115"/>
    </row>
    <row r="9660" spans="16:16">
      <c r="P9660" s="115"/>
    </row>
    <row r="9661" spans="16:16">
      <c r="P9661" s="115"/>
    </row>
    <row r="9662" spans="16:16">
      <c r="P9662" s="115"/>
    </row>
    <row r="9663" spans="16:16">
      <c r="P9663" s="115"/>
    </row>
    <row r="9664" spans="16:16">
      <c r="P9664" s="115"/>
    </row>
    <row r="9665" spans="16:16">
      <c r="P9665" s="115"/>
    </row>
    <row r="9666" spans="16:16">
      <c r="P9666" s="115"/>
    </row>
    <row r="9667" spans="16:16">
      <c r="P9667" s="115"/>
    </row>
    <row r="9668" spans="16:16">
      <c r="P9668" s="115"/>
    </row>
    <row r="9669" spans="16:16">
      <c r="P9669" s="115"/>
    </row>
    <row r="9670" spans="16:16">
      <c r="P9670" s="115"/>
    </row>
    <row r="9671" spans="16:16">
      <c r="P9671" s="115"/>
    </row>
    <row r="9672" spans="16:16">
      <c r="P9672" s="115"/>
    </row>
    <row r="9673" spans="16:16">
      <c r="P9673" s="115"/>
    </row>
    <row r="9674" spans="16:16">
      <c r="P9674" s="115"/>
    </row>
    <row r="9675" spans="16:16">
      <c r="P9675" s="115"/>
    </row>
    <row r="9676" spans="16:16">
      <c r="P9676" s="115"/>
    </row>
    <row r="9677" spans="16:16">
      <c r="P9677" s="115"/>
    </row>
    <row r="9678" spans="16:16">
      <c r="P9678" s="115"/>
    </row>
    <row r="9679" spans="16:16">
      <c r="P9679" s="115"/>
    </row>
    <row r="9680" spans="16:16">
      <c r="P9680" s="115"/>
    </row>
    <row r="9681" spans="16:16">
      <c r="P9681" s="115"/>
    </row>
    <row r="9682" spans="16:16">
      <c r="P9682" s="115"/>
    </row>
    <row r="9683" spans="16:16">
      <c r="P9683" s="115"/>
    </row>
    <row r="9684" spans="16:16">
      <c r="P9684" s="115"/>
    </row>
    <row r="9685" spans="16:16">
      <c r="P9685" s="115"/>
    </row>
    <row r="9686" spans="16:16">
      <c r="P9686" s="115"/>
    </row>
    <row r="9687" spans="16:16">
      <c r="P9687" s="115"/>
    </row>
    <row r="9688" spans="16:16">
      <c r="P9688" s="115"/>
    </row>
    <row r="9689" spans="16:16">
      <c r="P9689" s="115"/>
    </row>
    <row r="9690" spans="16:16">
      <c r="P9690" s="115"/>
    </row>
    <row r="9691" spans="16:16">
      <c r="P9691" s="115"/>
    </row>
    <row r="9692" spans="16:16">
      <c r="P9692" s="115"/>
    </row>
    <row r="9693" spans="16:16">
      <c r="P9693" s="115"/>
    </row>
    <row r="9694" spans="16:16">
      <c r="P9694" s="115"/>
    </row>
    <row r="9695" spans="16:16">
      <c r="P9695" s="115"/>
    </row>
    <row r="9696" spans="16:16">
      <c r="P9696" s="115"/>
    </row>
    <row r="9697" spans="16:16">
      <c r="P9697" s="115"/>
    </row>
    <row r="9698" spans="16:16">
      <c r="P9698" s="115"/>
    </row>
    <row r="9699" spans="16:16">
      <c r="P9699" s="115"/>
    </row>
    <row r="9700" spans="16:16">
      <c r="P9700" s="115"/>
    </row>
    <row r="9701" spans="16:16">
      <c r="P9701" s="115"/>
    </row>
    <row r="9702" spans="16:16">
      <c r="P9702" s="115"/>
    </row>
    <row r="9703" spans="16:16">
      <c r="P9703" s="115"/>
    </row>
    <row r="9704" spans="16:16">
      <c r="P9704" s="115"/>
    </row>
    <row r="9705" spans="16:16">
      <c r="P9705" s="115"/>
    </row>
    <row r="9706" spans="16:16">
      <c r="P9706" s="115"/>
    </row>
    <row r="9707" spans="16:16">
      <c r="P9707" s="115"/>
    </row>
    <row r="9708" spans="16:16">
      <c r="P9708" s="115"/>
    </row>
    <row r="9709" spans="16:16">
      <c r="P9709" s="115"/>
    </row>
    <row r="9710" spans="16:16">
      <c r="P9710" s="115"/>
    </row>
    <row r="9711" spans="16:16">
      <c r="P9711" s="115"/>
    </row>
    <row r="9712" spans="16:16">
      <c r="P9712" s="115"/>
    </row>
    <row r="9713" spans="16:16">
      <c r="P9713" s="115"/>
    </row>
    <row r="9714" spans="16:16">
      <c r="P9714" s="115"/>
    </row>
    <row r="9715" spans="16:16">
      <c r="P9715" s="115"/>
    </row>
    <row r="9716" spans="16:16">
      <c r="P9716" s="115"/>
    </row>
    <row r="9717" spans="16:16">
      <c r="P9717" s="115"/>
    </row>
    <row r="9718" spans="16:16">
      <c r="P9718" s="115"/>
    </row>
    <row r="9719" spans="16:16">
      <c r="P9719" s="115"/>
    </row>
    <row r="9720" spans="16:16">
      <c r="P9720" s="115"/>
    </row>
    <row r="9721" spans="16:16">
      <c r="P9721" s="115"/>
    </row>
    <row r="9722" spans="16:16">
      <c r="P9722" s="115"/>
    </row>
    <row r="9723" spans="16:16">
      <c r="P9723" s="115"/>
    </row>
    <row r="9724" spans="16:16">
      <c r="P9724" s="115"/>
    </row>
    <row r="9725" spans="16:16">
      <c r="P9725" s="115"/>
    </row>
    <row r="9726" spans="16:16">
      <c r="P9726" s="115"/>
    </row>
    <row r="9727" spans="16:16">
      <c r="P9727" s="115"/>
    </row>
    <row r="9728" spans="16:16">
      <c r="P9728" s="115"/>
    </row>
    <row r="9729" spans="16:16">
      <c r="P9729" s="115"/>
    </row>
    <row r="9730" spans="16:16">
      <c r="P9730" s="115"/>
    </row>
    <row r="9731" spans="16:16">
      <c r="P9731" s="115"/>
    </row>
    <row r="9732" spans="16:16">
      <c r="P9732" s="115"/>
    </row>
    <row r="9733" spans="16:16">
      <c r="P9733" s="115"/>
    </row>
    <row r="9734" spans="16:16">
      <c r="P9734" s="115"/>
    </row>
    <row r="9735" spans="16:16">
      <c r="P9735" s="115"/>
    </row>
    <row r="9736" spans="16:16">
      <c r="P9736" s="115"/>
    </row>
    <row r="9737" spans="16:16">
      <c r="P9737" s="115"/>
    </row>
    <row r="9738" spans="16:16">
      <c r="P9738" s="115"/>
    </row>
    <row r="9739" spans="16:16">
      <c r="P9739" s="115"/>
    </row>
    <row r="9740" spans="16:16">
      <c r="P9740" s="115"/>
    </row>
    <row r="9741" spans="16:16">
      <c r="P9741" s="115"/>
    </row>
    <row r="9742" spans="16:16">
      <c r="P9742" s="115"/>
    </row>
    <row r="9743" spans="16:16">
      <c r="P9743" s="115"/>
    </row>
    <row r="9744" spans="16:16">
      <c r="P9744" s="115"/>
    </row>
    <row r="9745" spans="16:16">
      <c r="P9745" s="115"/>
    </row>
    <row r="9746" spans="16:16">
      <c r="P9746" s="115"/>
    </row>
    <row r="9747" spans="16:16">
      <c r="P9747" s="115"/>
    </row>
    <row r="9748" spans="16:16">
      <c r="P9748" s="115"/>
    </row>
    <row r="9749" spans="16:16">
      <c r="P9749" s="115"/>
    </row>
    <row r="9750" spans="16:16">
      <c r="P9750" s="115"/>
    </row>
    <row r="9751" spans="16:16">
      <c r="P9751" s="115"/>
    </row>
    <row r="9752" spans="16:16">
      <c r="P9752" s="115"/>
    </row>
    <row r="9753" spans="16:16">
      <c r="P9753" s="115"/>
    </row>
    <row r="9754" spans="16:16">
      <c r="P9754" s="115"/>
    </row>
    <row r="9755" spans="16:16">
      <c r="P9755" s="115"/>
    </row>
    <row r="9756" spans="16:16">
      <c r="P9756" s="115"/>
    </row>
    <row r="9757" spans="16:16">
      <c r="P9757" s="115"/>
    </row>
    <row r="9758" spans="16:16">
      <c r="P9758" s="115"/>
    </row>
    <row r="9759" spans="16:16">
      <c r="P9759" s="115"/>
    </row>
    <row r="9760" spans="16:16">
      <c r="P9760" s="115"/>
    </row>
    <row r="9761" spans="16:16">
      <c r="P9761" s="115"/>
    </row>
    <row r="9762" spans="16:16">
      <c r="P9762" s="115"/>
    </row>
    <row r="9763" spans="16:16">
      <c r="P9763" s="115"/>
    </row>
    <row r="9764" spans="16:16">
      <c r="P9764" s="115"/>
    </row>
    <row r="9765" spans="16:16">
      <c r="P9765" s="115"/>
    </row>
    <row r="9766" spans="16:16">
      <c r="P9766" s="115"/>
    </row>
    <row r="9767" spans="16:16">
      <c r="P9767" s="115"/>
    </row>
    <row r="9768" spans="16:16">
      <c r="P9768" s="115"/>
    </row>
    <row r="9769" spans="16:16">
      <c r="P9769" s="115"/>
    </row>
    <row r="9770" spans="16:16">
      <c r="P9770" s="115"/>
    </row>
    <row r="9771" spans="16:16">
      <c r="P9771" s="115"/>
    </row>
    <row r="9772" spans="16:16">
      <c r="P9772" s="115"/>
    </row>
    <row r="9773" spans="16:16">
      <c r="P9773" s="115"/>
    </row>
    <row r="9774" spans="16:16">
      <c r="P9774" s="115"/>
    </row>
    <row r="9775" spans="16:16">
      <c r="P9775" s="115"/>
    </row>
    <row r="9776" spans="16:16">
      <c r="P9776" s="115"/>
    </row>
    <row r="9777" spans="16:16">
      <c r="P9777" s="115"/>
    </row>
    <row r="9778" spans="16:16">
      <c r="P9778" s="115"/>
    </row>
    <row r="9779" spans="16:16">
      <c r="P9779" s="115"/>
    </row>
    <row r="9780" spans="16:16">
      <c r="P9780" s="115"/>
    </row>
    <row r="9781" spans="16:16">
      <c r="P9781" s="115"/>
    </row>
    <row r="9782" spans="16:16">
      <c r="P9782" s="115"/>
    </row>
    <row r="9783" spans="16:16">
      <c r="P9783" s="115"/>
    </row>
    <row r="9784" spans="16:16">
      <c r="P9784" s="115"/>
    </row>
    <row r="9785" spans="16:16">
      <c r="P9785" s="115"/>
    </row>
    <row r="9786" spans="16:16">
      <c r="P9786" s="115"/>
    </row>
    <row r="9787" spans="16:16">
      <c r="P9787" s="115"/>
    </row>
    <row r="9788" spans="16:16">
      <c r="P9788" s="115"/>
    </row>
    <row r="9789" spans="16:16">
      <c r="P9789" s="115"/>
    </row>
    <row r="9790" spans="16:16">
      <c r="P9790" s="115"/>
    </row>
    <row r="9791" spans="16:16">
      <c r="P9791" s="115"/>
    </row>
    <row r="9792" spans="16:16">
      <c r="P9792" s="115"/>
    </row>
    <row r="9793" spans="16:16">
      <c r="P9793" s="115"/>
    </row>
    <row r="9794" spans="16:16">
      <c r="P9794" s="115"/>
    </row>
    <row r="9795" spans="16:16">
      <c r="P9795" s="115"/>
    </row>
    <row r="9796" spans="16:16">
      <c r="P9796" s="115"/>
    </row>
    <row r="9797" spans="16:16">
      <c r="P9797" s="115"/>
    </row>
    <row r="9798" spans="16:16">
      <c r="P9798" s="115"/>
    </row>
    <row r="9799" spans="16:16">
      <c r="P9799" s="115"/>
    </row>
    <row r="9800" spans="16:16">
      <c r="P9800" s="115"/>
    </row>
    <row r="9801" spans="16:16">
      <c r="P9801" s="115"/>
    </row>
    <row r="9802" spans="16:16">
      <c r="P9802" s="115"/>
    </row>
    <row r="9803" spans="16:16">
      <c r="P9803" s="115"/>
    </row>
    <row r="9804" spans="16:16">
      <c r="P9804" s="115"/>
    </row>
    <row r="9805" spans="16:16">
      <c r="P9805" s="115"/>
    </row>
    <row r="9806" spans="16:16">
      <c r="P9806" s="115"/>
    </row>
    <row r="9807" spans="16:16">
      <c r="P9807" s="115"/>
    </row>
    <row r="9808" spans="16:16">
      <c r="P9808" s="115"/>
    </row>
    <row r="9809" spans="16:16">
      <c r="P9809" s="115"/>
    </row>
    <row r="9810" spans="16:16">
      <c r="P9810" s="115"/>
    </row>
    <row r="9811" spans="16:16">
      <c r="P9811" s="115"/>
    </row>
    <row r="9812" spans="16:16">
      <c r="P9812" s="115"/>
    </row>
    <row r="9813" spans="16:16">
      <c r="P9813" s="115"/>
    </row>
    <row r="9814" spans="16:16">
      <c r="P9814" s="115"/>
    </row>
    <row r="9815" spans="16:16">
      <c r="P9815" s="115"/>
    </row>
    <row r="9816" spans="16:16">
      <c r="P9816" s="115"/>
    </row>
    <row r="9817" spans="16:16">
      <c r="P9817" s="115"/>
    </row>
    <row r="9818" spans="16:16">
      <c r="P9818" s="115"/>
    </row>
    <row r="9819" spans="16:16">
      <c r="P9819" s="115"/>
    </row>
    <row r="9820" spans="16:16">
      <c r="P9820" s="115"/>
    </row>
    <row r="9821" spans="16:16">
      <c r="P9821" s="115"/>
    </row>
    <row r="9822" spans="16:16">
      <c r="P9822" s="115"/>
    </row>
    <row r="9823" spans="16:16">
      <c r="P9823" s="115"/>
    </row>
    <row r="9824" spans="16:16">
      <c r="P9824" s="115"/>
    </row>
    <row r="9825" spans="16:16">
      <c r="P9825" s="115"/>
    </row>
    <row r="9826" spans="16:16">
      <c r="P9826" s="115"/>
    </row>
    <row r="9827" spans="16:16">
      <c r="P9827" s="115"/>
    </row>
    <row r="9828" spans="16:16">
      <c r="P9828" s="115"/>
    </row>
    <row r="9829" spans="16:16">
      <c r="P9829" s="115"/>
    </row>
    <row r="9830" spans="16:16">
      <c r="P9830" s="115"/>
    </row>
    <row r="9831" spans="16:16">
      <c r="P9831" s="115"/>
    </row>
    <row r="9832" spans="16:16">
      <c r="P9832" s="115"/>
    </row>
    <row r="9833" spans="16:16">
      <c r="P9833" s="115"/>
    </row>
    <row r="9834" spans="16:16">
      <c r="P9834" s="115"/>
    </row>
    <row r="9835" spans="16:16">
      <c r="P9835" s="115"/>
    </row>
    <row r="9836" spans="16:16">
      <c r="P9836" s="115"/>
    </row>
    <row r="9837" spans="16:16">
      <c r="P9837" s="115"/>
    </row>
    <row r="9838" spans="16:16">
      <c r="P9838" s="115"/>
    </row>
    <row r="9839" spans="16:16">
      <c r="P9839" s="115"/>
    </row>
    <row r="9840" spans="16:16">
      <c r="P9840" s="115"/>
    </row>
    <row r="9841" spans="16:16">
      <c r="P9841" s="115"/>
    </row>
    <row r="9842" spans="16:16">
      <c r="P9842" s="115"/>
    </row>
    <row r="9843" spans="16:16">
      <c r="P9843" s="115"/>
    </row>
    <row r="9844" spans="16:16">
      <c r="P9844" s="115"/>
    </row>
    <row r="9845" spans="16:16">
      <c r="P9845" s="115"/>
    </row>
    <row r="9846" spans="16:16">
      <c r="P9846" s="115"/>
    </row>
    <row r="9847" spans="16:16">
      <c r="P9847" s="115"/>
    </row>
    <row r="9848" spans="16:16">
      <c r="P9848" s="115"/>
    </row>
    <row r="9849" spans="16:16">
      <c r="P9849" s="115"/>
    </row>
    <row r="9850" spans="16:16">
      <c r="P9850" s="115"/>
    </row>
    <row r="9851" spans="16:16">
      <c r="P9851" s="115"/>
    </row>
    <row r="9852" spans="16:16">
      <c r="P9852" s="115"/>
    </row>
    <row r="9853" spans="16:16">
      <c r="P9853" s="115"/>
    </row>
    <row r="9854" spans="16:16">
      <c r="P9854" s="115"/>
    </row>
    <row r="9855" spans="16:16">
      <c r="P9855" s="115"/>
    </row>
    <row r="9856" spans="16:16">
      <c r="P9856" s="115"/>
    </row>
    <row r="9857" spans="16:16">
      <c r="P9857" s="115"/>
    </row>
    <row r="9858" spans="16:16">
      <c r="P9858" s="115"/>
    </row>
    <row r="9859" spans="16:16">
      <c r="P9859" s="115"/>
    </row>
    <row r="9860" spans="16:16">
      <c r="P9860" s="115"/>
    </row>
    <row r="9861" spans="16:16">
      <c r="P9861" s="115"/>
    </row>
    <row r="9862" spans="16:16">
      <c r="P9862" s="115"/>
    </row>
    <row r="9863" spans="16:16">
      <c r="P9863" s="115"/>
    </row>
    <row r="9864" spans="16:16">
      <c r="P9864" s="115"/>
    </row>
    <row r="9865" spans="16:16">
      <c r="P9865" s="115"/>
    </row>
    <row r="9866" spans="16:16">
      <c r="P9866" s="115"/>
    </row>
    <row r="9867" spans="16:16">
      <c r="P9867" s="115"/>
    </row>
    <row r="9868" spans="16:16">
      <c r="P9868" s="115"/>
    </row>
    <row r="9869" spans="16:16">
      <c r="P9869" s="115"/>
    </row>
    <row r="9870" spans="16:16">
      <c r="P9870" s="115"/>
    </row>
    <row r="9871" spans="16:16">
      <c r="P9871" s="115"/>
    </row>
    <row r="9872" spans="16:16">
      <c r="P9872" s="115"/>
    </row>
    <row r="9873" spans="16:16">
      <c r="P9873" s="115"/>
    </row>
    <row r="9874" spans="16:16">
      <c r="P9874" s="115"/>
    </row>
    <row r="9875" spans="16:16">
      <c r="P9875" s="115"/>
    </row>
    <row r="9876" spans="16:16">
      <c r="P9876" s="115"/>
    </row>
    <row r="9877" spans="16:16">
      <c r="P9877" s="115"/>
    </row>
    <row r="9878" spans="16:16">
      <c r="P9878" s="115"/>
    </row>
    <row r="9879" spans="16:16">
      <c r="P9879" s="115"/>
    </row>
    <row r="9880" spans="16:16">
      <c r="P9880" s="115"/>
    </row>
    <row r="9881" spans="16:16">
      <c r="P9881" s="115"/>
    </row>
    <row r="9882" spans="16:16">
      <c r="P9882" s="115"/>
    </row>
    <row r="9883" spans="16:16">
      <c r="P9883" s="115"/>
    </row>
    <row r="9884" spans="16:16">
      <c r="P9884" s="115"/>
    </row>
    <row r="9885" spans="16:16">
      <c r="P9885" s="115"/>
    </row>
    <row r="9886" spans="16:16">
      <c r="P9886" s="115"/>
    </row>
    <row r="9887" spans="16:16">
      <c r="P9887" s="115"/>
    </row>
    <row r="9888" spans="16:16">
      <c r="P9888" s="115"/>
    </row>
    <row r="9889" spans="16:16">
      <c r="P9889" s="115"/>
    </row>
    <row r="9890" spans="16:16">
      <c r="P9890" s="115"/>
    </row>
    <row r="9891" spans="16:16">
      <c r="P9891" s="115"/>
    </row>
    <row r="9892" spans="16:16">
      <c r="P9892" s="115"/>
    </row>
    <row r="9893" spans="16:16">
      <c r="P9893" s="115"/>
    </row>
    <row r="9894" spans="16:16">
      <c r="P9894" s="115"/>
    </row>
    <row r="9895" spans="16:16">
      <c r="P9895" s="115"/>
    </row>
    <row r="9896" spans="16:16">
      <c r="P9896" s="115"/>
    </row>
    <row r="9897" spans="16:16">
      <c r="P9897" s="115"/>
    </row>
    <row r="9898" spans="16:16">
      <c r="P9898" s="115"/>
    </row>
    <row r="9899" spans="16:16">
      <c r="P9899" s="115"/>
    </row>
    <row r="9900" spans="16:16">
      <c r="P9900" s="115"/>
    </row>
    <row r="9901" spans="16:16">
      <c r="P9901" s="115"/>
    </row>
    <row r="9902" spans="16:16">
      <c r="P9902" s="115"/>
    </row>
    <row r="9903" spans="16:16">
      <c r="P9903" s="115"/>
    </row>
    <row r="9904" spans="16:16">
      <c r="P9904" s="115"/>
    </row>
    <row r="9905" spans="16:16">
      <c r="P9905" s="115"/>
    </row>
    <row r="9906" spans="16:16">
      <c r="P9906" s="115"/>
    </row>
    <row r="9907" spans="16:16">
      <c r="P9907" s="115"/>
    </row>
    <row r="9908" spans="16:16">
      <c r="P9908" s="115"/>
    </row>
    <row r="9909" spans="16:16">
      <c r="P9909" s="115"/>
    </row>
    <row r="9910" spans="16:16">
      <c r="P9910" s="115"/>
    </row>
    <row r="9911" spans="16:16">
      <c r="P9911" s="115"/>
    </row>
    <row r="9912" spans="16:16">
      <c r="P9912" s="115"/>
    </row>
    <row r="9913" spans="16:16">
      <c r="P9913" s="115"/>
    </row>
    <row r="9914" spans="16:16">
      <c r="P9914" s="115"/>
    </row>
    <row r="9915" spans="16:16">
      <c r="P9915" s="115"/>
    </row>
    <row r="9916" spans="16:16">
      <c r="P9916" s="115"/>
    </row>
    <row r="9917" spans="16:16">
      <c r="P9917" s="115"/>
    </row>
    <row r="9918" spans="16:16">
      <c r="P9918" s="115"/>
    </row>
    <row r="9919" spans="16:16">
      <c r="P9919" s="115"/>
    </row>
    <row r="9920" spans="16:16">
      <c r="P9920" s="115"/>
    </row>
    <row r="9921" spans="16:16">
      <c r="P9921" s="115"/>
    </row>
    <row r="9922" spans="16:16">
      <c r="P9922" s="115"/>
    </row>
    <row r="9923" spans="16:16">
      <c r="P9923" s="115"/>
    </row>
    <row r="9924" spans="16:16">
      <c r="P9924" s="115"/>
    </row>
    <row r="9925" spans="16:16">
      <c r="P9925" s="115"/>
    </row>
    <row r="9926" spans="16:16">
      <c r="P9926" s="115"/>
    </row>
    <row r="9927" spans="16:16">
      <c r="P9927" s="115"/>
    </row>
    <row r="9928" spans="16:16">
      <c r="P9928" s="115"/>
    </row>
    <row r="9929" spans="16:16">
      <c r="P9929" s="115"/>
    </row>
    <row r="9930" spans="16:16">
      <c r="P9930" s="115"/>
    </row>
    <row r="9931" spans="16:16">
      <c r="P9931" s="115"/>
    </row>
    <row r="9932" spans="16:16">
      <c r="P9932" s="115"/>
    </row>
    <row r="9933" spans="16:16">
      <c r="P9933" s="115"/>
    </row>
    <row r="9934" spans="16:16">
      <c r="P9934" s="115"/>
    </row>
    <row r="9935" spans="16:16">
      <c r="P9935" s="115"/>
    </row>
    <row r="9936" spans="16:16">
      <c r="P9936" s="115"/>
    </row>
    <row r="9937" spans="16:16">
      <c r="P9937" s="115"/>
    </row>
    <row r="9938" spans="16:16">
      <c r="P9938" s="115"/>
    </row>
    <row r="9939" spans="16:16">
      <c r="P9939" s="115"/>
    </row>
    <row r="9940" spans="16:16">
      <c r="P9940" s="115"/>
    </row>
    <row r="9941" spans="16:16">
      <c r="P9941" s="115"/>
    </row>
    <row r="9942" spans="16:16">
      <c r="P9942" s="115"/>
    </row>
    <row r="9943" spans="16:16">
      <c r="P9943" s="115"/>
    </row>
    <row r="9944" spans="16:16">
      <c r="P9944" s="115"/>
    </row>
    <row r="9945" spans="16:16">
      <c r="P9945" s="115"/>
    </row>
    <row r="9946" spans="16:16">
      <c r="P9946" s="115"/>
    </row>
    <row r="9947" spans="16:16">
      <c r="P9947" s="115"/>
    </row>
    <row r="9948" spans="16:16">
      <c r="P9948" s="115"/>
    </row>
    <row r="9949" spans="16:16">
      <c r="P9949" s="115"/>
    </row>
    <row r="9950" spans="16:16">
      <c r="P9950" s="115"/>
    </row>
    <row r="9951" spans="16:16">
      <c r="P9951" s="115"/>
    </row>
    <row r="9952" spans="16:16">
      <c r="P9952" s="115"/>
    </row>
    <row r="9953" spans="16:16">
      <c r="P9953" s="115"/>
    </row>
    <row r="9954" spans="16:16">
      <c r="P9954" s="115"/>
    </row>
    <row r="9955" spans="16:16">
      <c r="P9955" s="115"/>
    </row>
    <row r="9956" spans="16:16">
      <c r="P9956" s="115"/>
    </row>
    <row r="9957" spans="16:16">
      <c r="P9957" s="115"/>
    </row>
    <row r="9958" spans="16:16">
      <c r="P9958" s="115"/>
    </row>
    <row r="9959" spans="16:16">
      <c r="P9959" s="115"/>
    </row>
    <row r="9960" spans="16:16">
      <c r="P9960" s="115"/>
    </row>
    <row r="9961" spans="16:16">
      <c r="P9961" s="115"/>
    </row>
    <row r="9962" spans="16:16">
      <c r="P9962" s="115"/>
    </row>
    <row r="9963" spans="16:16">
      <c r="P9963" s="115"/>
    </row>
    <row r="9964" spans="16:16">
      <c r="P9964" s="115"/>
    </row>
    <row r="9965" spans="16:16">
      <c r="P9965" s="115"/>
    </row>
    <row r="9966" spans="16:16">
      <c r="P9966" s="115"/>
    </row>
    <row r="9967" spans="16:16">
      <c r="P9967" s="115"/>
    </row>
    <row r="9968" spans="16:16">
      <c r="P9968" s="115"/>
    </row>
    <row r="9969" spans="16:16">
      <c r="P9969" s="115"/>
    </row>
    <row r="9970" spans="16:16">
      <c r="P9970" s="115"/>
    </row>
    <row r="9971" spans="16:16">
      <c r="P9971" s="115"/>
    </row>
    <row r="9972" spans="16:16">
      <c r="P9972" s="115"/>
    </row>
    <row r="9973" spans="16:16">
      <c r="P9973" s="115"/>
    </row>
    <row r="9974" spans="16:16">
      <c r="P9974" s="115"/>
    </row>
    <row r="9975" spans="16:16">
      <c r="P9975" s="115"/>
    </row>
    <row r="9976" spans="16:16">
      <c r="P9976" s="115"/>
    </row>
    <row r="9977" spans="16:16">
      <c r="P9977" s="115"/>
    </row>
    <row r="9978" spans="16:16">
      <c r="P9978" s="115"/>
    </row>
    <row r="9979" spans="16:16">
      <c r="P9979" s="115"/>
    </row>
    <row r="9980" spans="16:16">
      <c r="P9980" s="115"/>
    </row>
    <row r="9981" spans="16:16">
      <c r="P9981" s="115"/>
    </row>
    <row r="9982" spans="16:16">
      <c r="P9982" s="115"/>
    </row>
    <row r="9983" spans="16:16">
      <c r="P9983" s="115"/>
    </row>
    <row r="9984" spans="16:16">
      <c r="P9984" s="115"/>
    </row>
    <row r="9985" spans="16:16">
      <c r="P9985" s="115"/>
    </row>
    <row r="9986" spans="16:16">
      <c r="P9986" s="115"/>
    </row>
    <row r="9987" spans="16:16">
      <c r="P9987" s="115"/>
    </row>
    <row r="9988" spans="16:16">
      <c r="P9988" s="115"/>
    </row>
    <row r="9989" spans="16:16">
      <c r="P9989" s="115"/>
    </row>
    <row r="9990" spans="16:16">
      <c r="P9990" s="115"/>
    </row>
    <row r="9991" spans="16:16">
      <c r="P9991" s="115"/>
    </row>
    <row r="9992" spans="16:16">
      <c r="P9992" s="115"/>
    </row>
    <row r="9993" spans="16:16">
      <c r="P9993" s="115"/>
    </row>
    <row r="9994" spans="16:16">
      <c r="P9994" s="115"/>
    </row>
    <row r="9995" spans="16:16">
      <c r="P9995" s="115"/>
    </row>
    <row r="9996" spans="16:16">
      <c r="P9996" s="115"/>
    </row>
    <row r="9997" spans="16:16">
      <c r="P9997" s="115"/>
    </row>
    <row r="9998" spans="16:16">
      <c r="P9998" s="115"/>
    </row>
    <row r="9999" spans="16:16">
      <c r="P9999" s="115"/>
    </row>
    <row r="10000" spans="16:16">
      <c r="P10000" s="115"/>
    </row>
  </sheetData>
  <autoFilter ref="C4:P999">
    <extLst/>
  </autoFilter>
  <conditionalFormatting sqref="L13:L31">
    <cfRule type="expression" dxfId="0" priority="6">
      <formula>$C13&lt;&gt;""</formula>
    </cfRule>
  </conditionalFormatting>
  <conditionalFormatting sqref="L33:L35">
    <cfRule type="expression" dxfId="0" priority="5">
      <formula>$C33&lt;&gt;""</formula>
    </cfRule>
  </conditionalFormatting>
  <conditionalFormatting sqref="L38:L40">
    <cfRule type="expression" dxfId="0" priority="4">
      <formula>$C38&lt;&gt;""</formula>
    </cfRule>
  </conditionalFormatting>
  <conditionalFormatting sqref="L42:L44">
    <cfRule type="expression" dxfId="0" priority="3">
      <formula>$C42&lt;&gt;""</formula>
    </cfRule>
  </conditionalFormatting>
  <conditionalFormatting sqref="C5:P5 C6:L12 M6:P32 M33:M40 N33:P71 C13:K23 C24:D73 E24:K31 E32:L32 E33:K35 E36:L37 E38:K40 E41:M41 E42:K42 F43:K44 F45:L57 E58:L58 F59:L64 F65:M71 F72:P73 C74:P1048576 M42:M64">
    <cfRule type="expression" dxfId="0" priority="7">
      <formula>$C5&lt;&gt;""</formula>
    </cfRule>
  </conditionalFormatting>
  <conditionalFormatting sqref="E43:E52 E53:E57">
    <cfRule type="expression" dxfId="0" priority="2">
      <formula>$C43&lt;&gt;""</formula>
    </cfRule>
  </conditionalFormatting>
  <conditionalFormatting sqref="E59:E68 E69:E73">
    <cfRule type="expression" dxfId="0" priority="1">
      <formula>$C59&lt;&gt;""</formula>
    </cfRule>
  </conditionalFormatting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A46"/>
  <sheetViews>
    <sheetView workbookViewId="0">
      <pane ySplit="1" topLeftCell="A2" activePane="bottomLeft" state="frozen"/>
      <selection/>
      <selection pane="bottomLeft" activeCell="T15" sqref="T15"/>
    </sheetView>
  </sheetViews>
  <sheetFormatPr defaultColWidth="9" defaultRowHeight="13.5"/>
  <cols>
    <col min="1" max="2" width="3.625" style="2" customWidth="1"/>
    <col min="3" max="3" width="14.625" style="2" customWidth="1"/>
    <col min="4" max="4" width="26.625" style="2" customWidth="1"/>
    <col min="5" max="5" width="3.625" style="2" customWidth="1"/>
    <col min="6" max="6" width="2.625" style="2" customWidth="1"/>
    <col min="7" max="7" width="3.625" style="2" customWidth="1"/>
    <col min="8" max="8" width="14.625" style="2" customWidth="1"/>
    <col min="9" max="9" width="26.625" style="2" customWidth="1"/>
    <col min="10" max="10" width="5.625" style="2" customWidth="1"/>
    <col min="11" max="11" width="14.625" style="2" customWidth="1"/>
    <col min="12" max="12" width="26.625" style="2" customWidth="1"/>
    <col min="13" max="13" width="3.625" style="2" customWidth="1"/>
    <col min="14" max="16379" width="9" style="2"/>
    <col min="16380" max="16384" width="9" style="4"/>
  </cols>
  <sheetData>
    <row r="1" s="1" customFormat="1" ht="57" customHeight="1"/>
    <row r="2" s="2" customFormat="1" ht="9.95" customHeight="1" spans="26:26">
      <c r="Z2" s="104" t="s">
        <v>227</v>
      </c>
    </row>
    <row r="3" s="2" customFormat="1" ht="39.95" customHeight="1" spans="2:14">
      <c r="B3" s="52"/>
      <c r="C3" s="79" t="s">
        <v>228</v>
      </c>
      <c r="D3" s="80"/>
      <c r="E3" s="81"/>
      <c r="F3" s="82"/>
      <c r="G3" s="52"/>
      <c r="H3" s="79" t="s">
        <v>229</v>
      </c>
      <c r="I3" s="80"/>
      <c r="J3" s="80"/>
      <c r="K3" s="80"/>
      <c r="L3" s="80"/>
      <c r="M3" s="52"/>
      <c r="N3" s="82"/>
    </row>
    <row r="4" s="2" customFormat="1" ht="24" customHeight="1" spans="2:14">
      <c r="B4" s="52"/>
      <c r="C4" s="26"/>
      <c r="D4" s="52"/>
      <c r="E4" s="81"/>
      <c r="F4" s="82"/>
      <c r="G4" s="52"/>
      <c r="H4" s="26"/>
      <c r="I4" s="52"/>
      <c r="J4" s="52"/>
      <c r="K4" s="52"/>
      <c r="L4" s="52"/>
      <c r="M4" s="52"/>
      <c r="N4" s="82"/>
    </row>
    <row r="5" s="2" customFormat="1" ht="24" customHeight="1" spans="2:14">
      <c r="B5" s="83"/>
      <c r="C5" s="84" t="s">
        <v>230</v>
      </c>
      <c r="D5" s="85"/>
      <c r="E5" s="81"/>
      <c r="F5" s="86"/>
      <c r="G5" s="83"/>
      <c r="H5" s="84" t="s">
        <v>187</v>
      </c>
      <c r="I5" s="85"/>
      <c r="J5" s="90"/>
      <c r="K5" s="81" t="s">
        <v>231</v>
      </c>
      <c r="L5" s="85"/>
      <c r="M5" s="83"/>
      <c r="N5" s="86"/>
    </row>
    <row r="6" s="2" customFormat="1" ht="24" customHeight="1" spans="2:60">
      <c r="B6" s="83"/>
      <c r="C6" s="81"/>
      <c r="D6" s="87"/>
      <c r="E6" s="81"/>
      <c r="F6" s="88"/>
      <c r="G6" s="83"/>
      <c r="H6" s="81"/>
      <c r="I6" s="87"/>
      <c r="J6" s="81"/>
      <c r="K6" s="81"/>
      <c r="L6" s="87"/>
      <c r="M6" s="95"/>
      <c r="N6" s="88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</row>
    <row r="7" s="2" customFormat="1" ht="24" customHeight="1" spans="2:60">
      <c r="B7" s="83"/>
      <c r="C7" s="84" t="s">
        <v>232</v>
      </c>
      <c r="D7" s="85"/>
      <c r="E7" s="81"/>
      <c r="F7" s="88"/>
      <c r="G7" s="83"/>
      <c r="H7" s="81" t="s">
        <v>233</v>
      </c>
      <c r="I7" s="85"/>
      <c r="J7" s="81"/>
      <c r="K7" s="81" t="s">
        <v>234</v>
      </c>
      <c r="L7" s="85"/>
      <c r="M7" s="95"/>
      <c r="N7" s="88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="2" customFormat="1" ht="24" customHeight="1" spans="2:60">
      <c r="B8" s="83"/>
      <c r="C8" s="81"/>
      <c r="D8" s="87"/>
      <c r="E8" s="81"/>
      <c r="F8" s="88"/>
      <c r="G8" s="83"/>
      <c r="H8" s="81"/>
      <c r="I8" s="87"/>
      <c r="J8" s="81"/>
      <c r="K8" s="81"/>
      <c r="L8" s="87"/>
      <c r="M8" s="95"/>
      <c r="N8" s="88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</row>
    <row r="9" s="2" customFormat="1" ht="24" customHeight="1" spans="2:60">
      <c r="B9" s="83"/>
      <c r="C9" s="84" t="s">
        <v>235</v>
      </c>
      <c r="D9" s="89"/>
      <c r="E9" s="90"/>
      <c r="F9" s="88"/>
      <c r="G9" s="83"/>
      <c r="H9" s="81" t="s">
        <v>236</v>
      </c>
      <c r="I9" s="85"/>
      <c r="J9" s="90"/>
      <c r="K9" s="81" t="s">
        <v>237</v>
      </c>
      <c r="L9" s="85"/>
      <c r="M9" s="83"/>
      <c r="N9" s="96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="2" customFormat="1" ht="24" customHeight="1" spans="2:60">
      <c r="B10" s="83"/>
      <c r="C10" s="81"/>
      <c r="D10" s="87"/>
      <c r="E10" s="81"/>
      <c r="F10" s="88"/>
      <c r="G10" s="83"/>
      <c r="H10" s="81"/>
      <c r="I10" s="87"/>
      <c r="J10" s="81"/>
      <c r="K10" s="81"/>
      <c r="L10" s="87"/>
      <c r="M10" s="95"/>
      <c r="N10" s="88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</row>
    <row r="11" s="2" customFormat="1" ht="24" customHeight="1" spans="2:14">
      <c r="B11" s="83"/>
      <c r="C11" s="84" t="s">
        <v>238</v>
      </c>
      <c r="D11" s="89"/>
      <c r="E11" s="81"/>
      <c r="F11" s="88"/>
      <c r="G11" s="83"/>
      <c r="H11" s="81" t="s">
        <v>239</v>
      </c>
      <c r="I11" s="85"/>
      <c r="J11" s="81"/>
      <c r="K11" s="84" t="s">
        <v>194</v>
      </c>
      <c r="L11" s="85"/>
      <c r="M11" s="95"/>
      <c r="N11" s="88"/>
    </row>
    <row r="12" s="2" customFormat="1" ht="24" customHeight="1" spans="2:14">
      <c r="B12" s="83"/>
      <c r="C12" s="84"/>
      <c r="D12" s="91"/>
      <c r="E12" s="81"/>
      <c r="F12" s="88"/>
      <c r="G12" s="83"/>
      <c r="H12" s="84"/>
      <c r="I12" s="91"/>
      <c r="J12" s="81"/>
      <c r="K12" s="84"/>
      <c r="L12" s="91"/>
      <c r="M12" s="95"/>
      <c r="N12" s="88"/>
    </row>
    <row r="13" s="2" customFormat="1" ht="24" customHeight="1" spans="2:60">
      <c r="B13" s="83"/>
      <c r="C13" s="81" t="s">
        <v>240</v>
      </c>
      <c r="D13" s="85"/>
      <c r="E13" s="92"/>
      <c r="F13" s="88"/>
      <c r="G13" s="83"/>
      <c r="H13" s="81" t="s">
        <v>196</v>
      </c>
      <c r="I13" s="97"/>
      <c r="J13" s="98"/>
      <c r="K13" s="98"/>
      <c r="L13" s="99"/>
      <c r="M13" s="95"/>
      <c r="N13" s="88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="2" customFormat="1" ht="24" customHeight="1" spans="2:60">
      <c r="B14" s="83"/>
      <c r="C14" s="81"/>
      <c r="D14" s="92"/>
      <c r="E14" s="92"/>
      <c r="F14" s="88"/>
      <c r="G14" s="83"/>
      <c r="H14" s="81"/>
      <c r="I14" s="100"/>
      <c r="J14" s="101"/>
      <c r="K14" s="101"/>
      <c r="L14" s="102"/>
      <c r="M14" s="95"/>
      <c r="N14" s="8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</row>
    <row r="15" s="2" customFormat="1" ht="8.1" customHeight="1" spans="2:60">
      <c r="B15" s="83"/>
      <c r="C15" s="84" t="s">
        <v>241</v>
      </c>
      <c r="D15" s="93"/>
      <c r="E15" s="92"/>
      <c r="F15" s="88"/>
      <c r="G15" s="83"/>
      <c r="H15" s="81"/>
      <c r="I15" s="92"/>
      <c r="J15" s="92"/>
      <c r="K15" s="92"/>
      <c r="L15" s="92"/>
      <c r="M15" s="95"/>
      <c r="N15" s="88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="2" customFormat="1" ht="15.95" customHeight="1" spans="2:60">
      <c r="B16" s="83"/>
      <c r="C16" s="81"/>
      <c r="D16" s="94"/>
      <c r="E16" s="92"/>
      <c r="F16" s="88"/>
      <c r="G16" s="83"/>
      <c r="H16" s="26" t="s">
        <v>242</v>
      </c>
      <c r="I16" s="26"/>
      <c r="J16" s="26"/>
      <c r="K16" s="26"/>
      <c r="L16" s="26"/>
      <c r="M16" s="95"/>
      <c r="N16" s="8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</row>
    <row r="17" s="2" customFormat="1" ht="24" customHeight="1" spans="2:14">
      <c r="B17" s="83"/>
      <c r="C17" s="81"/>
      <c r="D17" s="92"/>
      <c r="E17" s="92"/>
      <c r="F17" s="82"/>
      <c r="G17" s="52"/>
      <c r="H17" s="79"/>
      <c r="I17" s="79"/>
      <c r="J17" s="79"/>
      <c r="K17" s="79"/>
      <c r="L17" s="79"/>
      <c r="M17" s="52"/>
      <c r="N17" s="82"/>
    </row>
    <row r="18" s="2" customFormat="1" ht="24" customHeight="1" spans="2:14">
      <c r="B18" s="83"/>
      <c r="C18" s="81"/>
      <c r="D18" s="81"/>
      <c r="E18" s="92"/>
      <c r="F18" s="82"/>
      <c r="G18" s="52"/>
      <c r="H18" s="26"/>
      <c r="I18" s="52"/>
      <c r="J18" s="52"/>
      <c r="K18" s="52"/>
      <c r="L18" s="52"/>
      <c r="M18" s="52"/>
      <c r="N18" s="82"/>
    </row>
    <row r="19" s="2" customFormat="1" ht="24" customHeight="1" spans="2:14">
      <c r="B19" s="83"/>
      <c r="C19" s="81"/>
      <c r="D19" s="81"/>
      <c r="E19" s="92"/>
      <c r="F19" s="86"/>
      <c r="G19" s="83"/>
      <c r="H19" s="84" t="s">
        <v>243</v>
      </c>
      <c r="I19" s="85"/>
      <c r="J19" s="90"/>
      <c r="K19" s="81" t="s">
        <v>244</v>
      </c>
      <c r="L19" s="103"/>
      <c r="M19" s="83"/>
      <c r="N19" s="86"/>
    </row>
    <row r="20" s="2" customFormat="1" ht="24" customHeight="1" spans="2:60">
      <c r="B20" s="83"/>
      <c r="C20" s="81"/>
      <c r="D20" s="92"/>
      <c r="E20" s="92"/>
      <c r="F20" s="88"/>
      <c r="G20" s="83"/>
      <c r="H20" s="81"/>
      <c r="I20" s="87"/>
      <c r="J20" s="81"/>
      <c r="K20" s="81"/>
      <c r="L20" s="87"/>
      <c r="M20" s="95"/>
      <c r="N20" s="88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</row>
    <row r="21" s="2" customFormat="1" ht="24" customHeight="1" spans="2:60">
      <c r="B21" s="83"/>
      <c r="C21" s="81"/>
      <c r="D21" s="92"/>
      <c r="E21" s="92"/>
      <c r="F21" s="88"/>
      <c r="G21" s="83"/>
      <c r="H21" s="81" t="s">
        <v>245</v>
      </c>
      <c r="I21" s="85"/>
      <c r="J21" s="81"/>
      <c r="K21" s="81" t="s">
        <v>246</v>
      </c>
      <c r="L21" s="85"/>
      <c r="M21" s="95"/>
      <c r="N21" s="88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="2" customFormat="1" ht="24" customHeight="1" spans="2:60">
      <c r="B22" s="83"/>
      <c r="C22" s="81"/>
      <c r="D22" s="92"/>
      <c r="E22" s="92"/>
      <c r="F22" s="88"/>
      <c r="G22" s="83"/>
      <c r="H22" s="81"/>
      <c r="I22" s="87"/>
      <c r="J22" s="81"/>
      <c r="K22" s="81"/>
      <c r="L22" s="87"/>
      <c r="M22" s="95"/>
      <c r="N22" s="88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</row>
    <row r="23" s="2" customFormat="1" ht="24" customHeight="1" spans="3:60">
      <c r="C23" s="86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="2" customFormat="1" ht="24" customHeight="1" spans="3:60">
      <c r="C24" s="86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</row>
    <row r="25" s="2" customFormat="1" ht="24" customHeight="1" spans="3:60">
      <c r="C25" s="86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="2" customFormat="1" ht="24" customHeight="1" spans="3:14">
      <c r="C26" s="86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</row>
    <row r="27" s="2" customFormat="1" ht="24" customHeight="1" spans="3:14">
      <c r="C27" s="86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</row>
    <row r="28" s="2" customFormat="1" ht="24" customHeight="1" spans="3:14">
      <c r="C28" s="86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</row>
    <row r="29" s="2" customFormat="1" ht="24" customHeight="1" spans="3:60">
      <c r="C29" s="86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  <row r="30" s="2" customFormat="1" ht="24" customHeight="1" spans="3:60">
      <c r="C30" s="86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</row>
    <row r="31" s="2" customFormat="1" ht="24" customHeight="1" spans="3:60">
      <c r="C31" s="86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</row>
    <row r="32" s="2" customFormat="1" ht="24" customHeight="1" spans="3:14">
      <c r="C32" s="86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</row>
    <row r="33" s="78" customFormat="1" ht="24" customHeight="1" spans="1:16381">
      <c r="A33" s="2"/>
      <c r="B33" s="2"/>
      <c r="C33" s="86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  <c r="ALM33" s="2"/>
      <c r="ALN33" s="2"/>
      <c r="ALO33" s="2"/>
      <c r="ALP33" s="2"/>
      <c r="ALQ33" s="2"/>
      <c r="ALR33" s="2"/>
      <c r="ALS33" s="2"/>
      <c r="ALT33" s="2"/>
      <c r="ALU33" s="2"/>
      <c r="ALV33" s="2"/>
      <c r="ALW33" s="2"/>
      <c r="ALX33" s="2"/>
      <c r="ALY33" s="2"/>
      <c r="ALZ33" s="2"/>
      <c r="AMA33" s="2"/>
      <c r="AMB33" s="2"/>
      <c r="AMC33" s="2"/>
      <c r="AMD33" s="2"/>
      <c r="AME33" s="2"/>
      <c r="AMF33" s="2"/>
      <c r="AMG33" s="2"/>
      <c r="AMH33" s="2"/>
      <c r="AMI33" s="2"/>
      <c r="AMJ33" s="2"/>
      <c r="AMK33" s="2"/>
      <c r="AML33" s="2"/>
      <c r="AMM33" s="2"/>
      <c r="AMN33" s="2"/>
      <c r="AMO33" s="2"/>
      <c r="AMP33" s="2"/>
      <c r="AMQ33" s="2"/>
      <c r="AMR33" s="2"/>
      <c r="AMS33" s="2"/>
      <c r="AMT33" s="2"/>
      <c r="AMU33" s="2"/>
      <c r="AMV33" s="2"/>
      <c r="AMW33" s="2"/>
      <c r="AMX33" s="2"/>
      <c r="AMY33" s="2"/>
      <c r="AMZ33" s="2"/>
      <c r="ANA33" s="2"/>
      <c r="ANB33" s="2"/>
      <c r="ANC33" s="2"/>
      <c r="AND33" s="2"/>
      <c r="ANE33" s="2"/>
      <c r="ANF33" s="2"/>
      <c r="ANG33" s="2"/>
      <c r="ANH33" s="2"/>
      <c r="ANI33" s="2"/>
      <c r="ANJ33" s="2"/>
      <c r="ANK33" s="2"/>
      <c r="ANL33" s="2"/>
      <c r="ANM33" s="2"/>
      <c r="ANN33" s="2"/>
      <c r="ANO33" s="2"/>
      <c r="ANP33" s="2"/>
      <c r="ANQ33" s="2"/>
      <c r="ANR33" s="2"/>
      <c r="ANS33" s="2"/>
      <c r="ANT33" s="2"/>
      <c r="ANU33" s="2"/>
      <c r="ANV33" s="2"/>
      <c r="ANW33" s="2"/>
      <c r="ANX33" s="2"/>
      <c r="ANY33" s="2"/>
      <c r="ANZ33" s="2"/>
      <c r="AOA33" s="2"/>
      <c r="AOB33" s="2"/>
      <c r="AOC33" s="2"/>
      <c r="AOD33" s="2"/>
      <c r="AOE33" s="2"/>
      <c r="AOF33" s="2"/>
      <c r="AOG33" s="2"/>
      <c r="AOH33" s="2"/>
      <c r="AOI33" s="2"/>
      <c r="AOJ33" s="2"/>
      <c r="AOK33" s="2"/>
      <c r="AOL33" s="2"/>
      <c r="AOM33" s="2"/>
      <c r="AON33" s="2"/>
      <c r="AOO33" s="2"/>
      <c r="AOP33" s="2"/>
      <c r="AOQ33" s="2"/>
      <c r="AOR33" s="2"/>
      <c r="AOS33" s="2"/>
      <c r="AOT33" s="2"/>
      <c r="AOU33" s="2"/>
      <c r="AOV33" s="2"/>
      <c r="AOW33" s="2"/>
      <c r="AOX33" s="2"/>
      <c r="AOY33" s="2"/>
      <c r="AOZ33" s="2"/>
      <c r="APA33" s="2"/>
      <c r="APB33" s="2"/>
      <c r="APC33" s="2"/>
      <c r="APD33" s="2"/>
      <c r="APE33" s="2"/>
      <c r="APF33" s="2"/>
      <c r="APG33" s="2"/>
      <c r="APH33" s="2"/>
      <c r="API33" s="2"/>
      <c r="APJ33" s="2"/>
      <c r="APK33" s="2"/>
      <c r="APL33" s="2"/>
      <c r="APM33" s="2"/>
      <c r="APN33" s="2"/>
      <c r="APO33" s="2"/>
      <c r="APP33" s="2"/>
      <c r="APQ33" s="2"/>
      <c r="APR33" s="2"/>
      <c r="APS33" s="2"/>
      <c r="APT33" s="2"/>
      <c r="APU33" s="2"/>
      <c r="APV33" s="2"/>
      <c r="APW33" s="2"/>
      <c r="APX33" s="2"/>
      <c r="APY33" s="2"/>
      <c r="APZ33" s="2"/>
      <c r="AQA33" s="2"/>
      <c r="AQB33" s="2"/>
      <c r="AQC33" s="2"/>
      <c r="AQD33" s="2"/>
      <c r="AQE33" s="2"/>
      <c r="AQF33" s="2"/>
      <c r="AQG33" s="2"/>
      <c r="AQH33" s="2"/>
      <c r="AQI33" s="2"/>
      <c r="AQJ33" s="2"/>
      <c r="AQK33" s="2"/>
      <c r="AQL33" s="2"/>
      <c r="AQM33" s="2"/>
      <c r="AQN33" s="2"/>
      <c r="AQO33" s="2"/>
      <c r="AQP33" s="2"/>
      <c r="AQQ33" s="2"/>
      <c r="AQR33" s="2"/>
      <c r="AQS33" s="2"/>
      <c r="AQT33" s="2"/>
      <c r="AQU33" s="2"/>
      <c r="AQV33" s="2"/>
      <c r="AQW33" s="2"/>
      <c r="AQX33" s="2"/>
      <c r="AQY33" s="2"/>
      <c r="AQZ33" s="2"/>
      <c r="ARA33" s="2"/>
      <c r="ARB33" s="2"/>
      <c r="ARC33" s="2"/>
      <c r="ARD33" s="2"/>
      <c r="ARE33" s="2"/>
      <c r="ARF33" s="2"/>
      <c r="ARG33" s="2"/>
      <c r="ARH33" s="2"/>
      <c r="ARI33" s="2"/>
      <c r="ARJ33" s="2"/>
      <c r="ARK33" s="2"/>
      <c r="ARL33" s="2"/>
      <c r="ARM33" s="2"/>
      <c r="ARN33" s="2"/>
      <c r="ARO33" s="2"/>
      <c r="ARP33" s="2"/>
      <c r="ARQ33" s="2"/>
      <c r="ARR33" s="2"/>
      <c r="ARS33" s="2"/>
      <c r="ART33" s="2"/>
      <c r="ARU33" s="2"/>
      <c r="ARV33" s="2"/>
      <c r="ARW33" s="2"/>
      <c r="ARX33" s="2"/>
      <c r="ARY33" s="2"/>
      <c r="ARZ33" s="2"/>
      <c r="ASA33" s="2"/>
      <c r="ASB33" s="2"/>
      <c r="ASC33" s="2"/>
      <c r="ASD33" s="2"/>
      <c r="ASE33" s="2"/>
      <c r="ASF33" s="2"/>
      <c r="ASG33" s="2"/>
      <c r="ASH33" s="2"/>
      <c r="ASI33" s="2"/>
      <c r="ASJ33" s="2"/>
      <c r="ASK33" s="2"/>
      <c r="ASL33" s="2"/>
      <c r="ASM33" s="2"/>
      <c r="ASN33" s="2"/>
      <c r="ASO33" s="2"/>
      <c r="ASP33" s="2"/>
      <c r="ASQ33" s="2"/>
      <c r="ASR33" s="2"/>
      <c r="ASS33" s="2"/>
      <c r="AST33" s="2"/>
      <c r="ASU33" s="2"/>
      <c r="ASV33" s="2"/>
      <c r="ASW33" s="2"/>
      <c r="ASX33" s="2"/>
      <c r="ASY33" s="2"/>
      <c r="ASZ33" s="2"/>
      <c r="ATA33" s="2"/>
      <c r="ATB33" s="2"/>
      <c r="ATC33" s="2"/>
      <c r="ATD33" s="2"/>
      <c r="ATE33" s="2"/>
      <c r="ATF33" s="2"/>
      <c r="ATG33" s="2"/>
      <c r="ATH33" s="2"/>
      <c r="ATI33" s="2"/>
      <c r="ATJ33" s="2"/>
      <c r="ATK33" s="2"/>
      <c r="ATL33" s="2"/>
      <c r="ATM33" s="2"/>
      <c r="ATN33" s="2"/>
      <c r="ATO33" s="2"/>
      <c r="ATP33" s="2"/>
      <c r="ATQ33" s="2"/>
      <c r="ATR33" s="2"/>
      <c r="ATS33" s="2"/>
      <c r="ATT33" s="2"/>
      <c r="ATU33" s="2"/>
      <c r="ATV33" s="2"/>
      <c r="ATW33" s="2"/>
      <c r="ATX33" s="2"/>
      <c r="ATY33" s="2"/>
      <c r="ATZ33" s="2"/>
      <c r="AUA33" s="2"/>
      <c r="AUB33" s="2"/>
      <c r="AUC33" s="2"/>
      <c r="AUD33" s="2"/>
      <c r="AUE33" s="2"/>
      <c r="AUF33" s="2"/>
      <c r="AUG33" s="2"/>
      <c r="AUH33" s="2"/>
      <c r="AUI33" s="2"/>
      <c r="AUJ33" s="2"/>
      <c r="AUK33" s="2"/>
      <c r="AUL33" s="2"/>
      <c r="AUM33" s="2"/>
      <c r="AUN33" s="2"/>
      <c r="AUO33" s="2"/>
      <c r="AUP33" s="2"/>
      <c r="AUQ33" s="2"/>
      <c r="AUR33" s="2"/>
      <c r="AUS33" s="2"/>
      <c r="AUT33" s="2"/>
      <c r="AUU33" s="2"/>
      <c r="AUV33" s="2"/>
      <c r="AUW33" s="2"/>
      <c r="AUX33" s="2"/>
      <c r="AUY33" s="2"/>
      <c r="AUZ33" s="2"/>
      <c r="AVA33" s="2"/>
      <c r="AVB33" s="2"/>
      <c r="AVC33" s="2"/>
      <c r="AVD33" s="2"/>
      <c r="AVE33" s="2"/>
      <c r="AVF33" s="2"/>
      <c r="AVG33" s="2"/>
      <c r="AVH33" s="2"/>
      <c r="AVI33" s="2"/>
      <c r="AVJ33" s="2"/>
      <c r="AVK33" s="2"/>
      <c r="AVL33" s="2"/>
      <c r="AVM33" s="2"/>
      <c r="AVN33" s="2"/>
      <c r="AVO33" s="2"/>
      <c r="AVP33" s="2"/>
      <c r="AVQ33" s="2"/>
      <c r="AVR33" s="2"/>
      <c r="AVS33" s="2"/>
      <c r="AVT33" s="2"/>
      <c r="AVU33" s="2"/>
      <c r="AVV33" s="2"/>
      <c r="AVW33" s="2"/>
      <c r="AVX33" s="2"/>
      <c r="AVY33" s="2"/>
      <c r="AVZ33" s="2"/>
      <c r="AWA33" s="2"/>
      <c r="AWB33" s="2"/>
      <c r="AWC33" s="2"/>
      <c r="AWD33" s="2"/>
      <c r="AWE33" s="2"/>
      <c r="AWF33" s="2"/>
      <c r="AWG33" s="2"/>
      <c r="AWH33" s="2"/>
      <c r="AWI33" s="2"/>
      <c r="AWJ33" s="2"/>
      <c r="AWK33" s="2"/>
      <c r="AWL33" s="2"/>
      <c r="AWM33" s="2"/>
      <c r="AWN33" s="2"/>
      <c r="AWO33" s="2"/>
      <c r="AWP33" s="2"/>
      <c r="AWQ33" s="2"/>
      <c r="AWR33" s="2"/>
      <c r="AWS33" s="2"/>
      <c r="AWT33" s="2"/>
      <c r="AWU33" s="2"/>
      <c r="AWV33" s="2"/>
      <c r="AWW33" s="2"/>
      <c r="AWX33" s="2"/>
      <c r="AWY33" s="2"/>
      <c r="AWZ33" s="2"/>
      <c r="AXA33" s="2"/>
      <c r="AXB33" s="2"/>
      <c r="AXC33" s="2"/>
      <c r="AXD33" s="2"/>
      <c r="AXE33" s="2"/>
      <c r="AXF33" s="2"/>
      <c r="AXG33" s="2"/>
      <c r="AXH33" s="2"/>
      <c r="AXI33" s="2"/>
      <c r="AXJ33" s="2"/>
      <c r="AXK33" s="2"/>
      <c r="AXL33" s="2"/>
      <c r="AXM33" s="2"/>
      <c r="AXN33" s="2"/>
      <c r="AXO33" s="2"/>
      <c r="AXP33" s="2"/>
      <c r="AXQ33" s="2"/>
      <c r="AXR33" s="2"/>
      <c r="AXS33" s="2"/>
      <c r="AXT33" s="2"/>
      <c r="AXU33" s="2"/>
      <c r="AXV33" s="2"/>
      <c r="AXW33" s="2"/>
      <c r="AXX33" s="2"/>
      <c r="AXY33" s="2"/>
      <c r="AXZ33" s="2"/>
      <c r="AYA33" s="2"/>
      <c r="AYB33" s="2"/>
      <c r="AYC33" s="2"/>
      <c r="AYD33" s="2"/>
      <c r="AYE33" s="2"/>
      <c r="AYF33" s="2"/>
      <c r="AYG33" s="2"/>
      <c r="AYH33" s="2"/>
      <c r="AYI33" s="2"/>
      <c r="AYJ33" s="2"/>
      <c r="AYK33" s="2"/>
      <c r="AYL33" s="2"/>
      <c r="AYM33" s="2"/>
      <c r="AYN33" s="2"/>
      <c r="AYO33" s="2"/>
      <c r="AYP33" s="2"/>
      <c r="AYQ33" s="2"/>
      <c r="AYR33" s="2"/>
      <c r="AYS33" s="2"/>
      <c r="AYT33" s="2"/>
      <c r="AYU33" s="2"/>
      <c r="AYV33" s="2"/>
      <c r="AYW33" s="2"/>
      <c r="AYX33" s="2"/>
      <c r="AYY33" s="2"/>
      <c r="AYZ33" s="2"/>
      <c r="AZA33" s="2"/>
      <c r="AZB33" s="2"/>
      <c r="AZC33" s="2"/>
      <c r="AZD33" s="2"/>
      <c r="AZE33" s="2"/>
      <c r="AZF33" s="2"/>
      <c r="AZG33" s="2"/>
      <c r="AZH33" s="2"/>
      <c r="AZI33" s="2"/>
      <c r="AZJ33" s="2"/>
      <c r="AZK33" s="2"/>
      <c r="AZL33" s="2"/>
      <c r="AZM33" s="2"/>
      <c r="AZN33" s="2"/>
      <c r="AZO33" s="2"/>
      <c r="AZP33" s="2"/>
      <c r="AZQ33" s="2"/>
      <c r="AZR33" s="2"/>
      <c r="AZS33" s="2"/>
      <c r="AZT33" s="2"/>
      <c r="AZU33" s="2"/>
      <c r="AZV33" s="2"/>
      <c r="AZW33" s="2"/>
      <c r="AZX33" s="2"/>
      <c r="AZY33" s="2"/>
      <c r="AZZ33" s="2"/>
      <c r="BAA33" s="2"/>
      <c r="BAB33" s="2"/>
      <c r="BAC33" s="2"/>
      <c r="BAD33" s="2"/>
      <c r="BAE33" s="2"/>
      <c r="BAF33" s="2"/>
      <c r="BAG33" s="2"/>
      <c r="BAH33" s="2"/>
      <c r="BAI33" s="2"/>
      <c r="BAJ33" s="2"/>
      <c r="BAK33" s="2"/>
      <c r="BAL33" s="2"/>
      <c r="BAM33" s="2"/>
      <c r="BAN33" s="2"/>
      <c r="BAO33" s="2"/>
      <c r="BAP33" s="2"/>
      <c r="BAQ33" s="2"/>
      <c r="BAR33" s="2"/>
      <c r="BAS33" s="2"/>
      <c r="BAT33" s="2"/>
      <c r="BAU33" s="2"/>
      <c r="BAV33" s="2"/>
      <c r="BAW33" s="2"/>
      <c r="BAX33" s="2"/>
      <c r="BAY33" s="2"/>
      <c r="BAZ33" s="2"/>
      <c r="BBA33" s="2"/>
      <c r="BBB33" s="2"/>
      <c r="BBC33" s="2"/>
      <c r="BBD33" s="2"/>
      <c r="BBE33" s="2"/>
      <c r="BBF33" s="2"/>
      <c r="BBG33" s="2"/>
      <c r="BBH33" s="2"/>
      <c r="BBI33" s="2"/>
      <c r="BBJ33" s="2"/>
      <c r="BBK33" s="2"/>
      <c r="BBL33" s="2"/>
      <c r="BBM33" s="2"/>
      <c r="BBN33" s="2"/>
      <c r="BBO33" s="2"/>
      <c r="BBP33" s="2"/>
      <c r="BBQ33" s="2"/>
      <c r="BBR33" s="2"/>
      <c r="BBS33" s="2"/>
      <c r="BBT33" s="2"/>
      <c r="BBU33" s="2"/>
      <c r="BBV33" s="2"/>
      <c r="BBW33" s="2"/>
      <c r="BBX33" s="2"/>
      <c r="BBY33" s="2"/>
      <c r="BBZ33" s="2"/>
      <c r="BCA33" s="2"/>
      <c r="BCB33" s="2"/>
      <c r="BCC33" s="2"/>
      <c r="BCD33" s="2"/>
      <c r="BCE33" s="2"/>
      <c r="BCF33" s="2"/>
      <c r="BCG33" s="2"/>
      <c r="BCH33" s="2"/>
      <c r="BCI33" s="2"/>
      <c r="BCJ33" s="2"/>
      <c r="BCK33" s="2"/>
      <c r="BCL33" s="2"/>
      <c r="BCM33" s="2"/>
      <c r="BCN33" s="2"/>
      <c r="BCO33" s="2"/>
      <c r="BCP33" s="2"/>
      <c r="BCQ33" s="2"/>
      <c r="BCR33" s="2"/>
      <c r="BCS33" s="2"/>
      <c r="BCT33" s="2"/>
      <c r="BCU33" s="2"/>
      <c r="BCV33" s="2"/>
      <c r="BCW33" s="2"/>
      <c r="BCX33" s="2"/>
      <c r="BCY33" s="2"/>
      <c r="BCZ33" s="2"/>
      <c r="BDA33" s="2"/>
      <c r="BDB33" s="2"/>
      <c r="BDC33" s="2"/>
      <c r="BDD33" s="2"/>
      <c r="BDE33" s="2"/>
      <c r="BDF33" s="2"/>
      <c r="BDG33" s="2"/>
      <c r="BDH33" s="2"/>
      <c r="BDI33" s="2"/>
      <c r="BDJ33" s="2"/>
      <c r="BDK33" s="2"/>
      <c r="BDL33" s="2"/>
      <c r="BDM33" s="2"/>
      <c r="BDN33" s="2"/>
      <c r="BDO33" s="2"/>
      <c r="BDP33" s="2"/>
      <c r="BDQ33" s="2"/>
      <c r="BDR33" s="2"/>
      <c r="BDS33" s="2"/>
      <c r="BDT33" s="2"/>
      <c r="BDU33" s="2"/>
      <c r="BDV33" s="2"/>
      <c r="BDW33" s="2"/>
      <c r="BDX33" s="2"/>
      <c r="BDY33" s="2"/>
      <c r="BDZ33" s="2"/>
      <c r="BEA33" s="2"/>
      <c r="BEB33" s="2"/>
      <c r="BEC33" s="2"/>
      <c r="BED33" s="2"/>
      <c r="BEE33" s="2"/>
      <c r="BEF33" s="2"/>
      <c r="BEG33" s="2"/>
      <c r="BEH33" s="2"/>
      <c r="BEI33" s="2"/>
      <c r="BEJ33" s="2"/>
      <c r="BEK33" s="2"/>
      <c r="BEL33" s="2"/>
      <c r="BEM33" s="2"/>
      <c r="BEN33" s="2"/>
      <c r="BEO33" s="2"/>
      <c r="BEP33" s="2"/>
      <c r="BEQ33" s="2"/>
      <c r="BER33" s="2"/>
      <c r="BES33" s="2"/>
      <c r="BET33" s="2"/>
      <c r="BEU33" s="2"/>
      <c r="BEV33" s="2"/>
      <c r="BEW33" s="2"/>
      <c r="BEX33" s="2"/>
      <c r="BEY33" s="2"/>
      <c r="BEZ33" s="2"/>
      <c r="BFA33" s="2"/>
      <c r="BFB33" s="2"/>
      <c r="BFC33" s="2"/>
      <c r="BFD33" s="2"/>
      <c r="BFE33" s="2"/>
      <c r="BFF33" s="2"/>
      <c r="BFG33" s="2"/>
      <c r="BFH33" s="2"/>
      <c r="BFI33" s="2"/>
      <c r="BFJ33" s="2"/>
      <c r="BFK33" s="2"/>
      <c r="BFL33" s="2"/>
      <c r="BFM33" s="2"/>
      <c r="BFN33" s="2"/>
      <c r="BFO33" s="2"/>
      <c r="BFP33" s="2"/>
      <c r="BFQ33" s="2"/>
      <c r="BFR33" s="2"/>
      <c r="BFS33" s="2"/>
      <c r="BFT33" s="2"/>
      <c r="BFU33" s="2"/>
      <c r="BFV33" s="2"/>
      <c r="BFW33" s="2"/>
      <c r="BFX33" s="2"/>
      <c r="BFY33" s="2"/>
      <c r="BFZ33" s="2"/>
      <c r="BGA33" s="2"/>
      <c r="BGB33" s="2"/>
      <c r="BGC33" s="2"/>
      <c r="BGD33" s="2"/>
      <c r="BGE33" s="2"/>
      <c r="BGF33" s="2"/>
      <c r="BGG33" s="2"/>
      <c r="BGH33" s="2"/>
      <c r="BGI33" s="2"/>
      <c r="BGJ33" s="2"/>
      <c r="BGK33" s="2"/>
      <c r="BGL33" s="2"/>
      <c r="BGM33" s="2"/>
      <c r="BGN33" s="2"/>
      <c r="BGO33" s="2"/>
      <c r="BGP33" s="2"/>
      <c r="BGQ33" s="2"/>
      <c r="BGR33" s="2"/>
      <c r="BGS33" s="2"/>
      <c r="BGT33" s="2"/>
      <c r="BGU33" s="2"/>
      <c r="BGV33" s="2"/>
      <c r="BGW33" s="2"/>
      <c r="BGX33" s="2"/>
      <c r="BGY33" s="2"/>
      <c r="BGZ33" s="2"/>
      <c r="BHA33" s="2"/>
      <c r="BHB33" s="2"/>
      <c r="BHC33" s="2"/>
      <c r="BHD33" s="2"/>
      <c r="BHE33" s="2"/>
      <c r="BHF33" s="2"/>
      <c r="BHG33" s="2"/>
      <c r="BHH33" s="2"/>
      <c r="BHI33" s="2"/>
      <c r="BHJ33" s="2"/>
      <c r="BHK33" s="2"/>
      <c r="BHL33" s="2"/>
      <c r="BHM33" s="2"/>
      <c r="BHN33" s="2"/>
      <c r="BHO33" s="2"/>
      <c r="BHP33" s="2"/>
      <c r="BHQ33" s="2"/>
      <c r="BHR33" s="2"/>
      <c r="BHS33" s="2"/>
      <c r="BHT33" s="2"/>
      <c r="BHU33" s="2"/>
      <c r="BHV33" s="2"/>
      <c r="BHW33" s="2"/>
      <c r="BHX33" s="2"/>
      <c r="BHY33" s="2"/>
      <c r="BHZ33" s="2"/>
      <c r="BIA33" s="2"/>
      <c r="BIB33" s="2"/>
      <c r="BIC33" s="2"/>
      <c r="BID33" s="2"/>
      <c r="BIE33" s="2"/>
      <c r="BIF33" s="2"/>
      <c r="BIG33" s="2"/>
      <c r="BIH33" s="2"/>
      <c r="BII33" s="2"/>
      <c r="BIJ33" s="2"/>
      <c r="BIK33" s="2"/>
      <c r="BIL33" s="2"/>
      <c r="BIM33" s="2"/>
      <c r="BIN33" s="2"/>
      <c r="BIO33" s="2"/>
      <c r="BIP33" s="2"/>
      <c r="BIQ33" s="2"/>
      <c r="BIR33" s="2"/>
      <c r="BIS33" s="2"/>
      <c r="BIT33" s="2"/>
      <c r="BIU33" s="2"/>
      <c r="BIV33" s="2"/>
      <c r="BIW33" s="2"/>
      <c r="BIX33" s="2"/>
      <c r="BIY33" s="2"/>
      <c r="BIZ33" s="2"/>
      <c r="BJA33" s="2"/>
      <c r="BJB33" s="2"/>
      <c r="BJC33" s="2"/>
      <c r="BJD33" s="2"/>
      <c r="BJE33" s="2"/>
      <c r="BJF33" s="2"/>
      <c r="BJG33" s="2"/>
      <c r="BJH33" s="2"/>
      <c r="BJI33" s="2"/>
      <c r="BJJ33" s="2"/>
      <c r="BJK33" s="2"/>
      <c r="BJL33" s="2"/>
      <c r="BJM33" s="2"/>
      <c r="BJN33" s="2"/>
      <c r="BJO33" s="2"/>
      <c r="BJP33" s="2"/>
      <c r="BJQ33" s="2"/>
      <c r="BJR33" s="2"/>
      <c r="BJS33" s="2"/>
      <c r="BJT33" s="2"/>
      <c r="BJU33" s="2"/>
      <c r="BJV33" s="2"/>
      <c r="BJW33" s="2"/>
      <c r="BJX33" s="2"/>
      <c r="BJY33" s="2"/>
      <c r="BJZ33" s="2"/>
      <c r="BKA33" s="2"/>
      <c r="BKB33" s="2"/>
      <c r="BKC33" s="2"/>
      <c r="BKD33" s="2"/>
      <c r="BKE33" s="2"/>
      <c r="BKF33" s="2"/>
      <c r="BKG33" s="2"/>
      <c r="BKH33" s="2"/>
      <c r="BKI33" s="2"/>
      <c r="BKJ33" s="2"/>
      <c r="BKK33" s="2"/>
      <c r="BKL33" s="2"/>
      <c r="BKM33" s="2"/>
      <c r="BKN33" s="2"/>
      <c r="BKO33" s="2"/>
      <c r="BKP33" s="2"/>
      <c r="BKQ33" s="2"/>
      <c r="BKR33" s="2"/>
      <c r="BKS33" s="2"/>
      <c r="BKT33" s="2"/>
      <c r="BKU33" s="2"/>
      <c r="BKV33" s="2"/>
      <c r="BKW33" s="2"/>
      <c r="BKX33" s="2"/>
      <c r="BKY33" s="2"/>
      <c r="BKZ33" s="2"/>
      <c r="BLA33" s="2"/>
      <c r="BLB33" s="2"/>
      <c r="BLC33" s="2"/>
      <c r="BLD33" s="2"/>
      <c r="BLE33" s="2"/>
      <c r="BLF33" s="2"/>
      <c r="BLG33" s="2"/>
      <c r="BLH33" s="2"/>
      <c r="BLI33" s="2"/>
      <c r="BLJ33" s="2"/>
      <c r="BLK33" s="2"/>
      <c r="BLL33" s="2"/>
      <c r="BLM33" s="2"/>
      <c r="BLN33" s="2"/>
      <c r="BLO33" s="2"/>
      <c r="BLP33" s="2"/>
      <c r="BLQ33" s="2"/>
      <c r="BLR33" s="2"/>
      <c r="BLS33" s="2"/>
      <c r="BLT33" s="2"/>
      <c r="BLU33" s="2"/>
      <c r="BLV33" s="2"/>
      <c r="BLW33" s="2"/>
      <c r="BLX33" s="2"/>
      <c r="BLY33" s="2"/>
      <c r="BLZ33" s="2"/>
      <c r="BMA33" s="2"/>
      <c r="BMB33" s="2"/>
      <c r="BMC33" s="2"/>
      <c r="BMD33" s="2"/>
      <c r="BME33" s="2"/>
      <c r="BMF33" s="2"/>
      <c r="BMG33" s="2"/>
      <c r="BMH33" s="2"/>
      <c r="BMI33" s="2"/>
      <c r="BMJ33" s="2"/>
      <c r="BMK33" s="2"/>
      <c r="BML33" s="2"/>
      <c r="BMM33" s="2"/>
      <c r="BMN33" s="2"/>
      <c r="BMO33" s="2"/>
      <c r="BMP33" s="2"/>
      <c r="BMQ33" s="2"/>
      <c r="BMR33" s="2"/>
      <c r="BMS33" s="2"/>
      <c r="BMT33" s="2"/>
      <c r="BMU33" s="2"/>
      <c r="BMV33" s="2"/>
      <c r="BMW33" s="2"/>
      <c r="BMX33" s="2"/>
      <c r="BMY33" s="2"/>
      <c r="BMZ33" s="2"/>
      <c r="BNA33" s="2"/>
      <c r="BNB33" s="2"/>
      <c r="BNC33" s="2"/>
      <c r="BND33" s="2"/>
      <c r="BNE33" s="2"/>
      <c r="BNF33" s="2"/>
      <c r="BNG33" s="2"/>
      <c r="BNH33" s="2"/>
      <c r="BNI33" s="2"/>
      <c r="BNJ33" s="2"/>
      <c r="BNK33" s="2"/>
      <c r="BNL33" s="2"/>
      <c r="BNM33" s="2"/>
      <c r="BNN33" s="2"/>
      <c r="BNO33" s="2"/>
      <c r="BNP33" s="2"/>
      <c r="BNQ33" s="2"/>
      <c r="BNR33" s="2"/>
      <c r="BNS33" s="2"/>
      <c r="BNT33" s="2"/>
      <c r="BNU33" s="2"/>
      <c r="BNV33" s="2"/>
      <c r="BNW33" s="2"/>
      <c r="BNX33" s="2"/>
      <c r="BNY33" s="2"/>
      <c r="BNZ33" s="2"/>
      <c r="BOA33" s="2"/>
      <c r="BOB33" s="2"/>
      <c r="BOC33" s="2"/>
      <c r="BOD33" s="2"/>
      <c r="BOE33" s="2"/>
      <c r="BOF33" s="2"/>
      <c r="BOG33" s="2"/>
      <c r="BOH33" s="2"/>
      <c r="BOI33" s="2"/>
      <c r="BOJ33" s="2"/>
      <c r="BOK33" s="2"/>
      <c r="BOL33" s="2"/>
      <c r="BOM33" s="2"/>
      <c r="BON33" s="2"/>
      <c r="BOO33" s="2"/>
      <c r="BOP33" s="2"/>
      <c r="BOQ33" s="2"/>
      <c r="BOR33" s="2"/>
      <c r="BOS33" s="2"/>
      <c r="BOT33" s="2"/>
      <c r="BOU33" s="2"/>
      <c r="BOV33" s="2"/>
      <c r="BOW33" s="2"/>
      <c r="BOX33" s="2"/>
      <c r="BOY33" s="2"/>
      <c r="BOZ33" s="2"/>
      <c r="BPA33" s="2"/>
      <c r="BPB33" s="2"/>
      <c r="BPC33" s="2"/>
      <c r="BPD33" s="2"/>
      <c r="BPE33" s="2"/>
      <c r="BPF33" s="2"/>
      <c r="BPG33" s="2"/>
      <c r="BPH33" s="2"/>
      <c r="BPI33" s="2"/>
      <c r="BPJ33" s="2"/>
      <c r="BPK33" s="2"/>
      <c r="BPL33" s="2"/>
      <c r="BPM33" s="2"/>
      <c r="BPN33" s="2"/>
      <c r="BPO33" s="2"/>
      <c r="BPP33" s="2"/>
      <c r="BPQ33" s="2"/>
      <c r="BPR33" s="2"/>
      <c r="BPS33" s="2"/>
      <c r="BPT33" s="2"/>
      <c r="BPU33" s="2"/>
      <c r="BPV33" s="2"/>
      <c r="BPW33" s="2"/>
      <c r="BPX33" s="2"/>
      <c r="BPY33" s="2"/>
      <c r="BPZ33" s="2"/>
      <c r="BQA33" s="2"/>
      <c r="BQB33" s="2"/>
      <c r="BQC33" s="2"/>
      <c r="BQD33" s="2"/>
      <c r="BQE33" s="2"/>
      <c r="BQF33" s="2"/>
      <c r="BQG33" s="2"/>
      <c r="BQH33" s="2"/>
      <c r="BQI33" s="2"/>
      <c r="BQJ33" s="2"/>
      <c r="BQK33" s="2"/>
      <c r="BQL33" s="2"/>
      <c r="BQM33" s="2"/>
      <c r="BQN33" s="2"/>
      <c r="BQO33" s="2"/>
      <c r="BQP33" s="2"/>
      <c r="BQQ33" s="2"/>
      <c r="BQR33" s="2"/>
      <c r="BQS33" s="2"/>
      <c r="BQT33" s="2"/>
      <c r="BQU33" s="2"/>
      <c r="BQV33" s="2"/>
      <c r="BQW33" s="2"/>
      <c r="BQX33" s="2"/>
      <c r="BQY33" s="2"/>
      <c r="BQZ33" s="2"/>
      <c r="BRA33" s="2"/>
      <c r="BRB33" s="2"/>
      <c r="BRC33" s="2"/>
      <c r="BRD33" s="2"/>
      <c r="BRE33" s="2"/>
      <c r="BRF33" s="2"/>
      <c r="BRG33" s="2"/>
      <c r="BRH33" s="2"/>
      <c r="BRI33" s="2"/>
      <c r="BRJ33" s="2"/>
      <c r="BRK33" s="2"/>
      <c r="BRL33" s="2"/>
      <c r="BRM33" s="2"/>
      <c r="BRN33" s="2"/>
      <c r="BRO33" s="2"/>
      <c r="BRP33" s="2"/>
      <c r="BRQ33" s="2"/>
      <c r="BRR33" s="2"/>
      <c r="BRS33" s="2"/>
      <c r="BRT33" s="2"/>
      <c r="BRU33" s="2"/>
      <c r="BRV33" s="2"/>
      <c r="BRW33" s="2"/>
      <c r="BRX33" s="2"/>
      <c r="BRY33" s="2"/>
      <c r="BRZ33" s="2"/>
      <c r="BSA33" s="2"/>
      <c r="BSB33" s="2"/>
      <c r="BSC33" s="2"/>
      <c r="BSD33" s="2"/>
      <c r="BSE33" s="2"/>
      <c r="BSF33" s="2"/>
      <c r="BSG33" s="2"/>
      <c r="BSH33" s="2"/>
      <c r="BSI33" s="2"/>
      <c r="BSJ33" s="2"/>
      <c r="BSK33" s="2"/>
      <c r="BSL33" s="2"/>
      <c r="BSM33" s="2"/>
      <c r="BSN33" s="2"/>
      <c r="BSO33" s="2"/>
      <c r="BSP33" s="2"/>
      <c r="BSQ33" s="2"/>
      <c r="BSR33" s="2"/>
      <c r="BSS33" s="2"/>
      <c r="BST33" s="2"/>
      <c r="BSU33" s="2"/>
      <c r="BSV33" s="2"/>
      <c r="BSW33" s="2"/>
      <c r="BSX33" s="2"/>
      <c r="BSY33" s="2"/>
      <c r="BSZ33" s="2"/>
      <c r="BTA33" s="2"/>
      <c r="BTB33" s="2"/>
      <c r="BTC33" s="2"/>
      <c r="BTD33" s="2"/>
      <c r="BTE33" s="2"/>
      <c r="BTF33" s="2"/>
      <c r="BTG33" s="2"/>
      <c r="BTH33" s="2"/>
      <c r="BTI33" s="2"/>
      <c r="BTJ33" s="2"/>
      <c r="BTK33" s="2"/>
      <c r="BTL33" s="2"/>
      <c r="BTM33" s="2"/>
      <c r="BTN33" s="2"/>
      <c r="BTO33" s="2"/>
      <c r="BTP33" s="2"/>
      <c r="BTQ33" s="2"/>
      <c r="BTR33" s="2"/>
      <c r="BTS33" s="2"/>
      <c r="BTT33" s="2"/>
      <c r="BTU33" s="2"/>
      <c r="BTV33" s="2"/>
      <c r="BTW33" s="2"/>
      <c r="BTX33" s="2"/>
      <c r="BTY33" s="2"/>
      <c r="BTZ33" s="2"/>
      <c r="BUA33" s="2"/>
      <c r="BUB33" s="2"/>
      <c r="BUC33" s="2"/>
      <c r="BUD33" s="2"/>
      <c r="BUE33" s="2"/>
      <c r="BUF33" s="2"/>
      <c r="BUG33" s="2"/>
      <c r="BUH33" s="2"/>
      <c r="BUI33" s="2"/>
      <c r="BUJ33" s="2"/>
      <c r="BUK33" s="2"/>
      <c r="BUL33" s="2"/>
      <c r="BUM33" s="2"/>
      <c r="BUN33" s="2"/>
      <c r="BUO33" s="2"/>
      <c r="BUP33" s="2"/>
      <c r="BUQ33" s="2"/>
      <c r="BUR33" s="2"/>
      <c r="BUS33" s="2"/>
      <c r="BUT33" s="2"/>
      <c r="BUU33" s="2"/>
      <c r="BUV33" s="2"/>
      <c r="BUW33" s="2"/>
      <c r="BUX33" s="2"/>
      <c r="BUY33" s="2"/>
      <c r="BUZ33" s="2"/>
      <c r="BVA33" s="2"/>
      <c r="BVB33" s="2"/>
      <c r="BVC33" s="2"/>
      <c r="BVD33" s="2"/>
      <c r="BVE33" s="2"/>
      <c r="BVF33" s="2"/>
      <c r="BVG33" s="2"/>
      <c r="BVH33" s="2"/>
      <c r="BVI33" s="2"/>
      <c r="BVJ33" s="2"/>
      <c r="BVK33" s="2"/>
      <c r="BVL33" s="2"/>
      <c r="BVM33" s="2"/>
      <c r="BVN33" s="2"/>
      <c r="BVO33" s="2"/>
      <c r="BVP33" s="2"/>
      <c r="BVQ33" s="2"/>
      <c r="BVR33" s="2"/>
      <c r="BVS33" s="2"/>
      <c r="BVT33" s="2"/>
      <c r="BVU33" s="2"/>
      <c r="BVV33" s="2"/>
      <c r="BVW33" s="2"/>
      <c r="BVX33" s="2"/>
      <c r="BVY33" s="2"/>
      <c r="BVZ33" s="2"/>
      <c r="BWA33" s="2"/>
      <c r="BWB33" s="2"/>
      <c r="BWC33" s="2"/>
      <c r="BWD33" s="2"/>
      <c r="BWE33" s="2"/>
      <c r="BWF33" s="2"/>
      <c r="BWG33" s="2"/>
      <c r="BWH33" s="2"/>
      <c r="BWI33" s="2"/>
      <c r="BWJ33" s="2"/>
      <c r="BWK33" s="2"/>
      <c r="BWL33" s="2"/>
      <c r="BWM33" s="2"/>
      <c r="BWN33" s="2"/>
      <c r="BWO33" s="2"/>
      <c r="BWP33" s="2"/>
      <c r="BWQ33" s="2"/>
      <c r="BWR33" s="2"/>
      <c r="BWS33" s="2"/>
      <c r="BWT33" s="2"/>
      <c r="BWU33" s="2"/>
      <c r="BWV33" s="2"/>
      <c r="BWW33" s="2"/>
      <c r="BWX33" s="2"/>
      <c r="BWY33" s="2"/>
      <c r="BWZ33" s="2"/>
      <c r="BXA33" s="2"/>
      <c r="BXB33" s="2"/>
      <c r="BXC33" s="2"/>
      <c r="BXD33" s="2"/>
      <c r="BXE33" s="2"/>
      <c r="BXF33" s="2"/>
      <c r="BXG33" s="2"/>
      <c r="BXH33" s="2"/>
      <c r="BXI33" s="2"/>
      <c r="BXJ33" s="2"/>
      <c r="BXK33" s="2"/>
      <c r="BXL33" s="2"/>
      <c r="BXM33" s="2"/>
      <c r="BXN33" s="2"/>
      <c r="BXO33" s="2"/>
      <c r="BXP33" s="2"/>
      <c r="BXQ33" s="2"/>
      <c r="BXR33" s="2"/>
      <c r="BXS33" s="2"/>
      <c r="BXT33" s="2"/>
      <c r="BXU33" s="2"/>
      <c r="BXV33" s="2"/>
      <c r="BXW33" s="2"/>
      <c r="BXX33" s="2"/>
      <c r="BXY33" s="2"/>
      <c r="BXZ33" s="2"/>
      <c r="BYA33" s="2"/>
      <c r="BYB33" s="2"/>
      <c r="BYC33" s="2"/>
      <c r="BYD33" s="2"/>
      <c r="BYE33" s="2"/>
      <c r="BYF33" s="2"/>
      <c r="BYG33" s="2"/>
      <c r="BYH33" s="2"/>
      <c r="BYI33" s="2"/>
      <c r="BYJ33" s="2"/>
      <c r="BYK33" s="2"/>
      <c r="BYL33" s="2"/>
      <c r="BYM33" s="2"/>
      <c r="BYN33" s="2"/>
      <c r="BYO33" s="2"/>
      <c r="BYP33" s="2"/>
      <c r="BYQ33" s="2"/>
      <c r="BYR33" s="2"/>
      <c r="BYS33" s="2"/>
      <c r="BYT33" s="2"/>
      <c r="BYU33" s="2"/>
      <c r="BYV33" s="2"/>
      <c r="BYW33" s="2"/>
      <c r="BYX33" s="2"/>
      <c r="BYY33" s="2"/>
      <c r="BYZ33" s="2"/>
      <c r="BZA33" s="2"/>
      <c r="BZB33" s="2"/>
      <c r="BZC33" s="2"/>
      <c r="BZD33" s="2"/>
      <c r="BZE33" s="2"/>
      <c r="BZF33" s="2"/>
      <c r="BZG33" s="2"/>
      <c r="BZH33" s="2"/>
      <c r="BZI33" s="2"/>
      <c r="BZJ33" s="2"/>
      <c r="BZK33" s="2"/>
      <c r="BZL33" s="2"/>
      <c r="BZM33" s="2"/>
      <c r="BZN33" s="2"/>
      <c r="BZO33" s="2"/>
      <c r="BZP33" s="2"/>
      <c r="BZQ33" s="2"/>
      <c r="BZR33" s="2"/>
      <c r="BZS33" s="2"/>
      <c r="BZT33" s="2"/>
      <c r="BZU33" s="2"/>
      <c r="BZV33" s="2"/>
      <c r="BZW33" s="2"/>
      <c r="BZX33" s="2"/>
      <c r="BZY33" s="2"/>
      <c r="BZZ33" s="2"/>
      <c r="CAA33" s="2"/>
      <c r="CAB33" s="2"/>
      <c r="CAC33" s="2"/>
      <c r="CAD33" s="2"/>
      <c r="CAE33" s="2"/>
      <c r="CAF33" s="2"/>
      <c r="CAG33" s="2"/>
      <c r="CAH33" s="2"/>
      <c r="CAI33" s="2"/>
      <c r="CAJ33" s="2"/>
      <c r="CAK33" s="2"/>
      <c r="CAL33" s="2"/>
      <c r="CAM33" s="2"/>
      <c r="CAN33" s="2"/>
      <c r="CAO33" s="2"/>
      <c r="CAP33" s="2"/>
      <c r="CAQ33" s="2"/>
      <c r="CAR33" s="2"/>
      <c r="CAS33" s="2"/>
      <c r="CAT33" s="2"/>
      <c r="CAU33" s="2"/>
      <c r="CAV33" s="2"/>
      <c r="CAW33" s="2"/>
      <c r="CAX33" s="2"/>
      <c r="CAY33" s="2"/>
      <c r="CAZ33" s="2"/>
      <c r="CBA33" s="2"/>
      <c r="CBB33" s="2"/>
      <c r="CBC33" s="2"/>
      <c r="CBD33" s="2"/>
      <c r="CBE33" s="2"/>
      <c r="CBF33" s="2"/>
      <c r="CBG33" s="2"/>
      <c r="CBH33" s="2"/>
      <c r="CBI33" s="2"/>
      <c r="CBJ33" s="2"/>
      <c r="CBK33" s="2"/>
      <c r="CBL33" s="2"/>
      <c r="CBM33" s="2"/>
      <c r="CBN33" s="2"/>
      <c r="CBO33" s="2"/>
      <c r="CBP33" s="2"/>
      <c r="CBQ33" s="2"/>
      <c r="CBR33" s="2"/>
      <c r="CBS33" s="2"/>
      <c r="CBT33" s="2"/>
      <c r="CBU33" s="2"/>
      <c r="CBV33" s="2"/>
      <c r="CBW33" s="2"/>
      <c r="CBX33" s="2"/>
      <c r="CBY33" s="2"/>
      <c r="CBZ33" s="2"/>
      <c r="CCA33" s="2"/>
      <c r="CCB33" s="2"/>
      <c r="CCC33" s="2"/>
      <c r="CCD33" s="2"/>
      <c r="CCE33" s="2"/>
      <c r="CCF33" s="2"/>
      <c r="CCG33" s="2"/>
      <c r="CCH33" s="2"/>
      <c r="CCI33" s="2"/>
      <c r="CCJ33" s="2"/>
      <c r="CCK33" s="2"/>
      <c r="CCL33" s="2"/>
      <c r="CCM33" s="2"/>
      <c r="CCN33" s="2"/>
      <c r="CCO33" s="2"/>
      <c r="CCP33" s="2"/>
      <c r="CCQ33" s="2"/>
      <c r="CCR33" s="2"/>
      <c r="CCS33" s="2"/>
      <c r="CCT33" s="2"/>
      <c r="CCU33" s="2"/>
      <c r="CCV33" s="2"/>
      <c r="CCW33" s="2"/>
      <c r="CCX33" s="2"/>
      <c r="CCY33" s="2"/>
      <c r="CCZ33" s="2"/>
      <c r="CDA33" s="2"/>
      <c r="CDB33" s="2"/>
      <c r="CDC33" s="2"/>
      <c r="CDD33" s="2"/>
      <c r="CDE33" s="2"/>
      <c r="CDF33" s="2"/>
      <c r="CDG33" s="2"/>
      <c r="CDH33" s="2"/>
      <c r="CDI33" s="2"/>
      <c r="CDJ33" s="2"/>
      <c r="CDK33" s="2"/>
      <c r="CDL33" s="2"/>
      <c r="CDM33" s="2"/>
      <c r="CDN33" s="2"/>
      <c r="CDO33" s="2"/>
      <c r="CDP33" s="2"/>
      <c r="CDQ33" s="2"/>
      <c r="CDR33" s="2"/>
      <c r="CDS33" s="2"/>
      <c r="CDT33" s="2"/>
      <c r="CDU33" s="2"/>
      <c r="CDV33" s="2"/>
      <c r="CDW33" s="2"/>
      <c r="CDX33" s="2"/>
      <c r="CDY33" s="2"/>
      <c r="CDZ33" s="2"/>
      <c r="CEA33" s="2"/>
      <c r="CEB33" s="2"/>
      <c r="CEC33" s="2"/>
      <c r="CED33" s="2"/>
      <c r="CEE33" s="2"/>
      <c r="CEF33" s="2"/>
      <c r="CEG33" s="2"/>
      <c r="CEH33" s="2"/>
      <c r="CEI33" s="2"/>
      <c r="CEJ33" s="2"/>
      <c r="CEK33" s="2"/>
      <c r="CEL33" s="2"/>
      <c r="CEM33" s="2"/>
      <c r="CEN33" s="2"/>
      <c r="CEO33" s="2"/>
      <c r="CEP33" s="2"/>
      <c r="CEQ33" s="2"/>
      <c r="CER33" s="2"/>
      <c r="CES33" s="2"/>
      <c r="CET33" s="2"/>
      <c r="CEU33" s="2"/>
      <c r="CEV33" s="2"/>
      <c r="CEW33" s="2"/>
      <c r="CEX33" s="2"/>
      <c r="CEY33" s="2"/>
      <c r="CEZ33" s="2"/>
      <c r="CFA33" s="2"/>
      <c r="CFB33" s="2"/>
      <c r="CFC33" s="2"/>
      <c r="CFD33" s="2"/>
      <c r="CFE33" s="2"/>
      <c r="CFF33" s="2"/>
      <c r="CFG33" s="2"/>
      <c r="CFH33" s="2"/>
      <c r="CFI33" s="2"/>
      <c r="CFJ33" s="2"/>
      <c r="CFK33" s="2"/>
      <c r="CFL33" s="2"/>
      <c r="CFM33" s="2"/>
      <c r="CFN33" s="2"/>
      <c r="CFO33" s="2"/>
      <c r="CFP33" s="2"/>
      <c r="CFQ33" s="2"/>
      <c r="CFR33" s="2"/>
      <c r="CFS33" s="2"/>
      <c r="CFT33" s="2"/>
      <c r="CFU33" s="2"/>
      <c r="CFV33" s="2"/>
      <c r="CFW33" s="2"/>
      <c r="CFX33" s="2"/>
      <c r="CFY33" s="2"/>
      <c r="CFZ33" s="2"/>
      <c r="CGA33" s="2"/>
      <c r="CGB33" s="2"/>
      <c r="CGC33" s="2"/>
      <c r="CGD33" s="2"/>
      <c r="CGE33" s="2"/>
      <c r="CGF33" s="2"/>
      <c r="CGG33" s="2"/>
      <c r="CGH33" s="2"/>
      <c r="CGI33" s="2"/>
      <c r="CGJ33" s="2"/>
      <c r="CGK33" s="2"/>
      <c r="CGL33" s="2"/>
      <c r="CGM33" s="2"/>
      <c r="CGN33" s="2"/>
      <c r="CGO33" s="2"/>
      <c r="CGP33" s="2"/>
      <c r="CGQ33" s="2"/>
      <c r="CGR33" s="2"/>
      <c r="CGS33" s="2"/>
      <c r="CGT33" s="2"/>
      <c r="CGU33" s="2"/>
      <c r="CGV33" s="2"/>
      <c r="CGW33" s="2"/>
      <c r="CGX33" s="2"/>
      <c r="CGY33" s="2"/>
      <c r="CGZ33" s="2"/>
      <c r="CHA33" s="2"/>
      <c r="CHB33" s="2"/>
      <c r="CHC33" s="2"/>
      <c r="CHD33" s="2"/>
      <c r="CHE33" s="2"/>
      <c r="CHF33" s="2"/>
      <c r="CHG33" s="2"/>
      <c r="CHH33" s="2"/>
      <c r="CHI33" s="2"/>
      <c r="CHJ33" s="2"/>
      <c r="CHK33" s="2"/>
      <c r="CHL33" s="2"/>
      <c r="CHM33" s="2"/>
      <c r="CHN33" s="2"/>
      <c r="CHO33" s="2"/>
      <c r="CHP33" s="2"/>
      <c r="CHQ33" s="2"/>
      <c r="CHR33" s="2"/>
      <c r="CHS33" s="2"/>
      <c r="CHT33" s="2"/>
      <c r="CHU33" s="2"/>
      <c r="CHV33" s="2"/>
      <c r="CHW33" s="2"/>
      <c r="CHX33" s="2"/>
      <c r="CHY33" s="2"/>
      <c r="CHZ33" s="2"/>
      <c r="CIA33" s="2"/>
      <c r="CIB33" s="2"/>
      <c r="CIC33" s="2"/>
      <c r="CID33" s="2"/>
      <c r="CIE33" s="2"/>
      <c r="CIF33" s="2"/>
      <c r="CIG33" s="2"/>
      <c r="CIH33" s="2"/>
      <c r="CII33" s="2"/>
      <c r="CIJ33" s="2"/>
      <c r="CIK33" s="2"/>
      <c r="CIL33" s="2"/>
      <c r="CIM33" s="2"/>
      <c r="CIN33" s="2"/>
      <c r="CIO33" s="2"/>
      <c r="CIP33" s="2"/>
      <c r="CIQ33" s="2"/>
      <c r="CIR33" s="2"/>
      <c r="CIS33" s="2"/>
      <c r="CIT33" s="2"/>
      <c r="CIU33" s="2"/>
      <c r="CIV33" s="2"/>
      <c r="CIW33" s="2"/>
      <c r="CIX33" s="2"/>
      <c r="CIY33" s="2"/>
      <c r="CIZ33" s="2"/>
      <c r="CJA33" s="2"/>
      <c r="CJB33" s="2"/>
      <c r="CJC33" s="2"/>
      <c r="CJD33" s="2"/>
      <c r="CJE33" s="2"/>
      <c r="CJF33" s="2"/>
      <c r="CJG33" s="2"/>
      <c r="CJH33" s="2"/>
      <c r="CJI33" s="2"/>
      <c r="CJJ33" s="2"/>
      <c r="CJK33" s="2"/>
      <c r="CJL33" s="2"/>
      <c r="CJM33" s="2"/>
      <c r="CJN33" s="2"/>
      <c r="CJO33" s="2"/>
      <c r="CJP33" s="2"/>
      <c r="CJQ33" s="2"/>
      <c r="CJR33" s="2"/>
      <c r="CJS33" s="2"/>
      <c r="CJT33" s="2"/>
      <c r="CJU33" s="2"/>
      <c r="CJV33" s="2"/>
      <c r="CJW33" s="2"/>
      <c r="CJX33" s="2"/>
      <c r="CJY33" s="2"/>
      <c r="CJZ33" s="2"/>
      <c r="CKA33" s="2"/>
      <c r="CKB33" s="2"/>
      <c r="CKC33" s="2"/>
      <c r="CKD33" s="2"/>
      <c r="CKE33" s="2"/>
      <c r="CKF33" s="2"/>
      <c r="CKG33" s="2"/>
      <c r="CKH33" s="2"/>
      <c r="CKI33" s="2"/>
      <c r="CKJ33" s="2"/>
      <c r="CKK33" s="2"/>
      <c r="CKL33" s="2"/>
      <c r="CKM33" s="2"/>
      <c r="CKN33" s="2"/>
      <c r="CKO33" s="2"/>
      <c r="CKP33" s="2"/>
      <c r="CKQ33" s="2"/>
      <c r="CKR33" s="2"/>
      <c r="CKS33" s="2"/>
      <c r="CKT33" s="2"/>
      <c r="CKU33" s="2"/>
      <c r="CKV33" s="2"/>
      <c r="CKW33" s="2"/>
      <c r="CKX33" s="2"/>
      <c r="CKY33" s="2"/>
      <c r="CKZ33" s="2"/>
      <c r="CLA33" s="2"/>
      <c r="CLB33" s="2"/>
      <c r="CLC33" s="2"/>
      <c r="CLD33" s="2"/>
      <c r="CLE33" s="2"/>
      <c r="CLF33" s="2"/>
      <c r="CLG33" s="2"/>
      <c r="CLH33" s="2"/>
      <c r="CLI33" s="2"/>
      <c r="CLJ33" s="2"/>
      <c r="CLK33" s="2"/>
      <c r="CLL33" s="2"/>
      <c r="CLM33" s="2"/>
      <c r="CLN33" s="2"/>
      <c r="CLO33" s="2"/>
      <c r="CLP33" s="2"/>
      <c r="CLQ33" s="2"/>
      <c r="CLR33" s="2"/>
      <c r="CLS33" s="2"/>
      <c r="CLT33" s="2"/>
      <c r="CLU33" s="2"/>
      <c r="CLV33" s="2"/>
      <c r="CLW33" s="2"/>
      <c r="CLX33" s="2"/>
      <c r="CLY33" s="2"/>
      <c r="CLZ33" s="2"/>
      <c r="CMA33" s="2"/>
      <c r="CMB33" s="2"/>
      <c r="CMC33" s="2"/>
      <c r="CMD33" s="2"/>
      <c r="CME33" s="2"/>
      <c r="CMF33" s="2"/>
      <c r="CMG33" s="2"/>
      <c r="CMH33" s="2"/>
      <c r="CMI33" s="2"/>
      <c r="CMJ33" s="2"/>
      <c r="CMK33" s="2"/>
      <c r="CML33" s="2"/>
      <c r="CMM33" s="2"/>
      <c r="CMN33" s="2"/>
      <c r="CMO33" s="2"/>
      <c r="CMP33" s="2"/>
      <c r="CMQ33" s="2"/>
      <c r="CMR33" s="2"/>
      <c r="CMS33" s="2"/>
      <c r="CMT33" s="2"/>
      <c r="CMU33" s="2"/>
      <c r="CMV33" s="2"/>
      <c r="CMW33" s="2"/>
      <c r="CMX33" s="2"/>
      <c r="CMY33" s="2"/>
      <c r="CMZ33" s="2"/>
      <c r="CNA33" s="2"/>
      <c r="CNB33" s="2"/>
      <c r="CNC33" s="2"/>
      <c r="CND33" s="2"/>
      <c r="CNE33" s="2"/>
      <c r="CNF33" s="2"/>
      <c r="CNG33" s="2"/>
      <c r="CNH33" s="2"/>
      <c r="CNI33" s="2"/>
      <c r="CNJ33" s="2"/>
      <c r="CNK33" s="2"/>
      <c r="CNL33" s="2"/>
      <c r="CNM33" s="2"/>
      <c r="CNN33" s="2"/>
      <c r="CNO33" s="2"/>
      <c r="CNP33" s="2"/>
      <c r="CNQ33" s="2"/>
      <c r="CNR33" s="2"/>
      <c r="CNS33" s="2"/>
      <c r="CNT33" s="2"/>
      <c r="CNU33" s="2"/>
      <c r="CNV33" s="2"/>
      <c r="CNW33" s="2"/>
      <c r="CNX33" s="2"/>
      <c r="CNY33" s="2"/>
      <c r="CNZ33" s="2"/>
      <c r="COA33" s="2"/>
      <c r="COB33" s="2"/>
      <c r="COC33" s="2"/>
      <c r="COD33" s="2"/>
      <c r="COE33" s="2"/>
      <c r="COF33" s="2"/>
      <c r="COG33" s="2"/>
      <c r="COH33" s="2"/>
      <c r="COI33" s="2"/>
      <c r="COJ33" s="2"/>
      <c r="COK33" s="2"/>
      <c r="COL33" s="2"/>
      <c r="COM33" s="2"/>
      <c r="CON33" s="2"/>
      <c r="COO33" s="2"/>
      <c r="COP33" s="2"/>
      <c r="COQ33" s="2"/>
      <c r="COR33" s="2"/>
      <c r="COS33" s="2"/>
      <c r="COT33" s="2"/>
      <c r="COU33" s="2"/>
      <c r="COV33" s="2"/>
      <c r="COW33" s="2"/>
      <c r="COX33" s="2"/>
      <c r="COY33" s="2"/>
      <c r="COZ33" s="2"/>
      <c r="CPA33" s="2"/>
      <c r="CPB33" s="2"/>
      <c r="CPC33" s="2"/>
      <c r="CPD33" s="2"/>
      <c r="CPE33" s="2"/>
      <c r="CPF33" s="2"/>
      <c r="CPG33" s="2"/>
      <c r="CPH33" s="2"/>
      <c r="CPI33" s="2"/>
      <c r="CPJ33" s="2"/>
      <c r="CPK33" s="2"/>
      <c r="CPL33" s="2"/>
      <c r="CPM33" s="2"/>
      <c r="CPN33" s="2"/>
      <c r="CPO33" s="2"/>
      <c r="CPP33" s="2"/>
      <c r="CPQ33" s="2"/>
      <c r="CPR33" s="2"/>
      <c r="CPS33" s="2"/>
      <c r="CPT33" s="2"/>
      <c r="CPU33" s="2"/>
      <c r="CPV33" s="2"/>
      <c r="CPW33" s="2"/>
      <c r="CPX33" s="2"/>
      <c r="CPY33" s="2"/>
      <c r="CPZ33" s="2"/>
      <c r="CQA33" s="2"/>
      <c r="CQB33" s="2"/>
      <c r="CQC33" s="2"/>
      <c r="CQD33" s="2"/>
      <c r="CQE33" s="2"/>
      <c r="CQF33" s="2"/>
      <c r="CQG33" s="2"/>
      <c r="CQH33" s="2"/>
      <c r="CQI33" s="2"/>
      <c r="CQJ33" s="2"/>
      <c r="CQK33" s="2"/>
      <c r="CQL33" s="2"/>
      <c r="CQM33" s="2"/>
      <c r="CQN33" s="2"/>
      <c r="CQO33" s="2"/>
      <c r="CQP33" s="2"/>
      <c r="CQQ33" s="2"/>
      <c r="CQR33" s="2"/>
      <c r="CQS33" s="2"/>
      <c r="CQT33" s="2"/>
      <c r="CQU33" s="2"/>
      <c r="CQV33" s="2"/>
      <c r="CQW33" s="2"/>
      <c r="CQX33" s="2"/>
      <c r="CQY33" s="2"/>
      <c r="CQZ33" s="2"/>
      <c r="CRA33" s="2"/>
      <c r="CRB33" s="2"/>
      <c r="CRC33" s="2"/>
      <c r="CRD33" s="2"/>
      <c r="CRE33" s="2"/>
      <c r="CRF33" s="2"/>
      <c r="CRG33" s="2"/>
      <c r="CRH33" s="2"/>
      <c r="CRI33" s="2"/>
      <c r="CRJ33" s="2"/>
      <c r="CRK33" s="2"/>
      <c r="CRL33" s="2"/>
      <c r="CRM33" s="2"/>
      <c r="CRN33" s="2"/>
      <c r="CRO33" s="2"/>
      <c r="CRP33" s="2"/>
      <c r="CRQ33" s="2"/>
      <c r="CRR33" s="2"/>
      <c r="CRS33" s="2"/>
      <c r="CRT33" s="2"/>
      <c r="CRU33" s="2"/>
      <c r="CRV33" s="2"/>
      <c r="CRW33" s="2"/>
      <c r="CRX33" s="2"/>
      <c r="CRY33" s="2"/>
      <c r="CRZ33" s="2"/>
      <c r="CSA33" s="2"/>
      <c r="CSB33" s="2"/>
      <c r="CSC33" s="2"/>
      <c r="CSD33" s="2"/>
      <c r="CSE33" s="2"/>
      <c r="CSF33" s="2"/>
      <c r="CSG33" s="2"/>
      <c r="CSH33" s="2"/>
      <c r="CSI33" s="2"/>
      <c r="CSJ33" s="2"/>
      <c r="CSK33" s="2"/>
      <c r="CSL33" s="2"/>
      <c r="CSM33" s="2"/>
      <c r="CSN33" s="2"/>
      <c r="CSO33" s="2"/>
      <c r="CSP33" s="2"/>
      <c r="CSQ33" s="2"/>
      <c r="CSR33" s="2"/>
      <c r="CSS33" s="2"/>
      <c r="CST33" s="2"/>
      <c r="CSU33" s="2"/>
      <c r="CSV33" s="2"/>
      <c r="CSW33" s="2"/>
      <c r="CSX33" s="2"/>
      <c r="CSY33" s="2"/>
      <c r="CSZ33" s="2"/>
      <c r="CTA33" s="2"/>
      <c r="CTB33" s="2"/>
      <c r="CTC33" s="2"/>
      <c r="CTD33" s="2"/>
      <c r="CTE33" s="2"/>
      <c r="CTF33" s="2"/>
      <c r="CTG33" s="2"/>
      <c r="CTH33" s="2"/>
      <c r="CTI33" s="2"/>
      <c r="CTJ33" s="2"/>
      <c r="CTK33" s="2"/>
      <c r="CTL33" s="2"/>
      <c r="CTM33" s="2"/>
      <c r="CTN33" s="2"/>
      <c r="CTO33" s="2"/>
      <c r="CTP33" s="2"/>
      <c r="CTQ33" s="2"/>
      <c r="CTR33" s="2"/>
      <c r="CTS33" s="2"/>
      <c r="CTT33" s="2"/>
      <c r="CTU33" s="2"/>
      <c r="CTV33" s="2"/>
      <c r="CTW33" s="2"/>
      <c r="CTX33" s="2"/>
      <c r="CTY33" s="2"/>
      <c r="CTZ33" s="2"/>
      <c r="CUA33" s="2"/>
      <c r="CUB33" s="2"/>
      <c r="CUC33" s="2"/>
      <c r="CUD33" s="2"/>
      <c r="CUE33" s="2"/>
      <c r="CUF33" s="2"/>
      <c r="CUG33" s="2"/>
      <c r="CUH33" s="2"/>
      <c r="CUI33" s="2"/>
      <c r="CUJ33" s="2"/>
      <c r="CUK33" s="2"/>
      <c r="CUL33" s="2"/>
      <c r="CUM33" s="2"/>
      <c r="CUN33" s="2"/>
      <c r="CUO33" s="2"/>
      <c r="CUP33" s="2"/>
      <c r="CUQ33" s="2"/>
      <c r="CUR33" s="2"/>
      <c r="CUS33" s="2"/>
      <c r="CUT33" s="2"/>
      <c r="CUU33" s="2"/>
      <c r="CUV33" s="2"/>
      <c r="CUW33" s="2"/>
      <c r="CUX33" s="2"/>
      <c r="CUY33" s="2"/>
      <c r="CUZ33" s="2"/>
      <c r="CVA33" s="2"/>
      <c r="CVB33" s="2"/>
      <c r="CVC33" s="2"/>
      <c r="CVD33" s="2"/>
      <c r="CVE33" s="2"/>
      <c r="CVF33" s="2"/>
      <c r="CVG33" s="2"/>
      <c r="CVH33" s="2"/>
      <c r="CVI33" s="2"/>
      <c r="CVJ33" s="2"/>
      <c r="CVK33" s="2"/>
      <c r="CVL33" s="2"/>
      <c r="CVM33" s="2"/>
      <c r="CVN33" s="2"/>
      <c r="CVO33" s="2"/>
      <c r="CVP33" s="2"/>
      <c r="CVQ33" s="2"/>
      <c r="CVR33" s="2"/>
      <c r="CVS33" s="2"/>
      <c r="CVT33" s="2"/>
      <c r="CVU33" s="2"/>
      <c r="CVV33" s="2"/>
      <c r="CVW33" s="2"/>
      <c r="CVX33" s="2"/>
      <c r="CVY33" s="2"/>
      <c r="CVZ33" s="2"/>
      <c r="CWA33" s="2"/>
      <c r="CWB33" s="2"/>
      <c r="CWC33" s="2"/>
      <c r="CWD33" s="2"/>
      <c r="CWE33" s="2"/>
      <c r="CWF33" s="2"/>
      <c r="CWG33" s="2"/>
      <c r="CWH33" s="2"/>
      <c r="CWI33" s="2"/>
      <c r="CWJ33" s="2"/>
      <c r="CWK33" s="2"/>
      <c r="CWL33" s="2"/>
      <c r="CWM33" s="2"/>
      <c r="CWN33" s="2"/>
      <c r="CWO33" s="2"/>
      <c r="CWP33" s="2"/>
      <c r="CWQ33" s="2"/>
      <c r="CWR33" s="2"/>
      <c r="CWS33" s="2"/>
      <c r="CWT33" s="2"/>
      <c r="CWU33" s="2"/>
      <c r="CWV33" s="2"/>
      <c r="CWW33" s="2"/>
      <c r="CWX33" s="2"/>
      <c r="CWY33" s="2"/>
      <c r="CWZ33" s="2"/>
      <c r="CXA33" s="2"/>
      <c r="CXB33" s="2"/>
      <c r="CXC33" s="2"/>
      <c r="CXD33" s="2"/>
      <c r="CXE33" s="2"/>
      <c r="CXF33" s="2"/>
      <c r="CXG33" s="2"/>
      <c r="CXH33" s="2"/>
      <c r="CXI33" s="2"/>
      <c r="CXJ33" s="2"/>
      <c r="CXK33" s="2"/>
      <c r="CXL33" s="2"/>
      <c r="CXM33" s="2"/>
      <c r="CXN33" s="2"/>
      <c r="CXO33" s="2"/>
      <c r="CXP33" s="2"/>
      <c r="CXQ33" s="2"/>
      <c r="CXR33" s="2"/>
      <c r="CXS33" s="2"/>
      <c r="CXT33" s="2"/>
      <c r="CXU33" s="2"/>
      <c r="CXV33" s="2"/>
      <c r="CXW33" s="2"/>
      <c r="CXX33" s="2"/>
      <c r="CXY33" s="2"/>
      <c r="CXZ33" s="2"/>
      <c r="CYA33" s="2"/>
      <c r="CYB33" s="2"/>
      <c r="CYC33" s="2"/>
      <c r="CYD33" s="2"/>
      <c r="CYE33" s="2"/>
      <c r="CYF33" s="2"/>
      <c r="CYG33" s="2"/>
      <c r="CYH33" s="2"/>
      <c r="CYI33" s="2"/>
      <c r="CYJ33" s="2"/>
      <c r="CYK33" s="2"/>
      <c r="CYL33" s="2"/>
      <c r="CYM33" s="2"/>
      <c r="CYN33" s="2"/>
      <c r="CYO33" s="2"/>
      <c r="CYP33" s="2"/>
      <c r="CYQ33" s="2"/>
      <c r="CYR33" s="2"/>
      <c r="CYS33" s="2"/>
      <c r="CYT33" s="2"/>
      <c r="CYU33" s="2"/>
      <c r="CYV33" s="2"/>
      <c r="CYW33" s="2"/>
      <c r="CYX33" s="2"/>
      <c r="CYY33" s="2"/>
      <c r="CYZ33" s="2"/>
      <c r="CZA33" s="2"/>
      <c r="CZB33" s="2"/>
      <c r="CZC33" s="2"/>
      <c r="CZD33" s="2"/>
      <c r="CZE33" s="2"/>
      <c r="CZF33" s="2"/>
      <c r="CZG33" s="2"/>
      <c r="CZH33" s="2"/>
      <c r="CZI33" s="2"/>
      <c r="CZJ33" s="2"/>
      <c r="CZK33" s="2"/>
      <c r="CZL33" s="2"/>
      <c r="CZM33" s="2"/>
      <c r="CZN33" s="2"/>
      <c r="CZO33" s="2"/>
      <c r="CZP33" s="2"/>
      <c r="CZQ33" s="2"/>
      <c r="CZR33" s="2"/>
      <c r="CZS33" s="2"/>
      <c r="CZT33" s="2"/>
      <c r="CZU33" s="2"/>
      <c r="CZV33" s="2"/>
      <c r="CZW33" s="2"/>
      <c r="CZX33" s="2"/>
      <c r="CZY33" s="2"/>
      <c r="CZZ33" s="2"/>
      <c r="DAA33" s="2"/>
      <c r="DAB33" s="2"/>
      <c r="DAC33" s="2"/>
      <c r="DAD33" s="2"/>
      <c r="DAE33" s="2"/>
      <c r="DAF33" s="2"/>
      <c r="DAG33" s="2"/>
      <c r="DAH33" s="2"/>
      <c r="DAI33" s="2"/>
      <c r="DAJ33" s="2"/>
      <c r="DAK33" s="2"/>
      <c r="DAL33" s="2"/>
      <c r="DAM33" s="2"/>
      <c r="DAN33" s="2"/>
      <c r="DAO33" s="2"/>
      <c r="DAP33" s="2"/>
      <c r="DAQ33" s="2"/>
      <c r="DAR33" s="2"/>
      <c r="DAS33" s="2"/>
      <c r="DAT33" s="2"/>
      <c r="DAU33" s="2"/>
      <c r="DAV33" s="2"/>
      <c r="DAW33" s="2"/>
      <c r="DAX33" s="2"/>
      <c r="DAY33" s="2"/>
      <c r="DAZ33" s="2"/>
      <c r="DBA33" s="2"/>
      <c r="DBB33" s="2"/>
      <c r="DBC33" s="2"/>
      <c r="DBD33" s="2"/>
      <c r="DBE33" s="2"/>
      <c r="DBF33" s="2"/>
      <c r="DBG33" s="2"/>
      <c r="DBH33" s="2"/>
      <c r="DBI33" s="2"/>
      <c r="DBJ33" s="2"/>
      <c r="DBK33" s="2"/>
      <c r="DBL33" s="2"/>
      <c r="DBM33" s="2"/>
      <c r="DBN33" s="2"/>
      <c r="DBO33" s="2"/>
      <c r="DBP33" s="2"/>
      <c r="DBQ33" s="2"/>
      <c r="DBR33" s="2"/>
      <c r="DBS33" s="2"/>
      <c r="DBT33" s="2"/>
      <c r="DBU33" s="2"/>
      <c r="DBV33" s="2"/>
      <c r="DBW33" s="2"/>
      <c r="DBX33" s="2"/>
      <c r="DBY33" s="2"/>
      <c r="DBZ33" s="2"/>
      <c r="DCA33" s="2"/>
      <c r="DCB33" s="2"/>
      <c r="DCC33" s="2"/>
      <c r="DCD33" s="2"/>
      <c r="DCE33" s="2"/>
      <c r="DCF33" s="2"/>
      <c r="DCG33" s="2"/>
      <c r="DCH33" s="2"/>
      <c r="DCI33" s="2"/>
      <c r="DCJ33" s="2"/>
      <c r="DCK33" s="2"/>
      <c r="DCL33" s="2"/>
      <c r="DCM33" s="2"/>
      <c r="DCN33" s="2"/>
      <c r="DCO33" s="2"/>
      <c r="DCP33" s="2"/>
      <c r="DCQ33" s="2"/>
      <c r="DCR33" s="2"/>
      <c r="DCS33" s="2"/>
      <c r="DCT33" s="2"/>
      <c r="DCU33" s="2"/>
      <c r="DCV33" s="2"/>
      <c r="DCW33" s="2"/>
      <c r="DCX33" s="2"/>
      <c r="DCY33" s="2"/>
      <c r="DCZ33" s="2"/>
      <c r="DDA33" s="2"/>
      <c r="DDB33" s="2"/>
      <c r="DDC33" s="2"/>
      <c r="DDD33" s="2"/>
      <c r="DDE33" s="2"/>
      <c r="DDF33" s="2"/>
      <c r="DDG33" s="2"/>
      <c r="DDH33" s="2"/>
      <c r="DDI33" s="2"/>
      <c r="DDJ33" s="2"/>
      <c r="DDK33" s="2"/>
      <c r="DDL33" s="2"/>
      <c r="DDM33" s="2"/>
      <c r="DDN33" s="2"/>
      <c r="DDO33" s="2"/>
      <c r="DDP33" s="2"/>
      <c r="DDQ33" s="2"/>
      <c r="DDR33" s="2"/>
      <c r="DDS33" s="2"/>
      <c r="DDT33" s="2"/>
      <c r="DDU33" s="2"/>
      <c r="DDV33" s="2"/>
      <c r="DDW33" s="2"/>
      <c r="DDX33" s="2"/>
      <c r="DDY33" s="2"/>
      <c r="DDZ33" s="2"/>
      <c r="DEA33" s="2"/>
      <c r="DEB33" s="2"/>
      <c r="DEC33" s="2"/>
      <c r="DED33" s="2"/>
      <c r="DEE33" s="2"/>
      <c r="DEF33" s="2"/>
      <c r="DEG33" s="2"/>
      <c r="DEH33" s="2"/>
      <c r="DEI33" s="2"/>
      <c r="DEJ33" s="2"/>
      <c r="DEK33" s="2"/>
      <c r="DEL33" s="2"/>
      <c r="DEM33" s="2"/>
      <c r="DEN33" s="2"/>
      <c r="DEO33" s="2"/>
      <c r="DEP33" s="2"/>
      <c r="DEQ33" s="2"/>
      <c r="DER33" s="2"/>
      <c r="DES33" s="2"/>
      <c r="DET33" s="2"/>
      <c r="DEU33" s="2"/>
      <c r="DEV33" s="2"/>
      <c r="DEW33" s="2"/>
      <c r="DEX33" s="2"/>
      <c r="DEY33" s="2"/>
      <c r="DEZ33" s="2"/>
      <c r="DFA33" s="2"/>
      <c r="DFB33" s="2"/>
      <c r="DFC33" s="2"/>
      <c r="DFD33" s="2"/>
      <c r="DFE33" s="2"/>
      <c r="DFF33" s="2"/>
      <c r="DFG33" s="2"/>
      <c r="DFH33" s="2"/>
      <c r="DFI33" s="2"/>
      <c r="DFJ33" s="2"/>
      <c r="DFK33" s="2"/>
      <c r="DFL33" s="2"/>
      <c r="DFM33" s="2"/>
      <c r="DFN33" s="2"/>
      <c r="DFO33" s="2"/>
      <c r="DFP33" s="2"/>
      <c r="DFQ33" s="2"/>
      <c r="DFR33" s="2"/>
      <c r="DFS33" s="2"/>
      <c r="DFT33" s="2"/>
      <c r="DFU33" s="2"/>
      <c r="DFV33" s="2"/>
      <c r="DFW33" s="2"/>
      <c r="DFX33" s="2"/>
      <c r="DFY33" s="2"/>
      <c r="DFZ33" s="2"/>
      <c r="DGA33" s="2"/>
      <c r="DGB33" s="2"/>
      <c r="DGC33" s="2"/>
      <c r="DGD33" s="2"/>
      <c r="DGE33" s="2"/>
      <c r="DGF33" s="2"/>
      <c r="DGG33" s="2"/>
      <c r="DGH33" s="2"/>
      <c r="DGI33" s="2"/>
      <c r="DGJ33" s="2"/>
      <c r="DGK33" s="2"/>
      <c r="DGL33" s="2"/>
      <c r="DGM33" s="2"/>
      <c r="DGN33" s="2"/>
      <c r="DGO33" s="2"/>
      <c r="DGP33" s="2"/>
      <c r="DGQ33" s="2"/>
      <c r="DGR33" s="2"/>
      <c r="DGS33" s="2"/>
      <c r="DGT33" s="2"/>
      <c r="DGU33" s="2"/>
      <c r="DGV33" s="2"/>
      <c r="DGW33" s="2"/>
      <c r="DGX33" s="2"/>
      <c r="DGY33" s="2"/>
      <c r="DGZ33" s="2"/>
      <c r="DHA33" s="2"/>
      <c r="DHB33" s="2"/>
      <c r="DHC33" s="2"/>
      <c r="DHD33" s="2"/>
      <c r="DHE33" s="2"/>
      <c r="DHF33" s="2"/>
      <c r="DHG33" s="2"/>
      <c r="DHH33" s="2"/>
      <c r="DHI33" s="2"/>
      <c r="DHJ33" s="2"/>
      <c r="DHK33" s="2"/>
      <c r="DHL33" s="2"/>
      <c r="DHM33" s="2"/>
      <c r="DHN33" s="2"/>
      <c r="DHO33" s="2"/>
      <c r="DHP33" s="2"/>
      <c r="DHQ33" s="2"/>
      <c r="DHR33" s="2"/>
      <c r="DHS33" s="2"/>
      <c r="DHT33" s="2"/>
      <c r="DHU33" s="2"/>
      <c r="DHV33" s="2"/>
      <c r="DHW33" s="2"/>
      <c r="DHX33" s="2"/>
      <c r="DHY33" s="2"/>
      <c r="DHZ33" s="2"/>
      <c r="DIA33" s="2"/>
      <c r="DIB33" s="2"/>
      <c r="DIC33" s="2"/>
      <c r="DID33" s="2"/>
      <c r="DIE33" s="2"/>
      <c r="DIF33" s="2"/>
      <c r="DIG33" s="2"/>
      <c r="DIH33" s="2"/>
      <c r="DII33" s="2"/>
      <c r="DIJ33" s="2"/>
      <c r="DIK33" s="2"/>
      <c r="DIL33" s="2"/>
      <c r="DIM33" s="2"/>
      <c r="DIN33" s="2"/>
      <c r="DIO33" s="2"/>
      <c r="DIP33" s="2"/>
      <c r="DIQ33" s="2"/>
      <c r="DIR33" s="2"/>
      <c r="DIS33" s="2"/>
      <c r="DIT33" s="2"/>
      <c r="DIU33" s="2"/>
      <c r="DIV33" s="2"/>
      <c r="DIW33" s="2"/>
      <c r="DIX33" s="2"/>
      <c r="DIY33" s="2"/>
      <c r="DIZ33" s="2"/>
      <c r="DJA33" s="2"/>
      <c r="DJB33" s="2"/>
      <c r="DJC33" s="2"/>
      <c r="DJD33" s="2"/>
      <c r="DJE33" s="2"/>
      <c r="DJF33" s="2"/>
      <c r="DJG33" s="2"/>
      <c r="DJH33" s="2"/>
      <c r="DJI33" s="2"/>
      <c r="DJJ33" s="2"/>
      <c r="DJK33" s="2"/>
      <c r="DJL33" s="2"/>
      <c r="DJM33" s="2"/>
      <c r="DJN33" s="2"/>
      <c r="DJO33" s="2"/>
      <c r="DJP33" s="2"/>
      <c r="DJQ33" s="2"/>
      <c r="DJR33" s="2"/>
      <c r="DJS33" s="2"/>
      <c r="DJT33" s="2"/>
      <c r="DJU33" s="2"/>
      <c r="DJV33" s="2"/>
      <c r="DJW33" s="2"/>
      <c r="DJX33" s="2"/>
      <c r="DJY33" s="2"/>
      <c r="DJZ33" s="2"/>
      <c r="DKA33" s="2"/>
      <c r="DKB33" s="2"/>
      <c r="DKC33" s="2"/>
      <c r="DKD33" s="2"/>
      <c r="DKE33" s="2"/>
      <c r="DKF33" s="2"/>
      <c r="DKG33" s="2"/>
      <c r="DKH33" s="2"/>
      <c r="DKI33" s="2"/>
      <c r="DKJ33" s="2"/>
      <c r="DKK33" s="2"/>
      <c r="DKL33" s="2"/>
      <c r="DKM33" s="2"/>
      <c r="DKN33" s="2"/>
      <c r="DKO33" s="2"/>
      <c r="DKP33" s="2"/>
      <c r="DKQ33" s="2"/>
      <c r="DKR33" s="2"/>
      <c r="DKS33" s="2"/>
      <c r="DKT33" s="2"/>
      <c r="DKU33" s="2"/>
      <c r="DKV33" s="2"/>
      <c r="DKW33" s="2"/>
      <c r="DKX33" s="2"/>
      <c r="DKY33" s="2"/>
      <c r="DKZ33" s="2"/>
      <c r="DLA33" s="2"/>
      <c r="DLB33" s="2"/>
      <c r="DLC33" s="2"/>
      <c r="DLD33" s="2"/>
      <c r="DLE33" s="2"/>
      <c r="DLF33" s="2"/>
      <c r="DLG33" s="2"/>
      <c r="DLH33" s="2"/>
      <c r="DLI33" s="2"/>
      <c r="DLJ33" s="2"/>
      <c r="DLK33" s="2"/>
      <c r="DLL33" s="2"/>
      <c r="DLM33" s="2"/>
      <c r="DLN33" s="2"/>
      <c r="DLO33" s="2"/>
      <c r="DLP33" s="2"/>
      <c r="DLQ33" s="2"/>
      <c r="DLR33" s="2"/>
      <c r="DLS33" s="2"/>
      <c r="DLT33" s="2"/>
      <c r="DLU33" s="2"/>
      <c r="DLV33" s="2"/>
      <c r="DLW33" s="2"/>
      <c r="DLX33" s="2"/>
      <c r="DLY33" s="2"/>
      <c r="DLZ33" s="2"/>
      <c r="DMA33" s="2"/>
      <c r="DMB33" s="2"/>
      <c r="DMC33" s="2"/>
      <c r="DMD33" s="2"/>
      <c r="DME33" s="2"/>
      <c r="DMF33" s="2"/>
      <c r="DMG33" s="2"/>
      <c r="DMH33" s="2"/>
      <c r="DMI33" s="2"/>
      <c r="DMJ33" s="2"/>
      <c r="DMK33" s="2"/>
      <c r="DML33" s="2"/>
      <c r="DMM33" s="2"/>
      <c r="DMN33" s="2"/>
      <c r="DMO33" s="2"/>
      <c r="DMP33" s="2"/>
      <c r="DMQ33" s="2"/>
      <c r="DMR33" s="2"/>
      <c r="DMS33" s="2"/>
      <c r="DMT33" s="2"/>
      <c r="DMU33" s="2"/>
      <c r="DMV33" s="2"/>
      <c r="DMW33" s="2"/>
      <c r="DMX33" s="2"/>
      <c r="DMY33" s="2"/>
      <c r="DMZ33" s="2"/>
      <c r="DNA33" s="2"/>
      <c r="DNB33" s="2"/>
      <c r="DNC33" s="2"/>
      <c r="DND33" s="2"/>
      <c r="DNE33" s="2"/>
      <c r="DNF33" s="2"/>
      <c r="DNG33" s="2"/>
      <c r="DNH33" s="2"/>
      <c r="DNI33" s="2"/>
      <c r="DNJ33" s="2"/>
      <c r="DNK33" s="2"/>
      <c r="DNL33" s="2"/>
      <c r="DNM33" s="2"/>
      <c r="DNN33" s="2"/>
      <c r="DNO33" s="2"/>
      <c r="DNP33" s="2"/>
      <c r="DNQ33" s="2"/>
      <c r="DNR33" s="2"/>
      <c r="DNS33" s="2"/>
      <c r="DNT33" s="2"/>
      <c r="DNU33" s="2"/>
      <c r="DNV33" s="2"/>
      <c r="DNW33" s="2"/>
      <c r="DNX33" s="2"/>
      <c r="DNY33" s="2"/>
      <c r="DNZ33" s="2"/>
      <c r="DOA33" s="2"/>
      <c r="DOB33" s="2"/>
      <c r="DOC33" s="2"/>
      <c r="DOD33" s="2"/>
      <c r="DOE33" s="2"/>
      <c r="DOF33" s="2"/>
      <c r="DOG33" s="2"/>
      <c r="DOH33" s="2"/>
      <c r="DOI33" s="2"/>
      <c r="DOJ33" s="2"/>
      <c r="DOK33" s="2"/>
      <c r="DOL33" s="2"/>
      <c r="DOM33" s="2"/>
      <c r="DON33" s="2"/>
      <c r="DOO33" s="2"/>
      <c r="DOP33" s="2"/>
      <c r="DOQ33" s="2"/>
      <c r="DOR33" s="2"/>
      <c r="DOS33" s="2"/>
      <c r="DOT33" s="2"/>
      <c r="DOU33" s="2"/>
      <c r="DOV33" s="2"/>
      <c r="DOW33" s="2"/>
      <c r="DOX33" s="2"/>
      <c r="DOY33" s="2"/>
      <c r="DOZ33" s="2"/>
      <c r="DPA33" s="2"/>
      <c r="DPB33" s="2"/>
      <c r="DPC33" s="2"/>
      <c r="DPD33" s="2"/>
      <c r="DPE33" s="2"/>
      <c r="DPF33" s="2"/>
      <c r="DPG33" s="2"/>
      <c r="DPH33" s="2"/>
      <c r="DPI33" s="2"/>
      <c r="DPJ33" s="2"/>
      <c r="DPK33" s="2"/>
      <c r="DPL33" s="2"/>
      <c r="DPM33" s="2"/>
      <c r="DPN33" s="2"/>
      <c r="DPO33" s="2"/>
      <c r="DPP33" s="2"/>
      <c r="DPQ33" s="2"/>
      <c r="DPR33" s="2"/>
      <c r="DPS33" s="2"/>
      <c r="DPT33" s="2"/>
      <c r="DPU33" s="2"/>
      <c r="DPV33" s="2"/>
      <c r="DPW33" s="2"/>
      <c r="DPX33" s="2"/>
      <c r="DPY33" s="2"/>
      <c r="DPZ33" s="2"/>
      <c r="DQA33" s="2"/>
      <c r="DQB33" s="2"/>
      <c r="DQC33" s="2"/>
      <c r="DQD33" s="2"/>
      <c r="DQE33" s="2"/>
      <c r="DQF33" s="2"/>
      <c r="DQG33" s="2"/>
      <c r="DQH33" s="2"/>
      <c r="DQI33" s="2"/>
      <c r="DQJ33" s="2"/>
      <c r="DQK33" s="2"/>
      <c r="DQL33" s="2"/>
      <c r="DQM33" s="2"/>
      <c r="DQN33" s="2"/>
      <c r="DQO33" s="2"/>
      <c r="DQP33" s="2"/>
      <c r="DQQ33" s="2"/>
      <c r="DQR33" s="2"/>
      <c r="DQS33" s="2"/>
      <c r="DQT33" s="2"/>
      <c r="DQU33" s="2"/>
      <c r="DQV33" s="2"/>
      <c r="DQW33" s="2"/>
      <c r="DQX33" s="2"/>
      <c r="DQY33" s="2"/>
      <c r="DQZ33" s="2"/>
      <c r="DRA33" s="2"/>
      <c r="DRB33" s="2"/>
      <c r="DRC33" s="2"/>
      <c r="DRD33" s="2"/>
      <c r="DRE33" s="2"/>
      <c r="DRF33" s="2"/>
      <c r="DRG33" s="2"/>
      <c r="DRH33" s="2"/>
      <c r="DRI33" s="2"/>
      <c r="DRJ33" s="2"/>
      <c r="DRK33" s="2"/>
      <c r="DRL33" s="2"/>
      <c r="DRM33" s="2"/>
      <c r="DRN33" s="2"/>
      <c r="DRO33" s="2"/>
      <c r="DRP33" s="2"/>
      <c r="DRQ33" s="2"/>
      <c r="DRR33" s="2"/>
      <c r="DRS33" s="2"/>
      <c r="DRT33" s="2"/>
      <c r="DRU33" s="2"/>
      <c r="DRV33" s="2"/>
      <c r="DRW33" s="2"/>
      <c r="DRX33" s="2"/>
      <c r="DRY33" s="2"/>
      <c r="DRZ33" s="2"/>
      <c r="DSA33" s="2"/>
      <c r="DSB33" s="2"/>
      <c r="DSC33" s="2"/>
      <c r="DSD33" s="2"/>
      <c r="DSE33" s="2"/>
      <c r="DSF33" s="2"/>
      <c r="DSG33" s="2"/>
      <c r="DSH33" s="2"/>
      <c r="DSI33" s="2"/>
      <c r="DSJ33" s="2"/>
      <c r="DSK33" s="2"/>
      <c r="DSL33" s="2"/>
      <c r="DSM33" s="2"/>
      <c r="DSN33" s="2"/>
      <c r="DSO33" s="2"/>
      <c r="DSP33" s="2"/>
      <c r="DSQ33" s="2"/>
      <c r="DSR33" s="2"/>
      <c r="DSS33" s="2"/>
      <c r="DST33" s="2"/>
      <c r="DSU33" s="2"/>
      <c r="DSV33" s="2"/>
      <c r="DSW33" s="2"/>
      <c r="DSX33" s="2"/>
      <c r="DSY33" s="2"/>
      <c r="DSZ33" s="2"/>
      <c r="DTA33" s="2"/>
      <c r="DTB33" s="2"/>
      <c r="DTC33" s="2"/>
      <c r="DTD33" s="2"/>
      <c r="DTE33" s="2"/>
      <c r="DTF33" s="2"/>
      <c r="DTG33" s="2"/>
      <c r="DTH33" s="2"/>
      <c r="DTI33" s="2"/>
      <c r="DTJ33" s="2"/>
      <c r="DTK33" s="2"/>
      <c r="DTL33" s="2"/>
      <c r="DTM33" s="2"/>
      <c r="DTN33" s="2"/>
      <c r="DTO33" s="2"/>
      <c r="DTP33" s="2"/>
      <c r="DTQ33" s="2"/>
      <c r="DTR33" s="2"/>
      <c r="DTS33" s="2"/>
      <c r="DTT33" s="2"/>
      <c r="DTU33" s="2"/>
      <c r="DTV33" s="2"/>
      <c r="DTW33" s="2"/>
      <c r="DTX33" s="2"/>
      <c r="DTY33" s="2"/>
      <c r="DTZ33" s="2"/>
      <c r="DUA33" s="2"/>
      <c r="DUB33" s="2"/>
      <c r="DUC33" s="2"/>
      <c r="DUD33" s="2"/>
      <c r="DUE33" s="2"/>
      <c r="DUF33" s="2"/>
      <c r="DUG33" s="2"/>
      <c r="DUH33" s="2"/>
      <c r="DUI33" s="2"/>
      <c r="DUJ33" s="2"/>
      <c r="DUK33" s="2"/>
      <c r="DUL33" s="2"/>
      <c r="DUM33" s="2"/>
      <c r="DUN33" s="2"/>
      <c r="DUO33" s="2"/>
      <c r="DUP33" s="2"/>
      <c r="DUQ33" s="2"/>
      <c r="DUR33" s="2"/>
      <c r="DUS33" s="2"/>
      <c r="DUT33" s="2"/>
      <c r="DUU33" s="2"/>
      <c r="DUV33" s="2"/>
      <c r="DUW33" s="2"/>
      <c r="DUX33" s="2"/>
      <c r="DUY33" s="2"/>
      <c r="DUZ33" s="2"/>
      <c r="DVA33" s="2"/>
      <c r="DVB33" s="2"/>
      <c r="DVC33" s="2"/>
      <c r="DVD33" s="2"/>
      <c r="DVE33" s="2"/>
      <c r="DVF33" s="2"/>
      <c r="DVG33" s="2"/>
      <c r="DVH33" s="2"/>
      <c r="DVI33" s="2"/>
      <c r="DVJ33" s="2"/>
      <c r="DVK33" s="2"/>
      <c r="DVL33" s="2"/>
      <c r="DVM33" s="2"/>
      <c r="DVN33" s="2"/>
      <c r="DVO33" s="2"/>
      <c r="DVP33" s="2"/>
      <c r="DVQ33" s="2"/>
      <c r="DVR33" s="2"/>
      <c r="DVS33" s="2"/>
      <c r="DVT33" s="2"/>
      <c r="DVU33" s="2"/>
      <c r="DVV33" s="2"/>
      <c r="DVW33" s="2"/>
      <c r="DVX33" s="2"/>
      <c r="DVY33" s="2"/>
      <c r="DVZ33" s="2"/>
      <c r="DWA33" s="2"/>
      <c r="DWB33" s="2"/>
      <c r="DWC33" s="2"/>
      <c r="DWD33" s="2"/>
      <c r="DWE33" s="2"/>
      <c r="DWF33" s="2"/>
      <c r="DWG33" s="2"/>
      <c r="DWH33" s="2"/>
      <c r="DWI33" s="2"/>
      <c r="DWJ33" s="2"/>
      <c r="DWK33" s="2"/>
      <c r="DWL33" s="2"/>
      <c r="DWM33" s="2"/>
      <c r="DWN33" s="2"/>
      <c r="DWO33" s="2"/>
      <c r="DWP33" s="2"/>
      <c r="DWQ33" s="2"/>
      <c r="DWR33" s="2"/>
      <c r="DWS33" s="2"/>
      <c r="DWT33" s="2"/>
      <c r="DWU33" s="2"/>
      <c r="DWV33" s="2"/>
      <c r="DWW33" s="2"/>
      <c r="DWX33" s="2"/>
      <c r="DWY33" s="2"/>
      <c r="DWZ33" s="2"/>
      <c r="DXA33" s="2"/>
      <c r="DXB33" s="2"/>
      <c r="DXC33" s="2"/>
      <c r="DXD33" s="2"/>
      <c r="DXE33" s="2"/>
      <c r="DXF33" s="2"/>
      <c r="DXG33" s="2"/>
      <c r="DXH33" s="2"/>
      <c r="DXI33" s="2"/>
      <c r="DXJ33" s="2"/>
      <c r="DXK33" s="2"/>
      <c r="DXL33" s="2"/>
      <c r="DXM33" s="2"/>
      <c r="DXN33" s="2"/>
      <c r="DXO33" s="2"/>
      <c r="DXP33" s="2"/>
      <c r="DXQ33" s="2"/>
      <c r="DXR33" s="2"/>
      <c r="DXS33" s="2"/>
      <c r="DXT33" s="2"/>
      <c r="DXU33" s="2"/>
      <c r="DXV33" s="2"/>
      <c r="DXW33" s="2"/>
      <c r="DXX33" s="2"/>
      <c r="DXY33" s="2"/>
      <c r="DXZ33" s="2"/>
      <c r="DYA33" s="2"/>
      <c r="DYB33" s="2"/>
      <c r="DYC33" s="2"/>
      <c r="DYD33" s="2"/>
      <c r="DYE33" s="2"/>
      <c r="DYF33" s="2"/>
      <c r="DYG33" s="2"/>
      <c r="DYH33" s="2"/>
      <c r="DYI33" s="2"/>
      <c r="DYJ33" s="2"/>
      <c r="DYK33" s="2"/>
      <c r="DYL33" s="2"/>
      <c r="DYM33" s="2"/>
      <c r="DYN33" s="2"/>
      <c r="DYO33" s="2"/>
      <c r="DYP33" s="2"/>
      <c r="DYQ33" s="2"/>
      <c r="DYR33" s="2"/>
      <c r="DYS33" s="2"/>
      <c r="DYT33" s="2"/>
      <c r="DYU33" s="2"/>
      <c r="DYV33" s="2"/>
      <c r="DYW33" s="2"/>
      <c r="DYX33" s="2"/>
      <c r="DYY33" s="2"/>
      <c r="DYZ33" s="2"/>
      <c r="DZA33" s="2"/>
      <c r="DZB33" s="2"/>
      <c r="DZC33" s="2"/>
      <c r="DZD33" s="2"/>
      <c r="DZE33" s="2"/>
      <c r="DZF33" s="2"/>
      <c r="DZG33" s="2"/>
      <c r="DZH33" s="2"/>
      <c r="DZI33" s="2"/>
      <c r="DZJ33" s="2"/>
      <c r="DZK33" s="2"/>
      <c r="DZL33" s="2"/>
      <c r="DZM33" s="2"/>
      <c r="DZN33" s="2"/>
      <c r="DZO33" s="2"/>
      <c r="DZP33" s="2"/>
      <c r="DZQ33" s="2"/>
      <c r="DZR33" s="2"/>
      <c r="DZS33" s="2"/>
      <c r="DZT33" s="2"/>
      <c r="DZU33" s="2"/>
      <c r="DZV33" s="2"/>
      <c r="DZW33" s="2"/>
      <c r="DZX33" s="2"/>
      <c r="DZY33" s="2"/>
      <c r="DZZ33" s="2"/>
      <c r="EAA33" s="2"/>
      <c r="EAB33" s="2"/>
      <c r="EAC33" s="2"/>
      <c r="EAD33" s="2"/>
      <c r="EAE33" s="2"/>
      <c r="EAF33" s="2"/>
      <c r="EAG33" s="2"/>
      <c r="EAH33" s="2"/>
      <c r="EAI33" s="2"/>
      <c r="EAJ33" s="2"/>
      <c r="EAK33" s="2"/>
      <c r="EAL33" s="2"/>
      <c r="EAM33" s="2"/>
      <c r="EAN33" s="2"/>
      <c r="EAO33" s="2"/>
      <c r="EAP33" s="2"/>
      <c r="EAQ33" s="2"/>
      <c r="EAR33" s="2"/>
      <c r="EAS33" s="2"/>
      <c r="EAT33" s="2"/>
      <c r="EAU33" s="2"/>
      <c r="EAV33" s="2"/>
      <c r="EAW33" s="2"/>
      <c r="EAX33" s="2"/>
      <c r="EAY33" s="2"/>
      <c r="EAZ33" s="2"/>
      <c r="EBA33" s="2"/>
      <c r="EBB33" s="2"/>
      <c r="EBC33" s="2"/>
      <c r="EBD33" s="2"/>
      <c r="EBE33" s="2"/>
      <c r="EBF33" s="2"/>
      <c r="EBG33" s="2"/>
      <c r="EBH33" s="2"/>
      <c r="EBI33" s="2"/>
      <c r="EBJ33" s="2"/>
      <c r="EBK33" s="2"/>
      <c r="EBL33" s="2"/>
      <c r="EBM33" s="2"/>
      <c r="EBN33" s="2"/>
      <c r="EBO33" s="2"/>
      <c r="EBP33" s="2"/>
      <c r="EBQ33" s="2"/>
      <c r="EBR33" s="2"/>
      <c r="EBS33" s="2"/>
      <c r="EBT33" s="2"/>
      <c r="EBU33" s="2"/>
      <c r="EBV33" s="2"/>
      <c r="EBW33" s="2"/>
      <c r="EBX33" s="2"/>
      <c r="EBY33" s="2"/>
      <c r="EBZ33" s="2"/>
      <c r="ECA33" s="2"/>
      <c r="ECB33" s="2"/>
      <c r="ECC33" s="2"/>
      <c r="ECD33" s="2"/>
      <c r="ECE33" s="2"/>
      <c r="ECF33" s="2"/>
      <c r="ECG33" s="2"/>
      <c r="ECH33" s="2"/>
      <c r="ECI33" s="2"/>
      <c r="ECJ33" s="2"/>
      <c r="ECK33" s="2"/>
      <c r="ECL33" s="2"/>
      <c r="ECM33" s="2"/>
      <c r="ECN33" s="2"/>
      <c r="ECO33" s="2"/>
      <c r="ECP33" s="2"/>
      <c r="ECQ33" s="2"/>
      <c r="ECR33" s="2"/>
      <c r="ECS33" s="2"/>
      <c r="ECT33" s="2"/>
      <c r="ECU33" s="2"/>
      <c r="ECV33" s="2"/>
      <c r="ECW33" s="2"/>
      <c r="ECX33" s="2"/>
      <c r="ECY33" s="2"/>
      <c r="ECZ33" s="2"/>
      <c r="EDA33" s="2"/>
      <c r="EDB33" s="2"/>
      <c r="EDC33" s="2"/>
      <c r="EDD33" s="2"/>
      <c r="EDE33" s="2"/>
      <c r="EDF33" s="2"/>
      <c r="EDG33" s="2"/>
      <c r="EDH33" s="2"/>
      <c r="EDI33" s="2"/>
      <c r="EDJ33" s="2"/>
      <c r="EDK33" s="2"/>
      <c r="EDL33" s="2"/>
      <c r="EDM33" s="2"/>
      <c r="EDN33" s="2"/>
      <c r="EDO33" s="2"/>
      <c r="EDP33" s="2"/>
      <c r="EDQ33" s="2"/>
      <c r="EDR33" s="2"/>
      <c r="EDS33" s="2"/>
      <c r="EDT33" s="2"/>
      <c r="EDU33" s="2"/>
      <c r="EDV33" s="2"/>
      <c r="EDW33" s="2"/>
      <c r="EDX33" s="2"/>
      <c r="EDY33" s="2"/>
      <c r="EDZ33" s="2"/>
      <c r="EEA33" s="2"/>
      <c r="EEB33" s="2"/>
      <c r="EEC33" s="2"/>
      <c r="EED33" s="2"/>
      <c r="EEE33" s="2"/>
      <c r="EEF33" s="2"/>
      <c r="EEG33" s="2"/>
      <c r="EEH33" s="2"/>
      <c r="EEI33" s="2"/>
      <c r="EEJ33" s="2"/>
      <c r="EEK33" s="2"/>
      <c r="EEL33" s="2"/>
      <c r="EEM33" s="2"/>
      <c r="EEN33" s="2"/>
      <c r="EEO33" s="2"/>
      <c r="EEP33" s="2"/>
      <c r="EEQ33" s="2"/>
      <c r="EER33" s="2"/>
      <c r="EES33" s="2"/>
      <c r="EET33" s="2"/>
      <c r="EEU33" s="2"/>
      <c r="EEV33" s="2"/>
      <c r="EEW33" s="2"/>
      <c r="EEX33" s="2"/>
      <c r="EEY33" s="2"/>
      <c r="EEZ33" s="2"/>
      <c r="EFA33" s="2"/>
      <c r="EFB33" s="2"/>
      <c r="EFC33" s="2"/>
      <c r="EFD33" s="2"/>
      <c r="EFE33" s="2"/>
      <c r="EFF33" s="2"/>
      <c r="EFG33" s="2"/>
      <c r="EFH33" s="2"/>
      <c r="EFI33" s="2"/>
      <c r="EFJ33" s="2"/>
      <c r="EFK33" s="2"/>
      <c r="EFL33" s="2"/>
      <c r="EFM33" s="2"/>
      <c r="EFN33" s="2"/>
      <c r="EFO33" s="2"/>
      <c r="EFP33" s="2"/>
      <c r="EFQ33" s="2"/>
      <c r="EFR33" s="2"/>
      <c r="EFS33" s="2"/>
      <c r="EFT33" s="2"/>
      <c r="EFU33" s="2"/>
      <c r="EFV33" s="2"/>
      <c r="EFW33" s="2"/>
      <c r="EFX33" s="2"/>
      <c r="EFY33" s="2"/>
      <c r="EFZ33" s="2"/>
      <c r="EGA33" s="2"/>
      <c r="EGB33" s="2"/>
      <c r="EGC33" s="2"/>
      <c r="EGD33" s="2"/>
      <c r="EGE33" s="2"/>
      <c r="EGF33" s="2"/>
      <c r="EGG33" s="2"/>
      <c r="EGH33" s="2"/>
      <c r="EGI33" s="2"/>
      <c r="EGJ33" s="2"/>
      <c r="EGK33" s="2"/>
      <c r="EGL33" s="2"/>
      <c r="EGM33" s="2"/>
      <c r="EGN33" s="2"/>
      <c r="EGO33" s="2"/>
      <c r="EGP33" s="2"/>
      <c r="EGQ33" s="2"/>
      <c r="EGR33" s="2"/>
      <c r="EGS33" s="2"/>
      <c r="EGT33" s="2"/>
      <c r="EGU33" s="2"/>
      <c r="EGV33" s="2"/>
      <c r="EGW33" s="2"/>
      <c r="EGX33" s="2"/>
      <c r="EGY33" s="2"/>
      <c r="EGZ33" s="2"/>
      <c r="EHA33" s="2"/>
      <c r="EHB33" s="2"/>
      <c r="EHC33" s="2"/>
      <c r="EHD33" s="2"/>
      <c r="EHE33" s="2"/>
      <c r="EHF33" s="2"/>
      <c r="EHG33" s="2"/>
      <c r="EHH33" s="2"/>
      <c r="EHI33" s="2"/>
      <c r="EHJ33" s="2"/>
      <c r="EHK33" s="2"/>
      <c r="EHL33" s="2"/>
      <c r="EHM33" s="2"/>
      <c r="EHN33" s="2"/>
      <c r="EHO33" s="2"/>
      <c r="EHP33" s="2"/>
      <c r="EHQ33" s="2"/>
      <c r="EHR33" s="2"/>
      <c r="EHS33" s="2"/>
      <c r="EHT33" s="2"/>
      <c r="EHU33" s="2"/>
      <c r="EHV33" s="2"/>
      <c r="EHW33" s="2"/>
      <c r="EHX33" s="2"/>
      <c r="EHY33" s="2"/>
      <c r="EHZ33" s="2"/>
      <c r="EIA33" s="2"/>
      <c r="EIB33" s="2"/>
      <c r="EIC33" s="2"/>
      <c r="EID33" s="2"/>
      <c r="EIE33" s="2"/>
      <c r="EIF33" s="2"/>
      <c r="EIG33" s="2"/>
      <c r="EIH33" s="2"/>
      <c r="EII33" s="2"/>
      <c r="EIJ33" s="2"/>
      <c r="EIK33" s="2"/>
      <c r="EIL33" s="2"/>
      <c r="EIM33" s="2"/>
      <c r="EIN33" s="2"/>
      <c r="EIO33" s="2"/>
      <c r="EIP33" s="2"/>
      <c r="EIQ33" s="2"/>
      <c r="EIR33" s="2"/>
      <c r="EIS33" s="2"/>
      <c r="EIT33" s="2"/>
      <c r="EIU33" s="2"/>
      <c r="EIV33" s="2"/>
      <c r="EIW33" s="2"/>
      <c r="EIX33" s="2"/>
      <c r="EIY33" s="2"/>
      <c r="EIZ33" s="2"/>
      <c r="EJA33" s="2"/>
      <c r="EJB33" s="2"/>
      <c r="EJC33" s="2"/>
      <c r="EJD33" s="2"/>
      <c r="EJE33" s="2"/>
      <c r="EJF33" s="2"/>
      <c r="EJG33" s="2"/>
      <c r="EJH33" s="2"/>
      <c r="EJI33" s="2"/>
      <c r="EJJ33" s="2"/>
      <c r="EJK33" s="2"/>
      <c r="EJL33" s="2"/>
      <c r="EJM33" s="2"/>
      <c r="EJN33" s="2"/>
      <c r="EJO33" s="2"/>
      <c r="EJP33" s="2"/>
      <c r="EJQ33" s="2"/>
      <c r="EJR33" s="2"/>
      <c r="EJS33" s="2"/>
      <c r="EJT33" s="2"/>
      <c r="EJU33" s="2"/>
      <c r="EJV33" s="2"/>
      <c r="EJW33" s="2"/>
      <c r="EJX33" s="2"/>
      <c r="EJY33" s="2"/>
      <c r="EJZ33" s="2"/>
      <c r="EKA33" s="2"/>
      <c r="EKB33" s="2"/>
      <c r="EKC33" s="2"/>
      <c r="EKD33" s="2"/>
      <c r="EKE33" s="2"/>
      <c r="EKF33" s="2"/>
      <c r="EKG33" s="2"/>
      <c r="EKH33" s="2"/>
      <c r="EKI33" s="2"/>
      <c r="EKJ33" s="2"/>
      <c r="EKK33" s="2"/>
      <c r="EKL33" s="2"/>
      <c r="EKM33" s="2"/>
      <c r="EKN33" s="2"/>
      <c r="EKO33" s="2"/>
      <c r="EKP33" s="2"/>
      <c r="EKQ33" s="2"/>
      <c r="EKR33" s="2"/>
      <c r="EKS33" s="2"/>
      <c r="EKT33" s="2"/>
      <c r="EKU33" s="2"/>
      <c r="EKV33" s="2"/>
      <c r="EKW33" s="2"/>
      <c r="EKX33" s="2"/>
      <c r="EKY33" s="2"/>
      <c r="EKZ33" s="2"/>
      <c r="ELA33" s="2"/>
      <c r="ELB33" s="2"/>
      <c r="ELC33" s="2"/>
      <c r="ELD33" s="2"/>
      <c r="ELE33" s="2"/>
      <c r="ELF33" s="2"/>
      <c r="ELG33" s="2"/>
      <c r="ELH33" s="2"/>
      <c r="ELI33" s="2"/>
      <c r="ELJ33" s="2"/>
      <c r="ELK33" s="2"/>
      <c r="ELL33" s="2"/>
      <c r="ELM33" s="2"/>
      <c r="ELN33" s="2"/>
      <c r="ELO33" s="2"/>
      <c r="ELP33" s="2"/>
      <c r="ELQ33" s="2"/>
      <c r="ELR33" s="2"/>
      <c r="ELS33" s="2"/>
      <c r="ELT33" s="2"/>
      <c r="ELU33" s="2"/>
      <c r="ELV33" s="2"/>
      <c r="ELW33" s="2"/>
      <c r="ELX33" s="2"/>
      <c r="ELY33" s="2"/>
      <c r="ELZ33" s="2"/>
      <c r="EMA33" s="2"/>
      <c r="EMB33" s="2"/>
      <c r="EMC33" s="2"/>
      <c r="EMD33" s="2"/>
      <c r="EME33" s="2"/>
      <c r="EMF33" s="2"/>
      <c r="EMG33" s="2"/>
      <c r="EMH33" s="2"/>
      <c r="EMI33" s="2"/>
      <c r="EMJ33" s="2"/>
      <c r="EMK33" s="2"/>
      <c r="EML33" s="2"/>
      <c r="EMM33" s="2"/>
      <c r="EMN33" s="2"/>
      <c r="EMO33" s="2"/>
      <c r="EMP33" s="2"/>
      <c r="EMQ33" s="2"/>
      <c r="EMR33" s="2"/>
      <c r="EMS33" s="2"/>
      <c r="EMT33" s="2"/>
      <c r="EMU33" s="2"/>
      <c r="EMV33" s="2"/>
      <c r="EMW33" s="2"/>
      <c r="EMX33" s="2"/>
      <c r="EMY33" s="2"/>
      <c r="EMZ33" s="2"/>
      <c r="ENA33" s="2"/>
      <c r="ENB33" s="2"/>
      <c r="ENC33" s="2"/>
      <c r="END33" s="2"/>
      <c r="ENE33" s="2"/>
      <c r="ENF33" s="2"/>
      <c r="ENG33" s="2"/>
      <c r="ENH33" s="2"/>
      <c r="ENI33" s="2"/>
      <c r="ENJ33" s="2"/>
      <c r="ENK33" s="2"/>
      <c r="ENL33" s="2"/>
      <c r="ENM33" s="2"/>
      <c r="ENN33" s="2"/>
      <c r="ENO33" s="2"/>
      <c r="ENP33" s="2"/>
      <c r="ENQ33" s="2"/>
      <c r="ENR33" s="2"/>
      <c r="ENS33" s="2"/>
      <c r="ENT33" s="2"/>
      <c r="ENU33" s="2"/>
      <c r="ENV33" s="2"/>
      <c r="ENW33" s="2"/>
      <c r="ENX33" s="2"/>
      <c r="ENY33" s="2"/>
      <c r="ENZ33" s="2"/>
      <c r="EOA33" s="2"/>
      <c r="EOB33" s="2"/>
      <c r="EOC33" s="2"/>
      <c r="EOD33" s="2"/>
      <c r="EOE33" s="2"/>
      <c r="EOF33" s="2"/>
      <c r="EOG33" s="2"/>
      <c r="EOH33" s="2"/>
      <c r="EOI33" s="2"/>
      <c r="EOJ33" s="2"/>
      <c r="EOK33" s="2"/>
      <c r="EOL33" s="2"/>
      <c r="EOM33" s="2"/>
      <c r="EON33" s="2"/>
      <c r="EOO33" s="2"/>
      <c r="EOP33" s="2"/>
      <c r="EOQ33" s="2"/>
      <c r="EOR33" s="2"/>
      <c r="EOS33" s="2"/>
      <c r="EOT33" s="2"/>
      <c r="EOU33" s="2"/>
      <c r="EOV33" s="2"/>
      <c r="EOW33" s="2"/>
      <c r="EOX33" s="2"/>
      <c r="EOY33" s="2"/>
      <c r="EOZ33" s="2"/>
      <c r="EPA33" s="2"/>
      <c r="EPB33" s="2"/>
      <c r="EPC33" s="2"/>
      <c r="EPD33" s="2"/>
      <c r="EPE33" s="2"/>
      <c r="EPF33" s="2"/>
      <c r="EPG33" s="2"/>
      <c r="EPH33" s="2"/>
      <c r="EPI33" s="2"/>
      <c r="EPJ33" s="2"/>
      <c r="EPK33" s="2"/>
      <c r="EPL33" s="2"/>
      <c r="EPM33" s="2"/>
      <c r="EPN33" s="2"/>
      <c r="EPO33" s="2"/>
      <c r="EPP33" s="2"/>
      <c r="EPQ33" s="2"/>
      <c r="EPR33" s="2"/>
      <c r="EPS33" s="2"/>
      <c r="EPT33" s="2"/>
      <c r="EPU33" s="2"/>
      <c r="EPV33" s="2"/>
      <c r="EPW33" s="2"/>
      <c r="EPX33" s="2"/>
      <c r="EPY33" s="2"/>
      <c r="EPZ33" s="2"/>
      <c r="EQA33" s="2"/>
      <c r="EQB33" s="2"/>
      <c r="EQC33" s="2"/>
      <c r="EQD33" s="2"/>
      <c r="EQE33" s="2"/>
      <c r="EQF33" s="2"/>
      <c r="EQG33" s="2"/>
      <c r="EQH33" s="2"/>
      <c r="EQI33" s="2"/>
      <c r="EQJ33" s="2"/>
      <c r="EQK33" s="2"/>
      <c r="EQL33" s="2"/>
      <c r="EQM33" s="2"/>
      <c r="EQN33" s="2"/>
      <c r="EQO33" s="2"/>
      <c r="EQP33" s="2"/>
      <c r="EQQ33" s="2"/>
      <c r="EQR33" s="2"/>
      <c r="EQS33" s="2"/>
      <c r="EQT33" s="2"/>
      <c r="EQU33" s="2"/>
      <c r="EQV33" s="2"/>
      <c r="EQW33" s="2"/>
      <c r="EQX33" s="2"/>
      <c r="EQY33" s="2"/>
      <c r="EQZ33" s="2"/>
      <c r="ERA33" s="2"/>
      <c r="ERB33" s="2"/>
      <c r="ERC33" s="2"/>
      <c r="ERD33" s="2"/>
      <c r="ERE33" s="2"/>
      <c r="ERF33" s="2"/>
      <c r="ERG33" s="2"/>
      <c r="ERH33" s="2"/>
      <c r="ERI33" s="2"/>
      <c r="ERJ33" s="2"/>
      <c r="ERK33" s="2"/>
      <c r="ERL33" s="2"/>
      <c r="ERM33" s="2"/>
      <c r="ERN33" s="2"/>
      <c r="ERO33" s="2"/>
      <c r="ERP33" s="2"/>
      <c r="ERQ33" s="2"/>
      <c r="ERR33" s="2"/>
      <c r="ERS33" s="2"/>
      <c r="ERT33" s="2"/>
      <c r="ERU33" s="2"/>
      <c r="ERV33" s="2"/>
      <c r="ERW33" s="2"/>
      <c r="ERX33" s="2"/>
      <c r="ERY33" s="2"/>
      <c r="ERZ33" s="2"/>
      <c r="ESA33" s="2"/>
      <c r="ESB33" s="2"/>
      <c r="ESC33" s="2"/>
      <c r="ESD33" s="2"/>
      <c r="ESE33" s="2"/>
      <c r="ESF33" s="2"/>
      <c r="ESG33" s="2"/>
      <c r="ESH33" s="2"/>
      <c r="ESI33" s="2"/>
      <c r="ESJ33" s="2"/>
      <c r="ESK33" s="2"/>
      <c r="ESL33" s="2"/>
      <c r="ESM33" s="2"/>
      <c r="ESN33" s="2"/>
      <c r="ESO33" s="2"/>
      <c r="ESP33" s="2"/>
      <c r="ESQ33" s="2"/>
      <c r="ESR33" s="2"/>
      <c r="ESS33" s="2"/>
      <c r="EST33" s="2"/>
      <c r="ESU33" s="2"/>
      <c r="ESV33" s="2"/>
      <c r="ESW33" s="2"/>
      <c r="ESX33" s="2"/>
      <c r="ESY33" s="2"/>
      <c r="ESZ33" s="2"/>
      <c r="ETA33" s="2"/>
      <c r="ETB33" s="2"/>
      <c r="ETC33" s="2"/>
      <c r="ETD33" s="2"/>
      <c r="ETE33" s="2"/>
      <c r="ETF33" s="2"/>
      <c r="ETG33" s="2"/>
      <c r="ETH33" s="2"/>
      <c r="ETI33" s="2"/>
      <c r="ETJ33" s="2"/>
      <c r="ETK33" s="2"/>
      <c r="ETL33" s="2"/>
      <c r="ETM33" s="2"/>
      <c r="ETN33" s="2"/>
      <c r="ETO33" s="2"/>
      <c r="ETP33" s="2"/>
      <c r="ETQ33" s="2"/>
      <c r="ETR33" s="2"/>
      <c r="ETS33" s="2"/>
      <c r="ETT33" s="2"/>
      <c r="ETU33" s="2"/>
      <c r="ETV33" s="2"/>
      <c r="ETW33" s="2"/>
      <c r="ETX33" s="2"/>
      <c r="ETY33" s="2"/>
      <c r="ETZ33" s="2"/>
      <c r="EUA33" s="2"/>
      <c r="EUB33" s="2"/>
      <c r="EUC33" s="2"/>
      <c r="EUD33" s="2"/>
      <c r="EUE33" s="2"/>
      <c r="EUF33" s="2"/>
      <c r="EUG33" s="2"/>
      <c r="EUH33" s="2"/>
      <c r="EUI33" s="2"/>
      <c r="EUJ33" s="2"/>
      <c r="EUK33" s="2"/>
      <c r="EUL33" s="2"/>
      <c r="EUM33" s="2"/>
      <c r="EUN33" s="2"/>
      <c r="EUO33" s="2"/>
      <c r="EUP33" s="2"/>
      <c r="EUQ33" s="2"/>
      <c r="EUR33" s="2"/>
      <c r="EUS33" s="2"/>
      <c r="EUT33" s="2"/>
      <c r="EUU33" s="2"/>
      <c r="EUV33" s="2"/>
      <c r="EUW33" s="2"/>
      <c r="EUX33" s="2"/>
      <c r="EUY33" s="2"/>
      <c r="EUZ33" s="2"/>
      <c r="EVA33" s="2"/>
      <c r="EVB33" s="2"/>
      <c r="EVC33" s="2"/>
      <c r="EVD33" s="2"/>
      <c r="EVE33" s="2"/>
      <c r="EVF33" s="2"/>
      <c r="EVG33" s="2"/>
      <c r="EVH33" s="2"/>
      <c r="EVI33" s="2"/>
      <c r="EVJ33" s="2"/>
      <c r="EVK33" s="2"/>
      <c r="EVL33" s="2"/>
      <c r="EVM33" s="2"/>
      <c r="EVN33" s="2"/>
      <c r="EVO33" s="2"/>
      <c r="EVP33" s="2"/>
      <c r="EVQ33" s="2"/>
      <c r="EVR33" s="2"/>
      <c r="EVS33" s="2"/>
      <c r="EVT33" s="2"/>
      <c r="EVU33" s="2"/>
      <c r="EVV33" s="2"/>
      <c r="EVW33" s="2"/>
      <c r="EVX33" s="2"/>
      <c r="EVY33" s="2"/>
      <c r="EVZ33" s="2"/>
      <c r="EWA33" s="2"/>
      <c r="EWB33" s="2"/>
      <c r="EWC33" s="2"/>
      <c r="EWD33" s="2"/>
      <c r="EWE33" s="2"/>
      <c r="EWF33" s="2"/>
      <c r="EWG33" s="2"/>
      <c r="EWH33" s="2"/>
      <c r="EWI33" s="2"/>
      <c r="EWJ33" s="2"/>
      <c r="EWK33" s="2"/>
      <c r="EWL33" s="2"/>
      <c r="EWM33" s="2"/>
      <c r="EWN33" s="2"/>
      <c r="EWO33" s="2"/>
      <c r="EWP33" s="2"/>
      <c r="EWQ33" s="2"/>
      <c r="EWR33" s="2"/>
      <c r="EWS33" s="2"/>
      <c r="EWT33" s="2"/>
      <c r="EWU33" s="2"/>
      <c r="EWV33" s="2"/>
      <c r="EWW33" s="2"/>
      <c r="EWX33" s="2"/>
      <c r="EWY33" s="2"/>
      <c r="EWZ33" s="2"/>
      <c r="EXA33" s="2"/>
      <c r="EXB33" s="2"/>
      <c r="EXC33" s="2"/>
      <c r="EXD33" s="2"/>
      <c r="EXE33" s="2"/>
      <c r="EXF33" s="2"/>
      <c r="EXG33" s="2"/>
      <c r="EXH33" s="2"/>
      <c r="EXI33" s="2"/>
      <c r="EXJ33" s="2"/>
      <c r="EXK33" s="2"/>
      <c r="EXL33" s="2"/>
      <c r="EXM33" s="2"/>
      <c r="EXN33" s="2"/>
      <c r="EXO33" s="2"/>
      <c r="EXP33" s="2"/>
      <c r="EXQ33" s="2"/>
      <c r="EXR33" s="2"/>
      <c r="EXS33" s="2"/>
      <c r="EXT33" s="2"/>
      <c r="EXU33" s="2"/>
      <c r="EXV33" s="2"/>
      <c r="EXW33" s="2"/>
      <c r="EXX33" s="2"/>
      <c r="EXY33" s="2"/>
      <c r="EXZ33" s="2"/>
      <c r="EYA33" s="2"/>
      <c r="EYB33" s="2"/>
      <c r="EYC33" s="2"/>
      <c r="EYD33" s="2"/>
      <c r="EYE33" s="2"/>
      <c r="EYF33" s="2"/>
      <c r="EYG33" s="2"/>
      <c r="EYH33" s="2"/>
      <c r="EYI33" s="2"/>
      <c r="EYJ33" s="2"/>
      <c r="EYK33" s="2"/>
      <c r="EYL33" s="2"/>
      <c r="EYM33" s="2"/>
      <c r="EYN33" s="2"/>
      <c r="EYO33" s="2"/>
      <c r="EYP33" s="2"/>
      <c r="EYQ33" s="2"/>
      <c r="EYR33" s="2"/>
      <c r="EYS33" s="2"/>
      <c r="EYT33" s="2"/>
      <c r="EYU33" s="2"/>
      <c r="EYV33" s="2"/>
      <c r="EYW33" s="2"/>
      <c r="EYX33" s="2"/>
      <c r="EYY33" s="2"/>
      <c r="EYZ33" s="2"/>
      <c r="EZA33" s="2"/>
      <c r="EZB33" s="2"/>
      <c r="EZC33" s="2"/>
      <c r="EZD33" s="2"/>
      <c r="EZE33" s="2"/>
      <c r="EZF33" s="2"/>
      <c r="EZG33" s="2"/>
      <c r="EZH33" s="2"/>
      <c r="EZI33" s="2"/>
      <c r="EZJ33" s="2"/>
      <c r="EZK33" s="2"/>
      <c r="EZL33" s="2"/>
      <c r="EZM33" s="2"/>
      <c r="EZN33" s="2"/>
      <c r="EZO33" s="2"/>
      <c r="EZP33" s="2"/>
      <c r="EZQ33" s="2"/>
      <c r="EZR33" s="2"/>
      <c r="EZS33" s="2"/>
      <c r="EZT33" s="2"/>
      <c r="EZU33" s="2"/>
      <c r="EZV33" s="2"/>
      <c r="EZW33" s="2"/>
      <c r="EZX33" s="2"/>
      <c r="EZY33" s="2"/>
      <c r="EZZ33" s="2"/>
      <c r="FAA33" s="2"/>
      <c r="FAB33" s="2"/>
      <c r="FAC33" s="2"/>
      <c r="FAD33" s="2"/>
      <c r="FAE33" s="2"/>
      <c r="FAF33" s="2"/>
      <c r="FAG33" s="2"/>
      <c r="FAH33" s="2"/>
      <c r="FAI33" s="2"/>
      <c r="FAJ33" s="2"/>
      <c r="FAK33" s="2"/>
      <c r="FAL33" s="2"/>
      <c r="FAM33" s="2"/>
      <c r="FAN33" s="2"/>
      <c r="FAO33" s="2"/>
      <c r="FAP33" s="2"/>
      <c r="FAQ33" s="2"/>
      <c r="FAR33" s="2"/>
      <c r="FAS33" s="2"/>
      <c r="FAT33" s="2"/>
      <c r="FAU33" s="2"/>
      <c r="FAV33" s="2"/>
      <c r="FAW33" s="2"/>
      <c r="FAX33" s="2"/>
      <c r="FAY33" s="2"/>
      <c r="FAZ33" s="2"/>
      <c r="FBA33" s="2"/>
      <c r="FBB33" s="2"/>
      <c r="FBC33" s="2"/>
      <c r="FBD33" s="2"/>
      <c r="FBE33" s="2"/>
      <c r="FBF33" s="2"/>
      <c r="FBG33" s="2"/>
      <c r="FBH33" s="2"/>
      <c r="FBI33" s="2"/>
      <c r="FBJ33" s="2"/>
      <c r="FBK33" s="2"/>
      <c r="FBL33" s="2"/>
      <c r="FBM33" s="2"/>
      <c r="FBN33" s="2"/>
      <c r="FBO33" s="2"/>
      <c r="FBP33" s="2"/>
      <c r="FBQ33" s="2"/>
      <c r="FBR33" s="2"/>
      <c r="FBS33" s="2"/>
      <c r="FBT33" s="2"/>
      <c r="FBU33" s="2"/>
      <c r="FBV33" s="2"/>
      <c r="FBW33" s="2"/>
      <c r="FBX33" s="2"/>
      <c r="FBY33" s="2"/>
      <c r="FBZ33" s="2"/>
      <c r="FCA33" s="2"/>
      <c r="FCB33" s="2"/>
      <c r="FCC33" s="2"/>
      <c r="FCD33" s="2"/>
      <c r="FCE33" s="2"/>
      <c r="FCF33" s="2"/>
      <c r="FCG33" s="2"/>
      <c r="FCH33" s="2"/>
      <c r="FCI33" s="2"/>
      <c r="FCJ33" s="2"/>
      <c r="FCK33" s="2"/>
      <c r="FCL33" s="2"/>
      <c r="FCM33" s="2"/>
      <c r="FCN33" s="2"/>
      <c r="FCO33" s="2"/>
      <c r="FCP33" s="2"/>
      <c r="FCQ33" s="2"/>
      <c r="FCR33" s="2"/>
      <c r="FCS33" s="2"/>
      <c r="FCT33" s="2"/>
      <c r="FCU33" s="2"/>
      <c r="FCV33" s="2"/>
      <c r="FCW33" s="2"/>
      <c r="FCX33" s="2"/>
      <c r="FCY33" s="2"/>
      <c r="FCZ33" s="2"/>
      <c r="FDA33" s="2"/>
      <c r="FDB33" s="2"/>
      <c r="FDC33" s="2"/>
      <c r="FDD33" s="2"/>
      <c r="FDE33" s="2"/>
      <c r="FDF33" s="2"/>
      <c r="FDG33" s="2"/>
      <c r="FDH33" s="2"/>
      <c r="FDI33" s="2"/>
      <c r="FDJ33" s="2"/>
      <c r="FDK33" s="2"/>
      <c r="FDL33" s="2"/>
      <c r="FDM33" s="2"/>
      <c r="FDN33" s="2"/>
      <c r="FDO33" s="2"/>
      <c r="FDP33" s="2"/>
      <c r="FDQ33" s="2"/>
      <c r="FDR33" s="2"/>
      <c r="FDS33" s="2"/>
      <c r="FDT33" s="2"/>
      <c r="FDU33" s="2"/>
      <c r="FDV33" s="2"/>
      <c r="FDW33" s="2"/>
      <c r="FDX33" s="2"/>
      <c r="FDY33" s="2"/>
      <c r="FDZ33" s="2"/>
      <c r="FEA33" s="2"/>
      <c r="FEB33" s="2"/>
      <c r="FEC33" s="2"/>
      <c r="FED33" s="2"/>
      <c r="FEE33" s="2"/>
      <c r="FEF33" s="2"/>
      <c r="FEG33" s="2"/>
      <c r="FEH33" s="2"/>
      <c r="FEI33" s="2"/>
      <c r="FEJ33" s="2"/>
      <c r="FEK33" s="2"/>
      <c r="FEL33" s="2"/>
      <c r="FEM33" s="2"/>
      <c r="FEN33" s="2"/>
      <c r="FEO33" s="2"/>
      <c r="FEP33" s="2"/>
      <c r="FEQ33" s="2"/>
      <c r="FER33" s="2"/>
      <c r="FES33" s="2"/>
      <c r="FET33" s="2"/>
      <c r="FEU33" s="2"/>
      <c r="FEV33" s="2"/>
      <c r="FEW33" s="2"/>
      <c r="FEX33" s="2"/>
      <c r="FEY33" s="2"/>
      <c r="FEZ33" s="2"/>
      <c r="FFA33" s="2"/>
      <c r="FFB33" s="2"/>
      <c r="FFC33" s="2"/>
      <c r="FFD33" s="2"/>
      <c r="FFE33" s="2"/>
      <c r="FFF33" s="2"/>
      <c r="FFG33" s="2"/>
      <c r="FFH33" s="2"/>
      <c r="FFI33" s="2"/>
      <c r="FFJ33" s="2"/>
      <c r="FFK33" s="2"/>
      <c r="FFL33" s="2"/>
      <c r="FFM33" s="2"/>
      <c r="FFN33" s="2"/>
      <c r="FFO33" s="2"/>
      <c r="FFP33" s="2"/>
      <c r="FFQ33" s="2"/>
      <c r="FFR33" s="2"/>
      <c r="FFS33" s="2"/>
      <c r="FFT33" s="2"/>
      <c r="FFU33" s="2"/>
      <c r="FFV33" s="2"/>
      <c r="FFW33" s="2"/>
      <c r="FFX33" s="2"/>
      <c r="FFY33" s="2"/>
      <c r="FFZ33" s="2"/>
      <c r="FGA33" s="2"/>
      <c r="FGB33" s="2"/>
      <c r="FGC33" s="2"/>
      <c r="FGD33" s="2"/>
      <c r="FGE33" s="2"/>
      <c r="FGF33" s="2"/>
      <c r="FGG33" s="2"/>
      <c r="FGH33" s="2"/>
      <c r="FGI33" s="2"/>
      <c r="FGJ33" s="2"/>
      <c r="FGK33" s="2"/>
      <c r="FGL33" s="2"/>
      <c r="FGM33" s="2"/>
      <c r="FGN33" s="2"/>
      <c r="FGO33" s="2"/>
      <c r="FGP33" s="2"/>
      <c r="FGQ33" s="2"/>
      <c r="FGR33" s="2"/>
      <c r="FGS33" s="2"/>
      <c r="FGT33" s="2"/>
      <c r="FGU33" s="2"/>
      <c r="FGV33" s="2"/>
      <c r="FGW33" s="2"/>
      <c r="FGX33" s="2"/>
      <c r="FGY33" s="2"/>
      <c r="FGZ33" s="2"/>
      <c r="FHA33" s="2"/>
      <c r="FHB33" s="2"/>
      <c r="FHC33" s="2"/>
      <c r="FHD33" s="2"/>
      <c r="FHE33" s="2"/>
      <c r="FHF33" s="2"/>
      <c r="FHG33" s="2"/>
      <c r="FHH33" s="2"/>
      <c r="FHI33" s="2"/>
      <c r="FHJ33" s="2"/>
      <c r="FHK33" s="2"/>
      <c r="FHL33" s="2"/>
      <c r="FHM33" s="2"/>
      <c r="FHN33" s="2"/>
      <c r="FHO33" s="2"/>
      <c r="FHP33" s="2"/>
      <c r="FHQ33" s="2"/>
      <c r="FHR33" s="2"/>
      <c r="FHS33" s="2"/>
      <c r="FHT33" s="2"/>
      <c r="FHU33" s="2"/>
      <c r="FHV33" s="2"/>
      <c r="FHW33" s="2"/>
      <c r="FHX33" s="2"/>
      <c r="FHY33" s="2"/>
      <c r="FHZ33" s="2"/>
      <c r="FIA33" s="2"/>
      <c r="FIB33" s="2"/>
      <c r="FIC33" s="2"/>
      <c r="FID33" s="2"/>
      <c r="FIE33" s="2"/>
      <c r="FIF33" s="2"/>
      <c r="FIG33" s="2"/>
      <c r="FIH33" s="2"/>
      <c r="FII33" s="2"/>
      <c r="FIJ33" s="2"/>
      <c r="FIK33" s="2"/>
      <c r="FIL33" s="2"/>
      <c r="FIM33" s="2"/>
      <c r="FIN33" s="2"/>
      <c r="FIO33" s="2"/>
      <c r="FIP33" s="2"/>
      <c r="FIQ33" s="2"/>
      <c r="FIR33" s="2"/>
      <c r="FIS33" s="2"/>
      <c r="FIT33" s="2"/>
      <c r="FIU33" s="2"/>
      <c r="FIV33" s="2"/>
      <c r="FIW33" s="2"/>
      <c r="FIX33" s="2"/>
      <c r="FIY33" s="2"/>
      <c r="FIZ33" s="2"/>
      <c r="FJA33" s="2"/>
      <c r="FJB33" s="2"/>
      <c r="FJC33" s="2"/>
      <c r="FJD33" s="2"/>
      <c r="FJE33" s="2"/>
      <c r="FJF33" s="2"/>
      <c r="FJG33" s="2"/>
      <c r="FJH33" s="2"/>
      <c r="FJI33" s="2"/>
      <c r="FJJ33" s="2"/>
      <c r="FJK33" s="2"/>
      <c r="FJL33" s="2"/>
      <c r="FJM33" s="2"/>
      <c r="FJN33" s="2"/>
      <c r="FJO33" s="2"/>
      <c r="FJP33" s="2"/>
      <c r="FJQ33" s="2"/>
      <c r="FJR33" s="2"/>
      <c r="FJS33" s="2"/>
      <c r="FJT33" s="2"/>
      <c r="FJU33" s="2"/>
      <c r="FJV33" s="2"/>
      <c r="FJW33" s="2"/>
      <c r="FJX33" s="2"/>
      <c r="FJY33" s="2"/>
      <c r="FJZ33" s="2"/>
      <c r="FKA33" s="2"/>
      <c r="FKB33" s="2"/>
      <c r="FKC33" s="2"/>
      <c r="FKD33" s="2"/>
      <c r="FKE33" s="2"/>
      <c r="FKF33" s="2"/>
      <c r="FKG33" s="2"/>
      <c r="FKH33" s="2"/>
      <c r="FKI33" s="2"/>
      <c r="FKJ33" s="2"/>
      <c r="FKK33" s="2"/>
      <c r="FKL33" s="2"/>
      <c r="FKM33" s="2"/>
      <c r="FKN33" s="2"/>
      <c r="FKO33" s="2"/>
      <c r="FKP33" s="2"/>
      <c r="FKQ33" s="2"/>
      <c r="FKR33" s="2"/>
      <c r="FKS33" s="2"/>
      <c r="FKT33" s="2"/>
      <c r="FKU33" s="2"/>
      <c r="FKV33" s="2"/>
      <c r="FKW33" s="2"/>
      <c r="FKX33" s="2"/>
      <c r="FKY33" s="2"/>
      <c r="FKZ33" s="2"/>
      <c r="FLA33" s="2"/>
      <c r="FLB33" s="2"/>
      <c r="FLC33" s="2"/>
      <c r="FLD33" s="2"/>
      <c r="FLE33" s="2"/>
      <c r="FLF33" s="2"/>
      <c r="FLG33" s="2"/>
      <c r="FLH33" s="2"/>
      <c r="FLI33" s="2"/>
      <c r="FLJ33" s="2"/>
      <c r="FLK33" s="2"/>
      <c r="FLL33" s="2"/>
      <c r="FLM33" s="2"/>
      <c r="FLN33" s="2"/>
      <c r="FLO33" s="2"/>
      <c r="FLP33" s="2"/>
      <c r="FLQ33" s="2"/>
      <c r="FLR33" s="2"/>
      <c r="FLS33" s="2"/>
      <c r="FLT33" s="2"/>
      <c r="FLU33" s="2"/>
      <c r="FLV33" s="2"/>
      <c r="FLW33" s="2"/>
      <c r="FLX33" s="2"/>
      <c r="FLY33" s="2"/>
      <c r="FLZ33" s="2"/>
      <c r="FMA33" s="2"/>
      <c r="FMB33" s="2"/>
      <c r="FMC33" s="2"/>
      <c r="FMD33" s="2"/>
      <c r="FME33" s="2"/>
      <c r="FMF33" s="2"/>
      <c r="FMG33" s="2"/>
      <c r="FMH33" s="2"/>
      <c r="FMI33" s="2"/>
      <c r="FMJ33" s="2"/>
      <c r="FMK33" s="2"/>
      <c r="FML33" s="2"/>
      <c r="FMM33" s="2"/>
      <c r="FMN33" s="2"/>
      <c r="FMO33" s="2"/>
      <c r="FMP33" s="2"/>
      <c r="FMQ33" s="2"/>
      <c r="FMR33" s="2"/>
      <c r="FMS33" s="2"/>
      <c r="FMT33" s="2"/>
      <c r="FMU33" s="2"/>
      <c r="FMV33" s="2"/>
      <c r="FMW33" s="2"/>
      <c r="FMX33" s="2"/>
      <c r="FMY33" s="2"/>
      <c r="FMZ33" s="2"/>
      <c r="FNA33" s="2"/>
      <c r="FNB33" s="2"/>
      <c r="FNC33" s="2"/>
      <c r="FND33" s="2"/>
      <c r="FNE33" s="2"/>
      <c r="FNF33" s="2"/>
      <c r="FNG33" s="2"/>
      <c r="FNH33" s="2"/>
      <c r="FNI33" s="2"/>
      <c r="FNJ33" s="2"/>
      <c r="FNK33" s="2"/>
      <c r="FNL33" s="2"/>
      <c r="FNM33" s="2"/>
      <c r="FNN33" s="2"/>
      <c r="FNO33" s="2"/>
      <c r="FNP33" s="2"/>
      <c r="FNQ33" s="2"/>
      <c r="FNR33" s="2"/>
      <c r="FNS33" s="2"/>
      <c r="FNT33" s="2"/>
      <c r="FNU33" s="2"/>
      <c r="FNV33" s="2"/>
      <c r="FNW33" s="2"/>
      <c r="FNX33" s="2"/>
      <c r="FNY33" s="2"/>
      <c r="FNZ33" s="2"/>
      <c r="FOA33" s="2"/>
      <c r="FOB33" s="2"/>
      <c r="FOC33" s="2"/>
      <c r="FOD33" s="2"/>
      <c r="FOE33" s="2"/>
      <c r="FOF33" s="2"/>
      <c r="FOG33" s="2"/>
      <c r="FOH33" s="2"/>
      <c r="FOI33" s="2"/>
      <c r="FOJ33" s="2"/>
      <c r="FOK33" s="2"/>
      <c r="FOL33" s="2"/>
      <c r="FOM33" s="2"/>
      <c r="FON33" s="2"/>
      <c r="FOO33" s="2"/>
      <c r="FOP33" s="2"/>
      <c r="FOQ33" s="2"/>
      <c r="FOR33" s="2"/>
      <c r="FOS33" s="2"/>
      <c r="FOT33" s="2"/>
      <c r="FOU33" s="2"/>
      <c r="FOV33" s="2"/>
      <c r="FOW33" s="2"/>
      <c r="FOX33" s="2"/>
      <c r="FOY33" s="2"/>
      <c r="FOZ33" s="2"/>
      <c r="FPA33" s="2"/>
      <c r="FPB33" s="2"/>
      <c r="FPC33" s="2"/>
      <c r="FPD33" s="2"/>
      <c r="FPE33" s="2"/>
      <c r="FPF33" s="2"/>
      <c r="FPG33" s="2"/>
      <c r="FPH33" s="2"/>
      <c r="FPI33" s="2"/>
      <c r="FPJ33" s="2"/>
      <c r="FPK33" s="2"/>
      <c r="FPL33" s="2"/>
      <c r="FPM33" s="2"/>
      <c r="FPN33" s="2"/>
      <c r="FPO33" s="2"/>
      <c r="FPP33" s="2"/>
      <c r="FPQ33" s="2"/>
      <c r="FPR33" s="2"/>
      <c r="FPS33" s="2"/>
      <c r="FPT33" s="2"/>
      <c r="FPU33" s="2"/>
      <c r="FPV33" s="2"/>
      <c r="FPW33" s="2"/>
      <c r="FPX33" s="2"/>
      <c r="FPY33" s="2"/>
      <c r="FPZ33" s="2"/>
      <c r="FQA33" s="2"/>
      <c r="FQB33" s="2"/>
      <c r="FQC33" s="2"/>
      <c r="FQD33" s="2"/>
      <c r="FQE33" s="2"/>
      <c r="FQF33" s="2"/>
      <c r="FQG33" s="2"/>
      <c r="FQH33" s="2"/>
      <c r="FQI33" s="2"/>
      <c r="FQJ33" s="2"/>
      <c r="FQK33" s="2"/>
      <c r="FQL33" s="2"/>
      <c r="FQM33" s="2"/>
      <c r="FQN33" s="2"/>
      <c r="FQO33" s="2"/>
      <c r="FQP33" s="2"/>
      <c r="FQQ33" s="2"/>
      <c r="FQR33" s="2"/>
      <c r="FQS33" s="2"/>
      <c r="FQT33" s="2"/>
      <c r="FQU33" s="2"/>
      <c r="FQV33" s="2"/>
      <c r="FQW33" s="2"/>
      <c r="FQX33" s="2"/>
      <c r="FQY33" s="2"/>
      <c r="FQZ33" s="2"/>
      <c r="FRA33" s="2"/>
      <c r="FRB33" s="2"/>
      <c r="FRC33" s="2"/>
      <c r="FRD33" s="2"/>
      <c r="FRE33" s="2"/>
      <c r="FRF33" s="2"/>
      <c r="FRG33" s="2"/>
      <c r="FRH33" s="2"/>
      <c r="FRI33" s="2"/>
      <c r="FRJ33" s="2"/>
      <c r="FRK33" s="2"/>
      <c r="FRL33" s="2"/>
      <c r="FRM33" s="2"/>
      <c r="FRN33" s="2"/>
      <c r="FRO33" s="2"/>
      <c r="FRP33" s="2"/>
      <c r="FRQ33" s="2"/>
      <c r="FRR33" s="2"/>
      <c r="FRS33" s="2"/>
      <c r="FRT33" s="2"/>
      <c r="FRU33" s="2"/>
      <c r="FRV33" s="2"/>
      <c r="FRW33" s="2"/>
      <c r="FRX33" s="2"/>
      <c r="FRY33" s="2"/>
      <c r="FRZ33" s="2"/>
      <c r="FSA33" s="2"/>
      <c r="FSB33" s="2"/>
      <c r="FSC33" s="2"/>
      <c r="FSD33" s="2"/>
      <c r="FSE33" s="2"/>
      <c r="FSF33" s="2"/>
      <c r="FSG33" s="2"/>
      <c r="FSH33" s="2"/>
      <c r="FSI33" s="2"/>
      <c r="FSJ33" s="2"/>
      <c r="FSK33" s="2"/>
      <c r="FSL33" s="2"/>
      <c r="FSM33" s="2"/>
      <c r="FSN33" s="2"/>
      <c r="FSO33" s="2"/>
      <c r="FSP33" s="2"/>
      <c r="FSQ33" s="2"/>
      <c r="FSR33" s="2"/>
      <c r="FSS33" s="2"/>
      <c r="FST33" s="2"/>
      <c r="FSU33" s="2"/>
      <c r="FSV33" s="2"/>
      <c r="FSW33" s="2"/>
      <c r="FSX33" s="2"/>
      <c r="FSY33" s="2"/>
      <c r="FSZ33" s="2"/>
      <c r="FTA33" s="2"/>
      <c r="FTB33" s="2"/>
      <c r="FTC33" s="2"/>
      <c r="FTD33" s="2"/>
      <c r="FTE33" s="2"/>
      <c r="FTF33" s="2"/>
      <c r="FTG33" s="2"/>
      <c r="FTH33" s="2"/>
      <c r="FTI33" s="2"/>
      <c r="FTJ33" s="2"/>
      <c r="FTK33" s="2"/>
      <c r="FTL33" s="2"/>
      <c r="FTM33" s="2"/>
      <c r="FTN33" s="2"/>
      <c r="FTO33" s="2"/>
      <c r="FTP33" s="2"/>
      <c r="FTQ33" s="2"/>
      <c r="FTR33" s="2"/>
      <c r="FTS33" s="2"/>
      <c r="FTT33" s="2"/>
      <c r="FTU33" s="2"/>
      <c r="FTV33" s="2"/>
      <c r="FTW33" s="2"/>
      <c r="FTX33" s="2"/>
      <c r="FTY33" s="2"/>
      <c r="FTZ33" s="2"/>
      <c r="FUA33" s="2"/>
      <c r="FUB33" s="2"/>
      <c r="FUC33" s="2"/>
      <c r="FUD33" s="2"/>
      <c r="FUE33" s="2"/>
      <c r="FUF33" s="2"/>
      <c r="FUG33" s="2"/>
      <c r="FUH33" s="2"/>
      <c r="FUI33" s="2"/>
      <c r="FUJ33" s="2"/>
      <c r="FUK33" s="2"/>
      <c r="FUL33" s="2"/>
      <c r="FUM33" s="2"/>
      <c r="FUN33" s="2"/>
      <c r="FUO33" s="2"/>
      <c r="FUP33" s="2"/>
      <c r="FUQ33" s="2"/>
      <c r="FUR33" s="2"/>
      <c r="FUS33" s="2"/>
      <c r="FUT33" s="2"/>
      <c r="FUU33" s="2"/>
      <c r="FUV33" s="2"/>
      <c r="FUW33" s="2"/>
      <c r="FUX33" s="2"/>
      <c r="FUY33" s="2"/>
      <c r="FUZ33" s="2"/>
      <c r="FVA33" s="2"/>
      <c r="FVB33" s="2"/>
      <c r="FVC33" s="2"/>
      <c r="FVD33" s="2"/>
      <c r="FVE33" s="2"/>
      <c r="FVF33" s="2"/>
      <c r="FVG33" s="2"/>
      <c r="FVH33" s="2"/>
      <c r="FVI33" s="2"/>
      <c r="FVJ33" s="2"/>
      <c r="FVK33" s="2"/>
      <c r="FVL33" s="2"/>
      <c r="FVM33" s="2"/>
      <c r="FVN33" s="2"/>
      <c r="FVO33" s="2"/>
      <c r="FVP33" s="2"/>
      <c r="FVQ33" s="2"/>
      <c r="FVR33" s="2"/>
      <c r="FVS33" s="2"/>
      <c r="FVT33" s="2"/>
      <c r="FVU33" s="2"/>
      <c r="FVV33" s="2"/>
      <c r="FVW33" s="2"/>
      <c r="FVX33" s="2"/>
      <c r="FVY33" s="2"/>
      <c r="FVZ33" s="2"/>
      <c r="FWA33" s="2"/>
      <c r="FWB33" s="2"/>
      <c r="FWC33" s="2"/>
      <c r="FWD33" s="2"/>
      <c r="FWE33" s="2"/>
      <c r="FWF33" s="2"/>
      <c r="FWG33" s="2"/>
      <c r="FWH33" s="2"/>
      <c r="FWI33" s="2"/>
      <c r="FWJ33" s="2"/>
      <c r="FWK33" s="2"/>
      <c r="FWL33" s="2"/>
      <c r="FWM33" s="2"/>
      <c r="FWN33" s="2"/>
      <c r="FWO33" s="2"/>
      <c r="FWP33" s="2"/>
      <c r="FWQ33" s="2"/>
      <c r="FWR33" s="2"/>
      <c r="FWS33" s="2"/>
      <c r="FWT33" s="2"/>
      <c r="FWU33" s="2"/>
      <c r="FWV33" s="2"/>
      <c r="FWW33" s="2"/>
      <c r="FWX33" s="2"/>
      <c r="FWY33" s="2"/>
      <c r="FWZ33" s="2"/>
      <c r="FXA33" s="2"/>
      <c r="FXB33" s="2"/>
      <c r="FXC33" s="2"/>
      <c r="FXD33" s="2"/>
      <c r="FXE33" s="2"/>
      <c r="FXF33" s="2"/>
      <c r="FXG33" s="2"/>
      <c r="FXH33" s="2"/>
      <c r="FXI33" s="2"/>
      <c r="FXJ33" s="2"/>
      <c r="FXK33" s="2"/>
      <c r="FXL33" s="2"/>
      <c r="FXM33" s="2"/>
      <c r="FXN33" s="2"/>
      <c r="FXO33" s="2"/>
      <c r="FXP33" s="2"/>
      <c r="FXQ33" s="2"/>
      <c r="FXR33" s="2"/>
      <c r="FXS33" s="2"/>
      <c r="FXT33" s="2"/>
      <c r="FXU33" s="2"/>
      <c r="FXV33" s="2"/>
      <c r="FXW33" s="2"/>
      <c r="FXX33" s="2"/>
      <c r="FXY33" s="2"/>
      <c r="FXZ33" s="2"/>
      <c r="FYA33" s="2"/>
      <c r="FYB33" s="2"/>
      <c r="FYC33" s="2"/>
      <c r="FYD33" s="2"/>
      <c r="FYE33" s="2"/>
      <c r="FYF33" s="2"/>
      <c r="FYG33" s="2"/>
      <c r="FYH33" s="2"/>
      <c r="FYI33" s="2"/>
      <c r="FYJ33" s="2"/>
      <c r="FYK33" s="2"/>
      <c r="FYL33" s="2"/>
      <c r="FYM33" s="2"/>
      <c r="FYN33" s="2"/>
      <c r="FYO33" s="2"/>
      <c r="FYP33" s="2"/>
      <c r="FYQ33" s="2"/>
      <c r="FYR33" s="2"/>
      <c r="FYS33" s="2"/>
      <c r="FYT33" s="2"/>
      <c r="FYU33" s="2"/>
      <c r="FYV33" s="2"/>
      <c r="FYW33" s="2"/>
      <c r="FYX33" s="2"/>
      <c r="FYY33" s="2"/>
      <c r="FYZ33" s="2"/>
      <c r="FZA33" s="2"/>
      <c r="FZB33" s="2"/>
      <c r="FZC33" s="2"/>
      <c r="FZD33" s="2"/>
      <c r="FZE33" s="2"/>
      <c r="FZF33" s="2"/>
      <c r="FZG33" s="2"/>
      <c r="FZH33" s="2"/>
      <c r="FZI33" s="2"/>
      <c r="FZJ33" s="2"/>
      <c r="FZK33" s="2"/>
      <c r="FZL33" s="2"/>
      <c r="FZM33" s="2"/>
      <c r="FZN33" s="2"/>
      <c r="FZO33" s="2"/>
      <c r="FZP33" s="2"/>
      <c r="FZQ33" s="2"/>
      <c r="FZR33" s="2"/>
      <c r="FZS33" s="2"/>
      <c r="FZT33" s="2"/>
      <c r="FZU33" s="2"/>
      <c r="FZV33" s="2"/>
      <c r="FZW33" s="2"/>
      <c r="FZX33" s="2"/>
      <c r="FZY33" s="2"/>
      <c r="FZZ33" s="2"/>
      <c r="GAA33" s="2"/>
      <c r="GAB33" s="2"/>
      <c r="GAC33" s="2"/>
      <c r="GAD33" s="2"/>
      <c r="GAE33" s="2"/>
      <c r="GAF33" s="2"/>
      <c r="GAG33" s="2"/>
      <c r="GAH33" s="2"/>
      <c r="GAI33" s="2"/>
      <c r="GAJ33" s="2"/>
      <c r="GAK33" s="2"/>
      <c r="GAL33" s="2"/>
      <c r="GAM33" s="2"/>
      <c r="GAN33" s="2"/>
      <c r="GAO33" s="2"/>
      <c r="GAP33" s="2"/>
      <c r="GAQ33" s="2"/>
      <c r="GAR33" s="2"/>
      <c r="GAS33" s="2"/>
      <c r="GAT33" s="2"/>
      <c r="GAU33" s="2"/>
      <c r="GAV33" s="2"/>
      <c r="GAW33" s="2"/>
      <c r="GAX33" s="2"/>
      <c r="GAY33" s="2"/>
      <c r="GAZ33" s="2"/>
      <c r="GBA33" s="2"/>
      <c r="GBB33" s="2"/>
      <c r="GBC33" s="2"/>
      <c r="GBD33" s="2"/>
      <c r="GBE33" s="2"/>
      <c r="GBF33" s="2"/>
      <c r="GBG33" s="2"/>
      <c r="GBH33" s="2"/>
      <c r="GBI33" s="2"/>
      <c r="GBJ33" s="2"/>
      <c r="GBK33" s="2"/>
      <c r="GBL33" s="2"/>
      <c r="GBM33" s="2"/>
      <c r="GBN33" s="2"/>
      <c r="GBO33" s="2"/>
      <c r="GBP33" s="2"/>
      <c r="GBQ33" s="2"/>
      <c r="GBR33" s="2"/>
      <c r="GBS33" s="2"/>
      <c r="GBT33" s="2"/>
      <c r="GBU33" s="2"/>
      <c r="GBV33" s="2"/>
      <c r="GBW33" s="2"/>
      <c r="GBX33" s="2"/>
      <c r="GBY33" s="2"/>
      <c r="GBZ33" s="2"/>
      <c r="GCA33" s="2"/>
      <c r="GCB33" s="2"/>
      <c r="GCC33" s="2"/>
      <c r="GCD33" s="2"/>
      <c r="GCE33" s="2"/>
      <c r="GCF33" s="2"/>
      <c r="GCG33" s="2"/>
      <c r="GCH33" s="2"/>
      <c r="GCI33" s="2"/>
      <c r="GCJ33" s="2"/>
      <c r="GCK33" s="2"/>
      <c r="GCL33" s="2"/>
      <c r="GCM33" s="2"/>
      <c r="GCN33" s="2"/>
      <c r="GCO33" s="2"/>
      <c r="GCP33" s="2"/>
      <c r="GCQ33" s="2"/>
      <c r="GCR33" s="2"/>
      <c r="GCS33" s="2"/>
      <c r="GCT33" s="2"/>
      <c r="GCU33" s="2"/>
      <c r="GCV33" s="2"/>
      <c r="GCW33" s="2"/>
      <c r="GCX33" s="2"/>
      <c r="GCY33" s="2"/>
      <c r="GCZ33" s="2"/>
      <c r="GDA33" s="2"/>
      <c r="GDB33" s="2"/>
      <c r="GDC33" s="2"/>
      <c r="GDD33" s="2"/>
      <c r="GDE33" s="2"/>
      <c r="GDF33" s="2"/>
      <c r="GDG33" s="2"/>
      <c r="GDH33" s="2"/>
      <c r="GDI33" s="2"/>
      <c r="GDJ33" s="2"/>
      <c r="GDK33" s="2"/>
      <c r="GDL33" s="2"/>
      <c r="GDM33" s="2"/>
      <c r="GDN33" s="2"/>
      <c r="GDO33" s="2"/>
      <c r="GDP33" s="2"/>
      <c r="GDQ33" s="2"/>
      <c r="GDR33" s="2"/>
      <c r="GDS33" s="2"/>
      <c r="GDT33" s="2"/>
      <c r="GDU33" s="2"/>
      <c r="GDV33" s="2"/>
      <c r="GDW33" s="2"/>
      <c r="GDX33" s="2"/>
      <c r="GDY33" s="2"/>
      <c r="GDZ33" s="2"/>
      <c r="GEA33" s="2"/>
      <c r="GEB33" s="2"/>
      <c r="GEC33" s="2"/>
      <c r="GED33" s="2"/>
      <c r="GEE33" s="2"/>
      <c r="GEF33" s="2"/>
      <c r="GEG33" s="2"/>
      <c r="GEH33" s="2"/>
      <c r="GEI33" s="2"/>
      <c r="GEJ33" s="2"/>
      <c r="GEK33" s="2"/>
      <c r="GEL33" s="2"/>
      <c r="GEM33" s="2"/>
      <c r="GEN33" s="2"/>
      <c r="GEO33" s="2"/>
      <c r="GEP33" s="2"/>
      <c r="GEQ33" s="2"/>
      <c r="GER33" s="2"/>
      <c r="GES33" s="2"/>
      <c r="GET33" s="2"/>
      <c r="GEU33" s="2"/>
      <c r="GEV33" s="2"/>
      <c r="GEW33" s="2"/>
      <c r="GEX33" s="2"/>
      <c r="GEY33" s="2"/>
      <c r="GEZ33" s="2"/>
      <c r="GFA33" s="2"/>
      <c r="GFB33" s="2"/>
      <c r="GFC33" s="2"/>
      <c r="GFD33" s="2"/>
      <c r="GFE33" s="2"/>
      <c r="GFF33" s="2"/>
      <c r="GFG33" s="2"/>
      <c r="GFH33" s="2"/>
      <c r="GFI33" s="2"/>
      <c r="GFJ33" s="2"/>
      <c r="GFK33" s="2"/>
      <c r="GFL33" s="2"/>
      <c r="GFM33" s="2"/>
      <c r="GFN33" s="2"/>
      <c r="GFO33" s="2"/>
      <c r="GFP33" s="2"/>
      <c r="GFQ33" s="2"/>
      <c r="GFR33" s="2"/>
      <c r="GFS33" s="2"/>
      <c r="GFT33" s="2"/>
      <c r="GFU33" s="2"/>
      <c r="GFV33" s="2"/>
      <c r="GFW33" s="2"/>
      <c r="GFX33" s="2"/>
      <c r="GFY33" s="2"/>
      <c r="GFZ33" s="2"/>
      <c r="GGA33" s="2"/>
      <c r="GGB33" s="2"/>
      <c r="GGC33" s="2"/>
      <c r="GGD33" s="2"/>
      <c r="GGE33" s="2"/>
      <c r="GGF33" s="2"/>
      <c r="GGG33" s="2"/>
      <c r="GGH33" s="2"/>
      <c r="GGI33" s="2"/>
      <c r="GGJ33" s="2"/>
      <c r="GGK33" s="2"/>
      <c r="GGL33" s="2"/>
      <c r="GGM33" s="2"/>
      <c r="GGN33" s="2"/>
      <c r="GGO33" s="2"/>
      <c r="GGP33" s="2"/>
      <c r="GGQ33" s="2"/>
      <c r="GGR33" s="2"/>
      <c r="GGS33" s="2"/>
      <c r="GGT33" s="2"/>
      <c r="GGU33" s="2"/>
      <c r="GGV33" s="2"/>
      <c r="GGW33" s="2"/>
      <c r="GGX33" s="2"/>
      <c r="GGY33" s="2"/>
      <c r="GGZ33" s="2"/>
      <c r="GHA33" s="2"/>
      <c r="GHB33" s="2"/>
      <c r="GHC33" s="2"/>
      <c r="GHD33" s="2"/>
      <c r="GHE33" s="2"/>
      <c r="GHF33" s="2"/>
      <c r="GHG33" s="2"/>
      <c r="GHH33" s="2"/>
      <c r="GHI33" s="2"/>
      <c r="GHJ33" s="2"/>
      <c r="GHK33" s="2"/>
      <c r="GHL33" s="2"/>
      <c r="GHM33" s="2"/>
      <c r="GHN33" s="2"/>
      <c r="GHO33" s="2"/>
      <c r="GHP33" s="2"/>
      <c r="GHQ33" s="2"/>
      <c r="GHR33" s="2"/>
      <c r="GHS33" s="2"/>
      <c r="GHT33" s="2"/>
      <c r="GHU33" s="2"/>
      <c r="GHV33" s="2"/>
      <c r="GHW33" s="2"/>
      <c r="GHX33" s="2"/>
      <c r="GHY33" s="2"/>
      <c r="GHZ33" s="2"/>
      <c r="GIA33" s="2"/>
      <c r="GIB33" s="2"/>
      <c r="GIC33" s="2"/>
      <c r="GID33" s="2"/>
      <c r="GIE33" s="2"/>
      <c r="GIF33" s="2"/>
      <c r="GIG33" s="2"/>
      <c r="GIH33" s="2"/>
      <c r="GII33" s="2"/>
      <c r="GIJ33" s="2"/>
      <c r="GIK33" s="2"/>
      <c r="GIL33" s="2"/>
      <c r="GIM33" s="2"/>
      <c r="GIN33" s="2"/>
      <c r="GIO33" s="2"/>
      <c r="GIP33" s="2"/>
      <c r="GIQ33" s="2"/>
      <c r="GIR33" s="2"/>
      <c r="GIS33" s="2"/>
      <c r="GIT33" s="2"/>
      <c r="GIU33" s="2"/>
      <c r="GIV33" s="2"/>
      <c r="GIW33" s="2"/>
      <c r="GIX33" s="2"/>
      <c r="GIY33" s="2"/>
      <c r="GIZ33" s="2"/>
      <c r="GJA33" s="2"/>
      <c r="GJB33" s="2"/>
      <c r="GJC33" s="2"/>
      <c r="GJD33" s="2"/>
      <c r="GJE33" s="2"/>
      <c r="GJF33" s="2"/>
      <c r="GJG33" s="2"/>
      <c r="GJH33" s="2"/>
      <c r="GJI33" s="2"/>
      <c r="GJJ33" s="2"/>
      <c r="GJK33" s="2"/>
      <c r="GJL33" s="2"/>
      <c r="GJM33" s="2"/>
      <c r="GJN33" s="2"/>
      <c r="GJO33" s="2"/>
      <c r="GJP33" s="2"/>
      <c r="GJQ33" s="2"/>
      <c r="GJR33" s="2"/>
      <c r="GJS33" s="2"/>
      <c r="GJT33" s="2"/>
      <c r="GJU33" s="2"/>
      <c r="GJV33" s="2"/>
      <c r="GJW33" s="2"/>
      <c r="GJX33" s="2"/>
      <c r="GJY33" s="2"/>
      <c r="GJZ33" s="2"/>
      <c r="GKA33" s="2"/>
      <c r="GKB33" s="2"/>
      <c r="GKC33" s="2"/>
      <c r="GKD33" s="2"/>
      <c r="GKE33" s="2"/>
      <c r="GKF33" s="2"/>
      <c r="GKG33" s="2"/>
      <c r="GKH33" s="2"/>
      <c r="GKI33" s="2"/>
      <c r="GKJ33" s="2"/>
      <c r="GKK33" s="2"/>
      <c r="GKL33" s="2"/>
      <c r="GKM33" s="2"/>
      <c r="GKN33" s="2"/>
      <c r="GKO33" s="2"/>
      <c r="GKP33" s="2"/>
      <c r="GKQ33" s="2"/>
      <c r="GKR33" s="2"/>
      <c r="GKS33" s="2"/>
      <c r="GKT33" s="2"/>
      <c r="GKU33" s="2"/>
      <c r="GKV33" s="2"/>
      <c r="GKW33" s="2"/>
      <c r="GKX33" s="2"/>
      <c r="GKY33" s="2"/>
      <c r="GKZ33" s="2"/>
      <c r="GLA33" s="2"/>
      <c r="GLB33" s="2"/>
      <c r="GLC33" s="2"/>
      <c r="GLD33" s="2"/>
      <c r="GLE33" s="2"/>
      <c r="GLF33" s="2"/>
      <c r="GLG33" s="2"/>
      <c r="GLH33" s="2"/>
      <c r="GLI33" s="2"/>
      <c r="GLJ33" s="2"/>
      <c r="GLK33" s="2"/>
      <c r="GLL33" s="2"/>
      <c r="GLM33" s="2"/>
      <c r="GLN33" s="2"/>
      <c r="GLO33" s="2"/>
      <c r="GLP33" s="2"/>
      <c r="GLQ33" s="2"/>
      <c r="GLR33" s="2"/>
      <c r="GLS33" s="2"/>
      <c r="GLT33" s="2"/>
      <c r="GLU33" s="2"/>
      <c r="GLV33" s="2"/>
      <c r="GLW33" s="2"/>
      <c r="GLX33" s="2"/>
      <c r="GLY33" s="2"/>
      <c r="GLZ33" s="2"/>
      <c r="GMA33" s="2"/>
      <c r="GMB33" s="2"/>
      <c r="GMC33" s="2"/>
      <c r="GMD33" s="2"/>
      <c r="GME33" s="2"/>
      <c r="GMF33" s="2"/>
      <c r="GMG33" s="2"/>
      <c r="GMH33" s="2"/>
      <c r="GMI33" s="2"/>
      <c r="GMJ33" s="2"/>
      <c r="GMK33" s="2"/>
      <c r="GML33" s="2"/>
      <c r="GMM33" s="2"/>
      <c r="GMN33" s="2"/>
      <c r="GMO33" s="2"/>
      <c r="GMP33" s="2"/>
      <c r="GMQ33" s="2"/>
      <c r="GMR33" s="2"/>
      <c r="GMS33" s="2"/>
      <c r="GMT33" s="2"/>
      <c r="GMU33" s="2"/>
      <c r="GMV33" s="2"/>
      <c r="GMW33" s="2"/>
      <c r="GMX33" s="2"/>
      <c r="GMY33" s="2"/>
      <c r="GMZ33" s="2"/>
      <c r="GNA33" s="2"/>
      <c r="GNB33" s="2"/>
      <c r="GNC33" s="2"/>
      <c r="GND33" s="2"/>
      <c r="GNE33" s="2"/>
      <c r="GNF33" s="2"/>
      <c r="GNG33" s="2"/>
      <c r="GNH33" s="2"/>
      <c r="GNI33" s="2"/>
      <c r="GNJ33" s="2"/>
      <c r="GNK33" s="2"/>
      <c r="GNL33" s="2"/>
      <c r="GNM33" s="2"/>
      <c r="GNN33" s="2"/>
      <c r="GNO33" s="2"/>
      <c r="GNP33" s="2"/>
      <c r="GNQ33" s="2"/>
      <c r="GNR33" s="2"/>
      <c r="GNS33" s="2"/>
      <c r="GNT33" s="2"/>
      <c r="GNU33" s="2"/>
      <c r="GNV33" s="2"/>
      <c r="GNW33" s="2"/>
      <c r="GNX33" s="2"/>
      <c r="GNY33" s="2"/>
      <c r="GNZ33" s="2"/>
      <c r="GOA33" s="2"/>
      <c r="GOB33" s="2"/>
      <c r="GOC33" s="2"/>
      <c r="GOD33" s="2"/>
      <c r="GOE33" s="2"/>
      <c r="GOF33" s="2"/>
      <c r="GOG33" s="2"/>
      <c r="GOH33" s="2"/>
      <c r="GOI33" s="2"/>
      <c r="GOJ33" s="2"/>
      <c r="GOK33" s="2"/>
      <c r="GOL33" s="2"/>
      <c r="GOM33" s="2"/>
      <c r="GON33" s="2"/>
      <c r="GOO33" s="2"/>
      <c r="GOP33" s="2"/>
      <c r="GOQ33" s="2"/>
      <c r="GOR33" s="2"/>
      <c r="GOS33" s="2"/>
      <c r="GOT33" s="2"/>
      <c r="GOU33" s="2"/>
      <c r="GOV33" s="2"/>
      <c r="GOW33" s="2"/>
      <c r="GOX33" s="2"/>
      <c r="GOY33" s="2"/>
      <c r="GOZ33" s="2"/>
      <c r="GPA33" s="2"/>
      <c r="GPB33" s="2"/>
      <c r="GPC33" s="2"/>
      <c r="GPD33" s="2"/>
      <c r="GPE33" s="2"/>
      <c r="GPF33" s="2"/>
      <c r="GPG33" s="2"/>
      <c r="GPH33" s="2"/>
      <c r="GPI33" s="2"/>
      <c r="GPJ33" s="2"/>
      <c r="GPK33" s="2"/>
      <c r="GPL33" s="2"/>
      <c r="GPM33" s="2"/>
      <c r="GPN33" s="2"/>
      <c r="GPO33" s="2"/>
      <c r="GPP33" s="2"/>
      <c r="GPQ33" s="2"/>
      <c r="GPR33" s="2"/>
      <c r="GPS33" s="2"/>
      <c r="GPT33" s="2"/>
      <c r="GPU33" s="2"/>
      <c r="GPV33" s="2"/>
      <c r="GPW33" s="2"/>
      <c r="GPX33" s="2"/>
      <c r="GPY33" s="2"/>
      <c r="GPZ33" s="2"/>
      <c r="GQA33" s="2"/>
      <c r="GQB33" s="2"/>
      <c r="GQC33" s="2"/>
      <c r="GQD33" s="2"/>
      <c r="GQE33" s="2"/>
      <c r="GQF33" s="2"/>
      <c r="GQG33" s="2"/>
      <c r="GQH33" s="2"/>
      <c r="GQI33" s="2"/>
      <c r="GQJ33" s="2"/>
      <c r="GQK33" s="2"/>
      <c r="GQL33" s="2"/>
      <c r="GQM33" s="2"/>
      <c r="GQN33" s="2"/>
      <c r="GQO33" s="2"/>
      <c r="GQP33" s="2"/>
      <c r="GQQ33" s="2"/>
      <c r="GQR33" s="2"/>
      <c r="GQS33" s="2"/>
      <c r="GQT33" s="2"/>
      <c r="GQU33" s="2"/>
      <c r="GQV33" s="2"/>
      <c r="GQW33" s="2"/>
      <c r="GQX33" s="2"/>
      <c r="GQY33" s="2"/>
      <c r="GQZ33" s="2"/>
      <c r="GRA33" s="2"/>
      <c r="GRB33" s="2"/>
      <c r="GRC33" s="2"/>
      <c r="GRD33" s="2"/>
      <c r="GRE33" s="2"/>
      <c r="GRF33" s="2"/>
      <c r="GRG33" s="2"/>
      <c r="GRH33" s="2"/>
      <c r="GRI33" s="2"/>
      <c r="GRJ33" s="2"/>
      <c r="GRK33" s="2"/>
      <c r="GRL33" s="2"/>
      <c r="GRM33" s="2"/>
      <c r="GRN33" s="2"/>
      <c r="GRO33" s="2"/>
      <c r="GRP33" s="2"/>
      <c r="GRQ33" s="2"/>
      <c r="GRR33" s="2"/>
      <c r="GRS33" s="2"/>
      <c r="GRT33" s="2"/>
      <c r="GRU33" s="2"/>
      <c r="GRV33" s="2"/>
      <c r="GRW33" s="2"/>
      <c r="GRX33" s="2"/>
      <c r="GRY33" s="2"/>
      <c r="GRZ33" s="2"/>
      <c r="GSA33" s="2"/>
      <c r="GSB33" s="2"/>
      <c r="GSC33" s="2"/>
      <c r="GSD33" s="2"/>
      <c r="GSE33" s="2"/>
      <c r="GSF33" s="2"/>
      <c r="GSG33" s="2"/>
      <c r="GSH33" s="2"/>
      <c r="GSI33" s="2"/>
      <c r="GSJ33" s="2"/>
      <c r="GSK33" s="2"/>
      <c r="GSL33" s="2"/>
      <c r="GSM33" s="2"/>
      <c r="GSN33" s="2"/>
      <c r="GSO33" s="2"/>
      <c r="GSP33" s="2"/>
      <c r="GSQ33" s="2"/>
      <c r="GSR33" s="2"/>
      <c r="GSS33" s="2"/>
      <c r="GST33" s="2"/>
      <c r="GSU33" s="2"/>
      <c r="GSV33" s="2"/>
      <c r="GSW33" s="2"/>
      <c r="GSX33" s="2"/>
      <c r="GSY33" s="2"/>
      <c r="GSZ33" s="2"/>
      <c r="GTA33" s="2"/>
      <c r="GTB33" s="2"/>
      <c r="GTC33" s="2"/>
      <c r="GTD33" s="2"/>
      <c r="GTE33" s="2"/>
      <c r="GTF33" s="2"/>
      <c r="GTG33" s="2"/>
      <c r="GTH33" s="2"/>
      <c r="GTI33" s="2"/>
      <c r="GTJ33" s="2"/>
      <c r="GTK33" s="2"/>
      <c r="GTL33" s="2"/>
      <c r="GTM33" s="2"/>
      <c r="GTN33" s="2"/>
      <c r="GTO33" s="2"/>
      <c r="GTP33" s="2"/>
      <c r="GTQ33" s="2"/>
      <c r="GTR33" s="2"/>
      <c r="GTS33" s="2"/>
      <c r="GTT33" s="2"/>
      <c r="GTU33" s="2"/>
      <c r="GTV33" s="2"/>
      <c r="GTW33" s="2"/>
      <c r="GTX33" s="2"/>
      <c r="GTY33" s="2"/>
      <c r="GTZ33" s="2"/>
      <c r="GUA33" s="2"/>
      <c r="GUB33" s="2"/>
      <c r="GUC33" s="2"/>
      <c r="GUD33" s="2"/>
      <c r="GUE33" s="2"/>
      <c r="GUF33" s="2"/>
      <c r="GUG33" s="2"/>
      <c r="GUH33" s="2"/>
      <c r="GUI33" s="2"/>
      <c r="GUJ33" s="2"/>
      <c r="GUK33" s="2"/>
      <c r="GUL33" s="2"/>
      <c r="GUM33" s="2"/>
      <c r="GUN33" s="2"/>
      <c r="GUO33" s="2"/>
      <c r="GUP33" s="2"/>
      <c r="GUQ33" s="2"/>
      <c r="GUR33" s="2"/>
      <c r="GUS33" s="2"/>
      <c r="GUT33" s="2"/>
      <c r="GUU33" s="2"/>
      <c r="GUV33" s="2"/>
      <c r="GUW33" s="2"/>
      <c r="GUX33" s="2"/>
      <c r="GUY33" s="2"/>
      <c r="GUZ33" s="2"/>
      <c r="GVA33" s="2"/>
      <c r="GVB33" s="2"/>
      <c r="GVC33" s="2"/>
      <c r="GVD33" s="2"/>
      <c r="GVE33" s="2"/>
      <c r="GVF33" s="2"/>
      <c r="GVG33" s="2"/>
      <c r="GVH33" s="2"/>
      <c r="GVI33" s="2"/>
      <c r="GVJ33" s="2"/>
      <c r="GVK33" s="2"/>
      <c r="GVL33" s="2"/>
      <c r="GVM33" s="2"/>
      <c r="GVN33" s="2"/>
      <c r="GVO33" s="2"/>
      <c r="GVP33" s="2"/>
      <c r="GVQ33" s="2"/>
      <c r="GVR33" s="2"/>
      <c r="GVS33" s="2"/>
      <c r="GVT33" s="2"/>
      <c r="GVU33" s="2"/>
      <c r="GVV33" s="2"/>
      <c r="GVW33" s="2"/>
      <c r="GVX33" s="2"/>
      <c r="GVY33" s="2"/>
      <c r="GVZ33" s="2"/>
      <c r="GWA33" s="2"/>
      <c r="GWB33" s="2"/>
      <c r="GWC33" s="2"/>
      <c r="GWD33" s="2"/>
      <c r="GWE33" s="2"/>
      <c r="GWF33" s="2"/>
      <c r="GWG33" s="2"/>
      <c r="GWH33" s="2"/>
      <c r="GWI33" s="2"/>
      <c r="GWJ33" s="2"/>
      <c r="GWK33" s="2"/>
      <c r="GWL33" s="2"/>
      <c r="GWM33" s="2"/>
      <c r="GWN33" s="2"/>
      <c r="GWO33" s="2"/>
      <c r="GWP33" s="2"/>
      <c r="GWQ33" s="2"/>
      <c r="GWR33" s="2"/>
      <c r="GWS33" s="2"/>
      <c r="GWT33" s="2"/>
      <c r="GWU33" s="2"/>
      <c r="GWV33" s="2"/>
      <c r="GWW33" s="2"/>
      <c r="GWX33" s="2"/>
      <c r="GWY33" s="2"/>
      <c r="GWZ33" s="2"/>
      <c r="GXA33" s="2"/>
      <c r="GXB33" s="2"/>
      <c r="GXC33" s="2"/>
      <c r="GXD33" s="2"/>
      <c r="GXE33" s="2"/>
      <c r="GXF33" s="2"/>
      <c r="GXG33" s="2"/>
      <c r="GXH33" s="2"/>
      <c r="GXI33" s="2"/>
      <c r="GXJ33" s="2"/>
      <c r="GXK33" s="2"/>
      <c r="GXL33" s="2"/>
      <c r="GXM33" s="2"/>
      <c r="GXN33" s="2"/>
      <c r="GXO33" s="2"/>
      <c r="GXP33" s="2"/>
      <c r="GXQ33" s="2"/>
      <c r="GXR33" s="2"/>
      <c r="GXS33" s="2"/>
      <c r="GXT33" s="2"/>
      <c r="GXU33" s="2"/>
      <c r="GXV33" s="2"/>
      <c r="GXW33" s="2"/>
      <c r="GXX33" s="2"/>
      <c r="GXY33" s="2"/>
      <c r="GXZ33" s="2"/>
      <c r="GYA33" s="2"/>
      <c r="GYB33" s="2"/>
      <c r="GYC33" s="2"/>
      <c r="GYD33" s="2"/>
      <c r="GYE33" s="2"/>
      <c r="GYF33" s="2"/>
      <c r="GYG33" s="2"/>
      <c r="GYH33" s="2"/>
      <c r="GYI33" s="2"/>
      <c r="GYJ33" s="2"/>
      <c r="GYK33" s="2"/>
      <c r="GYL33" s="2"/>
      <c r="GYM33" s="2"/>
      <c r="GYN33" s="2"/>
      <c r="GYO33" s="2"/>
      <c r="GYP33" s="2"/>
      <c r="GYQ33" s="2"/>
      <c r="GYR33" s="2"/>
      <c r="GYS33" s="2"/>
      <c r="GYT33" s="2"/>
      <c r="GYU33" s="2"/>
      <c r="GYV33" s="2"/>
      <c r="GYW33" s="2"/>
      <c r="GYX33" s="2"/>
      <c r="GYY33" s="2"/>
      <c r="GYZ33" s="2"/>
      <c r="GZA33" s="2"/>
      <c r="GZB33" s="2"/>
      <c r="GZC33" s="2"/>
      <c r="GZD33" s="2"/>
      <c r="GZE33" s="2"/>
      <c r="GZF33" s="2"/>
      <c r="GZG33" s="2"/>
      <c r="GZH33" s="2"/>
      <c r="GZI33" s="2"/>
      <c r="GZJ33" s="2"/>
      <c r="GZK33" s="2"/>
      <c r="GZL33" s="2"/>
      <c r="GZM33" s="2"/>
      <c r="GZN33" s="2"/>
      <c r="GZO33" s="2"/>
      <c r="GZP33" s="2"/>
      <c r="GZQ33" s="2"/>
      <c r="GZR33" s="2"/>
      <c r="GZS33" s="2"/>
      <c r="GZT33" s="2"/>
      <c r="GZU33" s="2"/>
      <c r="GZV33" s="2"/>
      <c r="GZW33" s="2"/>
      <c r="GZX33" s="2"/>
      <c r="GZY33" s="2"/>
      <c r="GZZ33" s="2"/>
      <c r="HAA33" s="2"/>
      <c r="HAB33" s="2"/>
      <c r="HAC33" s="2"/>
      <c r="HAD33" s="2"/>
      <c r="HAE33" s="2"/>
      <c r="HAF33" s="2"/>
      <c r="HAG33" s="2"/>
      <c r="HAH33" s="2"/>
      <c r="HAI33" s="2"/>
      <c r="HAJ33" s="2"/>
      <c r="HAK33" s="2"/>
      <c r="HAL33" s="2"/>
      <c r="HAM33" s="2"/>
      <c r="HAN33" s="2"/>
      <c r="HAO33" s="2"/>
      <c r="HAP33" s="2"/>
      <c r="HAQ33" s="2"/>
      <c r="HAR33" s="2"/>
      <c r="HAS33" s="2"/>
      <c r="HAT33" s="2"/>
      <c r="HAU33" s="2"/>
      <c r="HAV33" s="2"/>
      <c r="HAW33" s="2"/>
      <c r="HAX33" s="2"/>
      <c r="HAY33" s="2"/>
      <c r="HAZ33" s="2"/>
      <c r="HBA33" s="2"/>
      <c r="HBB33" s="2"/>
      <c r="HBC33" s="2"/>
      <c r="HBD33" s="2"/>
      <c r="HBE33" s="2"/>
      <c r="HBF33" s="2"/>
      <c r="HBG33" s="2"/>
      <c r="HBH33" s="2"/>
      <c r="HBI33" s="2"/>
      <c r="HBJ33" s="2"/>
      <c r="HBK33" s="2"/>
      <c r="HBL33" s="2"/>
      <c r="HBM33" s="2"/>
      <c r="HBN33" s="2"/>
      <c r="HBO33" s="2"/>
      <c r="HBP33" s="2"/>
      <c r="HBQ33" s="2"/>
      <c r="HBR33" s="2"/>
      <c r="HBS33" s="2"/>
      <c r="HBT33" s="2"/>
      <c r="HBU33" s="2"/>
      <c r="HBV33" s="2"/>
      <c r="HBW33" s="2"/>
      <c r="HBX33" s="2"/>
      <c r="HBY33" s="2"/>
      <c r="HBZ33" s="2"/>
      <c r="HCA33" s="2"/>
      <c r="HCB33" s="2"/>
      <c r="HCC33" s="2"/>
      <c r="HCD33" s="2"/>
      <c r="HCE33" s="2"/>
      <c r="HCF33" s="2"/>
      <c r="HCG33" s="2"/>
      <c r="HCH33" s="2"/>
      <c r="HCI33" s="2"/>
      <c r="HCJ33" s="2"/>
      <c r="HCK33" s="2"/>
      <c r="HCL33" s="2"/>
      <c r="HCM33" s="2"/>
      <c r="HCN33" s="2"/>
      <c r="HCO33" s="2"/>
      <c r="HCP33" s="2"/>
      <c r="HCQ33" s="2"/>
      <c r="HCR33" s="2"/>
      <c r="HCS33" s="2"/>
      <c r="HCT33" s="2"/>
      <c r="HCU33" s="2"/>
      <c r="HCV33" s="2"/>
      <c r="HCW33" s="2"/>
      <c r="HCX33" s="2"/>
      <c r="HCY33" s="2"/>
      <c r="HCZ33" s="2"/>
      <c r="HDA33" s="2"/>
      <c r="HDB33" s="2"/>
      <c r="HDC33" s="2"/>
      <c r="HDD33" s="2"/>
      <c r="HDE33" s="2"/>
      <c r="HDF33" s="2"/>
      <c r="HDG33" s="2"/>
      <c r="HDH33" s="2"/>
      <c r="HDI33" s="2"/>
      <c r="HDJ33" s="2"/>
      <c r="HDK33" s="2"/>
      <c r="HDL33" s="2"/>
      <c r="HDM33" s="2"/>
      <c r="HDN33" s="2"/>
      <c r="HDO33" s="2"/>
      <c r="HDP33" s="2"/>
      <c r="HDQ33" s="2"/>
      <c r="HDR33" s="2"/>
      <c r="HDS33" s="2"/>
      <c r="HDT33" s="2"/>
      <c r="HDU33" s="2"/>
      <c r="HDV33" s="2"/>
      <c r="HDW33" s="2"/>
      <c r="HDX33" s="2"/>
      <c r="HDY33" s="2"/>
      <c r="HDZ33" s="2"/>
      <c r="HEA33" s="2"/>
      <c r="HEB33" s="2"/>
      <c r="HEC33" s="2"/>
      <c r="HED33" s="2"/>
      <c r="HEE33" s="2"/>
      <c r="HEF33" s="2"/>
      <c r="HEG33" s="2"/>
      <c r="HEH33" s="2"/>
      <c r="HEI33" s="2"/>
      <c r="HEJ33" s="2"/>
      <c r="HEK33" s="2"/>
      <c r="HEL33" s="2"/>
      <c r="HEM33" s="2"/>
      <c r="HEN33" s="2"/>
      <c r="HEO33" s="2"/>
      <c r="HEP33" s="2"/>
      <c r="HEQ33" s="2"/>
      <c r="HER33" s="2"/>
      <c r="HES33" s="2"/>
      <c r="HET33" s="2"/>
      <c r="HEU33" s="2"/>
      <c r="HEV33" s="2"/>
      <c r="HEW33" s="2"/>
      <c r="HEX33" s="2"/>
      <c r="HEY33" s="2"/>
      <c r="HEZ33" s="2"/>
      <c r="HFA33" s="2"/>
      <c r="HFB33" s="2"/>
      <c r="HFC33" s="2"/>
      <c r="HFD33" s="2"/>
      <c r="HFE33" s="2"/>
      <c r="HFF33" s="2"/>
      <c r="HFG33" s="2"/>
      <c r="HFH33" s="2"/>
      <c r="HFI33" s="2"/>
      <c r="HFJ33" s="2"/>
      <c r="HFK33" s="2"/>
      <c r="HFL33" s="2"/>
      <c r="HFM33" s="2"/>
      <c r="HFN33" s="2"/>
      <c r="HFO33" s="2"/>
      <c r="HFP33" s="2"/>
      <c r="HFQ33" s="2"/>
      <c r="HFR33" s="2"/>
      <c r="HFS33" s="2"/>
      <c r="HFT33" s="2"/>
      <c r="HFU33" s="2"/>
      <c r="HFV33" s="2"/>
      <c r="HFW33" s="2"/>
      <c r="HFX33" s="2"/>
      <c r="HFY33" s="2"/>
      <c r="HFZ33" s="2"/>
      <c r="HGA33" s="2"/>
      <c r="HGB33" s="2"/>
      <c r="HGC33" s="2"/>
      <c r="HGD33" s="2"/>
      <c r="HGE33" s="2"/>
      <c r="HGF33" s="2"/>
      <c r="HGG33" s="2"/>
      <c r="HGH33" s="2"/>
      <c r="HGI33" s="2"/>
      <c r="HGJ33" s="2"/>
      <c r="HGK33" s="2"/>
      <c r="HGL33" s="2"/>
      <c r="HGM33" s="2"/>
      <c r="HGN33" s="2"/>
      <c r="HGO33" s="2"/>
      <c r="HGP33" s="2"/>
      <c r="HGQ33" s="2"/>
      <c r="HGR33" s="2"/>
      <c r="HGS33" s="2"/>
      <c r="HGT33" s="2"/>
      <c r="HGU33" s="2"/>
      <c r="HGV33" s="2"/>
      <c r="HGW33" s="2"/>
      <c r="HGX33" s="2"/>
      <c r="HGY33" s="2"/>
      <c r="HGZ33" s="2"/>
      <c r="HHA33" s="2"/>
      <c r="HHB33" s="2"/>
      <c r="HHC33" s="2"/>
      <c r="HHD33" s="2"/>
      <c r="HHE33" s="2"/>
      <c r="HHF33" s="2"/>
      <c r="HHG33" s="2"/>
      <c r="HHH33" s="2"/>
      <c r="HHI33" s="2"/>
      <c r="HHJ33" s="2"/>
      <c r="HHK33" s="2"/>
      <c r="HHL33" s="2"/>
      <c r="HHM33" s="2"/>
      <c r="HHN33" s="2"/>
      <c r="HHO33" s="2"/>
      <c r="HHP33" s="2"/>
      <c r="HHQ33" s="2"/>
      <c r="HHR33" s="2"/>
      <c r="HHS33" s="2"/>
      <c r="HHT33" s="2"/>
      <c r="HHU33" s="2"/>
      <c r="HHV33" s="2"/>
      <c r="HHW33" s="2"/>
      <c r="HHX33" s="2"/>
      <c r="HHY33" s="2"/>
      <c r="HHZ33" s="2"/>
      <c r="HIA33" s="2"/>
      <c r="HIB33" s="2"/>
      <c r="HIC33" s="2"/>
      <c r="HID33" s="2"/>
      <c r="HIE33" s="2"/>
      <c r="HIF33" s="2"/>
      <c r="HIG33" s="2"/>
      <c r="HIH33" s="2"/>
      <c r="HII33" s="2"/>
      <c r="HIJ33" s="2"/>
      <c r="HIK33" s="2"/>
      <c r="HIL33" s="2"/>
      <c r="HIM33" s="2"/>
      <c r="HIN33" s="2"/>
      <c r="HIO33" s="2"/>
      <c r="HIP33" s="2"/>
      <c r="HIQ33" s="2"/>
      <c r="HIR33" s="2"/>
      <c r="HIS33" s="2"/>
      <c r="HIT33" s="2"/>
      <c r="HIU33" s="2"/>
      <c r="HIV33" s="2"/>
      <c r="HIW33" s="2"/>
      <c r="HIX33" s="2"/>
      <c r="HIY33" s="2"/>
      <c r="HIZ33" s="2"/>
      <c r="HJA33" s="2"/>
      <c r="HJB33" s="2"/>
      <c r="HJC33" s="2"/>
      <c r="HJD33" s="2"/>
      <c r="HJE33" s="2"/>
      <c r="HJF33" s="2"/>
      <c r="HJG33" s="2"/>
      <c r="HJH33" s="2"/>
      <c r="HJI33" s="2"/>
      <c r="HJJ33" s="2"/>
      <c r="HJK33" s="2"/>
      <c r="HJL33" s="2"/>
      <c r="HJM33" s="2"/>
      <c r="HJN33" s="2"/>
      <c r="HJO33" s="2"/>
      <c r="HJP33" s="2"/>
      <c r="HJQ33" s="2"/>
      <c r="HJR33" s="2"/>
      <c r="HJS33" s="2"/>
      <c r="HJT33" s="2"/>
      <c r="HJU33" s="2"/>
      <c r="HJV33" s="2"/>
      <c r="HJW33" s="2"/>
      <c r="HJX33" s="2"/>
      <c r="HJY33" s="2"/>
      <c r="HJZ33" s="2"/>
      <c r="HKA33" s="2"/>
      <c r="HKB33" s="2"/>
      <c r="HKC33" s="2"/>
      <c r="HKD33" s="2"/>
      <c r="HKE33" s="2"/>
      <c r="HKF33" s="2"/>
      <c r="HKG33" s="2"/>
      <c r="HKH33" s="2"/>
      <c r="HKI33" s="2"/>
      <c r="HKJ33" s="2"/>
      <c r="HKK33" s="2"/>
      <c r="HKL33" s="2"/>
      <c r="HKM33" s="2"/>
      <c r="HKN33" s="2"/>
      <c r="HKO33" s="2"/>
      <c r="HKP33" s="2"/>
      <c r="HKQ33" s="2"/>
      <c r="HKR33" s="2"/>
      <c r="HKS33" s="2"/>
      <c r="HKT33" s="2"/>
      <c r="HKU33" s="2"/>
      <c r="HKV33" s="2"/>
      <c r="HKW33" s="2"/>
      <c r="HKX33" s="2"/>
      <c r="HKY33" s="2"/>
      <c r="HKZ33" s="2"/>
      <c r="HLA33" s="2"/>
      <c r="HLB33" s="2"/>
      <c r="HLC33" s="2"/>
      <c r="HLD33" s="2"/>
      <c r="HLE33" s="2"/>
      <c r="HLF33" s="2"/>
      <c r="HLG33" s="2"/>
      <c r="HLH33" s="2"/>
      <c r="HLI33" s="2"/>
      <c r="HLJ33" s="2"/>
      <c r="HLK33" s="2"/>
      <c r="HLL33" s="2"/>
      <c r="HLM33" s="2"/>
      <c r="HLN33" s="2"/>
      <c r="HLO33" s="2"/>
      <c r="HLP33" s="2"/>
      <c r="HLQ33" s="2"/>
      <c r="HLR33" s="2"/>
      <c r="HLS33" s="2"/>
      <c r="HLT33" s="2"/>
      <c r="HLU33" s="2"/>
      <c r="HLV33" s="2"/>
      <c r="HLW33" s="2"/>
      <c r="HLX33" s="2"/>
      <c r="HLY33" s="2"/>
      <c r="HLZ33" s="2"/>
      <c r="HMA33" s="2"/>
      <c r="HMB33" s="2"/>
      <c r="HMC33" s="2"/>
      <c r="HMD33" s="2"/>
      <c r="HME33" s="2"/>
      <c r="HMF33" s="2"/>
      <c r="HMG33" s="2"/>
      <c r="HMH33" s="2"/>
      <c r="HMI33" s="2"/>
      <c r="HMJ33" s="2"/>
      <c r="HMK33" s="2"/>
      <c r="HML33" s="2"/>
      <c r="HMM33" s="2"/>
      <c r="HMN33" s="2"/>
      <c r="HMO33" s="2"/>
      <c r="HMP33" s="2"/>
      <c r="HMQ33" s="2"/>
      <c r="HMR33" s="2"/>
      <c r="HMS33" s="2"/>
      <c r="HMT33" s="2"/>
      <c r="HMU33" s="2"/>
      <c r="HMV33" s="2"/>
      <c r="HMW33" s="2"/>
      <c r="HMX33" s="2"/>
      <c r="HMY33" s="2"/>
      <c r="HMZ33" s="2"/>
      <c r="HNA33" s="2"/>
      <c r="HNB33" s="2"/>
      <c r="HNC33" s="2"/>
      <c r="HND33" s="2"/>
      <c r="HNE33" s="2"/>
      <c r="HNF33" s="2"/>
      <c r="HNG33" s="2"/>
      <c r="HNH33" s="2"/>
      <c r="HNI33" s="2"/>
      <c r="HNJ33" s="2"/>
      <c r="HNK33" s="2"/>
      <c r="HNL33" s="2"/>
      <c r="HNM33" s="2"/>
      <c r="HNN33" s="2"/>
      <c r="HNO33" s="2"/>
      <c r="HNP33" s="2"/>
      <c r="HNQ33" s="2"/>
      <c r="HNR33" s="2"/>
      <c r="HNS33" s="2"/>
      <c r="HNT33" s="2"/>
      <c r="HNU33" s="2"/>
      <c r="HNV33" s="2"/>
      <c r="HNW33" s="2"/>
      <c r="HNX33" s="2"/>
      <c r="HNY33" s="2"/>
      <c r="HNZ33" s="2"/>
      <c r="HOA33" s="2"/>
      <c r="HOB33" s="2"/>
      <c r="HOC33" s="2"/>
      <c r="HOD33" s="2"/>
      <c r="HOE33" s="2"/>
      <c r="HOF33" s="2"/>
      <c r="HOG33" s="2"/>
      <c r="HOH33" s="2"/>
      <c r="HOI33" s="2"/>
      <c r="HOJ33" s="2"/>
      <c r="HOK33" s="2"/>
      <c r="HOL33" s="2"/>
      <c r="HOM33" s="2"/>
      <c r="HON33" s="2"/>
      <c r="HOO33" s="2"/>
      <c r="HOP33" s="2"/>
      <c r="HOQ33" s="2"/>
      <c r="HOR33" s="2"/>
      <c r="HOS33" s="2"/>
      <c r="HOT33" s="2"/>
      <c r="HOU33" s="2"/>
      <c r="HOV33" s="2"/>
      <c r="HOW33" s="2"/>
      <c r="HOX33" s="2"/>
      <c r="HOY33" s="2"/>
      <c r="HOZ33" s="2"/>
      <c r="HPA33" s="2"/>
      <c r="HPB33" s="2"/>
      <c r="HPC33" s="2"/>
      <c r="HPD33" s="2"/>
      <c r="HPE33" s="2"/>
      <c r="HPF33" s="2"/>
      <c r="HPG33" s="2"/>
      <c r="HPH33" s="2"/>
      <c r="HPI33" s="2"/>
      <c r="HPJ33" s="2"/>
      <c r="HPK33" s="2"/>
      <c r="HPL33" s="2"/>
      <c r="HPM33" s="2"/>
      <c r="HPN33" s="2"/>
      <c r="HPO33" s="2"/>
      <c r="HPP33" s="2"/>
      <c r="HPQ33" s="2"/>
      <c r="HPR33" s="2"/>
      <c r="HPS33" s="2"/>
      <c r="HPT33" s="2"/>
      <c r="HPU33" s="2"/>
      <c r="HPV33" s="2"/>
      <c r="HPW33" s="2"/>
      <c r="HPX33" s="2"/>
      <c r="HPY33" s="2"/>
      <c r="HPZ33" s="2"/>
      <c r="HQA33" s="2"/>
      <c r="HQB33" s="2"/>
      <c r="HQC33" s="2"/>
      <c r="HQD33" s="2"/>
      <c r="HQE33" s="2"/>
      <c r="HQF33" s="2"/>
      <c r="HQG33" s="2"/>
      <c r="HQH33" s="2"/>
      <c r="HQI33" s="2"/>
      <c r="HQJ33" s="2"/>
      <c r="HQK33" s="2"/>
      <c r="HQL33" s="2"/>
      <c r="HQM33" s="2"/>
      <c r="HQN33" s="2"/>
      <c r="HQO33" s="2"/>
      <c r="HQP33" s="2"/>
      <c r="HQQ33" s="2"/>
      <c r="HQR33" s="2"/>
      <c r="HQS33" s="2"/>
      <c r="HQT33" s="2"/>
      <c r="HQU33" s="2"/>
      <c r="HQV33" s="2"/>
      <c r="HQW33" s="2"/>
      <c r="HQX33" s="2"/>
      <c r="HQY33" s="2"/>
      <c r="HQZ33" s="2"/>
      <c r="HRA33" s="2"/>
      <c r="HRB33" s="2"/>
      <c r="HRC33" s="2"/>
      <c r="HRD33" s="2"/>
      <c r="HRE33" s="2"/>
      <c r="HRF33" s="2"/>
      <c r="HRG33" s="2"/>
      <c r="HRH33" s="2"/>
      <c r="HRI33" s="2"/>
      <c r="HRJ33" s="2"/>
      <c r="HRK33" s="2"/>
      <c r="HRL33" s="2"/>
      <c r="HRM33" s="2"/>
      <c r="HRN33" s="2"/>
      <c r="HRO33" s="2"/>
      <c r="HRP33" s="2"/>
      <c r="HRQ33" s="2"/>
      <c r="HRR33" s="2"/>
      <c r="HRS33" s="2"/>
      <c r="HRT33" s="2"/>
      <c r="HRU33" s="2"/>
      <c r="HRV33" s="2"/>
      <c r="HRW33" s="2"/>
      <c r="HRX33" s="2"/>
      <c r="HRY33" s="2"/>
      <c r="HRZ33" s="2"/>
      <c r="HSA33" s="2"/>
      <c r="HSB33" s="2"/>
      <c r="HSC33" s="2"/>
      <c r="HSD33" s="2"/>
      <c r="HSE33" s="2"/>
      <c r="HSF33" s="2"/>
      <c r="HSG33" s="2"/>
      <c r="HSH33" s="2"/>
      <c r="HSI33" s="2"/>
      <c r="HSJ33" s="2"/>
      <c r="HSK33" s="2"/>
      <c r="HSL33" s="2"/>
      <c r="HSM33" s="2"/>
      <c r="HSN33" s="2"/>
      <c r="HSO33" s="2"/>
      <c r="HSP33" s="2"/>
      <c r="HSQ33" s="2"/>
      <c r="HSR33" s="2"/>
      <c r="HSS33" s="2"/>
      <c r="HST33" s="2"/>
      <c r="HSU33" s="2"/>
      <c r="HSV33" s="2"/>
      <c r="HSW33" s="2"/>
      <c r="HSX33" s="2"/>
      <c r="HSY33" s="2"/>
      <c r="HSZ33" s="2"/>
      <c r="HTA33" s="2"/>
      <c r="HTB33" s="2"/>
      <c r="HTC33" s="2"/>
      <c r="HTD33" s="2"/>
      <c r="HTE33" s="2"/>
      <c r="HTF33" s="2"/>
      <c r="HTG33" s="2"/>
      <c r="HTH33" s="2"/>
      <c r="HTI33" s="2"/>
      <c r="HTJ33" s="2"/>
      <c r="HTK33" s="2"/>
      <c r="HTL33" s="2"/>
      <c r="HTM33" s="2"/>
      <c r="HTN33" s="2"/>
      <c r="HTO33" s="2"/>
      <c r="HTP33" s="2"/>
      <c r="HTQ33" s="2"/>
      <c r="HTR33" s="2"/>
      <c r="HTS33" s="2"/>
      <c r="HTT33" s="2"/>
      <c r="HTU33" s="2"/>
      <c r="HTV33" s="2"/>
      <c r="HTW33" s="2"/>
      <c r="HTX33" s="2"/>
      <c r="HTY33" s="2"/>
      <c r="HTZ33" s="2"/>
      <c r="HUA33" s="2"/>
      <c r="HUB33" s="2"/>
      <c r="HUC33" s="2"/>
      <c r="HUD33" s="2"/>
      <c r="HUE33" s="2"/>
      <c r="HUF33" s="2"/>
      <c r="HUG33" s="2"/>
      <c r="HUH33" s="2"/>
      <c r="HUI33" s="2"/>
      <c r="HUJ33" s="2"/>
      <c r="HUK33" s="2"/>
      <c r="HUL33" s="2"/>
      <c r="HUM33" s="2"/>
      <c r="HUN33" s="2"/>
      <c r="HUO33" s="2"/>
      <c r="HUP33" s="2"/>
      <c r="HUQ33" s="2"/>
      <c r="HUR33" s="2"/>
      <c r="HUS33" s="2"/>
      <c r="HUT33" s="2"/>
      <c r="HUU33" s="2"/>
      <c r="HUV33" s="2"/>
      <c r="HUW33" s="2"/>
      <c r="HUX33" s="2"/>
      <c r="HUY33" s="2"/>
      <c r="HUZ33" s="2"/>
      <c r="HVA33" s="2"/>
      <c r="HVB33" s="2"/>
      <c r="HVC33" s="2"/>
      <c r="HVD33" s="2"/>
      <c r="HVE33" s="2"/>
      <c r="HVF33" s="2"/>
      <c r="HVG33" s="2"/>
      <c r="HVH33" s="2"/>
      <c r="HVI33" s="2"/>
      <c r="HVJ33" s="2"/>
      <c r="HVK33" s="2"/>
      <c r="HVL33" s="2"/>
      <c r="HVM33" s="2"/>
      <c r="HVN33" s="2"/>
      <c r="HVO33" s="2"/>
      <c r="HVP33" s="2"/>
      <c r="HVQ33" s="2"/>
      <c r="HVR33" s="2"/>
      <c r="HVS33" s="2"/>
      <c r="HVT33" s="2"/>
      <c r="HVU33" s="2"/>
      <c r="HVV33" s="2"/>
      <c r="HVW33" s="2"/>
      <c r="HVX33" s="2"/>
      <c r="HVY33" s="2"/>
      <c r="HVZ33" s="2"/>
      <c r="HWA33" s="2"/>
      <c r="HWB33" s="2"/>
      <c r="HWC33" s="2"/>
      <c r="HWD33" s="2"/>
      <c r="HWE33" s="2"/>
      <c r="HWF33" s="2"/>
      <c r="HWG33" s="2"/>
      <c r="HWH33" s="2"/>
      <c r="HWI33" s="2"/>
      <c r="HWJ33" s="2"/>
      <c r="HWK33" s="2"/>
      <c r="HWL33" s="2"/>
      <c r="HWM33" s="2"/>
      <c r="HWN33" s="2"/>
      <c r="HWO33" s="2"/>
      <c r="HWP33" s="2"/>
      <c r="HWQ33" s="2"/>
      <c r="HWR33" s="2"/>
      <c r="HWS33" s="2"/>
      <c r="HWT33" s="2"/>
      <c r="HWU33" s="2"/>
      <c r="HWV33" s="2"/>
      <c r="HWW33" s="2"/>
      <c r="HWX33" s="2"/>
      <c r="HWY33" s="2"/>
      <c r="HWZ33" s="2"/>
      <c r="HXA33" s="2"/>
      <c r="HXB33" s="2"/>
      <c r="HXC33" s="2"/>
      <c r="HXD33" s="2"/>
      <c r="HXE33" s="2"/>
      <c r="HXF33" s="2"/>
      <c r="HXG33" s="2"/>
      <c r="HXH33" s="2"/>
      <c r="HXI33" s="2"/>
      <c r="HXJ33" s="2"/>
      <c r="HXK33" s="2"/>
      <c r="HXL33" s="2"/>
      <c r="HXM33" s="2"/>
      <c r="HXN33" s="2"/>
      <c r="HXO33" s="2"/>
      <c r="HXP33" s="2"/>
      <c r="HXQ33" s="2"/>
      <c r="HXR33" s="2"/>
      <c r="HXS33" s="2"/>
      <c r="HXT33" s="2"/>
      <c r="HXU33" s="2"/>
      <c r="HXV33" s="2"/>
      <c r="HXW33" s="2"/>
      <c r="HXX33" s="2"/>
      <c r="HXY33" s="2"/>
      <c r="HXZ33" s="2"/>
      <c r="HYA33" s="2"/>
      <c r="HYB33" s="2"/>
      <c r="HYC33" s="2"/>
      <c r="HYD33" s="2"/>
      <c r="HYE33" s="2"/>
      <c r="HYF33" s="2"/>
      <c r="HYG33" s="2"/>
      <c r="HYH33" s="2"/>
      <c r="HYI33" s="2"/>
      <c r="HYJ33" s="2"/>
      <c r="HYK33" s="2"/>
      <c r="HYL33" s="2"/>
      <c r="HYM33" s="2"/>
      <c r="HYN33" s="2"/>
      <c r="HYO33" s="2"/>
      <c r="HYP33" s="2"/>
      <c r="HYQ33" s="2"/>
      <c r="HYR33" s="2"/>
      <c r="HYS33" s="2"/>
      <c r="HYT33" s="2"/>
      <c r="HYU33" s="2"/>
      <c r="HYV33" s="2"/>
      <c r="HYW33" s="2"/>
      <c r="HYX33" s="2"/>
      <c r="HYY33" s="2"/>
      <c r="HYZ33" s="2"/>
      <c r="HZA33" s="2"/>
      <c r="HZB33" s="2"/>
      <c r="HZC33" s="2"/>
      <c r="HZD33" s="2"/>
      <c r="HZE33" s="2"/>
      <c r="HZF33" s="2"/>
      <c r="HZG33" s="2"/>
      <c r="HZH33" s="2"/>
      <c r="HZI33" s="2"/>
      <c r="HZJ33" s="2"/>
      <c r="HZK33" s="2"/>
      <c r="HZL33" s="2"/>
      <c r="HZM33" s="2"/>
      <c r="HZN33" s="2"/>
      <c r="HZO33" s="2"/>
      <c r="HZP33" s="2"/>
      <c r="HZQ33" s="2"/>
      <c r="HZR33" s="2"/>
      <c r="HZS33" s="2"/>
      <c r="HZT33" s="2"/>
      <c r="HZU33" s="2"/>
      <c r="HZV33" s="2"/>
      <c r="HZW33" s="2"/>
      <c r="HZX33" s="2"/>
      <c r="HZY33" s="2"/>
      <c r="HZZ33" s="2"/>
      <c r="IAA33" s="2"/>
      <c r="IAB33" s="2"/>
      <c r="IAC33" s="2"/>
      <c r="IAD33" s="2"/>
      <c r="IAE33" s="2"/>
      <c r="IAF33" s="2"/>
      <c r="IAG33" s="2"/>
      <c r="IAH33" s="2"/>
      <c r="IAI33" s="2"/>
      <c r="IAJ33" s="2"/>
      <c r="IAK33" s="2"/>
      <c r="IAL33" s="2"/>
      <c r="IAM33" s="2"/>
      <c r="IAN33" s="2"/>
      <c r="IAO33" s="2"/>
      <c r="IAP33" s="2"/>
      <c r="IAQ33" s="2"/>
      <c r="IAR33" s="2"/>
      <c r="IAS33" s="2"/>
      <c r="IAT33" s="2"/>
      <c r="IAU33" s="2"/>
      <c r="IAV33" s="2"/>
      <c r="IAW33" s="2"/>
      <c r="IAX33" s="2"/>
      <c r="IAY33" s="2"/>
      <c r="IAZ33" s="2"/>
      <c r="IBA33" s="2"/>
      <c r="IBB33" s="2"/>
      <c r="IBC33" s="2"/>
      <c r="IBD33" s="2"/>
      <c r="IBE33" s="2"/>
      <c r="IBF33" s="2"/>
      <c r="IBG33" s="2"/>
      <c r="IBH33" s="2"/>
      <c r="IBI33" s="2"/>
      <c r="IBJ33" s="2"/>
      <c r="IBK33" s="2"/>
      <c r="IBL33" s="2"/>
      <c r="IBM33" s="2"/>
      <c r="IBN33" s="2"/>
      <c r="IBO33" s="2"/>
      <c r="IBP33" s="2"/>
      <c r="IBQ33" s="2"/>
      <c r="IBR33" s="2"/>
      <c r="IBS33" s="2"/>
      <c r="IBT33" s="2"/>
      <c r="IBU33" s="2"/>
      <c r="IBV33" s="2"/>
      <c r="IBW33" s="2"/>
      <c r="IBX33" s="2"/>
      <c r="IBY33" s="2"/>
      <c r="IBZ33" s="2"/>
      <c r="ICA33" s="2"/>
      <c r="ICB33" s="2"/>
      <c r="ICC33" s="2"/>
      <c r="ICD33" s="2"/>
      <c r="ICE33" s="2"/>
      <c r="ICF33" s="2"/>
      <c r="ICG33" s="2"/>
      <c r="ICH33" s="2"/>
      <c r="ICI33" s="2"/>
      <c r="ICJ33" s="2"/>
      <c r="ICK33" s="2"/>
      <c r="ICL33" s="2"/>
      <c r="ICM33" s="2"/>
      <c r="ICN33" s="2"/>
      <c r="ICO33" s="2"/>
      <c r="ICP33" s="2"/>
      <c r="ICQ33" s="2"/>
      <c r="ICR33" s="2"/>
      <c r="ICS33" s="2"/>
      <c r="ICT33" s="2"/>
      <c r="ICU33" s="2"/>
      <c r="ICV33" s="2"/>
      <c r="ICW33" s="2"/>
      <c r="ICX33" s="2"/>
      <c r="ICY33" s="2"/>
      <c r="ICZ33" s="2"/>
      <c r="IDA33" s="2"/>
      <c r="IDB33" s="2"/>
      <c r="IDC33" s="2"/>
      <c r="IDD33" s="2"/>
      <c r="IDE33" s="2"/>
      <c r="IDF33" s="2"/>
      <c r="IDG33" s="2"/>
      <c r="IDH33" s="2"/>
      <c r="IDI33" s="2"/>
      <c r="IDJ33" s="2"/>
      <c r="IDK33" s="2"/>
      <c r="IDL33" s="2"/>
      <c r="IDM33" s="2"/>
      <c r="IDN33" s="2"/>
      <c r="IDO33" s="2"/>
      <c r="IDP33" s="2"/>
      <c r="IDQ33" s="2"/>
      <c r="IDR33" s="2"/>
      <c r="IDS33" s="2"/>
      <c r="IDT33" s="2"/>
      <c r="IDU33" s="2"/>
      <c r="IDV33" s="2"/>
      <c r="IDW33" s="2"/>
      <c r="IDX33" s="2"/>
      <c r="IDY33" s="2"/>
      <c r="IDZ33" s="2"/>
      <c r="IEA33" s="2"/>
      <c r="IEB33" s="2"/>
      <c r="IEC33" s="2"/>
      <c r="IED33" s="2"/>
      <c r="IEE33" s="2"/>
      <c r="IEF33" s="2"/>
      <c r="IEG33" s="2"/>
      <c r="IEH33" s="2"/>
      <c r="IEI33" s="2"/>
      <c r="IEJ33" s="2"/>
      <c r="IEK33" s="2"/>
      <c r="IEL33" s="2"/>
      <c r="IEM33" s="2"/>
      <c r="IEN33" s="2"/>
      <c r="IEO33" s="2"/>
      <c r="IEP33" s="2"/>
      <c r="IEQ33" s="2"/>
      <c r="IER33" s="2"/>
      <c r="IES33" s="2"/>
      <c r="IET33" s="2"/>
      <c r="IEU33" s="2"/>
      <c r="IEV33" s="2"/>
      <c r="IEW33" s="2"/>
      <c r="IEX33" s="2"/>
      <c r="IEY33" s="2"/>
      <c r="IEZ33" s="2"/>
      <c r="IFA33" s="2"/>
      <c r="IFB33" s="2"/>
      <c r="IFC33" s="2"/>
      <c r="IFD33" s="2"/>
      <c r="IFE33" s="2"/>
      <c r="IFF33" s="2"/>
      <c r="IFG33" s="2"/>
      <c r="IFH33" s="2"/>
      <c r="IFI33" s="2"/>
      <c r="IFJ33" s="2"/>
      <c r="IFK33" s="2"/>
      <c r="IFL33" s="2"/>
      <c r="IFM33" s="2"/>
      <c r="IFN33" s="2"/>
      <c r="IFO33" s="2"/>
      <c r="IFP33" s="2"/>
      <c r="IFQ33" s="2"/>
      <c r="IFR33" s="2"/>
      <c r="IFS33" s="2"/>
      <c r="IFT33" s="2"/>
      <c r="IFU33" s="2"/>
      <c r="IFV33" s="2"/>
      <c r="IFW33" s="2"/>
      <c r="IFX33" s="2"/>
      <c r="IFY33" s="2"/>
      <c r="IFZ33" s="2"/>
      <c r="IGA33" s="2"/>
      <c r="IGB33" s="2"/>
      <c r="IGC33" s="2"/>
      <c r="IGD33" s="2"/>
      <c r="IGE33" s="2"/>
      <c r="IGF33" s="2"/>
      <c r="IGG33" s="2"/>
      <c r="IGH33" s="2"/>
      <c r="IGI33" s="2"/>
      <c r="IGJ33" s="2"/>
      <c r="IGK33" s="2"/>
      <c r="IGL33" s="2"/>
      <c r="IGM33" s="2"/>
      <c r="IGN33" s="2"/>
      <c r="IGO33" s="2"/>
      <c r="IGP33" s="2"/>
      <c r="IGQ33" s="2"/>
      <c r="IGR33" s="2"/>
      <c r="IGS33" s="2"/>
      <c r="IGT33" s="2"/>
      <c r="IGU33" s="2"/>
      <c r="IGV33" s="2"/>
      <c r="IGW33" s="2"/>
      <c r="IGX33" s="2"/>
      <c r="IGY33" s="2"/>
      <c r="IGZ33" s="2"/>
      <c r="IHA33" s="2"/>
      <c r="IHB33" s="2"/>
      <c r="IHC33" s="2"/>
      <c r="IHD33" s="2"/>
      <c r="IHE33" s="2"/>
      <c r="IHF33" s="2"/>
      <c r="IHG33" s="2"/>
      <c r="IHH33" s="2"/>
      <c r="IHI33" s="2"/>
      <c r="IHJ33" s="2"/>
      <c r="IHK33" s="2"/>
      <c r="IHL33" s="2"/>
      <c r="IHM33" s="2"/>
      <c r="IHN33" s="2"/>
      <c r="IHO33" s="2"/>
      <c r="IHP33" s="2"/>
      <c r="IHQ33" s="2"/>
      <c r="IHR33" s="2"/>
      <c r="IHS33" s="2"/>
      <c r="IHT33" s="2"/>
      <c r="IHU33" s="2"/>
      <c r="IHV33" s="2"/>
      <c r="IHW33" s="2"/>
      <c r="IHX33" s="2"/>
      <c r="IHY33" s="2"/>
      <c r="IHZ33" s="2"/>
      <c r="IIA33" s="2"/>
      <c r="IIB33" s="2"/>
      <c r="IIC33" s="2"/>
      <c r="IID33" s="2"/>
      <c r="IIE33" s="2"/>
      <c r="IIF33" s="2"/>
      <c r="IIG33" s="2"/>
      <c r="IIH33" s="2"/>
      <c r="III33" s="2"/>
      <c r="IIJ33" s="2"/>
      <c r="IIK33" s="2"/>
      <c r="IIL33" s="2"/>
      <c r="IIM33" s="2"/>
      <c r="IIN33" s="2"/>
      <c r="IIO33" s="2"/>
      <c r="IIP33" s="2"/>
      <c r="IIQ33" s="2"/>
      <c r="IIR33" s="2"/>
      <c r="IIS33" s="2"/>
      <c r="IIT33" s="2"/>
      <c r="IIU33" s="2"/>
      <c r="IIV33" s="2"/>
      <c r="IIW33" s="2"/>
      <c r="IIX33" s="2"/>
      <c r="IIY33" s="2"/>
      <c r="IIZ33" s="2"/>
      <c r="IJA33" s="2"/>
      <c r="IJB33" s="2"/>
      <c r="IJC33" s="2"/>
      <c r="IJD33" s="2"/>
      <c r="IJE33" s="2"/>
      <c r="IJF33" s="2"/>
      <c r="IJG33" s="2"/>
      <c r="IJH33" s="2"/>
      <c r="IJI33" s="2"/>
      <c r="IJJ33" s="2"/>
      <c r="IJK33" s="2"/>
      <c r="IJL33" s="2"/>
      <c r="IJM33" s="2"/>
      <c r="IJN33" s="2"/>
      <c r="IJO33" s="2"/>
      <c r="IJP33" s="2"/>
      <c r="IJQ33" s="2"/>
      <c r="IJR33" s="2"/>
      <c r="IJS33" s="2"/>
      <c r="IJT33" s="2"/>
      <c r="IJU33" s="2"/>
      <c r="IJV33" s="2"/>
      <c r="IJW33" s="2"/>
      <c r="IJX33" s="2"/>
      <c r="IJY33" s="2"/>
      <c r="IJZ33" s="2"/>
      <c r="IKA33" s="2"/>
      <c r="IKB33" s="2"/>
      <c r="IKC33" s="2"/>
      <c r="IKD33" s="2"/>
      <c r="IKE33" s="2"/>
      <c r="IKF33" s="2"/>
      <c r="IKG33" s="2"/>
      <c r="IKH33" s="2"/>
      <c r="IKI33" s="2"/>
      <c r="IKJ33" s="2"/>
      <c r="IKK33" s="2"/>
      <c r="IKL33" s="2"/>
      <c r="IKM33" s="2"/>
      <c r="IKN33" s="2"/>
      <c r="IKO33" s="2"/>
      <c r="IKP33" s="2"/>
      <c r="IKQ33" s="2"/>
      <c r="IKR33" s="2"/>
      <c r="IKS33" s="2"/>
      <c r="IKT33" s="2"/>
      <c r="IKU33" s="2"/>
      <c r="IKV33" s="2"/>
      <c r="IKW33" s="2"/>
      <c r="IKX33" s="2"/>
      <c r="IKY33" s="2"/>
      <c r="IKZ33" s="2"/>
      <c r="ILA33" s="2"/>
      <c r="ILB33" s="2"/>
      <c r="ILC33" s="2"/>
      <c r="ILD33" s="2"/>
      <c r="ILE33" s="2"/>
      <c r="ILF33" s="2"/>
      <c r="ILG33" s="2"/>
      <c r="ILH33" s="2"/>
      <c r="ILI33" s="2"/>
      <c r="ILJ33" s="2"/>
      <c r="ILK33" s="2"/>
      <c r="ILL33" s="2"/>
      <c r="ILM33" s="2"/>
      <c r="ILN33" s="2"/>
      <c r="ILO33" s="2"/>
      <c r="ILP33" s="2"/>
      <c r="ILQ33" s="2"/>
      <c r="ILR33" s="2"/>
      <c r="ILS33" s="2"/>
      <c r="ILT33" s="2"/>
      <c r="ILU33" s="2"/>
      <c r="ILV33" s="2"/>
      <c r="ILW33" s="2"/>
      <c r="ILX33" s="2"/>
      <c r="ILY33" s="2"/>
      <c r="ILZ33" s="2"/>
      <c r="IMA33" s="2"/>
      <c r="IMB33" s="2"/>
      <c r="IMC33" s="2"/>
      <c r="IMD33" s="2"/>
      <c r="IME33" s="2"/>
      <c r="IMF33" s="2"/>
      <c r="IMG33" s="2"/>
      <c r="IMH33" s="2"/>
      <c r="IMI33" s="2"/>
      <c r="IMJ33" s="2"/>
      <c r="IMK33" s="2"/>
      <c r="IML33" s="2"/>
      <c r="IMM33" s="2"/>
      <c r="IMN33" s="2"/>
      <c r="IMO33" s="2"/>
      <c r="IMP33" s="2"/>
      <c r="IMQ33" s="2"/>
      <c r="IMR33" s="2"/>
      <c r="IMS33" s="2"/>
      <c r="IMT33" s="2"/>
      <c r="IMU33" s="2"/>
      <c r="IMV33" s="2"/>
      <c r="IMW33" s="2"/>
      <c r="IMX33" s="2"/>
      <c r="IMY33" s="2"/>
      <c r="IMZ33" s="2"/>
      <c r="INA33" s="2"/>
      <c r="INB33" s="2"/>
      <c r="INC33" s="2"/>
      <c r="IND33" s="2"/>
      <c r="INE33" s="2"/>
      <c r="INF33" s="2"/>
      <c r="ING33" s="2"/>
      <c r="INH33" s="2"/>
      <c r="INI33" s="2"/>
      <c r="INJ33" s="2"/>
      <c r="INK33" s="2"/>
      <c r="INL33" s="2"/>
      <c r="INM33" s="2"/>
      <c r="INN33" s="2"/>
      <c r="INO33" s="2"/>
      <c r="INP33" s="2"/>
      <c r="INQ33" s="2"/>
      <c r="INR33" s="2"/>
      <c r="INS33" s="2"/>
      <c r="INT33" s="2"/>
      <c r="INU33" s="2"/>
      <c r="INV33" s="2"/>
      <c r="INW33" s="2"/>
      <c r="INX33" s="2"/>
      <c r="INY33" s="2"/>
      <c r="INZ33" s="2"/>
      <c r="IOA33" s="2"/>
      <c r="IOB33" s="2"/>
      <c r="IOC33" s="2"/>
      <c r="IOD33" s="2"/>
      <c r="IOE33" s="2"/>
      <c r="IOF33" s="2"/>
      <c r="IOG33" s="2"/>
      <c r="IOH33" s="2"/>
      <c r="IOI33" s="2"/>
      <c r="IOJ33" s="2"/>
      <c r="IOK33" s="2"/>
      <c r="IOL33" s="2"/>
      <c r="IOM33" s="2"/>
      <c r="ION33" s="2"/>
      <c r="IOO33" s="2"/>
      <c r="IOP33" s="2"/>
      <c r="IOQ33" s="2"/>
      <c r="IOR33" s="2"/>
      <c r="IOS33" s="2"/>
      <c r="IOT33" s="2"/>
      <c r="IOU33" s="2"/>
      <c r="IOV33" s="2"/>
      <c r="IOW33" s="2"/>
      <c r="IOX33" s="2"/>
      <c r="IOY33" s="2"/>
      <c r="IOZ33" s="2"/>
      <c r="IPA33" s="2"/>
      <c r="IPB33" s="2"/>
      <c r="IPC33" s="2"/>
      <c r="IPD33" s="2"/>
      <c r="IPE33" s="2"/>
      <c r="IPF33" s="2"/>
      <c r="IPG33" s="2"/>
      <c r="IPH33" s="2"/>
      <c r="IPI33" s="2"/>
      <c r="IPJ33" s="2"/>
      <c r="IPK33" s="2"/>
      <c r="IPL33" s="2"/>
      <c r="IPM33" s="2"/>
      <c r="IPN33" s="2"/>
      <c r="IPO33" s="2"/>
      <c r="IPP33" s="2"/>
      <c r="IPQ33" s="2"/>
      <c r="IPR33" s="2"/>
      <c r="IPS33" s="2"/>
      <c r="IPT33" s="2"/>
      <c r="IPU33" s="2"/>
      <c r="IPV33" s="2"/>
      <c r="IPW33" s="2"/>
      <c r="IPX33" s="2"/>
      <c r="IPY33" s="2"/>
      <c r="IPZ33" s="2"/>
      <c r="IQA33" s="2"/>
      <c r="IQB33" s="2"/>
      <c r="IQC33" s="2"/>
      <c r="IQD33" s="2"/>
      <c r="IQE33" s="2"/>
      <c r="IQF33" s="2"/>
      <c r="IQG33" s="2"/>
      <c r="IQH33" s="2"/>
      <c r="IQI33" s="2"/>
      <c r="IQJ33" s="2"/>
      <c r="IQK33" s="2"/>
      <c r="IQL33" s="2"/>
      <c r="IQM33" s="2"/>
      <c r="IQN33" s="2"/>
      <c r="IQO33" s="2"/>
      <c r="IQP33" s="2"/>
      <c r="IQQ33" s="2"/>
      <c r="IQR33" s="2"/>
      <c r="IQS33" s="2"/>
      <c r="IQT33" s="2"/>
      <c r="IQU33" s="2"/>
      <c r="IQV33" s="2"/>
      <c r="IQW33" s="2"/>
      <c r="IQX33" s="2"/>
      <c r="IQY33" s="2"/>
      <c r="IQZ33" s="2"/>
      <c r="IRA33" s="2"/>
      <c r="IRB33" s="2"/>
      <c r="IRC33" s="2"/>
      <c r="IRD33" s="2"/>
      <c r="IRE33" s="2"/>
      <c r="IRF33" s="2"/>
      <c r="IRG33" s="2"/>
      <c r="IRH33" s="2"/>
      <c r="IRI33" s="2"/>
      <c r="IRJ33" s="2"/>
      <c r="IRK33" s="2"/>
      <c r="IRL33" s="2"/>
      <c r="IRM33" s="2"/>
      <c r="IRN33" s="2"/>
      <c r="IRO33" s="2"/>
      <c r="IRP33" s="2"/>
      <c r="IRQ33" s="2"/>
      <c r="IRR33" s="2"/>
      <c r="IRS33" s="2"/>
      <c r="IRT33" s="2"/>
      <c r="IRU33" s="2"/>
      <c r="IRV33" s="2"/>
      <c r="IRW33" s="2"/>
      <c r="IRX33" s="2"/>
      <c r="IRY33" s="2"/>
      <c r="IRZ33" s="2"/>
      <c r="ISA33" s="2"/>
      <c r="ISB33" s="2"/>
      <c r="ISC33" s="2"/>
      <c r="ISD33" s="2"/>
      <c r="ISE33" s="2"/>
      <c r="ISF33" s="2"/>
      <c r="ISG33" s="2"/>
      <c r="ISH33" s="2"/>
      <c r="ISI33" s="2"/>
      <c r="ISJ33" s="2"/>
      <c r="ISK33" s="2"/>
      <c r="ISL33" s="2"/>
      <c r="ISM33" s="2"/>
      <c r="ISN33" s="2"/>
      <c r="ISO33" s="2"/>
      <c r="ISP33" s="2"/>
      <c r="ISQ33" s="2"/>
      <c r="ISR33" s="2"/>
      <c r="ISS33" s="2"/>
      <c r="IST33" s="2"/>
      <c r="ISU33" s="2"/>
      <c r="ISV33" s="2"/>
      <c r="ISW33" s="2"/>
      <c r="ISX33" s="2"/>
      <c r="ISY33" s="2"/>
      <c r="ISZ33" s="2"/>
      <c r="ITA33" s="2"/>
      <c r="ITB33" s="2"/>
      <c r="ITC33" s="2"/>
      <c r="ITD33" s="2"/>
      <c r="ITE33" s="2"/>
      <c r="ITF33" s="2"/>
      <c r="ITG33" s="2"/>
      <c r="ITH33" s="2"/>
      <c r="ITI33" s="2"/>
      <c r="ITJ33" s="2"/>
      <c r="ITK33" s="2"/>
      <c r="ITL33" s="2"/>
      <c r="ITM33" s="2"/>
      <c r="ITN33" s="2"/>
      <c r="ITO33" s="2"/>
      <c r="ITP33" s="2"/>
      <c r="ITQ33" s="2"/>
      <c r="ITR33" s="2"/>
      <c r="ITS33" s="2"/>
      <c r="ITT33" s="2"/>
      <c r="ITU33" s="2"/>
      <c r="ITV33" s="2"/>
      <c r="ITW33" s="2"/>
      <c r="ITX33" s="2"/>
      <c r="ITY33" s="2"/>
      <c r="ITZ33" s="2"/>
      <c r="IUA33" s="2"/>
      <c r="IUB33" s="2"/>
      <c r="IUC33" s="2"/>
      <c r="IUD33" s="2"/>
      <c r="IUE33" s="2"/>
      <c r="IUF33" s="2"/>
      <c r="IUG33" s="2"/>
      <c r="IUH33" s="2"/>
      <c r="IUI33" s="2"/>
      <c r="IUJ33" s="2"/>
      <c r="IUK33" s="2"/>
      <c r="IUL33" s="2"/>
      <c r="IUM33" s="2"/>
      <c r="IUN33" s="2"/>
      <c r="IUO33" s="2"/>
      <c r="IUP33" s="2"/>
      <c r="IUQ33" s="2"/>
      <c r="IUR33" s="2"/>
      <c r="IUS33" s="2"/>
      <c r="IUT33" s="2"/>
      <c r="IUU33" s="2"/>
      <c r="IUV33" s="2"/>
      <c r="IUW33" s="2"/>
      <c r="IUX33" s="2"/>
      <c r="IUY33" s="2"/>
      <c r="IUZ33" s="2"/>
      <c r="IVA33" s="2"/>
      <c r="IVB33" s="2"/>
      <c r="IVC33" s="2"/>
      <c r="IVD33" s="2"/>
      <c r="IVE33" s="2"/>
      <c r="IVF33" s="2"/>
      <c r="IVG33" s="2"/>
      <c r="IVH33" s="2"/>
      <c r="IVI33" s="2"/>
      <c r="IVJ33" s="2"/>
      <c r="IVK33" s="2"/>
      <c r="IVL33" s="2"/>
      <c r="IVM33" s="2"/>
      <c r="IVN33" s="2"/>
      <c r="IVO33" s="2"/>
      <c r="IVP33" s="2"/>
      <c r="IVQ33" s="2"/>
      <c r="IVR33" s="2"/>
      <c r="IVS33" s="2"/>
      <c r="IVT33" s="2"/>
      <c r="IVU33" s="2"/>
      <c r="IVV33" s="2"/>
      <c r="IVW33" s="2"/>
      <c r="IVX33" s="2"/>
      <c r="IVY33" s="2"/>
      <c r="IVZ33" s="2"/>
      <c r="IWA33" s="2"/>
      <c r="IWB33" s="2"/>
      <c r="IWC33" s="2"/>
      <c r="IWD33" s="2"/>
      <c r="IWE33" s="2"/>
      <c r="IWF33" s="2"/>
      <c r="IWG33" s="2"/>
      <c r="IWH33" s="2"/>
      <c r="IWI33" s="2"/>
      <c r="IWJ33" s="2"/>
      <c r="IWK33" s="2"/>
      <c r="IWL33" s="2"/>
      <c r="IWM33" s="2"/>
      <c r="IWN33" s="2"/>
      <c r="IWO33" s="2"/>
      <c r="IWP33" s="2"/>
      <c r="IWQ33" s="2"/>
      <c r="IWR33" s="2"/>
      <c r="IWS33" s="2"/>
      <c r="IWT33" s="2"/>
      <c r="IWU33" s="2"/>
      <c r="IWV33" s="2"/>
      <c r="IWW33" s="2"/>
      <c r="IWX33" s="2"/>
      <c r="IWY33" s="2"/>
      <c r="IWZ33" s="2"/>
      <c r="IXA33" s="2"/>
      <c r="IXB33" s="2"/>
      <c r="IXC33" s="2"/>
      <c r="IXD33" s="2"/>
      <c r="IXE33" s="2"/>
      <c r="IXF33" s="2"/>
      <c r="IXG33" s="2"/>
      <c r="IXH33" s="2"/>
      <c r="IXI33" s="2"/>
      <c r="IXJ33" s="2"/>
      <c r="IXK33" s="2"/>
      <c r="IXL33" s="2"/>
      <c r="IXM33" s="2"/>
      <c r="IXN33" s="2"/>
      <c r="IXO33" s="2"/>
      <c r="IXP33" s="2"/>
      <c r="IXQ33" s="2"/>
      <c r="IXR33" s="2"/>
      <c r="IXS33" s="2"/>
      <c r="IXT33" s="2"/>
      <c r="IXU33" s="2"/>
      <c r="IXV33" s="2"/>
      <c r="IXW33" s="2"/>
      <c r="IXX33" s="2"/>
      <c r="IXY33" s="2"/>
      <c r="IXZ33" s="2"/>
      <c r="IYA33" s="2"/>
      <c r="IYB33" s="2"/>
      <c r="IYC33" s="2"/>
      <c r="IYD33" s="2"/>
      <c r="IYE33" s="2"/>
      <c r="IYF33" s="2"/>
      <c r="IYG33" s="2"/>
      <c r="IYH33" s="2"/>
      <c r="IYI33" s="2"/>
      <c r="IYJ33" s="2"/>
      <c r="IYK33" s="2"/>
      <c r="IYL33" s="2"/>
      <c r="IYM33" s="2"/>
      <c r="IYN33" s="2"/>
      <c r="IYO33" s="2"/>
      <c r="IYP33" s="2"/>
      <c r="IYQ33" s="2"/>
      <c r="IYR33" s="2"/>
      <c r="IYS33" s="2"/>
      <c r="IYT33" s="2"/>
      <c r="IYU33" s="2"/>
      <c r="IYV33" s="2"/>
      <c r="IYW33" s="2"/>
      <c r="IYX33" s="2"/>
      <c r="IYY33" s="2"/>
      <c r="IYZ33" s="2"/>
      <c r="IZA33" s="2"/>
      <c r="IZB33" s="2"/>
      <c r="IZC33" s="2"/>
      <c r="IZD33" s="2"/>
      <c r="IZE33" s="2"/>
      <c r="IZF33" s="2"/>
      <c r="IZG33" s="2"/>
      <c r="IZH33" s="2"/>
      <c r="IZI33" s="2"/>
      <c r="IZJ33" s="2"/>
      <c r="IZK33" s="2"/>
      <c r="IZL33" s="2"/>
      <c r="IZM33" s="2"/>
      <c r="IZN33" s="2"/>
      <c r="IZO33" s="2"/>
      <c r="IZP33" s="2"/>
      <c r="IZQ33" s="2"/>
      <c r="IZR33" s="2"/>
      <c r="IZS33" s="2"/>
      <c r="IZT33" s="2"/>
      <c r="IZU33" s="2"/>
      <c r="IZV33" s="2"/>
      <c r="IZW33" s="2"/>
      <c r="IZX33" s="2"/>
      <c r="IZY33" s="2"/>
      <c r="IZZ33" s="2"/>
      <c r="JAA33" s="2"/>
      <c r="JAB33" s="2"/>
      <c r="JAC33" s="2"/>
      <c r="JAD33" s="2"/>
      <c r="JAE33" s="2"/>
      <c r="JAF33" s="2"/>
      <c r="JAG33" s="2"/>
      <c r="JAH33" s="2"/>
      <c r="JAI33" s="2"/>
      <c r="JAJ33" s="2"/>
      <c r="JAK33" s="2"/>
      <c r="JAL33" s="2"/>
      <c r="JAM33" s="2"/>
      <c r="JAN33" s="2"/>
      <c r="JAO33" s="2"/>
      <c r="JAP33" s="2"/>
      <c r="JAQ33" s="2"/>
      <c r="JAR33" s="2"/>
      <c r="JAS33" s="2"/>
      <c r="JAT33" s="2"/>
      <c r="JAU33" s="2"/>
      <c r="JAV33" s="2"/>
      <c r="JAW33" s="2"/>
      <c r="JAX33" s="2"/>
      <c r="JAY33" s="2"/>
      <c r="JAZ33" s="2"/>
      <c r="JBA33" s="2"/>
      <c r="JBB33" s="2"/>
      <c r="JBC33" s="2"/>
      <c r="JBD33" s="2"/>
      <c r="JBE33" s="2"/>
      <c r="JBF33" s="2"/>
      <c r="JBG33" s="2"/>
      <c r="JBH33" s="2"/>
      <c r="JBI33" s="2"/>
      <c r="JBJ33" s="2"/>
      <c r="JBK33" s="2"/>
      <c r="JBL33" s="2"/>
      <c r="JBM33" s="2"/>
      <c r="JBN33" s="2"/>
      <c r="JBO33" s="2"/>
      <c r="JBP33" s="2"/>
      <c r="JBQ33" s="2"/>
      <c r="JBR33" s="2"/>
      <c r="JBS33" s="2"/>
      <c r="JBT33" s="2"/>
      <c r="JBU33" s="2"/>
      <c r="JBV33" s="2"/>
      <c r="JBW33" s="2"/>
      <c r="JBX33" s="2"/>
      <c r="JBY33" s="2"/>
      <c r="JBZ33" s="2"/>
      <c r="JCA33" s="2"/>
      <c r="JCB33" s="2"/>
      <c r="JCC33" s="2"/>
      <c r="JCD33" s="2"/>
      <c r="JCE33" s="2"/>
      <c r="JCF33" s="2"/>
      <c r="JCG33" s="2"/>
      <c r="JCH33" s="2"/>
      <c r="JCI33" s="2"/>
      <c r="JCJ33" s="2"/>
      <c r="JCK33" s="2"/>
      <c r="JCL33" s="2"/>
      <c r="JCM33" s="2"/>
      <c r="JCN33" s="2"/>
      <c r="JCO33" s="2"/>
      <c r="JCP33" s="2"/>
      <c r="JCQ33" s="2"/>
      <c r="JCR33" s="2"/>
      <c r="JCS33" s="2"/>
      <c r="JCT33" s="2"/>
      <c r="JCU33" s="2"/>
      <c r="JCV33" s="2"/>
      <c r="JCW33" s="2"/>
      <c r="JCX33" s="2"/>
      <c r="JCY33" s="2"/>
      <c r="JCZ33" s="2"/>
      <c r="JDA33" s="2"/>
      <c r="JDB33" s="2"/>
      <c r="JDC33" s="2"/>
      <c r="JDD33" s="2"/>
      <c r="JDE33" s="2"/>
      <c r="JDF33" s="2"/>
      <c r="JDG33" s="2"/>
      <c r="JDH33" s="2"/>
      <c r="JDI33" s="2"/>
      <c r="JDJ33" s="2"/>
      <c r="JDK33" s="2"/>
      <c r="JDL33" s="2"/>
      <c r="JDM33" s="2"/>
      <c r="JDN33" s="2"/>
      <c r="JDO33" s="2"/>
      <c r="JDP33" s="2"/>
      <c r="JDQ33" s="2"/>
      <c r="JDR33" s="2"/>
      <c r="JDS33" s="2"/>
      <c r="JDT33" s="2"/>
      <c r="JDU33" s="2"/>
      <c r="JDV33" s="2"/>
      <c r="JDW33" s="2"/>
      <c r="JDX33" s="2"/>
      <c r="JDY33" s="2"/>
      <c r="JDZ33" s="2"/>
      <c r="JEA33" s="2"/>
      <c r="JEB33" s="2"/>
      <c r="JEC33" s="2"/>
      <c r="JED33" s="2"/>
      <c r="JEE33" s="2"/>
      <c r="JEF33" s="2"/>
      <c r="JEG33" s="2"/>
      <c r="JEH33" s="2"/>
      <c r="JEI33" s="2"/>
      <c r="JEJ33" s="2"/>
      <c r="JEK33" s="2"/>
      <c r="JEL33" s="2"/>
      <c r="JEM33" s="2"/>
      <c r="JEN33" s="2"/>
      <c r="JEO33" s="2"/>
      <c r="JEP33" s="2"/>
      <c r="JEQ33" s="2"/>
      <c r="JER33" s="2"/>
      <c r="JES33" s="2"/>
      <c r="JET33" s="2"/>
      <c r="JEU33" s="2"/>
      <c r="JEV33" s="2"/>
      <c r="JEW33" s="2"/>
      <c r="JEX33" s="2"/>
      <c r="JEY33" s="2"/>
      <c r="JEZ33" s="2"/>
      <c r="JFA33" s="2"/>
      <c r="JFB33" s="2"/>
      <c r="JFC33" s="2"/>
      <c r="JFD33" s="2"/>
      <c r="JFE33" s="2"/>
      <c r="JFF33" s="2"/>
      <c r="JFG33" s="2"/>
      <c r="JFH33" s="2"/>
      <c r="JFI33" s="2"/>
      <c r="JFJ33" s="2"/>
      <c r="JFK33" s="2"/>
      <c r="JFL33" s="2"/>
      <c r="JFM33" s="2"/>
      <c r="JFN33" s="2"/>
      <c r="JFO33" s="2"/>
      <c r="JFP33" s="2"/>
      <c r="JFQ33" s="2"/>
      <c r="JFR33" s="2"/>
      <c r="JFS33" s="2"/>
      <c r="JFT33" s="2"/>
      <c r="JFU33" s="2"/>
      <c r="JFV33" s="2"/>
      <c r="JFW33" s="2"/>
      <c r="JFX33" s="2"/>
      <c r="JFY33" s="2"/>
      <c r="JFZ33" s="2"/>
      <c r="JGA33" s="2"/>
      <c r="JGB33" s="2"/>
      <c r="JGC33" s="2"/>
      <c r="JGD33" s="2"/>
      <c r="JGE33" s="2"/>
      <c r="JGF33" s="2"/>
      <c r="JGG33" s="2"/>
      <c r="JGH33" s="2"/>
      <c r="JGI33" s="2"/>
      <c r="JGJ33" s="2"/>
      <c r="JGK33" s="2"/>
      <c r="JGL33" s="2"/>
      <c r="JGM33" s="2"/>
      <c r="JGN33" s="2"/>
      <c r="JGO33" s="2"/>
      <c r="JGP33" s="2"/>
      <c r="JGQ33" s="2"/>
      <c r="JGR33" s="2"/>
      <c r="JGS33" s="2"/>
      <c r="JGT33" s="2"/>
      <c r="JGU33" s="2"/>
      <c r="JGV33" s="2"/>
      <c r="JGW33" s="2"/>
      <c r="JGX33" s="2"/>
      <c r="JGY33" s="2"/>
      <c r="JGZ33" s="2"/>
      <c r="JHA33" s="2"/>
      <c r="JHB33" s="2"/>
      <c r="JHC33" s="2"/>
      <c r="JHD33" s="2"/>
      <c r="JHE33" s="2"/>
      <c r="JHF33" s="2"/>
      <c r="JHG33" s="2"/>
      <c r="JHH33" s="2"/>
      <c r="JHI33" s="2"/>
      <c r="JHJ33" s="2"/>
      <c r="JHK33" s="2"/>
      <c r="JHL33" s="2"/>
      <c r="JHM33" s="2"/>
      <c r="JHN33" s="2"/>
      <c r="JHO33" s="2"/>
      <c r="JHP33" s="2"/>
      <c r="JHQ33" s="2"/>
      <c r="JHR33" s="2"/>
      <c r="JHS33" s="2"/>
      <c r="JHT33" s="2"/>
      <c r="JHU33" s="2"/>
      <c r="JHV33" s="2"/>
      <c r="JHW33" s="2"/>
      <c r="JHX33" s="2"/>
      <c r="JHY33" s="2"/>
      <c r="JHZ33" s="2"/>
      <c r="JIA33" s="2"/>
      <c r="JIB33" s="2"/>
      <c r="JIC33" s="2"/>
      <c r="JID33" s="2"/>
      <c r="JIE33" s="2"/>
      <c r="JIF33" s="2"/>
      <c r="JIG33" s="2"/>
      <c r="JIH33" s="2"/>
      <c r="JII33" s="2"/>
      <c r="JIJ33" s="2"/>
      <c r="JIK33" s="2"/>
      <c r="JIL33" s="2"/>
      <c r="JIM33" s="2"/>
      <c r="JIN33" s="2"/>
      <c r="JIO33" s="2"/>
      <c r="JIP33" s="2"/>
      <c r="JIQ33" s="2"/>
      <c r="JIR33" s="2"/>
      <c r="JIS33" s="2"/>
      <c r="JIT33" s="2"/>
      <c r="JIU33" s="2"/>
      <c r="JIV33" s="2"/>
      <c r="JIW33" s="2"/>
      <c r="JIX33" s="2"/>
      <c r="JIY33" s="2"/>
      <c r="JIZ33" s="2"/>
      <c r="JJA33" s="2"/>
      <c r="JJB33" s="2"/>
      <c r="JJC33" s="2"/>
      <c r="JJD33" s="2"/>
      <c r="JJE33" s="2"/>
      <c r="JJF33" s="2"/>
      <c r="JJG33" s="2"/>
      <c r="JJH33" s="2"/>
      <c r="JJI33" s="2"/>
      <c r="JJJ33" s="2"/>
      <c r="JJK33" s="2"/>
      <c r="JJL33" s="2"/>
      <c r="JJM33" s="2"/>
      <c r="JJN33" s="2"/>
      <c r="JJO33" s="2"/>
      <c r="JJP33" s="2"/>
      <c r="JJQ33" s="2"/>
      <c r="JJR33" s="2"/>
      <c r="JJS33" s="2"/>
      <c r="JJT33" s="2"/>
      <c r="JJU33" s="2"/>
      <c r="JJV33" s="2"/>
      <c r="JJW33" s="2"/>
      <c r="JJX33" s="2"/>
      <c r="JJY33" s="2"/>
      <c r="JJZ33" s="2"/>
      <c r="JKA33" s="2"/>
      <c r="JKB33" s="2"/>
      <c r="JKC33" s="2"/>
      <c r="JKD33" s="2"/>
      <c r="JKE33" s="2"/>
      <c r="JKF33" s="2"/>
      <c r="JKG33" s="2"/>
      <c r="JKH33" s="2"/>
      <c r="JKI33" s="2"/>
      <c r="JKJ33" s="2"/>
      <c r="JKK33" s="2"/>
      <c r="JKL33" s="2"/>
      <c r="JKM33" s="2"/>
      <c r="JKN33" s="2"/>
      <c r="JKO33" s="2"/>
      <c r="JKP33" s="2"/>
      <c r="JKQ33" s="2"/>
      <c r="JKR33" s="2"/>
      <c r="JKS33" s="2"/>
      <c r="JKT33" s="2"/>
      <c r="JKU33" s="2"/>
      <c r="JKV33" s="2"/>
      <c r="JKW33" s="2"/>
      <c r="JKX33" s="2"/>
      <c r="JKY33" s="2"/>
      <c r="JKZ33" s="2"/>
      <c r="JLA33" s="2"/>
      <c r="JLB33" s="2"/>
      <c r="JLC33" s="2"/>
      <c r="JLD33" s="2"/>
      <c r="JLE33" s="2"/>
      <c r="JLF33" s="2"/>
      <c r="JLG33" s="2"/>
      <c r="JLH33" s="2"/>
      <c r="JLI33" s="2"/>
      <c r="JLJ33" s="2"/>
      <c r="JLK33" s="2"/>
      <c r="JLL33" s="2"/>
      <c r="JLM33" s="2"/>
      <c r="JLN33" s="2"/>
      <c r="JLO33" s="2"/>
      <c r="JLP33" s="2"/>
      <c r="JLQ33" s="2"/>
      <c r="JLR33" s="2"/>
      <c r="JLS33" s="2"/>
      <c r="JLT33" s="2"/>
      <c r="JLU33" s="2"/>
      <c r="JLV33" s="2"/>
      <c r="JLW33" s="2"/>
      <c r="JLX33" s="2"/>
      <c r="JLY33" s="2"/>
      <c r="JLZ33" s="2"/>
      <c r="JMA33" s="2"/>
      <c r="JMB33" s="2"/>
      <c r="JMC33" s="2"/>
      <c r="JMD33" s="2"/>
      <c r="JME33" s="2"/>
      <c r="JMF33" s="2"/>
      <c r="JMG33" s="2"/>
      <c r="JMH33" s="2"/>
      <c r="JMI33" s="2"/>
      <c r="JMJ33" s="2"/>
      <c r="JMK33" s="2"/>
      <c r="JML33" s="2"/>
      <c r="JMM33" s="2"/>
      <c r="JMN33" s="2"/>
      <c r="JMO33" s="2"/>
      <c r="JMP33" s="2"/>
      <c r="JMQ33" s="2"/>
      <c r="JMR33" s="2"/>
      <c r="JMS33" s="2"/>
      <c r="JMT33" s="2"/>
      <c r="JMU33" s="2"/>
      <c r="JMV33" s="2"/>
      <c r="JMW33" s="2"/>
      <c r="JMX33" s="2"/>
      <c r="JMY33" s="2"/>
      <c r="JMZ33" s="2"/>
      <c r="JNA33" s="2"/>
      <c r="JNB33" s="2"/>
      <c r="JNC33" s="2"/>
      <c r="JND33" s="2"/>
      <c r="JNE33" s="2"/>
      <c r="JNF33" s="2"/>
      <c r="JNG33" s="2"/>
      <c r="JNH33" s="2"/>
      <c r="JNI33" s="2"/>
      <c r="JNJ33" s="2"/>
      <c r="JNK33" s="2"/>
      <c r="JNL33" s="2"/>
      <c r="JNM33" s="2"/>
      <c r="JNN33" s="2"/>
      <c r="JNO33" s="2"/>
      <c r="JNP33" s="2"/>
      <c r="JNQ33" s="2"/>
      <c r="JNR33" s="2"/>
      <c r="JNS33" s="2"/>
      <c r="JNT33" s="2"/>
      <c r="JNU33" s="2"/>
      <c r="JNV33" s="2"/>
      <c r="JNW33" s="2"/>
      <c r="JNX33" s="2"/>
      <c r="JNY33" s="2"/>
      <c r="JNZ33" s="2"/>
      <c r="JOA33" s="2"/>
      <c r="JOB33" s="2"/>
      <c r="JOC33" s="2"/>
      <c r="JOD33" s="2"/>
      <c r="JOE33" s="2"/>
      <c r="JOF33" s="2"/>
      <c r="JOG33" s="2"/>
      <c r="JOH33" s="2"/>
      <c r="JOI33" s="2"/>
      <c r="JOJ33" s="2"/>
      <c r="JOK33" s="2"/>
      <c r="JOL33" s="2"/>
      <c r="JOM33" s="2"/>
      <c r="JON33" s="2"/>
      <c r="JOO33" s="2"/>
      <c r="JOP33" s="2"/>
      <c r="JOQ33" s="2"/>
      <c r="JOR33" s="2"/>
      <c r="JOS33" s="2"/>
      <c r="JOT33" s="2"/>
      <c r="JOU33" s="2"/>
      <c r="JOV33" s="2"/>
      <c r="JOW33" s="2"/>
      <c r="JOX33" s="2"/>
      <c r="JOY33" s="2"/>
      <c r="JOZ33" s="2"/>
      <c r="JPA33" s="2"/>
      <c r="JPB33" s="2"/>
      <c r="JPC33" s="2"/>
      <c r="JPD33" s="2"/>
      <c r="JPE33" s="2"/>
      <c r="JPF33" s="2"/>
      <c r="JPG33" s="2"/>
      <c r="JPH33" s="2"/>
      <c r="JPI33" s="2"/>
      <c r="JPJ33" s="2"/>
      <c r="JPK33" s="2"/>
      <c r="JPL33" s="2"/>
      <c r="JPM33" s="2"/>
      <c r="JPN33" s="2"/>
      <c r="JPO33" s="2"/>
      <c r="JPP33" s="2"/>
      <c r="JPQ33" s="2"/>
      <c r="JPR33" s="2"/>
      <c r="JPS33" s="2"/>
      <c r="JPT33" s="2"/>
      <c r="JPU33" s="2"/>
      <c r="JPV33" s="2"/>
      <c r="JPW33" s="2"/>
      <c r="JPX33" s="2"/>
      <c r="JPY33" s="2"/>
      <c r="JPZ33" s="2"/>
      <c r="JQA33" s="2"/>
      <c r="JQB33" s="2"/>
      <c r="JQC33" s="2"/>
      <c r="JQD33" s="2"/>
      <c r="JQE33" s="2"/>
      <c r="JQF33" s="2"/>
      <c r="JQG33" s="2"/>
      <c r="JQH33" s="2"/>
      <c r="JQI33" s="2"/>
      <c r="JQJ33" s="2"/>
      <c r="JQK33" s="2"/>
      <c r="JQL33" s="2"/>
      <c r="JQM33" s="2"/>
      <c r="JQN33" s="2"/>
      <c r="JQO33" s="2"/>
      <c r="JQP33" s="2"/>
      <c r="JQQ33" s="2"/>
      <c r="JQR33" s="2"/>
      <c r="JQS33" s="2"/>
      <c r="JQT33" s="2"/>
      <c r="JQU33" s="2"/>
      <c r="JQV33" s="2"/>
      <c r="JQW33" s="2"/>
      <c r="JQX33" s="2"/>
      <c r="JQY33" s="2"/>
      <c r="JQZ33" s="2"/>
      <c r="JRA33" s="2"/>
      <c r="JRB33" s="2"/>
      <c r="JRC33" s="2"/>
      <c r="JRD33" s="2"/>
      <c r="JRE33" s="2"/>
      <c r="JRF33" s="2"/>
      <c r="JRG33" s="2"/>
      <c r="JRH33" s="2"/>
      <c r="JRI33" s="2"/>
      <c r="JRJ33" s="2"/>
      <c r="JRK33" s="2"/>
      <c r="JRL33" s="2"/>
      <c r="JRM33" s="2"/>
      <c r="JRN33" s="2"/>
      <c r="JRO33" s="2"/>
      <c r="JRP33" s="2"/>
      <c r="JRQ33" s="2"/>
      <c r="JRR33" s="2"/>
      <c r="JRS33" s="2"/>
      <c r="JRT33" s="2"/>
      <c r="JRU33" s="2"/>
      <c r="JRV33" s="2"/>
      <c r="JRW33" s="2"/>
      <c r="JRX33" s="2"/>
      <c r="JRY33" s="2"/>
      <c r="JRZ33" s="2"/>
      <c r="JSA33" s="2"/>
      <c r="JSB33" s="2"/>
      <c r="JSC33" s="2"/>
      <c r="JSD33" s="2"/>
      <c r="JSE33" s="2"/>
      <c r="JSF33" s="2"/>
      <c r="JSG33" s="2"/>
      <c r="JSH33" s="2"/>
      <c r="JSI33" s="2"/>
      <c r="JSJ33" s="2"/>
      <c r="JSK33" s="2"/>
      <c r="JSL33" s="2"/>
      <c r="JSM33" s="2"/>
      <c r="JSN33" s="2"/>
      <c r="JSO33" s="2"/>
      <c r="JSP33" s="2"/>
      <c r="JSQ33" s="2"/>
      <c r="JSR33" s="2"/>
      <c r="JSS33" s="2"/>
      <c r="JST33" s="2"/>
      <c r="JSU33" s="2"/>
      <c r="JSV33" s="2"/>
      <c r="JSW33" s="2"/>
      <c r="JSX33" s="2"/>
      <c r="JSY33" s="2"/>
      <c r="JSZ33" s="2"/>
      <c r="JTA33" s="2"/>
      <c r="JTB33" s="2"/>
      <c r="JTC33" s="2"/>
      <c r="JTD33" s="2"/>
      <c r="JTE33" s="2"/>
      <c r="JTF33" s="2"/>
      <c r="JTG33" s="2"/>
      <c r="JTH33" s="2"/>
      <c r="JTI33" s="2"/>
      <c r="JTJ33" s="2"/>
      <c r="JTK33" s="2"/>
      <c r="JTL33" s="2"/>
      <c r="JTM33" s="2"/>
      <c r="JTN33" s="2"/>
      <c r="JTO33" s="2"/>
      <c r="JTP33" s="2"/>
      <c r="JTQ33" s="2"/>
      <c r="JTR33" s="2"/>
      <c r="JTS33" s="2"/>
      <c r="JTT33" s="2"/>
      <c r="JTU33" s="2"/>
      <c r="JTV33" s="2"/>
      <c r="JTW33" s="2"/>
      <c r="JTX33" s="2"/>
      <c r="JTY33" s="2"/>
      <c r="JTZ33" s="2"/>
      <c r="JUA33" s="2"/>
      <c r="JUB33" s="2"/>
      <c r="JUC33" s="2"/>
      <c r="JUD33" s="2"/>
      <c r="JUE33" s="2"/>
      <c r="JUF33" s="2"/>
      <c r="JUG33" s="2"/>
      <c r="JUH33" s="2"/>
      <c r="JUI33" s="2"/>
      <c r="JUJ33" s="2"/>
      <c r="JUK33" s="2"/>
      <c r="JUL33" s="2"/>
      <c r="JUM33" s="2"/>
      <c r="JUN33" s="2"/>
      <c r="JUO33" s="2"/>
      <c r="JUP33" s="2"/>
      <c r="JUQ33" s="2"/>
      <c r="JUR33" s="2"/>
      <c r="JUS33" s="2"/>
      <c r="JUT33" s="2"/>
      <c r="JUU33" s="2"/>
      <c r="JUV33" s="2"/>
      <c r="JUW33" s="2"/>
      <c r="JUX33" s="2"/>
      <c r="JUY33" s="2"/>
      <c r="JUZ33" s="2"/>
      <c r="JVA33" s="2"/>
      <c r="JVB33" s="2"/>
      <c r="JVC33" s="2"/>
      <c r="JVD33" s="2"/>
      <c r="JVE33" s="2"/>
      <c r="JVF33" s="2"/>
      <c r="JVG33" s="2"/>
      <c r="JVH33" s="2"/>
      <c r="JVI33" s="2"/>
      <c r="JVJ33" s="2"/>
      <c r="JVK33" s="2"/>
      <c r="JVL33" s="2"/>
      <c r="JVM33" s="2"/>
      <c r="JVN33" s="2"/>
      <c r="JVO33" s="2"/>
      <c r="JVP33" s="2"/>
      <c r="JVQ33" s="2"/>
      <c r="JVR33" s="2"/>
      <c r="JVS33" s="2"/>
      <c r="JVT33" s="2"/>
      <c r="JVU33" s="2"/>
      <c r="JVV33" s="2"/>
      <c r="JVW33" s="2"/>
      <c r="JVX33" s="2"/>
      <c r="JVY33" s="2"/>
      <c r="JVZ33" s="2"/>
      <c r="JWA33" s="2"/>
      <c r="JWB33" s="2"/>
      <c r="JWC33" s="2"/>
      <c r="JWD33" s="2"/>
      <c r="JWE33" s="2"/>
      <c r="JWF33" s="2"/>
      <c r="JWG33" s="2"/>
      <c r="JWH33" s="2"/>
      <c r="JWI33" s="2"/>
      <c r="JWJ33" s="2"/>
      <c r="JWK33" s="2"/>
      <c r="JWL33" s="2"/>
      <c r="JWM33" s="2"/>
      <c r="JWN33" s="2"/>
      <c r="JWO33" s="2"/>
      <c r="JWP33" s="2"/>
      <c r="JWQ33" s="2"/>
      <c r="JWR33" s="2"/>
      <c r="JWS33" s="2"/>
      <c r="JWT33" s="2"/>
      <c r="JWU33" s="2"/>
      <c r="JWV33" s="2"/>
      <c r="JWW33" s="2"/>
      <c r="JWX33" s="2"/>
      <c r="JWY33" s="2"/>
      <c r="JWZ33" s="2"/>
      <c r="JXA33" s="2"/>
      <c r="JXB33" s="2"/>
      <c r="JXC33" s="2"/>
      <c r="JXD33" s="2"/>
      <c r="JXE33" s="2"/>
      <c r="JXF33" s="2"/>
      <c r="JXG33" s="2"/>
      <c r="JXH33" s="2"/>
      <c r="JXI33" s="2"/>
      <c r="JXJ33" s="2"/>
      <c r="JXK33" s="2"/>
      <c r="JXL33" s="2"/>
      <c r="JXM33" s="2"/>
      <c r="JXN33" s="2"/>
      <c r="JXO33" s="2"/>
      <c r="JXP33" s="2"/>
      <c r="JXQ33" s="2"/>
      <c r="JXR33" s="2"/>
      <c r="JXS33" s="2"/>
      <c r="JXT33" s="2"/>
      <c r="JXU33" s="2"/>
      <c r="JXV33" s="2"/>
      <c r="JXW33" s="2"/>
      <c r="JXX33" s="2"/>
      <c r="JXY33" s="2"/>
      <c r="JXZ33" s="2"/>
      <c r="JYA33" s="2"/>
      <c r="JYB33" s="2"/>
      <c r="JYC33" s="2"/>
      <c r="JYD33" s="2"/>
      <c r="JYE33" s="2"/>
      <c r="JYF33" s="2"/>
      <c r="JYG33" s="2"/>
      <c r="JYH33" s="2"/>
      <c r="JYI33" s="2"/>
      <c r="JYJ33" s="2"/>
      <c r="JYK33" s="2"/>
      <c r="JYL33" s="2"/>
      <c r="JYM33" s="2"/>
      <c r="JYN33" s="2"/>
      <c r="JYO33" s="2"/>
      <c r="JYP33" s="2"/>
      <c r="JYQ33" s="2"/>
      <c r="JYR33" s="2"/>
      <c r="JYS33" s="2"/>
      <c r="JYT33" s="2"/>
      <c r="JYU33" s="2"/>
      <c r="JYV33" s="2"/>
      <c r="JYW33" s="2"/>
      <c r="JYX33" s="2"/>
      <c r="JYY33" s="2"/>
      <c r="JYZ33" s="2"/>
      <c r="JZA33" s="2"/>
      <c r="JZB33" s="2"/>
      <c r="JZC33" s="2"/>
      <c r="JZD33" s="2"/>
      <c r="JZE33" s="2"/>
      <c r="JZF33" s="2"/>
      <c r="JZG33" s="2"/>
      <c r="JZH33" s="2"/>
      <c r="JZI33" s="2"/>
      <c r="JZJ33" s="2"/>
      <c r="JZK33" s="2"/>
      <c r="JZL33" s="2"/>
      <c r="JZM33" s="2"/>
      <c r="JZN33" s="2"/>
      <c r="JZO33" s="2"/>
      <c r="JZP33" s="2"/>
      <c r="JZQ33" s="2"/>
      <c r="JZR33" s="2"/>
      <c r="JZS33" s="2"/>
      <c r="JZT33" s="2"/>
      <c r="JZU33" s="2"/>
      <c r="JZV33" s="2"/>
      <c r="JZW33" s="2"/>
      <c r="JZX33" s="2"/>
      <c r="JZY33" s="2"/>
      <c r="JZZ33" s="2"/>
      <c r="KAA33" s="2"/>
      <c r="KAB33" s="2"/>
      <c r="KAC33" s="2"/>
      <c r="KAD33" s="2"/>
      <c r="KAE33" s="2"/>
      <c r="KAF33" s="2"/>
      <c r="KAG33" s="2"/>
      <c r="KAH33" s="2"/>
      <c r="KAI33" s="2"/>
      <c r="KAJ33" s="2"/>
      <c r="KAK33" s="2"/>
      <c r="KAL33" s="2"/>
      <c r="KAM33" s="2"/>
      <c r="KAN33" s="2"/>
      <c r="KAO33" s="2"/>
      <c r="KAP33" s="2"/>
      <c r="KAQ33" s="2"/>
      <c r="KAR33" s="2"/>
      <c r="KAS33" s="2"/>
      <c r="KAT33" s="2"/>
      <c r="KAU33" s="2"/>
      <c r="KAV33" s="2"/>
      <c r="KAW33" s="2"/>
      <c r="KAX33" s="2"/>
      <c r="KAY33" s="2"/>
      <c r="KAZ33" s="2"/>
      <c r="KBA33" s="2"/>
      <c r="KBB33" s="2"/>
      <c r="KBC33" s="2"/>
      <c r="KBD33" s="2"/>
      <c r="KBE33" s="2"/>
      <c r="KBF33" s="2"/>
      <c r="KBG33" s="2"/>
      <c r="KBH33" s="2"/>
      <c r="KBI33" s="2"/>
      <c r="KBJ33" s="2"/>
      <c r="KBK33" s="2"/>
      <c r="KBL33" s="2"/>
      <c r="KBM33" s="2"/>
      <c r="KBN33" s="2"/>
      <c r="KBO33" s="2"/>
      <c r="KBP33" s="2"/>
      <c r="KBQ33" s="2"/>
      <c r="KBR33" s="2"/>
      <c r="KBS33" s="2"/>
      <c r="KBT33" s="2"/>
      <c r="KBU33" s="2"/>
      <c r="KBV33" s="2"/>
      <c r="KBW33" s="2"/>
      <c r="KBX33" s="2"/>
      <c r="KBY33" s="2"/>
      <c r="KBZ33" s="2"/>
      <c r="KCA33" s="2"/>
      <c r="KCB33" s="2"/>
      <c r="KCC33" s="2"/>
      <c r="KCD33" s="2"/>
      <c r="KCE33" s="2"/>
      <c r="KCF33" s="2"/>
      <c r="KCG33" s="2"/>
      <c r="KCH33" s="2"/>
      <c r="KCI33" s="2"/>
      <c r="KCJ33" s="2"/>
      <c r="KCK33" s="2"/>
      <c r="KCL33" s="2"/>
      <c r="KCM33" s="2"/>
      <c r="KCN33" s="2"/>
      <c r="KCO33" s="2"/>
      <c r="KCP33" s="2"/>
      <c r="KCQ33" s="2"/>
      <c r="KCR33" s="2"/>
      <c r="KCS33" s="2"/>
      <c r="KCT33" s="2"/>
      <c r="KCU33" s="2"/>
      <c r="KCV33" s="2"/>
      <c r="KCW33" s="2"/>
      <c r="KCX33" s="2"/>
      <c r="KCY33" s="2"/>
      <c r="KCZ33" s="2"/>
      <c r="KDA33" s="2"/>
      <c r="KDB33" s="2"/>
      <c r="KDC33" s="2"/>
      <c r="KDD33" s="2"/>
      <c r="KDE33" s="2"/>
      <c r="KDF33" s="2"/>
      <c r="KDG33" s="2"/>
      <c r="KDH33" s="2"/>
      <c r="KDI33" s="2"/>
      <c r="KDJ33" s="2"/>
      <c r="KDK33" s="2"/>
      <c r="KDL33" s="2"/>
      <c r="KDM33" s="2"/>
      <c r="KDN33" s="2"/>
      <c r="KDO33" s="2"/>
      <c r="KDP33" s="2"/>
      <c r="KDQ33" s="2"/>
      <c r="KDR33" s="2"/>
      <c r="KDS33" s="2"/>
      <c r="KDT33" s="2"/>
      <c r="KDU33" s="2"/>
      <c r="KDV33" s="2"/>
      <c r="KDW33" s="2"/>
      <c r="KDX33" s="2"/>
      <c r="KDY33" s="2"/>
      <c r="KDZ33" s="2"/>
      <c r="KEA33" s="2"/>
      <c r="KEB33" s="2"/>
      <c r="KEC33" s="2"/>
      <c r="KED33" s="2"/>
      <c r="KEE33" s="2"/>
      <c r="KEF33" s="2"/>
      <c r="KEG33" s="2"/>
      <c r="KEH33" s="2"/>
      <c r="KEI33" s="2"/>
      <c r="KEJ33" s="2"/>
      <c r="KEK33" s="2"/>
      <c r="KEL33" s="2"/>
      <c r="KEM33" s="2"/>
      <c r="KEN33" s="2"/>
      <c r="KEO33" s="2"/>
      <c r="KEP33" s="2"/>
      <c r="KEQ33" s="2"/>
      <c r="KER33" s="2"/>
      <c r="KES33" s="2"/>
      <c r="KET33" s="2"/>
      <c r="KEU33" s="2"/>
      <c r="KEV33" s="2"/>
      <c r="KEW33" s="2"/>
      <c r="KEX33" s="2"/>
      <c r="KEY33" s="2"/>
      <c r="KEZ33" s="2"/>
      <c r="KFA33" s="2"/>
      <c r="KFB33" s="2"/>
      <c r="KFC33" s="2"/>
      <c r="KFD33" s="2"/>
      <c r="KFE33" s="2"/>
      <c r="KFF33" s="2"/>
      <c r="KFG33" s="2"/>
      <c r="KFH33" s="2"/>
      <c r="KFI33" s="2"/>
      <c r="KFJ33" s="2"/>
      <c r="KFK33" s="2"/>
      <c r="KFL33" s="2"/>
      <c r="KFM33" s="2"/>
      <c r="KFN33" s="2"/>
      <c r="KFO33" s="2"/>
      <c r="KFP33" s="2"/>
      <c r="KFQ33" s="2"/>
      <c r="KFR33" s="2"/>
      <c r="KFS33" s="2"/>
      <c r="KFT33" s="2"/>
      <c r="KFU33" s="2"/>
      <c r="KFV33" s="2"/>
      <c r="KFW33" s="2"/>
      <c r="KFX33" s="2"/>
      <c r="KFY33" s="2"/>
      <c r="KFZ33" s="2"/>
      <c r="KGA33" s="2"/>
      <c r="KGB33" s="2"/>
      <c r="KGC33" s="2"/>
      <c r="KGD33" s="2"/>
      <c r="KGE33" s="2"/>
      <c r="KGF33" s="2"/>
      <c r="KGG33" s="2"/>
      <c r="KGH33" s="2"/>
      <c r="KGI33" s="2"/>
      <c r="KGJ33" s="2"/>
      <c r="KGK33" s="2"/>
      <c r="KGL33" s="2"/>
      <c r="KGM33" s="2"/>
      <c r="KGN33" s="2"/>
      <c r="KGO33" s="2"/>
      <c r="KGP33" s="2"/>
      <c r="KGQ33" s="2"/>
      <c r="KGR33" s="2"/>
      <c r="KGS33" s="2"/>
      <c r="KGT33" s="2"/>
      <c r="KGU33" s="2"/>
      <c r="KGV33" s="2"/>
      <c r="KGW33" s="2"/>
      <c r="KGX33" s="2"/>
      <c r="KGY33" s="2"/>
      <c r="KGZ33" s="2"/>
      <c r="KHA33" s="2"/>
      <c r="KHB33" s="2"/>
      <c r="KHC33" s="2"/>
      <c r="KHD33" s="2"/>
      <c r="KHE33" s="2"/>
      <c r="KHF33" s="2"/>
      <c r="KHG33" s="2"/>
      <c r="KHH33" s="2"/>
      <c r="KHI33" s="2"/>
      <c r="KHJ33" s="2"/>
      <c r="KHK33" s="2"/>
      <c r="KHL33" s="2"/>
      <c r="KHM33" s="2"/>
      <c r="KHN33" s="2"/>
      <c r="KHO33" s="2"/>
      <c r="KHP33" s="2"/>
      <c r="KHQ33" s="2"/>
      <c r="KHR33" s="2"/>
      <c r="KHS33" s="2"/>
      <c r="KHT33" s="2"/>
      <c r="KHU33" s="2"/>
      <c r="KHV33" s="2"/>
      <c r="KHW33" s="2"/>
      <c r="KHX33" s="2"/>
      <c r="KHY33" s="2"/>
      <c r="KHZ33" s="2"/>
      <c r="KIA33" s="2"/>
      <c r="KIB33" s="2"/>
      <c r="KIC33" s="2"/>
      <c r="KID33" s="2"/>
      <c r="KIE33" s="2"/>
      <c r="KIF33" s="2"/>
      <c r="KIG33" s="2"/>
      <c r="KIH33" s="2"/>
      <c r="KII33" s="2"/>
      <c r="KIJ33" s="2"/>
      <c r="KIK33" s="2"/>
      <c r="KIL33" s="2"/>
      <c r="KIM33" s="2"/>
      <c r="KIN33" s="2"/>
      <c r="KIO33" s="2"/>
      <c r="KIP33" s="2"/>
      <c r="KIQ33" s="2"/>
      <c r="KIR33" s="2"/>
      <c r="KIS33" s="2"/>
      <c r="KIT33" s="2"/>
      <c r="KIU33" s="2"/>
      <c r="KIV33" s="2"/>
      <c r="KIW33" s="2"/>
      <c r="KIX33" s="2"/>
      <c r="KIY33" s="2"/>
      <c r="KIZ33" s="2"/>
      <c r="KJA33" s="2"/>
      <c r="KJB33" s="2"/>
      <c r="KJC33" s="2"/>
      <c r="KJD33" s="2"/>
      <c r="KJE33" s="2"/>
      <c r="KJF33" s="2"/>
      <c r="KJG33" s="2"/>
      <c r="KJH33" s="2"/>
      <c r="KJI33" s="2"/>
      <c r="KJJ33" s="2"/>
      <c r="KJK33" s="2"/>
      <c r="KJL33" s="2"/>
      <c r="KJM33" s="2"/>
      <c r="KJN33" s="2"/>
      <c r="KJO33" s="2"/>
      <c r="KJP33" s="2"/>
      <c r="KJQ33" s="2"/>
      <c r="KJR33" s="2"/>
      <c r="KJS33" s="2"/>
      <c r="KJT33" s="2"/>
      <c r="KJU33" s="2"/>
      <c r="KJV33" s="2"/>
      <c r="KJW33" s="2"/>
      <c r="KJX33" s="2"/>
      <c r="KJY33" s="2"/>
      <c r="KJZ33" s="2"/>
      <c r="KKA33" s="2"/>
      <c r="KKB33" s="2"/>
      <c r="KKC33" s="2"/>
      <c r="KKD33" s="2"/>
      <c r="KKE33" s="2"/>
      <c r="KKF33" s="2"/>
      <c r="KKG33" s="2"/>
      <c r="KKH33" s="2"/>
      <c r="KKI33" s="2"/>
      <c r="KKJ33" s="2"/>
      <c r="KKK33" s="2"/>
      <c r="KKL33" s="2"/>
      <c r="KKM33" s="2"/>
      <c r="KKN33" s="2"/>
      <c r="KKO33" s="2"/>
      <c r="KKP33" s="2"/>
      <c r="KKQ33" s="2"/>
      <c r="KKR33" s="2"/>
      <c r="KKS33" s="2"/>
      <c r="KKT33" s="2"/>
      <c r="KKU33" s="2"/>
      <c r="KKV33" s="2"/>
      <c r="KKW33" s="2"/>
      <c r="KKX33" s="2"/>
      <c r="KKY33" s="2"/>
      <c r="KKZ33" s="2"/>
      <c r="KLA33" s="2"/>
      <c r="KLB33" s="2"/>
      <c r="KLC33" s="2"/>
      <c r="KLD33" s="2"/>
      <c r="KLE33" s="2"/>
      <c r="KLF33" s="2"/>
      <c r="KLG33" s="2"/>
      <c r="KLH33" s="2"/>
      <c r="KLI33" s="2"/>
      <c r="KLJ33" s="2"/>
      <c r="KLK33" s="2"/>
      <c r="KLL33" s="2"/>
      <c r="KLM33" s="2"/>
      <c r="KLN33" s="2"/>
      <c r="KLO33" s="2"/>
      <c r="KLP33" s="2"/>
      <c r="KLQ33" s="2"/>
      <c r="KLR33" s="2"/>
      <c r="KLS33" s="2"/>
      <c r="KLT33" s="2"/>
      <c r="KLU33" s="2"/>
      <c r="KLV33" s="2"/>
      <c r="KLW33" s="2"/>
      <c r="KLX33" s="2"/>
      <c r="KLY33" s="2"/>
      <c r="KLZ33" s="2"/>
      <c r="KMA33" s="2"/>
      <c r="KMB33" s="2"/>
      <c r="KMC33" s="2"/>
      <c r="KMD33" s="2"/>
      <c r="KME33" s="2"/>
      <c r="KMF33" s="2"/>
      <c r="KMG33" s="2"/>
      <c r="KMH33" s="2"/>
      <c r="KMI33" s="2"/>
      <c r="KMJ33" s="2"/>
      <c r="KMK33" s="2"/>
      <c r="KML33" s="2"/>
      <c r="KMM33" s="2"/>
      <c r="KMN33" s="2"/>
      <c r="KMO33" s="2"/>
      <c r="KMP33" s="2"/>
      <c r="KMQ33" s="2"/>
      <c r="KMR33" s="2"/>
      <c r="KMS33" s="2"/>
      <c r="KMT33" s="2"/>
      <c r="KMU33" s="2"/>
      <c r="KMV33" s="2"/>
      <c r="KMW33" s="2"/>
      <c r="KMX33" s="2"/>
      <c r="KMY33" s="2"/>
      <c r="KMZ33" s="2"/>
      <c r="KNA33" s="2"/>
      <c r="KNB33" s="2"/>
      <c r="KNC33" s="2"/>
      <c r="KND33" s="2"/>
      <c r="KNE33" s="2"/>
      <c r="KNF33" s="2"/>
      <c r="KNG33" s="2"/>
      <c r="KNH33" s="2"/>
      <c r="KNI33" s="2"/>
      <c r="KNJ33" s="2"/>
      <c r="KNK33" s="2"/>
      <c r="KNL33" s="2"/>
      <c r="KNM33" s="2"/>
      <c r="KNN33" s="2"/>
      <c r="KNO33" s="2"/>
      <c r="KNP33" s="2"/>
      <c r="KNQ33" s="2"/>
      <c r="KNR33" s="2"/>
      <c r="KNS33" s="2"/>
      <c r="KNT33" s="2"/>
      <c r="KNU33" s="2"/>
      <c r="KNV33" s="2"/>
      <c r="KNW33" s="2"/>
      <c r="KNX33" s="2"/>
      <c r="KNY33" s="2"/>
      <c r="KNZ33" s="2"/>
      <c r="KOA33" s="2"/>
      <c r="KOB33" s="2"/>
      <c r="KOC33" s="2"/>
      <c r="KOD33" s="2"/>
      <c r="KOE33" s="2"/>
      <c r="KOF33" s="2"/>
      <c r="KOG33" s="2"/>
      <c r="KOH33" s="2"/>
      <c r="KOI33" s="2"/>
      <c r="KOJ33" s="2"/>
      <c r="KOK33" s="2"/>
      <c r="KOL33" s="2"/>
      <c r="KOM33" s="2"/>
      <c r="KON33" s="2"/>
      <c r="KOO33" s="2"/>
      <c r="KOP33" s="2"/>
      <c r="KOQ33" s="2"/>
      <c r="KOR33" s="2"/>
      <c r="KOS33" s="2"/>
      <c r="KOT33" s="2"/>
      <c r="KOU33" s="2"/>
      <c r="KOV33" s="2"/>
      <c r="KOW33" s="2"/>
      <c r="KOX33" s="2"/>
      <c r="KOY33" s="2"/>
      <c r="KOZ33" s="2"/>
      <c r="KPA33" s="2"/>
      <c r="KPB33" s="2"/>
      <c r="KPC33" s="2"/>
      <c r="KPD33" s="2"/>
      <c r="KPE33" s="2"/>
      <c r="KPF33" s="2"/>
      <c r="KPG33" s="2"/>
      <c r="KPH33" s="2"/>
      <c r="KPI33" s="2"/>
      <c r="KPJ33" s="2"/>
      <c r="KPK33" s="2"/>
      <c r="KPL33" s="2"/>
      <c r="KPM33" s="2"/>
      <c r="KPN33" s="2"/>
      <c r="KPO33" s="2"/>
      <c r="KPP33" s="2"/>
      <c r="KPQ33" s="2"/>
      <c r="KPR33" s="2"/>
      <c r="KPS33" s="2"/>
      <c r="KPT33" s="2"/>
      <c r="KPU33" s="2"/>
      <c r="KPV33" s="2"/>
      <c r="KPW33" s="2"/>
      <c r="KPX33" s="2"/>
      <c r="KPY33" s="2"/>
      <c r="KPZ33" s="2"/>
      <c r="KQA33" s="2"/>
      <c r="KQB33" s="2"/>
      <c r="KQC33" s="2"/>
      <c r="KQD33" s="2"/>
      <c r="KQE33" s="2"/>
      <c r="KQF33" s="2"/>
      <c r="KQG33" s="2"/>
      <c r="KQH33" s="2"/>
      <c r="KQI33" s="2"/>
      <c r="KQJ33" s="2"/>
      <c r="KQK33" s="2"/>
      <c r="KQL33" s="2"/>
      <c r="KQM33" s="2"/>
      <c r="KQN33" s="2"/>
      <c r="KQO33" s="2"/>
      <c r="KQP33" s="2"/>
      <c r="KQQ33" s="2"/>
      <c r="KQR33" s="2"/>
      <c r="KQS33" s="2"/>
      <c r="KQT33" s="2"/>
      <c r="KQU33" s="2"/>
      <c r="KQV33" s="2"/>
      <c r="KQW33" s="2"/>
      <c r="KQX33" s="2"/>
      <c r="KQY33" s="2"/>
      <c r="KQZ33" s="2"/>
      <c r="KRA33" s="2"/>
      <c r="KRB33" s="2"/>
      <c r="KRC33" s="2"/>
      <c r="KRD33" s="2"/>
      <c r="KRE33" s="2"/>
      <c r="KRF33" s="2"/>
      <c r="KRG33" s="2"/>
      <c r="KRH33" s="2"/>
      <c r="KRI33" s="2"/>
      <c r="KRJ33" s="2"/>
      <c r="KRK33" s="2"/>
      <c r="KRL33" s="2"/>
      <c r="KRM33" s="2"/>
      <c r="KRN33" s="2"/>
      <c r="KRO33" s="2"/>
      <c r="KRP33" s="2"/>
      <c r="KRQ33" s="2"/>
      <c r="KRR33" s="2"/>
      <c r="KRS33" s="2"/>
      <c r="KRT33" s="2"/>
      <c r="KRU33" s="2"/>
      <c r="KRV33" s="2"/>
      <c r="KRW33" s="2"/>
      <c r="KRX33" s="2"/>
      <c r="KRY33" s="2"/>
      <c r="KRZ33" s="2"/>
      <c r="KSA33" s="2"/>
      <c r="KSB33" s="2"/>
      <c r="KSC33" s="2"/>
      <c r="KSD33" s="2"/>
      <c r="KSE33" s="2"/>
      <c r="KSF33" s="2"/>
      <c r="KSG33" s="2"/>
      <c r="KSH33" s="2"/>
      <c r="KSI33" s="2"/>
      <c r="KSJ33" s="2"/>
      <c r="KSK33" s="2"/>
      <c r="KSL33" s="2"/>
      <c r="KSM33" s="2"/>
      <c r="KSN33" s="2"/>
      <c r="KSO33" s="2"/>
      <c r="KSP33" s="2"/>
      <c r="KSQ33" s="2"/>
      <c r="KSR33" s="2"/>
      <c r="KSS33" s="2"/>
      <c r="KST33" s="2"/>
      <c r="KSU33" s="2"/>
      <c r="KSV33" s="2"/>
      <c r="KSW33" s="2"/>
      <c r="KSX33" s="2"/>
      <c r="KSY33" s="2"/>
      <c r="KSZ33" s="2"/>
      <c r="KTA33" s="2"/>
      <c r="KTB33" s="2"/>
      <c r="KTC33" s="2"/>
      <c r="KTD33" s="2"/>
      <c r="KTE33" s="2"/>
      <c r="KTF33" s="2"/>
      <c r="KTG33" s="2"/>
      <c r="KTH33" s="2"/>
      <c r="KTI33" s="2"/>
      <c r="KTJ33" s="2"/>
      <c r="KTK33" s="2"/>
      <c r="KTL33" s="2"/>
      <c r="KTM33" s="2"/>
      <c r="KTN33" s="2"/>
      <c r="KTO33" s="2"/>
      <c r="KTP33" s="2"/>
      <c r="KTQ33" s="2"/>
      <c r="KTR33" s="2"/>
      <c r="KTS33" s="2"/>
      <c r="KTT33" s="2"/>
      <c r="KTU33" s="2"/>
      <c r="KTV33" s="2"/>
      <c r="KTW33" s="2"/>
      <c r="KTX33" s="2"/>
      <c r="KTY33" s="2"/>
      <c r="KTZ33" s="2"/>
      <c r="KUA33" s="2"/>
      <c r="KUB33" s="2"/>
      <c r="KUC33" s="2"/>
      <c r="KUD33" s="2"/>
      <c r="KUE33" s="2"/>
      <c r="KUF33" s="2"/>
      <c r="KUG33" s="2"/>
      <c r="KUH33" s="2"/>
      <c r="KUI33" s="2"/>
      <c r="KUJ33" s="2"/>
      <c r="KUK33" s="2"/>
      <c r="KUL33" s="2"/>
      <c r="KUM33" s="2"/>
      <c r="KUN33" s="2"/>
      <c r="KUO33" s="2"/>
      <c r="KUP33" s="2"/>
      <c r="KUQ33" s="2"/>
      <c r="KUR33" s="2"/>
      <c r="KUS33" s="2"/>
      <c r="KUT33" s="2"/>
      <c r="KUU33" s="2"/>
      <c r="KUV33" s="2"/>
      <c r="KUW33" s="2"/>
      <c r="KUX33" s="2"/>
      <c r="KUY33" s="2"/>
      <c r="KUZ33" s="2"/>
      <c r="KVA33" s="2"/>
      <c r="KVB33" s="2"/>
      <c r="KVC33" s="2"/>
      <c r="KVD33" s="2"/>
      <c r="KVE33" s="2"/>
      <c r="KVF33" s="2"/>
      <c r="KVG33" s="2"/>
      <c r="KVH33" s="2"/>
      <c r="KVI33" s="2"/>
      <c r="KVJ33" s="2"/>
      <c r="KVK33" s="2"/>
      <c r="KVL33" s="2"/>
      <c r="KVM33" s="2"/>
      <c r="KVN33" s="2"/>
      <c r="KVO33" s="2"/>
      <c r="KVP33" s="2"/>
      <c r="KVQ33" s="2"/>
      <c r="KVR33" s="2"/>
      <c r="KVS33" s="2"/>
      <c r="KVT33" s="2"/>
      <c r="KVU33" s="2"/>
      <c r="KVV33" s="2"/>
      <c r="KVW33" s="2"/>
      <c r="KVX33" s="2"/>
      <c r="KVY33" s="2"/>
      <c r="KVZ33" s="2"/>
      <c r="KWA33" s="2"/>
      <c r="KWB33" s="2"/>
      <c r="KWC33" s="2"/>
      <c r="KWD33" s="2"/>
      <c r="KWE33" s="2"/>
      <c r="KWF33" s="2"/>
      <c r="KWG33" s="2"/>
      <c r="KWH33" s="2"/>
      <c r="KWI33" s="2"/>
      <c r="KWJ33" s="2"/>
      <c r="KWK33" s="2"/>
      <c r="KWL33" s="2"/>
      <c r="KWM33" s="2"/>
      <c r="KWN33" s="2"/>
      <c r="KWO33" s="2"/>
      <c r="KWP33" s="2"/>
      <c r="KWQ33" s="2"/>
      <c r="KWR33" s="2"/>
      <c r="KWS33" s="2"/>
      <c r="KWT33" s="2"/>
      <c r="KWU33" s="2"/>
      <c r="KWV33" s="2"/>
      <c r="KWW33" s="2"/>
      <c r="KWX33" s="2"/>
      <c r="KWY33" s="2"/>
      <c r="KWZ33" s="2"/>
      <c r="KXA33" s="2"/>
      <c r="KXB33" s="2"/>
      <c r="KXC33" s="2"/>
      <c r="KXD33" s="2"/>
      <c r="KXE33" s="2"/>
      <c r="KXF33" s="2"/>
      <c r="KXG33" s="2"/>
      <c r="KXH33" s="2"/>
      <c r="KXI33" s="2"/>
      <c r="KXJ33" s="2"/>
      <c r="KXK33" s="2"/>
      <c r="KXL33" s="2"/>
      <c r="KXM33" s="2"/>
      <c r="KXN33" s="2"/>
      <c r="KXO33" s="2"/>
      <c r="KXP33" s="2"/>
      <c r="KXQ33" s="2"/>
      <c r="KXR33" s="2"/>
      <c r="KXS33" s="2"/>
      <c r="KXT33" s="2"/>
      <c r="KXU33" s="2"/>
      <c r="KXV33" s="2"/>
      <c r="KXW33" s="2"/>
      <c r="KXX33" s="2"/>
      <c r="KXY33" s="2"/>
      <c r="KXZ33" s="2"/>
      <c r="KYA33" s="2"/>
      <c r="KYB33" s="2"/>
      <c r="KYC33" s="2"/>
      <c r="KYD33" s="2"/>
      <c r="KYE33" s="2"/>
      <c r="KYF33" s="2"/>
      <c r="KYG33" s="2"/>
      <c r="KYH33" s="2"/>
      <c r="KYI33" s="2"/>
      <c r="KYJ33" s="2"/>
      <c r="KYK33" s="2"/>
      <c r="KYL33" s="2"/>
      <c r="KYM33" s="2"/>
      <c r="KYN33" s="2"/>
      <c r="KYO33" s="2"/>
      <c r="KYP33" s="2"/>
      <c r="KYQ33" s="2"/>
      <c r="KYR33" s="2"/>
      <c r="KYS33" s="2"/>
      <c r="KYT33" s="2"/>
      <c r="KYU33" s="2"/>
      <c r="KYV33" s="2"/>
      <c r="KYW33" s="2"/>
      <c r="KYX33" s="2"/>
      <c r="KYY33" s="2"/>
      <c r="KYZ33" s="2"/>
      <c r="KZA33" s="2"/>
      <c r="KZB33" s="2"/>
      <c r="KZC33" s="2"/>
      <c r="KZD33" s="2"/>
      <c r="KZE33" s="2"/>
      <c r="KZF33" s="2"/>
      <c r="KZG33" s="2"/>
      <c r="KZH33" s="2"/>
      <c r="KZI33" s="2"/>
      <c r="KZJ33" s="2"/>
      <c r="KZK33" s="2"/>
      <c r="KZL33" s="2"/>
      <c r="KZM33" s="2"/>
      <c r="KZN33" s="2"/>
      <c r="KZO33" s="2"/>
      <c r="KZP33" s="2"/>
      <c r="KZQ33" s="2"/>
      <c r="KZR33" s="2"/>
      <c r="KZS33" s="2"/>
      <c r="KZT33" s="2"/>
      <c r="KZU33" s="2"/>
      <c r="KZV33" s="2"/>
      <c r="KZW33" s="2"/>
      <c r="KZX33" s="2"/>
      <c r="KZY33" s="2"/>
      <c r="KZZ33" s="2"/>
      <c r="LAA33" s="2"/>
      <c r="LAB33" s="2"/>
      <c r="LAC33" s="2"/>
      <c r="LAD33" s="2"/>
      <c r="LAE33" s="2"/>
      <c r="LAF33" s="2"/>
      <c r="LAG33" s="2"/>
      <c r="LAH33" s="2"/>
      <c r="LAI33" s="2"/>
      <c r="LAJ33" s="2"/>
      <c r="LAK33" s="2"/>
      <c r="LAL33" s="2"/>
      <c r="LAM33" s="2"/>
      <c r="LAN33" s="2"/>
      <c r="LAO33" s="2"/>
      <c r="LAP33" s="2"/>
      <c r="LAQ33" s="2"/>
      <c r="LAR33" s="2"/>
      <c r="LAS33" s="2"/>
      <c r="LAT33" s="2"/>
      <c r="LAU33" s="2"/>
      <c r="LAV33" s="2"/>
      <c r="LAW33" s="2"/>
      <c r="LAX33" s="2"/>
      <c r="LAY33" s="2"/>
      <c r="LAZ33" s="2"/>
      <c r="LBA33" s="2"/>
      <c r="LBB33" s="2"/>
      <c r="LBC33" s="2"/>
      <c r="LBD33" s="2"/>
      <c r="LBE33" s="2"/>
      <c r="LBF33" s="2"/>
      <c r="LBG33" s="2"/>
      <c r="LBH33" s="2"/>
      <c r="LBI33" s="2"/>
      <c r="LBJ33" s="2"/>
      <c r="LBK33" s="2"/>
      <c r="LBL33" s="2"/>
      <c r="LBM33" s="2"/>
      <c r="LBN33" s="2"/>
      <c r="LBO33" s="2"/>
      <c r="LBP33" s="2"/>
      <c r="LBQ33" s="2"/>
      <c r="LBR33" s="2"/>
      <c r="LBS33" s="2"/>
      <c r="LBT33" s="2"/>
      <c r="LBU33" s="2"/>
      <c r="LBV33" s="2"/>
      <c r="LBW33" s="2"/>
      <c r="LBX33" s="2"/>
      <c r="LBY33" s="2"/>
      <c r="LBZ33" s="2"/>
      <c r="LCA33" s="2"/>
      <c r="LCB33" s="2"/>
      <c r="LCC33" s="2"/>
      <c r="LCD33" s="2"/>
      <c r="LCE33" s="2"/>
      <c r="LCF33" s="2"/>
      <c r="LCG33" s="2"/>
      <c r="LCH33" s="2"/>
      <c r="LCI33" s="2"/>
      <c r="LCJ33" s="2"/>
      <c r="LCK33" s="2"/>
      <c r="LCL33" s="2"/>
      <c r="LCM33" s="2"/>
      <c r="LCN33" s="2"/>
      <c r="LCO33" s="2"/>
      <c r="LCP33" s="2"/>
      <c r="LCQ33" s="2"/>
      <c r="LCR33" s="2"/>
      <c r="LCS33" s="2"/>
      <c r="LCT33" s="2"/>
      <c r="LCU33" s="2"/>
      <c r="LCV33" s="2"/>
      <c r="LCW33" s="2"/>
      <c r="LCX33" s="2"/>
      <c r="LCY33" s="2"/>
      <c r="LCZ33" s="2"/>
      <c r="LDA33" s="2"/>
      <c r="LDB33" s="2"/>
      <c r="LDC33" s="2"/>
      <c r="LDD33" s="2"/>
      <c r="LDE33" s="2"/>
      <c r="LDF33" s="2"/>
      <c r="LDG33" s="2"/>
      <c r="LDH33" s="2"/>
      <c r="LDI33" s="2"/>
      <c r="LDJ33" s="2"/>
      <c r="LDK33" s="2"/>
      <c r="LDL33" s="2"/>
      <c r="LDM33" s="2"/>
      <c r="LDN33" s="2"/>
      <c r="LDO33" s="2"/>
      <c r="LDP33" s="2"/>
      <c r="LDQ33" s="2"/>
      <c r="LDR33" s="2"/>
      <c r="LDS33" s="2"/>
      <c r="LDT33" s="2"/>
      <c r="LDU33" s="2"/>
      <c r="LDV33" s="2"/>
      <c r="LDW33" s="2"/>
      <c r="LDX33" s="2"/>
      <c r="LDY33" s="2"/>
      <c r="LDZ33" s="2"/>
      <c r="LEA33" s="2"/>
      <c r="LEB33" s="2"/>
      <c r="LEC33" s="2"/>
      <c r="LED33" s="2"/>
      <c r="LEE33" s="2"/>
      <c r="LEF33" s="2"/>
      <c r="LEG33" s="2"/>
      <c r="LEH33" s="2"/>
      <c r="LEI33" s="2"/>
      <c r="LEJ33" s="2"/>
      <c r="LEK33" s="2"/>
      <c r="LEL33" s="2"/>
      <c r="LEM33" s="2"/>
      <c r="LEN33" s="2"/>
      <c r="LEO33" s="2"/>
      <c r="LEP33" s="2"/>
      <c r="LEQ33" s="2"/>
      <c r="LER33" s="2"/>
      <c r="LES33" s="2"/>
      <c r="LET33" s="2"/>
      <c r="LEU33" s="2"/>
      <c r="LEV33" s="2"/>
      <c r="LEW33" s="2"/>
      <c r="LEX33" s="2"/>
      <c r="LEY33" s="2"/>
      <c r="LEZ33" s="2"/>
      <c r="LFA33" s="2"/>
      <c r="LFB33" s="2"/>
      <c r="LFC33" s="2"/>
      <c r="LFD33" s="2"/>
      <c r="LFE33" s="2"/>
      <c r="LFF33" s="2"/>
      <c r="LFG33" s="2"/>
      <c r="LFH33" s="2"/>
      <c r="LFI33" s="2"/>
      <c r="LFJ33" s="2"/>
      <c r="LFK33" s="2"/>
      <c r="LFL33" s="2"/>
      <c r="LFM33" s="2"/>
      <c r="LFN33" s="2"/>
      <c r="LFO33" s="2"/>
      <c r="LFP33" s="2"/>
      <c r="LFQ33" s="2"/>
      <c r="LFR33" s="2"/>
      <c r="LFS33" s="2"/>
      <c r="LFT33" s="2"/>
      <c r="LFU33" s="2"/>
      <c r="LFV33" s="2"/>
      <c r="LFW33" s="2"/>
      <c r="LFX33" s="2"/>
      <c r="LFY33" s="2"/>
      <c r="LFZ33" s="2"/>
      <c r="LGA33" s="2"/>
      <c r="LGB33" s="2"/>
      <c r="LGC33" s="2"/>
      <c r="LGD33" s="2"/>
      <c r="LGE33" s="2"/>
      <c r="LGF33" s="2"/>
      <c r="LGG33" s="2"/>
      <c r="LGH33" s="2"/>
      <c r="LGI33" s="2"/>
      <c r="LGJ33" s="2"/>
      <c r="LGK33" s="2"/>
      <c r="LGL33" s="2"/>
      <c r="LGM33" s="2"/>
      <c r="LGN33" s="2"/>
      <c r="LGO33" s="2"/>
      <c r="LGP33" s="2"/>
      <c r="LGQ33" s="2"/>
      <c r="LGR33" s="2"/>
      <c r="LGS33" s="2"/>
      <c r="LGT33" s="2"/>
      <c r="LGU33" s="2"/>
      <c r="LGV33" s="2"/>
      <c r="LGW33" s="2"/>
      <c r="LGX33" s="2"/>
      <c r="LGY33" s="2"/>
      <c r="LGZ33" s="2"/>
      <c r="LHA33" s="2"/>
      <c r="LHB33" s="2"/>
      <c r="LHC33" s="2"/>
      <c r="LHD33" s="2"/>
      <c r="LHE33" s="2"/>
      <c r="LHF33" s="2"/>
      <c r="LHG33" s="2"/>
      <c r="LHH33" s="2"/>
      <c r="LHI33" s="2"/>
      <c r="LHJ33" s="2"/>
      <c r="LHK33" s="2"/>
      <c r="LHL33" s="2"/>
      <c r="LHM33" s="2"/>
      <c r="LHN33" s="2"/>
      <c r="LHO33" s="2"/>
      <c r="LHP33" s="2"/>
      <c r="LHQ33" s="2"/>
      <c r="LHR33" s="2"/>
      <c r="LHS33" s="2"/>
      <c r="LHT33" s="2"/>
      <c r="LHU33" s="2"/>
      <c r="LHV33" s="2"/>
      <c r="LHW33" s="2"/>
      <c r="LHX33" s="2"/>
      <c r="LHY33" s="2"/>
      <c r="LHZ33" s="2"/>
      <c r="LIA33" s="2"/>
      <c r="LIB33" s="2"/>
      <c r="LIC33" s="2"/>
      <c r="LID33" s="2"/>
      <c r="LIE33" s="2"/>
      <c r="LIF33" s="2"/>
      <c r="LIG33" s="2"/>
      <c r="LIH33" s="2"/>
      <c r="LII33" s="2"/>
      <c r="LIJ33" s="2"/>
      <c r="LIK33" s="2"/>
      <c r="LIL33" s="2"/>
      <c r="LIM33" s="2"/>
      <c r="LIN33" s="2"/>
      <c r="LIO33" s="2"/>
      <c r="LIP33" s="2"/>
      <c r="LIQ33" s="2"/>
      <c r="LIR33" s="2"/>
      <c r="LIS33" s="2"/>
      <c r="LIT33" s="2"/>
      <c r="LIU33" s="2"/>
      <c r="LIV33" s="2"/>
      <c r="LIW33" s="2"/>
      <c r="LIX33" s="2"/>
      <c r="LIY33" s="2"/>
      <c r="LIZ33" s="2"/>
      <c r="LJA33" s="2"/>
      <c r="LJB33" s="2"/>
      <c r="LJC33" s="2"/>
      <c r="LJD33" s="2"/>
      <c r="LJE33" s="2"/>
      <c r="LJF33" s="2"/>
      <c r="LJG33" s="2"/>
      <c r="LJH33" s="2"/>
      <c r="LJI33" s="2"/>
      <c r="LJJ33" s="2"/>
      <c r="LJK33" s="2"/>
      <c r="LJL33" s="2"/>
      <c r="LJM33" s="2"/>
      <c r="LJN33" s="2"/>
      <c r="LJO33" s="2"/>
      <c r="LJP33" s="2"/>
      <c r="LJQ33" s="2"/>
      <c r="LJR33" s="2"/>
      <c r="LJS33" s="2"/>
      <c r="LJT33" s="2"/>
      <c r="LJU33" s="2"/>
      <c r="LJV33" s="2"/>
      <c r="LJW33" s="2"/>
      <c r="LJX33" s="2"/>
      <c r="LJY33" s="2"/>
      <c r="LJZ33" s="2"/>
      <c r="LKA33" s="2"/>
      <c r="LKB33" s="2"/>
      <c r="LKC33" s="2"/>
      <c r="LKD33" s="2"/>
      <c r="LKE33" s="2"/>
      <c r="LKF33" s="2"/>
      <c r="LKG33" s="2"/>
      <c r="LKH33" s="2"/>
      <c r="LKI33" s="2"/>
      <c r="LKJ33" s="2"/>
      <c r="LKK33" s="2"/>
      <c r="LKL33" s="2"/>
      <c r="LKM33" s="2"/>
      <c r="LKN33" s="2"/>
      <c r="LKO33" s="2"/>
      <c r="LKP33" s="2"/>
      <c r="LKQ33" s="2"/>
      <c r="LKR33" s="2"/>
      <c r="LKS33" s="2"/>
      <c r="LKT33" s="2"/>
      <c r="LKU33" s="2"/>
      <c r="LKV33" s="2"/>
      <c r="LKW33" s="2"/>
      <c r="LKX33" s="2"/>
      <c r="LKY33" s="2"/>
      <c r="LKZ33" s="2"/>
      <c r="LLA33" s="2"/>
      <c r="LLB33" s="2"/>
      <c r="LLC33" s="2"/>
      <c r="LLD33" s="2"/>
      <c r="LLE33" s="2"/>
      <c r="LLF33" s="2"/>
      <c r="LLG33" s="2"/>
      <c r="LLH33" s="2"/>
      <c r="LLI33" s="2"/>
      <c r="LLJ33" s="2"/>
      <c r="LLK33" s="2"/>
      <c r="LLL33" s="2"/>
      <c r="LLM33" s="2"/>
      <c r="LLN33" s="2"/>
      <c r="LLO33" s="2"/>
      <c r="LLP33" s="2"/>
      <c r="LLQ33" s="2"/>
      <c r="LLR33" s="2"/>
      <c r="LLS33" s="2"/>
      <c r="LLT33" s="2"/>
      <c r="LLU33" s="2"/>
      <c r="LLV33" s="2"/>
      <c r="LLW33" s="2"/>
      <c r="LLX33" s="2"/>
      <c r="LLY33" s="2"/>
      <c r="LLZ33" s="2"/>
      <c r="LMA33" s="2"/>
      <c r="LMB33" s="2"/>
      <c r="LMC33" s="2"/>
      <c r="LMD33" s="2"/>
      <c r="LME33" s="2"/>
      <c r="LMF33" s="2"/>
      <c r="LMG33" s="2"/>
      <c r="LMH33" s="2"/>
      <c r="LMI33" s="2"/>
      <c r="LMJ33" s="2"/>
      <c r="LMK33" s="2"/>
      <c r="LML33" s="2"/>
      <c r="LMM33" s="2"/>
      <c r="LMN33" s="2"/>
      <c r="LMO33" s="2"/>
      <c r="LMP33" s="2"/>
      <c r="LMQ33" s="2"/>
      <c r="LMR33" s="2"/>
      <c r="LMS33" s="2"/>
      <c r="LMT33" s="2"/>
      <c r="LMU33" s="2"/>
      <c r="LMV33" s="2"/>
      <c r="LMW33" s="2"/>
      <c r="LMX33" s="2"/>
      <c r="LMY33" s="2"/>
      <c r="LMZ33" s="2"/>
      <c r="LNA33" s="2"/>
      <c r="LNB33" s="2"/>
      <c r="LNC33" s="2"/>
      <c r="LND33" s="2"/>
      <c r="LNE33" s="2"/>
      <c r="LNF33" s="2"/>
      <c r="LNG33" s="2"/>
      <c r="LNH33" s="2"/>
      <c r="LNI33" s="2"/>
      <c r="LNJ33" s="2"/>
      <c r="LNK33" s="2"/>
      <c r="LNL33" s="2"/>
      <c r="LNM33" s="2"/>
      <c r="LNN33" s="2"/>
      <c r="LNO33" s="2"/>
      <c r="LNP33" s="2"/>
      <c r="LNQ33" s="2"/>
      <c r="LNR33" s="2"/>
      <c r="LNS33" s="2"/>
      <c r="LNT33" s="2"/>
      <c r="LNU33" s="2"/>
      <c r="LNV33" s="2"/>
      <c r="LNW33" s="2"/>
      <c r="LNX33" s="2"/>
      <c r="LNY33" s="2"/>
      <c r="LNZ33" s="2"/>
      <c r="LOA33" s="2"/>
      <c r="LOB33" s="2"/>
      <c r="LOC33" s="2"/>
      <c r="LOD33" s="2"/>
      <c r="LOE33" s="2"/>
      <c r="LOF33" s="2"/>
      <c r="LOG33" s="2"/>
      <c r="LOH33" s="2"/>
      <c r="LOI33" s="2"/>
      <c r="LOJ33" s="2"/>
      <c r="LOK33" s="2"/>
      <c r="LOL33" s="2"/>
      <c r="LOM33" s="2"/>
      <c r="LON33" s="2"/>
      <c r="LOO33" s="2"/>
      <c r="LOP33" s="2"/>
      <c r="LOQ33" s="2"/>
      <c r="LOR33" s="2"/>
      <c r="LOS33" s="2"/>
      <c r="LOT33" s="2"/>
      <c r="LOU33" s="2"/>
      <c r="LOV33" s="2"/>
      <c r="LOW33" s="2"/>
      <c r="LOX33" s="2"/>
      <c r="LOY33" s="2"/>
      <c r="LOZ33" s="2"/>
      <c r="LPA33" s="2"/>
      <c r="LPB33" s="2"/>
      <c r="LPC33" s="2"/>
      <c r="LPD33" s="2"/>
      <c r="LPE33" s="2"/>
      <c r="LPF33" s="2"/>
      <c r="LPG33" s="2"/>
      <c r="LPH33" s="2"/>
      <c r="LPI33" s="2"/>
      <c r="LPJ33" s="2"/>
      <c r="LPK33" s="2"/>
      <c r="LPL33" s="2"/>
      <c r="LPM33" s="2"/>
      <c r="LPN33" s="2"/>
      <c r="LPO33" s="2"/>
      <c r="LPP33" s="2"/>
      <c r="LPQ33" s="2"/>
      <c r="LPR33" s="2"/>
      <c r="LPS33" s="2"/>
      <c r="LPT33" s="2"/>
      <c r="LPU33" s="2"/>
      <c r="LPV33" s="2"/>
      <c r="LPW33" s="2"/>
      <c r="LPX33" s="2"/>
      <c r="LPY33" s="2"/>
      <c r="LPZ33" s="2"/>
      <c r="LQA33" s="2"/>
      <c r="LQB33" s="2"/>
      <c r="LQC33" s="2"/>
      <c r="LQD33" s="2"/>
      <c r="LQE33" s="2"/>
      <c r="LQF33" s="2"/>
      <c r="LQG33" s="2"/>
      <c r="LQH33" s="2"/>
      <c r="LQI33" s="2"/>
      <c r="LQJ33" s="2"/>
      <c r="LQK33" s="2"/>
      <c r="LQL33" s="2"/>
      <c r="LQM33" s="2"/>
      <c r="LQN33" s="2"/>
      <c r="LQO33" s="2"/>
      <c r="LQP33" s="2"/>
      <c r="LQQ33" s="2"/>
      <c r="LQR33" s="2"/>
      <c r="LQS33" s="2"/>
      <c r="LQT33" s="2"/>
      <c r="LQU33" s="2"/>
      <c r="LQV33" s="2"/>
      <c r="LQW33" s="2"/>
      <c r="LQX33" s="2"/>
      <c r="LQY33" s="2"/>
      <c r="LQZ33" s="2"/>
      <c r="LRA33" s="2"/>
      <c r="LRB33" s="2"/>
      <c r="LRC33" s="2"/>
      <c r="LRD33" s="2"/>
      <c r="LRE33" s="2"/>
      <c r="LRF33" s="2"/>
      <c r="LRG33" s="2"/>
      <c r="LRH33" s="2"/>
      <c r="LRI33" s="2"/>
      <c r="LRJ33" s="2"/>
      <c r="LRK33" s="2"/>
      <c r="LRL33" s="2"/>
      <c r="LRM33" s="2"/>
      <c r="LRN33" s="2"/>
      <c r="LRO33" s="2"/>
      <c r="LRP33" s="2"/>
      <c r="LRQ33" s="2"/>
      <c r="LRR33" s="2"/>
      <c r="LRS33" s="2"/>
      <c r="LRT33" s="2"/>
      <c r="LRU33" s="2"/>
      <c r="LRV33" s="2"/>
      <c r="LRW33" s="2"/>
      <c r="LRX33" s="2"/>
      <c r="LRY33" s="2"/>
      <c r="LRZ33" s="2"/>
      <c r="LSA33" s="2"/>
      <c r="LSB33" s="2"/>
      <c r="LSC33" s="2"/>
      <c r="LSD33" s="2"/>
      <c r="LSE33" s="2"/>
      <c r="LSF33" s="2"/>
      <c r="LSG33" s="2"/>
      <c r="LSH33" s="2"/>
      <c r="LSI33" s="2"/>
      <c r="LSJ33" s="2"/>
      <c r="LSK33" s="2"/>
      <c r="LSL33" s="2"/>
      <c r="LSM33" s="2"/>
      <c r="LSN33" s="2"/>
      <c r="LSO33" s="2"/>
      <c r="LSP33" s="2"/>
      <c r="LSQ33" s="2"/>
      <c r="LSR33" s="2"/>
      <c r="LSS33" s="2"/>
      <c r="LST33" s="2"/>
      <c r="LSU33" s="2"/>
      <c r="LSV33" s="2"/>
      <c r="LSW33" s="2"/>
      <c r="LSX33" s="2"/>
      <c r="LSY33" s="2"/>
      <c r="LSZ33" s="2"/>
      <c r="LTA33" s="2"/>
      <c r="LTB33" s="2"/>
      <c r="LTC33" s="2"/>
      <c r="LTD33" s="2"/>
      <c r="LTE33" s="2"/>
      <c r="LTF33" s="2"/>
      <c r="LTG33" s="2"/>
      <c r="LTH33" s="2"/>
      <c r="LTI33" s="2"/>
      <c r="LTJ33" s="2"/>
      <c r="LTK33" s="2"/>
      <c r="LTL33" s="2"/>
      <c r="LTM33" s="2"/>
      <c r="LTN33" s="2"/>
      <c r="LTO33" s="2"/>
      <c r="LTP33" s="2"/>
      <c r="LTQ33" s="2"/>
      <c r="LTR33" s="2"/>
      <c r="LTS33" s="2"/>
      <c r="LTT33" s="2"/>
      <c r="LTU33" s="2"/>
      <c r="LTV33" s="2"/>
      <c r="LTW33" s="2"/>
      <c r="LTX33" s="2"/>
      <c r="LTY33" s="2"/>
      <c r="LTZ33" s="2"/>
      <c r="LUA33" s="2"/>
      <c r="LUB33" s="2"/>
      <c r="LUC33" s="2"/>
      <c r="LUD33" s="2"/>
      <c r="LUE33" s="2"/>
      <c r="LUF33" s="2"/>
      <c r="LUG33" s="2"/>
      <c r="LUH33" s="2"/>
      <c r="LUI33" s="2"/>
      <c r="LUJ33" s="2"/>
      <c r="LUK33" s="2"/>
      <c r="LUL33" s="2"/>
      <c r="LUM33" s="2"/>
      <c r="LUN33" s="2"/>
      <c r="LUO33" s="2"/>
      <c r="LUP33" s="2"/>
      <c r="LUQ33" s="2"/>
      <c r="LUR33" s="2"/>
      <c r="LUS33" s="2"/>
      <c r="LUT33" s="2"/>
      <c r="LUU33" s="2"/>
      <c r="LUV33" s="2"/>
      <c r="LUW33" s="2"/>
      <c r="LUX33" s="2"/>
      <c r="LUY33" s="2"/>
      <c r="LUZ33" s="2"/>
      <c r="LVA33" s="2"/>
      <c r="LVB33" s="2"/>
      <c r="LVC33" s="2"/>
      <c r="LVD33" s="2"/>
      <c r="LVE33" s="2"/>
      <c r="LVF33" s="2"/>
      <c r="LVG33" s="2"/>
      <c r="LVH33" s="2"/>
      <c r="LVI33" s="2"/>
      <c r="LVJ33" s="2"/>
      <c r="LVK33" s="2"/>
      <c r="LVL33" s="2"/>
      <c r="LVM33" s="2"/>
      <c r="LVN33" s="2"/>
      <c r="LVO33" s="2"/>
      <c r="LVP33" s="2"/>
      <c r="LVQ33" s="2"/>
      <c r="LVR33" s="2"/>
      <c r="LVS33" s="2"/>
      <c r="LVT33" s="2"/>
      <c r="LVU33" s="2"/>
      <c r="LVV33" s="2"/>
      <c r="LVW33" s="2"/>
      <c r="LVX33" s="2"/>
      <c r="LVY33" s="2"/>
      <c r="LVZ33" s="2"/>
      <c r="LWA33" s="2"/>
      <c r="LWB33" s="2"/>
      <c r="LWC33" s="2"/>
      <c r="LWD33" s="2"/>
      <c r="LWE33" s="2"/>
      <c r="LWF33" s="2"/>
      <c r="LWG33" s="2"/>
      <c r="LWH33" s="2"/>
      <c r="LWI33" s="2"/>
      <c r="LWJ33" s="2"/>
      <c r="LWK33" s="2"/>
      <c r="LWL33" s="2"/>
      <c r="LWM33" s="2"/>
      <c r="LWN33" s="2"/>
      <c r="LWO33" s="2"/>
      <c r="LWP33" s="2"/>
      <c r="LWQ33" s="2"/>
      <c r="LWR33" s="2"/>
      <c r="LWS33" s="2"/>
      <c r="LWT33" s="2"/>
      <c r="LWU33" s="2"/>
      <c r="LWV33" s="2"/>
      <c r="LWW33" s="2"/>
      <c r="LWX33" s="2"/>
      <c r="LWY33" s="2"/>
      <c r="LWZ33" s="2"/>
      <c r="LXA33" s="2"/>
      <c r="LXB33" s="2"/>
      <c r="LXC33" s="2"/>
      <c r="LXD33" s="2"/>
      <c r="LXE33" s="2"/>
      <c r="LXF33" s="2"/>
      <c r="LXG33" s="2"/>
      <c r="LXH33" s="2"/>
      <c r="LXI33" s="2"/>
      <c r="LXJ33" s="2"/>
      <c r="LXK33" s="2"/>
      <c r="LXL33" s="2"/>
      <c r="LXM33" s="2"/>
      <c r="LXN33" s="2"/>
      <c r="LXO33" s="2"/>
      <c r="LXP33" s="2"/>
      <c r="LXQ33" s="2"/>
      <c r="LXR33" s="2"/>
      <c r="LXS33" s="2"/>
      <c r="LXT33" s="2"/>
      <c r="LXU33" s="2"/>
      <c r="LXV33" s="2"/>
      <c r="LXW33" s="2"/>
      <c r="LXX33" s="2"/>
      <c r="LXY33" s="2"/>
      <c r="LXZ33" s="2"/>
      <c r="LYA33" s="2"/>
      <c r="LYB33" s="2"/>
      <c r="LYC33" s="2"/>
      <c r="LYD33" s="2"/>
      <c r="LYE33" s="2"/>
      <c r="LYF33" s="2"/>
      <c r="LYG33" s="2"/>
      <c r="LYH33" s="2"/>
      <c r="LYI33" s="2"/>
      <c r="LYJ33" s="2"/>
      <c r="LYK33" s="2"/>
      <c r="LYL33" s="2"/>
      <c r="LYM33" s="2"/>
      <c r="LYN33" s="2"/>
      <c r="LYO33" s="2"/>
      <c r="LYP33" s="2"/>
      <c r="LYQ33" s="2"/>
      <c r="LYR33" s="2"/>
      <c r="LYS33" s="2"/>
      <c r="LYT33" s="2"/>
      <c r="LYU33" s="2"/>
      <c r="LYV33" s="2"/>
      <c r="LYW33" s="2"/>
      <c r="LYX33" s="2"/>
      <c r="LYY33" s="2"/>
      <c r="LYZ33" s="2"/>
      <c r="LZA33" s="2"/>
      <c r="LZB33" s="2"/>
      <c r="LZC33" s="2"/>
      <c r="LZD33" s="2"/>
      <c r="LZE33" s="2"/>
      <c r="LZF33" s="2"/>
      <c r="LZG33" s="2"/>
      <c r="LZH33" s="2"/>
      <c r="LZI33" s="2"/>
      <c r="LZJ33" s="2"/>
      <c r="LZK33" s="2"/>
      <c r="LZL33" s="2"/>
      <c r="LZM33" s="2"/>
      <c r="LZN33" s="2"/>
      <c r="LZO33" s="2"/>
      <c r="LZP33" s="2"/>
      <c r="LZQ33" s="2"/>
      <c r="LZR33" s="2"/>
      <c r="LZS33" s="2"/>
      <c r="LZT33" s="2"/>
      <c r="LZU33" s="2"/>
      <c r="LZV33" s="2"/>
      <c r="LZW33" s="2"/>
      <c r="LZX33" s="2"/>
      <c r="LZY33" s="2"/>
      <c r="LZZ33" s="2"/>
      <c r="MAA33" s="2"/>
      <c r="MAB33" s="2"/>
      <c r="MAC33" s="2"/>
      <c r="MAD33" s="2"/>
      <c r="MAE33" s="2"/>
      <c r="MAF33" s="2"/>
      <c r="MAG33" s="2"/>
      <c r="MAH33" s="2"/>
      <c r="MAI33" s="2"/>
      <c r="MAJ33" s="2"/>
      <c r="MAK33" s="2"/>
      <c r="MAL33" s="2"/>
      <c r="MAM33" s="2"/>
      <c r="MAN33" s="2"/>
      <c r="MAO33" s="2"/>
      <c r="MAP33" s="2"/>
      <c r="MAQ33" s="2"/>
      <c r="MAR33" s="2"/>
      <c r="MAS33" s="2"/>
      <c r="MAT33" s="2"/>
      <c r="MAU33" s="2"/>
      <c r="MAV33" s="2"/>
      <c r="MAW33" s="2"/>
      <c r="MAX33" s="2"/>
      <c r="MAY33" s="2"/>
      <c r="MAZ33" s="2"/>
      <c r="MBA33" s="2"/>
      <c r="MBB33" s="2"/>
      <c r="MBC33" s="2"/>
      <c r="MBD33" s="2"/>
      <c r="MBE33" s="2"/>
      <c r="MBF33" s="2"/>
      <c r="MBG33" s="2"/>
      <c r="MBH33" s="2"/>
      <c r="MBI33" s="2"/>
      <c r="MBJ33" s="2"/>
      <c r="MBK33" s="2"/>
      <c r="MBL33" s="2"/>
      <c r="MBM33" s="2"/>
      <c r="MBN33" s="2"/>
      <c r="MBO33" s="2"/>
      <c r="MBP33" s="2"/>
      <c r="MBQ33" s="2"/>
      <c r="MBR33" s="2"/>
      <c r="MBS33" s="2"/>
      <c r="MBT33" s="2"/>
      <c r="MBU33" s="2"/>
      <c r="MBV33" s="2"/>
      <c r="MBW33" s="2"/>
      <c r="MBX33" s="2"/>
      <c r="MBY33" s="2"/>
      <c r="MBZ33" s="2"/>
      <c r="MCA33" s="2"/>
      <c r="MCB33" s="2"/>
      <c r="MCC33" s="2"/>
      <c r="MCD33" s="2"/>
      <c r="MCE33" s="2"/>
      <c r="MCF33" s="2"/>
      <c r="MCG33" s="2"/>
      <c r="MCH33" s="2"/>
      <c r="MCI33" s="2"/>
      <c r="MCJ33" s="2"/>
      <c r="MCK33" s="2"/>
      <c r="MCL33" s="2"/>
      <c r="MCM33" s="2"/>
      <c r="MCN33" s="2"/>
      <c r="MCO33" s="2"/>
      <c r="MCP33" s="2"/>
      <c r="MCQ33" s="2"/>
      <c r="MCR33" s="2"/>
      <c r="MCS33" s="2"/>
      <c r="MCT33" s="2"/>
      <c r="MCU33" s="2"/>
      <c r="MCV33" s="2"/>
      <c r="MCW33" s="2"/>
      <c r="MCX33" s="2"/>
      <c r="MCY33" s="2"/>
      <c r="MCZ33" s="2"/>
      <c r="MDA33" s="2"/>
      <c r="MDB33" s="2"/>
      <c r="MDC33" s="2"/>
      <c r="MDD33" s="2"/>
      <c r="MDE33" s="2"/>
      <c r="MDF33" s="2"/>
      <c r="MDG33" s="2"/>
      <c r="MDH33" s="2"/>
      <c r="MDI33" s="2"/>
      <c r="MDJ33" s="2"/>
      <c r="MDK33" s="2"/>
      <c r="MDL33" s="2"/>
      <c r="MDM33" s="2"/>
      <c r="MDN33" s="2"/>
      <c r="MDO33" s="2"/>
      <c r="MDP33" s="2"/>
      <c r="MDQ33" s="2"/>
      <c r="MDR33" s="2"/>
      <c r="MDS33" s="2"/>
      <c r="MDT33" s="2"/>
      <c r="MDU33" s="2"/>
      <c r="MDV33" s="2"/>
      <c r="MDW33" s="2"/>
      <c r="MDX33" s="2"/>
      <c r="MDY33" s="2"/>
      <c r="MDZ33" s="2"/>
      <c r="MEA33" s="2"/>
      <c r="MEB33" s="2"/>
      <c r="MEC33" s="2"/>
      <c r="MED33" s="2"/>
      <c r="MEE33" s="2"/>
      <c r="MEF33" s="2"/>
      <c r="MEG33" s="2"/>
      <c r="MEH33" s="2"/>
      <c r="MEI33" s="2"/>
      <c r="MEJ33" s="2"/>
      <c r="MEK33" s="2"/>
      <c r="MEL33" s="2"/>
      <c r="MEM33" s="2"/>
      <c r="MEN33" s="2"/>
      <c r="MEO33" s="2"/>
      <c r="MEP33" s="2"/>
      <c r="MEQ33" s="2"/>
      <c r="MER33" s="2"/>
      <c r="MES33" s="2"/>
      <c r="MET33" s="2"/>
      <c r="MEU33" s="2"/>
      <c r="MEV33" s="2"/>
      <c r="MEW33" s="2"/>
      <c r="MEX33" s="2"/>
      <c r="MEY33" s="2"/>
      <c r="MEZ33" s="2"/>
      <c r="MFA33" s="2"/>
      <c r="MFB33" s="2"/>
      <c r="MFC33" s="2"/>
      <c r="MFD33" s="2"/>
      <c r="MFE33" s="2"/>
      <c r="MFF33" s="2"/>
      <c r="MFG33" s="2"/>
      <c r="MFH33" s="2"/>
      <c r="MFI33" s="2"/>
      <c r="MFJ33" s="2"/>
      <c r="MFK33" s="2"/>
      <c r="MFL33" s="2"/>
      <c r="MFM33" s="2"/>
      <c r="MFN33" s="2"/>
      <c r="MFO33" s="2"/>
      <c r="MFP33" s="2"/>
      <c r="MFQ33" s="2"/>
      <c r="MFR33" s="2"/>
      <c r="MFS33" s="2"/>
      <c r="MFT33" s="2"/>
      <c r="MFU33" s="2"/>
      <c r="MFV33" s="2"/>
      <c r="MFW33" s="2"/>
      <c r="MFX33" s="2"/>
      <c r="MFY33" s="2"/>
      <c r="MFZ33" s="2"/>
      <c r="MGA33" s="2"/>
      <c r="MGB33" s="2"/>
      <c r="MGC33" s="2"/>
      <c r="MGD33" s="2"/>
      <c r="MGE33" s="2"/>
      <c r="MGF33" s="2"/>
      <c r="MGG33" s="2"/>
      <c r="MGH33" s="2"/>
      <c r="MGI33" s="2"/>
      <c r="MGJ33" s="2"/>
      <c r="MGK33" s="2"/>
      <c r="MGL33" s="2"/>
      <c r="MGM33" s="2"/>
      <c r="MGN33" s="2"/>
      <c r="MGO33" s="2"/>
      <c r="MGP33" s="2"/>
      <c r="MGQ33" s="2"/>
      <c r="MGR33" s="2"/>
      <c r="MGS33" s="2"/>
      <c r="MGT33" s="2"/>
      <c r="MGU33" s="2"/>
      <c r="MGV33" s="2"/>
      <c r="MGW33" s="2"/>
      <c r="MGX33" s="2"/>
      <c r="MGY33" s="2"/>
      <c r="MGZ33" s="2"/>
      <c r="MHA33" s="2"/>
      <c r="MHB33" s="2"/>
      <c r="MHC33" s="2"/>
      <c r="MHD33" s="2"/>
      <c r="MHE33" s="2"/>
      <c r="MHF33" s="2"/>
      <c r="MHG33" s="2"/>
      <c r="MHH33" s="2"/>
      <c r="MHI33" s="2"/>
      <c r="MHJ33" s="2"/>
      <c r="MHK33" s="2"/>
      <c r="MHL33" s="2"/>
      <c r="MHM33" s="2"/>
      <c r="MHN33" s="2"/>
      <c r="MHO33" s="2"/>
      <c r="MHP33" s="2"/>
      <c r="MHQ33" s="2"/>
      <c r="MHR33" s="2"/>
      <c r="MHS33" s="2"/>
      <c r="MHT33" s="2"/>
      <c r="MHU33" s="2"/>
      <c r="MHV33" s="2"/>
      <c r="MHW33" s="2"/>
      <c r="MHX33" s="2"/>
      <c r="MHY33" s="2"/>
      <c r="MHZ33" s="2"/>
      <c r="MIA33" s="2"/>
      <c r="MIB33" s="2"/>
      <c r="MIC33" s="2"/>
      <c r="MID33" s="2"/>
      <c r="MIE33" s="2"/>
      <c r="MIF33" s="2"/>
      <c r="MIG33" s="2"/>
      <c r="MIH33" s="2"/>
      <c r="MII33" s="2"/>
      <c r="MIJ33" s="2"/>
      <c r="MIK33" s="2"/>
      <c r="MIL33" s="2"/>
      <c r="MIM33" s="2"/>
      <c r="MIN33" s="2"/>
      <c r="MIO33" s="2"/>
      <c r="MIP33" s="2"/>
      <c r="MIQ33" s="2"/>
      <c r="MIR33" s="2"/>
      <c r="MIS33" s="2"/>
      <c r="MIT33" s="2"/>
      <c r="MIU33" s="2"/>
      <c r="MIV33" s="2"/>
      <c r="MIW33" s="2"/>
      <c r="MIX33" s="2"/>
      <c r="MIY33" s="2"/>
      <c r="MIZ33" s="2"/>
      <c r="MJA33" s="2"/>
      <c r="MJB33" s="2"/>
      <c r="MJC33" s="2"/>
      <c r="MJD33" s="2"/>
      <c r="MJE33" s="2"/>
      <c r="MJF33" s="2"/>
      <c r="MJG33" s="2"/>
      <c r="MJH33" s="2"/>
      <c r="MJI33" s="2"/>
      <c r="MJJ33" s="2"/>
      <c r="MJK33" s="2"/>
      <c r="MJL33" s="2"/>
      <c r="MJM33" s="2"/>
      <c r="MJN33" s="2"/>
      <c r="MJO33" s="2"/>
      <c r="MJP33" s="2"/>
      <c r="MJQ33" s="2"/>
      <c r="MJR33" s="2"/>
      <c r="MJS33" s="2"/>
      <c r="MJT33" s="2"/>
      <c r="MJU33" s="2"/>
      <c r="MJV33" s="2"/>
      <c r="MJW33" s="2"/>
      <c r="MJX33" s="2"/>
      <c r="MJY33" s="2"/>
      <c r="MJZ33" s="2"/>
      <c r="MKA33" s="2"/>
      <c r="MKB33" s="2"/>
      <c r="MKC33" s="2"/>
      <c r="MKD33" s="2"/>
      <c r="MKE33" s="2"/>
      <c r="MKF33" s="2"/>
      <c r="MKG33" s="2"/>
      <c r="MKH33" s="2"/>
      <c r="MKI33" s="2"/>
      <c r="MKJ33" s="2"/>
      <c r="MKK33" s="2"/>
      <c r="MKL33" s="2"/>
      <c r="MKM33" s="2"/>
      <c r="MKN33" s="2"/>
      <c r="MKO33" s="2"/>
      <c r="MKP33" s="2"/>
      <c r="MKQ33" s="2"/>
      <c r="MKR33" s="2"/>
      <c r="MKS33" s="2"/>
      <c r="MKT33" s="2"/>
      <c r="MKU33" s="2"/>
      <c r="MKV33" s="2"/>
      <c r="MKW33" s="2"/>
      <c r="MKX33" s="2"/>
      <c r="MKY33" s="2"/>
      <c r="MKZ33" s="2"/>
      <c r="MLA33" s="2"/>
      <c r="MLB33" s="2"/>
      <c r="MLC33" s="2"/>
      <c r="MLD33" s="2"/>
      <c r="MLE33" s="2"/>
      <c r="MLF33" s="2"/>
      <c r="MLG33" s="2"/>
      <c r="MLH33" s="2"/>
      <c r="MLI33" s="2"/>
      <c r="MLJ33" s="2"/>
      <c r="MLK33" s="2"/>
      <c r="MLL33" s="2"/>
      <c r="MLM33" s="2"/>
      <c r="MLN33" s="2"/>
      <c r="MLO33" s="2"/>
      <c r="MLP33" s="2"/>
      <c r="MLQ33" s="2"/>
      <c r="MLR33" s="2"/>
      <c r="MLS33" s="2"/>
      <c r="MLT33" s="2"/>
      <c r="MLU33" s="2"/>
      <c r="MLV33" s="2"/>
      <c r="MLW33" s="2"/>
      <c r="MLX33" s="2"/>
      <c r="MLY33" s="2"/>
      <c r="MLZ33" s="2"/>
      <c r="MMA33" s="2"/>
      <c r="MMB33" s="2"/>
      <c r="MMC33" s="2"/>
      <c r="MMD33" s="2"/>
      <c r="MME33" s="2"/>
      <c r="MMF33" s="2"/>
      <c r="MMG33" s="2"/>
      <c r="MMH33" s="2"/>
      <c r="MMI33" s="2"/>
      <c r="MMJ33" s="2"/>
      <c r="MMK33" s="2"/>
      <c r="MML33" s="2"/>
      <c r="MMM33" s="2"/>
      <c r="MMN33" s="2"/>
      <c r="MMO33" s="2"/>
      <c r="MMP33" s="2"/>
      <c r="MMQ33" s="2"/>
      <c r="MMR33" s="2"/>
      <c r="MMS33" s="2"/>
      <c r="MMT33" s="2"/>
      <c r="MMU33" s="2"/>
      <c r="MMV33" s="2"/>
      <c r="MMW33" s="2"/>
      <c r="MMX33" s="2"/>
      <c r="MMY33" s="2"/>
      <c r="MMZ33" s="2"/>
      <c r="MNA33" s="2"/>
      <c r="MNB33" s="2"/>
      <c r="MNC33" s="2"/>
      <c r="MND33" s="2"/>
      <c r="MNE33" s="2"/>
      <c r="MNF33" s="2"/>
      <c r="MNG33" s="2"/>
      <c r="MNH33" s="2"/>
      <c r="MNI33" s="2"/>
      <c r="MNJ33" s="2"/>
      <c r="MNK33" s="2"/>
      <c r="MNL33" s="2"/>
      <c r="MNM33" s="2"/>
      <c r="MNN33" s="2"/>
      <c r="MNO33" s="2"/>
      <c r="MNP33" s="2"/>
      <c r="MNQ33" s="2"/>
      <c r="MNR33" s="2"/>
      <c r="MNS33" s="2"/>
      <c r="MNT33" s="2"/>
      <c r="MNU33" s="2"/>
      <c r="MNV33" s="2"/>
      <c r="MNW33" s="2"/>
      <c r="MNX33" s="2"/>
      <c r="MNY33" s="2"/>
      <c r="MNZ33" s="2"/>
      <c r="MOA33" s="2"/>
      <c r="MOB33" s="2"/>
      <c r="MOC33" s="2"/>
      <c r="MOD33" s="2"/>
      <c r="MOE33" s="2"/>
      <c r="MOF33" s="2"/>
      <c r="MOG33" s="2"/>
      <c r="MOH33" s="2"/>
      <c r="MOI33" s="2"/>
      <c r="MOJ33" s="2"/>
      <c r="MOK33" s="2"/>
      <c r="MOL33" s="2"/>
      <c r="MOM33" s="2"/>
      <c r="MON33" s="2"/>
      <c r="MOO33" s="2"/>
      <c r="MOP33" s="2"/>
      <c r="MOQ33" s="2"/>
      <c r="MOR33" s="2"/>
      <c r="MOS33" s="2"/>
      <c r="MOT33" s="2"/>
      <c r="MOU33" s="2"/>
      <c r="MOV33" s="2"/>
      <c r="MOW33" s="2"/>
      <c r="MOX33" s="2"/>
      <c r="MOY33" s="2"/>
      <c r="MOZ33" s="2"/>
      <c r="MPA33" s="2"/>
      <c r="MPB33" s="2"/>
      <c r="MPC33" s="2"/>
      <c r="MPD33" s="2"/>
      <c r="MPE33" s="2"/>
      <c r="MPF33" s="2"/>
      <c r="MPG33" s="2"/>
      <c r="MPH33" s="2"/>
      <c r="MPI33" s="2"/>
      <c r="MPJ33" s="2"/>
      <c r="MPK33" s="2"/>
      <c r="MPL33" s="2"/>
      <c r="MPM33" s="2"/>
      <c r="MPN33" s="2"/>
      <c r="MPO33" s="2"/>
      <c r="MPP33" s="2"/>
      <c r="MPQ33" s="2"/>
      <c r="MPR33" s="2"/>
      <c r="MPS33" s="2"/>
      <c r="MPT33" s="2"/>
      <c r="MPU33" s="2"/>
      <c r="MPV33" s="2"/>
      <c r="MPW33" s="2"/>
      <c r="MPX33" s="2"/>
      <c r="MPY33" s="2"/>
      <c r="MPZ33" s="2"/>
      <c r="MQA33" s="2"/>
      <c r="MQB33" s="2"/>
      <c r="MQC33" s="2"/>
      <c r="MQD33" s="2"/>
      <c r="MQE33" s="2"/>
      <c r="MQF33" s="2"/>
      <c r="MQG33" s="2"/>
      <c r="MQH33" s="2"/>
      <c r="MQI33" s="2"/>
      <c r="MQJ33" s="2"/>
      <c r="MQK33" s="2"/>
      <c r="MQL33" s="2"/>
      <c r="MQM33" s="2"/>
      <c r="MQN33" s="2"/>
      <c r="MQO33" s="2"/>
      <c r="MQP33" s="2"/>
      <c r="MQQ33" s="2"/>
      <c r="MQR33" s="2"/>
      <c r="MQS33" s="2"/>
      <c r="MQT33" s="2"/>
      <c r="MQU33" s="2"/>
      <c r="MQV33" s="2"/>
      <c r="MQW33" s="2"/>
      <c r="MQX33" s="2"/>
      <c r="MQY33" s="2"/>
      <c r="MQZ33" s="2"/>
      <c r="MRA33" s="2"/>
      <c r="MRB33" s="2"/>
      <c r="MRC33" s="2"/>
      <c r="MRD33" s="2"/>
      <c r="MRE33" s="2"/>
      <c r="MRF33" s="2"/>
      <c r="MRG33" s="2"/>
      <c r="MRH33" s="2"/>
      <c r="MRI33" s="2"/>
      <c r="MRJ33" s="2"/>
      <c r="MRK33" s="2"/>
      <c r="MRL33" s="2"/>
      <c r="MRM33" s="2"/>
      <c r="MRN33" s="2"/>
      <c r="MRO33" s="2"/>
      <c r="MRP33" s="2"/>
      <c r="MRQ33" s="2"/>
      <c r="MRR33" s="2"/>
      <c r="MRS33" s="2"/>
      <c r="MRT33" s="2"/>
      <c r="MRU33" s="2"/>
      <c r="MRV33" s="2"/>
      <c r="MRW33" s="2"/>
      <c r="MRX33" s="2"/>
      <c r="MRY33" s="2"/>
      <c r="MRZ33" s="2"/>
      <c r="MSA33" s="2"/>
      <c r="MSB33" s="2"/>
      <c r="MSC33" s="2"/>
      <c r="MSD33" s="2"/>
      <c r="MSE33" s="2"/>
      <c r="MSF33" s="2"/>
      <c r="MSG33" s="2"/>
      <c r="MSH33" s="2"/>
      <c r="MSI33" s="2"/>
      <c r="MSJ33" s="2"/>
      <c r="MSK33" s="2"/>
      <c r="MSL33" s="2"/>
      <c r="MSM33" s="2"/>
      <c r="MSN33" s="2"/>
      <c r="MSO33" s="2"/>
      <c r="MSP33" s="2"/>
      <c r="MSQ33" s="2"/>
      <c r="MSR33" s="2"/>
      <c r="MSS33" s="2"/>
      <c r="MST33" s="2"/>
      <c r="MSU33" s="2"/>
      <c r="MSV33" s="2"/>
      <c r="MSW33" s="2"/>
      <c r="MSX33" s="2"/>
      <c r="MSY33" s="2"/>
      <c r="MSZ33" s="2"/>
      <c r="MTA33" s="2"/>
      <c r="MTB33" s="2"/>
      <c r="MTC33" s="2"/>
      <c r="MTD33" s="2"/>
      <c r="MTE33" s="2"/>
      <c r="MTF33" s="2"/>
      <c r="MTG33" s="2"/>
      <c r="MTH33" s="2"/>
      <c r="MTI33" s="2"/>
      <c r="MTJ33" s="2"/>
      <c r="MTK33" s="2"/>
      <c r="MTL33" s="2"/>
      <c r="MTM33" s="2"/>
      <c r="MTN33" s="2"/>
      <c r="MTO33" s="2"/>
      <c r="MTP33" s="2"/>
      <c r="MTQ33" s="2"/>
      <c r="MTR33" s="2"/>
      <c r="MTS33" s="2"/>
      <c r="MTT33" s="2"/>
      <c r="MTU33" s="2"/>
      <c r="MTV33" s="2"/>
      <c r="MTW33" s="2"/>
      <c r="MTX33" s="2"/>
      <c r="MTY33" s="2"/>
      <c r="MTZ33" s="2"/>
      <c r="MUA33" s="2"/>
      <c r="MUB33" s="2"/>
      <c r="MUC33" s="2"/>
      <c r="MUD33" s="2"/>
      <c r="MUE33" s="2"/>
      <c r="MUF33" s="2"/>
      <c r="MUG33" s="2"/>
      <c r="MUH33" s="2"/>
      <c r="MUI33" s="2"/>
      <c r="MUJ33" s="2"/>
      <c r="MUK33" s="2"/>
      <c r="MUL33" s="2"/>
      <c r="MUM33" s="2"/>
      <c r="MUN33" s="2"/>
      <c r="MUO33" s="2"/>
      <c r="MUP33" s="2"/>
      <c r="MUQ33" s="2"/>
      <c r="MUR33" s="2"/>
      <c r="MUS33" s="2"/>
      <c r="MUT33" s="2"/>
      <c r="MUU33" s="2"/>
      <c r="MUV33" s="2"/>
      <c r="MUW33" s="2"/>
      <c r="MUX33" s="2"/>
      <c r="MUY33" s="2"/>
      <c r="MUZ33" s="2"/>
      <c r="MVA33" s="2"/>
      <c r="MVB33" s="2"/>
      <c r="MVC33" s="2"/>
      <c r="MVD33" s="2"/>
      <c r="MVE33" s="2"/>
      <c r="MVF33" s="2"/>
      <c r="MVG33" s="2"/>
      <c r="MVH33" s="2"/>
      <c r="MVI33" s="2"/>
      <c r="MVJ33" s="2"/>
      <c r="MVK33" s="2"/>
      <c r="MVL33" s="2"/>
      <c r="MVM33" s="2"/>
      <c r="MVN33" s="2"/>
      <c r="MVO33" s="2"/>
      <c r="MVP33" s="2"/>
      <c r="MVQ33" s="2"/>
      <c r="MVR33" s="2"/>
      <c r="MVS33" s="2"/>
      <c r="MVT33" s="2"/>
      <c r="MVU33" s="2"/>
      <c r="MVV33" s="2"/>
      <c r="MVW33" s="2"/>
      <c r="MVX33" s="2"/>
      <c r="MVY33" s="2"/>
      <c r="MVZ33" s="2"/>
      <c r="MWA33" s="2"/>
      <c r="MWB33" s="2"/>
      <c r="MWC33" s="2"/>
      <c r="MWD33" s="2"/>
      <c r="MWE33" s="2"/>
      <c r="MWF33" s="2"/>
      <c r="MWG33" s="2"/>
      <c r="MWH33" s="2"/>
      <c r="MWI33" s="2"/>
      <c r="MWJ33" s="2"/>
      <c r="MWK33" s="2"/>
      <c r="MWL33" s="2"/>
      <c r="MWM33" s="2"/>
      <c r="MWN33" s="2"/>
      <c r="MWO33" s="2"/>
      <c r="MWP33" s="2"/>
      <c r="MWQ33" s="2"/>
      <c r="MWR33" s="2"/>
      <c r="MWS33" s="2"/>
      <c r="MWT33" s="2"/>
      <c r="MWU33" s="2"/>
      <c r="MWV33" s="2"/>
      <c r="MWW33" s="2"/>
      <c r="MWX33" s="2"/>
      <c r="MWY33" s="2"/>
      <c r="MWZ33" s="2"/>
      <c r="MXA33" s="2"/>
      <c r="MXB33" s="2"/>
      <c r="MXC33" s="2"/>
      <c r="MXD33" s="2"/>
      <c r="MXE33" s="2"/>
      <c r="MXF33" s="2"/>
      <c r="MXG33" s="2"/>
      <c r="MXH33" s="2"/>
      <c r="MXI33" s="2"/>
      <c r="MXJ33" s="2"/>
      <c r="MXK33" s="2"/>
      <c r="MXL33" s="2"/>
      <c r="MXM33" s="2"/>
      <c r="MXN33" s="2"/>
      <c r="MXO33" s="2"/>
      <c r="MXP33" s="2"/>
      <c r="MXQ33" s="2"/>
      <c r="MXR33" s="2"/>
      <c r="MXS33" s="2"/>
      <c r="MXT33" s="2"/>
      <c r="MXU33" s="2"/>
      <c r="MXV33" s="2"/>
      <c r="MXW33" s="2"/>
      <c r="MXX33" s="2"/>
      <c r="MXY33" s="2"/>
      <c r="MXZ33" s="2"/>
      <c r="MYA33" s="2"/>
      <c r="MYB33" s="2"/>
      <c r="MYC33" s="2"/>
      <c r="MYD33" s="2"/>
      <c r="MYE33" s="2"/>
      <c r="MYF33" s="2"/>
      <c r="MYG33" s="2"/>
      <c r="MYH33" s="2"/>
      <c r="MYI33" s="2"/>
      <c r="MYJ33" s="2"/>
      <c r="MYK33" s="2"/>
      <c r="MYL33" s="2"/>
      <c r="MYM33" s="2"/>
      <c r="MYN33" s="2"/>
      <c r="MYO33" s="2"/>
      <c r="MYP33" s="2"/>
      <c r="MYQ33" s="2"/>
      <c r="MYR33" s="2"/>
      <c r="MYS33" s="2"/>
      <c r="MYT33" s="2"/>
      <c r="MYU33" s="2"/>
      <c r="MYV33" s="2"/>
      <c r="MYW33" s="2"/>
      <c r="MYX33" s="2"/>
      <c r="MYY33" s="2"/>
      <c r="MYZ33" s="2"/>
      <c r="MZA33" s="2"/>
      <c r="MZB33" s="2"/>
      <c r="MZC33" s="2"/>
      <c r="MZD33" s="2"/>
      <c r="MZE33" s="2"/>
      <c r="MZF33" s="2"/>
      <c r="MZG33" s="2"/>
      <c r="MZH33" s="2"/>
      <c r="MZI33" s="2"/>
      <c r="MZJ33" s="2"/>
      <c r="MZK33" s="2"/>
      <c r="MZL33" s="2"/>
      <c r="MZM33" s="2"/>
      <c r="MZN33" s="2"/>
      <c r="MZO33" s="2"/>
      <c r="MZP33" s="2"/>
      <c r="MZQ33" s="2"/>
      <c r="MZR33" s="2"/>
      <c r="MZS33" s="2"/>
      <c r="MZT33" s="2"/>
      <c r="MZU33" s="2"/>
      <c r="MZV33" s="2"/>
      <c r="MZW33" s="2"/>
      <c r="MZX33" s="2"/>
      <c r="MZY33" s="2"/>
      <c r="MZZ33" s="2"/>
      <c r="NAA33" s="2"/>
      <c r="NAB33" s="2"/>
      <c r="NAC33" s="2"/>
      <c r="NAD33" s="2"/>
      <c r="NAE33" s="2"/>
      <c r="NAF33" s="2"/>
      <c r="NAG33" s="2"/>
      <c r="NAH33" s="2"/>
      <c r="NAI33" s="2"/>
      <c r="NAJ33" s="2"/>
      <c r="NAK33" s="2"/>
      <c r="NAL33" s="2"/>
      <c r="NAM33" s="2"/>
      <c r="NAN33" s="2"/>
      <c r="NAO33" s="2"/>
      <c r="NAP33" s="2"/>
      <c r="NAQ33" s="2"/>
      <c r="NAR33" s="2"/>
      <c r="NAS33" s="2"/>
      <c r="NAT33" s="2"/>
      <c r="NAU33" s="2"/>
      <c r="NAV33" s="2"/>
      <c r="NAW33" s="2"/>
      <c r="NAX33" s="2"/>
      <c r="NAY33" s="2"/>
      <c r="NAZ33" s="2"/>
      <c r="NBA33" s="2"/>
      <c r="NBB33" s="2"/>
      <c r="NBC33" s="2"/>
      <c r="NBD33" s="2"/>
      <c r="NBE33" s="2"/>
      <c r="NBF33" s="2"/>
      <c r="NBG33" s="2"/>
      <c r="NBH33" s="2"/>
      <c r="NBI33" s="2"/>
      <c r="NBJ33" s="2"/>
      <c r="NBK33" s="2"/>
      <c r="NBL33" s="2"/>
      <c r="NBM33" s="2"/>
      <c r="NBN33" s="2"/>
      <c r="NBO33" s="2"/>
      <c r="NBP33" s="2"/>
      <c r="NBQ33" s="2"/>
      <c r="NBR33" s="2"/>
      <c r="NBS33" s="2"/>
      <c r="NBT33" s="2"/>
      <c r="NBU33" s="2"/>
      <c r="NBV33" s="2"/>
      <c r="NBW33" s="2"/>
      <c r="NBX33" s="2"/>
      <c r="NBY33" s="2"/>
      <c r="NBZ33" s="2"/>
      <c r="NCA33" s="2"/>
      <c r="NCB33" s="2"/>
      <c r="NCC33" s="2"/>
      <c r="NCD33" s="2"/>
      <c r="NCE33" s="2"/>
      <c r="NCF33" s="2"/>
      <c r="NCG33" s="2"/>
      <c r="NCH33" s="2"/>
      <c r="NCI33" s="2"/>
      <c r="NCJ33" s="2"/>
      <c r="NCK33" s="2"/>
      <c r="NCL33" s="2"/>
      <c r="NCM33" s="2"/>
      <c r="NCN33" s="2"/>
      <c r="NCO33" s="2"/>
      <c r="NCP33" s="2"/>
      <c r="NCQ33" s="2"/>
      <c r="NCR33" s="2"/>
      <c r="NCS33" s="2"/>
      <c r="NCT33" s="2"/>
      <c r="NCU33" s="2"/>
      <c r="NCV33" s="2"/>
      <c r="NCW33" s="2"/>
      <c r="NCX33" s="2"/>
      <c r="NCY33" s="2"/>
      <c r="NCZ33" s="2"/>
      <c r="NDA33" s="2"/>
      <c r="NDB33" s="2"/>
      <c r="NDC33" s="2"/>
      <c r="NDD33" s="2"/>
      <c r="NDE33" s="2"/>
      <c r="NDF33" s="2"/>
      <c r="NDG33" s="2"/>
      <c r="NDH33" s="2"/>
      <c r="NDI33" s="2"/>
      <c r="NDJ33" s="2"/>
      <c r="NDK33" s="2"/>
      <c r="NDL33" s="2"/>
      <c r="NDM33" s="2"/>
      <c r="NDN33" s="2"/>
      <c r="NDO33" s="2"/>
      <c r="NDP33" s="2"/>
      <c r="NDQ33" s="2"/>
      <c r="NDR33" s="2"/>
      <c r="NDS33" s="2"/>
      <c r="NDT33" s="2"/>
      <c r="NDU33" s="2"/>
      <c r="NDV33" s="2"/>
      <c r="NDW33" s="2"/>
      <c r="NDX33" s="2"/>
      <c r="NDY33" s="2"/>
      <c r="NDZ33" s="2"/>
      <c r="NEA33" s="2"/>
      <c r="NEB33" s="2"/>
      <c r="NEC33" s="2"/>
      <c r="NED33" s="2"/>
      <c r="NEE33" s="2"/>
      <c r="NEF33" s="2"/>
      <c r="NEG33" s="2"/>
      <c r="NEH33" s="2"/>
      <c r="NEI33" s="2"/>
      <c r="NEJ33" s="2"/>
      <c r="NEK33" s="2"/>
      <c r="NEL33" s="2"/>
      <c r="NEM33" s="2"/>
      <c r="NEN33" s="2"/>
      <c r="NEO33" s="2"/>
      <c r="NEP33" s="2"/>
      <c r="NEQ33" s="2"/>
      <c r="NER33" s="2"/>
      <c r="NES33" s="2"/>
      <c r="NET33" s="2"/>
      <c r="NEU33" s="2"/>
      <c r="NEV33" s="2"/>
      <c r="NEW33" s="2"/>
      <c r="NEX33" s="2"/>
      <c r="NEY33" s="2"/>
      <c r="NEZ33" s="2"/>
      <c r="NFA33" s="2"/>
      <c r="NFB33" s="2"/>
      <c r="NFC33" s="2"/>
      <c r="NFD33" s="2"/>
      <c r="NFE33" s="2"/>
      <c r="NFF33" s="2"/>
      <c r="NFG33" s="2"/>
      <c r="NFH33" s="2"/>
      <c r="NFI33" s="2"/>
      <c r="NFJ33" s="2"/>
      <c r="NFK33" s="2"/>
      <c r="NFL33" s="2"/>
      <c r="NFM33" s="2"/>
      <c r="NFN33" s="2"/>
      <c r="NFO33" s="2"/>
      <c r="NFP33" s="2"/>
      <c r="NFQ33" s="2"/>
      <c r="NFR33" s="2"/>
      <c r="NFS33" s="2"/>
      <c r="NFT33" s="2"/>
      <c r="NFU33" s="2"/>
      <c r="NFV33" s="2"/>
      <c r="NFW33" s="2"/>
      <c r="NFX33" s="2"/>
      <c r="NFY33" s="2"/>
      <c r="NFZ33" s="2"/>
      <c r="NGA33" s="2"/>
      <c r="NGB33" s="2"/>
      <c r="NGC33" s="2"/>
      <c r="NGD33" s="2"/>
      <c r="NGE33" s="2"/>
      <c r="NGF33" s="2"/>
      <c r="NGG33" s="2"/>
      <c r="NGH33" s="2"/>
      <c r="NGI33" s="2"/>
      <c r="NGJ33" s="2"/>
      <c r="NGK33" s="2"/>
      <c r="NGL33" s="2"/>
      <c r="NGM33" s="2"/>
      <c r="NGN33" s="2"/>
      <c r="NGO33" s="2"/>
      <c r="NGP33" s="2"/>
      <c r="NGQ33" s="2"/>
      <c r="NGR33" s="2"/>
      <c r="NGS33" s="2"/>
      <c r="NGT33" s="2"/>
      <c r="NGU33" s="2"/>
      <c r="NGV33" s="2"/>
      <c r="NGW33" s="2"/>
      <c r="NGX33" s="2"/>
      <c r="NGY33" s="2"/>
      <c r="NGZ33" s="2"/>
      <c r="NHA33" s="2"/>
      <c r="NHB33" s="2"/>
      <c r="NHC33" s="2"/>
      <c r="NHD33" s="2"/>
      <c r="NHE33" s="2"/>
      <c r="NHF33" s="2"/>
      <c r="NHG33" s="2"/>
      <c r="NHH33" s="2"/>
      <c r="NHI33" s="2"/>
      <c r="NHJ33" s="2"/>
      <c r="NHK33" s="2"/>
      <c r="NHL33" s="2"/>
      <c r="NHM33" s="2"/>
      <c r="NHN33" s="2"/>
      <c r="NHO33" s="2"/>
      <c r="NHP33" s="2"/>
      <c r="NHQ33" s="2"/>
      <c r="NHR33" s="2"/>
      <c r="NHS33" s="2"/>
      <c r="NHT33" s="2"/>
      <c r="NHU33" s="2"/>
      <c r="NHV33" s="2"/>
      <c r="NHW33" s="2"/>
      <c r="NHX33" s="2"/>
      <c r="NHY33" s="2"/>
      <c r="NHZ33" s="2"/>
      <c r="NIA33" s="2"/>
      <c r="NIB33" s="2"/>
      <c r="NIC33" s="2"/>
      <c r="NID33" s="2"/>
      <c r="NIE33" s="2"/>
      <c r="NIF33" s="2"/>
      <c r="NIG33" s="2"/>
      <c r="NIH33" s="2"/>
      <c r="NII33" s="2"/>
      <c r="NIJ33" s="2"/>
      <c r="NIK33" s="2"/>
      <c r="NIL33" s="2"/>
      <c r="NIM33" s="2"/>
      <c r="NIN33" s="2"/>
      <c r="NIO33" s="2"/>
      <c r="NIP33" s="2"/>
      <c r="NIQ33" s="2"/>
      <c r="NIR33" s="2"/>
      <c r="NIS33" s="2"/>
      <c r="NIT33" s="2"/>
      <c r="NIU33" s="2"/>
      <c r="NIV33" s="2"/>
      <c r="NIW33" s="2"/>
      <c r="NIX33" s="2"/>
      <c r="NIY33" s="2"/>
      <c r="NIZ33" s="2"/>
      <c r="NJA33" s="2"/>
      <c r="NJB33" s="2"/>
      <c r="NJC33" s="2"/>
      <c r="NJD33" s="2"/>
      <c r="NJE33" s="2"/>
      <c r="NJF33" s="2"/>
      <c r="NJG33" s="2"/>
      <c r="NJH33" s="2"/>
      <c r="NJI33" s="2"/>
      <c r="NJJ33" s="2"/>
      <c r="NJK33" s="2"/>
      <c r="NJL33" s="2"/>
      <c r="NJM33" s="2"/>
      <c r="NJN33" s="2"/>
      <c r="NJO33" s="2"/>
      <c r="NJP33" s="2"/>
      <c r="NJQ33" s="2"/>
      <c r="NJR33" s="2"/>
      <c r="NJS33" s="2"/>
      <c r="NJT33" s="2"/>
      <c r="NJU33" s="2"/>
      <c r="NJV33" s="2"/>
      <c r="NJW33" s="2"/>
      <c r="NJX33" s="2"/>
      <c r="NJY33" s="2"/>
      <c r="NJZ33" s="2"/>
      <c r="NKA33" s="2"/>
      <c r="NKB33" s="2"/>
      <c r="NKC33" s="2"/>
      <c r="NKD33" s="2"/>
      <c r="NKE33" s="2"/>
      <c r="NKF33" s="2"/>
      <c r="NKG33" s="2"/>
      <c r="NKH33" s="2"/>
      <c r="NKI33" s="2"/>
      <c r="NKJ33" s="2"/>
      <c r="NKK33" s="2"/>
      <c r="NKL33" s="2"/>
      <c r="NKM33" s="2"/>
      <c r="NKN33" s="2"/>
      <c r="NKO33" s="2"/>
      <c r="NKP33" s="2"/>
      <c r="NKQ33" s="2"/>
      <c r="NKR33" s="2"/>
      <c r="NKS33" s="2"/>
      <c r="NKT33" s="2"/>
      <c r="NKU33" s="2"/>
      <c r="NKV33" s="2"/>
      <c r="NKW33" s="2"/>
      <c r="NKX33" s="2"/>
      <c r="NKY33" s="2"/>
      <c r="NKZ33" s="2"/>
      <c r="NLA33" s="2"/>
      <c r="NLB33" s="2"/>
      <c r="NLC33" s="2"/>
      <c r="NLD33" s="2"/>
      <c r="NLE33" s="2"/>
      <c r="NLF33" s="2"/>
      <c r="NLG33" s="2"/>
      <c r="NLH33" s="2"/>
      <c r="NLI33" s="2"/>
      <c r="NLJ33" s="2"/>
      <c r="NLK33" s="2"/>
      <c r="NLL33" s="2"/>
      <c r="NLM33" s="2"/>
      <c r="NLN33" s="2"/>
      <c r="NLO33" s="2"/>
      <c r="NLP33" s="2"/>
      <c r="NLQ33" s="2"/>
      <c r="NLR33" s="2"/>
      <c r="NLS33" s="2"/>
      <c r="NLT33" s="2"/>
      <c r="NLU33" s="2"/>
      <c r="NLV33" s="2"/>
      <c r="NLW33" s="2"/>
      <c r="NLX33" s="2"/>
      <c r="NLY33" s="2"/>
      <c r="NLZ33" s="2"/>
      <c r="NMA33" s="2"/>
      <c r="NMB33" s="2"/>
      <c r="NMC33" s="2"/>
      <c r="NMD33" s="2"/>
      <c r="NME33" s="2"/>
      <c r="NMF33" s="2"/>
      <c r="NMG33" s="2"/>
      <c r="NMH33" s="2"/>
      <c r="NMI33" s="2"/>
      <c r="NMJ33" s="2"/>
      <c r="NMK33" s="2"/>
      <c r="NML33" s="2"/>
      <c r="NMM33" s="2"/>
      <c r="NMN33" s="2"/>
      <c r="NMO33" s="2"/>
      <c r="NMP33" s="2"/>
      <c r="NMQ33" s="2"/>
      <c r="NMR33" s="2"/>
      <c r="NMS33" s="2"/>
      <c r="NMT33" s="2"/>
      <c r="NMU33" s="2"/>
      <c r="NMV33" s="2"/>
      <c r="NMW33" s="2"/>
      <c r="NMX33" s="2"/>
      <c r="NMY33" s="2"/>
      <c r="NMZ33" s="2"/>
      <c r="NNA33" s="2"/>
      <c r="NNB33" s="2"/>
      <c r="NNC33" s="2"/>
      <c r="NND33" s="2"/>
      <c r="NNE33" s="2"/>
      <c r="NNF33" s="2"/>
      <c r="NNG33" s="2"/>
      <c r="NNH33" s="2"/>
      <c r="NNI33" s="2"/>
      <c r="NNJ33" s="2"/>
      <c r="NNK33" s="2"/>
      <c r="NNL33" s="2"/>
      <c r="NNM33" s="2"/>
      <c r="NNN33" s="2"/>
      <c r="NNO33" s="2"/>
      <c r="NNP33" s="2"/>
      <c r="NNQ33" s="2"/>
      <c r="NNR33" s="2"/>
      <c r="NNS33" s="2"/>
      <c r="NNT33" s="2"/>
      <c r="NNU33" s="2"/>
      <c r="NNV33" s="2"/>
      <c r="NNW33" s="2"/>
      <c r="NNX33" s="2"/>
      <c r="NNY33" s="2"/>
      <c r="NNZ33" s="2"/>
      <c r="NOA33" s="2"/>
      <c r="NOB33" s="2"/>
      <c r="NOC33" s="2"/>
      <c r="NOD33" s="2"/>
      <c r="NOE33" s="2"/>
      <c r="NOF33" s="2"/>
      <c r="NOG33" s="2"/>
      <c r="NOH33" s="2"/>
      <c r="NOI33" s="2"/>
      <c r="NOJ33" s="2"/>
      <c r="NOK33" s="2"/>
      <c r="NOL33" s="2"/>
      <c r="NOM33" s="2"/>
      <c r="NON33" s="2"/>
      <c r="NOO33" s="2"/>
      <c r="NOP33" s="2"/>
      <c r="NOQ33" s="2"/>
      <c r="NOR33" s="2"/>
      <c r="NOS33" s="2"/>
      <c r="NOT33" s="2"/>
      <c r="NOU33" s="2"/>
      <c r="NOV33" s="2"/>
      <c r="NOW33" s="2"/>
      <c r="NOX33" s="2"/>
      <c r="NOY33" s="2"/>
      <c r="NOZ33" s="2"/>
      <c r="NPA33" s="2"/>
      <c r="NPB33" s="2"/>
      <c r="NPC33" s="2"/>
      <c r="NPD33" s="2"/>
      <c r="NPE33" s="2"/>
      <c r="NPF33" s="2"/>
      <c r="NPG33" s="2"/>
      <c r="NPH33" s="2"/>
      <c r="NPI33" s="2"/>
      <c r="NPJ33" s="2"/>
      <c r="NPK33" s="2"/>
      <c r="NPL33" s="2"/>
      <c r="NPM33" s="2"/>
      <c r="NPN33" s="2"/>
      <c r="NPO33" s="2"/>
      <c r="NPP33" s="2"/>
      <c r="NPQ33" s="2"/>
      <c r="NPR33" s="2"/>
      <c r="NPS33" s="2"/>
      <c r="NPT33" s="2"/>
      <c r="NPU33" s="2"/>
      <c r="NPV33" s="2"/>
      <c r="NPW33" s="2"/>
      <c r="NPX33" s="2"/>
      <c r="NPY33" s="2"/>
      <c r="NPZ33" s="2"/>
      <c r="NQA33" s="2"/>
      <c r="NQB33" s="2"/>
      <c r="NQC33" s="2"/>
      <c r="NQD33" s="2"/>
      <c r="NQE33" s="2"/>
      <c r="NQF33" s="2"/>
      <c r="NQG33" s="2"/>
      <c r="NQH33" s="2"/>
      <c r="NQI33" s="2"/>
      <c r="NQJ33" s="2"/>
      <c r="NQK33" s="2"/>
      <c r="NQL33" s="2"/>
      <c r="NQM33" s="2"/>
      <c r="NQN33" s="2"/>
      <c r="NQO33" s="2"/>
      <c r="NQP33" s="2"/>
      <c r="NQQ33" s="2"/>
      <c r="NQR33" s="2"/>
      <c r="NQS33" s="2"/>
      <c r="NQT33" s="2"/>
      <c r="NQU33" s="2"/>
      <c r="NQV33" s="2"/>
      <c r="NQW33" s="2"/>
      <c r="NQX33" s="2"/>
      <c r="NQY33" s="2"/>
      <c r="NQZ33" s="2"/>
      <c r="NRA33" s="2"/>
      <c r="NRB33" s="2"/>
      <c r="NRC33" s="2"/>
      <c r="NRD33" s="2"/>
      <c r="NRE33" s="2"/>
      <c r="NRF33" s="2"/>
      <c r="NRG33" s="2"/>
      <c r="NRH33" s="2"/>
      <c r="NRI33" s="2"/>
      <c r="NRJ33" s="2"/>
      <c r="NRK33" s="2"/>
      <c r="NRL33" s="2"/>
      <c r="NRM33" s="2"/>
      <c r="NRN33" s="2"/>
      <c r="NRO33" s="2"/>
      <c r="NRP33" s="2"/>
      <c r="NRQ33" s="2"/>
      <c r="NRR33" s="2"/>
      <c r="NRS33" s="2"/>
      <c r="NRT33" s="2"/>
      <c r="NRU33" s="2"/>
      <c r="NRV33" s="2"/>
      <c r="NRW33" s="2"/>
      <c r="NRX33" s="2"/>
      <c r="NRY33" s="2"/>
      <c r="NRZ33" s="2"/>
      <c r="NSA33" s="2"/>
      <c r="NSB33" s="2"/>
      <c r="NSC33" s="2"/>
      <c r="NSD33" s="2"/>
      <c r="NSE33" s="2"/>
      <c r="NSF33" s="2"/>
      <c r="NSG33" s="2"/>
      <c r="NSH33" s="2"/>
      <c r="NSI33" s="2"/>
      <c r="NSJ33" s="2"/>
      <c r="NSK33" s="2"/>
      <c r="NSL33" s="2"/>
      <c r="NSM33" s="2"/>
      <c r="NSN33" s="2"/>
      <c r="NSO33" s="2"/>
      <c r="NSP33" s="2"/>
      <c r="NSQ33" s="2"/>
      <c r="NSR33" s="2"/>
      <c r="NSS33" s="2"/>
      <c r="NST33" s="2"/>
      <c r="NSU33" s="2"/>
      <c r="NSV33" s="2"/>
      <c r="NSW33" s="2"/>
      <c r="NSX33" s="2"/>
      <c r="NSY33" s="2"/>
      <c r="NSZ33" s="2"/>
      <c r="NTA33" s="2"/>
      <c r="NTB33" s="2"/>
      <c r="NTC33" s="2"/>
      <c r="NTD33" s="2"/>
      <c r="NTE33" s="2"/>
      <c r="NTF33" s="2"/>
      <c r="NTG33" s="2"/>
      <c r="NTH33" s="2"/>
      <c r="NTI33" s="2"/>
      <c r="NTJ33" s="2"/>
      <c r="NTK33" s="2"/>
      <c r="NTL33" s="2"/>
      <c r="NTM33" s="2"/>
      <c r="NTN33" s="2"/>
      <c r="NTO33" s="2"/>
      <c r="NTP33" s="2"/>
      <c r="NTQ33" s="2"/>
      <c r="NTR33" s="2"/>
      <c r="NTS33" s="2"/>
      <c r="NTT33" s="2"/>
      <c r="NTU33" s="2"/>
      <c r="NTV33" s="2"/>
      <c r="NTW33" s="2"/>
      <c r="NTX33" s="2"/>
      <c r="NTY33" s="2"/>
      <c r="NTZ33" s="2"/>
      <c r="NUA33" s="2"/>
      <c r="NUB33" s="2"/>
      <c r="NUC33" s="2"/>
      <c r="NUD33" s="2"/>
      <c r="NUE33" s="2"/>
      <c r="NUF33" s="2"/>
      <c r="NUG33" s="2"/>
      <c r="NUH33" s="2"/>
      <c r="NUI33" s="2"/>
      <c r="NUJ33" s="2"/>
      <c r="NUK33" s="2"/>
      <c r="NUL33" s="2"/>
      <c r="NUM33" s="2"/>
      <c r="NUN33" s="2"/>
      <c r="NUO33" s="2"/>
      <c r="NUP33" s="2"/>
      <c r="NUQ33" s="2"/>
      <c r="NUR33" s="2"/>
      <c r="NUS33" s="2"/>
      <c r="NUT33" s="2"/>
      <c r="NUU33" s="2"/>
      <c r="NUV33" s="2"/>
      <c r="NUW33" s="2"/>
      <c r="NUX33" s="2"/>
      <c r="NUY33" s="2"/>
      <c r="NUZ33" s="2"/>
      <c r="NVA33" s="2"/>
      <c r="NVB33" s="2"/>
      <c r="NVC33" s="2"/>
      <c r="NVD33" s="2"/>
      <c r="NVE33" s="2"/>
      <c r="NVF33" s="2"/>
      <c r="NVG33" s="2"/>
      <c r="NVH33" s="2"/>
      <c r="NVI33" s="2"/>
      <c r="NVJ33" s="2"/>
      <c r="NVK33" s="2"/>
      <c r="NVL33" s="2"/>
      <c r="NVM33" s="2"/>
      <c r="NVN33" s="2"/>
      <c r="NVO33" s="2"/>
      <c r="NVP33" s="2"/>
      <c r="NVQ33" s="2"/>
      <c r="NVR33" s="2"/>
      <c r="NVS33" s="2"/>
      <c r="NVT33" s="2"/>
      <c r="NVU33" s="2"/>
      <c r="NVV33" s="2"/>
      <c r="NVW33" s="2"/>
      <c r="NVX33" s="2"/>
      <c r="NVY33" s="2"/>
      <c r="NVZ33" s="2"/>
      <c r="NWA33" s="2"/>
      <c r="NWB33" s="2"/>
      <c r="NWC33" s="2"/>
      <c r="NWD33" s="2"/>
      <c r="NWE33" s="2"/>
      <c r="NWF33" s="2"/>
      <c r="NWG33" s="2"/>
      <c r="NWH33" s="2"/>
      <c r="NWI33" s="2"/>
      <c r="NWJ33" s="2"/>
      <c r="NWK33" s="2"/>
      <c r="NWL33" s="2"/>
      <c r="NWM33" s="2"/>
      <c r="NWN33" s="2"/>
      <c r="NWO33" s="2"/>
      <c r="NWP33" s="2"/>
      <c r="NWQ33" s="2"/>
      <c r="NWR33" s="2"/>
      <c r="NWS33" s="2"/>
      <c r="NWT33" s="2"/>
      <c r="NWU33" s="2"/>
      <c r="NWV33" s="2"/>
      <c r="NWW33" s="2"/>
      <c r="NWX33" s="2"/>
      <c r="NWY33" s="2"/>
      <c r="NWZ33" s="2"/>
      <c r="NXA33" s="2"/>
      <c r="NXB33" s="2"/>
      <c r="NXC33" s="2"/>
      <c r="NXD33" s="2"/>
      <c r="NXE33" s="2"/>
      <c r="NXF33" s="2"/>
      <c r="NXG33" s="2"/>
      <c r="NXH33" s="2"/>
      <c r="NXI33" s="2"/>
      <c r="NXJ33" s="2"/>
      <c r="NXK33" s="2"/>
      <c r="NXL33" s="2"/>
      <c r="NXM33" s="2"/>
      <c r="NXN33" s="2"/>
      <c r="NXO33" s="2"/>
      <c r="NXP33" s="2"/>
      <c r="NXQ33" s="2"/>
      <c r="NXR33" s="2"/>
      <c r="NXS33" s="2"/>
      <c r="NXT33" s="2"/>
      <c r="NXU33" s="2"/>
      <c r="NXV33" s="2"/>
      <c r="NXW33" s="2"/>
      <c r="NXX33" s="2"/>
      <c r="NXY33" s="2"/>
      <c r="NXZ33" s="2"/>
      <c r="NYA33" s="2"/>
      <c r="NYB33" s="2"/>
      <c r="NYC33" s="2"/>
      <c r="NYD33" s="2"/>
      <c r="NYE33" s="2"/>
      <c r="NYF33" s="2"/>
      <c r="NYG33" s="2"/>
      <c r="NYH33" s="2"/>
      <c r="NYI33" s="2"/>
      <c r="NYJ33" s="2"/>
      <c r="NYK33" s="2"/>
      <c r="NYL33" s="2"/>
      <c r="NYM33" s="2"/>
      <c r="NYN33" s="2"/>
      <c r="NYO33" s="2"/>
      <c r="NYP33" s="2"/>
      <c r="NYQ33" s="2"/>
      <c r="NYR33" s="2"/>
      <c r="NYS33" s="2"/>
      <c r="NYT33" s="2"/>
      <c r="NYU33" s="2"/>
      <c r="NYV33" s="2"/>
      <c r="NYW33" s="2"/>
      <c r="NYX33" s="2"/>
      <c r="NYY33" s="2"/>
      <c r="NYZ33" s="2"/>
      <c r="NZA33" s="2"/>
      <c r="NZB33" s="2"/>
      <c r="NZC33" s="2"/>
      <c r="NZD33" s="2"/>
      <c r="NZE33" s="2"/>
      <c r="NZF33" s="2"/>
      <c r="NZG33" s="2"/>
      <c r="NZH33" s="2"/>
      <c r="NZI33" s="2"/>
      <c r="NZJ33" s="2"/>
      <c r="NZK33" s="2"/>
      <c r="NZL33" s="2"/>
      <c r="NZM33" s="2"/>
      <c r="NZN33" s="2"/>
      <c r="NZO33" s="2"/>
      <c r="NZP33" s="2"/>
      <c r="NZQ33" s="2"/>
      <c r="NZR33" s="2"/>
      <c r="NZS33" s="2"/>
      <c r="NZT33" s="2"/>
      <c r="NZU33" s="2"/>
      <c r="NZV33" s="2"/>
      <c r="NZW33" s="2"/>
      <c r="NZX33" s="2"/>
      <c r="NZY33" s="2"/>
      <c r="NZZ33" s="2"/>
      <c r="OAA33" s="2"/>
      <c r="OAB33" s="2"/>
      <c r="OAC33" s="2"/>
      <c r="OAD33" s="2"/>
      <c r="OAE33" s="2"/>
      <c r="OAF33" s="2"/>
      <c r="OAG33" s="2"/>
      <c r="OAH33" s="2"/>
      <c r="OAI33" s="2"/>
      <c r="OAJ33" s="2"/>
      <c r="OAK33" s="2"/>
      <c r="OAL33" s="2"/>
      <c r="OAM33" s="2"/>
      <c r="OAN33" s="2"/>
      <c r="OAO33" s="2"/>
      <c r="OAP33" s="2"/>
      <c r="OAQ33" s="2"/>
      <c r="OAR33" s="2"/>
      <c r="OAS33" s="2"/>
      <c r="OAT33" s="2"/>
      <c r="OAU33" s="2"/>
      <c r="OAV33" s="2"/>
      <c r="OAW33" s="2"/>
      <c r="OAX33" s="2"/>
      <c r="OAY33" s="2"/>
      <c r="OAZ33" s="2"/>
      <c r="OBA33" s="2"/>
      <c r="OBB33" s="2"/>
      <c r="OBC33" s="2"/>
      <c r="OBD33" s="2"/>
      <c r="OBE33" s="2"/>
      <c r="OBF33" s="2"/>
      <c r="OBG33" s="2"/>
      <c r="OBH33" s="2"/>
      <c r="OBI33" s="2"/>
      <c r="OBJ33" s="2"/>
      <c r="OBK33" s="2"/>
      <c r="OBL33" s="2"/>
      <c r="OBM33" s="2"/>
      <c r="OBN33" s="2"/>
      <c r="OBO33" s="2"/>
      <c r="OBP33" s="2"/>
      <c r="OBQ33" s="2"/>
      <c r="OBR33" s="2"/>
      <c r="OBS33" s="2"/>
      <c r="OBT33" s="2"/>
      <c r="OBU33" s="2"/>
      <c r="OBV33" s="2"/>
      <c r="OBW33" s="2"/>
      <c r="OBX33" s="2"/>
      <c r="OBY33" s="2"/>
      <c r="OBZ33" s="2"/>
      <c r="OCA33" s="2"/>
      <c r="OCB33" s="2"/>
      <c r="OCC33" s="2"/>
      <c r="OCD33" s="2"/>
      <c r="OCE33" s="2"/>
      <c r="OCF33" s="2"/>
      <c r="OCG33" s="2"/>
      <c r="OCH33" s="2"/>
      <c r="OCI33" s="2"/>
      <c r="OCJ33" s="2"/>
      <c r="OCK33" s="2"/>
      <c r="OCL33" s="2"/>
      <c r="OCM33" s="2"/>
      <c r="OCN33" s="2"/>
      <c r="OCO33" s="2"/>
      <c r="OCP33" s="2"/>
      <c r="OCQ33" s="2"/>
      <c r="OCR33" s="2"/>
      <c r="OCS33" s="2"/>
      <c r="OCT33" s="2"/>
      <c r="OCU33" s="2"/>
      <c r="OCV33" s="2"/>
      <c r="OCW33" s="2"/>
      <c r="OCX33" s="2"/>
      <c r="OCY33" s="2"/>
      <c r="OCZ33" s="2"/>
      <c r="ODA33" s="2"/>
      <c r="ODB33" s="2"/>
      <c r="ODC33" s="2"/>
      <c r="ODD33" s="2"/>
      <c r="ODE33" s="2"/>
      <c r="ODF33" s="2"/>
      <c r="ODG33" s="2"/>
      <c r="ODH33" s="2"/>
      <c r="ODI33" s="2"/>
      <c r="ODJ33" s="2"/>
      <c r="ODK33" s="2"/>
      <c r="ODL33" s="2"/>
      <c r="ODM33" s="2"/>
      <c r="ODN33" s="2"/>
      <c r="ODO33" s="2"/>
      <c r="ODP33" s="2"/>
      <c r="ODQ33" s="2"/>
      <c r="ODR33" s="2"/>
      <c r="ODS33" s="2"/>
      <c r="ODT33" s="2"/>
      <c r="ODU33" s="2"/>
      <c r="ODV33" s="2"/>
      <c r="ODW33" s="2"/>
      <c r="ODX33" s="2"/>
      <c r="ODY33" s="2"/>
      <c r="ODZ33" s="2"/>
      <c r="OEA33" s="2"/>
      <c r="OEB33" s="2"/>
      <c r="OEC33" s="2"/>
      <c r="OED33" s="2"/>
      <c r="OEE33" s="2"/>
      <c r="OEF33" s="2"/>
      <c r="OEG33" s="2"/>
      <c r="OEH33" s="2"/>
      <c r="OEI33" s="2"/>
      <c r="OEJ33" s="2"/>
      <c r="OEK33" s="2"/>
      <c r="OEL33" s="2"/>
      <c r="OEM33" s="2"/>
      <c r="OEN33" s="2"/>
      <c r="OEO33" s="2"/>
      <c r="OEP33" s="2"/>
      <c r="OEQ33" s="2"/>
      <c r="OER33" s="2"/>
      <c r="OES33" s="2"/>
      <c r="OET33" s="2"/>
      <c r="OEU33" s="2"/>
      <c r="OEV33" s="2"/>
      <c r="OEW33" s="2"/>
      <c r="OEX33" s="2"/>
      <c r="OEY33" s="2"/>
      <c r="OEZ33" s="2"/>
      <c r="OFA33" s="2"/>
      <c r="OFB33" s="2"/>
      <c r="OFC33" s="2"/>
      <c r="OFD33" s="2"/>
      <c r="OFE33" s="2"/>
      <c r="OFF33" s="2"/>
      <c r="OFG33" s="2"/>
      <c r="OFH33" s="2"/>
      <c r="OFI33" s="2"/>
      <c r="OFJ33" s="2"/>
      <c r="OFK33" s="2"/>
      <c r="OFL33" s="2"/>
      <c r="OFM33" s="2"/>
      <c r="OFN33" s="2"/>
      <c r="OFO33" s="2"/>
      <c r="OFP33" s="2"/>
      <c r="OFQ33" s="2"/>
      <c r="OFR33" s="2"/>
      <c r="OFS33" s="2"/>
      <c r="OFT33" s="2"/>
      <c r="OFU33" s="2"/>
      <c r="OFV33" s="2"/>
      <c r="OFW33" s="2"/>
      <c r="OFX33" s="2"/>
      <c r="OFY33" s="2"/>
      <c r="OFZ33" s="2"/>
      <c r="OGA33" s="2"/>
      <c r="OGB33" s="2"/>
      <c r="OGC33" s="2"/>
      <c r="OGD33" s="2"/>
      <c r="OGE33" s="2"/>
      <c r="OGF33" s="2"/>
      <c r="OGG33" s="2"/>
      <c r="OGH33" s="2"/>
      <c r="OGI33" s="2"/>
      <c r="OGJ33" s="2"/>
      <c r="OGK33" s="2"/>
      <c r="OGL33" s="2"/>
      <c r="OGM33" s="2"/>
      <c r="OGN33" s="2"/>
      <c r="OGO33" s="2"/>
      <c r="OGP33" s="2"/>
      <c r="OGQ33" s="2"/>
      <c r="OGR33" s="2"/>
      <c r="OGS33" s="2"/>
      <c r="OGT33" s="2"/>
      <c r="OGU33" s="2"/>
      <c r="OGV33" s="2"/>
      <c r="OGW33" s="2"/>
      <c r="OGX33" s="2"/>
      <c r="OGY33" s="2"/>
      <c r="OGZ33" s="2"/>
      <c r="OHA33" s="2"/>
      <c r="OHB33" s="2"/>
      <c r="OHC33" s="2"/>
      <c r="OHD33" s="2"/>
      <c r="OHE33" s="2"/>
      <c r="OHF33" s="2"/>
      <c r="OHG33" s="2"/>
      <c r="OHH33" s="2"/>
      <c r="OHI33" s="2"/>
      <c r="OHJ33" s="2"/>
      <c r="OHK33" s="2"/>
      <c r="OHL33" s="2"/>
      <c r="OHM33" s="2"/>
      <c r="OHN33" s="2"/>
      <c r="OHO33" s="2"/>
      <c r="OHP33" s="2"/>
      <c r="OHQ33" s="2"/>
      <c r="OHR33" s="2"/>
      <c r="OHS33" s="2"/>
      <c r="OHT33" s="2"/>
      <c r="OHU33" s="2"/>
      <c r="OHV33" s="2"/>
      <c r="OHW33" s="2"/>
      <c r="OHX33" s="2"/>
      <c r="OHY33" s="2"/>
      <c r="OHZ33" s="2"/>
      <c r="OIA33" s="2"/>
      <c r="OIB33" s="2"/>
      <c r="OIC33" s="2"/>
      <c r="OID33" s="2"/>
      <c r="OIE33" s="2"/>
      <c r="OIF33" s="2"/>
      <c r="OIG33" s="2"/>
      <c r="OIH33" s="2"/>
      <c r="OII33" s="2"/>
      <c r="OIJ33" s="2"/>
      <c r="OIK33" s="2"/>
      <c r="OIL33" s="2"/>
      <c r="OIM33" s="2"/>
      <c r="OIN33" s="2"/>
      <c r="OIO33" s="2"/>
      <c r="OIP33" s="2"/>
      <c r="OIQ33" s="2"/>
      <c r="OIR33" s="2"/>
      <c r="OIS33" s="2"/>
      <c r="OIT33" s="2"/>
      <c r="OIU33" s="2"/>
      <c r="OIV33" s="2"/>
      <c r="OIW33" s="2"/>
      <c r="OIX33" s="2"/>
      <c r="OIY33" s="2"/>
      <c r="OIZ33" s="2"/>
      <c r="OJA33" s="2"/>
      <c r="OJB33" s="2"/>
      <c r="OJC33" s="2"/>
      <c r="OJD33" s="2"/>
      <c r="OJE33" s="2"/>
      <c r="OJF33" s="2"/>
      <c r="OJG33" s="2"/>
      <c r="OJH33" s="2"/>
      <c r="OJI33" s="2"/>
      <c r="OJJ33" s="2"/>
      <c r="OJK33" s="2"/>
      <c r="OJL33" s="2"/>
      <c r="OJM33" s="2"/>
      <c r="OJN33" s="2"/>
      <c r="OJO33" s="2"/>
      <c r="OJP33" s="2"/>
      <c r="OJQ33" s="2"/>
      <c r="OJR33" s="2"/>
      <c r="OJS33" s="2"/>
      <c r="OJT33" s="2"/>
      <c r="OJU33" s="2"/>
      <c r="OJV33" s="2"/>
      <c r="OJW33" s="2"/>
      <c r="OJX33" s="2"/>
      <c r="OJY33" s="2"/>
      <c r="OJZ33" s="2"/>
      <c r="OKA33" s="2"/>
      <c r="OKB33" s="2"/>
      <c r="OKC33" s="2"/>
      <c r="OKD33" s="2"/>
      <c r="OKE33" s="2"/>
      <c r="OKF33" s="2"/>
      <c r="OKG33" s="2"/>
      <c r="OKH33" s="2"/>
      <c r="OKI33" s="2"/>
      <c r="OKJ33" s="2"/>
      <c r="OKK33" s="2"/>
      <c r="OKL33" s="2"/>
      <c r="OKM33" s="2"/>
      <c r="OKN33" s="2"/>
      <c r="OKO33" s="2"/>
      <c r="OKP33" s="2"/>
      <c r="OKQ33" s="2"/>
      <c r="OKR33" s="2"/>
      <c r="OKS33" s="2"/>
      <c r="OKT33" s="2"/>
      <c r="OKU33" s="2"/>
      <c r="OKV33" s="2"/>
      <c r="OKW33" s="2"/>
      <c r="OKX33" s="2"/>
      <c r="OKY33" s="2"/>
      <c r="OKZ33" s="2"/>
      <c r="OLA33" s="2"/>
      <c r="OLB33" s="2"/>
      <c r="OLC33" s="2"/>
      <c r="OLD33" s="2"/>
      <c r="OLE33" s="2"/>
      <c r="OLF33" s="2"/>
      <c r="OLG33" s="2"/>
      <c r="OLH33" s="2"/>
      <c r="OLI33" s="2"/>
      <c r="OLJ33" s="2"/>
      <c r="OLK33" s="2"/>
      <c r="OLL33" s="2"/>
      <c r="OLM33" s="2"/>
      <c r="OLN33" s="2"/>
      <c r="OLO33" s="2"/>
      <c r="OLP33" s="2"/>
      <c r="OLQ33" s="2"/>
      <c r="OLR33" s="2"/>
      <c r="OLS33" s="2"/>
      <c r="OLT33" s="2"/>
      <c r="OLU33" s="2"/>
      <c r="OLV33" s="2"/>
      <c r="OLW33" s="2"/>
      <c r="OLX33" s="2"/>
      <c r="OLY33" s="2"/>
      <c r="OLZ33" s="2"/>
      <c r="OMA33" s="2"/>
      <c r="OMB33" s="2"/>
      <c r="OMC33" s="2"/>
      <c r="OMD33" s="2"/>
      <c r="OME33" s="2"/>
      <c r="OMF33" s="2"/>
      <c r="OMG33" s="2"/>
      <c r="OMH33" s="2"/>
      <c r="OMI33" s="2"/>
      <c r="OMJ33" s="2"/>
      <c r="OMK33" s="2"/>
      <c r="OML33" s="2"/>
      <c r="OMM33" s="2"/>
      <c r="OMN33" s="2"/>
      <c r="OMO33" s="2"/>
      <c r="OMP33" s="2"/>
      <c r="OMQ33" s="2"/>
      <c r="OMR33" s="2"/>
      <c r="OMS33" s="2"/>
      <c r="OMT33" s="2"/>
      <c r="OMU33" s="2"/>
      <c r="OMV33" s="2"/>
      <c r="OMW33" s="2"/>
      <c r="OMX33" s="2"/>
      <c r="OMY33" s="2"/>
      <c r="OMZ33" s="2"/>
      <c r="ONA33" s="2"/>
      <c r="ONB33" s="2"/>
      <c r="ONC33" s="2"/>
      <c r="OND33" s="2"/>
      <c r="ONE33" s="2"/>
      <c r="ONF33" s="2"/>
      <c r="ONG33" s="2"/>
      <c r="ONH33" s="2"/>
      <c r="ONI33" s="2"/>
      <c r="ONJ33" s="2"/>
      <c r="ONK33" s="2"/>
      <c r="ONL33" s="2"/>
      <c r="ONM33" s="2"/>
      <c r="ONN33" s="2"/>
      <c r="ONO33" s="2"/>
      <c r="ONP33" s="2"/>
      <c r="ONQ33" s="2"/>
      <c r="ONR33" s="2"/>
      <c r="ONS33" s="2"/>
      <c r="ONT33" s="2"/>
      <c r="ONU33" s="2"/>
      <c r="ONV33" s="2"/>
      <c r="ONW33" s="2"/>
      <c r="ONX33" s="2"/>
      <c r="ONY33" s="2"/>
      <c r="ONZ33" s="2"/>
      <c r="OOA33" s="2"/>
      <c r="OOB33" s="2"/>
      <c r="OOC33" s="2"/>
      <c r="OOD33" s="2"/>
      <c r="OOE33" s="2"/>
      <c r="OOF33" s="2"/>
      <c r="OOG33" s="2"/>
      <c r="OOH33" s="2"/>
      <c r="OOI33" s="2"/>
      <c r="OOJ33" s="2"/>
      <c r="OOK33" s="2"/>
      <c r="OOL33" s="2"/>
      <c r="OOM33" s="2"/>
      <c r="OON33" s="2"/>
      <c r="OOO33" s="2"/>
      <c r="OOP33" s="2"/>
      <c r="OOQ33" s="2"/>
      <c r="OOR33" s="2"/>
      <c r="OOS33" s="2"/>
      <c r="OOT33" s="2"/>
      <c r="OOU33" s="2"/>
      <c r="OOV33" s="2"/>
      <c r="OOW33" s="2"/>
      <c r="OOX33" s="2"/>
      <c r="OOY33" s="2"/>
      <c r="OOZ33" s="2"/>
      <c r="OPA33" s="2"/>
      <c r="OPB33" s="2"/>
      <c r="OPC33" s="2"/>
      <c r="OPD33" s="2"/>
      <c r="OPE33" s="2"/>
      <c r="OPF33" s="2"/>
      <c r="OPG33" s="2"/>
      <c r="OPH33" s="2"/>
      <c r="OPI33" s="2"/>
      <c r="OPJ33" s="2"/>
      <c r="OPK33" s="2"/>
      <c r="OPL33" s="2"/>
      <c r="OPM33" s="2"/>
      <c r="OPN33" s="2"/>
      <c r="OPO33" s="2"/>
      <c r="OPP33" s="2"/>
      <c r="OPQ33" s="2"/>
      <c r="OPR33" s="2"/>
      <c r="OPS33" s="2"/>
      <c r="OPT33" s="2"/>
      <c r="OPU33" s="2"/>
      <c r="OPV33" s="2"/>
      <c r="OPW33" s="2"/>
      <c r="OPX33" s="2"/>
      <c r="OPY33" s="2"/>
      <c r="OPZ33" s="2"/>
      <c r="OQA33" s="2"/>
      <c r="OQB33" s="2"/>
      <c r="OQC33" s="2"/>
      <c r="OQD33" s="2"/>
      <c r="OQE33" s="2"/>
      <c r="OQF33" s="2"/>
      <c r="OQG33" s="2"/>
      <c r="OQH33" s="2"/>
      <c r="OQI33" s="2"/>
      <c r="OQJ33" s="2"/>
      <c r="OQK33" s="2"/>
      <c r="OQL33" s="2"/>
      <c r="OQM33" s="2"/>
      <c r="OQN33" s="2"/>
      <c r="OQO33" s="2"/>
      <c r="OQP33" s="2"/>
      <c r="OQQ33" s="2"/>
      <c r="OQR33" s="2"/>
      <c r="OQS33" s="2"/>
      <c r="OQT33" s="2"/>
      <c r="OQU33" s="2"/>
      <c r="OQV33" s="2"/>
      <c r="OQW33" s="2"/>
      <c r="OQX33" s="2"/>
      <c r="OQY33" s="2"/>
      <c r="OQZ33" s="2"/>
      <c r="ORA33" s="2"/>
      <c r="ORB33" s="2"/>
      <c r="ORC33" s="2"/>
      <c r="ORD33" s="2"/>
      <c r="ORE33" s="2"/>
      <c r="ORF33" s="2"/>
      <c r="ORG33" s="2"/>
      <c r="ORH33" s="2"/>
      <c r="ORI33" s="2"/>
      <c r="ORJ33" s="2"/>
      <c r="ORK33" s="2"/>
      <c r="ORL33" s="2"/>
      <c r="ORM33" s="2"/>
      <c r="ORN33" s="2"/>
      <c r="ORO33" s="2"/>
      <c r="ORP33" s="2"/>
      <c r="ORQ33" s="2"/>
      <c r="ORR33" s="2"/>
      <c r="ORS33" s="2"/>
      <c r="ORT33" s="2"/>
      <c r="ORU33" s="2"/>
      <c r="ORV33" s="2"/>
      <c r="ORW33" s="2"/>
      <c r="ORX33" s="2"/>
      <c r="ORY33" s="2"/>
      <c r="ORZ33" s="2"/>
      <c r="OSA33" s="2"/>
      <c r="OSB33" s="2"/>
      <c r="OSC33" s="2"/>
      <c r="OSD33" s="2"/>
      <c r="OSE33" s="2"/>
      <c r="OSF33" s="2"/>
      <c r="OSG33" s="2"/>
      <c r="OSH33" s="2"/>
      <c r="OSI33" s="2"/>
      <c r="OSJ33" s="2"/>
      <c r="OSK33" s="2"/>
      <c r="OSL33" s="2"/>
      <c r="OSM33" s="2"/>
      <c r="OSN33" s="2"/>
      <c r="OSO33" s="2"/>
      <c r="OSP33" s="2"/>
      <c r="OSQ33" s="2"/>
      <c r="OSR33" s="2"/>
      <c r="OSS33" s="2"/>
      <c r="OST33" s="2"/>
      <c r="OSU33" s="2"/>
      <c r="OSV33" s="2"/>
      <c r="OSW33" s="2"/>
      <c r="OSX33" s="2"/>
      <c r="OSY33" s="2"/>
      <c r="OSZ33" s="2"/>
      <c r="OTA33" s="2"/>
      <c r="OTB33" s="2"/>
      <c r="OTC33" s="2"/>
      <c r="OTD33" s="2"/>
      <c r="OTE33" s="2"/>
      <c r="OTF33" s="2"/>
      <c r="OTG33" s="2"/>
      <c r="OTH33" s="2"/>
      <c r="OTI33" s="2"/>
      <c r="OTJ33" s="2"/>
      <c r="OTK33" s="2"/>
      <c r="OTL33" s="2"/>
      <c r="OTM33" s="2"/>
      <c r="OTN33" s="2"/>
      <c r="OTO33" s="2"/>
      <c r="OTP33" s="2"/>
      <c r="OTQ33" s="2"/>
      <c r="OTR33" s="2"/>
      <c r="OTS33" s="2"/>
      <c r="OTT33" s="2"/>
      <c r="OTU33" s="2"/>
      <c r="OTV33" s="2"/>
      <c r="OTW33" s="2"/>
      <c r="OTX33" s="2"/>
      <c r="OTY33" s="2"/>
      <c r="OTZ33" s="2"/>
      <c r="OUA33" s="2"/>
      <c r="OUB33" s="2"/>
      <c r="OUC33" s="2"/>
      <c r="OUD33" s="2"/>
      <c r="OUE33" s="2"/>
      <c r="OUF33" s="2"/>
      <c r="OUG33" s="2"/>
      <c r="OUH33" s="2"/>
      <c r="OUI33" s="2"/>
      <c r="OUJ33" s="2"/>
      <c r="OUK33" s="2"/>
      <c r="OUL33" s="2"/>
      <c r="OUM33" s="2"/>
      <c r="OUN33" s="2"/>
      <c r="OUO33" s="2"/>
      <c r="OUP33" s="2"/>
      <c r="OUQ33" s="2"/>
      <c r="OUR33" s="2"/>
      <c r="OUS33" s="2"/>
      <c r="OUT33" s="2"/>
      <c r="OUU33" s="2"/>
      <c r="OUV33" s="2"/>
      <c r="OUW33" s="2"/>
      <c r="OUX33" s="2"/>
      <c r="OUY33" s="2"/>
      <c r="OUZ33" s="2"/>
      <c r="OVA33" s="2"/>
      <c r="OVB33" s="2"/>
      <c r="OVC33" s="2"/>
      <c r="OVD33" s="2"/>
      <c r="OVE33" s="2"/>
      <c r="OVF33" s="2"/>
      <c r="OVG33" s="2"/>
      <c r="OVH33" s="2"/>
      <c r="OVI33" s="2"/>
      <c r="OVJ33" s="2"/>
      <c r="OVK33" s="2"/>
      <c r="OVL33" s="2"/>
      <c r="OVM33" s="2"/>
      <c r="OVN33" s="2"/>
      <c r="OVO33" s="2"/>
      <c r="OVP33" s="2"/>
      <c r="OVQ33" s="2"/>
      <c r="OVR33" s="2"/>
      <c r="OVS33" s="2"/>
      <c r="OVT33" s="2"/>
      <c r="OVU33" s="2"/>
      <c r="OVV33" s="2"/>
      <c r="OVW33" s="2"/>
      <c r="OVX33" s="2"/>
      <c r="OVY33" s="2"/>
      <c r="OVZ33" s="2"/>
      <c r="OWA33" s="2"/>
      <c r="OWB33" s="2"/>
      <c r="OWC33" s="2"/>
      <c r="OWD33" s="2"/>
      <c r="OWE33" s="2"/>
      <c r="OWF33" s="2"/>
      <c r="OWG33" s="2"/>
      <c r="OWH33" s="2"/>
      <c r="OWI33" s="2"/>
      <c r="OWJ33" s="2"/>
      <c r="OWK33" s="2"/>
      <c r="OWL33" s="2"/>
      <c r="OWM33" s="2"/>
      <c r="OWN33" s="2"/>
      <c r="OWO33" s="2"/>
      <c r="OWP33" s="2"/>
      <c r="OWQ33" s="2"/>
      <c r="OWR33" s="2"/>
      <c r="OWS33" s="2"/>
      <c r="OWT33" s="2"/>
      <c r="OWU33" s="2"/>
      <c r="OWV33" s="2"/>
      <c r="OWW33" s="2"/>
      <c r="OWX33" s="2"/>
      <c r="OWY33" s="2"/>
      <c r="OWZ33" s="2"/>
      <c r="OXA33" s="2"/>
      <c r="OXB33" s="2"/>
      <c r="OXC33" s="2"/>
      <c r="OXD33" s="2"/>
      <c r="OXE33" s="2"/>
      <c r="OXF33" s="2"/>
      <c r="OXG33" s="2"/>
      <c r="OXH33" s="2"/>
      <c r="OXI33" s="2"/>
      <c r="OXJ33" s="2"/>
      <c r="OXK33" s="2"/>
      <c r="OXL33" s="2"/>
      <c r="OXM33" s="2"/>
      <c r="OXN33" s="2"/>
      <c r="OXO33" s="2"/>
      <c r="OXP33" s="2"/>
      <c r="OXQ33" s="2"/>
      <c r="OXR33" s="2"/>
      <c r="OXS33" s="2"/>
      <c r="OXT33" s="2"/>
      <c r="OXU33" s="2"/>
      <c r="OXV33" s="2"/>
      <c r="OXW33" s="2"/>
      <c r="OXX33" s="2"/>
      <c r="OXY33" s="2"/>
      <c r="OXZ33" s="2"/>
      <c r="OYA33" s="2"/>
      <c r="OYB33" s="2"/>
      <c r="OYC33" s="2"/>
      <c r="OYD33" s="2"/>
      <c r="OYE33" s="2"/>
      <c r="OYF33" s="2"/>
      <c r="OYG33" s="2"/>
      <c r="OYH33" s="2"/>
      <c r="OYI33" s="2"/>
      <c r="OYJ33" s="2"/>
      <c r="OYK33" s="2"/>
      <c r="OYL33" s="2"/>
      <c r="OYM33" s="2"/>
      <c r="OYN33" s="2"/>
      <c r="OYO33" s="2"/>
      <c r="OYP33" s="2"/>
      <c r="OYQ33" s="2"/>
      <c r="OYR33" s="2"/>
      <c r="OYS33" s="2"/>
      <c r="OYT33" s="2"/>
      <c r="OYU33" s="2"/>
      <c r="OYV33" s="2"/>
      <c r="OYW33" s="2"/>
      <c r="OYX33" s="2"/>
      <c r="OYY33" s="2"/>
      <c r="OYZ33" s="2"/>
      <c r="OZA33" s="2"/>
      <c r="OZB33" s="2"/>
      <c r="OZC33" s="2"/>
      <c r="OZD33" s="2"/>
      <c r="OZE33" s="2"/>
      <c r="OZF33" s="2"/>
      <c r="OZG33" s="2"/>
      <c r="OZH33" s="2"/>
      <c r="OZI33" s="2"/>
      <c r="OZJ33" s="2"/>
      <c r="OZK33" s="2"/>
      <c r="OZL33" s="2"/>
      <c r="OZM33" s="2"/>
      <c r="OZN33" s="2"/>
      <c r="OZO33" s="2"/>
      <c r="OZP33" s="2"/>
      <c r="OZQ33" s="2"/>
      <c r="OZR33" s="2"/>
      <c r="OZS33" s="2"/>
      <c r="OZT33" s="2"/>
      <c r="OZU33" s="2"/>
      <c r="OZV33" s="2"/>
      <c r="OZW33" s="2"/>
      <c r="OZX33" s="2"/>
      <c r="OZY33" s="2"/>
      <c r="OZZ33" s="2"/>
      <c r="PAA33" s="2"/>
      <c r="PAB33" s="2"/>
      <c r="PAC33" s="2"/>
      <c r="PAD33" s="2"/>
      <c r="PAE33" s="2"/>
      <c r="PAF33" s="2"/>
      <c r="PAG33" s="2"/>
      <c r="PAH33" s="2"/>
      <c r="PAI33" s="2"/>
      <c r="PAJ33" s="2"/>
      <c r="PAK33" s="2"/>
      <c r="PAL33" s="2"/>
      <c r="PAM33" s="2"/>
      <c r="PAN33" s="2"/>
      <c r="PAO33" s="2"/>
      <c r="PAP33" s="2"/>
      <c r="PAQ33" s="2"/>
      <c r="PAR33" s="2"/>
      <c r="PAS33" s="2"/>
      <c r="PAT33" s="2"/>
      <c r="PAU33" s="2"/>
      <c r="PAV33" s="2"/>
      <c r="PAW33" s="2"/>
      <c r="PAX33" s="2"/>
      <c r="PAY33" s="2"/>
      <c r="PAZ33" s="2"/>
      <c r="PBA33" s="2"/>
      <c r="PBB33" s="2"/>
      <c r="PBC33" s="2"/>
      <c r="PBD33" s="2"/>
      <c r="PBE33" s="2"/>
      <c r="PBF33" s="2"/>
      <c r="PBG33" s="2"/>
      <c r="PBH33" s="2"/>
      <c r="PBI33" s="2"/>
      <c r="PBJ33" s="2"/>
      <c r="PBK33" s="2"/>
      <c r="PBL33" s="2"/>
      <c r="PBM33" s="2"/>
      <c r="PBN33" s="2"/>
      <c r="PBO33" s="2"/>
      <c r="PBP33" s="2"/>
      <c r="PBQ33" s="2"/>
      <c r="PBR33" s="2"/>
      <c r="PBS33" s="2"/>
      <c r="PBT33" s="2"/>
      <c r="PBU33" s="2"/>
      <c r="PBV33" s="2"/>
      <c r="PBW33" s="2"/>
      <c r="PBX33" s="2"/>
      <c r="PBY33" s="2"/>
      <c r="PBZ33" s="2"/>
      <c r="PCA33" s="2"/>
      <c r="PCB33" s="2"/>
      <c r="PCC33" s="2"/>
      <c r="PCD33" s="2"/>
      <c r="PCE33" s="2"/>
      <c r="PCF33" s="2"/>
      <c r="PCG33" s="2"/>
      <c r="PCH33" s="2"/>
      <c r="PCI33" s="2"/>
      <c r="PCJ33" s="2"/>
      <c r="PCK33" s="2"/>
      <c r="PCL33" s="2"/>
      <c r="PCM33" s="2"/>
      <c r="PCN33" s="2"/>
      <c r="PCO33" s="2"/>
      <c r="PCP33" s="2"/>
      <c r="PCQ33" s="2"/>
      <c r="PCR33" s="2"/>
      <c r="PCS33" s="2"/>
      <c r="PCT33" s="2"/>
      <c r="PCU33" s="2"/>
      <c r="PCV33" s="2"/>
      <c r="PCW33" s="2"/>
      <c r="PCX33" s="2"/>
      <c r="PCY33" s="2"/>
      <c r="PCZ33" s="2"/>
      <c r="PDA33" s="2"/>
      <c r="PDB33" s="2"/>
      <c r="PDC33" s="2"/>
      <c r="PDD33" s="2"/>
      <c r="PDE33" s="2"/>
      <c r="PDF33" s="2"/>
      <c r="PDG33" s="2"/>
      <c r="PDH33" s="2"/>
      <c r="PDI33" s="2"/>
      <c r="PDJ33" s="2"/>
      <c r="PDK33" s="2"/>
      <c r="PDL33" s="2"/>
      <c r="PDM33" s="2"/>
      <c r="PDN33" s="2"/>
      <c r="PDO33" s="2"/>
      <c r="PDP33" s="2"/>
      <c r="PDQ33" s="2"/>
      <c r="PDR33" s="2"/>
      <c r="PDS33" s="2"/>
      <c r="PDT33" s="2"/>
      <c r="PDU33" s="2"/>
      <c r="PDV33" s="2"/>
      <c r="PDW33" s="2"/>
      <c r="PDX33" s="2"/>
      <c r="PDY33" s="2"/>
      <c r="PDZ33" s="2"/>
      <c r="PEA33" s="2"/>
      <c r="PEB33" s="2"/>
      <c r="PEC33" s="2"/>
      <c r="PED33" s="2"/>
      <c r="PEE33" s="2"/>
      <c r="PEF33" s="2"/>
      <c r="PEG33" s="2"/>
      <c r="PEH33" s="2"/>
      <c r="PEI33" s="2"/>
      <c r="PEJ33" s="2"/>
      <c r="PEK33" s="2"/>
      <c r="PEL33" s="2"/>
      <c r="PEM33" s="2"/>
      <c r="PEN33" s="2"/>
      <c r="PEO33" s="2"/>
      <c r="PEP33" s="2"/>
      <c r="PEQ33" s="2"/>
      <c r="PER33" s="2"/>
      <c r="PES33" s="2"/>
      <c r="PET33" s="2"/>
      <c r="PEU33" s="2"/>
      <c r="PEV33" s="2"/>
      <c r="PEW33" s="2"/>
      <c r="PEX33" s="2"/>
      <c r="PEY33" s="2"/>
      <c r="PEZ33" s="2"/>
      <c r="PFA33" s="2"/>
      <c r="PFB33" s="2"/>
      <c r="PFC33" s="2"/>
      <c r="PFD33" s="2"/>
      <c r="PFE33" s="2"/>
      <c r="PFF33" s="2"/>
      <c r="PFG33" s="2"/>
      <c r="PFH33" s="2"/>
      <c r="PFI33" s="2"/>
      <c r="PFJ33" s="2"/>
      <c r="PFK33" s="2"/>
      <c r="PFL33" s="2"/>
      <c r="PFM33" s="2"/>
      <c r="PFN33" s="2"/>
      <c r="PFO33" s="2"/>
      <c r="PFP33" s="2"/>
      <c r="PFQ33" s="2"/>
      <c r="PFR33" s="2"/>
      <c r="PFS33" s="2"/>
      <c r="PFT33" s="2"/>
      <c r="PFU33" s="2"/>
      <c r="PFV33" s="2"/>
      <c r="PFW33" s="2"/>
      <c r="PFX33" s="2"/>
      <c r="PFY33" s="2"/>
      <c r="PFZ33" s="2"/>
      <c r="PGA33" s="2"/>
      <c r="PGB33" s="2"/>
      <c r="PGC33" s="2"/>
      <c r="PGD33" s="2"/>
      <c r="PGE33" s="2"/>
      <c r="PGF33" s="2"/>
      <c r="PGG33" s="2"/>
      <c r="PGH33" s="2"/>
      <c r="PGI33" s="2"/>
      <c r="PGJ33" s="2"/>
      <c r="PGK33" s="2"/>
      <c r="PGL33" s="2"/>
      <c r="PGM33" s="2"/>
      <c r="PGN33" s="2"/>
      <c r="PGO33" s="2"/>
      <c r="PGP33" s="2"/>
      <c r="PGQ33" s="2"/>
      <c r="PGR33" s="2"/>
      <c r="PGS33" s="2"/>
      <c r="PGT33" s="2"/>
      <c r="PGU33" s="2"/>
      <c r="PGV33" s="2"/>
      <c r="PGW33" s="2"/>
      <c r="PGX33" s="2"/>
      <c r="PGY33" s="2"/>
      <c r="PGZ33" s="2"/>
      <c r="PHA33" s="2"/>
      <c r="PHB33" s="2"/>
      <c r="PHC33" s="2"/>
      <c r="PHD33" s="2"/>
      <c r="PHE33" s="2"/>
      <c r="PHF33" s="2"/>
      <c r="PHG33" s="2"/>
      <c r="PHH33" s="2"/>
      <c r="PHI33" s="2"/>
      <c r="PHJ33" s="2"/>
      <c r="PHK33" s="2"/>
      <c r="PHL33" s="2"/>
      <c r="PHM33" s="2"/>
      <c r="PHN33" s="2"/>
      <c r="PHO33" s="2"/>
      <c r="PHP33" s="2"/>
      <c r="PHQ33" s="2"/>
      <c r="PHR33" s="2"/>
      <c r="PHS33" s="2"/>
      <c r="PHT33" s="2"/>
      <c r="PHU33" s="2"/>
      <c r="PHV33" s="2"/>
      <c r="PHW33" s="2"/>
      <c r="PHX33" s="2"/>
      <c r="PHY33" s="2"/>
      <c r="PHZ33" s="2"/>
      <c r="PIA33" s="2"/>
      <c r="PIB33" s="2"/>
      <c r="PIC33" s="2"/>
      <c r="PID33" s="2"/>
      <c r="PIE33" s="2"/>
      <c r="PIF33" s="2"/>
      <c r="PIG33" s="2"/>
      <c r="PIH33" s="2"/>
      <c r="PII33" s="2"/>
      <c r="PIJ33" s="2"/>
      <c r="PIK33" s="2"/>
      <c r="PIL33" s="2"/>
      <c r="PIM33" s="2"/>
      <c r="PIN33" s="2"/>
      <c r="PIO33" s="2"/>
      <c r="PIP33" s="2"/>
      <c r="PIQ33" s="2"/>
      <c r="PIR33" s="2"/>
      <c r="PIS33" s="2"/>
      <c r="PIT33" s="2"/>
      <c r="PIU33" s="2"/>
      <c r="PIV33" s="2"/>
      <c r="PIW33" s="2"/>
      <c r="PIX33" s="2"/>
      <c r="PIY33" s="2"/>
      <c r="PIZ33" s="2"/>
      <c r="PJA33" s="2"/>
      <c r="PJB33" s="2"/>
      <c r="PJC33" s="2"/>
      <c r="PJD33" s="2"/>
      <c r="PJE33" s="2"/>
      <c r="PJF33" s="2"/>
      <c r="PJG33" s="2"/>
      <c r="PJH33" s="2"/>
      <c r="PJI33" s="2"/>
      <c r="PJJ33" s="2"/>
      <c r="PJK33" s="2"/>
      <c r="PJL33" s="2"/>
      <c r="PJM33" s="2"/>
      <c r="PJN33" s="2"/>
      <c r="PJO33" s="2"/>
      <c r="PJP33" s="2"/>
      <c r="PJQ33" s="2"/>
      <c r="PJR33" s="2"/>
      <c r="PJS33" s="2"/>
      <c r="PJT33" s="2"/>
      <c r="PJU33" s="2"/>
      <c r="PJV33" s="2"/>
      <c r="PJW33" s="2"/>
      <c r="PJX33" s="2"/>
      <c r="PJY33" s="2"/>
      <c r="PJZ33" s="2"/>
      <c r="PKA33" s="2"/>
      <c r="PKB33" s="2"/>
      <c r="PKC33" s="2"/>
      <c r="PKD33" s="2"/>
      <c r="PKE33" s="2"/>
      <c r="PKF33" s="2"/>
      <c r="PKG33" s="2"/>
      <c r="PKH33" s="2"/>
      <c r="PKI33" s="2"/>
      <c r="PKJ33" s="2"/>
      <c r="PKK33" s="2"/>
      <c r="PKL33" s="2"/>
      <c r="PKM33" s="2"/>
      <c r="PKN33" s="2"/>
      <c r="PKO33" s="2"/>
      <c r="PKP33" s="2"/>
      <c r="PKQ33" s="2"/>
      <c r="PKR33" s="2"/>
      <c r="PKS33" s="2"/>
      <c r="PKT33" s="2"/>
      <c r="PKU33" s="2"/>
      <c r="PKV33" s="2"/>
      <c r="PKW33" s="2"/>
      <c r="PKX33" s="2"/>
      <c r="PKY33" s="2"/>
      <c r="PKZ33" s="2"/>
      <c r="PLA33" s="2"/>
      <c r="PLB33" s="2"/>
      <c r="PLC33" s="2"/>
      <c r="PLD33" s="2"/>
      <c r="PLE33" s="2"/>
      <c r="PLF33" s="2"/>
      <c r="PLG33" s="2"/>
      <c r="PLH33" s="2"/>
      <c r="PLI33" s="2"/>
      <c r="PLJ33" s="2"/>
      <c r="PLK33" s="2"/>
      <c r="PLL33" s="2"/>
      <c r="PLM33" s="2"/>
      <c r="PLN33" s="2"/>
      <c r="PLO33" s="2"/>
      <c r="PLP33" s="2"/>
      <c r="PLQ33" s="2"/>
      <c r="PLR33" s="2"/>
      <c r="PLS33" s="2"/>
      <c r="PLT33" s="2"/>
      <c r="PLU33" s="2"/>
      <c r="PLV33" s="2"/>
      <c r="PLW33" s="2"/>
      <c r="PLX33" s="2"/>
      <c r="PLY33" s="2"/>
      <c r="PLZ33" s="2"/>
      <c r="PMA33" s="2"/>
      <c r="PMB33" s="2"/>
      <c r="PMC33" s="2"/>
      <c r="PMD33" s="2"/>
      <c r="PME33" s="2"/>
      <c r="PMF33" s="2"/>
      <c r="PMG33" s="2"/>
      <c r="PMH33" s="2"/>
      <c r="PMI33" s="2"/>
      <c r="PMJ33" s="2"/>
      <c r="PMK33" s="2"/>
      <c r="PML33" s="2"/>
      <c r="PMM33" s="2"/>
      <c r="PMN33" s="2"/>
      <c r="PMO33" s="2"/>
      <c r="PMP33" s="2"/>
      <c r="PMQ33" s="2"/>
      <c r="PMR33" s="2"/>
      <c r="PMS33" s="2"/>
      <c r="PMT33" s="2"/>
      <c r="PMU33" s="2"/>
      <c r="PMV33" s="2"/>
      <c r="PMW33" s="2"/>
      <c r="PMX33" s="2"/>
      <c r="PMY33" s="2"/>
      <c r="PMZ33" s="2"/>
      <c r="PNA33" s="2"/>
      <c r="PNB33" s="2"/>
      <c r="PNC33" s="2"/>
      <c r="PND33" s="2"/>
      <c r="PNE33" s="2"/>
      <c r="PNF33" s="2"/>
      <c r="PNG33" s="2"/>
      <c r="PNH33" s="2"/>
      <c r="PNI33" s="2"/>
      <c r="PNJ33" s="2"/>
      <c r="PNK33" s="2"/>
      <c r="PNL33" s="2"/>
      <c r="PNM33" s="2"/>
      <c r="PNN33" s="2"/>
      <c r="PNO33" s="2"/>
      <c r="PNP33" s="2"/>
      <c r="PNQ33" s="2"/>
      <c r="PNR33" s="2"/>
      <c r="PNS33" s="2"/>
      <c r="PNT33" s="2"/>
      <c r="PNU33" s="2"/>
      <c r="PNV33" s="2"/>
      <c r="PNW33" s="2"/>
      <c r="PNX33" s="2"/>
      <c r="PNY33" s="2"/>
      <c r="PNZ33" s="2"/>
      <c r="POA33" s="2"/>
      <c r="POB33" s="2"/>
      <c r="POC33" s="2"/>
      <c r="POD33" s="2"/>
      <c r="POE33" s="2"/>
      <c r="POF33" s="2"/>
      <c r="POG33" s="2"/>
      <c r="POH33" s="2"/>
      <c r="POI33" s="2"/>
      <c r="POJ33" s="2"/>
      <c r="POK33" s="2"/>
      <c r="POL33" s="2"/>
      <c r="POM33" s="2"/>
      <c r="PON33" s="2"/>
      <c r="POO33" s="2"/>
      <c r="POP33" s="2"/>
      <c r="POQ33" s="2"/>
      <c r="POR33" s="2"/>
      <c r="POS33" s="2"/>
      <c r="POT33" s="2"/>
      <c r="POU33" s="2"/>
      <c r="POV33" s="2"/>
      <c r="POW33" s="2"/>
      <c r="POX33" s="2"/>
      <c r="POY33" s="2"/>
      <c r="POZ33" s="2"/>
      <c r="PPA33" s="2"/>
      <c r="PPB33" s="2"/>
      <c r="PPC33" s="2"/>
      <c r="PPD33" s="2"/>
      <c r="PPE33" s="2"/>
      <c r="PPF33" s="2"/>
      <c r="PPG33" s="2"/>
      <c r="PPH33" s="2"/>
      <c r="PPI33" s="2"/>
      <c r="PPJ33" s="2"/>
      <c r="PPK33" s="2"/>
      <c r="PPL33" s="2"/>
      <c r="PPM33" s="2"/>
      <c r="PPN33" s="2"/>
      <c r="PPO33" s="2"/>
      <c r="PPP33" s="2"/>
      <c r="PPQ33" s="2"/>
      <c r="PPR33" s="2"/>
      <c r="PPS33" s="2"/>
      <c r="PPT33" s="2"/>
      <c r="PPU33" s="2"/>
      <c r="PPV33" s="2"/>
      <c r="PPW33" s="2"/>
      <c r="PPX33" s="2"/>
      <c r="PPY33" s="2"/>
      <c r="PPZ33" s="2"/>
      <c r="PQA33" s="2"/>
      <c r="PQB33" s="2"/>
      <c r="PQC33" s="2"/>
      <c r="PQD33" s="2"/>
      <c r="PQE33" s="2"/>
      <c r="PQF33" s="2"/>
      <c r="PQG33" s="2"/>
      <c r="PQH33" s="2"/>
      <c r="PQI33" s="2"/>
      <c r="PQJ33" s="2"/>
      <c r="PQK33" s="2"/>
      <c r="PQL33" s="2"/>
      <c r="PQM33" s="2"/>
      <c r="PQN33" s="2"/>
      <c r="PQO33" s="2"/>
      <c r="PQP33" s="2"/>
      <c r="PQQ33" s="2"/>
      <c r="PQR33" s="2"/>
      <c r="PQS33" s="2"/>
      <c r="PQT33" s="2"/>
      <c r="PQU33" s="2"/>
      <c r="PQV33" s="2"/>
      <c r="PQW33" s="2"/>
      <c r="PQX33" s="2"/>
      <c r="PQY33" s="2"/>
      <c r="PQZ33" s="2"/>
      <c r="PRA33" s="2"/>
      <c r="PRB33" s="2"/>
      <c r="PRC33" s="2"/>
      <c r="PRD33" s="2"/>
      <c r="PRE33" s="2"/>
      <c r="PRF33" s="2"/>
      <c r="PRG33" s="2"/>
      <c r="PRH33" s="2"/>
      <c r="PRI33" s="2"/>
      <c r="PRJ33" s="2"/>
      <c r="PRK33" s="2"/>
      <c r="PRL33" s="2"/>
      <c r="PRM33" s="2"/>
      <c r="PRN33" s="2"/>
      <c r="PRO33" s="2"/>
      <c r="PRP33" s="2"/>
      <c r="PRQ33" s="2"/>
      <c r="PRR33" s="2"/>
      <c r="PRS33" s="2"/>
      <c r="PRT33" s="2"/>
      <c r="PRU33" s="2"/>
      <c r="PRV33" s="2"/>
      <c r="PRW33" s="2"/>
      <c r="PRX33" s="2"/>
      <c r="PRY33" s="2"/>
      <c r="PRZ33" s="2"/>
      <c r="PSA33" s="2"/>
      <c r="PSB33" s="2"/>
      <c r="PSC33" s="2"/>
      <c r="PSD33" s="2"/>
      <c r="PSE33" s="2"/>
      <c r="PSF33" s="2"/>
      <c r="PSG33" s="2"/>
      <c r="PSH33" s="2"/>
      <c r="PSI33" s="2"/>
      <c r="PSJ33" s="2"/>
      <c r="PSK33" s="2"/>
      <c r="PSL33" s="2"/>
      <c r="PSM33" s="2"/>
      <c r="PSN33" s="2"/>
      <c r="PSO33" s="2"/>
      <c r="PSP33" s="2"/>
      <c r="PSQ33" s="2"/>
      <c r="PSR33" s="2"/>
      <c r="PSS33" s="2"/>
      <c r="PST33" s="2"/>
      <c r="PSU33" s="2"/>
      <c r="PSV33" s="2"/>
      <c r="PSW33" s="2"/>
      <c r="PSX33" s="2"/>
      <c r="PSY33" s="2"/>
      <c r="PSZ33" s="2"/>
      <c r="PTA33" s="2"/>
      <c r="PTB33" s="2"/>
      <c r="PTC33" s="2"/>
      <c r="PTD33" s="2"/>
      <c r="PTE33" s="2"/>
      <c r="PTF33" s="2"/>
      <c r="PTG33" s="2"/>
      <c r="PTH33" s="2"/>
      <c r="PTI33" s="2"/>
      <c r="PTJ33" s="2"/>
      <c r="PTK33" s="2"/>
      <c r="PTL33" s="2"/>
      <c r="PTM33" s="2"/>
      <c r="PTN33" s="2"/>
      <c r="PTO33" s="2"/>
      <c r="PTP33" s="2"/>
      <c r="PTQ33" s="2"/>
      <c r="PTR33" s="2"/>
      <c r="PTS33" s="2"/>
      <c r="PTT33" s="2"/>
      <c r="PTU33" s="2"/>
      <c r="PTV33" s="2"/>
      <c r="PTW33" s="2"/>
      <c r="PTX33" s="2"/>
      <c r="PTY33" s="2"/>
      <c r="PTZ33" s="2"/>
      <c r="PUA33" s="2"/>
      <c r="PUB33" s="2"/>
      <c r="PUC33" s="2"/>
      <c r="PUD33" s="2"/>
      <c r="PUE33" s="2"/>
      <c r="PUF33" s="2"/>
      <c r="PUG33" s="2"/>
      <c r="PUH33" s="2"/>
      <c r="PUI33" s="2"/>
      <c r="PUJ33" s="2"/>
      <c r="PUK33" s="2"/>
      <c r="PUL33" s="2"/>
      <c r="PUM33" s="2"/>
      <c r="PUN33" s="2"/>
      <c r="PUO33" s="2"/>
      <c r="PUP33" s="2"/>
      <c r="PUQ33" s="2"/>
      <c r="PUR33" s="2"/>
      <c r="PUS33" s="2"/>
      <c r="PUT33" s="2"/>
      <c r="PUU33" s="2"/>
      <c r="PUV33" s="2"/>
      <c r="PUW33" s="2"/>
      <c r="PUX33" s="2"/>
      <c r="PUY33" s="2"/>
      <c r="PUZ33" s="2"/>
      <c r="PVA33" s="2"/>
      <c r="PVB33" s="2"/>
      <c r="PVC33" s="2"/>
      <c r="PVD33" s="2"/>
      <c r="PVE33" s="2"/>
      <c r="PVF33" s="2"/>
      <c r="PVG33" s="2"/>
      <c r="PVH33" s="2"/>
      <c r="PVI33" s="2"/>
      <c r="PVJ33" s="2"/>
      <c r="PVK33" s="2"/>
      <c r="PVL33" s="2"/>
      <c r="PVM33" s="2"/>
      <c r="PVN33" s="2"/>
      <c r="PVO33" s="2"/>
      <c r="PVP33" s="2"/>
      <c r="PVQ33" s="2"/>
      <c r="PVR33" s="2"/>
      <c r="PVS33" s="2"/>
      <c r="PVT33" s="2"/>
      <c r="PVU33" s="2"/>
      <c r="PVV33" s="2"/>
      <c r="PVW33" s="2"/>
      <c r="PVX33" s="2"/>
      <c r="PVY33" s="2"/>
      <c r="PVZ33" s="2"/>
      <c r="PWA33" s="2"/>
      <c r="PWB33" s="2"/>
      <c r="PWC33" s="2"/>
      <c r="PWD33" s="2"/>
      <c r="PWE33" s="2"/>
      <c r="PWF33" s="2"/>
      <c r="PWG33" s="2"/>
      <c r="PWH33" s="2"/>
      <c r="PWI33" s="2"/>
      <c r="PWJ33" s="2"/>
      <c r="PWK33" s="2"/>
      <c r="PWL33" s="2"/>
      <c r="PWM33" s="2"/>
      <c r="PWN33" s="2"/>
      <c r="PWO33" s="2"/>
      <c r="PWP33" s="2"/>
      <c r="PWQ33" s="2"/>
      <c r="PWR33" s="2"/>
      <c r="PWS33" s="2"/>
      <c r="PWT33" s="2"/>
      <c r="PWU33" s="2"/>
      <c r="PWV33" s="2"/>
      <c r="PWW33" s="2"/>
      <c r="PWX33" s="2"/>
      <c r="PWY33" s="2"/>
      <c r="PWZ33" s="2"/>
      <c r="PXA33" s="2"/>
      <c r="PXB33" s="2"/>
      <c r="PXC33" s="2"/>
      <c r="PXD33" s="2"/>
      <c r="PXE33" s="2"/>
      <c r="PXF33" s="2"/>
      <c r="PXG33" s="2"/>
      <c r="PXH33" s="2"/>
      <c r="PXI33" s="2"/>
      <c r="PXJ33" s="2"/>
      <c r="PXK33" s="2"/>
      <c r="PXL33" s="2"/>
      <c r="PXM33" s="2"/>
      <c r="PXN33" s="2"/>
      <c r="PXO33" s="2"/>
      <c r="PXP33" s="2"/>
      <c r="PXQ33" s="2"/>
      <c r="PXR33" s="2"/>
      <c r="PXS33" s="2"/>
      <c r="PXT33" s="2"/>
      <c r="PXU33" s="2"/>
      <c r="PXV33" s="2"/>
      <c r="PXW33" s="2"/>
      <c r="PXX33" s="2"/>
      <c r="PXY33" s="2"/>
      <c r="PXZ33" s="2"/>
      <c r="PYA33" s="2"/>
      <c r="PYB33" s="2"/>
      <c r="PYC33" s="2"/>
      <c r="PYD33" s="2"/>
      <c r="PYE33" s="2"/>
      <c r="PYF33" s="2"/>
      <c r="PYG33" s="2"/>
      <c r="PYH33" s="2"/>
      <c r="PYI33" s="2"/>
      <c r="PYJ33" s="2"/>
      <c r="PYK33" s="2"/>
      <c r="PYL33" s="2"/>
      <c r="PYM33" s="2"/>
      <c r="PYN33" s="2"/>
      <c r="PYO33" s="2"/>
      <c r="PYP33" s="2"/>
      <c r="PYQ33" s="2"/>
      <c r="PYR33" s="2"/>
      <c r="PYS33" s="2"/>
      <c r="PYT33" s="2"/>
      <c r="PYU33" s="2"/>
      <c r="PYV33" s="2"/>
      <c r="PYW33" s="2"/>
      <c r="PYX33" s="2"/>
      <c r="PYY33" s="2"/>
      <c r="PYZ33" s="2"/>
      <c r="PZA33" s="2"/>
      <c r="PZB33" s="2"/>
      <c r="PZC33" s="2"/>
      <c r="PZD33" s="2"/>
      <c r="PZE33" s="2"/>
      <c r="PZF33" s="2"/>
      <c r="PZG33" s="2"/>
      <c r="PZH33" s="2"/>
      <c r="PZI33" s="2"/>
      <c r="PZJ33" s="2"/>
      <c r="PZK33" s="2"/>
      <c r="PZL33" s="2"/>
      <c r="PZM33" s="2"/>
      <c r="PZN33" s="2"/>
      <c r="PZO33" s="2"/>
      <c r="PZP33" s="2"/>
      <c r="PZQ33" s="2"/>
      <c r="PZR33" s="2"/>
      <c r="PZS33" s="2"/>
      <c r="PZT33" s="2"/>
      <c r="PZU33" s="2"/>
      <c r="PZV33" s="2"/>
      <c r="PZW33" s="2"/>
      <c r="PZX33" s="2"/>
      <c r="PZY33" s="2"/>
      <c r="PZZ33" s="2"/>
      <c r="QAA33" s="2"/>
      <c r="QAB33" s="2"/>
      <c r="QAC33" s="2"/>
      <c r="QAD33" s="2"/>
      <c r="QAE33" s="2"/>
      <c r="QAF33" s="2"/>
      <c r="QAG33" s="2"/>
      <c r="QAH33" s="2"/>
      <c r="QAI33" s="2"/>
      <c r="QAJ33" s="2"/>
      <c r="QAK33" s="2"/>
      <c r="QAL33" s="2"/>
      <c r="QAM33" s="2"/>
      <c r="QAN33" s="2"/>
      <c r="QAO33" s="2"/>
      <c r="QAP33" s="2"/>
      <c r="QAQ33" s="2"/>
      <c r="QAR33" s="2"/>
      <c r="QAS33" s="2"/>
      <c r="QAT33" s="2"/>
      <c r="QAU33" s="2"/>
      <c r="QAV33" s="2"/>
      <c r="QAW33" s="2"/>
      <c r="QAX33" s="2"/>
      <c r="QAY33" s="2"/>
      <c r="QAZ33" s="2"/>
      <c r="QBA33" s="2"/>
      <c r="QBB33" s="2"/>
      <c r="QBC33" s="2"/>
      <c r="QBD33" s="2"/>
      <c r="QBE33" s="2"/>
      <c r="QBF33" s="2"/>
      <c r="QBG33" s="2"/>
      <c r="QBH33" s="2"/>
      <c r="QBI33" s="2"/>
      <c r="QBJ33" s="2"/>
      <c r="QBK33" s="2"/>
      <c r="QBL33" s="2"/>
      <c r="QBM33" s="2"/>
      <c r="QBN33" s="2"/>
      <c r="QBO33" s="2"/>
      <c r="QBP33" s="2"/>
      <c r="QBQ33" s="2"/>
      <c r="QBR33" s="2"/>
      <c r="QBS33" s="2"/>
      <c r="QBT33" s="2"/>
      <c r="QBU33" s="2"/>
      <c r="QBV33" s="2"/>
      <c r="QBW33" s="2"/>
      <c r="QBX33" s="2"/>
      <c r="QBY33" s="2"/>
      <c r="QBZ33" s="2"/>
      <c r="QCA33" s="2"/>
      <c r="QCB33" s="2"/>
      <c r="QCC33" s="2"/>
      <c r="QCD33" s="2"/>
      <c r="QCE33" s="2"/>
      <c r="QCF33" s="2"/>
      <c r="QCG33" s="2"/>
      <c r="QCH33" s="2"/>
      <c r="QCI33" s="2"/>
      <c r="QCJ33" s="2"/>
      <c r="QCK33" s="2"/>
      <c r="QCL33" s="2"/>
      <c r="QCM33" s="2"/>
      <c r="QCN33" s="2"/>
      <c r="QCO33" s="2"/>
      <c r="QCP33" s="2"/>
      <c r="QCQ33" s="2"/>
      <c r="QCR33" s="2"/>
      <c r="QCS33" s="2"/>
      <c r="QCT33" s="2"/>
      <c r="QCU33" s="2"/>
      <c r="QCV33" s="2"/>
      <c r="QCW33" s="2"/>
      <c r="QCX33" s="2"/>
      <c r="QCY33" s="2"/>
      <c r="QCZ33" s="2"/>
      <c r="QDA33" s="2"/>
      <c r="QDB33" s="2"/>
      <c r="QDC33" s="2"/>
      <c r="QDD33" s="2"/>
      <c r="QDE33" s="2"/>
      <c r="QDF33" s="2"/>
      <c r="QDG33" s="2"/>
      <c r="QDH33" s="2"/>
      <c r="QDI33" s="2"/>
      <c r="QDJ33" s="2"/>
      <c r="QDK33" s="2"/>
      <c r="QDL33" s="2"/>
      <c r="QDM33" s="2"/>
      <c r="QDN33" s="2"/>
      <c r="QDO33" s="2"/>
      <c r="QDP33" s="2"/>
      <c r="QDQ33" s="2"/>
      <c r="QDR33" s="2"/>
      <c r="QDS33" s="2"/>
      <c r="QDT33" s="2"/>
      <c r="QDU33" s="2"/>
      <c r="QDV33" s="2"/>
      <c r="QDW33" s="2"/>
      <c r="QDX33" s="2"/>
      <c r="QDY33" s="2"/>
      <c r="QDZ33" s="2"/>
      <c r="QEA33" s="2"/>
      <c r="QEB33" s="2"/>
      <c r="QEC33" s="2"/>
      <c r="QED33" s="2"/>
      <c r="QEE33" s="2"/>
      <c r="QEF33" s="2"/>
      <c r="QEG33" s="2"/>
      <c r="QEH33" s="2"/>
      <c r="QEI33" s="2"/>
      <c r="QEJ33" s="2"/>
      <c r="QEK33" s="2"/>
      <c r="QEL33" s="2"/>
      <c r="QEM33" s="2"/>
      <c r="QEN33" s="2"/>
      <c r="QEO33" s="2"/>
      <c r="QEP33" s="2"/>
      <c r="QEQ33" s="2"/>
      <c r="QER33" s="2"/>
      <c r="QES33" s="2"/>
      <c r="QET33" s="2"/>
      <c r="QEU33" s="2"/>
      <c r="QEV33" s="2"/>
      <c r="QEW33" s="2"/>
      <c r="QEX33" s="2"/>
      <c r="QEY33" s="2"/>
      <c r="QEZ33" s="2"/>
      <c r="QFA33" s="2"/>
      <c r="QFB33" s="2"/>
      <c r="QFC33" s="2"/>
      <c r="QFD33" s="2"/>
      <c r="QFE33" s="2"/>
      <c r="QFF33" s="2"/>
      <c r="QFG33" s="2"/>
      <c r="QFH33" s="2"/>
      <c r="QFI33" s="2"/>
      <c r="QFJ33" s="2"/>
      <c r="QFK33" s="2"/>
      <c r="QFL33" s="2"/>
      <c r="QFM33" s="2"/>
      <c r="QFN33" s="2"/>
      <c r="QFO33" s="2"/>
      <c r="QFP33" s="2"/>
      <c r="QFQ33" s="2"/>
      <c r="QFR33" s="2"/>
      <c r="QFS33" s="2"/>
      <c r="QFT33" s="2"/>
      <c r="QFU33" s="2"/>
      <c r="QFV33" s="2"/>
      <c r="QFW33" s="2"/>
      <c r="QFX33" s="2"/>
      <c r="QFY33" s="2"/>
      <c r="QFZ33" s="2"/>
      <c r="QGA33" s="2"/>
      <c r="QGB33" s="2"/>
      <c r="QGC33" s="2"/>
      <c r="QGD33" s="2"/>
      <c r="QGE33" s="2"/>
      <c r="QGF33" s="2"/>
      <c r="QGG33" s="2"/>
      <c r="QGH33" s="2"/>
      <c r="QGI33" s="2"/>
      <c r="QGJ33" s="2"/>
      <c r="QGK33" s="2"/>
      <c r="QGL33" s="2"/>
      <c r="QGM33" s="2"/>
      <c r="QGN33" s="2"/>
      <c r="QGO33" s="2"/>
      <c r="QGP33" s="2"/>
      <c r="QGQ33" s="2"/>
      <c r="QGR33" s="2"/>
      <c r="QGS33" s="2"/>
      <c r="QGT33" s="2"/>
      <c r="QGU33" s="2"/>
      <c r="QGV33" s="2"/>
      <c r="QGW33" s="2"/>
      <c r="QGX33" s="2"/>
      <c r="QGY33" s="2"/>
      <c r="QGZ33" s="2"/>
      <c r="QHA33" s="2"/>
      <c r="QHB33" s="2"/>
      <c r="QHC33" s="2"/>
      <c r="QHD33" s="2"/>
      <c r="QHE33" s="2"/>
      <c r="QHF33" s="2"/>
      <c r="QHG33" s="2"/>
      <c r="QHH33" s="2"/>
      <c r="QHI33" s="2"/>
      <c r="QHJ33" s="2"/>
      <c r="QHK33" s="2"/>
      <c r="QHL33" s="2"/>
      <c r="QHM33" s="2"/>
      <c r="QHN33" s="2"/>
      <c r="QHO33" s="2"/>
      <c r="QHP33" s="2"/>
      <c r="QHQ33" s="2"/>
      <c r="QHR33" s="2"/>
      <c r="QHS33" s="2"/>
      <c r="QHT33" s="2"/>
      <c r="QHU33" s="2"/>
      <c r="QHV33" s="2"/>
      <c r="QHW33" s="2"/>
      <c r="QHX33" s="2"/>
      <c r="QHY33" s="2"/>
      <c r="QHZ33" s="2"/>
      <c r="QIA33" s="2"/>
      <c r="QIB33" s="2"/>
      <c r="QIC33" s="2"/>
      <c r="QID33" s="2"/>
      <c r="QIE33" s="2"/>
      <c r="QIF33" s="2"/>
      <c r="QIG33" s="2"/>
      <c r="QIH33" s="2"/>
      <c r="QII33" s="2"/>
      <c r="QIJ33" s="2"/>
      <c r="QIK33" s="2"/>
      <c r="QIL33" s="2"/>
      <c r="QIM33" s="2"/>
      <c r="QIN33" s="2"/>
      <c r="QIO33" s="2"/>
      <c r="QIP33" s="2"/>
      <c r="QIQ33" s="2"/>
      <c r="QIR33" s="2"/>
      <c r="QIS33" s="2"/>
      <c r="QIT33" s="2"/>
      <c r="QIU33" s="2"/>
      <c r="QIV33" s="2"/>
      <c r="QIW33" s="2"/>
      <c r="QIX33" s="2"/>
      <c r="QIY33" s="2"/>
      <c r="QIZ33" s="2"/>
      <c r="QJA33" s="2"/>
      <c r="QJB33" s="2"/>
      <c r="QJC33" s="2"/>
      <c r="QJD33" s="2"/>
      <c r="QJE33" s="2"/>
      <c r="QJF33" s="2"/>
      <c r="QJG33" s="2"/>
      <c r="QJH33" s="2"/>
      <c r="QJI33" s="2"/>
      <c r="QJJ33" s="2"/>
      <c r="QJK33" s="2"/>
      <c r="QJL33" s="2"/>
      <c r="QJM33" s="2"/>
      <c r="QJN33" s="2"/>
      <c r="QJO33" s="2"/>
      <c r="QJP33" s="2"/>
      <c r="QJQ33" s="2"/>
      <c r="QJR33" s="2"/>
      <c r="QJS33" s="2"/>
      <c r="QJT33" s="2"/>
      <c r="QJU33" s="2"/>
      <c r="QJV33" s="2"/>
      <c r="QJW33" s="2"/>
      <c r="QJX33" s="2"/>
      <c r="QJY33" s="2"/>
      <c r="QJZ33" s="2"/>
      <c r="QKA33" s="2"/>
      <c r="QKB33" s="2"/>
      <c r="QKC33" s="2"/>
      <c r="QKD33" s="2"/>
      <c r="QKE33" s="2"/>
      <c r="QKF33" s="2"/>
      <c r="QKG33" s="2"/>
      <c r="QKH33" s="2"/>
      <c r="QKI33" s="2"/>
      <c r="QKJ33" s="2"/>
      <c r="QKK33" s="2"/>
      <c r="QKL33" s="2"/>
      <c r="QKM33" s="2"/>
      <c r="QKN33" s="2"/>
      <c r="QKO33" s="2"/>
      <c r="QKP33" s="2"/>
      <c r="QKQ33" s="2"/>
      <c r="QKR33" s="2"/>
      <c r="QKS33" s="2"/>
      <c r="QKT33" s="2"/>
      <c r="QKU33" s="2"/>
      <c r="QKV33" s="2"/>
      <c r="QKW33" s="2"/>
      <c r="QKX33" s="2"/>
      <c r="QKY33" s="2"/>
      <c r="QKZ33" s="2"/>
      <c r="QLA33" s="2"/>
      <c r="QLB33" s="2"/>
      <c r="QLC33" s="2"/>
      <c r="QLD33" s="2"/>
      <c r="QLE33" s="2"/>
      <c r="QLF33" s="2"/>
      <c r="QLG33" s="2"/>
      <c r="QLH33" s="2"/>
      <c r="QLI33" s="2"/>
      <c r="QLJ33" s="2"/>
      <c r="QLK33" s="2"/>
      <c r="QLL33" s="2"/>
      <c r="QLM33" s="2"/>
      <c r="QLN33" s="2"/>
      <c r="QLO33" s="2"/>
      <c r="QLP33" s="2"/>
      <c r="QLQ33" s="2"/>
      <c r="QLR33" s="2"/>
      <c r="QLS33" s="2"/>
      <c r="QLT33" s="2"/>
      <c r="QLU33" s="2"/>
      <c r="QLV33" s="2"/>
      <c r="QLW33" s="2"/>
      <c r="QLX33" s="2"/>
      <c r="QLY33" s="2"/>
      <c r="QLZ33" s="2"/>
      <c r="QMA33" s="2"/>
      <c r="QMB33" s="2"/>
      <c r="QMC33" s="2"/>
      <c r="QMD33" s="2"/>
      <c r="QME33" s="2"/>
      <c r="QMF33" s="2"/>
      <c r="QMG33" s="2"/>
      <c r="QMH33" s="2"/>
      <c r="QMI33" s="2"/>
      <c r="QMJ33" s="2"/>
      <c r="QMK33" s="2"/>
      <c r="QML33" s="2"/>
      <c r="QMM33" s="2"/>
      <c r="QMN33" s="2"/>
      <c r="QMO33" s="2"/>
      <c r="QMP33" s="2"/>
      <c r="QMQ33" s="2"/>
      <c r="QMR33" s="2"/>
      <c r="QMS33" s="2"/>
      <c r="QMT33" s="2"/>
      <c r="QMU33" s="2"/>
      <c r="QMV33" s="2"/>
      <c r="QMW33" s="2"/>
      <c r="QMX33" s="2"/>
      <c r="QMY33" s="2"/>
      <c r="QMZ33" s="2"/>
      <c r="QNA33" s="2"/>
      <c r="QNB33" s="2"/>
      <c r="QNC33" s="2"/>
      <c r="QND33" s="2"/>
      <c r="QNE33" s="2"/>
      <c r="QNF33" s="2"/>
      <c r="QNG33" s="2"/>
      <c r="QNH33" s="2"/>
      <c r="QNI33" s="2"/>
      <c r="QNJ33" s="2"/>
      <c r="QNK33" s="2"/>
      <c r="QNL33" s="2"/>
      <c r="QNM33" s="2"/>
      <c r="QNN33" s="2"/>
      <c r="QNO33" s="2"/>
      <c r="QNP33" s="2"/>
      <c r="QNQ33" s="2"/>
      <c r="QNR33" s="2"/>
      <c r="QNS33" s="2"/>
      <c r="QNT33" s="2"/>
      <c r="QNU33" s="2"/>
      <c r="QNV33" s="2"/>
      <c r="QNW33" s="2"/>
      <c r="QNX33" s="2"/>
      <c r="QNY33" s="2"/>
      <c r="QNZ33" s="2"/>
      <c r="QOA33" s="2"/>
      <c r="QOB33" s="2"/>
      <c r="QOC33" s="2"/>
      <c r="QOD33" s="2"/>
      <c r="QOE33" s="2"/>
      <c r="QOF33" s="2"/>
      <c r="QOG33" s="2"/>
      <c r="QOH33" s="2"/>
      <c r="QOI33" s="2"/>
      <c r="QOJ33" s="2"/>
      <c r="QOK33" s="2"/>
      <c r="QOL33" s="2"/>
      <c r="QOM33" s="2"/>
      <c r="QON33" s="2"/>
      <c r="QOO33" s="2"/>
      <c r="QOP33" s="2"/>
      <c r="QOQ33" s="2"/>
      <c r="QOR33" s="2"/>
      <c r="QOS33" s="2"/>
      <c r="QOT33" s="2"/>
      <c r="QOU33" s="2"/>
      <c r="QOV33" s="2"/>
      <c r="QOW33" s="2"/>
      <c r="QOX33" s="2"/>
      <c r="QOY33" s="2"/>
      <c r="QOZ33" s="2"/>
      <c r="QPA33" s="2"/>
      <c r="QPB33" s="2"/>
      <c r="QPC33" s="2"/>
      <c r="QPD33" s="2"/>
      <c r="QPE33" s="2"/>
      <c r="QPF33" s="2"/>
      <c r="QPG33" s="2"/>
      <c r="QPH33" s="2"/>
      <c r="QPI33" s="2"/>
      <c r="QPJ33" s="2"/>
      <c r="QPK33" s="2"/>
      <c r="QPL33" s="2"/>
      <c r="QPM33" s="2"/>
      <c r="QPN33" s="2"/>
      <c r="QPO33" s="2"/>
      <c r="QPP33" s="2"/>
      <c r="QPQ33" s="2"/>
      <c r="QPR33" s="2"/>
      <c r="QPS33" s="2"/>
      <c r="QPT33" s="2"/>
      <c r="QPU33" s="2"/>
      <c r="QPV33" s="2"/>
      <c r="QPW33" s="2"/>
      <c r="QPX33" s="2"/>
      <c r="QPY33" s="2"/>
      <c r="QPZ33" s="2"/>
      <c r="QQA33" s="2"/>
      <c r="QQB33" s="2"/>
      <c r="QQC33" s="2"/>
      <c r="QQD33" s="2"/>
      <c r="QQE33" s="2"/>
      <c r="QQF33" s="2"/>
      <c r="QQG33" s="2"/>
      <c r="QQH33" s="2"/>
      <c r="QQI33" s="2"/>
      <c r="QQJ33" s="2"/>
      <c r="QQK33" s="2"/>
      <c r="QQL33" s="2"/>
      <c r="QQM33" s="2"/>
      <c r="QQN33" s="2"/>
      <c r="QQO33" s="2"/>
      <c r="QQP33" s="2"/>
      <c r="QQQ33" s="2"/>
      <c r="QQR33" s="2"/>
      <c r="QQS33" s="2"/>
      <c r="QQT33" s="2"/>
      <c r="QQU33" s="2"/>
      <c r="QQV33" s="2"/>
      <c r="QQW33" s="2"/>
      <c r="QQX33" s="2"/>
      <c r="QQY33" s="2"/>
      <c r="QQZ33" s="2"/>
      <c r="QRA33" s="2"/>
      <c r="QRB33" s="2"/>
      <c r="QRC33" s="2"/>
      <c r="QRD33" s="2"/>
      <c r="QRE33" s="2"/>
      <c r="QRF33" s="2"/>
      <c r="QRG33" s="2"/>
      <c r="QRH33" s="2"/>
      <c r="QRI33" s="2"/>
      <c r="QRJ33" s="2"/>
      <c r="QRK33" s="2"/>
      <c r="QRL33" s="2"/>
      <c r="QRM33" s="2"/>
      <c r="QRN33" s="2"/>
      <c r="QRO33" s="2"/>
      <c r="QRP33" s="2"/>
      <c r="QRQ33" s="2"/>
      <c r="QRR33" s="2"/>
      <c r="QRS33" s="2"/>
      <c r="QRT33" s="2"/>
      <c r="QRU33" s="2"/>
      <c r="QRV33" s="2"/>
      <c r="QRW33" s="2"/>
      <c r="QRX33" s="2"/>
      <c r="QRY33" s="2"/>
      <c r="QRZ33" s="2"/>
      <c r="QSA33" s="2"/>
      <c r="QSB33" s="2"/>
      <c r="QSC33" s="2"/>
      <c r="QSD33" s="2"/>
      <c r="QSE33" s="2"/>
      <c r="QSF33" s="2"/>
      <c r="QSG33" s="2"/>
      <c r="QSH33" s="2"/>
      <c r="QSI33" s="2"/>
      <c r="QSJ33" s="2"/>
      <c r="QSK33" s="2"/>
      <c r="QSL33" s="2"/>
      <c r="QSM33" s="2"/>
      <c r="QSN33" s="2"/>
      <c r="QSO33" s="2"/>
      <c r="QSP33" s="2"/>
      <c r="QSQ33" s="2"/>
      <c r="QSR33" s="2"/>
      <c r="QSS33" s="2"/>
      <c r="QST33" s="2"/>
      <c r="QSU33" s="2"/>
      <c r="QSV33" s="2"/>
      <c r="QSW33" s="2"/>
      <c r="QSX33" s="2"/>
      <c r="QSY33" s="2"/>
      <c r="QSZ33" s="2"/>
      <c r="QTA33" s="2"/>
      <c r="QTB33" s="2"/>
      <c r="QTC33" s="2"/>
      <c r="QTD33" s="2"/>
      <c r="QTE33" s="2"/>
      <c r="QTF33" s="2"/>
      <c r="QTG33" s="2"/>
      <c r="QTH33" s="2"/>
      <c r="QTI33" s="2"/>
      <c r="QTJ33" s="2"/>
      <c r="QTK33" s="2"/>
      <c r="QTL33" s="2"/>
      <c r="QTM33" s="2"/>
      <c r="QTN33" s="2"/>
      <c r="QTO33" s="2"/>
      <c r="QTP33" s="2"/>
      <c r="QTQ33" s="2"/>
      <c r="QTR33" s="2"/>
      <c r="QTS33" s="2"/>
      <c r="QTT33" s="2"/>
      <c r="QTU33" s="2"/>
      <c r="QTV33" s="2"/>
      <c r="QTW33" s="2"/>
      <c r="QTX33" s="2"/>
      <c r="QTY33" s="2"/>
      <c r="QTZ33" s="2"/>
      <c r="QUA33" s="2"/>
      <c r="QUB33" s="2"/>
      <c r="QUC33" s="2"/>
      <c r="QUD33" s="2"/>
      <c r="QUE33" s="2"/>
      <c r="QUF33" s="2"/>
      <c r="QUG33" s="2"/>
      <c r="QUH33" s="2"/>
      <c r="QUI33" s="2"/>
      <c r="QUJ33" s="2"/>
      <c r="QUK33" s="2"/>
      <c r="QUL33" s="2"/>
      <c r="QUM33" s="2"/>
      <c r="QUN33" s="2"/>
      <c r="QUO33" s="2"/>
      <c r="QUP33" s="2"/>
      <c r="QUQ33" s="2"/>
      <c r="QUR33" s="2"/>
      <c r="QUS33" s="2"/>
      <c r="QUT33" s="2"/>
      <c r="QUU33" s="2"/>
      <c r="QUV33" s="2"/>
      <c r="QUW33" s="2"/>
      <c r="QUX33" s="2"/>
      <c r="QUY33" s="2"/>
      <c r="QUZ33" s="2"/>
      <c r="QVA33" s="2"/>
      <c r="QVB33" s="2"/>
      <c r="QVC33" s="2"/>
      <c r="QVD33" s="2"/>
      <c r="QVE33" s="2"/>
      <c r="QVF33" s="2"/>
      <c r="QVG33" s="2"/>
      <c r="QVH33" s="2"/>
      <c r="QVI33" s="2"/>
      <c r="QVJ33" s="2"/>
      <c r="QVK33" s="2"/>
      <c r="QVL33" s="2"/>
      <c r="QVM33" s="2"/>
      <c r="QVN33" s="2"/>
      <c r="QVO33" s="2"/>
      <c r="QVP33" s="2"/>
      <c r="QVQ33" s="2"/>
      <c r="QVR33" s="2"/>
      <c r="QVS33" s="2"/>
      <c r="QVT33" s="2"/>
      <c r="QVU33" s="2"/>
      <c r="QVV33" s="2"/>
      <c r="QVW33" s="2"/>
      <c r="QVX33" s="2"/>
      <c r="QVY33" s="2"/>
      <c r="QVZ33" s="2"/>
      <c r="QWA33" s="2"/>
      <c r="QWB33" s="2"/>
      <c r="QWC33" s="2"/>
      <c r="QWD33" s="2"/>
      <c r="QWE33" s="2"/>
      <c r="QWF33" s="2"/>
      <c r="QWG33" s="2"/>
      <c r="QWH33" s="2"/>
      <c r="QWI33" s="2"/>
      <c r="QWJ33" s="2"/>
      <c r="QWK33" s="2"/>
      <c r="QWL33" s="2"/>
      <c r="QWM33" s="2"/>
      <c r="QWN33" s="2"/>
      <c r="QWO33" s="2"/>
      <c r="QWP33" s="2"/>
      <c r="QWQ33" s="2"/>
      <c r="QWR33" s="2"/>
      <c r="QWS33" s="2"/>
      <c r="QWT33" s="2"/>
      <c r="QWU33" s="2"/>
      <c r="QWV33" s="2"/>
      <c r="QWW33" s="2"/>
      <c r="QWX33" s="2"/>
      <c r="QWY33" s="2"/>
      <c r="QWZ33" s="2"/>
      <c r="QXA33" s="2"/>
      <c r="QXB33" s="2"/>
      <c r="QXC33" s="2"/>
      <c r="QXD33" s="2"/>
      <c r="QXE33" s="2"/>
      <c r="QXF33" s="2"/>
      <c r="QXG33" s="2"/>
      <c r="QXH33" s="2"/>
      <c r="QXI33" s="2"/>
      <c r="QXJ33" s="2"/>
      <c r="QXK33" s="2"/>
      <c r="QXL33" s="2"/>
      <c r="QXM33" s="2"/>
      <c r="QXN33" s="2"/>
      <c r="QXO33" s="2"/>
      <c r="QXP33" s="2"/>
      <c r="QXQ33" s="2"/>
      <c r="QXR33" s="2"/>
      <c r="QXS33" s="2"/>
      <c r="QXT33" s="2"/>
      <c r="QXU33" s="2"/>
      <c r="QXV33" s="2"/>
      <c r="QXW33" s="2"/>
      <c r="QXX33" s="2"/>
      <c r="QXY33" s="2"/>
      <c r="QXZ33" s="2"/>
      <c r="QYA33" s="2"/>
      <c r="QYB33" s="2"/>
      <c r="QYC33" s="2"/>
      <c r="QYD33" s="2"/>
      <c r="QYE33" s="2"/>
      <c r="QYF33" s="2"/>
      <c r="QYG33" s="2"/>
      <c r="QYH33" s="2"/>
      <c r="QYI33" s="2"/>
      <c r="QYJ33" s="2"/>
      <c r="QYK33" s="2"/>
      <c r="QYL33" s="2"/>
      <c r="QYM33" s="2"/>
      <c r="QYN33" s="2"/>
      <c r="QYO33" s="2"/>
      <c r="QYP33" s="2"/>
      <c r="QYQ33" s="2"/>
      <c r="QYR33" s="2"/>
      <c r="QYS33" s="2"/>
      <c r="QYT33" s="2"/>
      <c r="QYU33" s="2"/>
      <c r="QYV33" s="2"/>
      <c r="QYW33" s="2"/>
      <c r="QYX33" s="2"/>
      <c r="QYY33" s="2"/>
      <c r="QYZ33" s="2"/>
      <c r="QZA33" s="2"/>
      <c r="QZB33" s="2"/>
      <c r="QZC33" s="2"/>
      <c r="QZD33" s="2"/>
      <c r="QZE33" s="2"/>
      <c r="QZF33" s="2"/>
      <c r="QZG33" s="2"/>
      <c r="QZH33" s="2"/>
      <c r="QZI33" s="2"/>
      <c r="QZJ33" s="2"/>
      <c r="QZK33" s="2"/>
      <c r="QZL33" s="2"/>
      <c r="QZM33" s="2"/>
      <c r="QZN33" s="2"/>
      <c r="QZO33" s="2"/>
      <c r="QZP33" s="2"/>
      <c r="QZQ33" s="2"/>
      <c r="QZR33" s="2"/>
      <c r="QZS33" s="2"/>
      <c r="QZT33" s="2"/>
      <c r="QZU33" s="2"/>
      <c r="QZV33" s="2"/>
      <c r="QZW33" s="2"/>
      <c r="QZX33" s="2"/>
      <c r="QZY33" s="2"/>
      <c r="QZZ33" s="2"/>
      <c r="RAA33" s="2"/>
      <c r="RAB33" s="2"/>
      <c r="RAC33" s="2"/>
      <c r="RAD33" s="2"/>
      <c r="RAE33" s="2"/>
      <c r="RAF33" s="2"/>
      <c r="RAG33" s="2"/>
      <c r="RAH33" s="2"/>
      <c r="RAI33" s="2"/>
      <c r="RAJ33" s="2"/>
      <c r="RAK33" s="2"/>
      <c r="RAL33" s="2"/>
      <c r="RAM33" s="2"/>
      <c r="RAN33" s="2"/>
      <c r="RAO33" s="2"/>
      <c r="RAP33" s="2"/>
      <c r="RAQ33" s="2"/>
      <c r="RAR33" s="2"/>
      <c r="RAS33" s="2"/>
      <c r="RAT33" s="2"/>
      <c r="RAU33" s="2"/>
      <c r="RAV33" s="2"/>
      <c r="RAW33" s="2"/>
      <c r="RAX33" s="2"/>
      <c r="RAY33" s="2"/>
      <c r="RAZ33" s="2"/>
      <c r="RBA33" s="2"/>
      <c r="RBB33" s="2"/>
      <c r="RBC33" s="2"/>
      <c r="RBD33" s="2"/>
      <c r="RBE33" s="2"/>
      <c r="RBF33" s="2"/>
      <c r="RBG33" s="2"/>
      <c r="RBH33" s="2"/>
      <c r="RBI33" s="2"/>
      <c r="RBJ33" s="2"/>
      <c r="RBK33" s="2"/>
      <c r="RBL33" s="2"/>
      <c r="RBM33" s="2"/>
      <c r="RBN33" s="2"/>
      <c r="RBO33" s="2"/>
      <c r="RBP33" s="2"/>
      <c r="RBQ33" s="2"/>
      <c r="RBR33" s="2"/>
      <c r="RBS33" s="2"/>
      <c r="RBT33" s="2"/>
      <c r="RBU33" s="2"/>
      <c r="RBV33" s="2"/>
      <c r="RBW33" s="2"/>
      <c r="RBX33" s="2"/>
      <c r="RBY33" s="2"/>
      <c r="RBZ33" s="2"/>
      <c r="RCA33" s="2"/>
      <c r="RCB33" s="2"/>
      <c r="RCC33" s="2"/>
      <c r="RCD33" s="2"/>
      <c r="RCE33" s="2"/>
      <c r="RCF33" s="2"/>
      <c r="RCG33" s="2"/>
      <c r="RCH33" s="2"/>
      <c r="RCI33" s="2"/>
      <c r="RCJ33" s="2"/>
      <c r="RCK33" s="2"/>
      <c r="RCL33" s="2"/>
      <c r="RCM33" s="2"/>
      <c r="RCN33" s="2"/>
      <c r="RCO33" s="2"/>
      <c r="RCP33" s="2"/>
      <c r="RCQ33" s="2"/>
      <c r="RCR33" s="2"/>
      <c r="RCS33" s="2"/>
      <c r="RCT33" s="2"/>
      <c r="RCU33" s="2"/>
      <c r="RCV33" s="2"/>
      <c r="RCW33" s="2"/>
      <c r="RCX33" s="2"/>
      <c r="RCY33" s="2"/>
      <c r="RCZ33" s="2"/>
      <c r="RDA33" s="2"/>
      <c r="RDB33" s="2"/>
      <c r="RDC33" s="2"/>
      <c r="RDD33" s="2"/>
      <c r="RDE33" s="2"/>
      <c r="RDF33" s="2"/>
      <c r="RDG33" s="2"/>
      <c r="RDH33" s="2"/>
      <c r="RDI33" s="2"/>
      <c r="RDJ33" s="2"/>
      <c r="RDK33" s="2"/>
      <c r="RDL33" s="2"/>
      <c r="RDM33" s="2"/>
      <c r="RDN33" s="2"/>
      <c r="RDO33" s="2"/>
      <c r="RDP33" s="2"/>
      <c r="RDQ33" s="2"/>
      <c r="RDR33" s="2"/>
      <c r="RDS33" s="2"/>
      <c r="RDT33" s="2"/>
      <c r="RDU33" s="2"/>
      <c r="RDV33" s="2"/>
      <c r="RDW33" s="2"/>
      <c r="RDX33" s="2"/>
      <c r="RDY33" s="2"/>
      <c r="RDZ33" s="2"/>
      <c r="REA33" s="2"/>
      <c r="REB33" s="2"/>
      <c r="REC33" s="2"/>
      <c r="RED33" s="2"/>
      <c r="REE33" s="2"/>
      <c r="REF33" s="2"/>
      <c r="REG33" s="2"/>
      <c r="REH33" s="2"/>
      <c r="REI33" s="2"/>
      <c r="REJ33" s="2"/>
      <c r="REK33" s="2"/>
      <c r="REL33" s="2"/>
      <c r="REM33" s="2"/>
      <c r="REN33" s="2"/>
      <c r="REO33" s="2"/>
      <c r="REP33" s="2"/>
      <c r="REQ33" s="2"/>
      <c r="RER33" s="2"/>
      <c r="RES33" s="2"/>
      <c r="RET33" s="2"/>
      <c r="REU33" s="2"/>
      <c r="REV33" s="2"/>
      <c r="REW33" s="2"/>
      <c r="REX33" s="2"/>
      <c r="REY33" s="2"/>
      <c r="REZ33" s="2"/>
      <c r="RFA33" s="2"/>
      <c r="RFB33" s="2"/>
      <c r="RFC33" s="2"/>
      <c r="RFD33" s="2"/>
      <c r="RFE33" s="2"/>
      <c r="RFF33" s="2"/>
      <c r="RFG33" s="2"/>
      <c r="RFH33" s="2"/>
      <c r="RFI33" s="2"/>
      <c r="RFJ33" s="2"/>
      <c r="RFK33" s="2"/>
      <c r="RFL33" s="2"/>
      <c r="RFM33" s="2"/>
      <c r="RFN33" s="2"/>
      <c r="RFO33" s="2"/>
      <c r="RFP33" s="2"/>
      <c r="RFQ33" s="2"/>
      <c r="RFR33" s="2"/>
      <c r="RFS33" s="2"/>
      <c r="RFT33" s="2"/>
      <c r="RFU33" s="2"/>
      <c r="RFV33" s="2"/>
      <c r="RFW33" s="2"/>
      <c r="RFX33" s="2"/>
      <c r="RFY33" s="2"/>
      <c r="RFZ33" s="2"/>
      <c r="RGA33" s="2"/>
      <c r="RGB33" s="2"/>
      <c r="RGC33" s="2"/>
      <c r="RGD33" s="2"/>
      <c r="RGE33" s="2"/>
      <c r="RGF33" s="2"/>
      <c r="RGG33" s="2"/>
      <c r="RGH33" s="2"/>
      <c r="RGI33" s="2"/>
      <c r="RGJ33" s="2"/>
      <c r="RGK33" s="2"/>
      <c r="RGL33" s="2"/>
      <c r="RGM33" s="2"/>
      <c r="RGN33" s="2"/>
      <c r="RGO33" s="2"/>
      <c r="RGP33" s="2"/>
      <c r="RGQ33" s="2"/>
      <c r="RGR33" s="2"/>
      <c r="RGS33" s="2"/>
      <c r="RGT33" s="2"/>
      <c r="RGU33" s="2"/>
      <c r="RGV33" s="2"/>
      <c r="RGW33" s="2"/>
      <c r="RGX33" s="2"/>
      <c r="RGY33" s="2"/>
      <c r="RGZ33" s="2"/>
      <c r="RHA33" s="2"/>
      <c r="RHB33" s="2"/>
      <c r="RHC33" s="2"/>
      <c r="RHD33" s="2"/>
      <c r="RHE33" s="2"/>
      <c r="RHF33" s="2"/>
      <c r="RHG33" s="2"/>
      <c r="RHH33" s="2"/>
      <c r="RHI33" s="2"/>
      <c r="RHJ33" s="2"/>
      <c r="RHK33" s="2"/>
      <c r="RHL33" s="2"/>
      <c r="RHM33" s="2"/>
      <c r="RHN33" s="2"/>
      <c r="RHO33" s="2"/>
      <c r="RHP33" s="2"/>
      <c r="RHQ33" s="2"/>
      <c r="RHR33" s="2"/>
      <c r="RHS33" s="2"/>
      <c r="RHT33" s="2"/>
      <c r="RHU33" s="2"/>
      <c r="RHV33" s="2"/>
      <c r="RHW33" s="2"/>
      <c r="RHX33" s="2"/>
      <c r="RHY33" s="2"/>
      <c r="RHZ33" s="2"/>
      <c r="RIA33" s="2"/>
      <c r="RIB33" s="2"/>
      <c r="RIC33" s="2"/>
      <c r="RID33" s="2"/>
      <c r="RIE33" s="2"/>
      <c r="RIF33" s="2"/>
      <c r="RIG33" s="2"/>
      <c r="RIH33" s="2"/>
      <c r="RII33" s="2"/>
      <c r="RIJ33" s="2"/>
      <c r="RIK33" s="2"/>
      <c r="RIL33" s="2"/>
      <c r="RIM33" s="2"/>
      <c r="RIN33" s="2"/>
      <c r="RIO33" s="2"/>
      <c r="RIP33" s="2"/>
      <c r="RIQ33" s="2"/>
      <c r="RIR33" s="2"/>
      <c r="RIS33" s="2"/>
      <c r="RIT33" s="2"/>
      <c r="RIU33" s="2"/>
      <c r="RIV33" s="2"/>
      <c r="RIW33" s="2"/>
      <c r="RIX33" s="2"/>
      <c r="RIY33" s="2"/>
      <c r="RIZ33" s="2"/>
      <c r="RJA33" s="2"/>
      <c r="RJB33" s="2"/>
      <c r="RJC33" s="2"/>
      <c r="RJD33" s="2"/>
      <c r="RJE33" s="2"/>
      <c r="RJF33" s="2"/>
      <c r="RJG33" s="2"/>
      <c r="RJH33" s="2"/>
      <c r="RJI33" s="2"/>
      <c r="RJJ33" s="2"/>
      <c r="RJK33" s="2"/>
      <c r="RJL33" s="2"/>
      <c r="RJM33" s="2"/>
      <c r="RJN33" s="2"/>
      <c r="RJO33" s="2"/>
      <c r="RJP33" s="2"/>
      <c r="RJQ33" s="2"/>
      <c r="RJR33" s="2"/>
      <c r="RJS33" s="2"/>
      <c r="RJT33" s="2"/>
      <c r="RJU33" s="2"/>
      <c r="RJV33" s="2"/>
      <c r="RJW33" s="2"/>
      <c r="RJX33" s="2"/>
      <c r="RJY33" s="2"/>
      <c r="RJZ33" s="2"/>
      <c r="RKA33" s="2"/>
      <c r="RKB33" s="2"/>
      <c r="RKC33" s="2"/>
      <c r="RKD33" s="2"/>
      <c r="RKE33" s="2"/>
      <c r="RKF33" s="2"/>
      <c r="RKG33" s="2"/>
      <c r="RKH33" s="2"/>
      <c r="RKI33" s="2"/>
      <c r="RKJ33" s="2"/>
      <c r="RKK33" s="2"/>
      <c r="RKL33" s="2"/>
      <c r="RKM33" s="2"/>
      <c r="RKN33" s="2"/>
      <c r="RKO33" s="2"/>
      <c r="RKP33" s="2"/>
      <c r="RKQ33" s="2"/>
      <c r="RKR33" s="2"/>
      <c r="RKS33" s="2"/>
      <c r="RKT33" s="2"/>
      <c r="RKU33" s="2"/>
      <c r="RKV33" s="2"/>
      <c r="RKW33" s="2"/>
      <c r="RKX33" s="2"/>
      <c r="RKY33" s="2"/>
      <c r="RKZ33" s="2"/>
      <c r="RLA33" s="2"/>
      <c r="RLB33" s="2"/>
      <c r="RLC33" s="2"/>
      <c r="RLD33" s="2"/>
      <c r="RLE33" s="2"/>
      <c r="RLF33" s="2"/>
      <c r="RLG33" s="2"/>
      <c r="RLH33" s="2"/>
      <c r="RLI33" s="2"/>
      <c r="RLJ33" s="2"/>
      <c r="RLK33" s="2"/>
      <c r="RLL33" s="2"/>
      <c r="RLM33" s="2"/>
      <c r="RLN33" s="2"/>
      <c r="RLO33" s="2"/>
      <c r="RLP33" s="2"/>
      <c r="RLQ33" s="2"/>
      <c r="RLR33" s="2"/>
      <c r="RLS33" s="2"/>
      <c r="RLT33" s="2"/>
      <c r="RLU33" s="2"/>
      <c r="RLV33" s="2"/>
      <c r="RLW33" s="2"/>
      <c r="RLX33" s="2"/>
      <c r="RLY33" s="2"/>
      <c r="RLZ33" s="2"/>
      <c r="RMA33" s="2"/>
      <c r="RMB33" s="2"/>
      <c r="RMC33" s="2"/>
      <c r="RMD33" s="2"/>
      <c r="RME33" s="2"/>
      <c r="RMF33" s="2"/>
      <c r="RMG33" s="2"/>
      <c r="RMH33" s="2"/>
      <c r="RMI33" s="2"/>
      <c r="RMJ33" s="2"/>
      <c r="RMK33" s="2"/>
      <c r="RML33" s="2"/>
      <c r="RMM33" s="2"/>
      <c r="RMN33" s="2"/>
      <c r="RMO33" s="2"/>
      <c r="RMP33" s="2"/>
      <c r="RMQ33" s="2"/>
      <c r="RMR33" s="2"/>
      <c r="RMS33" s="2"/>
      <c r="RMT33" s="2"/>
      <c r="RMU33" s="2"/>
      <c r="RMV33" s="2"/>
      <c r="RMW33" s="2"/>
      <c r="RMX33" s="2"/>
      <c r="RMY33" s="2"/>
      <c r="RMZ33" s="2"/>
      <c r="RNA33" s="2"/>
      <c r="RNB33" s="2"/>
      <c r="RNC33" s="2"/>
      <c r="RND33" s="2"/>
      <c r="RNE33" s="2"/>
      <c r="RNF33" s="2"/>
      <c r="RNG33" s="2"/>
      <c r="RNH33" s="2"/>
      <c r="RNI33" s="2"/>
      <c r="RNJ33" s="2"/>
      <c r="RNK33" s="2"/>
      <c r="RNL33" s="2"/>
      <c r="RNM33" s="2"/>
      <c r="RNN33" s="2"/>
      <c r="RNO33" s="2"/>
      <c r="RNP33" s="2"/>
      <c r="RNQ33" s="2"/>
      <c r="RNR33" s="2"/>
      <c r="RNS33" s="2"/>
      <c r="RNT33" s="2"/>
      <c r="RNU33" s="2"/>
      <c r="RNV33" s="2"/>
      <c r="RNW33" s="2"/>
      <c r="RNX33" s="2"/>
      <c r="RNY33" s="2"/>
      <c r="RNZ33" s="2"/>
      <c r="ROA33" s="2"/>
      <c r="ROB33" s="2"/>
      <c r="ROC33" s="2"/>
      <c r="ROD33" s="2"/>
      <c r="ROE33" s="2"/>
      <c r="ROF33" s="2"/>
      <c r="ROG33" s="2"/>
      <c r="ROH33" s="2"/>
      <c r="ROI33" s="2"/>
      <c r="ROJ33" s="2"/>
      <c r="ROK33" s="2"/>
      <c r="ROL33" s="2"/>
      <c r="ROM33" s="2"/>
      <c r="RON33" s="2"/>
      <c r="ROO33" s="2"/>
      <c r="ROP33" s="2"/>
      <c r="ROQ33" s="2"/>
      <c r="ROR33" s="2"/>
      <c r="ROS33" s="2"/>
      <c r="ROT33" s="2"/>
      <c r="ROU33" s="2"/>
      <c r="ROV33" s="2"/>
      <c r="ROW33" s="2"/>
      <c r="ROX33" s="2"/>
      <c r="ROY33" s="2"/>
      <c r="ROZ33" s="2"/>
      <c r="RPA33" s="2"/>
      <c r="RPB33" s="2"/>
      <c r="RPC33" s="2"/>
      <c r="RPD33" s="2"/>
      <c r="RPE33" s="2"/>
      <c r="RPF33" s="2"/>
      <c r="RPG33" s="2"/>
      <c r="RPH33" s="2"/>
      <c r="RPI33" s="2"/>
      <c r="RPJ33" s="2"/>
      <c r="RPK33" s="2"/>
      <c r="RPL33" s="2"/>
      <c r="RPM33" s="2"/>
      <c r="RPN33" s="2"/>
      <c r="RPO33" s="2"/>
      <c r="RPP33" s="2"/>
      <c r="RPQ33" s="2"/>
      <c r="RPR33" s="2"/>
      <c r="RPS33" s="2"/>
      <c r="RPT33" s="2"/>
      <c r="RPU33" s="2"/>
      <c r="RPV33" s="2"/>
      <c r="RPW33" s="2"/>
      <c r="RPX33" s="2"/>
      <c r="RPY33" s="2"/>
      <c r="RPZ33" s="2"/>
      <c r="RQA33" s="2"/>
      <c r="RQB33" s="2"/>
      <c r="RQC33" s="2"/>
      <c r="RQD33" s="2"/>
      <c r="RQE33" s="2"/>
      <c r="RQF33" s="2"/>
      <c r="RQG33" s="2"/>
      <c r="RQH33" s="2"/>
      <c r="RQI33" s="2"/>
      <c r="RQJ33" s="2"/>
      <c r="RQK33" s="2"/>
      <c r="RQL33" s="2"/>
      <c r="RQM33" s="2"/>
      <c r="RQN33" s="2"/>
      <c r="RQO33" s="2"/>
      <c r="RQP33" s="2"/>
      <c r="RQQ33" s="2"/>
      <c r="RQR33" s="2"/>
      <c r="RQS33" s="2"/>
      <c r="RQT33" s="2"/>
      <c r="RQU33" s="2"/>
      <c r="RQV33" s="2"/>
      <c r="RQW33" s="2"/>
      <c r="RQX33" s="2"/>
      <c r="RQY33" s="2"/>
      <c r="RQZ33" s="2"/>
      <c r="RRA33" s="2"/>
      <c r="RRB33" s="2"/>
      <c r="RRC33" s="2"/>
      <c r="RRD33" s="2"/>
      <c r="RRE33" s="2"/>
      <c r="RRF33" s="2"/>
      <c r="RRG33" s="2"/>
      <c r="RRH33" s="2"/>
      <c r="RRI33" s="2"/>
      <c r="RRJ33" s="2"/>
      <c r="RRK33" s="2"/>
      <c r="RRL33" s="2"/>
      <c r="RRM33" s="2"/>
      <c r="RRN33" s="2"/>
      <c r="RRO33" s="2"/>
      <c r="RRP33" s="2"/>
      <c r="RRQ33" s="2"/>
      <c r="RRR33" s="2"/>
      <c r="RRS33" s="2"/>
      <c r="RRT33" s="2"/>
      <c r="RRU33" s="2"/>
      <c r="RRV33" s="2"/>
      <c r="RRW33" s="2"/>
      <c r="RRX33" s="2"/>
      <c r="RRY33" s="2"/>
      <c r="RRZ33" s="2"/>
      <c r="RSA33" s="2"/>
      <c r="RSB33" s="2"/>
      <c r="RSC33" s="2"/>
      <c r="RSD33" s="2"/>
      <c r="RSE33" s="2"/>
      <c r="RSF33" s="2"/>
      <c r="RSG33" s="2"/>
      <c r="RSH33" s="2"/>
      <c r="RSI33" s="2"/>
      <c r="RSJ33" s="2"/>
      <c r="RSK33" s="2"/>
      <c r="RSL33" s="2"/>
      <c r="RSM33" s="2"/>
      <c r="RSN33" s="2"/>
      <c r="RSO33" s="2"/>
      <c r="RSP33" s="2"/>
      <c r="RSQ33" s="2"/>
      <c r="RSR33" s="2"/>
      <c r="RSS33" s="2"/>
      <c r="RST33" s="2"/>
      <c r="RSU33" s="2"/>
      <c r="RSV33" s="2"/>
      <c r="RSW33" s="2"/>
      <c r="RSX33" s="2"/>
      <c r="RSY33" s="2"/>
      <c r="RSZ33" s="2"/>
      <c r="RTA33" s="2"/>
      <c r="RTB33" s="2"/>
      <c r="RTC33" s="2"/>
      <c r="RTD33" s="2"/>
      <c r="RTE33" s="2"/>
      <c r="RTF33" s="2"/>
      <c r="RTG33" s="2"/>
      <c r="RTH33" s="2"/>
      <c r="RTI33" s="2"/>
      <c r="RTJ33" s="2"/>
      <c r="RTK33" s="2"/>
      <c r="RTL33" s="2"/>
      <c r="RTM33" s="2"/>
      <c r="RTN33" s="2"/>
      <c r="RTO33" s="2"/>
      <c r="RTP33" s="2"/>
      <c r="RTQ33" s="2"/>
      <c r="RTR33" s="2"/>
      <c r="RTS33" s="2"/>
      <c r="RTT33" s="2"/>
      <c r="RTU33" s="2"/>
      <c r="RTV33" s="2"/>
      <c r="RTW33" s="2"/>
      <c r="RTX33" s="2"/>
      <c r="RTY33" s="2"/>
      <c r="RTZ33" s="2"/>
      <c r="RUA33" s="2"/>
      <c r="RUB33" s="2"/>
      <c r="RUC33" s="2"/>
      <c r="RUD33" s="2"/>
      <c r="RUE33" s="2"/>
      <c r="RUF33" s="2"/>
      <c r="RUG33" s="2"/>
      <c r="RUH33" s="2"/>
      <c r="RUI33" s="2"/>
      <c r="RUJ33" s="2"/>
      <c r="RUK33" s="2"/>
      <c r="RUL33" s="2"/>
      <c r="RUM33" s="2"/>
      <c r="RUN33" s="2"/>
      <c r="RUO33" s="2"/>
      <c r="RUP33" s="2"/>
      <c r="RUQ33" s="2"/>
      <c r="RUR33" s="2"/>
      <c r="RUS33" s="2"/>
      <c r="RUT33" s="2"/>
      <c r="RUU33" s="2"/>
      <c r="RUV33" s="2"/>
      <c r="RUW33" s="2"/>
      <c r="RUX33" s="2"/>
      <c r="RUY33" s="2"/>
      <c r="RUZ33" s="2"/>
      <c r="RVA33" s="2"/>
      <c r="RVB33" s="2"/>
      <c r="RVC33" s="2"/>
      <c r="RVD33" s="2"/>
      <c r="RVE33" s="2"/>
      <c r="RVF33" s="2"/>
      <c r="RVG33" s="2"/>
      <c r="RVH33" s="2"/>
      <c r="RVI33" s="2"/>
      <c r="RVJ33" s="2"/>
      <c r="RVK33" s="2"/>
      <c r="RVL33" s="2"/>
      <c r="RVM33" s="2"/>
      <c r="RVN33" s="2"/>
      <c r="RVO33" s="2"/>
      <c r="RVP33" s="2"/>
      <c r="RVQ33" s="2"/>
      <c r="RVR33" s="2"/>
      <c r="RVS33" s="2"/>
      <c r="RVT33" s="2"/>
      <c r="RVU33" s="2"/>
      <c r="RVV33" s="2"/>
      <c r="RVW33" s="2"/>
      <c r="RVX33" s="2"/>
      <c r="RVY33" s="2"/>
      <c r="RVZ33" s="2"/>
      <c r="RWA33" s="2"/>
      <c r="RWB33" s="2"/>
      <c r="RWC33" s="2"/>
      <c r="RWD33" s="2"/>
      <c r="RWE33" s="2"/>
      <c r="RWF33" s="2"/>
      <c r="RWG33" s="2"/>
      <c r="RWH33" s="2"/>
      <c r="RWI33" s="2"/>
      <c r="RWJ33" s="2"/>
      <c r="RWK33" s="2"/>
      <c r="RWL33" s="2"/>
      <c r="RWM33" s="2"/>
      <c r="RWN33" s="2"/>
      <c r="RWO33" s="2"/>
      <c r="RWP33" s="2"/>
      <c r="RWQ33" s="2"/>
      <c r="RWR33" s="2"/>
      <c r="RWS33" s="2"/>
      <c r="RWT33" s="2"/>
      <c r="RWU33" s="2"/>
      <c r="RWV33" s="2"/>
      <c r="RWW33" s="2"/>
      <c r="RWX33" s="2"/>
      <c r="RWY33" s="2"/>
      <c r="RWZ33" s="2"/>
      <c r="RXA33" s="2"/>
      <c r="RXB33" s="2"/>
      <c r="RXC33" s="2"/>
      <c r="RXD33" s="2"/>
      <c r="RXE33" s="2"/>
      <c r="RXF33" s="2"/>
      <c r="RXG33" s="2"/>
      <c r="RXH33" s="2"/>
      <c r="RXI33" s="2"/>
      <c r="RXJ33" s="2"/>
      <c r="RXK33" s="2"/>
      <c r="RXL33" s="2"/>
      <c r="RXM33" s="2"/>
      <c r="RXN33" s="2"/>
      <c r="RXO33" s="2"/>
      <c r="RXP33" s="2"/>
      <c r="RXQ33" s="2"/>
      <c r="RXR33" s="2"/>
      <c r="RXS33" s="2"/>
      <c r="RXT33" s="2"/>
      <c r="RXU33" s="2"/>
      <c r="RXV33" s="2"/>
      <c r="RXW33" s="2"/>
      <c r="RXX33" s="2"/>
      <c r="RXY33" s="2"/>
      <c r="RXZ33" s="2"/>
      <c r="RYA33" s="2"/>
      <c r="RYB33" s="2"/>
      <c r="RYC33" s="2"/>
      <c r="RYD33" s="2"/>
      <c r="RYE33" s="2"/>
      <c r="RYF33" s="2"/>
      <c r="RYG33" s="2"/>
      <c r="RYH33" s="2"/>
      <c r="RYI33" s="2"/>
      <c r="RYJ33" s="2"/>
      <c r="RYK33" s="2"/>
      <c r="RYL33" s="2"/>
      <c r="RYM33" s="2"/>
      <c r="RYN33" s="2"/>
      <c r="RYO33" s="2"/>
      <c r="RYP33" s="2"/>
      <c r="RYQ33" s="2"/>
      <c r="RYR33" s="2"/>
      <c r="RYS33" s="2"/>
      <c r="RYT33" s="2"/>
      <c r="RYU33" s="2"/>
      <c r="RYV33" s="2"/>
      <c r="RYW33" s="2"/>
      <c r="RYX33" s="2"/>
      <c r="RYY33" s="2"/>
      <c r="RYZ33" s="2"/>
      <c r="RZA33" s="2"/>
      <c r="RZB33" s="2"/>
      <c r="RZC33" s="2"/>
      <c r="RZD33" s="2"/>
      <c r="RZE33" s="2"/>
      <c r="RZF33" s="2"/>
      <c r="RZG33" s="2"/>
      <c r="RZH33" s="2"/>
      <c r="RZI33" s="2"/>
      <c r="RZJ33" s="2"/>
      <c r="RZK33" s="2"/>
      <c r="RZL33" s="2"/>
      <c r="RZM33" s="2"/>
      <c r="RZN33" s="2"/>
      <c r="RZO33" s="2"/>
      <c r="RZP33" s="2"/>
      <c r="RZQ33" s="2"/>
      <c r="RZR33" s="2"/>
      <c r="RZS33" s="2"/>
      <c r="RZT33" s="2"/>
      <c r="RZU33" s="2"/>
      <c r="RZV33" s="2"/>
      <c r="RZW33" s="2"/>
      <c r="RZX33" s="2"/>
      <c r="RZY33" s="2"/>
      <c r="RZZ33" s="2"/>
      <c r="SAA33" s="2"/>
      <c r="SAB33" s="2"/>
      <c r="SAC33" s="2"/>
      <c r="SAD33" s="2"/>
      <c r="SAE33" s="2"/>
      <c r="SAF33" s="2"/>
      <c r="SAG33" s="2"/>
      <c r="SAH33" s="2"/>
      <c r="SAI33" s="2"/>
      <c r="SAJ33" s="2"/>
      <c r="SAK33" s="2"/>
      <c r="SAL33" s="2"/>
      <c r="SAM33" s="2"/>
      <c r="SAN33" s="2"/>
      <c r="SAO33" s="2"/>
      <c r="SAP33" s="2"/>
      <c r="SAQ33" s="2"/>
      <c r="SAR33" s="2"/>
      <c r="SAS33" s="2"/>
      <c r="SAT33" s="2"/>
      <c r="SAU33" s="2"/>
      <c r="SAV33" s="2"/>
      <c r="SAW33" s="2"/>
      <c r="SAX33" s="2"/>
      <c r="SAY33" s="2"/>
      <c r="SAZ33" s="2"/>
      <c r="SBA33" s="2"/>
      <c r="SBB33" s="2"/>
      <c r="SBC33" s="2"/>
      <c r="SBD33" s="2"/>
      <c r="SBE33" s="2"/>
      <c r="SBF33" s="2"/>
      <c r="SBG33" s="2"/>
      <c r="SBH33" s="2"/>
      <c r="SBI33" s="2"/>
      <c r="SBJ33" s="2"/>
      <c r="SBK33" s="2"/>
      <c r="SBL33" s="2"/>
      <c r="SBM33" s="2"/>
      <c r="SBN33" s="2"/>
      <c r="SBO33" s="2"/>
      <c r="SBP33" s="2"/>
      <c r="SBQ33" s="2"/>
      <c r="SBR33" s="2"/>
      <c r="SBS33" s="2"/>
      <c r="SBT33" s="2"/>
      <c r="SBU33" s="2"/>
      <c r="SBV33" s="2"/>
      <c r="SBW33" s="2"/>
      <c r="SBX33" s="2"/>
      <c r="SBY33" s="2"/>
      <c r="SBZ33" s="2"/>
      <c r="SCA33" s="2"/>
      <c r="SCB33" s="2"/>
      <c r="SCC33" s="2"/>
      <c r="SCD33" s="2"/>
      <c r="SCE33" s="2"/>
      <c r="SCF33" s="2"/>
      <c r="SCG33" s="2"/>
      <c r="SCH33" s="2"/>
      <c r="SCI33" s="2"/>
      <c r="SCJ33" s="2"/>
      <c r="SCK33" s="2"/>
      <c r="SCL33" s="2"/>
      <c r="SCM33" s="2"/>
      <c r="SCN33" s="2"/>
      <c r="SCO33" s="2"/>
      <c r="SCP33" s="2"/>
      <c r="SCQ33" s="2"/>
      <c r="SCR33" s="2"/>
      <c r="SCS33" s="2"/>
      <c r="SCT33" s="2"/>
      <c r="SCU33" s="2"/>
      <c r="SCV33" s="2"/>
      <c r="SCW33" s="2"/>
      <c r="SCX33" s="2"/>
      <c r="SCY33" s="2"/>
      <c r="SCZ33" s="2"/>
      <c r="SDA33" s="2"/>
      <c r="SDB33" s="2"/>
      <c r="SDC33" s="2"/>
      <c r="SDD33" s="2"/>
      <c r="SDE33" s="2"/>
      <c r="SDF33" s="2"/>
      <c r="SDG33" s="2"/>
      <c r="SDH33" s="2"/>
      <c r="SDI33" s="2"/>
      <c r="SDJ33" s="2"/>
      <c r="SDK33" s="2"/>
      <c r="SDL33" s="2"/>
      <c r="SDM33" s="2"/>
      <c r="SDN33" s="2"/>
      <c r="SDO33" s="2"/>
      <c r="SDP33" s="2"/>
      <c r="SDQ33" s="2"/>
      <c r="SDR33" s="2"/>
      <c r="SDS33" s="2"/>
      <c r="SDT33" s="2"/>
      <c r="SDU33" s="2"/>
      <c r="SDV33" s="2"/>
      <c r="SDW33" s="2"/>
      <c r="SDX33" s="2"/>
      <c r="SDY33" s="2"/>
      <c r="SDZ33" s="2"/>
      <c r="SEA33" s="2"/>
      <c r="SEB33" s="2"/>
      <c r="SEC33" s="2"/>
      <c r="SED33" s="2"/>
      <c r="SEE33" s="2"/>
      <c r="SEF33" s="2"/>
      <c r="SEG33" s="2"/>
      <c r="SEH33" s="2"/>
      <c r="SEI33" s="2"/>
      <c r="SEJ33" s="2"/>
      <c r="SEK33" s="2"/>
      <c r="SEL33" s="2"/>
      <c r="SEM33" s="2"/>
      <c r="SEN33" s="2"/>
      <c r="SEO33" s="2"/>
      <c r="SEP33" s="2"/>
      <c r="SEQ33" s="2"/>
      <c r="SER33" s="2"/>
      <c r="SES33" s="2"/>
      <c r="SET33" s="2"/>
      <c r="SEU33" s="2"/>
      <c r="SEV33" s="2"/>
      <c r="SEW33" s="2"/>
      <c r="SEX33" s="2"/>
      <c r="SEY33" s="2"/>
      <c r="SEZ33" s="2"/>
      <c r="SFA33" s="2"/>
      <c r="SFB33" s="2"/>
      <c r="SFC33" s="2"/>
      <c r="SFD33" s="2"/>
      <c r="SFE33" s="2"/>
      <c r="SFF33" s="2"/>
      <c r="SFG33" s="2"/>
      <c r="SFH33" s="2"/>
      <c r="SFI33" s="2"/>
      <c r="SFJ33" s="2"/>
      <c r="SFK33" s="2"/>
      <c r="SFL33" s="2"/>
      <c r="SFM33" s="2"/>
      <c r="SFN33" s="2"/>
      <c r="SFO33" s="2"/>
      <c r="SFP33" s="2"/>
      <c r="SFQ33" s="2"/>
      <c r="SFR33" s="2"/>
      <c r="SFS33" s="2"/>
      <c r="SFT33" s="2"/>
      <c r="SFU33" s="2"/>
      <c r="SFV33" s="2"/>
      <c r="SFW33" s="2"/>
      <c r="SFX33" s="2"/>
      <c r="SFY33" s="2"/>
      <c r="SFZ33" s="2"/>
      <c r="SGA33" s="2"/>
      <c r="SGB33" s="2"/>
      <c r="SGC33" s="2"/>
      <c r="SGD33" s="2"/>
      <c r="SGE33" s="2"/>
      <c r="SGF33" s="2"/>
      <c r="SGG33" s="2"/>
      <c r="SGH33" s="2"/>
      <c r="SGI33" s="2"/>
      <c r="SGJ33" s="2"/>
      <c r="SGK33" s="2"/>
      <c r="SGL33" s="2"/>
      <c r="SGM33" s="2"/>
      <c r="SGN33" s="2"/>
      <c r="SGO33" s="2"/>
      <c r="SGP33" s="2"/>
      <c r="SGQ33" s="2"/>
      <c r="SGR33" s="2"/>
      <c r="SGS33" s="2"/>
      <c r="SGT33" s="2"/>
      <c r="SGU33" s="2"/>
      <c r="SGV33" s="2"/>
      <c r="SGW33" s="2"/>
      <c r="SGX33" s="2"/>
      <c r="SGY33" s="2"/>
      <c r="SGZ33" s="2"/>
      <c r="SHA33" s="2"/>
      <c r="SHB33" s="2"/>
      <c r="SHC33" s="2"/>
      <c r="SHD33" s="2"/>
      <c r="SHE33" s="2"/>
      <c r="SHF33" s="2"/>
      <c r="SHG33" s="2"/>
      <c r="SHH33" s="2"/>
      <c r="SHI33" s="2"/>
      <c r="SHJ33" s="2"/>
      <c r="SHK33" s="2"/>
      <c r="SHL33" s="2"/>
      <c r="SHM33" s="2"/>
      <c r="SHN33" s="2"/>
      <c r="SHO33" s="2"/>
      <c r="SHP33" s="2"/>
      <c r="SHQ33" s="2"/>
      <c r="SHR33" s="2"/>
      <c r="SHS33" s="2"/>
      <c r="SHT33" s="2"/>
      <c r="SHU33" s="2"/>
      <c r="SHV33" s="2"/>
      <c r="SHW33" s="2"/>
      <c r="SHX33" s="2"/>
      <c r="SHY33" s="2"/>
      <c r="SHZ33" s="2"/>
      <c r="SIA33" s="2"/>
      <c r="SIB33" s="2"/>
      <c r="SIC33" s="2"/>
      <c r="SID33" s="2"/>
      <c r="SIE33" s="2"/>
      <c r="SIF33" s="2"/>
      <c r="SIG33" s="2"/>
      <c r="SIH33" s="2"/>
      <c r="SII33" s="2"/>
      <c r="SIJ33" s="2"/>
      <c r="SIK33" s="2"/>
      <c r="SIL33" s="2"/>
      <c r="SIM33" s="2"/>
      <c r="SIN33" s="2"/>
      <c r="SIO33" s="2"/>
      <c r="SIP33" s="2"/>
      <c r="SIQ33" s="2"/>
      <c r="SIR33" s="2"/>
      <c r="SIS33" s="2"/>
      <c r="SIT33" s="2"/>
      <c r="SIU33" s="2"/>
      <c r="SIV33" s="2"/>
      <c r="SIW33" s="2"/>
      <c r="SIX33" s="2"/>
      <c r="SIY33" s="2"/>
      <c r="SIZ33" s="2"/>
      <c r="SJA33" s="2"/>
      <c r="SJB33" s="2"/>
      <c r="SJC33" s="2"/>
      <c r="SJD33" s="2"/>
      <c r="SJE33" s="2"/>
      <c r="SJF33" s="2"/>
      <c r="SJG33" s="2"/>
      <c r="SJH33" s="2"/>
      <c r="SJI33" s="2"/>
      <c r="SJJ33" s="2"/>
      <c r="SJK33" s="2"/>
      <c r="SJL33" s="2"/>
      <c r="SJM33" s="2"/>
      <c r="SJN33" s="2"/>
      <c r="SJO33" s="2"/>
      <c r="SJP33" s="2"/>
      <c r="SJQ33" s="2"/>
      <c r="SJR33" s="2"/>
      <c r="SJS33" s="2"/>
      <c r="SJT33" s="2"/>
      <c r="SJU33" s="2"/>
      <c r="SJV33" s="2"/>
      <c r="SJW33" s="2"/>
      <c r="SJX33" s="2"/>
      <c r="SJY33" s="2"/>
      <c r="SJZ33" s="2"/>
      <c r="SKA33" s="2"/>
      <c r="SKB33" s="2"/>
      <c r="SKC33" s="2"/>
      <c r="SKD33" s="2"/>
      <c r="SKE33" s="2"/>
      <c r="SKF33" s="2"/>
      <c r="SKG33" s="2"/>
      <c r="SKH33" s="2"/>
      <c r="SKI33" s="2"/>
      <c r="SKJ33" s="2"/>
      <c r="SKK33" s="2"/>
      <c r="SKL33" s="2"/>
      <c r="SKM33" s="2"/>
      <c r="SKN33" s="2"/>
      <c r="SKO33" s="2"/>
      <c r="SKP33" s="2"/>
      <c r="SKQ33" s="2"/>
      <c r="SKR33" s="2"/>
      <c r="SKS33" s="2"/>
      <c r="SKT33" s="2"/>
      <c r="SKU33" s="2"/>
      <c r="SKV33" s="2"/>
      <c r="SKW33" s="2"/>
      <c r="SKX33" s="2"/>
      <c r="SKY33" s="2"/>
      <c r="SKZ33" s="2"/>
      <c r="SLA33" s="2"/>
      <c r="SLB33" s="2"/>
      <c r="SLC33" s="2"/>
      <c r="SLD33" s="2"/>
      <c r="SLE33" s="2"/>
      <c r="SLF33" s="2"/>
      <c r="SLG33" s="2"/>
      <c r="SLH33" s="2"/>
      <c r="SLI33" s="2"/>
      <c r="SLJ33" s="2"/>
      <c r="SLK33" s="2"/>
      <c r="SLL33" s="2"/>
      <c r="SLM33" s="2"/>
      <c r="SLN33" s="2"/>
      <c r="SLO33" s="2"/>
      <c r="SLP33" s="2"/>
      <c r="SLQ33" s="2"/>
      <c r="SLR33" s="2"/>
      <c r="SLS33" s="2"/>
      <c r="SLT33" s="2"/>
      <c r="SLU33" s="2"/>
      <c r="SLV33" s="2"/>
      <c r="SLW33" s="2"/>
      <c r="SLX33" s="2"/>
      <c r="SLY33" s="2"/>
      <c r="SLZ33" s="2"/>
      <c r="SMA33" s="2"/>
      <c r="SMB33" s="2"/>
      <c r="SMC33" s="2"/>
      <c r="SMD33" s="2"/>
      <c r="SME33" s="2"/>
      <c r="SMF33" s="2"/>
      <c r="SMG33" s="2"/>
      <c r="SMH33" s="2"/>
      <c r="SMI33" s="2"/>
      <c r="SMJ33" s="2"/>
      <c r="SMK33" s="2"/>
      <c r="SML33" s="2"/>
      <c r="SMM33" s="2"/>
      <c r="SMN33" s="2"/>
      <c r="SMO33" s="2"/>
      <c r="SMP33" s="2"/>
      <c r="SMQ33" s="2"/>
      <c r="SMR33" s="2"/>
      <c r="SMS33" s="2"/>
      <c r="SMT33" s="2"/>
      <c r="SMU33" s="2"/>
      <c r="SMV33" s="2"/>
      <c r="SMW33" s="2"/>
      <c r="SMX33" s="2"/>
      <c r="SMY33" s="2"/>
      <c r="SMZ33" s="2"/>
      <c r="SNA33" s="2"/>
      <c r="SNB33" s="2"/>
      <c r="SNC33" s="2"/>
      <c r="SND33" s="2"/>
      <c r="SNE33" s="2"/>
      <c r="SNF33" s="2"/>
      <c r="SNG33" s="2"/>
      <c r="SNH33" s="2"/>
      <c r="SNI33" s="2"/>
      <c r="SNJ33" s="2"/>
      <c r="SNK33" s="2"/>
      <c r="SNL33" s="2"/>
      <c r="SNM33" s="2"/>
      <c r="SNN33" s="2"/>
      <c r="SNO33" s="2"/>
      <c r="SNP33" s="2"/>
      <c r="SNQ33" s="2"/>
      <c r="SNR33" s="2"/>
      <c r="SNS33" s="2"/>
      <c r="SNT33" s="2"/>
      <c r="SNU33" s="2"/>
      <c r="SNV33" s="2"/>
      <c r="SNW33" s="2"/>
      <c r="SNX33" s="2"/>
      <c r="SNY33" s="2"/>
      <c r="SNZ33" s="2"/>
      <c r="SOA33" s="2"/>
      <c r="SOB33" s="2"/>
      <c r="SOC33" s="2"/>
      <c r="SOD33" s="2"/>
      <c r="SOE33" s="2"/>
      <c r="SOF33" s="2"/>
      <c r="SOG33" s="2"/>
      <c r="SOH33" s="2"/>
      <c r="SOI33" s="2"/>
      <c r="SOJ33" s="2"/>
      <c r="SOK33" s="2"/>
      <c r="SOL33" s="2"/>
      <c r="SOM33" s="2"/>
      <c r="SON33" s="2"/>
      <c r="SOO33" s="2"/>
      <c r="SOP33" s="2"/>
      <c r="SOQ33" s="2"/>
      <c r="SOR33" s="2"/>
      <c r="SOS33" s="2"/>
      <c r="SOT33" s="2"/>
      <c r="SOU33" s="2"/>
      <c r="SOV33" s="2"/>
      <c r="SOW33" s="2"/>
      <c r="SOX33" s="2"/>
      <c r="SOY33" s="2"/>
      <c r="SOZ33" s="2"/>
      <c r="SPA33" s="2"/>
      <c r="SPB33" s="2"/>
      <c r="SPC33" s="2"/>
      <c r="SPD33" s="2"/>
      <c r="SPE33" s="2"/>
      <c r="SPF33" s="2"/>
      <c r="SPG33" s="2"/>
      <c r="SPH33" s="2"/>
      <c r="SPI33" s="2"/>
      <c r="SPJ33" s="2"/>
      <c r="SPK33" s="2"/>
      <c r="SPL33" s="2"/>
      <c r="SPM33" s="2"/>
      <c r="SPN33" s="2"/>
      <c r="SPO33" s="2"/>
      <c r="SPP33" s="2"/>
      <c r="SPQ33" s="2"/>
      <c r="SPR33" s="2"/>
      <c r="SPS33" s="2"/>
      <c r="SPT33" s="2"/>
      <c r="SPU33" s="2"/>
      <c r="SPV33" s="2"/>
      <c r="SPW33" s="2"/>
      <c r="SPX33" s="2"/>
      <c r="SPY33" s="2"/>
      <c r="SPZ33" s="2"/>
      <c r="SQA33" s="2"/>
      <c r="SQB33" s="2"/>
      <c r="SQC33" s="2"/>
      <c r="SQD33" s="2"/>
      <c r="SQE33" s="2"/>
      <c r="SQF33" s="2"/>
      <c r="SQG33" s="2"/>
      <c r="SQH33" s="2"/>
      <c r="SQI33" s="2"/>
      <c r="SQJ33" s="2"/>
      <c r="SQK33" s="2"/>
      <c r="SQL33" s="2"/>
      <c r="SQM33" s="2"/>
      <c r="SQN33" s="2"/>
      <c r="SQO33" s="2"/>
      <c r="SQP33" s="2"/>
      <c r="SQQ33" s="2"/>
      <c r="SQR33" s="2"/>
      <c r="SQS33" s="2"/>
      <c r="SQT33" s="2"/>
      <c r="SQU33" s="2"/>
      <c r="SQV33" s="2"/>
      <c r="SQW33" s="2"/>
      <c r="SQX33" s="2"/>
      <c r="SQY33" s="2"/>
      <c r="SQZ33" s="2"/>
      <c r="SRA33" s="2"/>
      <c r="SRB33" s="2"/>
      <c r="SRC33" s="2"/>
      <c r="SRD33" s="2"/>
      <c r="SRE33" s="2"/>
      <c r="SRF33" s="2"/>
      <c r="SRG33" s="2"/>
      <c r="SRH33" s="2"/>
      <c r="SRI33" s="2"/>
      <c r="SRJ33" s="2"/>
      <c r="SRK33" s="2"/>
      <c r="SRL33" s="2"/>
      <c r="SRM33" s="2"/>
      <c r="SRN33" s="2"/>
      <c r="SRO33" s="2"/>
      <c r="SRP33" s="2"/>
      <c r="SRQ33" s="2"/>
      <c r="SRR33" s="2"/>
      <c r="SRS33" s="2"/>
      <c r="SRT33" s="2"/>
      <c r="SRU33" s="2"/>
      <c r="SRV33" s="2"/>
      <c r="SRW33" s="2"/>
      <c r="SRX33" s="2"/>
      <c r="SRY33" s="2"/>
      <c r="SRZ33" s="2"/>
      <c r="SSA33" s="2"/>
      <c r="SSB33" s="2"/>
      <c r="SSC33" s="2"/>
      <c r="SSD33" s="2"/>
      <c r="SSE33" s="2"/>
      <c r="SSF33" s="2"/>
      <c r="SSG33" s="2"/>
      <c r="SSH33" s="2"/>
      <c r="SSI33" s="2"/>
      <c r="SSJ33" s="2"/>
      <c r="SSK33" s="2"/>
      <c r="SSL33" s="2"/>
      <c r="SSM33" s="2"/>
      <c r="SSN33" s="2"/>
      <c r="SSO33" s="2"/>
      <c r="SSP33" s="2"/>
      <c r="SSQ33" s="2"/>
      <c r="SSR33" s="2"/>
      <c r="SSS33" s="2"/>
      <c r="SST33" s="2"/>
      <c r="SSU33" s="2"/>
      <c r="SSV33" s="2"/>
      <c r="SSW33" s="2"/>
      <c r="SSX33" s="2"/>
      <c r="SSY33" s="2"/>
      <c r="SSZ33" s="2"/>
      <c r="STA33" s="2"/>
      <c r="STB33" s="2"/>
      <c r="STC33" s="2"/>
      <c r="STD33" s="2"/>
      <c r="STE33" s="2"/>
      <c r="STF33" s="2"/>
      <c r="STG33" s="2"/>
      <c r="STH33" s="2"/>
      <c r="STI33" s="2"/>
      <c r="STJ33" s="2"/>
      <c r="STK33" s="2"/>
      <c r="STL33" s="2"/>
      <c r="STM33" s="2"/>
      <c r="STN33" s="2"/>
      <c r="STO33" s="2"/>
      <c r="STP33" s="2"/>
      <c r="STQ33" s="2"/>
      <c r="STR33" s="2"/>
      <c r="STS33" s="2"/>
      <c r="STT33" s="2"/>
      <c r="STU33" s="2"/>
      <c r="STV33" s="2"/>
      <c r="STW33" s="2"/>
      <c r="STX33" s="2"/>
      <c r="STY33" s="2"/>
      <c r="STZ33" s="2"/>
      <c r="SUA33" s="2"/>
      <c r="SUB33" s="2"/>
      <c r="SUC33" s="2"/>
      <c r="SUD33" s="2"/>
      <c r="SUE33" s="2"/>
      <c r="SUF33" s="2"/>
      <c r="SUG33" s="2"/>
      <c r="SUH33" s="2"/>
      <c r="SUI33" s="2"/>
      <c r="SUJ33" s="2"/>
      <c r="SUK33" s="2"/>
      <c r="SUL33" s="2"/>
      <c r="SUM33" s="2"/>
      <c r="SUN33" s="2"/>
      <c r="SUO33" s="2"/>
      <c r="SUP33" s="2"/>
      <c r="SUQ33" s="2"/>
      <c r="SUR33" s="2"/>
      <c r="SUS33" s="2"/>
      <c r="SUT33" s="2"/>
      <c r="SUU33" s="2"/>
      <c r="SUV33" s="2"/>
      <c r="SUW33" s="2"/>
      <c r="SUX33" s="2"/>
      <c r="SUY33" s="2"/>
      <c r="SUZ33" s="2"/>
      <c r="SVA33" s="2"/>
      <c r="SVB33" s="2"/>
      <c r="SVC33" s="2"/>
      <c r="SVD33" s="2"/>
      <c r="SVE33" s="2"/>
      <c r="SVF33" s="2"/>
      <c r="SVG33" s="2"/>
      <c r="SVH33" s="2"/>
      <c r="SVI33" s="2"/>
      <c r="SVJ33" s="2"/>
      <c r="SVK33" s="2"/>
      <c r="SVL33" s="2"/>
      <c r="SVM33" s="2"/>
      <c r="SVN33" s="2"/>
      <c r="SVO33" s="2"/>
      <c r="SVP33" s="2"/>
      <c r="SVQ33" s="2"/>
      <c r="SVR33" s="2"/>
      <c r="SVS33" s="2"/>
      <c r="SVT33" s="2"/>
      <c r="SVU33" s="2"/>
      <c r="SVV33" s="2"/>
      <c r="SVW33" s="2"/>
      <c r="SVX33" s="2"/>
      <c r="SVY33" s="2"/>
      <c r="SVZ33" s="2"/>
      <c r="SWA33" s="2"/>
      <c r="SWB33" s="2"/>
      <c r="SWC33" s="2"/>
      <c r="SWD33" s="2"/>
      <c r="SWE33" s="2"/>
      <c r="SWF33" s="2"/>
      <c r="SWG33" s="2"/>
      <c r="SWH33" s="2"/>
      <c r="SWI33" s="2"/>
      <c r="SWJ33" s="2"/>
      <c r="SWK33" s="2"/>
      <c r="SWL33" s="2"/>
      <c r="SWM33" s="2"/>
      <c r="SWN33" s="2"/>
      <c r="SWO33" s="2"/>
      <c r="SWP33" s="2"/>
      <c r="SWQ33" s="2"/>
      <c r="SWR33" s="2"/>
      <c r="SWS33" s="2"/>
      <c r="SWT33" s="2"/>
      <c r="SWU33" s="2"/>
      <c r="SWV33" s="2"/>
      <c r="SWW33" s="2"/>
      <c r="SWX33" s="2"/>
      <c r="SWY33" s="2"/>
      <c r="SWZ33" s="2"/>
      <c r="SXA33" s="2"/>
      <c r="SXB33" s="2"/>
      <c r="SXC33" s="2"/>
      <c r="SXD33" s="2"/>
      <c r="SXE33" s="2"/>
      <c r="SXF33" s="2"/>
      <c r="SXG33" s="2"/>
      <c r="SXH33" s="2"/>
      <c r="SXI33" s="2"/>
      <c r="SXJ33" s="2"/>
      <c r="SXK33" s="2"/>
      <c r="SXL33" s="2"/>
      <c r="SXM33" s="2"/>
      <c r="SXN33" s="2"/>
      <c r="SXO33" s="2"/>
      <c r="SXP33" s="2"/>
      <c r="SXQ33" s="2"/>
      <c r="SXR33" s="2"/>
      <c r="SXS33" s="2"/>
      <c r="SXT33" s="2"/>
      <c r="SXU33" s="2"/>
      <c r="SXV33" s="2"/>
      <c r="SXW33" s="2"/>
      <c r="SXX33" s="2"/>
      <c r="SXY33" s="2"/>
      <c r="SXZ33" s="2"/>
      <c r="SYA33" s="2"/>
      <c r="SYB33" s="2"/>
      <c r="SYC33" s="2"/>
      <c r="SYD33" s="2"/>
      <c r="SYE33" s="2"/>
      <c r="SYF33" s="2"/>
      <c r="SYG33" s="2"/>
      <c r="SYH33" s="2"/>
      <c r="SYI33" s="2"/>
      <c r="SYJ33" s="2"/>
      <c r="SYK33" s="2"/>
      <c r="SYL33" s="2"/>
      <c r="SYM33" s="2"/>
      <c r="SYN33" s="2"/>
      <c r="SYO33" s="2"/>
      <c r="SYP33" s="2"/>
      <c r="SYQ33" s="2"/>
      <c r="SYR33" s="2"/>
      <c r="SYS33" s="2"/>
      <c r="SYT33" s="2"/>
      <c r="SYU33" s="2"/>
      <c r="SYV33" s="2"/>
      <c r="SYW33" s="2"/>
      <c r="SYX33" s="2"/>
      <c r="SYY33" s="2"/>
      <c r="SYZ33" s="2"/>
      <c r="SZA33" s="2"/>
      <c r="SZB33" s="2"/>
      <c r="SZC33" s="2"/>
      <c r="SZD33" s="2"/>
      <c r="SZE33" s="2"/>
      <c r="SZF33" s="2"/>
      <c r="SZG33" s="2"/>
      <c r="SZH33" s="2"/>
      <c r="SZI33" s="2"/>
      <c r="SZJ33" s="2"/>
      <c r="SZK33" s="2"/>
      <c r="SZL33" s="2"/>
      <c r="SZM33" s="2"/>
      <c r="SZN33" s="2"/>
      <c r="SZO33" s="2"/>
      <c r="SZP33" s="2"/>
      <c r="SZQ33" s="2"/>
      <c r="SZR33" s="2"/>
      <c r="SZS33" s="2"/>
      <c r="SZT33" s="2"/>
      <c r="SZU33" s="2"/>
      <c r="SZV33" s="2"/>
      <c r="SZW33" s="2"/>
      <c r="SZX33" s="2"/>
      <c r="SZY33" s="2"/>
      <c r="SZZ33" s="2"/>
      <c r="TAA33" s="2"/>
      <c r="TAB33" s="2"/>
      <c r="TAC33" s="2"/>
      <c r="TAD33" s="2"/>
      <c r="TAE33" s="2"/>
      <c r="TAF33" s="2"/>
      <c r="TAG33" s="2"/>
      <c r="TAH33" s="2"/>
      <c r="TAI33" s="2"/>
      <c r="TAJ33" s="2"/>
      <c r="TAK33" s="2"/>
      <c r="TAL33" s="2"/>
      <c r="TAM33" s="2"/>
      <c r="TAN33" s="2"/>
      <c r="TAO33" s="2"/>
      <c r="TAP33" s="2"/>
      <c r="TAQ33" s="2"/>
      <c r="TAR33" s="2"/>
      <c r="TAS33" s="2"/>
      <c r="TAT33" s="2"/>
      <c r="TAU33" s="2"/>
      <c r="TAV33" s="2"/>
      <c r="TAW33" s="2"/>
      <c r="TAX33" s="2"/>
      <c r="TAY33" s="2"/>
      <c r="TAZ33" s="2"/>
      <c r="TBA33" s="2"/>
      <c r="TBB33" s="2"/>
      <c r="TBC33" s="2"/>
      <c r="TBD33" s="2"/>
      <c r="TBE33" s="2"/>
      <c r="TBF33" s="2"/>
      <c r="TBG33" s="2"/>
      <c r="TBH33" s="2"/>
      <c r="TBI33" s="2"/>
      <c r="TBJ33" s="2"/>
      <c r="TBK33" s="2"/>
      <c r="TBL33" s="2"/>
      <c r="TBM33" s="2"/>
      <c r="TBN33" s="2"/>
      <c r="TBO33" s="2"/>
      <c r="TBP33" s="2"/>
      <c r="TBQ33" s="2"/>
      <c r="TBR33" s="2"/>
      <c r="TBS33" s="2"/>
      <c r="TBT33" s="2"/>
      <c r="TBU33" s="2"/>
      <c r="TBV33" s="2"/>
      <c r="TBW33" s="2"/>
      <c r="TBX33" s="2"/>
      <c r="TBY33" s="2"/>
      <c r="TBZ33" s="2"/>
      <c r="TCA33" s="2"/>
      <c r="TCB33" s="2"/>
      <c r="TCC33" s="2"/>
      <c r="TCD33" s="2"/>
      <c r="TCE33" s="2"/>
      <c r="TCF33" s="2"/>
      <c r="TCG33" s="2"/>
      <c r="TCH33" s="2"/>
      <c r="TCI33" s="2"/>
      <c r="TCJ33" s="2"/>
      <c r="TCK33" s="2"/>
      <c r="TCL33" s="2"/>
      <c r="TCM33" s="2"/>
      <c r="TCN33" s="2"/>
      <c r="TCO33" s="2"/>
      <c r="TCP33" s="2"/>
      <c r="TCQ33" s="2"/>
      <c r="TCR33" s="2"/>
      <c r="TCS33" s="2"/>
      <c r="TCT33" s="2"/>
      <c r="TCU33" s="2"/>
      <c r="TCV33" s="2"/>
      <c r="TCW33" s="2"/>
      <c r="TCX33" s="2"/>
      <c r="TCY33" s="2"/>
      <c r="TCZ33" s="2"/>
      <c r="TDA33" s="2"/>
      <c r="TDB33" s="2"/>
      <c r="TDC33" s="2"/>
      <c r="TDD33" s="2"/>
      <c r="TDE33" s="2"/>
      <c r="TDF33" s="2"/>
      <c r="TDG33" s="2"/>
      <c r="TDH33" s="2"/>
      <c r="TDI33" s="2"/>
      <c r="TDJ33" s="2"/>
      <c r="TDK33" s="2"/>
      <c r="TDL33" s="2"/>
      <c r="TDM33" s="2"/>
      <c r="TDN33" s="2"/>
      <c r="TDO33" s="2"/>
      <c r="TDP33" s="2"/>
      <c r="TDQ33" s="2"/>
      <c r="TDR33" s="2"/>
      <c r="TDS33" s="2"/>
      <c r="TDT33" s="2"/>
      <c r="TDU33" s="2"/>
      <c r="TDV33" s="2"/>
      <c r="TDW33" s="2"/>
      <c r="TDX33" s="2"/>
      <c r="TDY33" s="2"/>
      <c r="TDZ33" s="2"/>
      <c r="TEA33" s="2"/>
      <c r="TEB33" s="2"/>
      <c r="TEC33" s="2"/>
      <c r="TED33" s="2"/>
      <c r="TEE33" s="2"/>
      <c r="TEF33" s="2"/>
      <c r="TEG33" s="2"/>
      <c r="TEH33" s="2"/>
      <c r="TEI33" s="2"/>
      <c r="TEJ33" s="2"/>
      <c r="TEK33" s="2"/>
      <c r="TEL33" s="2"/>
      <c r="TEM33" s="2"/>
      <c r="TEN33" s="2"/>
      <c r="TEO33" s="2"/>
      <c r="TEP33" s="2"/>
      <c r="TEQ33" s="2"/>
      <c r="TER33" s="2"/>
      <c r="TES33" s="2"/>
      <c r="TET33" s="2"/>
      <c r="TEU33" s="2"/>
      <c r="TEV33" s="2"/>
      <c r="TEW33" s="2"/>
      <c r="TEX33" s="2"/>
      <c r="TEY33" s="2"/>
      <c r="TEZ33" s="2"/>
      <c r="TFA33" s="2"/>
      <c r="TFB33" s="2"/>
      <c r="TFC33" s="2"/>
      <c r="TFD33" s="2"/>
      <c r="TFE33" s="2"/>
      <c r="TFF33" s="2"/>
      <c r="TFG33" s="2"/>
      <c r="TFH33" s="2"/>
      <c r="TFI33" s="2"/>
      <c r="TFJ33" s="2"/>
      <c r="TFK33" s="2"/>
      <c r="TFL33" s="2"/>
      <c r="TFM33" s="2"/>
      <c r="TFN33" s="2"/>
      <c r="TFO33" s="2"/>
      <c r="TFP33" s="2"/>
      <c r="TFQ33" s="2"/>
      <c r="TFR33" s="2"/>
      <c r="TFS33" s="2"/>
      <c r="TFT33" s="2"/>
      <c r="TFU33" s="2"/>
      <c r="TFV33" s="2"/>
      <c r="TFW33" s="2"/>
      <c r="TFX33" s="2"/>
      <c r="TFY33" s="2"/>
      <c r="TFZ33" s="2"/>
      <c r="TGA33" s="2"/>
      <c r="TGB33" s="2"/>
      <c r="TGC33" s="2"/>
      <c r="TGD33" s="2"/>
      <c r="TGE33" s="2"/>
      <c r="TGF33" s="2"/>
      <c r="TGG33" s="2"/>
      <c r="TGH33" s="2"/>
      <c r="TGI33" s="2"/>
      <c r="TGJ33" s="2"/>
      <c r="TGK33" s="2"/>
      <c r="TGL33" s="2"/>
      <c r="TGM33" s="2"/>
      <c r="TGN33" s="2"/>
      <c r="TGO33" s="2"/>
      <c r="TGP33" s="2"/>
      <c r="TGQ33" s="2"/>
      <c r="TGR33" s="2"/>
      <c r="TGS33" s="2"/>
      <c r="TGT33" s="2"/>
      <c r="TGU33" s="2"/>
      <c r="TGV33" s="2"/>
      <c r="TGW33" s="2"/>
      <c r="TGX33" s="2"/>
      <c r="TGY33" s="2"/>
      <c r="TGZ33" s="2"/>
      <c r="THA33" s="2"/>
      <c r="THB33" s="2"/>
      <c r="THC33" s="2"/>
      <c r="THD33" s="2"/>
      <c r="THE33" s="2"/>
      <c r="THF33" s="2"/>
      <c r="THG33" s="2"/>
      <c r="THH33" s="2"/>
      <c r="THI33" s="2"/>
      <c r="THJ33" s="2"/>
      <c r="THK33" s="2"/>
      <c r="THL33" s="2"/>
      <c r="THM33" s="2"/>
      <c r="THN33" s="2"/>
      <c r="THO33" s="2"/>
      <c r="THP33" s="2"/>
      <c r="THQ33" s="2"/>
      <c r="THR33" s="2"/>
      <c r="THS33" s="2"/>
      <c r="THT33" s="2"/>
      <c r="THU33" s="2"/>
      <c r="THV33" s="2"/>
      <c r="THW33" s="2"/>
      <c r="THX33" s="2"/>
      <c r="THY33" s="2"/>
      <c r="THZ33" s="2"/>
      <c r="TIA33" s="2"/>
      <c r="TIB33" s="2"/>
      <c r="TIC33" s="2"/>
      <c r="TID33" s="2"/>
      <c r="TIE33" s="2"/>
      <c r="TIF33" s="2"/>
      <c r="TIG33" s="2"/>
      <c r="TIH33" s="2"/>
      <c r="TII33" s="2"/>
      <c r="TIJ33" s="2"/>
      <c r="TIK33" s="2"/>
      <c r="TIL33" s="2"/>
      <c r="TIM33" s="2"/>
      <c r="TIN33" s="2"/>
      <c r="TIO33" s="2"/>
      <c r="TIP33" s="2"/>
      <c r="TIQ33" s="2"/>
      <c r="TIR33" s="2"/>
      <c r="TIS33" s="2"/>
      <c r="TIT33" s="2"/>
      <c r="TIU33" s="2"/>
      <c r="TIV33" s="2"/>
      <c r="TIW33" s="2"/>
      <c r="TIX33" s="2"/>
      <c r="TIY33" s="2"/>
      <c r="TIZ33" s="2"/>
      <c r="TJA33" s="2"/>
      <c r="TJB33" s="2"/>
      <c r="TJC33" s="2"/>
      <c r="TJD33" s="2"/>
      <c r="TJE33" s="2"/>
      <c r="TJF33" s="2"/>
      <c r="TJG33" s="2"/>
      <c r="TJH33" s="2"/>
      <c r="TJI33" s="2"/>
      <c r="TJJ33" s="2"/>
      <c r="TJK33" s="2"/>
      <c r="TJL33" s="2"/>
      <c r="TJM33" s="2"/>
      <c r="TJN33" s="2"/>
      <c r="TJO33" s="2"/>
      <c r="TJP33" s="2"/>
      <c r="TJQ33" s="2"/>
      <c r="TJR33" s="2"/>
      <c r="TJS33" s="2"/>
      <c r="TJT33" s="2"/>
      <c r="TJU33" s="2"/>
      <c r="TJV33" s="2"/>
      <c r="TJW33" s="2"/>
      <c r="TJX33" s="2"/>
      <c r="TJY33" s="2"/>
      <c r="TJZ33" s="2"/>
      <c r="TKA33" s="2"/>
      <c r="TKB33" s="2"/>
      <c r="TKC33" s="2"/>
      <c r="TKD33" s="2"/>
      <c r="TKE33" s="2"/>
      <c r="TKF33" s="2"/>
      <c r="TKG33" s="2"/>
      <c r="TKH33" s="2"/>
      <c r="TKI33" s="2"/>
      <c r="TKJ33" s="2"/>
      <c r="TKK33" s="2"/>
      <c r="TKL33" s="2"/>
      <c r="TKM33" s="2"/>
      <c r="TKN33" s="2"/>
      <c r="TKO33" s="2"/>
      <c r="TKP33" s="2"/>
      <c r="TKQ33" s="2"/>
      <c r="TKR33" s="2"/>
      <c r="TKS33" s="2"/>
      <c r="TKT33" s="2"/>
      <c r="TKU33" s="2"/>
      <c r="TKV33" s="2"/>
      <c r="TKW33" s="2"/>
      <c r="TKX33" s="2"/>
      <c r="TKY33" s="2"/>
      <c r="TKZ33" s="2"/>
      <c r="TLA33" s="2"/>
      <c r="TLB33" s="2"/>
      <c r="TLC33" s="2"/>
      <c r="TLD33" s="2"/>
      <c r="TLE33" s="2"/>
      <c r="TLF33" s="2"/>
      <c r="TLG33" s="2"/>
      <c r="TLH33" s="2"/>
      <c r="TLI33" s="2"/>
      <c r="TLJ33" s="2"/>
      <c r="TLK33" s="2"/>
      <c r="TLL33" s="2"/>
      <c r="TLM33" s="2"/>
      <c r="TLN33" s="2"/>
      <c r="TLO33" s="2"/>
      <c r="TLP33" s="2"/>
      <c r="TLQ33" s="2"/>
      <c r="TLR33" s="2"/>
      <c r="TLS33" s="2"/>
      <c r="TLT33" s="2"/>
      <c r="TLU33" s="2"/>
      <c r="TLV33" s="2"/>
      <c r="TLW33" s="2"/>
      <c r="TLX33" s="2"/>
      <c r="TLY33" s="2"/>
      <c r="TLZ33" s="2"/>
      <c r="TMA33" s="2"/>
      <c r="TMB33" s="2"/>
      <c r="TMC33" s="2"/>
      <c r="TMD33" s="2"/>
      <c r="TME33" s="2"/>
      <c r="TMF33" s="2"/>
      <c r="TMG33" s="2"/>
      <c r="TMH33" s="2"/>
      <c r="TMI33" s="2"/>
      <c r="TMJ33" s="2"/>
      <c r="TMK33" s="2"/>
      <c r="TML33" s="2"/>
      <c r="TMM33" s="2"/>
      <c r="TMN33" s="2"/>
      <c r="TMO33" s="2"/>
      <c r="TMP33" s="2"/>
      <c r="TMQ33" s="2"/>
      <c r="TMR33" s="2"/>
      <c r="TMS33" s="2"/>
      <c r="TMT33" s="2"/>
      <c r="TMU33" s="2"/>
      <c r="TMV33" s="2"/>
      <c r="TMW33" s="2"/>
      <c r="TMX33" s="2"/>
      <c r="TMY33" s="2"/>
      <c r="TMZ33" s="2"/>
      <c r="TNA33" s="2"/>
      <c r="TNB33" s="2"/>
      <c r="TNC33" s="2"/>
      <c r="TND33" s="2"/>
      <c r="TNE33" s="2"/>
      <c r="TNF33" s="2"/>
      <c r="TNG33" s="2"/>
      <c r="TNH33" s="2"/>
      <c r="TNI33" s="2"/>
      <c r="TNJ33" s="2"/>
      <c r="TNK33" s="2"/>
      <c r="TNL33" s="2"/>
      <c r="TNM33" s="2"/>
      <c r="TNN33" s="2"/>
      <c r="TNO33" s="2"/>
      <c r="TNP33" s="2"/>
      <c r="TNQ33" s="2"/>
      <c r="TNR33" s="2"/>
      <c r="TNS33" s="2"/>
      <c r="TNT33" s="2"/>
      <c r="TNU33" s="2"/>
      <c r="TNV33" s="2"/>
      <c r="TNW33" s="2"/>
      <c r="TNX33" s="2"/>
      <c r="TNY33" s="2"/>
      <c r="TNZ33" s="2"/>
      <c r="TOA33" s="2"/>
      <c r="TOB33" s="2"/>
      <c r="TOC33" s="2"/>
      <c r="TOD33" s="2"/>
      <c r="TOE33" s="2"/>
      <c r="TOF33" s="2"/>
      <c r="TOG33" s="2"/>
      <c r="TOH33" s="2"/>
      <c r="TOI33" s="2"/>
      <c r="TOJ33" s="2"/>
      <c r="TOK33" s="2"/>
      <c r="TOL33" s="2"/>
      <c r="TOM33" s="2"/>
      <c r="TON33" s="2"/>
      <c r="TOO33" s="2"/>
      <c r="TOP33" s="2"/>
      <c r="TOQ33" s="2"/>
      <c r="TOR33" s="2"/>
      <c r="TOS33" s="2"/>
      <c r="TOT33" s="2"/>
      <c r="TOU33" s="2"/>
      <c r="TOV33" s="2"/>
      <c r="TOW33" s="2"/>
      <c r="TOX33" s="2"/>
      <c r="TOY33" s="2"/>
      <c r="TOZ33" s="2"/>
      <c r="TPA33" s="2"/>
      <c r="TPB33" s="2"/>
      <c r="TPC33" s="2"/>
      <c r="TPD33" s="2"/>
      <c r="TPE33" s="2"/>
      <c r="TPF33" s="2"/>
      <c r="TPG33" s="2"/>
      <c r="TPH33" s="2"/>
      <c r="TPI33" s="2"/>
      <c r="TPJ33" s="2"/>
      <c r="TPK33" s="2"/>
      <c r="TPL33" s="2"/>
      <c r="TPM33" s="2"/>
      <c r="TPN33" s="2"/>
      <c r="TPO33" s="2"/>
      <c r="TPP33" s="2"/>
      <c r="TPQ33" s="2"/>
      <c r="TPR33" s="2"/>
      <c r="TPS33" s="2"/>
      <c r="TPT33" s="2"/>
      <c r="TPU33" s="2"/>
      <c r="TPV33" s="2"/>
      <c r="TPW33" s="2"/>
      <c r="TPX33" s="2"/>
      <c r="TPY33" s="2"/>
      <c r="TPZ33" s="2"/>
      <c r="TQA33" s="2"/>
      <c r="TQB33" s="2"/>
      <c r="TQC33" s="2"/>
      <c r="TQD33" s="2"/>
      <c r="TQE33" s="2"/>
      <c r="TQF33" s="2"/>
      <c r="TQG33" s="2"/>
      <c r="TQH33" s="2"/>
      <c r="TQI33" s="2"/>
      <c r="TQJ33" s="2"/>
      <c r="TQK33" s="2"/>
      <c r="TQL33" s="2"/>
      <c r="TQM33" s="2"/>
      <c r="TQN33" s="2"/>
      <c r="TQO33" s="2"/>
      <c r="TQP33" s="2"/>
      <c r="TQQ33" s="2"/>
      <c r="TQR33" s="2"/>
      <c r="TQS33" s="2"/>
      <c r="TQT33" s="2"/>
      <c r="TQU33" s="2"/>
      <c r="TQV33" s="2"/>
      <c r="TQW33" s="2"/>
      <c r="TQX33" s="2"/>
      <c r="TQY33" s="2"/>
      <c r="TQZ33" s="2"/>
      <c r="TRA33" s="2"/>
      <c r="TRB33" s="2"/>
      <c r="TRC33" s="2"/>
      <c r="TRD33" s="2"/>
      <c r="TRE33" s="2"/>
      <c r="TRF33" s="2"/>
      <c r="TRG33" s="2"/>
      <c r="TRH33" s="2"/>
      <c r="TRI33" s="2"/>
      <c r="TRJ33" s="2"/>
      <c r="TRK33" s="2"/>
      <c r="TRL33" s="2"/>
      <c r="TRM33" s="2"/>
      <c r="TRN33" s="2"/>
      <c r="TRO33" s="2"/>
      <c r="TRP33" s="2"/>
      <c r="TRQ33" s="2"/>
      <c r="TRR33" s="2"/>
      <c r="TRS33" s="2"/>
      <c r="TRT33" s="2"/>
      <c r="TRU33" s="2"/>
      <c r="TRV33" s="2"/>
      <c r="TRW33" s="2"/>
      <c r="TRX33" s="2"/>
      <c r="TRY33" s="2"/>
      <c r="TRZ33" s="2"/>
      <c r="TSA33" s="2"/>
      <c r="TSB33" s="2"/>
      <c r="TSC33" s="2"/>
      <c r="TSD33" s="2"/>
      <c r="TSE33" s="2"/>
      <c r="TSF33" s="2"/>
      <c r="TSG33" s="2"/>
      <c r="TSH33" s="2"/>
      <c r="TSI33" s="2"/>
      <c r="TSJ33" s="2"/>
      <c r="TSK33" s="2"/>
      <c r="TSL33" s="2"/>
      <c r="TSM33" s="2"/>
      <c r="TSN33" s="2"/>
      <c r="TSO33" s="2"/>
      <c r="TSP33" s="2"/>
      <c r="TSQ33" s="2"/>
      <c r="TSR33" s="2"/>
      <c r="TSS33" s="2"/>
      <c r="TST33" s="2"/>
      <c r="TSU33" s="2"/>
      <c r="TSV33" s="2"/>
      <c r="TSW33" s="2"/>
      <c r="TSX33" s="2"/>
      <c r="TSY33" s="2"/>
      <c r="TSZ33" s="2"/>
      <c r="TTA33" s="2"/>
      <c r="TTB33" s="2"/>
      <c r="TTC33" s="2"/>
      <c r="TTD33" s="2"/>
      <c r="TTE33" s="2"/>
      <c r="TTF33" s="2"/>
      <c r="TTG33" s="2"/>
      <c r="TTH33" s="2"/>
      <c r="TTI33" s="2"/>
      <c r="TTJ33" s="2"/>
      <c r="TTK33" s="2"/>
      <c r="TTL33" s="2"/>
      <c r="TTM33" s="2"/>
      <c r="TTN33" s="2"/>
      <c r="TTO33" s="2"/>
      <c r="TTP33" s="2"/>
      <c r="TTQ33" s="2"/>
      <c r="TTR33" s="2"/>
      <c r="TTS33" s="2"/>
      <c r="TTT33" s="2"/>
      <c r="TTU33" s="2"/>
      <c r="TTV33" s="2"/>
      <c r="TTW33" s="2"/>
      <c r="TTX33" s="2"/>
      <c r="TTY33" s="2"/>
      <c r="TTZ33" s="2"/>
      <c r="TUA33" s="2"/>
      <c r="TUB33" s="2"/>
      <c r="TUC33" s="2"/>
      <c r="TUD33" s="2"/>
      <c r="TUE33" s="2"/>
      <c r="TUF33" s="2"/>
      <c r="TUG33" s="2"/>
      <c r="TUH33" s="2"/>
      <c r="TUI33" s="2"/>
      <c r="TUJ33" s="2"/>
      <c r="TUK33" s="2"/>
      <c r="TUL33" s="2"/>
      <c r="TUM33" s="2"/>
      <c r="TUN33" s="2"/>
      <c r="TUO33" s="2"/>
      <c r="TUP33" s="2"/>
      <c r="TUQ33" s="2"/>
      <c r="TUR33" s="2"/>
      <c r="TUS33" s="2"/>
      <c r="TUT33" s="2"/>
      <c r="TUU33" s="2"/>
      <c r="TUV33" s="2"/>
      <c r="TUW33" s="2"/>
      <c r="TUX33" s="2"/>
      <c r="TUY33" s="2"/>
      <c r="TUZ33" s="2"/>
      <c r="TVA33" s="2"/>
      <c r="TVB33" s="2"/>
      <c r="TVC33" s="2"/>
      <c r="TVD33" s="2"/>
      <c r="TVE33" s="2"/>
      <c r="TVF33" s="2"/>
      <c r="TVG33" s="2"/>
      <c r="TVH33" s="2"/>
      <c r="TVI33" s="2"/>
      <c r="TVJ33" s="2"/>
      <c r="TVK33" s="2"/>
      <c r="TVL33" s="2"/>
      <c r="TVM33" s="2"/>
      <c r="TVN33" s="2"/>
      <c r="TVO33" s="2"/>
      <c r="TVP33" s="2"/>
      <c r="TVQ33" s="2"/>
      <c r="TVR33" s="2"/>
      <c r="TVS33" s="2"/>
      <c r="TVT33" s="2"/>
      <c r="TVU33" s="2"/>
      <c r="TVV33" s="2"/>
      <c r="TVW33" s="2"/>
      <c r="TVX33" s="2"/>
      <c r="TVY33" s="2"/>
      <c r="TVZ33" s="2"/>
      <c r="TWA33" s="2"/>
      <c r="TWB33" s="2"/>
      <c r="TWC33" s="2"/>
      <c r="TWD33" s="2"/>
      <c r="TWE33" s="2"/>
      <c r="TWF33" s="2"/>
      <c r="TWG33" s="2"/>
      <c r="TWH33" s="2"/>
      <c r="TWI33" s="2"/>
      <c r="TWJ33" s="2"/>
      <c r="TWK33" s="2"/>
      <c r="TWL33" s="2"/>
      <c r="TWM33" s="2"/>
      <c r="TWN33" s="2"/>
      <c r="TWO33" s="2"/>
      <c r="TWP33" s="2"/>
      <c r="TWQ33" s="2"/>
      <c r="TWR33" s="2"/>
      <c r="TWS33" s="2"/>
      <c r="TWT33" s="2"/>
      <c r="TWU33" s="2"/>
      <c r="TWV33" s="2"/>
      <c r="TWW33" s="2"/>
      <c r="TWX33" s="2"/>
      <c r="TWY33" s="2"/>
      <c r="TWZ33" s="2"/>
      <c r="TXA33" s="2"/>
      <c r="TXB33" s="2"/>
      <c r="TXC33" s="2"/>
      <c r="TXD33" s="2"/>
      <c r="TXE33" s="2"/>
      <c r="TXF33" s="2"/>
      <c r="TXG33" s="2"/>
      <c r="TXH33" s="2"/>
      <c r="TXI33" s="2"/>
      <c r="TXJ33" s="2"/>
      <c r="TXK33" s="2"/>
      <c r="TXL33" s="2"/>
      <c r="TXM33" s="2"/>
      <c r="TXN33" s="2"/>
      <c r="TXO33" s="2"/>
      <c r="TXP33" s="2"/>
      <c r="TXQ33" s="2"/>
      <c r="TXR33" s="2"/>
      <c r="TXS33" s="2"/>
      <c r="TXT33" s="2"/>
      <c r="TXU33" s="2"/>
      <c r="TXV33" s="2"/>
      <c r="TXW33" s="2"/>
      <c r="TXX33" s="2"/>
      <c r="TXY33" s="2"/>
      <c r="TXZ33" s="2"/>
      <c r="TYA33" s="2"/>
      <c r="TYB33" s="2"/>
      <c r="TYC33" s="2"/>
      <c r="TYD33" s="2"/>
      <c r="TYE33" s="2"/>
      <c r="TYF33" s="2"/>
      <c r="TYG33" s="2"/>
      <c r="TYH33" s="2"/>
      <c r="TYI33" s="2"/>
      <c r="TYJ33" s="2"/>
      <c r="TYK33" s="2"/>
      <c r="TYL33" s="2"/>
      <c r="TYM33" s="2"/>
      <c r="TYN33" s="2"/>
      <c r="TYO33" s="2"/>
      <c r="TYP33" s="2"/>
      <c r="TYQ33" s="2"/>
      <c r="TYR33" s="2"/>
      <c r="TYS33" s="2"/>
      <c r="TYT33" s="2"/>
      <c r="TYU33" s="2"/>
      <c r="TYV33" s="2"/>
      <c r="TYW33" s="2"/>
      <c r="TYX33" s="2"/>
      <c r="TYY33" s="2"/>
      <c r="TYZ33" s="2"/>
      <c r="TZA33" s="2"/>
      <c r="TZB33" s="2"/>
      <c r="TZC33" s="2"/>
      <c r="TZD33" s="2"/>
      <c r="TZE33" s="2"/>
      <c r="TZF33" s="2"/>
      <c r="TZG33" s="2"/>
      <c r="TZH33" s="2"/>
      <c r="TZI33" s="2"/>
      <c r="TZJ33" s="2"/>
      <c r="TZK33" s="2"/>
      <c r="TZL33" s="2"/>
      <c r="TZM33" s="2"/>
      <c r="TZN33" s="2"/>
      <c r="TZO33" s="2"/>
      <c r="TZP33" s="2"/>
      <c r="TZQ33" s="2"/>
      <c r="TZR33" s="2"/>
      <c r="TZS33" s="2"/>
      <c r="TZT33" s="2"/>
      <c r="TZU33" s="2"/>
      <c r="TZV33" s="2"/>
      <c r="TZW33" s="2"/>
      <c r="TZX33" s="2"/>
      <c r="TZY33" s="2"/>
      <c r="TZZ33" s="2"/>
      <c r="UAA33" s="2"/>
      <c r="UAB33" s="2"/>
      <c r="UAC33" s="2"/>
      <c r="UAD33" s="2"/>
      <c r="UAE33" s="2"/>
      <c r="UAF33" s="2"/>
      <c r="UAG33" s="2"/>
      <c r="UAH33" s="2"/>
      <c r="UAI33" s="2"/>
      <c r="UAJ33" s="2"/>
      <c r="UAK33" s="2"/>
      <c r="UAL33" s="2"/>
      <c r="UAM33" s="2"/>
      <c r="UAN33" s="2"/>
      <c r="UAO33" s="2"/>
      <c r="UAP33" s="2"/>
      <c r="UAQ33" s="2"/>
      <c r="UAR33" s="2"/>
      <c r="UAS33" s="2"/>
      <c r="UAT33" s="2"/>
      <c r="UAU33" s="2"/>
      <c r="UAV33" s="2"/>
      <c r="UAW33" s="2"/>
      <c r="UAX33" s="2"/>
      <c r="UAY33" s="2"/>
      <c r="UAZ33" s="2"/>
      <c r="UBA33" s="2"/>
      <c r="UBB33" s="2"/>
      <c r="UBC33" s="2"/>
      <c r="UBD33" s="2"/>
      <c r="UBE33" s="2"/>
      <c r="UBF33" s="2"/>
      <c r="UBG33" s="2"/>
      <c r="UBH33" s="2"/>
      <c r="UBI33" s="2"/>
      <c r="UBJ33" s="2"/>
      <c r="UBK33" s="2"/>
      <c r="UBL33" s="2"/>
      <c r="UBM33" s="2"/>
      <c r="UBN33" s="2"/>
      <c r="UBO33" s="2"/>
      <c r="UBP33" s="2"/>
      <c r="UBQ33" s="2"/>
      <c r="UBR33" s="2"/>
      <c r="UBS33" s="2"/>
      <c r="UBT33" s="2"/>
      <c r="UBU33" s="2"/>
      <c r="UBV33" s="2"/>
      <c r="UBW33" s="2"/>
      <c r="UBX33" s="2"/>
      <c r="UBY33" s="2"/>
      <c r="UBZ33" s="2"/>
      <c r="UCA33" s="2"/>
      <c r="UCB33" s="2"/>
      <c r="UCC33" s="2"/>
      <c r="UCD33" s="2"/>
      <c r="UCE33" s="2"/>
      <c r="UCF33" s="2"/>
      <c r="UCG33" s="2"/>
      <c r="UCH33" s="2"/>
      <c r="UCI33" s="2"/>
      <c r="UCJ33" s="2"/>
      <c r="UCK33" s="2"/>
      <c r="UCL33" s="2"/>
      <c r="UCM33" s="2"/>
      <c r="UCN33" s="2"/>
      <c r="UCO33" s="2"/>
      <c r="UCP33" s="2"/>
      <c r="UCQ33" s="2"/>
      <c r="UCR33" s="2"/>
      <c r="UCS33" s="2"/>
      <c r="UCT33" s="2"/>
      <c r="UCU33" s="2"/>
      <c r="UCV33" s="2"/>
      <c r="UCW33" s="2"/>
      <c r="UCX33" s="2"/>
      <c r="UCY33" s="2"/>
      <c r="UCZ33" s="2"/>
      <c r="UDA33" s="2"/>
      <c r="UDB33" s="2"/>
      <c r="UDC33" s="2"/>
      <c r="UDD33" s="2"/>
      <c r="UDE33" s="2"/>
      <c r="UDF33" s="2"/>
      <c r="UDG33" s="2"/>
      <c r="UDH33" s="2"/>
      <c r="UDI33" s="2"/>
      <c r="UDJ33" s="2"/>
      <c r="UDK33" s="2"/>
      <c r="UDL33" s="2"/>
      <c r="UDM33" s="2"/>
      <c r="UDN33" s="2"/>
      <c r="UDO33" s="2"/>
      <c r="UDP33" s="2"/>
      <c r="UDQ33" s="2"/>
      <c r="UDR33" s="2"/>
      <c r="UDS33" s="2"/>
      <c r="UDT33" s="2"/>
      <c r="UDU33" s="2"/>
      <c r="UDV33" s="2"/>
      <c r="UDW33" s="2"/>
      <c r="UDX33" s="2"/>
      <c r="UDY33" s="2"/>
      <c r="UDZ33" s="2"/>
      <c r="UEA33" s="2"/>
      <c r="UEB33" s="2"/>
      <c r="UEC33" s="2"/>
      <c r="UED33" s="2"/>
      <c r="UEE33" s="2"/>
      <c r="UEF33" s="2"/>
      <c r="UEG33" s="2"/>
      <c r="UEH33" s="2"/>
      <c r="UEI33" s="2"/>
      <c r="UEJ33" s="2"/>
      <c r="UEK33" s="2"/>
      <c r="UEL33" s="2"/>
      <c r="UEM33" s="2"/>
      <c r="UEN33" s="2"/>
      <c r="UEO33" s="2"/>
      <c r="UEP33" s="2"/>
      <c r="UEQ33" s="2"/>
      <c r="UER33" s="2"/>
      <c r="UES33" s="2"/>
      <c r="UET33" s="2"/>
      <c r="UEU33" s="2"/>
      <c r="UEV33" s="2"/>
      <c r="UEW33" s="2"/>
      <c r="UEX33" s="2"/>
      <c r="UEY33" s="2"/>
      <c r="UEZ33" s="2"/>
      <c r="UFA33" s="2"/>
      <c r="UFB33" s="2"/>
      <c r="UFC33" s="2"/>
      <c r="UFD33" s="2"/>
      <c r="UFE33" s="2"/>
      <c r="UFF33" s="2"/>
      <c r="UFG33" s="2"/>
      <c r="UFH33" s="2"/>
      <c r="UFI33" s="2"/>
      <c r="UFJ33" s="2"/>
      <c r="UFK33" s="2"/>
      <c r="UFL33" s="2"/>
      <c r="UFM33" s="2"/>
      <c r="UFN33" s="2"/>
      <c r="UFO33" s="2"/>
      <c r="UFP33" s="2"/>
      <c r="UFQ33" s="2"/>
      <c r="UFR33" s="2"/>
      <c r="UFS33" s="2"/>
      <c r="UFT33" s="2"/>
      <c r="UFU33" s="2"/>
      <c r="UFV33" s="2"/>
      <c r="UFW33" s="2"/>
      <c r="UFX33" s="2"/>
      <c r="UFY33" s="2"/>
      <c r="UFZ33" s="2"/>
      <c r="UGA33" s="2"/>
      <c r="UGB33" s="2"/>
      <c r="UGC33" s="2"/>
      <c r="UGD33" s="2"/>
      <c r="UGE33" s="2"/>
      <c r="UGF33" s="2"/>
      <c r="UGG33" s="2"/>
      <c r="UGH33" s="2"/>
      <c r="UGI33" s="2"/>
      <c r="UGJ33" s="2"/>
      <c r="UGK33" s="2"/>
      <c r="UGL33" s="2"/>
      <c r="UGM33" s="2"/>
      <c r="UGN33" s="2"/>
      <c r="UGO33" s="2"/>
      <c r="UGP33" s="2"/>
      <c r="UGQ33" s="2"/>
      <c r="UGR33" s="2"/>
      <c r="UGS33" s="2"/>
      <c r="UGT33" s="2"/>
      <c r="UGU33" s="2"/>
      <c r="UGV33" s="2"/>
      <c r="UGW33" s="2"/>
      <c r="UGX33" s="2"/>
      <c r="UGY33" s="2"/>
      <c r="UGZ33" s="2"/>
      <c r="UHA33" s="2"/>
      <c r="UHB33" s="2"/>
      <c r="UHC33" s="2"/>
      <c r="UHD33" s="2"/>
      <c r="UHE33" s="2"/>
      <c r="UHF33" s="2"/>
      <c r="UHG33" s="2"/>
      <c r="UHH33" s="2"/>
      <c r="UHI33" s="2"/>
      <c r="UHJ33" s="2"/>
      <c r="UHK33" s="2"/>
      <c r="UHL33" s="2"/>
      <c r="UHM33" s="2"/>
      <c r="UHN33" s="2"/>
      <c r="UHO33" s="2"/>
      <c r="UHP33" s="2"/>
      <c r="UHQ33" s="2"/>
      <c r="UHR33" s="2"/>
      <c r="UHS33" s="2"/>
      <c r="UHT33" s="2"/>
      <c r="UHU33" s="2"/>
      <c r="UHV33" s="2"/>
      <c r="UHW33" s="2"/>
      <c r="UHX33" s="2"/>
      <c r="UHY33" s="2"/>
      <c r="UHZ33" s="2"/>
      <c r="UIA33" s="2"/>
      <c r="UIB33" s="2"/>
      <c r="UIC33" s="2"/>
      <c r="UID33" s="2"/>
      <c r="UIE33" s="2"/>
      <c r="UIF33" s="2"/>
      <c r="UIG33" s="2"/>
      <c r="UIH33" s="2"/>
      <c r="UII33" s="2"/>
      <c r="UIJ33" s="2"/>
      <c r="UIK33" s="2"/>
      <c r="UIL33" s="2"/>
      <c r="UIM33" s="2"/>
      <c r="UIN33" s="2"/>
      <c r="UIO33" s="2"/>
      <c r="UIP33" s="2"/>
      <c r="UIQ33" s="2"/>
      <c r="UIR33" s="2"/>
      <c r="UIS33" s="2"/>
      <c r="UIT33" s="2"/>
      <c r="UIU33" s="2"/>
      <c r="UIV33" s="2"/>
      <c r="UIW33" s="2"/>
      <c r="UIX33" s="2"/>
      <c r="UIY33" s="2"/>
      <c r="UIZ33" s="2"/>
      <c r="UJA33" s="2"/>
      <c r="UJB33" s="2"/>
      <c r="UJC33" s="2"/>
      <c r="UJD33" s="2"/>
      <c r="UJE33" s="2"/>
      <c r="UJF33" s="2"/>
      <c r="UJG33" s="2"/>
      <c r="UJH33" s="2"/>
      <c r="UJI33" s="2"/>
      <c r="UJJ33" s="2"/>
      <c r="UJK33" s="2"/>
      <c r="UJL33" s="2"/>
      <c r="UJM33" s="2"/>
      <c r="UJN33" s="2"/>
      <c r="UJO33" s="2"/>
      <c r="UJP33" s="2"/>
      <c r="UJQ33" s="2"/>
      <c r="UJR33" s="2"/>
      <c r="UJS33" s="2"/>
      <c r="UJT33" s="2"/>
      <c r="UJU33" s="2"/>
      <c r="UJV33" s="2"/>
      <c r="UJW33" s="2"/>
      <c r="UJX33" s="2"/>
      <c r="UJY33" s="2"/>
      <c r="UJZ33" s="2"/>
      <c r="UKA33" s="2"/>
      <c r="UKB33" s="2"/>
      <c r="UKC33" s="2"/>
      <c r="UKD33" s="2"/>
      <c r="UKE33" s="2"/>
      <c r="UKF33" s="2"/>
      <c r="UKG33" s="2"/>
      <c r="UKH33" s="2"/>
      <c r="UKI33" s="2"/>
      <c r="UKJ33" s="2"/>
      <c r="UKK33" s="2"/>
      <c r="UKL33" s="2"/>
      <c r="UKM33" s="2"/>
      <c r="UKN33" s="2"/>
      <c r="UKO33" s="2"/>
      <c r="UKP33" s="2"/>
      <c r="UKQ33" s="2"/>
      <c r="UKR33" s="2"/>
      <c r="UKS33" s="2"/>
      <c r="UKT33" s="2"/>
      <c r="UKU33" s="2"/>
      <c r="UKV33" s="2"/>
      <c r="UKW33" s="2"/>
      <c r="UKX33" s="2"/>
      <c r="UKY33" s="2"/>
      <c r="UKZ33" s="2"/>
      <c r="ULA33" s="2"/>
      <c r="ULB33" s="2"/>
      <c r="ULC33" s="2"/>
      <c r="ULD33" s="2"/>
      <c r="ULE33" s="2"/>
      <c r="ULF33" s="2"/>
      <c r="ULG33" s="2"/>
      <c r="ULH33" s="2"/>
      <c r="ULI33" s="2"/>
      <c r="ULJ33" s="2"/>
      <c r="ULK33" s="2"/>
      <c r="ULL33" s="2"/>
      <c r="ULM33" s="2"/>
      <c r="ULN33" s="2"/>
      <c r="ULO33" s="2"/>
      <c r="ULP33" s="2"/>
      <c r="ULQ33" s="2"/>
      <c r="ULR33" s="2"/>
      <c r="ULS33" s="2"/>
      <c r="ULT33" s="2"/>
      <c r="ULU33" s="2"/>
      <c r="ULV33" s="2"/>
      <c r="ULW33" s="2"/>
      <c r="ULX33" s="2"/>
      <c r="ULY33" s="2"/>
      <c r="ULZ33" s="2"/>
      <c r="UMA33" s="2"/>
      <c r="UMB33" s="2"/>
      <c r="UMC33" s="2"/>
      <c r="UMD33" s="2"/>
      <c r="UME33" s="2"/>
      <c r="UMF33" s="2"/>
      <c r="UMG33" s="2"/>
      <c r="UMH33" s="2"/>
      <c r="UMI33" s="2"/>
      <c r="UMJ33" s="2"/>
      <c r="UMK33" s="2"/>
      <c r="UML33" s="2"/>
      <c r="UMM33" s="2"/>
      <c r="UMN33" s="2"/>
      <c r="UMO33" s="2"/>
      <c r="UMP33" s="2"/>
      <c r="UMQ33" s="2"/>
      <c r="UMR33" s="2"/>
      <c r="UMS33" s="2"/>
      <c r="UMT33" s="2"/>
      <c r="UMU33" s="2"/>
      <c r="UMV33" s="2"/>
      <c r="UMW33" s="2"/>
      <c r="UMX33" s="2"/>
      <c r="UMY33" s="2"/>
      <c r="UMZ33" s="2"/>
      <c r="UNA33" s="2"/>
      <c r="UNB33" s="2"/>
      <c r="UNC33" s="2"/>
      <c r="UND33" s="2"/>
      <c r="UNE33" s="2"/>
      <c r="UNF33" s="2"/>
      <c r="UNG33" s="2"/>
      <c r="UNH33" s="2"/>
      <c r="UNI33" s="2"/>
      <c r="UNJ33" s="2"/>
      <c r="UNK33" s="2"/>
      <c r="UNL33" s="2"/>
      <c r="UNM33" s="2"/>
      <c r="UNN33" s="2"/>
      <c r="UNO33" s="2"/>
      <c r="UNP33" s="2"/>
      <c r="UNQ33" s="2"/>
      <c r="UNR33" s="2"/>
      <c r="UNS33" s="2"/>
      <c r="UNT33" s="2"/>
      <c r="UNU33" s="2"/>
      <c r="UNV33" s="2"/>
      <c r="UNW33" s="2"/>
      <c r="UNX33" s="2"/>
      <c r="UNY33" s="2"/>
      <c r="UNZ33" s="2"/>
      <c r="UOA33" s="2"/>
      <c r="UOB33" s="2"/>
      <c r="UOC33" s="2"/>
      <c r="UOD33" s="2"/>
      <c r="UOE33" s="2"/>
      <c r="UOF33" s="2"/>
      <c r="UOG33" s="2"/>
      <c r="UOH33" s="2"/>
      <c r="UOI33" s="2"/>
      <c r="UOJ33" s="2"/>
      <c r="UOK33" s="2"/>
      <c r="UOL33" s="2"/>
      <c r="UOM33" s="2"/>
      <c r="UON33" s="2"/>
      <c r="UOO33" s="2"/>
      <c r="UOP33" s="2"/>
      <c r="UOQ33" s="2"/>
      <c r="UOR33" s="2"/>
      <c r="UOS33" s="2"/>
      <c r="UOT33" s="2"/>
      <c r="UOU33" s="2"/>
      <c r="UOV33" s="2"/>
      <c r="UOW33" s="2"/>
      <c r="UOX33" s="2"/>
      <c r="UOY33" s="2"/>
      <c r="UOZ33" s="2"/>
      <c r="UPA33" s="2"/>
      <c r="UPB33" s="2"/>
      <c r="UPC33" s="2"/>
      <c r="UPD33" s="2"/>
      <c r="UPE33" s="2"/>
      <c r="UPF33" s="2"/>
      <c r="UPG33" s="2"/>
      <c r="UPH33" s="2"/>
      <c r="UPI33" s="2"/>
      <c r="UPJ33" s="2"/>
      <c r="UPK33" s="2"/>
      <c r="UPL33" s="2"/>
      <c r="UPM33" s="2"/>
      <c r="UPN33" s="2"/>
      <c r="UPO33" s="2"/>
      <c r="UPP33" s="2"/>
      <c r="UPQ33" s="2"/>
      <c r="UPR33" s="2"/>
      <c r="UPS33" s="2"/>
      <c r="UPT33" s="2"/>
      <c r="UPU33" s="2"/>
      <c r="UPV33" s="2"/>
      <c r="UPW33" s="2"/>
      <c r="UPX33" s="2"/>
      <c r="UPY33" s="2"/>
      <c r="UPZ33" s="2"/>
      <c r="UQA33" s="2"/>
      <c r="UQB33" s="2"/>
      <c r="UQC33" s="2"/>
      <c r="UQD33" s="2"/>
      <c r="UQE33" s="2"/>
      <c r="UQF33" s="2"/>
      <c r="UQG33" s="2"/>
      <c r="UQH33" s="2"/>
      <c r="UQI33" s="2"/>
      <c r="UQJ33" s="2"/>
      <c r="UQK33" s="2"/>
      <c r="UQL33" s="2"/>
      <c r="UQM33" s="2"/>
      <c r="UQN33" s="2"/>
      <c r="UQO33" s="2"/>
      <c r="UQP33" s="2"/>
      <c r="UQQ33" s="2"/>
      <c r="UQR33" s="2"/>
      <c r="UQS33" s="2"/>
      <c r="UQT33" s="2"/>
      <c r="UQU33" s="2"/>
      <c r="UQV33" s="2"/>
      <c r="UQW33" s="2"/>
      <c r="UQX33" s="2"/>
      <c r="UQY33" s="2"/>
      <c r="UQZ33" s="2"/>
      <c r="URA33" s="2"/>
      <c r="URB33" s="2"/>
      <c r="URC33" s="2"/>
      <c r="URD33" s="2"/>
      <c r="URE33" s="2"/>
      <c r="URF33" s="2"/>
      <c r="URG33" s="2"/>
      <c r="URH33" s="2"/>
      <c r="URI33" s="2"/>
      <c r="URJ33" s="2"/>
      <c r="URK33" s="2"/>
      <c r="URL33" s="2"/>
      <c r="URM33" s="2"/>
      <c r="URN33" s="2"/>
      <c r="URO33" s="2"/>
      <c r="URP33" s="2"/>
      <c r="URQ33" s="2"/>
      <c r="URR33" s="2"/>
      <c r="URS33" s="2"/>
      <c r="URT33" s="2"/>
      <c r="URU33" s="2"/>
      <c r="URV33" s="2"/>
      <c r="URW33" s="2"/>
      <c r="URX33" s="2"/>
      <c r="URY33" s="2"/>
      <c r="URZ33" s="2"/>
      <c r="USA33" s="2"/>
      <c r="USB33" s="2"/>
      <c r="USC33" s="2"/>
      <c r="USD33" s="2"/>
      <c r="USE33" s="2"/>
      <c r="USF33" s="2"/>
      <c r="USG33" s="2"/>
      <c r="USH33" s="2"/>
      <c r="USI33" s="2"/>
      <c r="USJ33" s="2"/>
      <c r="USK33" s="2"/>
      <c r="USL33" s="2"/>
      <c r="USM33" s="2"/>
      <c r="USN33" s="2"/>
      <c r="USO33" s="2"/>
      <c r="USP33" s="2"/>
      <c r="USQ33" s="2"/>
      <c r="USR33" s="2"/>
      <c r="USS33" s="2"/>
      <c r="UST33" s="2"/>
      <c r="USU33" s="2"/>
      <c r="USV33" s="2"/>
      <c r="USW33" s="2"/>
      <c r="USX33" s="2"/>
      <c r="USY33" s="2"/>
      <c r="USZ33" s="2"/>
      <c r="UTA33" s="2"/>
      <c r="UTB33" s="2"/>
      <c r="UTC33" s="2"/>
      <c r="UTD33" s="2"/>
      <c r="UTE33" s="2"/>
      <c r="UTF33" s="2"/>
      <c r="UTG33" s="2"/>
      <c r="UTH33" s="2"/>
      <c r="UTI33" s="2"/>
      <c r="UTJ33" s="2"/>
      <c r="UTK33" s="2"/>
      <c r="UTL33" s="2"/>
      <c r="UTM33" s="2"/>
      <c r="UTN33" s="2"/>
      <c r="UTO33" s="2"/>
      <c r="UTP33" s="2"/>
      <c r="UTQ33" s="2"/>
      <c r="UTR33" s="2"/>
      <c r="UTS33" s="2"/>
      <c r="UTT33" s="2"/>
      <c r="UTU33" s="2"/>
      <c r="UTV33" s="2"/>
      <c r="UTW33" s="2"/>
      <c r="UTX33" s="2"/>
      <c r="UTY33" s="2"/>
      <c r="UTZ33" s="2"/>
      <c r="UUA33" s="2"/>
      <c r="UUB33" s="2"/>
      <c r="UUC33" s="2"/>
      <c r="UUD33" s="2"/>
      <c r="UUE33" s="2"/>
      <c r="UUF33" s="2"/>
      <c r="UUG33" s="2"/>
      <c r="UUH33" s="2"/>
      <c r="UUI33" s="2"/>
      <c r="UUJ33" s="2"/>
      <c r="UUK33" s="2"/>
      <c r="UUL33" s="2"/>
      <c r="UUM33" s="2"/>
      <c r="UUN33" s="2"/>
      <c r="UUO33" s="2"/>
      <c r="UUP33" s="2"/>
      <c r="UUQ33" s="2"/>
      <c r="UUR33" s="2"/>
      <c r="UUS33" s="2"/>
      <c r="UUT33" s="2"/>
      <c r="UUU33" s="2"/>
      <c r="UUV33" s="2"/>
      <c r="UUW33" s="2"/>
      <c r="UUX33" s="2"/>
      <c r="UUY33" s="2"/>
      <c r="UUZ33" s="2"/>
      <c r="UVA33" s="2"/>
      <c r="UVB33" s="2"/>
      <c r="UVC33" s="2"/>
      <c r="UVD33" s="2"/>
      <c r="UVE33" s="2"/>
      <c r="UVF33" s="2"/>
      <c r="UVG33" s="2"/>
      <c r="UVH33" s="2"/>
      <c r="UVI33" s="2"/>
      <c r="UVJ33" s="2"/>
      <c r="UVK33" s="2"/>
      <c r="UVL33" s="2"/>
      <c r="UVM33" s="2"/>
      <c r="UVN33" s="2"/>
      <c r="UVO33" s="2"/>
      <c r="UVP33" s="2"/>
      <c r="UVQ33" s="2"/>
      <c r="UVR33" s="2"/>
      <c r="UVS33" s="2"/>
      <c r="UVT33" s="2"/>
      <c r="UVU33" s="2"/>
      <c r="UVV33" s="2"/>
      <c r="UVW33" s="2"/>
      <c r="UVX33" s="2"/>
      <c r="UVY33" s="2"/>
      <c r="UVZ33" s="2"/>
      <c r="UWA33" s="2"/>
      <c r="UWB33" s="2"/>
      <c r="UWC33" s="2"/>
      <c r="UWD33" s="2"/>
      <c r="UWE33" s="2"/>
      <c r="UWF33" s="2"/>
      <c r="UWG33" s="2"/>
      <c r="UWH33" s="2"/>
      <c r="UWI33" s="2"/>
      <c r="UWJ33" s="2"/>
      <c r="UWK33" s="2"/>
      <c r="UWL33" s="2"/>
      <c r="UWM33" s="2"/>
      <c r="UWN33" s="2"/>
      <c r="UWO33" s="2"/>
      <c r="UWP33" s="2"/>
      <c r="UWQ33" s="2"/>
      <c r="UWR33" s="2"/>
      <c r="UWS33" s="2"/>
      <c r="UWT33" s="2"/>
      <c r="UWU33" s="2"/>
      <c r="UWV33" s="2"/>
      <c r="UWW33" s="2"/>
      <c r="UWX33" s="2"/>
      <c r="UWY33" s="2"/>
      <c r="UWZ33" s="2"/>
      <c r="UXA33" s="2"/>
      <c r="UXB33" s="2"/>
      <c r="UXC33" s="2"/>
      <c r="UXD33" s="2"/>
      <c r="UXE33" s="2"/>
      <c r="UXF33" s="2"/>
      <c r="UXG33" s="2"/>
      <c r="UXH33" s="2"/>
      <c r="UXI33" s="2"/>
      <c r="UXJ33" s="2"/>
      <c r="UXK33" s="2"/>
      <c r="UXL33" s="2"/>
      <c r="UXM33" s="2"/>
      <c r="UXN33" s="2"/>
      <c r="UXO33" s="2"/>
      <c r="UXP33" s="2"/>
      <c r="UXQ33" s="2"/>
      <c r="UXR33" s="2"/>
      <c r="UXS33" s="2"/>
      <c r="UXT33" s="2"/>
      <c r="UXU33" s="2"/>
      <c r="UXV33" s="2"/>
      <c r="UXW33" s="2"/>
      <c r="UXX33" s="2"/>
      <c r="UXY33" s="2"/>
      <c r="UXZ33" s="2"/>
      <c r="UYA33" s="2"/>
      <c r="UYB33" s="2"/>
      <c r="UYC33" s="2"/>
      <c r="UYD33" s="2"/>
      <c r="UYE33" s="2"/>
      <c r="UYF33" s="2"/>
      <c r="UYG33" s="2"/>
      <c r="UYH33" s="2"/>
      <c r="UYI33" s="2"/>
      <c r="UYJ33" s="2"/>
      <c r="UYK33" s="2"/>
      <c r="UYL33" s="2"/>
      <c r="UYM33" s="2"/>
      <c r="UYN33" s="2"/>
      <c r="UYO33" s="2"/>
      <c r="UYP33" s="2"/>
      <c r="UYQ33" s="2"/>
      <c r="UYR33" s="2"/>
      <c r="UYS33" s="2"/>
      <c r="UYT33" s="2"/>
      <c r="UYU33" s="2"/>
      <c r="UYV33" s="2"/>
      <c r="UYW33" s="2"/>
      <c r="UYX33" s="2"/>
      <c r="UYY33" s="2"/>
      <c r="UYZ33" s="2"/>
      <c r="UZA33" s="2"/>
      <c r="UZB33" s="2"/>
      <c r="UZC33" s="2"/>
      <c r="UZD33" s="2"/>
      <c r="UZE33" s="2"/>
      <c r="UZF33" s="2"/>
      <c r="UZG33" s="2"/>
      <c r="UZH33" s="2"/>
      <c r="UZI33" s="2"/>
      <c r="UZJ33" s="2"/>
      <c r="UZK33" s="2"/>
      <c r="UZL33" s="2"/>
      <c r="UZM33" s="2"/>
      <c r="UZN33" s="2"/>
      <c r="UZO33" s="2"/>
      <c r="UZP33" s="2"/>
      <c r="UZQ33" s="2"/>
      <c r="UZR33" s="2"/>
      <c r="UZS33" s="2"/>
      <c r="UZT33" s="2"/>
      <c r="UZU33" s="2"/>
      <c r="UZV33" s="2"/>
      <c r="UZW33" s="2"/>
      <c r="UZX33" s="2"/>
      <c r="UZY33" s="2"/>
      <c r="UZZ33" s="2"/>
      <c r="VAA33" s="2"/>
      <c r="VAB33" s="2"/>
      <c r="VAC33" s="2"/>
      <c r="VAD33" s="2"/>
      <c r="VAE33" s="2"/>
      <c r="VAF33" s="2"/>
      <c r="VAG33" s="2"/>
      <c r="VAH33" s="2"/>
      <c r="VAI33" s="2"/>
      <c r="VAJ33" s="2"/>
      <c r="VAK33" s="2"/>
      <c r="VAL33" s="2"/>
      <c r="VAM33" s="2"/>
      <c r="VAN33" s="2"/>
      <c r="VAO33" s="2"/>
      <c r="VAP33" s="2"/>
      <c r="VAQ33" s="2"/>
      <c r="VAR33" s="2"/>
      <c r="VAS33" s="2"/>
      <c r="VAT33" s="2"/>
      <c r="VAU33" s="2"/>
      <c r="VAV33" s="2"/>
      <c r="VAW33" s="2"/>
      <c r="VAX33" s="2"/>
      <c r="VAY33" s="2"/>
      <c r="VAZ33" s="2"/>
      <c r="VBA33" s="2"/>
      <c r="VBB33" s="2"/>
      <c r="VBC33" s="2"/>
      <c r="VBD33" s="2"/>
      <c r="VBE33" s="2"/>
      <c r="VBF33" s="2"/>
      <c r="VBG33" s="2"/>
      <c r="VBH33" s="2"/>
      <c r="VBI33" s="2"/>
      <c r="VBJ33" s="2"/>
      <c r="VBK33" s="2"/>
      <c r="VBL33" s="2"/>
      <c r="VBM33" s="2"/>
      <c r="VBN33" s="2"/>
      <c r="VBO33" s="2"/>
      <c r="VBP33" s="2"/>
      <c r="VBQ33" s="2"/>
      <c r="VBR33" s="2"/>
      <c r="VBS33" s="2"/>
      <c r="VBT33" s="2"/>
      <c r="VBU33" s="2"/>
      <c r="VBV33" s="2"/>
      <c r="VBW33" s="2"/>
      <c r="VBX33" s="2"/>
      <c r="VBY33" s="2"/>
      <c r="VBZ33" s="2"/>
      <c r="VCA33" s="2"/>
      <c r="VCB33" s="2"/>
      <c r="VCC33" s="2"/>
      <c r="VCD33" s="2"/>
      <c r="VCE33" s="2"/>
      <c r="VCF33" s="2"/>
      <c r="VCG33" s="2"/>
      <c r="VCH33" s="2"/>
      <c r="VCI33" s="2"/>
      <c r="VCJ33" s="2"/>
      <c r="VCK33" s="2"/>
      <c r="VCL33" s="2"/>
      <c r="VCM33" s="2"/>
      <c r="VCN33" s="2"/>
      <c r="VCO33" s="2"/>
      <c r="VCP33" s="2"/>
      <c r="VCQ33" s="2"/>
      <c r="VCR33" s="2"/>
      <c r="VCS33" s="2"/>
      <c r="VCT33" s="2"/>
      <c r="VCU33" s="2"/>
      <c r="VCV33" s="2"/>
      <c r="VCW33" s="2"/>
      <c r="VCX33" s="2"/>
      <c r="VCY33" s="2"/>
      <c r="VCZ33" s="2"/>
      <c r="VDA33" s="2"/>
      <c r="VDB33" s="2"/>
      <c r="VDC33" s="2"/>
      <c r="VDD33" s="2"/>
      <c r="VDE33" s="2"/>
      <c r="VDF33" s="2"/>
      <c r="VDG33" s="2"/>
      <c r="VDH33" s="2"/>
      <c r="VDI33" s="2"/>
      <c r="VDJ33" s="2"/>
      <c r="VDK33" s="2"/>
      <c r="VDL33" s="2"/>
      <c r="VDM33" s="2"/>
      <c r="VDN33" s="2"/>
      <c r="VDO33" s="2"/>
      <c r="VDP33" s="2"/>
      <c r="VDQ33" s="2"/>
      <c r="VDR33" s="2"/>
      <c r="VDS33" s="2"/>
      <c r="VDT33" s="2"/>
      <c r="VDU33" s="2"/>
      <c r="VDV33" s="2"/>
      <c r="VDW33" s="2"/>
      <c r="VDX33" s="2"/>
      <c r="VDY33" s="2"/>
      <c r="VDZ33" s="2"/>
      <c r="VEA33" s="2"/>
      <c r="VEB33" s="2"/>
      <c r="VEC33" s="2"/>
      <c r="VED33" s="2"/>
      <c r="VEE33" s="2"/>
      <c r="VEF33" s="2"/>
      <c r="VEG33" s="2"/>
      <c r="VEH33" s="2"/>
      <c r="VEI33" s="2"/>
      <c r="VEJ33" s="2"/>
      <c r="VEK33" s="2"/>
      <c r="VEL33" s="2"/>
      <c r="VEM33" s="2"/>
      <c r="VEN33" s="2"/>
      <c r="VEO33" s="2"/>
      <c r="VEP33" s="2"/>
      <c r="VEQ33" s="2"/>
      <c r="VER33" s="2"/>
      <c r="VES33" s="2"/>
      <c r="VET33" s="2"/>
      <c r="VEU33" s="2"/>
      <c r="VEV33" s="2"/>
      <c r="VEW33" s="2"/>
      <c r="VEX33" s="2"/>
      <c r="VEY33" s="2"/>
      <c r="VEZ33" s="2"/>
      <c r="VFA33" s="2"/>
      <c r="VFB33" s="2"/>
      <c r="VFC33" s="2"/>
      <c r="VFD33" s="2"/>
      <c r="VFE33" s="2"/>
      <c r="VFF33" s="2"/>
      <c r="VFG33" s="2"/>
      <c r="VFH33" s="2"/>
      <c r="VFI33" s="2"/>
      <c r="VFJ33" s="2"/>
      <c r="VFK33" s="2"/>
      <c r="VFL33" s="2"/>
      <c r="VFM33" s="2"/>
      <c r="VFN33" s="2"/>
      <c r="VFO33" s="2"/>
      <c r="VFP33" s="2"/>
      <c r="VFQ33" s="2"/>
      <c r="VFR33" s="2"/>
      <c r="VFS33" s="2"/>
      <c r="VFT33" s="2"/>
      <c r="VFU33" s="2"/>
      <c r="VFV33" s="2"/>
      <c r="VFW33" s="2"/>
      <c r="VFX33" s="2"/>
      <c r="VFY33" s="2"/>
      <c r="VFZ33" s="2"/>
      <c r="VGA33" s="2"/>
      <c r="VGB33" s="2"/>
      <c r="VGC33" s="2"/>
      <c r="VGD33" s="2"/>
      <c r="VGE33" s="2"/>
      <c r="VGF33" s="2"/>
      <c r="VGG33" s="2"/>
      <c r="VGH33" s="2"/>
      <c r="VGI33" s="2"/>
      <c r="VGJ33" s="2"/>
      <c r="VGK33" s="2"/>
      <c r="VGL33" s="2"/>
      <c r="VGM33" s="2"/>
      <c r="VGN33" s="2"/>
      <c r="VGO33" s="2"/>
      <c r="VGP33" s="2"/>
      <c r="VGQ33" s="2"/>
      <c r="VGR33" s="2"/>
      <c r="VGS33" s="2"/>
      <c r="VGT33" s="2"/>
      <c r="VGU33" s="2"/>
      <c r="VGV33" s="2"/>
      <c r="VGW33" s="2"/>
      <c r="VGX33" s="2"/>
      <c r="VGY33" s="2"/>
      <c r="VGZ33" s="2"/>
      <c r="VHA33" s="2"/>
      <c r="VHB33" s="2"/>
      <c r="VHC33" s="2"/>
      <c r="VHD33" s="2"/>
      <c r="VHE33" s="2"/>
      <c r="VHF33" s="2"/>
      <c r="VHG33" s="2"/>
      <c r="VHH33" s="2"/>
      <c r="VHI33" s="2"/>
      <c r="VHJ33" s="2"/>
      <c r="VHK33" s="2"/>
      <c r="VHL33" s="2"/>
      <c r="VHM33" s="2"/>
      <c r="VHN33" s="2"/>
      <c r="VHO33" s="2"/>
      <c r="VHP33" s="2"/>
      <c r="VHQ33" s="2"/>
      <c r="VHR33" s="2"/>
      <c r="VHS33" s="2"/>
      <c r="VHT33" s="2"/>
      <c r="VHU33" s="2"/>
      <c r="VHV33" s="2"/>
      <c r="VHW33" s="2"/>
      <c r="VHX33" s="2"/>
      <c r="VHY33" s="2"/>
      <c r="VHZ33" s="2"/>
      <c r="VIA33" s="2"/>
      <c r="VIB33" s="2"/>
      <c r="VIC33" s="2"/>
      <c r="VID33" s="2"/>
      <c r="VIE33" s="2"/>
      <c r="VIF33" s="2"/>
      <c r="VIG33" s="2"/>
      <c r="VIH33" s="2"/>
      <c r="VII33" s="2"/>
      <c r="VIJ33" s="2"/>
      <c r="VIK33" s="2"/>
      <c r="VIL33" s="2"/>
      <c r="VIM33" s="2"/>
      <c r="VIN33" s="2"/>
      <c r="VIO33" s="2"/>
      <c r="VIP33" s="2"/>
      <c r="VIQ33" s="2"/>
      <c r="VIR33" s="2"/>
      <c r="VIS33" s="2"/>
      <c r="VIT33" s="2"/>
      <c r="VIU33" s="2"/>
      <c r="VIV33" s="2"/>
      <c r="VIW33" s="2"/>
      <c r="VIX33" s="2"/>
      <c r="VIY33" s="2"/>
      <c r="VIZ33" s="2"/>
      <c r="VJA33" s="2"/>
      <c r="VJB33" s="2"/>
      <c r="VJC33" s="2"/>
      <c r="VJD33" s="2"/>
      <c r="VJE33" s="2"/>
      <c r="VJF33" s="2"/>
      <c r="VJG33" s="2"/>
      <c r="VJH33" s="2"/>
      <c r="VJI33" s="2"/>
      <c r="VJJ33" s="2"/>
      <c r="VJK33" s="2"/>
      <c r="VJL33" s="2"/>
      <c r="VJM33" s="2"/>
      <c r="VJN33" s="2"/>
      <c r="VJO33" s="2"/>
      <c r="VJP33" s="2"/>
      <c r="VJQ33" s="2"/>
      <c r="VJR33" s="2"/>
      <c r="VJS33" s="2"/>
      <c r="VJT33" s="2"/>
      <c r="VJU33" s="2"/>
      <c r="VJV33" s="2"/>
      <c r="VJW33" s="2"/>
      <c r="VJX33" s="2"/>
      <c r="VJY33" s="2"/>
      <c r="VJZ33" s="2"/>
      <c r="VKA33" s="2"/>
      <c r="VKB33" s="2"/>
      <c r="VKC33" s="2"/>
      <c r="VKD33" s="2"/>
      <c r="VKE33" s="2"/>
      <c r="VKF33" s="2"/>
      <c r="VKG33" s="2"/>
      <c r="VKH33" s="2"/>
      <c r="VKI33" s="2"/>
      <c r="VKJ33" s="2"/>
      <c r="VKK33" s="2"/>
      <c r="VKL33" s="2"/>
      <c r="VKM33" s="2"/>
      <c r="VKN33" s="2"/>
      <c r="VKO33" s="2"/>
      <c r="VKP33" s="2"/>
      <c r="VKQ33" s="2"/>
      <c r="VKR33" s="2"/>
      <c r="VKS33" s="2"/>
      <c r="VKT33" s="2"/>
      <c r="VKU33" s="2"/>
      <c r="VKV33" s="2"/>
      <c r="VKW33" s="2"/>
      <c r="VKX33" s="2"/>
      <c r="VKY33" s="2"/>
      <c r="VKZ33" s="2"/>
      <c r="VLA33" s="2"/>
      <c r="VLB33" s="2"/>
      <c r="VLC33" s="2"/>
      <c r="VLD33" s="2"/>
      <c r="VLE33" s="2"/>
      <c r="VLF33" s="2"/>
      <c r="VLG33" s="2"/>
      <c r="VLH33" s="2"/>
      <c r="VLI33" s="2"/>
      <c r="VLJ33" s="2"/>
      <c r="VLK33" s="2"/>
      <c r="VLL33" s="2"/>
      <c r="VLM33" s="2"/>
      <c r="VLN33" s="2"/>
      <c r="VLO33" s="2"/>
      <c r="VLP33" s="2"/>
      <c r="VLQ33" s="2"/>
      <c r="VLR33" s="2"/>
      <c r="VLS33" s="2"/>
      <c r="VLT33" s="2"/>
      <c r="VLU33" s="2"/>
      <c r="VLV33" s="2"/>
      <c r="VLW33" s="2"/>
      <c r="VLX33" s="2"/>
      <c r="VLY33" s="2"/>
      <c r="VLZ33" s="2"/>
      <c r="VMA33" s="2"/>
      <c r="VMB33" s="2"/>
      <c r="VMC33" s="2"/>
      <c r="VMD33" s="2"/>
      <c r="VME33" s="2"/>
      <c r="VMF33" s="2"/>
      <c r="VMG33" s="2"/>
      <c r="VMH33" s="2"/>
      <c r="VMI33" s="2"/>
      <c r="VMJ33" s="2"/>
      <c r="VMK33" s="2"/>
      <c r="VML33" s="2"/>
      <c r="VMM33" s="2"/>
      <c r="VMN33" s="2"/>
      <c r="VMO33" s="2"/>
      <c r="VMP33" s="2"/>
      <c r="VMQ33" s="2"/>
      <c r="VMR33" s="2"/>
      <c r="VMS33" s="2"/>
      <c r="VMT33" s="2"/>
      <c r="VMU33" s="2"/>
      <c r="VMV33" s="2"/>
      <c r="VMW33" s="2"/>
      <c r="VMX33" s="2"/>
      <c r="VMY33" s="2"/>
      <c r="VMZ33" s="2"/>
      <c r="VNA33" s="2"/>
      <c r="VNB33" s="2"/>
      <c r="VNC33" s="2"/>
      <c r="VND33" s="2"/>
      <c r="VNE33" s="2"/>
      <c r="VNF33" s="2"/>
      <c r="VNG33" s="2"/>
      <c r="VNH33" s="2"/>
      <c r="VNI33" s="2"/>
      <c r="VNJ33" s="2"/>
      <c r="VNK33" s="2"/>
      <c r="VNL33" s="2"/>
      <c r="VNM33" s="2"/>
      <c r="VNN33" s="2"/>
      <c r="VNO33" s="2"/>
      <c r="VNP33" s="2"/>
      <c r="VNQ33" s="2"/>
      <c r="VNR33" s="2"/>
      <c r="VNS33" s="2"/>
      <c r="VNT33" s="2"/>
      <c r="VNU33" s="2"/>
      <c r="VNV33" s="2"/>
      <c r="VNW33" s="2"/>
      <c r="VNX33" s="2"/>
      <c r="VNY33" s="2"/>
      <c r="VNZ33" s="2"/>
      <c r="VOA33" s="2"/>
      <c r="VOB33" s="2"/>
      <c r="VOC33" s="2"/>
      <c r="VOD33" s="2"/>
      <c r="VOE33" s="2"/>
      <c r="VOF33" s="2"/>
      <c r="VOG33" s="2"/>
      <c r="VOH33" s="2"/>
      <c r="VOI33" s="2"/>
      <c r="VOJ33" s="2"/>
      <c r="VOK33" s="2"/>
      <c r="VOL33" s="2"/>
      <c r="VOM33" s="2"/>
      <c r="VON33" s="2"/>
      <c r="VOO33" s="2"/>
      <c r="VOP33" s="2"/>
      <c r="VOQ33" s="2"/>
      <c r="VOR33" s="2"/>
      <c r="VOS33" s="2"/>
      <c r="VOT33" s="2"/>
      <c r="VOU33" s="2"/>
      <c r="VOV33" s="2"/>
      <c r="VOW33" s="2"/>
      <c r="VOX33" s="2"/>
      <c r="VOY33" s="2"/>
      <c r="VOZ33" s="2"/>
      <c r="VPA33" s="2"/>
      <c r="VPB33" s="2"/>
      <c r="VPC33" s="2"/>
      <c r="VPD33" s="2"/>
      <c r="VPE33" s="2"/>
      <c r="VPF33" s="2"/>
      <c r="VPG33" s="2"/>
      <c r="VPH33" s="2"/>
      <c r="VPI33" s="2"/>
      <c r="VPJ33" s="2"/>
      <c r="VPK33" s="2"/>
      <c r="VPL33" s="2"/>
      <c r="VPM33" s="2"/>
      <c r="VPN33" s="2"/>
      <c r="VPO33" s="2"/>
      <c r="VPP33" s="2"/>
      <c r="VPQ33" s="2"/>
      <c r="VPR33" s="2"/>
      <c r="VPS33" s="2"/>
      <c r="VPT33" s="2"/>
      <c r="VPU33" s="2"/>
      <c r="VPV33" s="2"/>
      <c r="VPW33" s="2"/>
      <c r="VPX33" s="2"/>
      <c r="VPY33" s="2"/>
      <c r="VPZ33" s="2"/>
      <c r="VQA33" s="2"/>
      <c r="VQB33" s="2"/>
      <c r="VQC33" s="2"/>
      <c r="VQD33" s="2"/>
      <c r="VQE33" s="2"/>
      <c r="VQF33" s="2"/>
      <c r="VQG33" s="2"/>
      <c r="VQH33" s="2"/>
      <c r="VQI33" s="2"/>
      <c r="VQJ33" s="2"/>
      <c r="VQK33" s="2"/>
      <c r="VQL33" s="2"/>
      <c r="VQM33" s="2"/>
      <c r="VQN33" s="2"/>
      <c r="VQO33" s="2"/>
      <c r="VQP33" s="2"/>
      <c r="VQQ33" s="2"/>
      <c r="VQR33" s="2"/>
      <c r="VQS33" s="2"/>
      <c r="VQT33" s="2"/>
      <c r="VQU33" s="2"/>
      <c r="VQV33" s="2"/>
      <c r="VQW33" s="2"/>
      <c r="VQX33" s="2"/>
      <c r="VQY33" s="2"/>
      <c r="VQZ33" s="2"/>
      <c r="VRA33" s="2"/>
      <c r="VRB33" s="2"/>
      <c r="VRC33" s="2"/>
      <c r="VRD33" s="2"/>
      <c r="VRE33" s="2"/>
      <c r="VRF33" s="2"/>
      <c r="VRG33" s="2"/>
      <c r="VRH33" s="2"/>
      <c r="VRI33" s="2"/>
      <c r="VRJ33" s="2"/>
      <c r="VRK33" s="2"/>
      <c r="VRL33" s="2"/>
      <c r="VRM33" s="2"/>
      <c r="VRN33" s="2"/>
      <c r="VRO33" s="2"/>
      <c r="VRP33" s="2"/>
      <c r="VRQ33" s="2"/>
      <c r="VRR33" s="2"/>
      <c r="VRS33" s="2"/>
      <c r="VRT33" s="2"/>
      <c r="VRU33" s="2"/>
      <c r="VRV33" s="2"/>
      <c r="VRW33" s="2"/>
      <c r="VRX33" s="2"/>
      <c r="VRY33" s="2"/>
      <c r="VRZ33" s="2"/>
      <c r="VSA33" s="2"/>
      <c r="VSB33" s="2"/>
      <c r="VSC33" s="2"/>
      <c r="VSD33" s="2"/>
      <c r="VSE33" s="2"/>
      <c r="VSF33" s="2"/>
      <c r="VSG33" s="2"/>
      <c r="VSH33" s="2"/>
      <c r="VSI33" s="2"/>
      <c r="VSJ33" s="2"/>
      <c r="VSK33" s="2"/>
      <c r="VSL33" s="2"/>
      <c r="VSM33" s="2"/>
      <c r="VSN33" s="2"/>
      <c r="VSO33" s="2"/>
      <c r="VSP33" s="2"/>
      <c r="VSQ33" s="2"/>
      <c r="VSR33" s="2"/>
      <c r="VSS33" s="2"/>
      <c r="VST33" s="2"/>
      <c r="VSU33" s="2"/>
      <c r="VSV33" s="2"/>
      <c r="VSW33" s="2"/>
      <c r="VSX33" s="2"/>
      <c r="VSY33" s="2"/>
      <c r="VSZ33" s="2"/>
      <c r="VTA33" s="2"/>
      <c r="VTB33" s="2"/>
      <c r="VTC33" s="2"/>
      <c r="VTD33" s="2"/>
      <c r="VTE33" s="2"/>
      <c r="VTF33" s="2"/>
      <c r="VTG33" s="2"/>
      <c r="VTH33" s="2"/>
      <c r="VTI33" s="2"/>
      <c r="VTJ33" s="2"/>
      <c r="VTK33" s="2"/>
      <c r="VTL33" s="2"/>
      <c r="VTM33" s="2"/>
      <c r="VTN33" s="2"/>
      <c r="VTO33" s="2"/>
      <c r="VTP33" s="2"/>
      <c r="VTQ33" s="2"/>
      <c r="VTR33" s="2"/>
      <c r="VTS33" s="2"/>
      <c r="VTT33" s="2"/>
      <c r="VTU33" s="2"/>
      <c r="VTV33" s="2"/>
      <c r="VTW33" s="2"/>
      <c r="VTX33" s="2"/>
      <c r="VTY33" s="2"/>
      <c r="VTZ33" s="2"/>
      <c r="VUA33" s="2"/>
      <c r="VUB33" s="2"/>
      <c r="VUC33" s="2"/>
      <c r="VUD33" s="2"/>
      <c r="VUE33" s="2"/>
      <c r="VUF33" s="2"/>
      <c r="VUG33" s="2"/>
      <c r="VUH33" s="2"/>
      <c r="VUI33" s="2"/>
      <c r="VUJ33" s="2"/>
      <c r="VUK33" s="2"/>
      <c r="VUL33" s="2"/>
      <c r="VUM33" s="2"/>
      <c r="VUN33" s="2"/>
      <c r="VUO33" s="2"/>
      <c r="VUP33" s="2"/>
      <c r="VUQ33" s="2"/>
      <c r="VUR33" s="2"/>
      <c r="VUS33" s="2"/>
      <c r="VUT33" s="2"/>
      <c r="VUU33" s="2"/>
      <c r="VUV33" s="2"/>
      <c r="VUW33" s="2"/>
      <c r="VUX33" s="2"/>
      <c r="VUY33" s="2"/>
      <c r="VUZ33" s="2"/>
      <c r="VVA33" s="2"/>
      <c r="VVB33" s="2"/>
      <c r="VVC33" s="2"/>
      <c r="VVD33" s="2"/>
      <c r="VVE33" s="2"/>
      <c r="VVF33" s="2"/>
      <c r="VVG33" s="2"/>
      <c r="VVH33" s="2"/>
      <c r="VVI33" s="2"/>
      <c r="VVJ33" s="2"/>
      <c r="VVK33" s="2"/>
      <c r="VVL33" s="2"/>
      <c r="VVM33" s="2"/>
      <c r="VVN33" s="2"/>
      <c r="VVO33" s="2"/>
      <c r="VVP33" s="2"/>
      <c r="VVQ33" s="2"/>
      <c r="VVR33" s="2"/>
      <c r="VVS33" s="2"/>
      <c r="VVT33" s="2"/>
      <c r="VVU33" s="2"/>
      <c r="VVV33" s="2"/>
      <c r="VVW33" s="2"/>
      <c r="VVX33" s="2"/>
      <c r="VVY33" s="2"/>
      <c r="VVZ33" s="2"/>
      <c r="VWA33" s="2"/>
      <c r="VWB33" s="2"/>
      <c r="VWC33" s="2"/>
      <c r="VWD33" s="2"/>
      <c r="VWE33" s="2"/>
      <c r="VWF33" s="2"/>
      <c r="VWG33" s="2"/>
      <c r="VWH33" s="2"/>
      <c r="VWI33" s="2"/>
      <c r="VWJ33" s="2"/>
      <c r="VWK33" s="2"/>
      <c r="VWL33" s="2"/>
      <c r="VWM33" s="2"/>
      <c r="VWN33" s="2"/>
      <c r="VWO33" s="2"/>
      <c r="VWP33" s="2"/>
      <c r="VWQ33" s="2"/>
      <c r="VWR33" s="2"/>
      <c r="VWS33" s="2"/>
      <c r="VWT33" s="2"/>
      <c r="VWU33" s="2"/>
      <c r="VWV33" s="2"/>
      <c r="VWW33" s="2"/>
      <c r="VWX33" s="2"/>
      <c r="VWY33" s="2"/>
      <c r="VWZ33" s="2"/>
      <c r="VXA33" s="2"/>
      <c r="VXB33" s="2"/>
      <c r="VXC33" s="2"/>
      <c r="VXD33" s="2"/>
      <c r="VXE33" s="2"/>
      <c r="VXF33" s="2"/>
      <c r="VXG33" s="2"/>
      <c r="VXH33" s="2"/>
      <c r="VXI33" s="2"/>
      <c r="VXJ33" s="2"/>
      <c r="VXK33" s="2"/>
      <c r="VXL33" s="2"/>
      <c r="VXM33" s="2"/>
      <c r="VXN33" s="2"/>
      <c r="VXO33" s="2"/>
      <c r="VXP33" s="2"/>
      <c r="VXQ33" s="2"/>
      <c r="VXR33" s="2"/>
      <c r="VXS33" s="2"/>
      <c r="VXT33" s="2"/>
      <c r="VXU33" s="2"/>
      <c r="VXV33" s="2"/>
      <c r="VXW33" s="2"/>
      <c r="VXX33" s="2"/>
      <c r="VXY33" s="2"/>
      <c r="VXZ33" s="2"/>
      <c r="VYA33" s="2"/>
      <c r="VYB33" s="2"/>
      <c r="VYC33" s="2"/>
      <c r="VYD33" s="2"/>
      <c r="VYE33" s="2"/>
      <c r="VYF33" s="2"/>
      <c r="VYG33" s="2"/>
      <c r="VYH33" s="2"/>
      <c r="VYI33" s="2"/>
      <c r="VYJ33" s="2"/>
      <c r="VYK33" s="2"/>
      <c r="VYL33" s="2"/>
      <c r="VYM33" s="2"/>
      <c r="VYN33" s="2"/>
      <c r="VYO33" s="2"/>
      <c r="VYP33" s="2"/>
      <c r="VYQ33" s="2"/>
      <c r="VYR33" s="2"/>
      <c r="VYS33" s="2"/>
      <c r="VYT33" s="2"/>
      <c r="VYU33" s="2"/>
      <c r="VYV33" s="2"/>
      <c r="VYW33" s="2"/>
      <c r="VYX33" s="2"/>
      <c r="VYY33" s="2"/>
      <c r="VYZ33" s="2"/>
      <c r="VZA33" s="2"/>
      <c r="VZB33" s="2"/>
      <c r="VZC33" s="2"/>
      <c r="VZD33" s="2"/>
      <c r="VZE33" s="2"/>
      <c r="VZF33" s="2"/>
      <c r="VZG33" s="2"/>
      <c r="VZH33" s="2"/>
      <c r="VZI33" s="2"/>
      <c r="VZJ33" s="2"/>
      <c r="VZK33" s="2"/>
      <c r="VZL33" s="2"/>
      <c r="VZM33" s="2"/>
      <c r="VZN33" s="2"/>
      <c r="VZO33" s="2"/>
      <c r="VZP33" s="2"/>
      <c r="VZQ33" s="2"/>
      <c r="VZR33" s="2"/>
      <c r="VZS33" s="2"/>
      <c r="VZT33" s="2"/>
      <c r="VZU33" s="2"/>
      <c r="VZV33" s="2"/>
      <c r="VZW33" s="2"/>
      <c r="VZX33" s="2"/>
      <c r="VZY33" s="2"/>
      <c r="VZZ33" s="2"/>
      <c r="WAA33" s="2"/>
      <c r="WAB33" s="2"/>
      <c r="WAC33" s="2"/>
      <c r="WAD33" s="2"/>
      <c r="WAE33" s="2"/>
      <c r="WAF33" s="2"/>
      <c r="WAG33" s="2"/>
      <c r="WAH33" s="2"/>
      <c r="WAI33" s="2"/>
      <c r="WAJ33" s="2"/>
      <c r="WAK33" s="2"/>
      <c r="WAL33" s="2"/>
      <c r="WAM33" s="2"/>
      <c r="WAN33" s="2"/>
      <c r="WAO33" s="2"/>
      <c r="WAP33" s="2"/>
      <c r="WAQ33" s="2"/>
      <c r="WAR33" s="2"/>
      <c r="WAS33" s="2"/>
      <c r="WAT33" s="2"/>
      <c r="WAU33" s="2"/>
      <c r="WAV33" s="2"/>
      <c r="WAW33" s="2"/>
      <c r="WAX33" s="2"/>
      <c r="WAY33" s="2"/>
      <c r="WAZ33" s="2"/>
      <c r="WBA33" s="2"/>
      <c r="WBB33" s="2"/>
      <c r="WBC33" s="2"/>
      <c r="WBD33" s="2"/>
      <c r="WBE33" s="2"/>
      <c r="WBF33" s="2"/>
      <c r="WBG33" s="2"/>
      <c r="WBH33" s="2"/>
      <c r="WBI33" s="2"/>
      <c r="WBJ33" s="2"/>
      <c r="WBK33" s="2"/>
      <c r="WBL33" s="2"/>
      <c r="WBM33" s="2"/>
      <c r="WBN33" s="2"/>
      <c r="WBO33" s="2"/>
      <c r="WBP33" s="2"/>
      <c r="WBQ33" s="2"/>
      <c r="WBR33" s="2"/>
      <c r="WBS33" s="2"/>
      <c r="WBT33" s="2"/>
      <c r="WBU33" s="2"/>
      <c r="WBV33" s="2"/>
      <c r="WBW33" s="2"/>
      <c r="WBX33" s="2"/>
      <c r="WBY33" s="2"/>
      <c r="WBZ33" s="2"/>
      <c r="WCA33" s="2"/>
      <c r="WCB33" s="2"/>
      <c r="WCC33" s="2"/>
      <c r="WCD33" s="2"/>
      <c r="WCE33" s="2"/>
      <c r="WCF33" s="2"/>
      <c r="WCG33" s="2"/>
      <c r="WCH33" s="2"/>
      <c r="WCI33" s="2"/>
      <c r="WCJ33" s="2"/>
      <c r="WCK33" s="2"/>
      <c r="WCL33" s="2"/>
      <c r="WCM33" s="2"/>
      <c r="WCN33" s="2"/>
      <c r="WCO33" s="2"/>
      <c r="WCP33" s="2"/>
      <c r="WCQ33" s="2"/>
      <c r="WCR33" s="2"/>
      <c r="WCS33" s="2"/>
      <c r="WCT33" s="2"/>
      <c r="WCU33" s="2"/>
      <c r="WCV33" s="2"/>
      <c r="WCW33" s="2"/>
      <c r="WCX33" s="2"/>
      <c r="WCY33" s="2"/>
      <c r="WCZ33" s="2"/>
      <c r="WDA33" s="2"/>
      <c r="WDB33" s="2"/>
      <c r="WDC33" s="2"/>
      <c r="WDD33" s="2"/>
      <c r="WDE33" s="2"/>
      <c r="WDF33" s="2"/>
      <c r="WDG33" s="2"/>
      <c r="WDH33" s="2"/>
      <c r="WDI33" s="2"/>
      <c r="WDJ33" s="2"/>
      <c r="WDK33" s="2"/>
      <c r="WDL33" s="2"/>
      <c r="WDM33" s="2"/>
      <c r="WDN33" s="2"/>
      <c r="WDO33" s="2"/>
      <c r="WDP33" s="2"/>
      <c r="WDQ33" s="2"/>
      <c r="WDR33" s="2"/>
      <c r="WDS33" s="2"/>
      <c r="WDT33" s="2"/>
      <c r="WDU33" s="2"/>
      <c r="WDV33" s="2"/>
      <c r="WDW33" s="2"/>
      <c r="WDX33" s="2"/>
      <c r="WDY33" s="2"/>
      <c r="WDZ33" s="2"/>
      <c r="WEA33" s="2"/>
      <c r="WEB33" s="2"/>
      <c r="WEC33" s="2"/>
      <c r="WED33" s="2"/>
      <c r="WEE33" s="2"/>
      <c r="WEF33" s="2"/>
      <c r="WEG33" s="2"/>
      <c r="WEH33" s="2"/>
      <c r="WEI33" s="2"/>
      <c r="WEJ33" s="2"/>
      <c r="WEK33" s="2"/>
      <c r="WEL33" s="2"/>
      <c r="WEM33" s="2"/>
      <c r="WEN33" s="2"/>
      <c r="WEO33" s="2"/>
      <c r="WEP33" s="2"/>
      <c r="WEQ33" s="2"/>
      <c r="WER33" s="2"/>
      <c r="WES33" s="2"/>
      <c r="WET33" s="2"/>
      <c r="WEU33" s="2"/>
      <c r="WEV33" s="2"/>
      <c r="WEW33" s="2"/>
      <c r="WEX33" s="2"/>
      <c r="WEY33" s="2"/>
      <c r="WEZ33" s="2"/>
      <c r="WFA33" s="2"/>
      <c r="WFB33" s="2"/>
      <c r="WFC33" s="2"/>
      <c r="WFD33" s="2"/>
      <c r="WFE33" s="2"/>
      <c r="WFF33" s="2"/>
      <c r="WFG33" s="2"/>
      <c r="WFH33" s="2"/>
      <c r="WFI33" s="2"/>
      <c r="WFJ33" s="2"/>
      <c r="WFK33" s="2"/>
      <c r="WFL33" s="2"/>
      <c r="WFM33" s="2"/>
      <c r="WFN33" s="2"/>
      <c r="WFO33" s="2"/>
      <c r="WFP33" s="2"/>
      <c r="WFQ33" s="2"/>
      <c r="WFR33" s="2"/>
      <c r="WFS33" s="2"/>
      <c r="WFT33" s="2"/>
      <c r="WFU33" s="2"/>
      <c r="WFV33" s="2"/>
      <c r="WFW33" s="2"/>
      <c r="WFX33" s="2"/>
      <c r="WFY33" s="2"/>
      <c r="WFZ33" s="2"/>
      <c r="WGA33" s="2"/>
      <c r="WGB33" s="2"/>
      <c r="WGC33" s="2"/>
      <c r="WGD33" s="2"/>
      <c r="WGE33" s="2"/>
      <c r="WGF33" s="2"/>
      <c r="WGG33" s="2"/>
      <c r="WGH33" s="2"/>
      <c r="WGI33" s="2"/>
      <c r="WGJ33" s="2"/>
      <c r="WGK33" s="2"/>
      <c r="WGL33" s="2"/>
      <c r="WGM33" s="2"/>
      <c r="WGN33" s="2"/>
      <c r="WGO33" s="2"/>
      <c r="WGP33" s="2"/>
      <c r="WGQ33" s="2"/>
      <c r="WGR33" s="2"/>
      <c r="WGS33" s="2"/>
      <c r="WGT33" s="2"/>
      <c r="WGU33" s="2"/>
      <c r="WGV33" s="2"/>
      <c r="WGW33" s="2"/>
      <c r="WGX33" s="2"/>
      <c r="WGY33" s="2"/>
      <c r="WGZ33" s="2"/>
      <c r="WHA33" s="2"/>
      <c r="WHB33" s="2"/>
      <c r="WHC33" s="2"/>
      <c r="WHD33" s="2"/>
      <c r="WHE33" s="2"/>
      <c r="WHF33" s="2"/>
      <c r="WHG33" s="2"/>
      <c r="WHH33" s="2"/>
      <c r="WHI33" s="2"/>
      <c r="WHJ33" s="2"/>
      <c r="WHK33" s="2"/>
      <c r="WHL33" s="2"/>
      <c r="WHM33" s="2"/>
      <c r="WHN33" s="2"/>
      <c r="WHO33" s="2"/>
      <c r="WHP33" s="2"/>
      <c r="WHQ33" s="2"/>
      <c r="WHR33" s="2"/>
      <c r="WHS33" s="2"/>
      <c r="WHT33" s="2"/>
      <c r="WHU33" s="2"/>
      <c r="WHV33" s="2"/>
      <c r="WHW33" s="2"/>
      <c r="WHX33" s="2"/>
      <c r="WHY33" s="2"/>
      <c r="WHZ33" s="2"/>
      <c r="WIA33" s="2"/>
      <c r="WIB33" s="2"/>
      <c r="WIC33" s="2"/>
      <c r="WID33" s="2"/>
      <c r="WIE33" s="2"/>
      <c r="WIF33" s="2"/>
      <c r="WIG33" s="2"/>
      <c r="WIH33" s="2"/>
      <c r="WII33" s="2"/>
      <c r="WIJ33" s="2"/>
      <c r="WIK33" s="2"/>
      <c r="WIL33" s="2"/>
      <c r="WIM33" s="2"/>
      <c r="WIN33" s="2"/>
      <c r="WIO33" s="2"/>
      <c r="WIP33" s="2"/>
      <c r="WIQ33" s="2"/>
      <c r="WIR33" s="2"/>
      <c r="WIS33" s="2"/>
      <c r="WIT33" s="2"/>
      <c r="WIU33" s="2"/>
      <c r="WIV33" s="2"/>
      <c r="WIW33" s="2"/>
      <c r="WIX33" s="2"/>
      <c r="WIY33" s="2"/>
      <c r="WIZ33" s="2"/>
      <c r="WJA33" s="2"/>
      <c r="WJB33" s="2"/>
      <c r="WJC33" s="2"/>
      <c r="WJD33" s="2"/>
      <c r="WJE33" s="2"/>
      <c r="WJF33" s="2"/>
      <c r="WJG33" s="2"/>
      <c r="WJH33" s="2"/>
      <c r="WJI33" s="2"/>
      <c r="WJJ33" s="2"/>
      <c r="WJK33" s="2"/>
      <c r="WJL33" s="2"/>
      <c r="WJM33" s="2"/>
      <c r="WJN33" s="2"/>
      <c r="WJO33" s="2"/>
      <c r="WJP33" s="2"/>
      <c r="WJQ33" s="2"/>
      <c r="WJR33" s="2"/>
      <c r="WJS33" s="2"/>
      <c r="WJT33" s="2"/>
      <c r="WJU33" s="2"/>
      <c r="WJV33" s="2"/>
      <c r="WJW33" s="2"/>
      <c r="WJX33" s="2"/>
      <c r="WJY33" s="2"/>
      <c r="WJZ33" s="2"/>
      <c r="WKA33" s="2"/>
      <c r="WKB33" s="2"/>
      <c r="WKC33" s="2"/>
      <c r="WKD33" s="2"/>
      <c r="WKE33" s="2"/>
      <c r="WKF33" s="2"/>
      <c r="WKG33" s="2"/>
      <c r="WKH33" s="2"/>
      <c r="WKI33" s="2"/>
      <c r="WKJ33" s="2"/>
      <c r="WKK33" s="2"/>
      <c r="WKL33" s="2"/>
      <c r="WKM33" s="2"/>
      <c r="WKN33" s="2"/>
      <c r="WKO33" s="2"/>
      <c r="WKP33" s="2"/>
      <c r="WKQ33" s="2"/>
      <c r="WKR33" s="2"/>
      <c r="WKS33" s="2"/>
      <c r="WKT33" s="2"/>
      <c r="WKU33" s="2"/>
      <c r="WKV33" s="2"/>
      <c r="WKW33" s="2"/>
      <c r="WKX33" s="2"/>
      <c r="WKY33" s="2"/>
      <c r="WKZ33" s="2"/>
      <c r="WLA33" s="2"/>
      <c r="WLB33" s="2"/>
      <c r="WLC33" s="2"/>
      <c r="WLD33" s="2"/>
      <c r="WLE33" s="2"/>
      <c r="WLF33" s="2"/>
      <c r="WLG33" s="2"/>
      <c r="WLH33" s="2"/>
      <c r="WLI33" s="2"/>
      <c r="WLJ33" s="2"/>
      <c r="WLK33" s="2"/>
      <c r="WLL33" s="2"/>
      <c r="WLM33" s="2"/>
      <c r="WLN33" s="2"/>
      <c r="WLO33" s="2"/>
      <c r="WLP33" s="2"/>
      <c r="WLQ33" s="2"/>
      <c r="WLR33" s="2"/>
      <c r="WLS33" s="2"/>
      <c r="WLT33" s="2"/>
      <c r="WLU33" s="2"/>
      <c r="WLV33" s="2"/>
      <c r="WLW33" s="2"/>
      <c r="WLX33" s="2"/>
      <c r="WLY33" s="2"/>
      <c r="WLZ33" s="2"/>
      <c r="WMA33" s="2"/>
      <c r="WMB33" s="2"/>
      <c r="WMC33" s="2"/>
      <c r="WMD33" s="2"/>
      <c r="WME33" s="2"/>
      <c r="WMF33" s="2"/>
      <c r="WMG33" s="2"/>
      <c r="WMH33" s="2"/>
      <c r="WMI33" s="2"/>
      <c r="WMJ33" s="2"/>
      <c r="WMK33" s="2"/>
      <c r="WML33" s="2"/>
      <c r="WMM33" s="2"/>
      <c r="WMN33" s="2"/>
      <c r="WMO33" s="2"/>
      <c r="WMP33" s="2"/>
      <c r="WMQ33" s="2"/>
      <c r="WMR33" s="2"/>
      <c r="WMS33" s="2"/>
      <c r="WMT33" s="2"/>
      <c r="WMU33" s="2"/>
      <c r="WMV33" s="2"/>
      <c r="WMW33" s="2"/>
      <c r="WMX33" s="2"/>
      <c r="WMY33" s="2"/>
      <c r="WMZ33" s="2"/>
      <c r="WNA33" s="2"/>
      <c r="WNB33" s="2"/>
      <c r="WNC33" s="2"/>
      <c r="WND33" s="2"/>
      <c r="WNE33" s="2"/>
      <c r="WNF33" s="2"/>
      <c r="WNG33" s="2"/>
      <c r="WNH33" s="2"/>
      <c r="WNI33" s="2"/>
      <c r="WNJ33" s="2"/>
      <c r="WNK33" s="2"/>
      <c r="WNL33" s="2"/>
      <c r="WNM33" s="2"/>
      <c r="WNN33" s="2"/>
      <c r="WNO33" s="2"/>
      <c r="WNP33" s="2"/>
      <c r="WNQ33" s="2"/>
      <c r="WNR33" s="2"/>
      <c r="WNS33" s="2"/>
      <c r="WNT33" s="2"/>
      <c r="WNU33" s="2"/>
      <c r="WNV33" s="2"/>
      <c r="WNW33" s="2"/>
      <c r="WNX33" s="2"/>
      <c r="WNY33" s="2"/>
      <c r="WNZ33" s="2"/>
      <c r="WOA33" s="2"/>
      <c r="WOB33" s="2"/>
      <c r="WOC33" s="2"/>
      <c r="WOD33" s="2"/>
      <c r="WOE33" s="2"/>
      <c r="WOF33" s="2"/>
      <c r="WOG33" s="2"/>
      <c r="WOH33" s="2"/>
      <c r="WOI33" s="2"/>
      <c r="WOJ33" s="2"/>
      <c r="WOK33" s="2"/>
      <c r="WOL33" s="2"/>
      <c r="WOM33" s="2"/>
      <c r="WON33" s="2"/>
      <c r="WOO33" s="2"/>
      <c r="WOP33" s="2"/>
      <c r="WOQ33" s="2"/>
      <c r="WOR33" s="2"/>
      <c r="WOS33" s="2"/>
      <c r="WOT33" s="2"/>
      <c r="WOU33" s="2"/>
      <c r="WOV33" s="2"/>
      <c r="WOW33" s="2"/>
      <c r="WOX33" s="2"/>
      <c r="WOY33" s="2"/>
      <c r="WOZ33" s="2"/>
      <c r="WPA33" s="2"/>
      <c r="WPB33" s="2"/>
      <c r="WPC33" s="2"/>
      <c r="WPD33" s="2"/>
      <c r="WPE33" s="2"/>
      <c r="WPF33" s="2"/>
      <c r="WPG33" s="2"/>
      <c r="WPH33" s="2"/>
      <c r="WPI33" s="2"/>
      <c r="WPJ33" s="2"/>
      <c r="WPK33" s="2"/>
      <c r="WPL33" s="2"/>
      <c r="WPM33" s="2"/>
      <c r="WPN33" s="2"/>
      <c r="WPO33" s="2"/>
      <c r="WPP33" s="2"/>
      <c r="WPQ33" s="2"/>
      <c r="WPR33" s="2"/>
      <c r="WPS33" s="2"/>
      <c r="WPT33" s="2"/>
      <c r="WPU33" s="2"/>
      <c r="WPV33" s="2"/>
      <c r="WPW33" s="2"/>
      <c r="WPX33" s="2"/>
      <c r="WPY33" s="2"/>
      <c r="WPZ33" s="2"/>
      <c r="WQA33" s="2"/>
      <c r="WQB33" s="2"/>
      <c r="WQC33" s="2"/>
      <c r="WQD33" s="2"/>
      <c r="WQE33" s="2"/>
      <c r="WQF33" s="2"/>
      <c r="WQG33" s="2"/>
      <c r="WQH33" s="2"/>
      <c r="WQI33" s="2"/>
      <c r="WQJ33" s="2"/>
      <c r="WQK33" s="2"/>
      <c r="WQL33" s="2"/>
      <c r="WQM33" s="2"/>
      <c r="WQN33" s="2"/>
      <c r="WQO33" s="2"/>
      <c r="WQP33" s="2"/>
      <c r="WQQ33" s="2"/>
      <c r="WQR33" s="2"/>
      <c r="WQS33" s="2"/>
      <c r="WQT33" s="2"/>
      <c r="WQU33" s="2"/>
      <c r="WQV33" s="2"/>
      <c r="WQW33" s="2"/>
      <c r="WQX33" s="2"/>
      <c r="WQY33" s="2"/>
      <c r="WQZ33" s="2"/>
      <c r="WRA33" s="2"/>
      <c r="WRB33" s="2"/>
      <c r="WRC33" s="2"/>
      <c r="WRD33" s="2"/>
      <c r="WRE33" s="2"/>
      <c r="WRF33" s="2"/>
      <c r="WRG33" s="2"/>
      <c r="WRH33" s="2"/>
      <c r="WRI33" s="2"/>
      <c r="WRJ33" s="2"/>
      <c r="WRK33" s="2"/>
      <c r="WRL33" s="2"/>
      <c r="WRM33" s="2"/>
      <c r="WRN33" s="2"/>
      <c r="WRO33" s="2"/>
      <c r="WRP33" s="2"/>
      <c r="WRQ33" s="2"/>
      <c r="WRR33" s="2"/>
      <c r="WRS33" s="2"/>
      <c r="WRT33" s="2"/>
      <c r="WRU33" s="2"/>
      <c r="WRV33" s="2"/>
      <c r="WRW33" s="2"/>
      <c r="WRX33" s="2"/>
      <c r="WRY33" s="2"/>
      <c r="WRZ33" s="2"/>
      <c r="WSA33" s="2"/>
      <c r="WSB33" s="2"/>
      <c r="WSC33" s="2"/>
      <c r="WSD33" s="2"/>
      <c r="WSE33" s="2"/>
      <c r="WSF33" s="2"/>
      <c r="WSG33" s="2"/>
      <c r="WSH33" s="2"/>
      <c r="WSI33" s="2"/>
      <c r="WSJ33" s="2"/>
      <c r="WSK33" s="2"/>
      <c r="WSL33" s="2"/>
      <c r="WSM33" s="2"/>
      <c r="WSN33" s="2"/>
      <c r="WSO33" s="2"/>
      <c r="WSP33" s="2"/>
      <c r="WSQ33" s="2"/>
      <c r="WSR33" s="2"/>
      <c r="WSS33" s="2"/>
      <c r="WST33" s="2"/>
      <c r="WSU33" s="2"/>
      <c r="WSV33" s="2"/>
      <c r="WSW33" s="2"/>
      <c r="WSX33" s="2"/>
      <c r="WSY33" s="2"/>
      <c r="WSZ33" s="2"/>
      <c r="WTA33" s="2"/>
      <c r="WTB33" s="2"/>
      <c r="WTC33" s="2"/>
      <c r="WTD33" s="2"/>
      <c r="WTE33" s="2"/>
      <c r="WTF33" s="2"/>
      <c r="WTG33" s="2"/>
      <c r="WTH33" s="2"/>
      <c r="WTI33" s="2"/>
      <c r="WTJ33" s="2"/>
      <c r="WTK33" s="2"/>
      <c r="WTL33" s="2"/>
      <c r="WTM33" s="2"/>
      <c r="WTN33" s="2"/>
      <c r="WTO33" s="2"/>
      <c r="WTP33" s="2"/>
      <c r="WTQ33" s="2"/>
      <c r="WTR33" s="2"/>
      <c r="WTS33" s="2"/>
      <c r="WTT33" s="2"/>
      <c r="WTU33" s="2"/>
      <c r="WTV33" s="2"/>
      <c r="WTW33" s="2"/>
      <c r="WTX33" s="2"/>
      <c r="WTY33" s="2"/>
      <c r="WTZ33" s="2"/>
      <c r="WUA33" s="2"/>
      <c r="WUB33" s="2"/>
      <c r="WUC33" s="2"/>
      <c r="WUD33" s="2"/>
      <c r="WUE33" s="2"/>
      <c r="WUF33" s="2"/>
      <c r="WUG33" s="2"/>
      <c r="WUH33" s="2"/>
      <c r="WUI33" s="2"/>
      <c r="WUJ33" s="2"/>
      <c r="WUK33" s="2"/>
      <c r="WUL33" s="2"/>
      <c r="WUM33" s="2"/>
      <c r="WUN33" s="2"/>
      <c r="WUO33" s="2"/>
      <c r="WUP33" s="2"/>
      <c r="WUQ33" s="2"/>
      <c r="WUR33" s="2"/>
      <c r="WUS33" s="2"/>
      <c r="WUT33" s="2"/>
      <c r="WUU33" s="2"/>
      <c r="WUV33" s="2"/>
      <c r="WUW33" s="2"/>
      <c r="WUX33" s="2"/>
      <c r="WUY33" s="2"/>
      <c r="WUZ33" s="2"/>
      <c r="WVA33" s="2"/>
      <c r="WVB33" s="2"/>
      <c r="WVC33" s="2"/>
      <c r="WVD33" s="2"/>
      <c r="WVE33" s="2"/>
      <c r="WVF33" s="2"/>
      <c r="WVG33" s="2"/>
      <c r="WVH33" s="2"/>
      <c r="WVI33" s="2"/>
      <c r="WVJ33" s="2"/>
      <c r="WVK33" s="2"/>
      <c r="WVL33" s="2"/>
      <c r="WVM33" s="2"/>
      <c r="WVN33" s="2"/>
      <c r="WVO33" s="2"/>
      <c r="WVP33" s="2"/>
      <c r="WVQ33" s="2"/>
      <c r="WVR33" s="2"/>
      <c r="WVS33" s="2"/>
      <c r="WVT33" s="2"/>
      <c r="WVU33" s="2"/>
      <c r="WVV33" s="2"/>
      <c r="WVW33" s="2"/>
      <c r="WVX33" s="2"/>
      <c r="WVY33" s="2"/>
      <c r="WVZ33" s="2"/>
      <c r="WWA33" s="2"/>
      <c r="WWB33" s="2"/>
      <c r="WWC33" s="2"/>
      <c r="WWD33" s="2"/>
      <c r="WWE33" s="2"/>
      <c r="WWF33" s="2"/>
      <c r="WWG33" s="2"/>
      <c r="WWH33" s="2"/>
      <c r="WWI33" s="2"/>
      <c r="WWJ33" s="2"/>
      <c r="WWK33" s="2"/>
      <c r="WWL33" s="2"/>
      <c r="WWM33" s="2"/>
      <c r="WWN33" s="2"/>
      <c r="WWO33" s="2"/>
      <c r="WWP33" s="2"/>
      <c r="WWQ33" s="2"/>
      <c r="WWR33" s="2"/>
      <c r="WWS33" s="2"/>
      <c r="WWT33" s="2"/>
      <c r="WWU33" s="2"/>
      <c r="WWV33" s="2"/>
      <c r="WWW33" s="2"/>
      <c r="WWX33" s="2"/>
      <c r="WWY33" s="2"/>
      <c r="WWZ33" s="2"/>
      <c r="WXA33" s="2"/>
      <c r="WXB33" s="2"/>
      <c r="WXC33" s="2"/>
      <c r="WXD33" s="2"/>
      <c r="WXE33" s="2"/>
      <c r="WXF33" s="2"/>
      <c r="WXG33" s="2"/>
      <c r="WXH33" s="2"/>
      <c r="WXI33" s="2"/>
      <c r="WXJ33" s="2"/>
      <c r="WXK33" s="2"/>
      <c r="WXL33" s="2"/>
      <c r="WXM33" s="2"/>
      <c r="WXN33" s="2"/>
      <c r="WXO33" s="2"/>
      <c r="WXP33" s="2"/>
      <c r="WXQ33" s="2"/>
      <c r="WXR33" s="2"/>
      <c r="WXS33" s="2"/>
      <c r="WXT33" s="2"/>
      <c r="WXU33" s="2"/>
      <c r="WXV33" s="2"/>
      <c r="WXW33" s="2"/>
      <c r="WXX33" s="2"/>
      <c r="WXY33" s="2"/>
      <c r="WXZ33" s="2"/>
      <c r="WYA33" s="2"/>
      <c r="WYB33" s="2"/>
      <c r="WYC33" s="2"/>
      <c r="WYD33" s="2"/>
      <c r="WYE33" s="2"/>
      <c r="WYF33" s="2"/>
      <c r="WYG33" s="2"/>
      <c r="WYH33" s="2"/>
      <c r="WYI33" s="2"/>
      <c r="WYJ33" s="2"/>
      <c r="WYK33" s="2"/>
      <c r="WYL33" s="2"/>
      <c r="WYM33" s="2"/>
      <c r="WYN33" s="2"/>
      <c r="WYO33" s="2"/>
      <c r="WYP33" s="2"/>
      <c r="WYQ33" s="2"/>
      <c r="WYR33" s="2"/>
      <c r="WYS33" s="2"/>
      <c r="WYT33" s="2"/>
      <c r="WYU33" s="2"/>
      <c r="WYV33" s="2"/>
      <c r="WYW33" s="2"/>
      <c r="WYX33" s="2"/>
      <c r="WYY33" s="2"/>
      <c r="WYZ33" s="2"/>
      <c r="WZA33" s="2"/>
      <c r="WZB33" s="2"/>
      <c r="WZC33" s="2"/>
      <c r="WZD33" s="2"/>
      <c r="WZE33" s="2"/>
      <c r="WZF33" s="2"/>
      <c r="WZG33" s="2"/>
      <c r="WZH33" s="2"/>
      <c r="WZI33" s="2"/>
      <c r="WZJ33" s="2"/>
      <c r="WZK33" s="2"/>
      <c r="WZL33" s="2"/>
      <c r="WZM33" s="2"/>
      <c r="WZN33" s="2"/>
      <c r="WZO33" s="2"/>
      <c r="WZP33" s="2"/>
      <c r="WZQ33" s="2"/>
      <c r="WZR33" s="2"/>
      <c r="WZS33" s="2"/>
      <c r="WZT33" s="2"/>
      <c r="WZU33" s="2"/>
      <c r="WZV33" s="2"/>
      <c r="WZW33" s="2"/>
      <c r="WZX33" s="2"/>
      <c r="WZY33" s="2"/>
      <c r="WZZ33" s="2"/>
      <c r="XAA33" s="2"/>
      <c r="XAB33" s="2"/>
      <c r="XAC33" s="2"/>
      <c r="XAD33" s="2"/>
      <c r="XAE33" s="2"/>
      <c r="XAF33" s="2"/>
      <c r="XAG33" s="2"/>
      <c r="XAH33" s="2"/>
      <c r="XAI33" s="2"/>
      <c r="XAJ33" s="2"/>
      <c r="XAK33" s="2"/>
      <c r="XAL33" s="2"/>
      <c r="XAM33" s="2"/>
      <c r="XAN33" s="2"/>
      <c r="XAO33" s="2"/>
      <c r="XAP33" s="2"/>
      <c r="XAQ33" s="2"/>
      <c r="XAR33" s="2"/>
      <c r="XAS33" s="2"/>
      <c r="XAT33" s="2"/>
      <c r="XAU33" s="2"/>
      <c r="XAV33" s="2"/>
      <c r="XAW33" s="2"/>
      <c r="XAX33" s="2"/>
      <c r="XAY33" s="2"/>
      <c r="XAZ33" s="2"/>
      <c r="XBA33" s="2"/>
      <c r="XBB33" s="2"/>
      <c r="XBC33" s="2"/>
      <c r="XBD33" s="2"/>
      <c r="XBE33" s="2"/>
      <c r="XBF33" s="2"/>
      <c r="XBG33" s="2"/>
      <c r="XBH33" s="2"/>
      <c r="XBI33" s="2"/>
      <c r="XBJ33" s="2"/>
      <c r="XBK33" s="2"/>
      <c r="XBL33" s="2"/>
      <c r="XBM33" s="2"/>
      <c r="XBN33" s="2"/>
      <c r="XBO33" s="2"/>
      <c r="XBP33" s="2"/>
      <c r="XBQ33" s="2"/>
      <c r="XBR33" s="2"/>
      <c r="XBS33" s="2"/>
      <c r="XBT33" s="2"/>
      <c r="XBU33" s="2"/>
      <c r="XBV33" s="2"/>
      <c r="XBW33" s="2"/>
      <c r="XBX33" s="2"/>
      <c r="XBY33" s="2"/>
      <c r="XBZ33" s="2"/>
      <c r="XCA33" s="2"/>
      <c r="XCB33" s="2"/>
      <c r="XCC33" s="2"/>
      <c r="XCD33" s="2"/>
      <c r="XCE33" s="2"/>
      <c r="XCF33" s="2"/>
      <c r="XCG33" s="2"/>
      <c r="XCH33" s="2"/>
      <c r="XCI33" s="2"/>
      <c r="XCJ33" s="2"/>
      <c r="XCK33" s="2"/>
      <c r="XCL33" s="2"/>
      <c r="XCM33" s="2"/>
      <c r="XCN33" s="2"/>
      <c r="XCO33" s="2"/>
      <c r="XCP33" s="2"/>
      <c r="XCQ33" s="2"/>
      <c r="XCR33" s="2"/>
      <c r="XCS33" s="2"/>
      <c r="XCT33" s="2"/>
      <c r="XCU33" s="2"/>
      <c r="XCV33" s="2"/>
      <c r="XCW33" s="2"/>
      <c r="XCX33" s="2"/>
      <c r="XCY33" s="2"/>
      <c r="XCZ33" s="2"/>
      <c r="XDA33" s="2"/>
      <c r="XDB33" s="2"/>
      <c r="XDC33" s="2"/>
      <c r="XDD33" s="2"/>
      <c r="XDE33" s="2"/>
      <c r="XDF33" s="2"/>
      <c r="XDG33" s="2"/>
      <c r="XDH33" s="2"/>
      <c r="XDI33" s="2"/>
      <c r="XDJ33" s="2"/>
      <c r="XDK33" s="2"/>
      <c r="XDL33" s="2"/>
      <c r="XDM33" s="2"/>
      <c r="XDN33" s="2"/>
      <c r="XDO33" s="2"/>
      <c r="XDP33" s="2"/>
      <c r="XDQ33" s="2"/>
      <c r="XDR33" s="2"/>
      <c r="XDS33" s="2"/>
      <c r="XDT33" s="2"/>
      <c r="XDU33" s="2"/>
      <c r="XDV33" s="2"/>
      <c r="XDW33" s="2"/>
      <c r="XDX33" s="2"/>
      <c r="XDY33" s="2"/>
      <c r="XDZ33" s="2"/>
      <c r="XEA33" s="2"/>
      <c r="XEB33" s="2"/>
      <c r="XEC33" s="2"/>
      <c r="XED33" s="2"/>
      <c r="XEE33" s="2"/>
      <c r="XEF33" s="2"/>
      <c r="XEG33" s="2"/>
      <c r="XEH33" s="2"/>
      <c r="XEI33" s="2"/>
      <c r="XEJ33" s="2"/>
      <c r="XEK33" s="2"/>
      <c r="XEL33" s="2"/>
      <c r="XEM33" s="2"/>
      <c r="XEN33" s="2"/>
      <c r="XEO33" s="2"/>
      <c r="XEP33" s="2"/>
      <c r="XEQ33" s="2"/>
      <c r="XER33" s="2"/>
      <c r="XES33" s="2"/>
      <c r="XET33" s="2"/>
      <c r="XEU33" s="2"/>
      <c r="XEV33" s="2"/>
      <c r="XEW33" s="2"/>
      <c r="XEX33" s="2"/>
      <c r="XEY33" s="2"/>
      <c r="XEZ33" s="2"/>
      <c r="XFA33" s="2"/>
    </row>
    <row r="34" s="78" customFormat="1" ht="24" customHeight="1" spans="1:16381">
      <c r="A34" s="2"/>
      <c r="B34" s="2"/>
      <c r="C34" s="86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  <c r="AMM34" s="2"/>
      <c r="AMN34" s="2"/>
      <c r="AMO34" s="2"/>
      <c r="AMP34" s="2"/>
      <c r="AMQ34" s="2"/>
      <c r="AMR34" s="2"/>
      <c r="AMS34" s="2"/>
      <c r="AMT34" s="2"/>
      <c r="AMU34" s="2"/>
      <c r="AMV34" s="2"/>
      <c r="AMW34" s="2"/>
      <c r="AMX34" s="2"/>
      <c r="AMY34" s="2"/>
      <c r="AMZ34" s="2"/>
      <c r="ANA34" s="2"/>
      <c r="ANB34" s="2"/>
      <c r="ANC34" s="2"/>
      <c r="AND34" s="2"/>
      <c r="ANE34" s="2"/>
      <c r="ANF34" s="2"/>
      <c r="ANG34" s="2"/>
      <c r="ANH34" s="2"/>
      <c r="ANI34" s="2"/>
      <c r="ANJ34" s="2"/>
      <c r="ANK34" s="2"/>
      <c r="ANL34" s="2"/>
      <c r="ANM34" s="2"/>
      <c r="ANN34" s="2"/>
      <c r="ANO34" s="2"/>
      <c r="ANP34" s="2"/>
      <c r="ANQ34" s="2"/>
      <c r="ANR34" s="2"/>
      <c r="ANS34" s="2"/>
      <c r="ANT34" s="2"/>
      <c r="ANU34" s="2"/>
      <c r="ANV34" s="2"/>
      <c r="ANW34" s="2"/>
      <c r="ANX34" s="2"/>
      <c r="ANY34" s="2"/>
      <c r="ANZ34" s="2"/>
      <c r="AOA34" s="2"/>
      <c r="AOB34" s="2"/>
      <c r="AOC34" s="2"/>
      <c r="AOD34" s="2"/>
      <c r="AOE34" s="2"/>
      <c r="AOF34" s="2"/>
      <c r="AOG34" s="2"/>
      <c r="AOH34" s="2"/>
      <c r="AOI34" s="2"/>
      <c r="AOJ34" s="2"/>
      <c r="AOK34" s="2"/>
      <c r="AOL34" s="2"/>
      <c r="AOM34" s="2"/>
      <c r="AON34" s="2"/>
      <c r="AOO34" s="2"/>
      <c r="AOP34" s="2"/>
      <c r="AOQ34" s="2"/>
      <c r="AOR34" s="2"/>
      <c r="AOS34" s="2"/>
      <c r="AOT34" s="2"/>
      <c r="AOU34" s="2"/>
      <c r="AOV34" s="2"/>
      <c r="AOW34" s="2"/>
      <c r="AOX34" s="2"/>
      <c r="AOY34" s="2"/>
      <c r="AOZ34" s="2"/>
      <c r="APA34" s="2"/>
      <c r="APB34" s="2"/>
      <c r="APC34" s="2"/>
      <c r="APD34" s="2"/>
      <c r="APE34" s="2"/>
      <c r="APF34" s="2"/>
      <c r="APG34" s="2"/>
      <c r="APH34" s="2"/>
      <c r="API34" s="2"/>
      <c r="APJ34" s="2"/>
      <c r="APK34" s="2"/>
      <c r="APL34" s="2"/>
      <c r="APM34" s="2"/>
      <c r="APN34" s="2"/>
      <c r="APO34" s="2"/>
      <c r="APP34" s="2"/>
      <c r="APQ34" s="2"/>
      <c r="APR34" s="2"/>
      <c r="APS34" s="2"/>
      <c r="APT34" s="2"/>
      <c r="APU34" s="2"/>
      <c r="APV34" s="2"/>
      <c r="APW34" s="2"/>
      <c r="APX34" s="2"/>
      <c r="APY34" s="2"/>
      <c r="APZ34" s="2"/>
      <c r="AQA34" s="2"/>
      <c r="AQB34" s="2"/>
      <c r="AQC34" s="2"/>
      <c r="AQD34" s="2"/>
      <c r="AQE34" s="2"/>
      <c r="AQF34" s="2"/>
      <c r="AQG34" s="2"/>
      <c r="AQH34" s="2"/>
      <c r="AQI34" s="2"/>
      <c r="AQJ34" s="2"/>
      <c r="AQK34" s="2"/>
      <c r="AQL34" s="2"/>
      <c r="AQM34" s="2"/>
      <c r="AQN34" s="2"/>
      <c r="AQO34" s="2"/>
      <c r="AQP34" s="2"/>
      <c r="AQQ34" s="2"/>
      <c r="AQR34" s="2"/>
      <c r="AQS34" s="2"/>
      <c r="AQT34" s="2"/>
      <c r="AQU34" s="2"/>
      <c r="AQV34" s="2"/>
      <c r="AQW34" s="2"/>
      <c r="AQX34" s="2"/>
      <c r="AQY34" s="2"/>
      <c r="AQZ34" s="2"/>
      <c r="ARA34" s="2"/>
      <c r="ARB34" s="2"/>
      <c r="ARC34" s="2"/>
      <c r="ARD34" s="2"/>
      <c r="ARE34" s="2"/>
      <c r="ARF34" s="2"/>
      <c r="ARG34" s="2"/>
      <c r="ARH34" s="2"/>
      <c r="ARI34" s="2"/>
      <c r="ARJ34" s="2"/>
      <c r="ARK34" s="2"/>
      <c r="ARL34" s="2"/>
      <c r="ARM34" s="2"/>
      <c r="ARN34" s="2"/>
      <c r="ARO34" s="2"/>
      <c r="ARP34" s="2"/>
      <c r="ARQ34" s="2"/>
      <c r="ARR34" s="2"/>
      <c r="ARS34" s="2"/>
      <c r="ART34" s="2"/>
      <c r="ARU34" s="2"/>
      <c r="ARV34" s="2"/>
      <c r="ARW34" s="2"/>
      <c r="ARX34" s="2"/>
      <c r="ARY34" s="2"/>
      <c r="ARZ34" s="2"/>
      <c r="ASA34" s="2"/>
      <c r="ASB34" s="2"/>
      <c r="ASC34" s="2"/>
      <c r="ASD34" s="2"/>
      <c r="ASE34" s="2"/>
      <c r="ASF34" s="2"/>
      <c r="ASG34" s="2"/>
      <c r="ASH34" s="2"/>
      <c r="ASI34" s="2"/>
      <c r="ASJ34" s="2"/>
      <c r="ASK34" s="2"/>
      <c r="ASL34" s="2"/>
      <c r="ASM34" s="2"/>
      <c r="ASN34" s="2"/>
      <c r="ASO34" s="2"/>
      <c r="ASP34" s="2"/>
      <c r="ASQ34" s="2"/>
      <c r="ASR34" s="2"/>
      <c r="ASS34" s="2"/>
      <c r="AST34" s="2"/>
      <c r="ASU34" s="2"/>
      <c r="ASV34" s="2"/>
      <c r="ASW34" s="2"/>
      <c r="ASX34" s="2"/>
      <c r="ASY34" s="2"/>
      <c r="ASZ34" s="2"/>
      <c r="ATA34" s="2"/>
      <c r="ATB34" s="2"/>
      <c r="ATC34" s="2"/>
      <c r="ATD34" s="2"/>
      <c r="ATE34" s="2"/>
      <c r="ATF34" s="2"/>
      <c r="ATG34" s="2"/>
      <c r="ATH34" s="2"/>
      <c r="ATI34" s="2"/>
      <c r="ATJ34" s="2"/>
      <c r="ATK34" s="2"/>
      <c r="ATL34" s="2"/>
      <c r="ATM34" s="2"/>
      <c r="ATN34" s="2"/>
      <c r="ATO34" s="2"/>
      <c r="ATP34" s="2"/>
      <c r="ATQ34" s="2"/>
      <c r="ATR34" s="2"/>
      <c r="ATS34" s="2"/>
      <c r="ATT34" s="2"/>
      <c r="ATU34" s="2"/>
      <c r="ATV34" s="2"/>
      <c r="ATW34" s="2"/>
      <c r="ATX34" s="2"/>
      <c r="ATY34" s="2"/>
      <c r="ATZ34" s="2"/>
      <c r="AUA34" s="2"/>
      <c r="AUB34" s="2"/>
      <c r="AUC34" s="2"/>
      <c r="AUD34" s="2"/>
      <c r="AUE34" s="2"/>
      <c r="AUF34" s="2"/>
      <c r="AUG34" s="2"/>
      <c r="AUH34" s="2"/>
      <c r="AUI34" s="2"/>
      <c r="AUJ34" s="2"/>
      <c r="AUK34" s="2"/>
      <c r="AUL34" s="2"/>
      <c r="AUM34" s="2"/>
      <c r="AUN34" s="2"/>
      <c r="AUO34" s="2"/>
      <c r="AUP34" s="2"/>
      <c r="AUQ34" s="2"/>
      <c r="AUR34" s="2"/>
      <c r="AUS34" s="2"/>
      <c r="AUT34" s="2"/>
      <c r="AUU34" s="2"/>
      <c r="AUV34" s="2"/>
      <c r="AUW34" s="2"/>
      <c r="AUX34" s="2"/>
      <c r="AUY34" s="2"/>
      <c r="AUZ34" s="2"/>
      <c r="AVA34" s="2"/>
      <c r="AVB34" s="2"/>
      <c r="AVC34" s="2"/>
      <c r="AVD34" s="2"/>
      <c r="AVE34" s="2"/>
      <c r="AVF34" s="2"/>
      <c r="AVG34" s="2"/>
      <c r="AVH34" s="2"/>
      <c r="AVI34" s="2"/>
      <c r="AVJ34" s="2"/>
      <c r="AVK34" s="2"/>
      <c r="AVL34" s="2"/>
      <c r="AVM34" s="2"/>
      <c r="AVN34" s="2"/>
      <c r="AVO34" s="2"/>
      <c r="AVP34" s="2"/>
      <c r="AVQ34" s="2"/>
      <c r="AVR34" s="2"/>
      <c r="AVS34" s="2"/>
      <c r="AVT34" s="2"/>
      <c r="AVU34" s="2"/>
      <c r="AVV34" s="2"/>
      <c r="AVW34" s="2"/>
      <c r="AVX34" s="2"/>
      <c r="AVY34" s="2"/>
      <c r="AVZ34" s="2"/>
      <c r="AWA34" s="2"/>
      <c r="AWB34" s="2"/>
      <c r="AWC34" s="2"/>
      <c r="AWD34" s="2"/>
      <c r="AWE34" s="2"/>
      <c r="AWF34" s="2"/>
      <c r="AWG34" s="2"/>
      <c r="AWH34" s="2"/>
      <c r="AWI34" s="2"/>
      <c r="AWJ34" s="2"/>
      <c r="AWK34" s="2"/>
      <c r="AWL34" s="2"/>
      <c r="AWM34" s="2"/>
      <c r="AWN34" s="2"/>
      <c r="AWO34" s="2"/>
      <c r="AWP34" s="2"/>
      <c r="AWQ34" s="2"/>
      <c r="AWR34" s="2"/>
      <c r="AWS34" s="2"/>
      <c r="AWT34" s="2"/>
      <c r="AWU34" s="2"/>
      <c r="AWV34" s="2"/>
      <c r="AWW34" s="2"/>
      <c r="AWX34" s="2"/>
      <c r="AWY34" s="2"/>
      <c r="AWZ34" s="2"/>
      <c r="AXA34" s="2"/>
      <c r="AXB34" s="2"/>
      <c r="AXC34" s="2"/>
      <c r="AXD34" s="2"/>
      <c r="AXE34" s="2"/>
      <c r="AXF34" s="2"/>
      <c r="AXG34" s="2"/>
      <c r="AXH34" s="2"/>
      <c r="AXI34" s="2"/>
      <c r="AXJ34" s="2"/>
      <c r="AXK34" s="2"/>
      <c r="AXL34" s="2"/>
      <c r="AXM34" s="2"/>
      <c r="AXN34" s="2"/>
      <c r="AXO34" s="2"/>
      <c r="AXP34" s="2"/>
      <c r="AXQ34" s="2"/>
      <c r="AXR34" s="2"/>
      <c r="AXS34" s="2"/>
      <c r="AXT34" s="2"/>
      <c r="AXU34" s="2"/>
      <c r="AXV34" s="2"/>
      <c r="AXW34" s="2"/>
      <c r="AXX34" s="2"/>
      <c r="AXY34" s="2"/>
      <c r="AXZ34" s="2"/>
      <c r="AYA34" s="2"/>
      <c r="AYB34" s="2"/>
      <c r="AYC34" s="2"/>
      <c r="AYD34" s="2"/>
      <c r="AYE34" s="2"/>
      <c r="AYF34" s="2"/>
      <c r="AYG34" s="2"/>
      <c r="AYH34" s="2"/>
      <c r="AYI34" s="2"/>
      <c r="AYJ34" s="2"/>
      <c r="AYK34" s="2"/>
      <c r="AYL34" s="2"/>
      <c r="AYM34" s="2"/>
      <c r="AYN34" s="2"/>
      <c r="AYO34" s="2"/>
      <c r="AYP34" s="2"/>
      <c r="AYQ34" s="2"/>
      <c r="AYR34" s="2"/>
      <c r="AYS34" s="2"/>
      <c r="AYT34" s="2"/>
      <c r="AYU34" s="2"/>
      <c r="AYV34" s="2"/>
      <c r="AYW34" s="2"/>
      <c r="AYX34" s="2"/>
      <c r="AYY34" s="2"/>
      <c r="AYZ34" s="2"/>
      <c r="AZA34" s="2"/>
      <c r="AZB34" s="2"/>
      <c r="AZC34" s="2"/>
      <c r="AZD34" s="2"/>
      <c r="AZE34" s="2"/>
      <c r="AZF34" s="2"/>
      <c r="AZG34" s="2"/>
      <c r="AZH34" s="2"/>
      <c r="AZI34" s="2"/>
      <c r="AZJ34" s="2"/>
      <c r="AZK34" s="2"/>
      <c r="AZL34" s="2"/>
      <c r="AZM34" s="2"/>
      <c r="AZN34" s="2"/>
      <c r="AZO34" s="2"/>
      <c r="AZP34" s="2"/>
      <c r="AZQ34" s="2"/>
      <c r="AZR34" s="2"/>
      <c r="AZS34" s="2"/>
      <c r="AZT34" s="2"/>
      <c r="AZU34" s="2"/>
      <c r="AZV34" s="2"/>
      <c r="AZW34" s="2"/>
      <c r="AZX34" s="2"/>
      <c r="AZY34" s="2"/>
      <c r="AZZ34" s="2"/>
      <c r="BAA34" s="2"/>
      <c r="BAB34" s="2"/>
      <c r="BAC34" s="2"/>
      <c r="BAD34" s="2"/>
      <c r="BAE34" s="2"/>
      <c r="BAF34" s="2"/>
      <c r="BAG34" s="2"/>
      <c r="BAH34" s="2"/>
      <c r="BAI34" s="2"/>
      <c r="BAJ34" s="2"/>
      <c r="BAK34" s="2"/>
      <c r="BAL34" s="2"/>
      <c r="BAM34" s="2"/>
      <c r="BAN34" s="2"/>
      <c r="BAO34" s="2"/>
      <c r="BAP34" s="2"/>
      <c r="BAQ34" s="2"/>
      <c r="BAR34" s="2"/>
      <c r="BAS34" s="2"/>
      <c r="BAT34" s="2"/>
      <c r="BAU34" s="2"/>
      <c r="BAV34" s="2"/>
      <c r="BAW34" s="2"/>
      <c r="BAX34" s="2"/>
      <c r="BAY34" s="2"/>
      <c r="BAZ34" s="2"/>
      <c r="BBA34" s="2"/>
      <c r="BBB34" s="2"/>
      <c r="BBC34" s="2"/>
      <c r="BBD34" s="2"/>
      <c r="BBE34" s="2"/>
      <c r="BBF34" s="2"/>
      <c r="BBG34" s="2"/>
      <c r="BBH34" s="2"/>
      <c r="BBI34" s="2"/>
      <c r="BBJ34" s="2"/>
      <c r="BBK34" s="2"/>
      <c r="BBL34" s="2"/>
      <c r="BBM34" s="2"/>
      <c r="BBN34" s="2"/>
      <c r="BBO34" s="2"/>
      <c r="BBP34" s="2"/>
      <c r="BBQ34" s="2"/>
      <c r="BBR34" s="2"/>
      <c r="BBS34" s="2"/>
      <c r="BBT34" s="2"/>
      <c r="BBU34" s="2"/>
      <c r="BBV34" s="2"/>
      <c r="BBW34" s="2"/>
      <c r="BBX34" s="2"/>
      <c r="BBY34" s="2"/>
      <c r="BBZ34" s="2"/>
      <c r="BCA34" s="2"/>
      <c r="BCB34" s="2"/>
      <c r="BCC34" s="2"/>
      <c r="BCD34" s="2"/>
      <c r="BCE34" s="2"/>
      <c r="BCF34" s="2"/>
      <c r="BCG34" s="2"/>
      <c r="BCH34" s="2"/>
      <c r="BCI34" s="2"/>
      <c r="BCJ34" s="2"/>
      <c r="BCK34" s="2"/>
      <c r="BCL34" s="2"/>
      <c r="BCM34" s="2"/>
      <c r="BCN34" s="2"/>
      <c r="BCO34" s="2"/>
      <c r="BCP34" s="2"/>
      <c r="BCQ34" s="2"/>
      <c r="BCR34" s="2"/>
      <c r="BCS34" s="2"/>
      <c r="BCT34" s="2"/>
      <c r="BCU34" s="2"/>
      <c r="BCV34" s="2"/>
      <c r="BCW34" s="2"/>
      <c r="BCX34" s="2"/>
      <c r="BCY34" s="2"/>
      <c r="BCZ34" s="2"/>
      <c r="BDA34" s="2"/>
      <c r="BDB34" s="2"/>
      <c r="BDC34" s="2"/>
      <c r="BDD34" s="2"/>
      <c r="BDE34" s="2"/>
      <c r="BDF34" s="2"/>
      <c r="BDG34" s="2"/>
      <c r="BDH34" s="2"/>
      <c r="BDI34" s="2"/>
      <c r="BDJ34" s="2"/>
      <c r="BDK34" s="2"/>
      <c r="BDL34" s="2"/>
      <c r="BDM34" s="2"/>
      <c r="BDN34" s="2"/>
      <c r="BDO34" s="2"/>
      <c r="BDP34" s="2"/>
      <c r="BDQ34" s="2"/>
      <c r="BDR34" s="2"/>
      <c r="BDS34" s="2"/>
      <c r="BDT34" s="2"/>
      <c r="BDU34" s="2"/>
      <c r="BDV34" s="2"/>
      <c r="BDW34" s="2"/>
      <c r="BDX34" s="2"/>
      <c r="BDY34" s="2"/>
      <c r="BDZ34" s="2"/>
      <c r="BEA34" s="2"/>
      <c r="BEB34" s="2"/>
      <c r="BEC34" s="2"/>
      <c r="BED34" s="2"/>
      <c r="BEE34" s="2"/>
      <c r="BEF34" s="2"/>
      <c r="BEG34" s="2"/>
      <c r="BEH34" s="2"/>
      <c r="BEI34" s="2"/>
      <c r="BEJ34" s="2"/>
      <c r="BEK34" s="2"/>
      <c r="BEL34" s="2"/>
      <c r="BEM34" s="2"/>
      <c r="BEN34" s="2"/>
      <c r="BEO34" s="2"/>
      <c r="BEP34" s="2"/>
      <c r="BEQ34" s="2"/>
      <c r="BER34" s="2"/>
      <c r="BES34" s="2"/>
      <c r="BET34" s="2"/>
      <c r="BEU34" s="2"/>
      <c r="BEV34" s="2"/>
      <c r="BEW34" s="2"/>
      <c r="BEX34" s="2"/>
      <c r="BEY34" s="2"/>
      <c r="BEZ34" s="2"/>
      <c r="BFA34" s="2"/>
      <c r="BFB34" s="2"/>
      <c r="BFC34" s="2"/>
      <c r="BFD34" s="2"/>
      <c r="BFE34" s="2"/>
      <c r="BFF34" s="2"/>
      <c r="BFG34" s="2"/>
      <c r="BFH34" s="2"/>
      <c r="BFI34" s="2"/>
      <c r="BFJ34" s="2"/>
      <c r="BFK34" s="2"/>
      <c r="BFL34" s="2"/>
      <c r="BFM34" s="2"/>
      <c r="BFN34" s="2"/>
      <c r="BFO34" s="2"/>
      <c r="BFP34" s="2"/>
      <c r="BFQ34" s="2"/>
      <c r="BFR34" s="2"/>
      <c r="BFS34" s="2"/>
      <c r="BFT34" s="2"/>
      <c r="BFU34" s="2"/>
      <c r="BFV34" s="2"/>
      <c r="BFW34" s="2"/>
      <c r="BFX34" s="2"/>
      <c r="BFY34" s="2"/>
      <c r="BFZ34" s="2"/>
      <c r="BGA34" s="2"/>
      <c r="BGB34" s="2"/>
      <c r="BGC34" s="2"/>
      <c r="BGD34" s="2"/>
      <c r="BGE34" s="2"/>
      <c r="BGF34" s="2"/>
      <c r="BGG34" s="2"/>
      <c r="BGH34" s="2"/>
      <c r="BGI34" s="2"/>
      <c r="BGJ34" s="2"/>
      <c r="BGK34" s="2"/>
      <c r="BGL34" s="2"/>
      <c r="BGM34" s="2"/>
      <c r="BGN34" s="2"/>
      <c r="BGO34" s="2"/>
      <c r="BGP34" s="2"/>
      <c r="BGQ34" s="2"/>
      <c r="BGR34" s="2"/>
      <c r="BGS34" s="2"/>
      <c r="BGT34" s="2"/>
      <c r="BGU34" s="2"/>
      <c r="BGV34" s="2"/>
      <c r="BGW34" s="2"/>
      <c r="BGX34" s="2"/>
      <c r="BGY34" s="2"/>
      <c r="BGZ34" s="2"/>
      <c r="BHA34" s="2"/>
      <c r="BHB34" s="2"/>
      <c r="BHC34" s="2"/>
      <c r="BHD34" s="2"/>
      <c r="BHE34" s="2"/>
      <c r="BHF34" s="2"/>
      <c r="BHG34" s="2"/>
      <c r="BHH34" s="2"/>
      <c r="BHI34" s="2"/>
      <c r="BHJ34" s="2"/>
      <c r="BHK34" s="2"/>
      <c r="BHL34" s="2"/>
      <c r="BHM34" s="2"/>
      <c r="BHN34" s="2"/>
      <c r="BHO34" s="2"/>
      <c r="BHP34" s="2"/>
      <c r="BHQ34" s="2"/>
      <c r="BHR34" s="2"/>
      <c r="BHS34" s="2"/>
      <c r="BHT34" s="2"/>
      <c r="BHU34" s="2"/>
      <c r="BHV34" s="2"/>
      <c r="BHW34" s="2"/>
      <c r="BHX34" s="2"/>
      <c r="BHY34" s="2"/>
      <c r="BHZ34" s="2"/>
      <c r="BIA34" s="2"/>
      <c r="BIB34" s="2"/>
      <c r="BIC34" s="2"/>
      <c r="BID34" s="2"/>
      <c r="BIE34" s="2"/>
      <c r="BIF34" s="2"/>
      <c r="BIG34" s="2"/>
      <c r="BIH34" s="2"/>
      <c r="BII34" s="2"/>
      <c r="BIJ34" s="2"/>
      <c r="BIK34" s="2"/>
      <c r="BIL34" s="2"/>
      <c r="BIM34" s="2"/>
      <c r="BIN34" s="2"/>
      <c r="BIO34" s="2"/>
      <c r="BIP34" s="2"/>
      <c r="BIQ34" s="2"/>
      <c r="BIR34" s="2"/>
      <c r="BIS34" s="2"/>
      <c r="BIT34" s="2"/>
      <c r="BIU34" s="2"/>
      <c r="BIV34" s="2"/>
      <c r="BIW34" s="2"/>
      <c r="BIX34" s="2"/>
      <c r="BIY34" s="2"/>
      <c r="BIZ34" s="2"/>
      <c r="BJA34" s="2"/>
      <c r="BJB34" s="2"/>
      <c r="BJC34" s="2"/>
      <c r="BJD34" s="2"/>
      <c r="BJE34" s="2"/>
      <c r="BJF34" s="2"/>
      <c r="BJG34" s="2"/>
      <c r="BJH34" s="2"/>
      <c r="BJI34" s="2"/>
      <c r="BJJ34" s="2"/>
      <c r="BJK34" s="2"/>
      <c r="BJL34" s="2"/>
      <c r="BJM34" s="2"/>
      <c r="BJN34" s="2"/>
      <c r="BJO34" s="2"/>
      <c r="BJP34" s="2"/>
      <c r="BJQ34" s="2"/>
      <c r="BJR34" s="2"/>
      <c r="BJS34" s="2"/>
      <c r="BJT34" s="2"/>
      <c r="BJU34" s="2"/>
      <c r="BJV34" s="2"/>
      <c r="BJW34" s="2"/>
      <c r="BJX34" s="2"/>
      <c r="BJY34" s="2"/>
      <c r="BJZ34" s="2"/>
      <c r="BKA34" s="2"/>
      <c r="BKB34" s="2"/>
      <c r="BKC34" s="2"/>
      <c r="BKD34" s="2"/>
      <c r="BKE34" s="2"/>
      <c r="BKF34" s="2"/>
      <c r="BKG34" s="2"/>
      <c r="BKH34" s="2"/>
      <c r="BKI34" s="2"/>
      <c r="BKJ34" s="2"/>
      <c r="BKK34" s="2"/>
      <c r="BKL34" s="2"/>
      <c r="BKM34" s="2"/>
      <c r="BKN34" s="2"/>
      <c r="BKO34" s="2"/>
      <c r="BKP34" s="2"/>
      <c r="BKQ34" s="2"/>
      <c r="BKR34" s="2"/>
      <c r="BKS34" s="2"/>
      <c r="BKT34" s="2"/>
      <c r="BKU34" s="2"/>
      <c r="BKV34" s="2"/>
      <c r="BKW34" s="2"/>
      <c r="BKX34" s="2"/>
      <c r="BKY34" s="2"/>
      <c r="BKZ34" s="2"/>
      <c r="BLA34" s="2"/>
      <c r="BLB34" s="2"/>
      <c r="BLC34" s="2"/>
      <c r="BLD34" s="2"/>
      <c r="BLE34" s="2"/>
      <c r="BLF34" s="2"/>
      <c r="BLG34" s="2"/>
      <c r="BLH34" s="2"/>
      <c r="BLI34" s="2"/>
      <c r="BLJ34" s="2"/>
      <c r="BLK34" s="2"/>
      <c r="BLL34" s="2"/>
      <c r="BLM34" s="2"/>
      <c r="BLN34" s="2"/>
      <c r="BLO34" s="2"/>
      <c r="BLP34" s="2"/>
      <c r="BLQ34" s="2"/>
      <c r="BLR34" s="2"/>
      <c r="BLS34" s="2"/>
      <c r="BLT34" s="2"/>
      <c r="BLU34" s="2"/>
      <c r="BLV34" s="2"/>
      <c r="BLW34" s="2"/>
      <c r="BLX34" s="2"/>
      <c r="BLY34" s="2"/>
      <c r="BLZ34" s="2"/>
      <c r="BMA34" s="2"/>
      <c r="BMB34" s="2"/>
      <c r="BMC34" s="2"/>
      <c r="BMD34" s="2"/>
      <c r="BME34" s="2"/>
      <c r="BMF34" s="2"/>
      <c r="BMG34" s="2"/>
      <c r="BMH34" s="2"/>
      <c r="BMI34" s="2"/>
      <c r="BMJ34" s="2"/>
      <c r="BMK34" s="2"/>
      <c r="BML34" s="2"/>
      <c r="BMM34" s="2"/>
      <c r="BMN34" s="2"/>
      <c r="BMO34" s="2"/>
      <c r="BMP34" s="2"/>
      <c r="BMQ34" s="2"/>
      <c r="BMR34" s="2"/>
      <c r="BMS34" s="2"/>
      <c r="BMT34" s="2"/>
      <c r="BMU34" s="2"/>
      <c r="BMV34" s="2"/>
      <c r="BMW34" s="2"/>
      <c r="BMX34" s="2"/>
      <c r="BMY34" s="2"/>
      <c r="BMZ34" s="2"/>
      <c r="BNA34" s="2"/>
      <c r="BNB34" s="2"/>
      <c r="BNC34" s="2"/>
      <c r="BND34" s="2"/>
      <c r="BNE34" s="2"/>
      <c r="BNF34" s="2"/>
      <c r="BNG34" s="2"/>
      <c r="BNH34" s="2"/>
      <c r="BNI34" s="2"/>
      <c r="BNJ34" s="2"/>
      <c r="BNK34" s="2"/>
      <c r="BNL34" s="2"/>
      <c r="BNM34" s="2"/>
      <c r="BNN34" s="2"/>
      <c r="BNO34" s="2"/>
      <c r="BNP34" s="2"/>
      <c r="BNQ34" s="2"/>
      <c r="BNR34" s="2"/>
      <c r="BNS34" s="2"/>
      <c r="BNT34" s="2"/>
      <c r="BNU34" s="2"/>
      <c r="BNV34" s="2"/>
      <c r="BNW34" s="2"/>
      <c r="BNX34" s="2"/>
      <c r="BNY34" s="2"/>
      <c r="BNZ34" s="2"/>
      <c r="BOA34" s="2"/>
      <c r="BOB34" s="2"/>
      <c r="BOC34" s="2"/>
      <c r="BOD34" s="2"/>
      <c r="BOE34" s="2"/>
      <c r="BOF34" s="2"/>
      <c r="BOG34" s="2"/>
      <c r="BOH34" s="2"/>
      <c r="BOI34" s="2"/>
      <c r="BOJ34" s="2"/>
      <c r="BOK34" s="2"/>
      <c r="BOL34" s="2"/>
      <c r="BOM34" s="2"/>
      <c r="BON34" s="2"/>
      <c r="BOO34" s="2"/>
      <c r="BOP34" s="2"/>
      <c r="BOQ34" s="2"/>
      <c r="BOR34" s="2"/>
      <c r="BOS34" s="2"/>
      <c r="BOT34" s="2"/>
      <c r="BOU34" s="2"/>
      <c r="BOV34" s="2"/>
      <c r="BOW34" s="2"/>
      <c r="BOX34" s="2"/>
      <c r="BOY34" s="2"/>
      <c r="BOZ34" s="2"/>
      <c r="BPA34" s="2"/>
      <c r="BPB34" s="2"/>
      <c r="BPC34" s="2"/>
      <c r="BPD34" s="2"/>
      <c r="BPE34" s="2"/>
      <c r="BPF34" s="2"/>
      <c r="BPG34" s="2"/>
      <c r="BPH34" s="2"/>
      <c r="BPI34" s="2"/>
      <c r="BPJ34" s="2"/>
      <c r="BPK34" s="2"/>
      <c r="BPL34" s="2"/>
      <c r="BPM34" s="2"/>
      <c r="BPN34" s="2"/>
      <c r="BPO34" s="2"/>
      <c r="BPP34" s="2"/>
      <c r="BPQ34" s="2"/>
      <c r="BPR34" s="2"/>
      <c r="BPS34" s="2"/>
      <c r="BPT34" s="2"/>
      <c r="BPU34" s="2"/>
      <c r="BPV34" s="2"/>
      <c r="BPW34" s="2"/>
      <c r="BPX34" s="2"/>
      <c r="BPY34" s="2"/>
      <c r="BPZ34" s="2"/>
      <c r="BQA34" s="2"/>
      <c r="BQB34" s="2"/>
      <c r="BQC34" s="2"/>
      <c r="BQD34" s="2"/>
      <c r="BQE34" s="2"/>
      <c r="BQF34" s="2"/>
      <c r="BQG34" s="2"/>
      <c r="BQH34" s="2"/>
      <c r="BQI34" s="2"/>
      <c r="BQJ34" s="2"/>
      <c r="BQK34" s="2"/>
      <c r="BQL34" s="2"/>
      <c r="BQM34" s="2"/>
      <c r="BQN34" s="2"/>
      <c r="BQO34" s="2"/>
      <c r="BQP34" s="2"/>
      <c r="BQQ34" s="2"/>
      <c r="BQR34" s="2"/>
      <c r="BQS34" s="2"/>
      <c r="BQT34" s="2"/>
      <c r="BQU34" s="2"/>
      <c r="BQV34" s="2"/>
      <c r="BQW34" s="2"/>
      <c r="BQX34" s="2"/>
      <c r="BQY34" s="2"/>
      <c r="BQZ34" s="2"/>
      <c r="BRA34" s="2"/>
      <c r="BRB34" s="2"/>
      <c r="BRC34" s="2"/>
      <c r="BRD34" s="2"/>
      <c r="BRE34" s="2"/>
      <c r="BRF34" s="2"/>
      <c r="BRG34" s="2"/>
      <c r="BRH34" s="2"/>
      <c r="BRI34" s="2"/>
      <c r="BRJ34" s="2"/>
      <c r="BRK34" s="2"/>
      <c r="BRL34" s="2"/>
      <c r="BRM34" s="2"/>
      <c r="BRN34" s="2"/>
      <c r="BRO34" s="2"/>
      <c r="BRP34" s="2"/>
      <c r="BRQ34" s="2"/>
      <c r="BRR34" s="2"/>
      <c r="BRS34" s="2"/>
      <c r="BRT34" s="2"/>
      <c r="BRU34" s="2"/>
      <c r="BRV34" s="2"/>
      <c r="BRW34" s="2"/>
      <c r="BRX34" s="2"/>
      <c r="BRY34" s="2"/>
      <c r="BRZ34" s="2"/>
      <c r="BSA34" s="2"/>
      <c r="BSB34" s="2"/>
      <c r="BSC34" s="2"/>
      <c r="BSD34" s="2"/>
      <c r="BSE34" s="2"/>
      <c r="BSF34" s="2"/>
      <c r="BSG34" s="2"/>
      <c r="BSH34" s="2"/>
      <c r="BSI34" s="2"/>
      <c r="BSJ34" s="2"/>
      <c r="BSK34" s="2"/>
      <c r="BSL34" s="2"/>
      <c r="BSM34" s="2"/>
      <c r="BSN34" s="2"/>
      <c r="BSO34" s="2"/>
      <c r="BSP34" s="2"/>
      <c r="BSQ34" s="2"/>
      <c r="BSR34" s="2"/>
      <c r="BSS34" s="2"/>
      <c r="BST34" s="2"/>
      <c r="BSU34" s="2"/>
      <c r="BSV34" s="2"/>
      <c r="BSW34" s="2"/>
      <c r="BSX34" s="2"/>
      <c r="BSY34" s="2"/>
      <c r="BSZ34" s="2"/>
      <c r="BTA34" s="2"/>
      <c r="BTB34" s="2"/>
      <c r="BTC34" s="2"/>
      <c r="BTD34" s="2"/>
      <c r="BTE34" s="2"/>
      <c r="BTF34" s="2"/>
      <c r="BTG34" s="2"/>
      <c r="BTH34" s="2"/>
      <c r="BTI34" s="2"/>
      <c r="BTJ34" s="2"/>
      <c r="BTK34" s="2"/>
      <c r="BTL34" s="2"/>
      <c r="BTM34" s="2"/>
      <c r="BTN34" s="2"/>
      <c r="BTO34" s="2"/>
      <c r="BTP34" s="2"/>
      <c r="BTQ34" s="2"/>
      <c r="BTR34" s="2"/>
      <c r="BTS34" s="2"/>
      <c r="BTT34" s="2"/>
      <c r="BTU34" s="2"/>
      <c r="BTV34" s="2"/>
      <c r="BTW34" s="2"/>
      <c r="BTX34" s="2"/>
      <c r="BTY34" s="2"/>
      <c r="BTZ34" s="2"/>
      <c r="BUA34" s="2"/>
      <c r="BUB34" s="2"/>
      <c r="BUC34" s="2"/>
      <c r="BUD34" s="2"/>
      <c r="BUE34" s="2"/>
      <c r="BUF34" s="2"/>
      <c r="BUG34" s="2"/>
      <c r="BUH34" s="2"/>
      <c r="BUI34" s="2"/>
      <c r="BUJ34" s="2"/>
      <c r="BUK34" s="2"/>
      <c r="BUL34" s="2"/>
      <c r="BUM34" s="2"/>
      <c r="BUN34" s="2"/>
      <c r="BUO34" s="2"/>
      <c r="BUP34" s="2"/>
      <c r="BUQ34" s="2"/>
      <c r="BUR34" s="2"/>
      <c r="BUS34" s="2"/>
      <c r="BUT34" s="2"/>
      <c r="BUU34" s="2"/>
      <c r="BUV34" s="2"/>
      <c r="BUW34" s="2"/>
      <c r="BUX34" s="2"/>
      <c r="BUY34" s="2"/>
      <c r="BUZ34" s="2"/>
      <c r="BVA34" s="2"/>
      <c r="BVB34" s="2"/>
      <c r="BVC34" s="2"/>
      <c r="BVD34" s="2"/>
      <c r="BVE34" s="2"/>
      <c r="BVF34" s="2"/>
      <c r="BVG34" s="2"/>
      <c r="BVH34" s="2"/>
      <c r="BVI34" s="2"/>
      <c r="BVJ34" s="2"/>
      <c r="BVK34" s="2"/>
      <c r="BVL34" s="2"/>
      <c r="BVM34" s="2"/>
      <c r="BVN34" s="2"/>
      <c r="BVO34" s="2"/>
      <c r="BVP34" s="2"/>
      <c r="BVQ34" s="2"/>
      <c r="BVR34" s="2"/>
      <c r="BVS34" s="2"/>
      <c r="BVT34" s="2"/>
      <c r="BVU34" s="2"/>
      <c r="BVV34" s="2"/>
      <c r="BVW34" s="2"/>
      <c r="BVX34" s="2"/>
      <c r="BVY34" s="2"/>
      <c r="BVZ34" s="2"/>
      <c r="BWA34" s="2"/>
      <c r="BWB34" s="2"/>
      <c r="BWC34" s="2"/>
      <c r="BWD34" s="2"/>
      <c r="BWE34" s="2"/>
      <c r="BWF34" s="2"/>
      <c r="BWG34" s="2"/>
      <c r="BWH34" s="2"/>
      <c r="BWI34" s="2"/>
      <c r="BWJ34" s="2"/>
      <c r="BWK34" s="2"/>
      <c r="BWL34" s="2"/>
      <c r="BWM34" s="2"/>
      <c r="BWN34" s="2"/>
      <c r="BWO34" s="2"/>
      <c r="BWP34" s="2"/>
      <c r="BWQ34" s="2"/>
      <c r="BWR34" s="2"/>
      <c r="BWS34" s="2"/>
      <c r="BWT34" s="2"/>
      <c r="BWU34" s="2"/>
      <c r="BWV34" s="2"/>
      <c r="BWW34" s="2"/>
      <c r="BWX34" s="2"/>
      <c r="BWY34" s="2"/>
      <c r="BWZ34" s="2"/>
      <c r="BXA34" s="2"/>
      <c r="BXB34" s="2"/>
      <c r="BXC34" s="2"/>
      <c r="BXD34" s="2"/>
      <c r="BXE34" s="2"/>
      <c r="BXF34" s="2"/>
      <c r="BXG34" s="2"/>
      <c r="BXH34" s="2"/>
      <c r="BXI34" s="2"/>
      <c r="BXJ34" s="2"/>
      <c r="BXK34" s="2"/>
      <c r="BXL34" s="2"/>
      <c r="BXM34" s="2"/>
      <c r="BXN34" s="2"/>
      <c r="BXO34" s="2"/>
      <c r="BXP34" s="2"/>
      <c r="BXQ34" s="2"/>
      <c r="BXR34" s="2"/>
      <c r="BXS34" s="2"/>
      <c r="BXT34" s="2"/>
      <c r="BXU34" s="2"/>
      <c r="BXV34" s="2"/>
      <c r="BXW34" s="2"/>
      <c r="BXX34" s="2"/>
      <c r="BXY34" s="2"/>
      <c r="BXZ34" s="2"/>
      <c r="BYA34" s="2"/>
      <c r="BYB34" s="2"/>
      <c r="BYC34" s="2"/>
      <c r="BYD34" s="2"/>
      <c r="BYE34" s="2"/>
      <c r="BYF34" s="2"/>
      <c r="BYG34" s="2"/>
      <c r="BYH34" s="2"/>
      <c r="BYI34" s="2"/>
      <c r="BYJ34" s="2"/>
      <c r="BYK34" s="2"/>
      <c r="BYL34" s="2"/>
      <c r="BYM34" s="2"/>
      <c r="BYN34" s="2"/>
      <c r="BYO34" s="2"/>
      <c r="BYP34" s="2"/>
      <c r="BYQ34" s="2"/>
      <c r="BYR34" s="2"/>
      <c r="BYS34" s="2"/>
      <c r="BYT34" s="2"/>
      <c r="BYU34" s="2"/>
      <c r="BYV34" s="2"/>
      <c r="BYW34" s="2"/>
      <c r="BYX34" s="2"/>
      <c r="BYY34" s="2"/>
      <c r="BYZ34" s="2"/>
      <c r="BZA34" s="2"/>
      <c r="BZB34" s="2"/>
      <c r="BZC34" s="2"/>
      <c r="BZD34" s="2"/>
      <c r="BZE34" s="2"/>
      <c r="BZF34" s="2"/>
      <c r="BZG34" s="2"/>
      <c r="BZH34" s="2"/>
      <c r="BZI34" s="2"/>
      <c r="BZJ34" s="2"/>
      <c r="BZK34" s="2"/>
      <c r="BZL34" s="2"/>
      <c r="BZM34" s="2"/>
      <c r="BZN34" s="2"/>
      <c r="BZO34" s="2"/>
      <c r="BZP34" s="2"/>
      <c r="BZQ34" s="2"/>
      <c r="BZR34" s="2"/>
      <c r="BZS34" s="2"/>
      <c r="BZT34" s="2"/>
      <c r="BZU34" s="2"/>
      <c r="BZV34" s="2"/>
      <c r="BZW34" s="2"/>
      <c r="BZX34" s="2"/>
      <c r="BZY34" s="2"/>
      <c r="BZZ34" s="2"/>
      <c r="CAA34" s="2"/>
      <c r="CAB34" s="2"/>
      <c r="CAC34" s="2"/>
      <c r="CAD34" s="2"/>
      <c r="CAE34" s="2"/>
      <c r="CAF34" s="2"/>
      <c r="CAG34" s="2"/>
      <c r="CAH34" s="2"/>
      <c r="CAI34" s="2"/>
      <c r="CAJ34" s="2"/>
      <c r="CAK34" s="2"/>
      <c r="CAL34" s="2"/>
      <c r="CAM34" s="2"/>
      <c r="CAN34" s="2"/>
      <c r="CAO34" s="2"/>
      <c r="CAP34" s="2"/>
      <c r="CAQ34" s="2"/>
      <c r="CAR34" s="2"/>
      <c r="CAS34" s="2"/>
      <c r="CAT34" s="2"/>
      <c r="CAU34" s="2"/>
      <c r="CAV34" s="2"/>
      <c r="CAW34" s="2"/>
      <c r="CAX34" s="2"/>
      <c r="CAY34" s="2"/>
      <c r="CAZ34" s="2"/>
      <c r="CBA34" s="2"/>
      <c r="CBB34" s="2"/>
      <c r="CBC34" s="2"/>
      <c r="CBD34" s="2"/>
      <c r="CBE34" s="2"/>
      <c r="CBF34" s="2"/>
      <c r="CBG34" s="2"/>
      <c r="CBH34" s="2"/>
      <c r="CBI34" s="2"/>
      <c r="CBJ34" s="2"/>
      <c r="CBK34" s="2"/>
      <c r="CBL34" s="2"/>
      <c r="CBM34" s="2"/>
      <c r="CBN34" s="2"/>
      <c r="CBO34" s="2"/>
      <c r="CBP34" s="2"/>
      <c r="CBQ34" s="2"/>
      <c r="CBR34" s="2"/>
      <c r="CBS34" s="2"/>
      <c r="CBT34" s="2"/>
      <c r="CBU34" s="2"/>
      <c r="CBV34" s="2"/>
      <c r="CBW34" s="2"/>
      <c r="CBX34" s="2"/>
      <c r="CBY34" s="2"/>
      <c r="CBZ34" s="2"/>
      <c r="CCA34" s="2"/>
      <c r="CCB34" s="2"/>
      <c r="CCC34" s="2"/>
      <c r="CCD34" s="2"/>
      <c r="CCE34" s="2"/>
      <c r="CCF34" s="2"/>
      <c r="CCG34" s="2"/>
      <c r="CCH34" s="2"/>
      <c r="CCI34" s="2"/>
      <c r="CCJ34" s="2"/>
      <c r="CCK34" s="2"/>
      <c r="CCL34" s="2"/>
      <c r="CCM34" s="2"/>
      <c r="CCN34" s="2"/>
      <c r="CCO34" s="2"/>
      <c r="CCP34" s="2"/>
      <c r="CCQ34" s="2"/>
      <c r="CCR34" s="2"/>
      <c r="CCS34" s="2"/>
      <c r="CCT34" s="2"/>
      <c r="CCU34" s="2"/>
      <c r="CCV34" s="2"/>
      <c r="CCW34" s="2"/>
      <c r="CCX34" s="2"/>
      <c r="CCY34" s="2"/>
      <c r="CCZ34" s="2"/>
      <c r="CDA34" s="2"/>
      <c r="CDB34" s="2"/>
      <c r="CDC34" s="2"/>
      <c r="CDD34" s="2"/>
      <c r="CDE34" s="2"/>
      <c r="CDF34" s="2"/>
      <c r="CDG34" s="2"/>
      <c r="CDH34" s="2"/>
      <c r="CDI34" s="2"/>
      <c r="CDJ34" s="2"/>
      <c r="CDK34" s="2"/>
      <c r="CDL34" s="2"/>
      <c r="CDM34" s="2"/>
      <c r="CDN34" s="2"/>
      <c r="CDO34" s="2"/>
      <c r="CDP34" s="2"/>
      <c r="CDQ34" s="2"/>
      <c r="CDR34" s="2"/>
      <c r="CDS34" s="2"/>
      <c r="CDT34" s="2"/>
      <c r="CDU34" s="2"/>
      <c r="CDV34" s="2"/>
      <c r="CDW34" s="2"/>
      <c r="CDX34" s="2"/>
      <c r="CDY34" s="2"/>
      <c r="CDZ34" s="2"/>
      <c r="CEA34" s="2"/>
      <c r="CEB34" s="2"/>
      <c r="CEC34" s="2"/>
      <c r="CED34" s="2"/>
      <c r="CEE34" s="2"/>
      <c r="CEF34" s="2"/>
      <c r="CEG34" s="2"/>
      <c r="CEH34" s="2"/>
      <c r="CEI34" s="2"/>
      <c r="CEJ34" s="2"/>
      <c r="CEK34" s="2"/>
      <c r="CEL34" s="2"/>
      <c r="CEM34" s="2"/>
      <c r="CEN34" s="2"/>
      <c r="CEO34" s="2"/>
      <c r="CEP34" s="2"/>
      <c r="CEQ34" s="2"/>
      <c r="CER34" s="2"/>
      <c r="CES34" s="2"/>
      <c r="CET34" s="2"/>
      <c r="CEU34" s="2"/>
      <c r="CEV34" s="2"/>
      <c r="CEW34" s="2"/>
      <c r="CEX34" s="2"/>
      <c r="CEY34" s="2"/>
      <c r="CEZ34" s="2"/>
      <c r="CFA34" s="2"/>
      <c r="CFB34" s="2"/>
      <c r="CFC34" s="2"/>
      <c r="CFD34" s="2"/>
      <c r="CFE34" s="2"/>
      <c r="CFF34" s="2"/>
      <c r="CFG34" s="2"/>
      <c r="CFH34" s="2"/>
      <c r="CFI34" s="2"/>
      <c r="CFJ34" s="2"/>
      <c r="CFK34" s="2"/>
      <c r="CFL34" s="2"/>
      <c r="CFM34" s="2"/>
      <c r="CFN34" s="2"/>
      <c r="CFO34" s="2"/>
      <c r="CFP34" s="2"/>
      <c r="CFQ34" s="2"/>
      <c r="CFR34" s="2"/>
      <c r="CFS34" s="2"/>
      <c r="CFT34" s="2"/>
      <c r="CFU34" s="2"/>
      <c r="CFV34" s="2"/>
      <c r="CFW34" s="2"/>
      <c r="CFX34" s="2"/>
      <c r="CFY34" s="2"/>
      <c r="CFZ34" s="2"/>
      <c r="CGA34" s="2"/>
      <c r="CGB34" s="2"/>
      <c r="CGC34" s="2"/>
      <c r="CGD34" s="2"/>
      <c r="CGE34" s="2"/>
      <c r="CGF34" s="2"/>
      <c r="CGG34" s="2"/>
      <c r="CGH34" s="2"/>
      <c r="CGI34" s="2"/>
      <c r="CGJ34" s="2"/>
      <c r="CGK34" s="2"/>
      <c r="CGL34" s="2"/>
      <c r="CGM34" s="2"/>
      <c r="CGN34" s="2"/>
      <c r="CGO34" s="2"/>
      <c r="CGP34" s="2"/>
      <c r="CGQ34" s="2"/>
      <c r="CGR34" s="2"/>
      <c r="CGS34" s="2"/>
      <c r="CGT34" s="2"/>
      <c r="CGU34" s="2"/>
      <c r="CGV34" s="2"/>
      <c r="CGW34" s="2"/>
      <c r="CGX34" s="2"/>
      <c r="CGY34" s="2"/>
      <c r="CGZ34" s="2"/>
      <c r="CHA34" s="2"/>
      <c r="CHB34" s="2"/>
      <c r="CHC34" s="2"/>
      <c r="CHD34" s="2"/>
      <c r="CHE34" s="2"/>
      <c r="CHF34" s="2"/>
      <c r="CHG34" s="2"/>
      <c r="CHH34" s="2"/>
      <c r="CHI34" s="2"/>
      <c r="CHJ34" s="2"/>
      <c r="CHK34" s="2"/>
      <c r="CHL34" s="2"/>
      <c r="CHM34" s="2"/>
      <c r="CHN34" s="2"/>
      <c r="CHO34" s="2"/>
      <c r="CHP34" s="2"/>
      <c r="CHQ34" s="2"/>
      <c r="CHR34" s="2"/>
      <c r="CHS34" s="2"/>
      <c r="CHT34" s="2"/>
      <c r="CHU34" s="2"/>
      <c r="CHV34" s="2"/>
      <c r="CHW34" s="2"/>
      <c r="CHX34" s="2"/>
      <c r="CHY34" s="2"/>
      <c r="CHZ34" s="2"/>
      <c r="CIA34" s="2"/>
      <c r="CIB34" s="2"/>
      <c r="CIC34" s="2"/>
      <c r="CID34" s="2"/>
      <c r="CIE34" s="2"/>
      <c r="CIF34" s="2"/>
      <c r="CIG34" s="2"/>
      <c r="CIH34" s="2"/>
      <c r="CII34" s="2"/>
      <c r="CIJ34" s="2"/>
      <c r="CIK34" s="2"/>
      <c r="CIL34" s="2"/>
      <c r="CIM34" s="2"/>
      <c r="CIN34" s="2"/>
      <c r="CIO34" s="2"/>
      <c r="CIP34" s="2"/>
      <c r="CIQ34" s="2"/>
      <c r="CIR34" s="2"/>
      <c r="CIS34" s="2"/>
      <c r="CIT34" s="2"/>
      <c r="CIU34" s="2"/>
      <c r="CIV34" s="2"/>
      <c r="CIW34" s="2"/>
      <c r="CIX34" s="2"/>
      <c r="CIY34" s="2"/>
      <c r="CIZ34" s="2"/>
      <c r="CJA34" s="2"/>
      <c r="CJB34" s="2"/>
      <c r="CJC34" s="2"/>
      <c r="CJD34" s="2"/>
      <c r="CJE34" s="2"/>
      <c r="CJF34" s="2"/>
      <c r="CJG34" s="2"/>
      <c r="CJH34" s="2"/>
      <c r="CJI34" s="2"/>
      <c r="CJJ34" s="2"/>
      <c r="CJK34" s="2"/>
      <c r="CJL34" s="2"/>
      <c r="CJM34" s="2"/>
      <c r="CJN34" s="2"/>
      <c r="CJO34" s="2"/>
      <c r="CJP34" s="2"/>
      <c r="CJQ34" s="2"/>
      <c r="CJR34" s="2"/>
      <c r="CJS34" s="2"/>
      <c r="CJT34" s="2"/>
      <c r="CJU34" s="2"/>
      <c r="CJV34" s="2"/>
      <c r="CJW34" s="2"/>
      <c r="CJX34" s="2"/>
      <c r="CJY34" s="2"/>
      <c r="CJZ34" s="2"/>
      <c r="CKA34" s="2"/>
      <c r="CKB34" s="2"/>
      <c r="CKC34" s="2"/>
      <c r="CKD34" s="2"/>
      <c r="CKE34" s="2"/>
      <c r="CKF34" s="2"/>
      <c r="CKG34" s="2"/>
      <c r="CKH34" s="2"/>
      <c r="CKI34" s="2"/>
      <c r="CKJ34" s="2"/>
      <c r="CKK34" s="2"/>
      <c r="CKL34" s="2"/>
      <c r="CKM34" s="2"/>
      <c r="CKN34" s="2"/>
      <c r="CKO34" s="2"/>
      <c r="CKP34" s="2"/>
      <c r="CKQ34" s="2"/>
      <c r="CKR34" s="2"/>
      <c r="CKS34" s="2"/>
      <c r="CKT34" s="2"/>
      <c r="CKU34" s="2"/>
      <c r="CKV34" s="2"/>
      <c r="CKW34" s="2"/>
      <c r="CKX34" s="2"/>
      <c r="CKY34" s="2"/>
      <c r="CKZ34" s="2"/>
      <c r="CLA34" s="2"/>
      <c r="CLB34" s="2"/>
      <c r="CLC34" s="2"/>
      <c r="CLD34" s="2"/>
      <c r="CLE34" s="2"/>
      <c r="CLF34" s="2"/>
      <c r="CLG34" s="2"/>
      <c r="CLH34" s="2"/>
      <c r="CLI34" s="2"/>
      <c r="CLJ34" s="2"/>
      <c r="CLK34" s="2"/>
      <c r="CLL34" s="2"/>
      <c r="CLM34" s="2"/>
      <c r="CLN34" s="2"/>
      <c r="CLO34" s="2"/>
      <c r="CLP34" s="2"/>
      <c r="CLQ34" s="2"/>
      <c r="CLR34" s="2"/>
      <c r="CLS34" s="2"/>
      <c r="CLT34" s="2"/>
      <c r="CLU34" s="2"/>
      <c r="CLV34" s="2"/>
      <c r="CLW34" s="2"/>
      <c r="CLX34" s="2"/>
      <c r="CLY34" s="2"/>
      <c r="CLZ34" s="2"/>
      <c r="CMA34" s="2"/>
      <c r="CMB34" s="2"/>
      <c r="CMC34" s="2"/>
      <c r="CMD34" s="2"/>
      <c r="CME34" s="2"/>
      <c r="CMF34" s="2"/>
      <c r="CMG34" s="2"/>
      <c r="CMH34" s="2"/>
      <c r="CMI34" s="2"/>
      <c r="CMJ34" s="2"/>
      <c r="CMK34" s="2"/>
      <c r="CML34" s="2"/>
      <c r="CMM34" s="2"/>
      <c r="CMN34" s="2"/>
      <c r="CMO34" s="2"/>
      <c r="CMP34" s="2"/>
      <c r="CMQ34" s="2"/>
      <c r="CMR34" s="2"/>
      <c r="CMS34" s="2"/>
      <c r="CMT34" s="2"/>
      <c r="CMU34" s="2"/>
      <c r="CMV34" s="2"/>
      <c r="CMW34" s="2"/>
      <c r="CMX34" s="2"/>
      <c r="CMY34" s="2"/>
      <c r="CMZ34" s="2"/>
      <c r="CNA34" s="2"/>
      <c r="CNB34" s="2"/>
      <c r="CNC34" s="2"/>
      <c r="CND34" s="2"/>
      <c r="CNE34" s="2"/>
      <c r="CNF34" s="2"/>
      <c r="CNG34" s="2"/>
      <c r="CNH34" s="2"/>
      <c r="CNI34" s="2"/>
      <c r="CNJ34" s="2"/>
      <c r="CNK34" s="2"/>
      <c r="CNL34" s="2"/>
      <c r="CNM34" s="2"/>
      <c r="CNN34" s="2"/>
      <c r="CNO34" s="2"/>
      <c r="CNP34" s="2"/>
      <c r="CNQ34" s="2"/>
      <c r="CNR34" s="2"/>
      <c r="CNS34" s="2"/>
      <c r="CNT34" s="2"/>
      <c r="CNU34" s="2"/>
      <c r="CNV34" s="2"/>
      <c r="CNW34" s="2"/>
      <c r="CNX34" s="2"/>
      <c r="CNY34" s="2"/>
      <c r="CNZ34" s="2"/>
      <c r="COA34" s="2"/>
      <c r="COB34" s="2"/>
      <c r="COC34" s="2"/>
      <c r="COD34" s="2"/>
      <c r="COE34" s="2"/>
      <c r="COF34" s="2"/>
      <c r="COG34" s="2"/>
      <c r="COH34" s="2"/>
      <c r="COI34" s="2"/>
      <c r="COJ34" s="2"/>
      <c r="COK34" s="2"/>
      <c r="COL34" s="2"/>
      <c r="COM34" s="2"/>
      <c r="CON34" s="2"/>
      <c r="COO34" s="2"/>
      <c r="COP34" s="2"/>
      <c r="COQ34" s="2"/>
      <c r="COR34" s="2"/>
      <c r="COS34" s="2"/>
      <c r="COT34" s="2"/>
      <c r="COU34" s="2"/>
      <c r="COV34" s="2"/>
      <c r="COW34" s="2"/>
      <c r="COX34" s="2"/>
      <c r="COY34" s="2"/>
      <c r="COZ34" s="2"/>
      <c r="CPA34" s="2"/>
      <c r="CPB34" s="2"/>
      <c r="CPC34" s="2"/>
      <c r="CPD34" s="2"/>
      <c r="CPE34" s="2"/>
      <c r="CPF34" s="2"/>
      <c r="CPG34" s="2"/>
      <c r="CPH34" s="2"/>
      <c r="CPI34" s="2"/>
      <c r="CPJ34" s="2"/>
      <c r="CPK34" s="2"/>
      <c r="CPL34" s="2"/>
      <c r="CPM34" s="2"/>
      <c r="CPN34" s="2"/>
      <c r="CPO34" s="2"/>
      <c r="CPP34" s="2"/>
      <c r="CPQ34" s="2"/>
      <c r="CPR34" s="2"/>
      <c r="CPS34" s="2"/>
      <c r="CPT34" s="2"/>
      <c r="CPU34" s="2"/>
      <c r="CPV34" s="2"/>
      <c r="CPW34" s="2"/>
      <c r="CPX34" s="2"/>
      <c r="CPY34" s="2"/>
      <c r="CPZ34" s="2"/>
      <c r="CQA34" s="2"/>
      <c r="CQB34" s="2"/>
      <c r="CQC34" s="2"/>
      <c r="CQD34" s="2"/>
      <c r="CQE34" s="2"/>
      <c r="CQF34" s="2"/>
      <c r="CQG34" s="2"/>
      <c r="CQH34" s="2"/>
      <c r="CQI34" s="2"/>
      <c r="CQJ34" s="2"/>
      <c r="CQK34" s="2"/>
      <c r="CQL34" s="2"/>
      <c r="CQM34" s="2"/>
      <c r="CQN34" s="2"/>
      <c r="CQO34" s="2"/>
      <c r="CQP34" s="2"/>
      <c r="CQQ34" s="2"/>
      <c r="CQR34" s="2"/>
      <c r="CQS34" s="2"/>
      <c r="CQT34" s="2"/>
      <c r="CQU34" s="2"/>
      <c r="CQV34" s="2"/>
      <c r="CQW34" s="2"/>
      <c r="CQX34" s="2"/>
      <c r="CQY34" s="2"/>
      <c r="CQZ34" s="2"/>
      <c r="CRA34" s="2"/>
      <c r="CRB34" s="2"/>
      <c r="CRC34" s="2"/>
      <c r="CRD34" s="2"/>
      <c r="CRE34" s="2"/>
      <c r="CRF34" s="2"/>
      <c r="CRG34" s="2"/>
      <c r="CRH34" s="2"/>
      <c r="CRI34" s="2"/>
      <c r="CRJ34" s="2"/>
      <c r="CRK34" s="2"/>
      <c r="CRL34" s="2"/>
      <c r="CRM34" s="2"/>
      <c r="CRN34" s="2"/>
      <c r="CRO34" s="2"/>
      <c r="CRP34" s="2"/>
      <c r="CRQ34" s="2"/>
      <c r="CRR34" s="2"/>
      <c r="CRS34" s="2"/>
      <c r="CRT34" s="2"/>
      <c r="CRU34" s="2"/>
      <c r="CRV34" s="2"/>
      <c r="CRW34" s="2"/>
      <c r="CRX34" s="2"/>
      <c r="CRY34" s="2"/>
      <c r="CRZ34" s="2"/>
      <c r="CSA34" s="2"/>
      <c r="CSB34" s="2"/>
      <c r="CSC34" s="2"/>
      <c r="CSD34" s="2"/>
      <c r="CSE34" s="2"/>
      <c r="CSF34" s="2"/>
      <c r="CSG34" s="2"/>
      <c r="CSH34" s="2"/>
      <c r="CSI34" s="2"/>
      <c r="CSJ34" s="2"/>
      <c r="CSK34" s="2"/>
      <c r="CSL34" s="2"/>
      <c r="CSM34" s="2"/>
      <c r="CSN34" s="2"/>
      <c r="CSO34" s="2"/>
      <c r="CSP34" s="2"/>
      <c r="CSQ34" s="2"/>
      <c r="CSR34" s="2"/>
      <c r="CSS34" s="2"/>
      <c r="CST34" s="2"/>
      <c r="CSU34" s="2"/>
      <c r="CSV34" s="2"/>
      <c r="CSW34" s="2"/>
      <c r="CSX34" s="2"/>
      <c r="CSY34" s="2"/>
      <c r="CSZ34" s="2"/>
      <c r="CTA34" s="2"/>
      <c r="CTB34" s="2"/>
      <c r="CTC34" s="2"/>
      <c r="CTD34" s="2"/>
      <c r="CTE34" s="2"/>
      <c r="CTF34" s="2"/>
      <c r="CTG34" s="2"/>
      <c r="CTH34" s="2"/>
      <c r="CTI34" s="2"/>
      <c r="CTJ34" s="2"/>
      <c r="CTK34" s="2"/>
      <c r="CTL34" s="2"/>
      <c r="CTM34" s="2"/>
      <c r="CTN34" s="2"/>
      <c r="CTO34" s="2"/>
      <c r="CTP34" s="2"/>
      <c r="CTQ34" s="2"/>
      <c r="CTR34" s="2"/>
      <c r="CTS34" s="2"/>
      <c r="CTT34" s="2"/>
      <c r="CTU34" s="2"/>
      <c r="CTV34" s="2"/>
      <c r="CTW34" s="2"/>
      <c r="CTX34" s="2"/>
      <c r="CTY34" s="2"/>
      <c r="CTZ34" s="2"/>
      <c r="CUA34" s="2"/>
      <c r="CUB34" s="2"/>
      <c r="CUC34" s="2"/>
      <c r="CUD34" s="2"/>
      <c r="CUE34" s="2"/>
      <c r="CUF34" s="2"/>
      <c r="CUG34" s="2"/>
      <c r="CUH34" s="2"/>
      <c r="CUI34" s="2"/>
      <c r="CUJ34" s="2"/>
      <c r="CUK34" s="2"/>
      <c r="CUL34" s="2"/>
      <c r="CUM34" s="2"/>
      <c r="CUN34" s="2"/>
      <c r="CUO34" s="2"/>
      <c r="CUP34" s="2"/>
      <c r="CUQ34" s="2"/>
      <c r="CUR34" s="2"/>
      <c r="CUS34" s="2"/>
      <c r="CUT34" s="2"/>
      <c r="CUU34" s="2"/>
      <c r="CUV34" s="2"/>
      <c r="CUW34" s="2"/>
      <c r="CUX34" s="2"/>
      <c r="CUY34" s="2"/>
      <c r="CUZ34" s="2"/>
      <c r="CVA34" s="2"/>
      <c r="CVB34" s="2"/>
      <c r="CVC34" s="2"/>
      <c r="CVD34" s="2"/>
      <c r="CVE34" s="2"/>
      <c r="CVF34" s="2"/>
      <c r="CVG34" s="2"/>
      <c r="CVH34" s="2"/>
      <c r="CVI34" s="2"/>
      <c r="CVJ34" s="2"/>
      <c r="CVK34" s="2"/>
      <c r="CVL34" s="2"/>
      <c r="CVM34" s="2"/>
      <c r="CVN34" s="2"/>
      <c r="CVO34" s="2"/>
      <c r="CVP34" s="2"/>
      <c r="CVQ34" s="2"/>
      <c r="CVR34" s="2"/>
      <c r="CVS34" s="2"/>
      <c r="CVT34" s="2"/>
      <c r="CVU34" s="2"/>
      <c r="CVV34" s="2"/>
      <c r="CVW34" s="2"/>
      <c r="CVX34" s="2"/>
      <c r="CVY34" s="2"/>
      <c r="CVZ34" s="2"/>
      <c r="CWA34" s="2"/>
      <c r="CWB34" s="2"/>
      <c r="CWC34" s="2"/>
      <c r="CWD34" s="2"/>
      <c r="CWE34" s="2"/>
      <c r="CWF34" s="2"/>
      <c r="CWG34" s="2"/>
      <c r="CWH34" s="2"/>
      <c r="CWI34" s="2"/>
      <c r="CWJ34" s="2"/>
      <c r="CWK34" s="2"/>
      <c r="CWL34" s="2"/>
      <c r="CWM34" s="2"/>
      <c r="CWN34" s="2"/>
      <c r="CWO34" s="2"/>
      <c r="CWP34" s="2"/>
      <c r="CWQ34" s="2"/>
      <c r="CWR34" s="2"/>
      <c r="CWS34" s="2"/>
      <c r="CWT34" s="2"/>
      <c r="CWU34" s="2"/>
      <c r="CWV34" s="2"/>
      <c r="CWW34" s="2"/>
      <c r="CWX34" s="2"/>
      <c r="CWY34" s="2"/>
      <c r="CWZ34" s="2"/>
      <c r="CXA34" s="2"/>
      <c r="CXB34" s="2"/>
      <c r="CXC34" s="2"/>
      <c r="CXD34" s="2"/>
      <c r="CXE34" s="2"/>
      <c r="CXF34" s="2"/>
      <c r="CXG34" s="2"/>
      <c r="CXH34" s="2"/>
      <c r="CXI34" s="2"/>
      <c r="CXJ34" s="2"/>
      <c r="CXK34" s="2"/>
      <c r="CXL34" s="2"/>
      <c r="CXM34" s="2"/>
      <c r="CXN34" s="2"/>
      <c r="CXO34" s="2"/>
      <c r="CXP34" s="2"/>
      <c r="CXQ34" s="2"/>
      <c r="CXR34" s="2"/>
      <c r="CXS34" s="2"/>
      <c r="CXT34" s="2"/>
      <c r="CXU34" s="2"/>
      <c r="CXV34" s="2"/>
      <c r="CXW34" s="2"/>
      <c r="CXX34" s="2"/>
      <c r="CXY34" s="2"/>
      <c r="CXZ34" s="2"/>
      <c r="CYA34" s="2"/>
      <c r="CYB34" s="2"/>
      <c r="CYC34" s="2"/>
      <c r="CYD34" s="2"/>
      <c r="CYE34" s="2"/>
      <c r="CYF34" s="2"/>
      <c r="CYG34" s="2"/>
      <c r="CYH34" s="2"/>
      <c r="CYI34" s="2"/>
      <c r="CYJ34" s="2"/>
      <c r="CYK34" s="2"/>
      <c r="CYL34" s="2"/>
      <c r="CYM34" s="2"/>
      <c r="CYN34" s="2"/>
      <c r="CYO34" s="2"/>
      <c r="CYP34" s="2"/>
      <c r="CYQ34" s="2"/>
      <c r="CYR34" s="2"/>
      <c r="CYS34" s="2"/>
      <c r="CYT34" s="2"/>
      <c r="CYU34" s="2"/>
      <c r="CYV34" s="2"/>
      <c r="CYW34" s="2"/>
      <c r="CYX34" s="2"/>
      <c r="CYY34" s="2"/>
      <c r="CYZ34" s="2"/>
      <c r="CZA34" s="2"/>
      <c r="CZB34" s="2"/>
      <c r="CZC34" s="2"/>
      <c r="CZD34" s="2"/>
      <c r="CZE34" s="2"/>
      <c r="CZF34" s="2"/>
      <c r="CZG34" s="2"/>
      <c r="CZH34" s="2"/>
      <c r="CZI34" s="2"/>
      <c r="CZJ34" s="2"/>
      <c r="CZK34" s="2"/>
      <c r="CZL34" s="2"/>
      <c r="CZM34" s="2"/>
      <c r="CZN34" s="2"/>
      <c r="CZO34" s="2"/>
      <c r="CZP34" s="2"/>
      <c r="CZQ34" s="2"/>
      <c r="CZR34" s="2"/>
      <c r="CZS34" s="2"/>
      <c r="CZT34" s="2"/>
      <c r="CZU34" s="2"/>
      <c r="CZV34" s="2"/>
      <c r="CZW34" s="2"/>
      <c r="CZX34" s="2"/>
      <c r="CZY34" s="2"/>
      <c r="CZZ34" s="2"/>
      <c r="DAA34" s="2"/>
      <c r="DAB34" s="2"/>
      <c r="DAC34" s="2"/>
      <c r="DAD34" s="2"/>
      <c r="DAE34" s="2"/>
      <c r="DAF34" s="2"/>
      <c r="DAG34" s="2"/>
      <c r="DAH34" s="2"/>
      <c r="DAI34" s="2"/>
      <c r="DAJ34" s="2"/>
      <c r="DAK34" s="2"/>
      <c r="DAL34" s="2"/>
      <c r="DAM34" s="2"/>
      <c r="DAN34" s="2"/>
      <c r="DAO34" s="2"/>
      <c r="DAP34" s="2"/>
      <c r="DAQ34" s="2"/>
      <c r="DAR34" s="2"/>
      <c r="DAS34" s="2"/>
      <c r="DAT34" s="2"/>
      <c r="DAU34" s="2"/>
      <c r="DAV34" s="2"/>
      <c r="DAW34" s="2"/>
      <c r="DAX34" s="2"/>
      <c r="DAY34" s="2"/>
      <c r="DAZ34" s="2"/>
      <c r="DBA34" s="2"/>
      <c r="DBB34" s="2"/>
      <c r="DBC34" s="2"/>
      <c r="DBD34" s="2"/>
      <c r="DBE34" s="2"/>
      <c r="DBF34" s="2"/>
      <c r="DBG34" s="2"/>
      <c r="DBH34" s="2"/>
      <c r="DBI34" s="2"/>
      <c r="DBJ34" s="2"/>
      <c r="DBK34" s="2"/>
      <c r="DBL34" s="2"/>
      <c r="DBM34" s="2"/>
      <c r="DBN34" s="2"/>
      <c r="DBO34" s="2"/>
      <c r="DBP34" s="2"/>
      <c r="DBQ34" s="2"/>
      <c r="DBR34" s="2"/>
      <c r="DBS34" s="2"/>
      <c r="DBT34" s="2"/>
      <c r="DBU34" s="2"/>
      <c r="DBV34" s="2"/>
      <c r="DBW34" s="2"/>
      <c r="DBX34" s="2"/>
      <c r="DBY34" s="2"/>
      <c r="DBZ34" s="2"/>
      <c r="DCA34" s="2"/>
      <c r="DCB34" s="2"/>
      <c r="DCC34" s="2"/>
      <c r="DCD34" s="2"/>
      <c r="DCE34" s="2"/>
      <c r="DCF34" s="2"/>
      <c r="DCG34" s="2"/>
      <c r="DCH34" s="2"/>
      <c r="DCI34" s="2"/>
      <c r="DCJ34" s="2"/>
      <c r="DCK34" s="2"/>
      <c r="DCL34" s="2"/>
      <c r="DCM34" s="2"/>
      <c r="DCN34" s="2"/>
      <c r="DCO34" s="2"/>
      <c r="DCP34" s="2"/>
      <c r="DCQ34" s="2"/>
      <c r="DCR34" s="2"/>
      <c r="DCS34" s="2"/>
      <c r="DCT34" s="2"/>
      <c r="DCU34" s="2"/>
      <c r="DCV34" s="2"/>
      <c r="DCW34" s="2"/>
      <c r="DCX34" s="2"/>
      <c r="DCY34" s="2"/>
      <c r="DCZ34" s="2"/>
      <c r="DDA34" s="2"/>
      <c r="DDB34" s="2"/>
      <c r="DDC34" s="2"/>
      <c r="DDD34" s="2"/>
      <c r="DDE34" s="2"/>
      <c r="DDF34" s="2"/>
      <c r="DDG34" s="2"/>
      <c r="DDH34" s="2"/>
      <c r="DDI34" s="2"/>
      <c r="DDJ34" s="2"/>
      <c r="DDK34" s="2"/>
      <c r="DDL34" s="2"/>
      <c r="DDM34" s="2"/>
      <c r="DDN34" s="2"/>
      <c r="DDO34" s="2"/>
      <c r="DDP34" s="2"/>
      <c r="DDQ34" s="2"/>
      <c r="DDR34" s="2"/>
      <c r="DDS34" s="2"/>
      <c r="DDT34" s="2"/>
      <c r="DDU34" s="2"/>
      <c r="DDV34" s="2"/>
      <c r="DDW34" s="2"/>
      <c r="DDX34" s="2"/>
      <c r="DDY34" s="2"/>
      <c r="DDZ34" s="2"/>
      <c r="DEA34" s="2"/>
      <c r="DEB34" s="2"/>
      <c r="DEC34" s="2"/>
      <c r="DED34" s="2"/>
      <c r="DEE34" s="2"/>
      <c r="DEF34" s="2"/>
      <c r="DEG34" s="2"/>
      <c r="DEH34" s="2"/>
      <c r="DEI34" s="2"/>
      <c r="DEJ34" s="2"/>
      <c r="DEK34" s="2"/>
      <c r="DEL34" s="2"/>
      <c r="DEM34" s="2"/>
      <c r="DEN34" s="2"/>
      <c r="DEO34" s="2"/>
      <c r="DEP34" s="2"/>
      <c r="DEQ34" s="2"/>
      <c r="DER34" s="2"/>
      <c r="DES34" s="2"/>
      <c r="DET34" s="2"/>
      <c r="DEU34" s="2"/>
      <c r="DEV34" s="2"/>
      <c r="DEW34" s="2"/>
      <c r="DEX34" s="2"/>
      <c r="DEY34" s="2"/>
      <c r="DEZ34" s="2"/>
      <c r="DFA34" s="2"/>
      <c r="DFB34" s="2"/>
      <c r="DFC34" s="2"/>
      <c r="DFD34" s="2"/>
      <c r="DFE34" s="2"/>
      <c r="DFF34" s="2"/>
      <c r="DFG34" s="2"/>
      <c r="DFH34" s="2"/>
      <c r="DFI34" s="2"/>
      <c r="DFJ34" s="2"/>
      <c r="DFK34" s="2"/>
      <c r="DFL34" s="2"/>
      <c r="DFM34" s="2"/>
      <c r="DFN34" s="2"/>
      <c r="DFO34" s="2"/>
      <c r="DFP34" s="2"/>
      <c r="DFQ34" s="2"/>
      <c r="DFR34" s="2"/>
      <c r="DFS34" s="2"/>
      <c r="DFT34" s="2"/>
      <c r="DFU34" s="2"/>
      <c r="DFV34" s="2"/>
      <c r="DFW34" s="2"/>
      <c r="DFX34" s="2"/>
      <c r="DFY34" s="2"/>
      <c r="DFZ34" s="2"/>
      <c r="DGA34" s="2"/>
      <c r="DGB34" s="2"/>
      <c r="DGC34" s="2"/>
      <c r="DGD34" s="2"/>
      <c r="DGE34" s="2"/>
      <c r="DGF34" s="2"/>
      <c r="DGG34" s="2"/>
      <c r="DGH34" s="2"/>
      <c r="DGI34" s="2"/>
      <c r="DGJ34" s="2"/>
      <c r="DGK34" s="2"/>
      <c r="DGL34" s="2"/>
      <c r="DGM34" s="2"/>
      <c r="DGN34" s="2"/>
      <c r="DGO34" s="2"/>
      <c r="DGP34" s="2"/>
      <c r="DGQ34" s="2"/>
      <c r="DGR34" s="2"/>
      <c r="DGS34" s="2"/>
      <c r="DGT34" s="2"/>
      <c r="DGU34" s="2"/>
      <c r="DGV34" s="2"/>
      <c r="DGW34" s="2"/>
      <c r="DGX34" s="2"/>
      <c r="DGY34" s="2"/>
      <c r="DGZ34" s="2"/>
      <c r="DHA34" s="2"/>
      <c r="DHB34" s="2"/>
      <c r="DHC34" s="2"/>
      <c r="DHD34" s="2"/>
      <c r="DHE34" s="2"/>
      <c r="DHF34" s="2"/>
      <c r="DHG34" s="2"/>
      <c r="DHH34" s="2"/>
      <c r="DHI34" s="2"/>
      <c r="DHJ34" s="2"/>
      <c r="DHK34" s="2"/>
      <c r="DHL34" s="2"/>
      <c r="DHM34" s="2"/>
      <c r="DHN34" s="2"/>
      <c r="DHO34" s="2"/>
      <c r="DHP34" s="2"/>
      <c r="DHQ34" s="2"/>
      <c r="DHR34" s="2"/>
      <c r="DHS34" s="2"/>
      <c r="DHT34" s="2"/>
      <c r="DHU34" s="2"/>
      <c r="DHV34" s="2"/>
      <c r="DHW34" s="2"/>
      <c r="DHX34" s="2"/>
      <c r="DHY34" s="2"/>
      <c r="DHZ34" s="2"/>
      <c r="DIA34" s="2"/>
      <c r="DIB34" s="2"/>
      <c r="DIC34" s="2"/>
      <c r="DID34" s="2"/>
      <c r="DIE34" s="2"/>
      <c r="DIF34" s="2"/>
      <c r="DIG34" s="2"/>
      <c r="DIH34" s="2"/>
      <c r="DII34" s="2"/>
      <c r="DIJ34" s="2"/>
      <c r="DIK34" s="2"/>
      <c r="DIL34" s="2"/>
      <c r="DIM34" s="2"/>
      <c r="DIN34" s="2"/>
      <c r="DIO34" s="2"/>
      <c r="DIP34" s="2"/>
      <c r="DIQ34" s="2"/>
      <c r="DIR34" s="2"/>
      <c r="DIS34" s="2"/>
      <c r="DIT34" s="2"/>
      <c r="DIU34" s="2"/>
      <c r="DIV34" s="2"/>
      <c r="DIW34" s="2"/>
      <c r="DIX34" s="2"/>
      <c r="DIY34" s="2"/>
      <c r="DIZ34" s="2"/>
      <c r="DJA34" s="2"/>
      <c r="DJB34" s="2"/>
      <c r="DJC34" s="2"/>
      <c r="DJD34" s="2"/>
      <c r="DJE34" s="2"/>
      <c r="DJF34" s="2"/>
      <c r="DJG34" s="2"/>
      <c r="DJH34" s="2"/>
      <c r="DJI34" s="2"/>
      <c r="DJJ34" s="2"/>
      <c r="DJK34" s="2"/>
      <c r="DJL34" s="2"/>
      <c r="DJM34" s="2"/>
      <c r="DJN34" s="2"/>
      <c r="DJO34" s="2"/>
      <c r="DJP34" s="2"/>
      <c r="DJQ34" s="2"/>
      <c r="DJR34" s="2"/>
      <c r="DJS34" s="2"/>
      <c r="DJT34" s="2"/>
      <c r="DJU34" s="2"/>
      <c r="DJV34" s="2"/>
      <c r="DJW34" s="2"/>
      <c r="DJX34" s="2"/>
      <c r="DJY34" s="2"/>
      <c r="DJZ34" s="2"/>
      <c r="DKA34" s="2"/>
      <c r="DKB34" s="2"/>
      <c r="DKC34" s="2"/>
      <c r="DKD34" s="2"/>
      <c r="DKE34" s="2"/>
      <c r="DKF34" s="2"/>
      <c r="DKG34" s="2"/>
      <c r="DKH34" s="2"/>
      <c r="DKI34" s="2"/>
      <c r="DKJ34" s="2"/>
      <c r="DKK34" s="2"/>
      <c r="DKL34" s="2"/>
      <c r="DKM34" s="2"/>
      <c r="DKN34" s="2"/>
      <c r="DKO34" s="2"/>
      <c r="DKP34" s="2"/>
      <c r="DKQ34" s="2"/>
      <c r="DKR34" s="2"/>
      <c r="DKS34" s="2"/>
      <c r="DKT34" s="2"/>
      <c r="DKU34" s="2"/>
      <c r="DKV34" s="2"/>
      <c r="DKW34" s="2"/>
      <c r="DKX34" s="2"/>
      <c r="DKY34" s="2"/>
      <c r="DKZ34" s="2"/>
      <c r="DLA34" s="2"/>
      <c r="DLB34" s="2"/>
      <c r="DLC34" s="2"/>
      <c r="DLD34" s="2"/>
      <c r="DLE34" s="2"/>
      <c r="DLF34" s="2"/>
      <c r="DLG34" s="2"/>
      <c r="DLH34" s="2"/>
      <c r="DLI34" s="2"/>
      <c r="DLJ34" s="2"/>
      <c r="DLK34" s="2"/>
      <c r="DLL34" s="2"/>
      <c r="DLM34" s="2"/>
      <c r="DLN34" s="2"/>
      <c r="DLO34" s="2"/>
      <c r="DLP34" s="2"/>
      <c r="DLQ34" s="2"/>
      <c r="DLR34" s="2"/>
      <c r="DLS34" s="2"/>
      <c r="DLT34" s="2"/>
      <c r="DLU34" s="2"/>
      <c r="DLV34" s="2"/>
      <c r="DLW34" s="2"/>
      <c r="DLX34" s="2"/>
      <c r="DLY34" s="2"/>
      <c r="DLZ34" s="2"/>
      <c r="DMA34" s="2"/>
      <c r="DMB34" s="2"/>
      <c r="DMC34" s="2"/>
      <c r="DMD34" s="2"/>
      <c r="DME34" s="2"/>
      <c r="DMF34" s="2"/>
      <c r="DMG34" s="2"/>
      <c r="DMH34" s="2"/>
      <c r="DMI34" s="2"/>
      <c r="DMJ34" s="2"/>
      <c r="DMK34" s="2"/>
      <c r="DML34" s="2"/>
      <c r="DMM34" s="2"/>
      <c r="DMN34" s="2"/>
      <c r="DMO34" s="2"/>
      <c r="DMP34" s="2"/>
      <c r="DMQ34" s="2"/>
      <c r="DMR34" s="2"/>
      <c r="DMS34" s="2"/>
      <c r="DMT34" s="2"/>
      <c r="DMU34" s="2"/>
      <c r="DMV34" s="2"/>
      <c r="DMW34" s="2"/>
      <c r="DMX34" s="2"/>
      <c r="DMY34" s="2"/>
      <c r="DMZ34" s="2"/>
      <c r="DNA34" s="2"/>
      <c r="DNB34" s="2"/>
      <c r="DNC34" s="2"/>
      <c r="DND34" s="2"/>
      <c r="DNE34" s="2"/>
      <c r="DNF34" s="2"/>
      <c r="DNG34" s="2"/>
      <c r="DNH34" s="2"/>
      <c r="DNI34" s="2"/>
      <c r="DNJ34" s="2"/>
      <c r="DNK34" s="2"/>
      <c r="DNL34" s="2"/>
      <c r="DNM34" s="2"/>
      <c r="DNN34" s="2"/>
      <c r="DNO34" s="2"/>
      <c r="DNP34" s="2"/>
      <c r="DNQ34" s="2"/>
      <c r="DNR34" s="2"/>
      <c r="DNS34" s="2"/>
      <c r="DNT34" s="2"/>
      <c r="DNU34" s="2"/>
      <c r="DNV34" s="2"/>
      <c r="DNW34" s="2"/>
      <c r="DNX34" s="2"/>
      <c r="DNY34" s="2"/>
      <c r="DNZ34" s="2"/>
      <c r="DOA34" s="2"/>
      <c r="DOB34" s="2"/>
      <c r="DOC34" s="2"/>
      <c r="DOD34" s="2"/>
      <c r="DOE34" s="2"/>
      <c r="DOF34" s="2"/>
      <c r="DOG34" s="2"/>
      <c r="DOH34" s="2"/>
      <c r="DOI34" s="2"/>
      <c r="DOJ34" s="2"/>
      <c r="DOK34" s="2"/>
      <c r="DOL34" s="2"/>
      <c r="DOM34" s="2"/>
      <c r="DON34" s="2"/>
      <c r="DOO34" s="2"/>
      <c r="DOP34" s="2"/>
      <c r="DOQ34" s="2"/>
      <c r="DOR34" s="2"/>
      <c r="DOS34" s="2"/>
      <c r="DOT34" s="2"/>
      <c r="DOU34" s="2"/>
      <c r="DOV34" s="2"/>
      <c r="DOW34" s="2"/>
      <c r="DOX34" s="2"/>
      <c r="DOY34" s="2"/>
      <c r="DOZ34" s="2"/>
      <c r="DPA34" s="2"/>
      <c r="DPB34" s="2"/>
      <c r="DPC34" s="2"/>
      <c r="DPD34" s="2"/>
      <c r="DPE34" s="2"/>
      <c r="DPF34" s="2"/>
      <c r="DPG34" s="2"/>
      <c r="DPH34" s="2"/>
      <c r="DPI34" s="2"/>
      <c r="DPJ34" s="2"/>
      <c r="DPK34" s="2"/>
      <c r="DPL34" s="2"/>
      <c r="DPM34" s="2"/>
      <c r="DPN34" s="2"/>
      <c r="DPO34" s="2"/>
      <c r="DPP34" s="2"/>
      <c r="DPQ34" s="2"/>
      <c r="DPR34" s="2"/>
      <c r="DPS34" s="2"/>
      <c r="DPT34" s="2"/>
      <c r="DPU34" s="2"/>
      <c r="DPV34" s="2"/>
      <c r="DPW34" s="2"/>
      <c r="DPX34" s="2"/>
      <c r="DPY34" s="2"/>
      <c r="DPZ34" s="2"/>
      <c r="DQA34" s="2"/>
      <c r="DQB34" s="2"/>
      <c r="DQC34" s="2"/>
      <c r="DQD34" s="2"/>
      <c r="DQE34" s="2"/>
      <c r="DQF34" s="2"/>
      <c r="DQG34" s="2"/>
      <c r="DQH34" s="2"/>
      <c r="DQI34" s="2"/>
      <c r="DQJ34" s="2"/>
      <c r="DQK34" s="2"/>
      <c r="DQL34" s="2"/>
      <c r="DQM34" s="2"/>
      <c r="DQN34" s="2"/>
      <c r="DQO34" s="2"/>
      <c r="DQP34" s="2"/>
      <c r="DQQ34" s="2"/>
      <c r="DQR34" s="2"/>
      <c r="DQS34" s="2"/>
      <c r="DQT34" s="2"/>
      <c r="DQU34" s="2"/>
      <c r="DQV34" s="2"/>
      <c r="DQW34" s="2"/>
      <c r="DQX34" s="2"/>
      <c r="DQY34" s="2"/>
      <c r="DQZ34" s="2"/>
      <c r="DRA34" s="2"/>
      <c r="DRB34" s="2"/>
      <c r="DRC34" s="2"/>
      <c r="DRD34" s="2"/>
      <c r="DRE34" s="2"/>
      <c r="DRF34" s="2"/>
      <c r="DRG34" s="2"/>
      <c r="DRH34" s="2"/>
      <c r="DRI34" s="2"/>
      <c r="DRJ34" s="2"/>
      <c r="DRK34" s="2"/>
      <c r="DRL34" s="2"/>
      <c r="DRM34" s="2"/>
      <c r="DRN34" s="2"/>
      <c r="DRO34" s="2"/>
      <c r="DRP34" s="2"/>
      <c r="DRQ34" s="2"/>
      <c r="DRR34" s="2"/>
      <c r="DRS34" s="2"/>
      <c r="DRT34" s="2"/>
      <c r="DRU34" s="2"/>
      <c r="DRV34" s="2"/>
      <c r="DRW34" s="2"/>
      <c r="DRX34" s="2"/>
      <c r="DRY34" s="2"/>
      <c r="DRZ34" s="2"/>
      <c r="DSA34" s="2"/>
      <c r="DSB34" s="2"/>
      <c r="DSC34" s="2"/>
      <c r="DSD34" s="2"/>
      <c r="DSE34" s="2"/>
      <c r="DSF34" s="2"/>
      <c r="DSG34" s="2"/>
      <c r="DSH34" s="2"/>
      <c r="DSI34" s="2"/>
      <c r="DSJ34" s="2"/>
      <c r="DSK34" s="2"/>
      <c r="DSL34" s="2"/>
      <c r="DSM34" s="2"/>
      <c r="DSN34" s="2"/>
      <c r="DSO34" s="2"/>
      <c r="DSP34" s="2"/>
      <c r="DSQ34" s="2"/>
      <c r="DSR34" s="2"/>
      <c r="DSS34" s="2"/>
      <c r="DST34" s="2"/>
      <c r="DSU34" s="2"/>
      <c r="DSV34" s="2"/>
      <c r="DSW34" s="2"/>
      <c r="DSX34" s="2"/>
      <c r="DSY34" s="2"/>
      <c r="DSZ34" s="2"/>
      <c r="DTA34" s="2"/>
      <c r="DTB34" s="2"/>
      <c r="DTC34" s="2"/>
      <c r="DTD34" s="2"/>
      <c r="DTE34" s="2"/>
      <c r="DTF34" s="2"/>
      <c r="DTG34" s="2"/>
      <c r="DTH34" s="2"/>
      <c r="DTI34" s="2"/>
      <c r="DTJ34" s="2"/>
      <c r="DTK34" s="2"/>
      <c r="DTL34" s="2"/>
      <c r="DTM34" s="2"/>
      <c r="DTN34" s="2"/>
      <c r="DTO34" s="2"/>
      <c r="DTP34" s="2"/>
      <c r="DTQ34" s="2"/>
      <c r="DTR34" s="2"/>
      <c r="DTS34" s="2"/>
      <c r="DTT34" s="2"/>
      <c r="DTU34" s="2"/>
      <c r="DTV34" s="2"/>
      <c r="DTW34" s="2"/>
      <c r="DTX34" s="2"/>
      <c r="DTY34" s="2"/>
      <c r="DTZ34" s="2"/>
      <c r="DUA34" s="2"/>
      <c r="DUB34" s="2"/>
      <c r="DUC34" s="2"/>
      <c r="DUD34" s="2"/>
      <c r="DUE34" s="2"/>
      <c r="DUF34" s="2"/>
      <c r="DUG34" s="2"/>
      <c r="DUH34" s="2"/>
      <c r="DUI34" s="2"/>
      <c r="DUJ34" s="2"/>
      <c r="DUK34" s="2"/>
      <c r="DUL34" s="2"/>
      <c r="DUM34" s="2"/>
      <c r="DUN34" s="2"/>
      <c r="DUO34" s="2"/>
      <c r="DUP34" s="2"/>
      <c r="DUQ34" s="2"/>
      <c r="DUR34" s="2"/>
      <c r="DUS34" s="2"/>
      <c r="DUT34" s="2"/>
      <c r="DUU34" s="2"/>
      <c r="DUV34" s="2"/>
      <c r="DUW34" s="2"/>
      <c r="DUX34" s="2"/>
      <c r="DUY34" s="2"/>
      <c r="DUZ34" s="2"/>
      <c r="DVA34" s="2"/>
      <c r="DVB34" s="2"/>
      <c r="DVC34" s="2"/>
      <c r="DVD34" s="2"/>
      <c r="DVE34" s="2"/>
      <c r="DVF34" s="2"/>
      <c r="DVG34" s="2"/>
      <c r="DVH34" s="2"/>
      <c r="DVI34" s="2"/>
      <c r="DVJ34" s="2"/>
      <c r="DVK34" s="2"/>
      <c r="DVL34" s="2"/>
      <c r="DVM34" s="2"/>
      <c r="DVN34" s="2"/>
      <c r="DVO34" s="2"/>
      <c r="DVP34" s="2"/>
      <c r="DVQ34" s="2"/>
      <c r="DVR34" s="2"/>
      <c r="DVS34" s="2"/>
      <c r="DVT34" s="2"/>
      <c r="DVU34" s="2"/>
      <c r="DVV34" s="2"/>
      <c r="DVW34" s="2"/>
      <c r="DVX34" s="2"/>
      <c r="DVY34" s="2"/>
      <c r="DVZ34" s="2"/>
      <c r="DWA34" s="2"/>
      <c r="DWB34" s="2"/>
      <c r="DWC34" s="2"/>
      <c r="DWD34" s="2"/>
      <c r="DWE34" s="2"/>
      <c r="DWF34" s="2"/>
      <c r="DWG34" s="2"/>
      <c r="DWH34" s="2"/>
      <c r="DWI34" s="2"/>
      <c r="DWJ34" s="2"/>
      <c r="DWK34" s="2"/>
      <c r="DWL34" s="2"/>
      <c r="DWM34" s="2"/>
      <c r="DWN34" s="2"/>
      <c r="DWO34" s="2"/>
      <c r="DWP34" s="2"/>
      <c r="DWQ34" s="2"/>
      <c r="DWR34" s="2"/>
      <c r="DWS34" s="2"/>
      <c r="DWT34" s="2"/>
      <c r="DWU34" s="2"/>
      <c r="DWV34" s="2"/>
      <c r="DWW34" s="2"/>
      <c r="DWX34" s="2"/>
      <c r="DWY34" s="2"/>
      <c r="DWZ34" s="2"/>
      <c r="DXA34" s="2"/>
      <c r="DXB34" s="2"/>
      <c r="DXC34" s="2"/>
      <c r="DXD34" s="2"/>
      <c r="DXE34" s="2"/>
      <c r="DXF34" s="2"/>
      <c r="DXG34" s="2"/>
      <c r="DXH34" s="2"/>
      <c r="DXI34" s="2"/>
      <c r="DXJ34" s="2"/>
      <c r="DXK34" s="2"/>
      <c r="DXL34" s="2"/>
      <c r="DXM34" s="2"/>
      <c r="DXN34" s="2"/>
      <c r="DXO34" s="2"/>
      <c r="DXP34" s="2"/>
      <c r="DXQ34" s="2"/>
      <c r="DXR34" s="2"/>
      <c r="DXS34" s="2"/>
      <c r="DXT34" s="2"/>
      <c r="DXU34" s="2"/>
      <c r="DXV34" s="2"/>
      <c r="DXW34" s="2"/>
      <c r="DXX34" s="2"/>
      <c r="DXY34" s="2"/>
      <c r="DXZ34" s="2"/>
      <c r="DYA34" s="2"/>
      <c r="DYB34" s="2"/>
      <c r="DYC34" s="2"/>
      <c r="DYD34" s="2"/>
      <c r="DYE34" s="2"/>
      <c r="DYF34" s="2"/>
      <c r="DYG34" s="2"/>
      <c r="DYH34" s="2"/>
      <c r="DYI34" s="2"/>
      <c r="DYJ34" s="2"/>
      <c r="DYK34" s="2"/>
      <c r="DYL34" s="2"/>
      <c r="DYM34" s="2"/>
      <c r="DYN34" s="2"/>
      <c r="DYO34" s="2"/>
      <c r="DYP34" s="2"/>
      <c r="DYQ34" s="2"/>
      <c r="DYR34" s="2"/>
      <c r="DYS34" s="2"/>
      <c r="DYT34" s="2"/>
      <c r="DYU34" s="2"/>
      <c r="DYV34" s="2"/>
      <c r="DYW34" s="2"/>
      <c r="DYX34" s="2"/>
      <c r="DYY34" s="2"/>
      <c r="DYZ34" s="2"/>
      <c r="DZA34" s="2"/>
      <c r="DZB34" s="2"/>
      <c r="DZC34" s="2"/>
      <c r="DZD34" s="2"/>
      <c r="DZE34" s="2"/>
      <c r="DZF34" s="2"/>
      <c r="DZG34" s="2"/>
      <c r="DZH34" s="2"/>
      <c r="DZI34" s="2"/>
      <c r="DZJ34" s="2"/>
      <c r="DZK34" s="2"/>
      <c r="DZL34" s="2"/>
      <c r="DZM34" s="2"/>
      <c r="DZN34" s="2"/>
      <c r="DZO34" s="2"/>
      <c r="DZP34" s="2"/>
      <c r="DZQ34" s="2"/>
      <c r="DZR34" s="2"/>
      <c r="DZS34" s="2"/>
      <c r="DZT34" s="2"/>
      <c r="DZU34" s="2"/>
      <c r="DZV34" s="2"/>
      <c r="DZW34" s="2"/>
      <c r="DZX34" s="2"/>
      <c r="DZY34" s="2"/>
      <c r="DZZ34" s="2"/>
      <c r="EAA34" s="2"/>
      <c r="EAB34" s="2"/>
      <c r="EAC34" s="2"/>
      <c r="EAD34" s="2"/>
      <c r="EAE34" s="2"/>
      <c r="EAF34" s="2"/>
      <c r="EAG34" s="2"/>
      <c r="EAH34" s="2"/>
      <c r="EAI34" s="2"/>
      <c r="EAJ34" s="2"/>
      <c r="EAK34" s="2"/>
      <c r="EAL34" s="2"/>
      <c r="EAM34" s="2"/>
      <c r="EAN34" s="2"/>
      <c r="EAO34" s="2"/>
      <c r="EAP34" s="2"/>
      <c r="EAQ34" s="2"/>
      <c r="EAR34" s="2"/>
      <c r="EAS34" s="2"/>
      <c r="EAT34" s="2"/>
      <c r="EAU34" s="2"/>
      <c r="EAV34" s="2"/>
      <c r="EAW34" s="2"/>
      <c r="EAX34" s="2"/>
      <c r="EAY34" s="2"/>
      <c r="EAZ34" s="2"/>
      <c r="EBA34" s="2"/>
      <c r="EBB34" s="2"/>
      <c r="EBC34" s="2"/>
      <c r="EBD34" s="2"/>
      <c r="EBE34" s="2"/>
      <c r="EBF34" s="2"/>
      <c r="EBG34" s="2"/>
      <c r="EBH34" s="2"/>
      <c r="EBI34" s="2"/>
      <c r="EBJ34" s="2"/>
      <c r="EBK34" s="2"/>
      <c r="EBL34" s="2"/>
      <c r="EBM34" s="2"/>
      <c r="EBN34" s="2"/>
      <c r="EBO34" s="2"/>
      <c r="EBP34" s="2"/>
      <c r="EBQ34" s="2"/>
      <c r="EBR34" s="2"/>
      <c r="EBS34" s="2"/>
      <c r="EBT34" s="2"/>
      <c r="EBU34" s="2"/>
      <c r="EBV34" s="2"/>
      <c r="EBW34" s="2"/>
      <c r="EBX34" s="2"/>
      <c r="EBY34" s="2"/>
      <c r="EBZ34" s="2"/>
      <c r="ECA34" s="2"/>
      <c r="ECB34" s="2"/>
      <c r="ECC34" s="2"/>
      <c r="ECD34" s="2"/>
      <c r="ECE34" s="2"/>
      <c r="ECF34" s="2"/>
      <c r="ECG34" s="2"/>
      <c r="ECH34" s="2"/>
      <c r="ECI34" s="2"/>
      <c r="ECJ34" s="2"/>
      <c r="ECK34" s="2"/>
      <c r="ECL34" s="2"/>
      <c r="ECM34" s="2"/>
      <c r="ECN34" s="2"/>
      <c r="ECO34" s="2"/>
      <c r="ECP34" s="2"/>
      <c r="ECQ34" s="2"/>
      <c r="ECR34" s="2"/>
      <c r="ECS34" s="2"/>
      <c r="ECT34" s="2"/>
      <c r="ECU34" s="2"/>
      <c r="ECV34" s="2"/>
      <c r="ECW34" s="2"/>
      <c r="ECX34" s="2"/>
      <c r="ECY34" s="2"/>
      <c r="ECZ34" s="2"/>
      <c r="EDA34" s="2"/>
      <c r="EDB34" s="2"/>
      <c r="EDC34" s="2"/>
      <c r="EDD34" s="2"/>
      <c r="EDE34" s="2"/>
      <c r="EDF34" s="2"/>
      <c r="EDG34" s="2"/>
      <c r="EDH34" s="2"/>
      <c r="EDI34" s="2"/>
      <c r="EDJ34" s="2"/>
      <c r="EDK34" s="2"/>
      <c r="EDL34" s="2"/>
      <c r="EDM34" s="2"/>
      <c r="EDN34" s="2"/>
      <c r="EDO34" s="2"/>
      <c r="EDP34" s="2"/>
      <c r="EDQ34" s="2"/>
      <c r="EDR34" s="2"/>
      <c r="EDS34" s="2"/>
      <c r="EDT34" s="2"/>
      <c r="EDU34" s="2"/>
      <c r="EDV34" s="2"/>
      <c r="EDW34" s="2"/>
      <c r="EDX34" s="2"/>
      <c r="EDY34" s="2"/>
      <c r="EDZ34" s="2"/>
      <c r="EEA34" s="2"/>
      <c r="EEB34" s="2"/>
      <c r="EEC34" s="2"/>
      <c r="EED34" s="2"/>
      <c r="EEE34" s="2"/>
      <c r="EEF34" s="2"/>
      <c r="EEG34" s="2"/>
      <c r="EEH34" s="2"/>
      <c r="EEI34" s="2"/>
      <c r="EEJ34" s="2"/>
      <c r="EEK34" s="2"/>
      <c r="EEL34" s="2"/>
      <c r="EEM34" s="2"/>
      <c r="EEN34" s="2"/>
      <c r="EEO34" s="2"/>
      <c r="EEP34" s="2"/>
      <c r="EEQ34" s="2"/>
      <c r="EER34" s="2"/>
      <c r="EES34" s="2"/>
      <c r="EET34" s="2"/>
      <c r="EEU34" s="2"/>
      <c r="EEV34" s="2"/>
      <c r="EEW34" s="2"/>
      <c r="EEX34" s="2"/>
      <c r="EEY34" s="2"/>
      <c r="EEZ34" s="2"/>
      <c r="EFA34" s="2"/>
      <c r="EFB34" s="2"/>
      <c r="EFC34" s="2"/>
      <c r="EFD34" s="2"/>
      <c r="EFE34" s="2"/>
      <c r="EFF34" s="2"/>
      <c r="EFG34" s="2"/>
      <c r="EFH34" s="2"/>
      <c r="EFI34" s="2"/>
      <c r="EFJ34" s="2"/>
      <c r="EFK34" s="2"/>
      <c r="EFL34" s="2"/>
      <c r="EFM34" s="2"/>
      <c r="EFN34" s="2"/>
      <c r="EFO34" s="2"/>
      <c r="EFP34" s="2"/>
      <c r="EFQ34" s="2"/>
      <c r="EFR34" s="2"/>
      <c r="EFS34" s="2"/>
      <c r="EFT34" s="2"/>
      <c r="EFU34" s="2"/>
      <c r="EFV34" s="2"/>
      <c r="EFW34" s="2"/>
      <c r="EFX34" s="2"/>
      <c r="EFY34" s="2"/>
      <c r="EFZ34" s="2"/>
      <c r="EGA34" s="2"/>
      <c r="EGB34" s="2"/>
      <c r="EGC34" s="2"/>
      <c r="EGD34" s="2"/>
      <c r="EGE34" s="2"/>
      <c r="EGF34" s="2"/>
      <c r="EGG34" s="2"/>
      <c r="EGH34" s="2"/>
      <c r="EGI34" s="2"/>
      <c r="EGJ34" s="2"/>
      <c r="EGK34" s="2"/>
      <c r="EGL34" s="2"/>
      <c r="EGM34" s="2"/>
      <c r="EGN34" s="2"/>
      <c r="EGO34" s="2"/>
      <c r="EGP34" s="2"/>
      <c r="EGQ34" s="2"/>
      <c r="EGR34" s="2"/>
      <c r="EGS34" s="2"/>
      <c r="EGT34" s="2"/>
      <c r="EGU34" s="2"/>
      <c r="EGV34" s="2"/>
      <c r="EGW34" s="2"/>
      <c r="EGX34" s="2"/>
      <c r="EGY34" s="2"/>
      <c r="EGZ34" s="2"/>
      <c r="EHA34" s="2"/>
      <c r="EHB34" s="2"/>
      <c r="EHC34" s="2"/>
      <c r="EHD34" s="2"/>
      <c r="EHE34" s="2"/>
      <c r="EHF34" s="2"/>
      <c r="EHG34" s="2"/>
      <c r="EHH34" s="2"/>
      <c r="EHI34" s="2"/>
      <c r="EHJ34" s="2"/>
      <c r="EHK34" s="2"/>
      <c r="EHL34" s="2"/>
      <c r="EHM34" s="2"/>
      <c r="EHN34" s="2"/>
      <c r="EHO34" s="2"/>
      <c r="EHP34" s="2"/>
      <c r="EHQ34" s="2"/>
      <c r="EHR34" s="2"/>
      <c r="EHS34" s="2"/>
      <c r="EHT34" s="2"/>
      <c r="EHU34" s="2"/>
      <c r="EHV34" s="2"/>
      <c r="EHW34" s="2"/>
      <c r="EHX34" s="2"/>
      <c r="EHY34" s="2"/>
      <c r="EHZ34" s="2"/>
      <c r="EIA34" s="2"/>
      <c r="EIB34" s="2"/>
      <c r="EIC34" s="2"/>
      <c r="EID34" s="2"/>
      <c r="EIE34" s="2"/>
      <c r="EIF34" s="2"/>
      <c r="EIG34" s="2"/>
      <c r="EIH34" s="2"/>
      <c r="EII34" s="2"/>
      <c r="EIJ34" s="2"/>
      <c r="EIK34" s="2"/>
      <c r="EIL34" s="2"/>
      <c r="EIM34" s="2"/>
      <c r="EIN34" s="2"/>
      <c r="EIO34" s="2"/>
      <c r="EIP34" s="2"/>
      <c r="EIQ34" s="2"/>
      <c r="EIR34" s="2"/>
      <c r="EIS34" s="2"/>
      <c r="EIT34" s="2"/>
      <c r="EIU34" s="2"/>
      <c r="EIV34" s="2"/>
      <c r="EIW34" s="2"/>
      <c r="EIX34" s="2"/>
      <c r="EIY34" s="2"/>
      <c r="EIZ34" s="2"/>
      <c r="EJA34" s="2"/>
      <c r="EJB34" s="2"/>
      <c r="EJC34" s="2"/>
      <c r="EJD34" s="2"/>
      <c r="EJE34" s="2"/>
      <c r="EJF34" s="2"/>
      <c r="EJG34" s="2"/>
      <c r="EJH34" s="2"/>
      <c r="EJI34" s="2"/>
      <c r="EJJ34" s="2"/>
      <c r="EJK34" s="2"/>
      <c r="EJL34" s="2"/>
      <c r="EJM34" s="2"/>
      <c r="EJN34" s="2"/>
      <c r="EJO34" s="2"/>
      <c r="EJP34" s="2"/>
      <c r="EJQ34" s="2"/>
      <c r="EJR34" s="2"/>
      <c r="EJS34" s="2"/>
      <c r="EJT34" s="2"/>
      <c r="EJU34" s="2"/>
      <c r="EJV34" s="2"/>
      <c r="EJW34" s="2"/>
      <c r="EJX34" s="2"/>
      <c r="EJY34" s="2"/>
      <c r="EJZ34" s="2"/>
      <c r="EKA34" s="2"/>
      <c r="EKB34" s="2"/>
      <c r="EKC34" s="2"/>
      <c r="EKD34" s="2"/>
      <c r="EKE34" s="2"/>
      <c r="EKF34" s="2"/>
      <c r="EKG34" s="2"/>
      <c r="EKH34" s="2"/>
      <c r="EKI34" s="2"/>
      <c r="EKJ34" s="2"/>
      <c r="EKK34" s="2"/>
      <c r="EKL34" s="2"/>
      <c r="EKM34" s="2"/>
      <c r="EKN34" s="2"/>
      <c r="EKO34" s="2"/>
      <c r="EKP34" s="2"/>
      <c r="EKQ34" s="2"/>
      <c r="EKR34" s="2"/>
      <c r="EKS34" s="2"/>
      <c r="EKT34" s="2"/>
      <c r="EKU34" s="2"/>
      <c r="EKV34" s="2"/>
      <c r="EKW34" s="2"/>
      <c r="EKX34" s="2"/>
      <c r="EKY34" s="2"/>
      <c r="EKZ34" s="2"/>
      <c r="ELA34" s="2"/>
      <c r="ELB34" s="2"/>
      <c r="ELC34" s="2"/>
      <c r="ELD34" s="2"/>
      <c r="ELE34" s="2"/>
      <c r="ELF34" s="2"/>
      <c r="ELG34" s="2"/>
      <c r="ELH34" s="2"/>
      <c r="ELI34" s="2"/>
      <c r="ELJ34" s="2"/>
      <c r="ELK34" s="2"/>
      <c r="ELL34" s="2"/>
      <c r="ELM34" s="2"/>
      <c r="ELN34" s="2"/>
      <c r="ELO34" s="2"/>
      <c r="ELP34" s="2"/>
      <c r="ELQ34" s="2"/>
      <c r="ELR34" s="2"/>
      <c r="ELS34" s="2"/>
      <c r="ELT34" s="2"/>
      <c r="ELU34" s="2"/>
      <c r="ELV34" s="2"/>
      <c r="ELW34" s="2"/>
      <c r="ELX34" s="2"/>
      <c r="ELY34" s="2"/>
      <c r="ELZ34" s="2"/>
      <c r="EMA34" s="2"/>
      <c r="EMB34" s="2"/>
      <c r="EMC34" s="2"/>
      <c r="EMD34" s="2"/>
      <c r="EME34" s="2"/>
      <c r="EMF34" s="2"/>
      <c r="EMG34" s="2"/>
      <c r="EMH34" s="2"/>
      <c r="EMI34" s="2"/>
      <c r="EMJ34" s="2"/>
      <c r="EMK34" s="2"/>
      <c r="EML34" s="2"/>
      <c r="EMM34" s="2"/>
      <c r="EMN34" s="2"/>
      <c r="EMO34" s="2"/>
      <c r="EMP34" s="2"/>
      <c r="EMQ34" s="2"/>
      <c r="EMR34" s="2"/>
      <c r="EMS34" s="2"/>
      <c r="EMT34" s="2"/>
      <c r="EMU34" s="2"/>
      <c r="EMV34" s="2"/>
      <c r="EMW34" s="2"/>
      <c r="EMX34" s="2"/>
      <c r="EMY34" s="2"/>
      <c r="EMZ34" s="2"/>
      <c r="ENA34" s="2"/>
      <c r="ENB34" s="2"/>
      <c r="ENC34" s="2"/>
      <c r="END34" s="2"/>
      <c r="ENE34" s="2"/>
      <c r="ENF34" s="2"/>
      <c r="ENG34" s="2"/>
      <c r="ENH34" s="2"/>
      <c r="ENI34" s="2"/>
      <c r="ENJ34" s="2"/>
      <c r="ENK34" s="2"/>
      <c r="ENL34" s="2"/>
      <c r="ENM34" s="2"/>
      <c r="ENN34" s="2"/>
      <c r="ENO34" s="2"/>
      <c r="ENP34" s="2"/>
      <c r="ENQ34" s="2"/>
      <c r="ENR34" s="2"/>
      <c r="ENS34" s="2"/>
      <c r="ENT34" s="2"/>
      <c r="ENU34" s="2"/>
      <c r="ENV34" s="2"/>
      <c r="ENW34" s="2"/>
      <c r="ENX34" s="2"/>
      <c r="ENY34" s="2"/>
      <c r="ENZ34" s="2"/>
      <c r="EOA34" s="2"/>
      <c r="EOB34" s="2"/>
      <c r="EOC34" s="2"/>
      <c r="EOD34" s="2"/>
      <c r="EOE34" s="2"/>
      <c r="EOF34" s="2"/>
      <c r="EOG34" s="2"/>
      <c r="EOH34" s="2"/>
      <c r="EOI34" s="2"/>
      <c r="EOJ34" s="2"/>
      <c r="EOK34" s="2"/>
      <c r="EOL34" s="2"/>
      <c r="EOM34" s="2"/>
      <c r="EON34" s="2"/>
      <c r="EOO34" s="2"/>
      <c r="EOP34" s="2"/>
      <c r="EOQ34" s="2"/>
      <c r="EOR34" s="2"/>
      <c r="EOS34" s="2"/>
      <c r="EOT34" s="2"/>
      <c r="EOU34" s="2"/>
      <c r="EOV34" s="2"/>
      <c r="EOW34" s="2"/>
      <c r="EOX34" s="2"/>
      <c r="EOY34" s="2"/>
      <c r="EOZ34" s="2"/>
      <c r="EPA34" s="2"/>
      <c r="EPB34" s="2"/>
      <c r="EPC34" s="2"/>
      <c r="EPD34" s="2"/>
      <c r="EPE34" s="2"/>
      <c r="EPF34" s="2"/>
      <c r="EPG34" s="2"/>
      <c r="EPH34" s="2"/>
      <c r="EPI34" s="2"/>
      <c r="EPJ34" s="2"/>
      <c r="EPK34" s="2"/>
      <c r="EPL34" s="2"/>
      <c r="EPM34" s="2"/>
      <c r="EPN34" s="2"/>
      <c r="EPO34" s="2"/>
      <c r="EPP34" s="2"/>
      <c r="EPQ34" s="2"/>
      <c r="EPR34" s="2"/>
      <c r="EPS34" s="2"/>
      <c r="EPT34" s="2"/>
      <c r="EPU34" s="2"/>
      <c r="EPV34" s="2"/>
      <c r="EPW34" s="2"/>
      <c r="EPX34" s="2"/>
      <c r="EPY34" s="2"/>
      <c r="EPZ34" s="2"/>
      <c r="EQA34" s="2"/>
      <c r="EQB34" s="2"/>
      <c r="EQC34" s="2"/>
      <c r="EQD34" s="2"/>
      <c r="EQE34" s="2"/>
      <c r="EQF34" s="2"/>
      <c r="EQG34" s="2"/>
      <c r="EQH34" s="2"/>
      <c r="EQI34" s="2"/>
      <c r="EQJ34" s="2"/>
      <c r="EQK34" s="2"/>
      <c r="EQL34" s="2"/>
      <c r="EQM34" s="2"/>
      <c r="EQN34" s="2"/>
      <c r="EQO34" s="2"/>
      <c r="EQP34" s="2"/>
      <c r="EQQ34" s="2"/>
      <c r="EQR34" s="2"/>
      <c r="EQS34" s="2"/>
      <c r="EQT34" s="2"/>
      <c r="EQU34" s="2"/>
      <c r="EQV34" s="2"/>
      <c r="EQW34" s="2"/>
      <c r="EQX34" s="2"/>
      <c r="EQY34" s="2"/>
      <c r="EQZ34" s="2"/>
      <c r="ERA34" s="2"/>
      <c r="ERB34" s="2"/>
      <c r="ERC34" s="2"/>
      <c r="ERD34" s="2"/>
      <c r="ERE34" s="2"/>
      <c r="ERF34" s="2"/>
      <c r="ERG34" s="2"/>
      <c r="ERH34" s="2"/>
      <c r="ERI34" s="2"/>
      <c r="ERJ34" s="2"/>
      <c r="ERK34" s="2"/>
      <c r="ERL34" s="2"/>
      <c r="ERM34" s="2"/>
      <c r="ERN34" s="2"/>
      <c r="ERO34" s="2"/>
      <c r="ERP34" s="2"/>
      <c r="ERQ34" s="2"/>
      <c r="ERR34" s="2"/>
      <c r="ERS34" s="2"/>
      <c r="ERT34" s="2"/>
      <c r="ERU34" s="2"/>
      <c r="ERV34" s="2"/>
      <c r="ERW34" s="2"/>
      <c r="ERX34" s="2"/>
      <c r="ERY34" s="2"/>
      <c r="ERZ34" s="2"/>
      <c r="ESA34" s="2"/>
      <c r="ESB34" s="2"/>
      <c r="ESC34" s="2"/>
      <c r="ESD34" s="2"/>
      <c r="ESE34" s="2"/>
      <c r="ESF34" s="2"/>
      <c r="ESG34" s="2"/>
      <c r="ESH34" s="2"/>
      <c r="ESI34" s="2"/>
      <c r="ESJ34" s="2"/>
      <c r="ESK34" s="2"/>
      <c r="ESL34" s="2"/>
      <c r="ESM34" s="2"/>
      <c r="ESN34" s="2"/>
      <c r="ESO34" s="2"/>
      <c r="ESP34" s="2"/>
      <c r="ESQ34" s="2"/>
      <c r="ESR34" s="2"/>
      <c r="ESS34" s="2"/>
      <c r="EST34" s="2"/>
      <c r="ESU34" s="2"/>
      <c r="ESV34" s="2"/>
      <c r="ESW34" s="2"/>
      <c r="ESX34" s="2"/>
      <c r="ESY34" s="2"/>
      <c r="ESZ34" s="2"/>
      <c r="ETA34" s="2"/>
      <c r="ETB34" s="2"/>
      <c r="ETC34" s="2"/>
      <c r="ETD34" s="2"/>
      <c r="ETE34" s="2"/>
      <c r="ETF34" s="2"/>
      <c r="ETG34" s="2"/>
      <c r="ETH34" s="2"/>
      <c r="ETI34" s="2"/>
      <c r="ETJ34" s="2"/>
      <c r="ETK34" s="2"/>
      <c r="ETL34" s="2"/>
      <c r="ETM34" s="2"/>
      <c r="ETN34" s="2"/>
      <c r="ETO34" s="2"/>
      <c r="ETP34" s="2"/>
      <c r="ETQ34" s="2"/>
      <c r="ETR34" s="2"/>
      <c r="ETS34" s="2"/>
      <c r="ETT34" s="2"/>
      <c r="ETU34" s="2"/>
      <c r="ETV34" s="2"/>
      <c r="ETW34" s="2"/>
      <c r="ETX34" s="2"/>
      <c r="ETY34" s="2"/>
      <c r="ETZ34" s="2"/>
      <c r="EUA34" s="2"/>
      <c r="EUB34" s="2"/>
      <c r="EUC34" s="2"/>
      <c r="EUD34" s="2"/>
      <c r="EUE34" s="2"/>
      <c r="EUF34" s="2"/>
      <c r="EUG34" s="2"/>
      <c r="EUH34" s="2"/>
      <c r="EUI34" s="2"/>
      <c r="EUJ34" s="2"/>
      <c r="EUK34" s="2"/>
      <c r="EUL34" s="2"/>
      <c r="EUM34" s="2"/>
      <c r="EUN34" s="2"/>
      <c r="EUO34" s="2"/>
      <c r="EUP34" s="2"/>
      <c r="EUQ34" s="2"/>
      <c r="EUR34" s="2"/>
      <c r="EUS34" s="2"/>
      <c r="EUT34" s="2"/>
      <c r="EUU34" s="2"/>
      <c r="EUV34" s="2"/>
      <c r="EUW34" s="2"/>
      <c r="EUX34" s="2"/>
      <c r="EUY34" s="2"/>
      <c r="EUZ34" s="2"/>
      <c r="EVA34" s="2"/>
      <c r="EVB34" s="2"/>
      <c r="EVC34" s="2"/>
      <c r="EVD34" s="2"/>
      <c r="EVE34" s="2"/>
      <c r="EVF34" s="2"/>
      <c r="EVG34" s="2"/>
      <c r="EVH34" s="2"/>
      <c r="EVI34" s="2"/>
      <c r="EVJ34" s="2"/>
      <c r="EVK34" s="2"/>
      <c r="EVL34" s="2"/>
      <c r="EVM34" s="2"/>
      <c r="EVN34" s="2"/>
      <c r="EVO34" s="2"/>
      <c r="EVP34" s="2"/>
      <c r="EVQ34" s="2"/>
      <c r="EVR34" s="2"/>
      <c r="EVS34" s="2"/>
      <c r="EVT34" s="2"/>
      <c r="EVU34" s="2"/>
      <c r="EVV34" s="2"/>
      <c r="EVW34" s="2"/>
      <c r="EVX34" s="2"/>
      <c r="EVY34" s="2"/>
      <c r="EVZ34" s="2"/>
      <c r="EWA34" s="2"/>
      <c r="EWB34" s="2"/>
      <c r="EWC34" s="2"/>
      <c r="EWD34" s="2"/>
      <c r="EWE34" s="2"/>
      <c r="EWF34" s="2"/>
      <c r="EWG34" s="2"/>
      <c r="EWH34" s="2"/>
      <c r="EWI34" s="2"/>
      <c r="EWJ34" s="2"/>
      <c r="EWK34" s="2"/>
      <c r="EWL34" s="2"/>
      <c r="EWM34" s="2"/>
      <c r="EWN34" s="2"/>
      <c r="EWO34" s="2"/>
      <c r="EWP34" s="2"/>
      <c r="EWQ34" s="2"/>
      <c r="EWR34" s="2"/>
      <c r="EWS34" s="2"/>
      <c r="EWT34" s="2"/>
      <c r="EWU34" s="2"/>
      <c r="EWV34" s="2"/>
      <c r="EWW34" s="2"/>
      <c r="EWX34" s="2"/>
      <c r="EWY34" s="2"/>
      <c r="EWZ34" s="2"/>
      <c r="EXA34" s="2"/>
      <c r="EXB34" s="2"/>
      <c r="EXC34" s="2"/>
      <c r="EXD34" s="2"/>
      <c r="EXE34" s="2"/>
      <c r="EXF34" s="2"/>
      <c r="EXG34" s="2"/>
      <c r="EXH34" s="2"/>
      <c r="EXI34" s="2"/>
      <c r="EXJ34" s="2"/>
      <c r="EXK34" s="2"/>
      <c r="EXL34" s="2"/>
      <c r="EXM34" s="2"/>
      <c r="EXN34" s="2"/>
      <c r="EXO34" s="2"/>
      <c r="EXP34" s="2"/>
      <c r="EXQ34" s="2"/>
      <c r="EXR34" s="2"/>
      <c r="EXS34" s="2"/>
      <c r="EXT34" s="2"/>
      <c r="EXU34" s="2"/>
      <c r="EXV34" s="2"/>
      <c r="EXW34" s="2"/>
      <c r="EXX34" s="2"/>
      <c r="EXY34" s="2"/>
      <c r="EXZ34" s="2"/>
      <c r="EYA34" s="2"/>
      <c r="EYB34" s="2"/>
      <c r="EYC34" s="2"/>
      <c r="EYD34" s="2"/>
      <c r="EYE34" s="2"/>
      <c r="EYF34" s="2"/>
      <c r="EYG34" s="2"/>
      <c r="EYH34" s="2"/>
      <c r="EYI34" s="2"/>
      <c r="EYJ34" s="2"/>
      <c r="EYK34" s="2"/>
      <c r="EYL34" s="2"/>
      <c r="EYM34" s="2"/>
      <c r="EYN34" s="2"/>
      <c r="EYO34" s="2"/>
      <c r="EYP34" s="2"/>
      <c r="EYQ34" s="2"/>
      <c r="EYR34" s="2"/>
      <c r="EYS34" s="2"/>
      <c r="EYT34" s="2"/>
      <c r="EYU34" s="2"/>
      <c r="EYV34" s="2"/>
      <c r="EYW34" s="2"/>
      <c r="EYX34" s="2"/>
      <c r="EYY34" s="2"/>
      <c r="EYZ34" s="2"/>
      <c r="EZA34" s="2"/>
      <c r="EZB34" s="2"/>
      <c r="EZC34" s="2"/>
      <c r="EZD34" s="2"/>
      <c r="EZE34" s="2"/>
      <c r="EZF34" s="2"/>
      <c r="EZG34" s="2"/>
      <c r="EZH34" s="2"/>
      <c r="EZI34" s="2"/>
      <c r="EZJ34" s="2"/>
      <c r="EZK34" s="2"/>
      <c r="EZL34" s="2"/>
      <c r="EZM34" s="2"/>
      <c r="EZN34" s="2"/>
      <c r="EZO34" s="2"/>
      <c r="EZP34" s="2"/>
      <c r="EZQ34" s="2"/>
      <c r="EZR34" s="2"/>
      <c r="EZS34" s="2"/>
      <c r="EZT34" s="2"/>
      <c r="EZU34" s="2"/>
      <c r="EZV34" s="2"/>
      <c r="EZW34" s="2"/>
      <c r="EZX34" s="2"/>
      <c r="EZY34" s="2"/>
      <c r="EZZ34" s="2"/>
      <c r="FAA34" s="2"/>
      <c r="FAB34" s="2"/>
      <c r="FAC34" s="2"/>
      <c r="FAD34" s="2"/>
      <c r="FAE34" s="2"/>
      <c r="FAF34" s="2"/>
      <c r="FAG34" s="2"/>
      <c r="FAH34" s="2"/>
      <c r="FAI34" s="2"/>
      <c r="FAJ34" s="2"/>
      <c r="FAK34" s="2"/>
      <c r="FAL34" s="2"/>
      <c r="FAM34" s="2"/>
      <c r="FAN34" s="2"/>
      <c r="FAO34" s="2"/>
      <c r="FAP34" s="2"/>
      <c r="FAQ34" s="2"/>
      <c r="FAR34" s="2"/>
      <c r="FAS34" s="2"/>
      <c r="FAT34" s="2"/>
      <c r="FAU34" s="2"/>
      <c r="FAV34" s="2"/>
      <c r="FAW34" s="2"/>
      <c r="FAX34" s="2"/>
      <c r="FAY34" s="2"/>
      <c r="FAZ34" s="2"/>
      <c r="FBA34" s="2"/>
      <c r="FBB34" s="2"/>
      <c r="FBC34" s="2"/>
      <c r="FBD34" s="2"/>
      <c r="FBE34" s="2"/>
      <c r="FBF34" s="2"/>
      <c r="FBG34" s="2"/>
      <c r="FBH34" s="2"/>
      <c r="FBI34" s="2"/>
      <c r="FBJ34" s="2"/>
      <c r="FBK34" s="2"/>
      <c r="FBL34" s="2"/>
      <c r="FBM34" s="2"/>
      <c r="FBN34" s="2"/>
      <c r="FBO34" s="2"/>
      <c r="FBP34" s="2"/>
      <c r="FBQ34" s="2"/>
      <c r="FBR34" s="2"/>
      <c r="FBS34" s="2"/>
      <c r="FBT34" s="2"/>
      <c r="FBU34" s="2"/>
      <c r="FBV34" s="2"/>
      <c r="FBW34" s="2"/>
      <c r="FBX34" s="2"/>
      <c r="FBY34" s="2"/>
      <c r="FBZ34" s="2"/>
      <c r="FCA34" s="2"/>
      <c r="FCB34" s="2"/>
      <c r="FCC34" s="2"/>
      <c r="FCD34" s="2"/>
      <c r="FCE34" s="2"/>
      <c r="FCF34" s="2"/>
      <c r="FCG34" s="2"/>
      <c r="FCH34" s="2"/>
      <c r="FCI34" s="2"/>
      <c r="FCJ34" s="2"/>
      <c r="FCK34" s="2"/>
      <c r="FCL34" s="2"/>
      <c r="FCM34" s="2"/>
      <c r="FCN34" s="2"/>
      <c r="FCO34" s="2"/>
      <c r="FCP34" s="2"/>
      <c r="FCQ34" s="2"/>
      <c r="FCR34" s="2"/>
      <c r="FCS34" s="2"/>
      <c r="FCT34" s="2"/>
      <c r="FCU34" s="2"/>
      <c r="FCV34" s="2"/>
      <c r="FCW34" s="2"/>
      <c r="FCX34" s="2"/>
      <c r="FCY34" s="2"/>
      <c r="FCZ34" s="2"/>
      <c r="FDA34" s="2"/>
      <c r="FDB34" s="2"/>
      <c r="FDC34" s="2"/>
      <c r="FDD34" s="2"/>
      <c r="FDE34" s="2"/>
      <c r="FDF34" s="2"/>
      <c r="FDG34" s="2"/>
      <c r="FDH34" s="2"/>
      <c r="FDI34" s="2"/>
      <c r="FDJ34" s="2"/>
      <c r="FDK34" s="2"/>
      <c r="FDL34" s="2"/>
      <c r="FDM34" s="2"/>
      <c r="FDN34" s="2"/>
      <c r="FDO34" s="2"/>
      <c r="FDP34" s="2"/>
      <c r="FDQ34" s="2"/>
      <c r="FDR34" s="2"/>
      <c r="FDS34" s="2"/>
      <c r="FDT34" s="2"/>
      <c r="FDU34" s="2"/>
      <c r="FDV34" s="2"/>
      <c r="FDW34" s="2"/>
      <c r="FDX34" s="2"/>
      <c r="FDY34" s="2"/>
      <c r="FDZ34" s="2"/>
      <c r="FEA34" s="2"/>
      <c r="FEB34" s="2"/>
      <c r="FEC34" s="2"/>
      <c r="FED34" s="2"/>
      <c r="FEE34" s="2"/>
      <c r="FEF34" s="2"/>
      <c r="FEG34" s="2"/>
      <c r="FEH34" s="2"/>
      <c r="FEI34" s="2"/>
      <c r="FEJ34" s="2"/>
      <c r="FEK34" s="2"/>
      <c r="FEL34" s="2"/>
      <c r="FEM34" s="2"/>
      <c r="FEN34" s="2"/>
      <c r="FEO34" s="2"/>
      <c r="FEP34" s="2"/>
      <c r="FEQ34" s="2"/>
      <c r="FER34" s="2"/>
      <c r="FES34" s="2"/>
      <c r="FET34" s="2"/>
      <c r="FEU34" s="2"/>
      <c r="FEV34" s="2"/>
      <c r="FEW34" s="2"/>
      <c r="FEX34" s="2"/>
      <c r="FEY34" s="2"/>
      <c r="FEZ34" s="2"/>
      <c r="FFA34" s="2"/>
      <c r="FFB34" s="2"/>
      <c r="FFC34" s="2"/>
      <c r="FFD34" s="2"/>
      <c r="FFE34" s="2"/>
      <c r="FFF34" s="2"/>
      <c r="FFG34" s="2"/>
      <c r="FFH34" s="2"/>
      <c r="FFI34" s="2"/>
      <c r="FFJ34" s="2"/>
      <c r="FFK34" s="2"/>
      <c r="FFL34" s="2"/>
      <c r="FFM34" s="2"/>
      <c r="FFN34" s="2"/>
      <c r="FFO34" s="2"/>
      <c r="FFP34" s="2"/>
      <c r="FFQ34" s="2"/>
      <c r="FFR34" s="2"/>
      <c r="FFS34" s="2"/>
      <c r="FFT34" s="2"/>
      <c r="FFU34" s="2"/>
      <c r="FFV34" s="2"/>
      <c r="FFW34" s="2"/>
      <c r="FFX34" s="2"/>
      <c r="FFY34" s="2"/>
      <c r="FFZ34" s="2"/>
      <c r="FGA34" s="2"/>
      <c r="FGB34" s="2"/>
      <c r="FGC34" s="2"/>
      <c r="FGD34" s="2"/>
      <c r="FGE34" s="2"/>
      <c r="FGF34" s="2"/>
      <c r="FGG34" s="2"/>
      <c r="FGH34" s="2"/>
      <c r="FGI34" s="2"/>
      <c r="FGJ34" s="2"/>
      <c r="FGK34" s="2"/>
      <c r="FGL34" s="2"/>
      <c r="FGM34" s="2"/>
      <c r="FGN34" s="2"/>
      <c r="FGO34" s="2"/>
      <c r="FGP34" s="2"/>
      <c r="FGQ34" s="2"/>
      <c r="FGR34" s="2"/>
      <c r="FGS34" s="2"/>
      <c r="FGT34" s="2"/>
      <c r="FGU34" s="2"/>
      <c r="FGV34" s="2"/>
      <c r="FGW34" s="2"/>
      <c r="FGX34" s="2"/>
      <c r="FGY34" s="2"/>
      <c r="FGZ34" s="2"/>
      <c r="FHA34" s="2"/>
      <c r="FHB34" s="2"/>
      <c r="FHC34" s="2"/>
      <c r="FHD34" s="2"/>
      <c r="FHE34" s="2"/>
      <c r="FHF34" s="2"/>
      <c r="FHG34" s="2"/>
      <c r="FHH34" s="2"/>
      <c r="FHI34" s="2"/>
      <c r="FHJ34" s="2"/>
      <c r="FHK34" s="2"/>
      <c r="FHL34" s="2"/>
      <c r="FHM34" s="2"/>
      <c r="FHN34" s="2"/>
      <c r="FHO34" s="2"/>
      <c r="FHP34" s="2"/>
      <c r="FHQ34" s="2"/>
      <c r="FHR34" s="2"/>
      <c r="FHS34" s="2"/>
      <c r="FHT34" s="2"/>
      <c r="FHU34" s="2"/>
      <c r="FHV34" s="2"/>
      <c r="FHW34" s="2"/>
      <c r="FHX34" s="2"/>
      <c r="FHY34" s="2"/>
      <c r="FHZ34" s="2"/>
      <c r="FIA34" s="2"/>
      <c r="FIB34" s="2"/>
      <c r="FIC34" s="2"/>
      <c r="FID34" s="2"/>
      <c r="FIE34" s="2"/>
      <c r="FIF34" s="2"/>
      <c r="FIG34" s="2"/>
      <c r="FIH34" s="2"/>
      <c r="FII34" s="2"/>
      <c r="FIJ34" s="2"/>
      <c r="FIK34" s="2"/>
      <c r="FIL34" s="2"/>
      <c r="FIM34" s="2"/>
      <c r="FIN34" s="2"/>
      <c r="FIO34" s="2"/>
      <c r="FIP34" s="2"/>
      <c r="FIQ34" s="2"/>
      <c r="FIR34" s="2"/>
      <c r="FIS34" s="2"/>
      <c r="FIT34" s="2"/>
      <c r="FIU34" s="2"/>
      <c r="FIV34" s="2"/>
      <c r="FIW34" s="2"/>
      <c r="FIX34" s="2"/>
      <c r="FIY34" s="2"/>
      <c r="FIZ34" s="2"/>
      <c r="FJA34" s="2"/>
      <c r="FJB34" s="2"/>
      <c r="FJC34" s="2"/>
      <c r="FJD34" s="2"/>
      <c r="FJE34" s="2"/>
      <c r="FJF34" s="2"/>
      <c r="FJG34" s="2"/>
      <c r="FJH34" s="2"/>
      <c r="FJI34" s="2"/>
      <c r="FJJ34" s="2"/>
      <c r="FJK34" s="2"/>
      <c r="FJL34" s="2"/>
      <c r="FJM34" s="2"/>
      <c r="FJN34" s="2"/>
      <c r="FJO34" s="2"/>
      <c r="FJP34" s="2"/>
      <c r="FJQ34" s="2"/>
      <c r="FJR34" s="2"/>
      <c r="FJS34" s="2"/>
      <c r="FJT34" s="2"/>
      <c r="FJU34" s="2"/>
      <c r="FJV34" s="2"/>
      <c r="FJW34" s="2"/>
      <c r="FJX34" s="2"/>
      <c r="FJY34" s="2"/>
      <c r="FJZ34" s="2"/>
      <c r="FKA34" s="2"/>
      <c r="FKB34" s="2"/>
      <c r="FKC34" s="2"/>
      <c r="FKD34" s="2"/>
      <c r="FKE34" s="2"/>
      <c r="FKF34" s="2"/>
      <c r="FKG34" s="2"/>
      <c r="FKH34" s="2"/>
      <c r="FKI34" s="2"/>
      <c r="FKJ34" s="2"/>
      <c r="FKK34" s="2"/>
      <c r="FKL34" s="2"/>
      <c r="FKM34" s="2"/>
      <c r="FKN34" s="2"/>
      <c r="FKO34" s="2"/>
      <c r="FKP34" s="2"/>
      <c r="FKQ34" s="2"/>
      <c r="FKR34" s="2"/>
      <c r="FKS34" s="2"/>
      <c r="FKT34" s="2"/>
      <c r="FKU34" s="2"/>
      <c r="FKV34" s="2"/>
      <c r="FKW34" s="2"/>
      <c r="FKX34" s="2"/>
      <c r="FKY34" s="2"/>
      <c r="FKZ34" s="2"/>
      <c r="FLA34" s="2"/>
      <c r="FLB34" s="2"/>
      <c r="FLC34" s="2"/>
      <c r="FLD34" s="2"/>
      <c r="FLE34" s="2"/>
      <c r="FLF34" s="2"/>
      <c r="FLG34" s="2"/>
      <c r="FLH34" s="2"/>
      <c r="FLI34" s="2"/>
      <c r="FLJ34" s="2"/>
      <c r="FLK34" s="2"/>
      <c r="FLL34" s="2"/>
      <c r="FLM34" s="2"/>
      <c r="FLN34" s="2"/>
      <c r="FLO34" s="2"/>
      <c r="FLP34" s="2"/>
      <c r="FLQ34" s="2"/>
      <c r="FLR34" s="2"/>
      <c r="FLS34" s="2"/>
      <c r="FLT34" s="2"/>
      <c r="FLU34" s="2"/>
      <c r="FLV34" s="2"/>
      <c r="FLW34" s="2"/>
      <c r="FLX34" s="2"/>
      <c r="FLY34" s="2"/>
      <c r="FLZ34" s="2"/>
      <c r="FMA34" s="2"/>
      <c r="FMB34" s="2"/>
      <c r="FMC34" s="2"/>
      <c r="FMD34" s="2"/>
      <c r="FME34" s="2"/>
      <c r="FMF34" s="2"/>
      <c r="FMG34" s="2"/>
      <c r="FMH34" s="2"/>
      <c r="FMI34" s="2"/>
      <c r="FMJ34" s="2"/>
      <c r="FMK34" s="2"/>
      <c r="FML34" s="2"/>
      <c r="FMM34" s="2"/>
      <c r="FMN34" s="2"/>
      <c r="FMO34" s="2"/>
      <c r="FMP34" s="2"/>
      <c r="FMQ34" s="2"/>
      <c r="FMR34" s="2"/>
      <c r="FMS34" s="2"/>
      <c r="FMT34" s="2"/>
      <c r="FMU34" s="2"/>
      <c r="FMV34" s="2"/>
      <c r="FMW34" s="2"/>
      <c r="FMX34" s="2"/>
      <c r="FMY34" s="2"/>
      <c r="FMZ34" s="2"/>
      <c r="FNA34" s="2"/>
      <c r="FNB34" s="2"/>
      <c r="FNC34" s="2"/>
      <c r="FND34" s="2"/>
      <c r="FNE34" s="2"/>
      <c r="FNF34" s="2"/>
      <c r="FNG34" s="2"/>
      <c r="FNH34" s="2"/>
      <c r="FNI34" s="2"/>
      <c r="FNJ34" s="2"/>
      <c r="FNK34" s="2"/>
      <c r="FNL34" s="2"/>
      <c r="FNM34" s="2"/>
      <c r="FNN34" s="2"/>
      <c r="FNO34" s="2"/>
      <c r="FNP34" s="2"/>
      <c r="FNQ34" s="2"/>
      <c r="FNR34" s="2"/>
      <c r="FNS34" s="2"/>
      <c r="FNT34" s="2"/>
      <c r="FNU34" s="2"/>
      <c r="FNV34" s="2"/>
      <c r="FNW34" s="2"/>
      <c r="FNX34" s="2"/>
      <c r="FNY34" s="2"/>
      <c r="FNZ34" s="2"/>
      <c r="FOA34" s="2"/>
      <c r="FOB34" s="2"/>
      <c r="FOC34" s="2"/>
      <c r="FOD34" s="2"/>
      <c r="FOE34" s="2"/>
      <c r="FOF34" s="2"/>
      <c r="FOG34" s="2"/>
      <c r="FOH34" s="2"/>
      <c r="FOI34" s="2"/>
      <c r="FOJ34" s="2"/>
      <c r="FOK34" s="2"/>
      <c r="FOL34" s="2"/>
      <c r="FOM34" s="2"/>
      <c r="FON34" s="2"/>
      <c r="FOO34" s="2"/>
      <c r="FOP34" s="2"/>
      <c r="FOQ34" s="2"/>
      <c r="FOR34" s="2"/>
      <c r="FOS34" s="2"/>
      <c r="FOT34" s="2"/>
      <c r="FOU34" s="2"/>
      <c r="FOV34" s="2"/>
      <c r="FOW34" s="2"/>
      <c r="FOX34" s="2"/>
      <c r="FOY34" s="2"/>
      <c r="FOZ34" s="2"/>
      <c r="FPA34" s="2"/>
      <c r="FPB34" s="2"/>
      <c r="FPC34" s="2"/>
      <c r="FPD34" s="2"/>
      <c r="FPE34" s="2"/>
      <c r="FPF34" s="2"/>
      <c r="FPG34" s="2"/>
      <c r="FPH34" s="2"/>
      <c r="FPI34" s="2"/>
      <c r="FPJ34" s="2"/>
      <c r="FPK34" s="2"/>
      <c r="FPL34" s="2"/>
      <c r="FPM34" s="2"/>
      <c r="FPN34" s="2"/>
      <c r="FPO34" s="2"/>
      <c r="FPP34" s="2"/>
      <c r="FPQ34" s="2"/>
      <c r="FPR34" s="2"/>
      <c r="FPS34" s="2"/>
      <c r="FPT34" s="2"/>
      <c r="FPU34" s="2"/>
      <c r="FPV34" s="2"/>
      <c r="FPW34" s="2"/>
      <c r="FPX34" s="2"/>
      <c r="FPY34" s="2"/>
      <c r="FPZ34" s="2"/>
      <c r="FQA34" s="2"/>
      <c r="FQB34" s="2"/>
      <c r="FQC34" s="2"/>
      <c r="FQD34" s="2"/>
      <c r="FQE34" s="2"/>
      <c r="FQF34" s="2"/>
      <c r="FQG34" s="2"/>
      <c r="FQH34" s="2"/>
      <c r="FQI34" s="2"/>
      <c r="FQJ34" s="2"/>
      <c r="FQK34" s="2"/>
      <c r="FQL34" s="2"/>
      <c r="FQM34" s="2"/>
      <c r="FQN34" s="2"/>
      <c r="FQO34" s="2"/>
      <c r="FQP34" s="2"/>
      <c r="FQQ34" s="2"/>
      <c r="FQR34" s="2"/>
      <c r="FQS34" s="2"/>
      <c r="FQT34" s="2"/>
      <c r="FQU34" s="2"/>
      <c r="FQV34" s="2"/>
      <c r="FQW34" s="2"/>
      <c r="FQX34" s="2"/>
      <c r="FQY34" s="2"/>
      <c r="FQZ34" s="2"/>
      <c r="FRA34" s="2"/>
      <c r="FRB34" s="2"/>
      <c r="FRC34" s="2"/>
      <c r="FRD34" s="2"/>
      <c r="FRE34" s="2"/>
      <c r="FRF34" s="2"/>
      <c r="FRG34" s="2"/>
      <c r="FRH34" s="2"/>
      <c r="FRI34" s="2"/>
      <c r="FRJ34" s="2"/>
      <c r="FRK34" s="2"/>
      <c r="FRL34" s="2"/>
      <c r="FRM34" s="2"/>
      <c r="FRN34" s="2"/>
      <c r="FRO34" s="2"/>
      <c r="FRP34" s="2"/>
      <c r="FRQ34" s="2"/>
      <c r="FRR34" s="2"/>
      <c r="FRS34" s="2"/>
      <c r="FRT34" s="2"/>
      <c r="FRU34" s="2"/>
      <c r="FRV34" s="2"/>
      <c r="FRW34" s="2"/>
      <c r="FRX34" s="2"/>
      <c r="FRY34" s="2"/>
      <c r="FRZ34" s="2"/>
      <c r="FSA34" s="2"/>
      <c r="FSB34" s="2"/>
      <c r="FSC34" s="2"/>
      <c r="FSD34" s="2"/>
      <c r="FSE34" s="2"/>
      <c r="FSF34" s="2"/>
      <c r="FSG34" s="2"/>
      <c r="FSH34" s="2"/>
      <c r="FSI34" s="2"/>
      <c r="FSJ34" s="2"/>
      <c r="FSK34" s="2"/>
      <c r="FSL34" s="2"/>
      <c r="FSM34" s="2"/>
      <c r="FSN34" s="2"/>
      <c r="FSO34" s="2"/>
      <c r="FSP34" s="2"/>
      <c r="FSQ34" s="2"/>
      <c r="FSR34" s="2"/>
      <c r="FSS34" s="2"/>
      <c r="FST34" s="2"/>
      <c r="FSU34" s="2"/>
      <c r="FSV34" s="2"/>
      <c r="FSW34" s="2"/>
      <c r="FSX34" s="2"/>
      <c r="FSY34" s="2"/>
      <c r="FSZ34" s="2"/>
      <c r="FTA34" s="2"/>
      <c r="FTB34" s="2"/>
      <c r="FTC34" s="2"/>
      <c r="FTD34" s="2"/>
      <c r="FTE34" s="2"/>
      <c r="FTF34" s="2"/>
      <c r="FTG34" s="2"/>
      <c r="FTH34" s="2"/>
      <c r="FTI34" s="2"/>
      <c r="FTJ34" s="2"/>
      <c r="FTK34" s="2"/>
      <c r="FTL34" s="2"/>
      <c r="FTM34" s="2"/>
      <c r="FTN34" s="2"/>
      <c r="FTO34" s="2"/>
      <c r="FTP34" s="2"/>
      <c r="FTQ34" s="2"/>
      <c r="FTR34" s="2"/>
      <c r="FTS34" s="2"/>
      <c r="FTT34" s="2"/>
      <c r="FTU34" s="2"/>
      <c r="FTV34" s="2"/>
      <c r="FTW34" s="2"/>
      <c r="FTX34" s="2"/>
      <c r="FTY34" s="2"/>
      <c r="FTZ34" s="2"/>
      <c r="FUA34" s="2"/>
      <c r="FUB34" s="2"/>
      <c r="FUC34" s="2"/>
      <c r="FUD34" s="2"/>
      <c r="FUE34" s="2"/>
      <c r="FUF34" s="2"/>
      <c r="FUG34" s="2"/>
      <c r="FUH34" s="2"/>
      <c r="FUI34" s="2"/>
      <c r="FUJ34" s="2"/>
      <c r="FUK34" s="2"/>
      <c r="FUL34" s="2"/>
      <c r="FUM34" s="2"/>
      <c r="FUN34" s="2"/>
      <c r="FUO34" s="2"/>
      <c r="FUP34" s="2"/>
      <c r="FUQ34" s="2"/>
      <c r="FUR34" s="2"/>
      <c r="FUS34" s="2"/>
      <c r="FUT34" s="2"/>
      <c r="FUU34" s="2"/>
      <c r="FUV34" s="2"/>
      <c r="FUW34" s="2"/>
      <c r="FUX34" s="2"/>
      <c r="FUY34" s="2"/>
      <c r="FUZ34" s="2"/>
      <c r="FVA34" s="2"/>
      <c r="FVB34" s="2"/>
      <c r="FVC34" s="2"/>
      <c r="FVD34" s="2"/>
      <c r="FVE34" s="2"/>
      <c r="FVF34" s="2"/>
      <c r="FVG34" s="2"/>
      <c r="FVH34" s="2"/>
      <c r="FVI34" s="2"/>
      <c r="FVJ34" s="2"/>
      <c r="FVK34" s="2"/>
      <c r="FVL34" s="2"/>
      <c r="FVM34" s="2"/>
      <c r="FVN34" s="2"/>
      <c r="FVO34" s="2"/>
      <c r="FVP34" s="2"/>
      <c r="FVQ34" s="2"/>
      <c r="FVR34" s="2"/>
      <c r="FVS34" s="2"/>
      <c r="FVT34" s="2"/>
      <c r="FVU34" s="2"/>
      <c r="FVV34" s="2"/>
      <c r="FVW34" s="2"/>
      <c r="FVX34" s="2"/>
      <c r="FVY34" s="2"/>
      <c r="FVZ34" s="2"/>
      <c r="FWA34" s="2"/>
      <c r="FWB34" s="2"/>
      <c r="FWC34" s="2"/>
      <c r="FWD34" s="2"/>
      <c r="FWE34" s="2"/>
      <c r="FWF34" s="2"/>
      <c r="FWG34" s="2"/>
      <c r="FWH34" s="2"/>
      <c r="FWI34" s="2"/>
      <c r="FWJ34" s="2"/>
      <c r="FWK34" s="2"/>
      <c r="FWL34" s="2"/>
      <c r="FWM34" s="2"/>
      <c r="FWN34" s="2"/>
      <c r="FWO34" s="2"/>
      <c r="FWP34" s="2"/>
      <c r="FWQ34" s="2"/>
      <c r="FWR34" s="2"/>
      <c r="FWS34" s="2"/>
      <c r="FWT34" s="2"/>
      <c r="FWU34" s="2"/>
      <c r="FWV34" s="2"/>
      <c r="FWW34" s="2"/>
      <c r="FWX34" s="2"/>
      <c r="FWY34" s="2"/>
      <c r="FWZ34" s="2"/>
      <c r="FXA34" s="2"/>
      <c r="FXB34" s="2"/>
      <c r="FXC34" s="2"/>
      <c r="FXD34" s="2"/>
      <c r="FXE34" s="2"/>
      <c r="FXF34" s="2"/>
      <c r="FXG34" s="2"/>
      <c r="FXH34" s="2"/>
      <c r="FXI34" s="2"/>
      <c r="FXJ34" s="2"/>
      <c r="FXK34" s="2"/>
      <c r="FXL34" s="2"/>
      <c r="FXM34" s="2"/>
      <c r="FXN34" s="2"/>
      <c r="FXO34" s="2"/>
      <c r="FXP34" s="2"/>
      <c r="FXQ34" s="2"/>
      <c r="FXR34" s="2"/>
      <c r="FXS34" s="2"/>
      <c r="FXT34" s="2"/>
      <c r="FXU34" s="2"/>
      <c r="FXV34" s="2"/>
      <c r="FXW34" s="2"/>
      <c r="FXX34" s="2"/>
      <c r="FXY34" s="2"/>
      <c r="FXZ34" s="2"/>
      <c r="FYA34" s="2"/>
      <c r="FYB34" s="2"/>
      <c r="FYC34" s="2"/>
      <c r="FYD34" s="2"/>
      <c r="FYE34" s="2"/>
      <c r="FYF34" s="2"/>
      <c r="FYG34" s="2"/>
      <c r="FYH34" s="2"/>
      <c r="FYI34" s="2"/>
      <c r="FYJ34" s="2"/>
      <c r="FYK34" s="2"/>
      <c r="FYL34" s="2"/>
      <c r="FYM34" s="2"/>
      <c r="FYN34" s="2"/>
      <c r="FYO34" s="2"/>
      <c r="FYP34" s="2"/>
      <c r="FYQ34" s="2"/>
      <c r="FYR34" s="2"/>
      <c r="FYS34" s="2"/>
      <c r="FYT34" s="2"/>
      <c r="FYU34" s="2"/>
      <c r="FYV34" s="2"/>
      <c r="FYW34" s="2"/>
      <c r="FYX34" s="2"/>
      <c r="FYY34" s="2"/>
      <c r="FYZ34" s="2"/>
      <c r="FZA34" s="2"/>
      <c r="FZB34" s="2"/>
      <c r="FZC34" s="2"/>
      <c r="FZD34" s="2"/>
      <c r="FZE34" s="2"/>
      <c r="FZF34" s="2"/>
      <c r="FZG34" s="2"/>
      <c r="FZH34" s="2"/>
      <c r="FZI34" s="2"/>
      <c r="FZJ34" s="2"/>
      <c r="FZK34" s="2"/>
      <c r="FZL34" s="2"/>
      <c r="FZM34" s="2"/>
      <c r="FZN34" s="2"/>
      <c r="FZO34" s="2"/>
      <c r="FZP34" s="2"/>
      <c r="FZQ34" s="2"/>
      <c r="FZR34" s="2"/>
      <c r="FZS34" s="2"/>
      <c r="FZT34" s="2"/>
      <c r="FZU34" s="2"/>
      <c r="FZV34" s="2"/>
      <c r="FZW34" s="2"/>
      <c r="FZX34" s="2"/>
      <c r="FZY34" s="2"/>
      <c r="FZZ34" s="2"/>
      <c r="GAA34" s="2"/>
      <c r="GAB34" s="2"/>
      <c r="GAC34" s="2"/>
      <c r="GAD34" s="2"/>
      <c r="GAE34" s="2"/>
      <c r="GAF34" s="2"/>
      <c r="GAG34" s="2"/>
      <c r="GAH34" s="2"/>
      <c r="GAI34" s="2"/>
      <c r="GAJ34" s="2"/>
      <c r="GAK34" s="2"/>
      <c r="GAL34" s="2"/>
      <c r="GAM34" s="2"/>
      <c r="GAN34" s="2"/>
      <c r="GAO34" s="2"/>
      <c r="GAP34" s="2"/>
      <c r="GAQ34" s="2"/>
      <c r="GAR34" s="2"/>
      <c r="GAS34" s="2"/>
      <c r="GAT34" s="2"/>
      <c r="GAU34" s="2"/>
      <c r="GAV34" s="2"/>
      <c r="GAW34" s="2"/>
      <c r="GAX34" s="2"/>
      <c r="GAY34" s="2"/>
      <c r="GAZ34" s="2"/>
      <c r="GBA34" s="2"/>
      <c r="GBB34" s="2"/>
      <c r="GBC34" s="2"/>
      <c r="GBD34" s="2"/>
      <c r="GBE34" s="2"/>
      <c r="GBF34" s="2"/>
      <c r="GBG34" s="2"/>
      <c r="GBH34" s="2"/>
      <c r="GBI34" s="2"/>
      <c r="GBJ34" s="2"/>
      <c r="GBK34" s="2"/>
      <c r="GBL34" s="2"/>
      <c r="GBM34" s="2"/>
      <c r="GBN34" s="2"/>
      <c r="GBO34" s="2"/>
      <c r="GBP34" s="2"/>
      <c r="GBQ34" s="2"/>
      <c r="GBR34" s="2"/>
      <c r="GBS34" s="2"/>
      <c r="GBT34" s="2"/>
      <c r="GBU34" s="2"/>
      <c r="GBV34" s="2"/>
      <c r="GBW34" s="2"/>
      <c r="GBX34" s="2"/>
      <c r="GBY34" s="2"/>
      <c r="GBZ34" s="2"/>
      <c r="GCA34" s="2"/>
      <c r="GCB34" s="2"/>
      <c r="GCC34" s="2"/>
      <c r="GCD34" s="2"/>
      <c r="GCE34" s="2"/>
      <c r="GCF34" s="2"/>
      <c r="GCG34" s="2"/>
      <c r="GCH34" s="2"/>
      <c r="GCI34" s="2"/>
      <c r="GCJ34" s="2"/>
      <c r="GCK34" s="2"/>
      <c r="GCL34" s="2"/>
      <c r="GCM34" s="2"/>
      <c r="GCN34" s="2"/>
      <c r="GCO34" s="2"/>
      <c r="GCP34" s="2"/>
      <c r="GCQ34" s="2"/>
      <c r="GCR34" s="2"/>
      <c r="GCS34" s="2"/>
      <c r="GCT34" s="2"/>
      <c r="GCU34" s="2"/>
      <c r="GCV34" s="2"/>
      <c r="GCW34" s="2"/>
      <c r="GCX34" s="2"/>
      <c r="GCY34" s="2"/>
      <c r="GCZ34" s="2"/>
      <c r="GDA34" s="2"/>
      <c r="GDB34" s="2"/>
      <c r="GDC34" s="2"/>
      <c r="GDD34" s="2"/>
      <c r="GDE34" s="2"/>
      <c r="GDF34" s="2"/>
      <c r="GDG34" s="2"/>
      <c r="GDH34" s="2"/>
      <c r="GDI34" s="2"/>
      <c r="GDJ34" s="2"/>
      <c r="GDK34" s="2"/>
      <c r="GDL34" s="2"/>
      <c r="GDM34" s="2"/>
      <c r="GDN34" s="2"/>
      <c r="GDO34" s="2"/>
      <c r="GDP34" s="2"/>
      <c r="GDQ34" s="2"/>
      <c r="GDR34" s="2"/>
      <c r="GDS34" s="2"/>
      <c r="GDT34" s="2"/>
      <c r="GDU34" s="2"/>
      <c r="GDV34" s="2"/>
      <c r="GDW34" s="2"/>
      <c r="GDX34" s="2"/>
      <c r="GDY34" s="2"/>
      <c r="GDZ34" s="2"/>
      <c r="GEA34" s="2"/>
      <c r="GEB34" s="2"/>
      <c r="GEC34" s="2"/>
      <c r="GED34" s="2"/>
      <c r="GEE34" s="2"/>
      <c r="GEF34" s="2"/>
      <c r="GEG34" s="2"/>
      <c r="GEH34" s="2"/>
      <c r="GEI34" s="2"/>
      <c r="GEJ34" s="2"/>
      <c r="GEK34" s="2"/>
      <c r="GEL34" s="2"/>
      <c r="GEM34" s="2"/>
      <c r="GEN34" s="2"/>
      <c r="GEO34" s="2"/>
      <c r="GEP34" s="2"/>
      <c r="GEQ34" s="2"/>
      <c r="GER34" s="2"/>
      <c r="GES34" s="2"/>
      <c r="GET34" s="2"/>
      <c r="GEU34" s="2"/>
      <c r="GEV34" s="2"/>
      <c r="GEW34" s="2"/>
      <c r="GEX34" s="2"/>
      <c r="GEY34" s="2"/>
      <c r="GEZ34" s="2"/>
      <c r="GFA34" s="2"/>
      <c r="GFB34" s="2"/>
      <c r="GFC34" s="2"/>
      <c r="GFD34" s="2"/>
      <c r="GFE34" s="2"/>
      <c r="GFF34" s="2"/>
      <c r="GFG34" s="2"/>
      <c r="GFH34" s="2"/>
      <c r="GFI34" s="2"/>
      <c r="GFJ34" s="2"/>
      <c r="GFK34" s="2"/>
      <c r="GFL34" s="2"/>
      <c r="GFM34" s="2"/>
      <c r="GFN34" s="2"/>
      <c r="GFO34" s="2"/>
      <c r="GFP34" s="2"/>
      <c r="GFQ34" s="2"/>
      <c r="GFR34" s="2"/>
      <c r="GFS34" s="2"/>
      <c r="GFT34" s="2"/>
      <c r="GFU34" s="2"/>
      <c r="GFV34" s="2"/>
      <c r="GFW34" s="2"/>
      <c r="GFX34" s="2"/>
      <c r="GFY34" s="2"/>
      <c r="GFZ34" s="2"/>
      <c r="GGA34" s="2"/>
      <c r="GGB34" s="2"/>
      <c r="GGC34" s="2"/>
      <c r="GGD34" s="2"/>
      <c r="GGE34" s="2"/>
      <c r="GGF34" s="2"/>
      <c r="GGG34" s="2"/>
      <c r="GGH34" s="2"/>
      <c r="GGI34" s="2"/>
      <c r="GGJ34" s="2"/>
      <c r="GGK34" s="2"/>
      <c r="GGL34" s="2"/>
      <c r="GGM34" s="2"/>
      <c r="GGN34" s="2"/>
      <c r="GGO34" s="2"/>
      <c r="GGP34" s="2"/>
      <c r="GGQ34" s="2"/>
      <c r="GGR34" s="2"/>
      <c r="GGS34" s="2"/>
      <c r="GGT34" s="2"/>
      <c r="GGU34" s="2"/>
      <c r="GGV34" s="2"/>
      <c r="GGW34" s="2"/>
      <c r="GGX34" s="2"/>
      <c r="GGY34" s="2"/>
      <c r="GGZ34" s="2"/>
      <c r="GHA34" s="2"/>
      <c r="GHB34" s="2"/>
      <c r="GHC34" s="2"/>
      <c r="GHD34" s="2"/>
      <c r="GHE34" s="2"/>
      <c r="GHF34" s="2"/>
      <c r="GHG34" s="2"/>
      <c r="GHH34" s="2"/>
      <c r="GHI34" s="2"/>
      <c r="GHJ34" s="2"/>
      <c r="GHK34" s="2"/>
      <c r="GHL34" s="2"/>
      <c r="GHM34" s="2"/>
      <c r="GHN34" s="2"/>
      <c r="GHO34" s="2"/>
      <c r="GHP34" s="2"/>
      <c r="GHQ34" s="2"/>
      <c r="GHR34" s="2"/>
      <c r="GHS34" s="2"/>
      <c r="GHT34" s="2"/>
      <c r="GHU34" s="2"/>
      <c r="GHV34" s="2"/>
      <c r="GHW34" s="2"/>
      <c r="GHX34" s="2"/>
      <c r="GHY34" s="2"/>
      <c r="GHZ34" s="2"/>
      <c r="GIA34" s="2"/>
      <c r="GIB34" s="2"/>
      <c r="GIC34" s="2"/>
      <c r="GID34" s="2"/>
      <c r="GIE34" s="2"/>
      <c r="GIF34" s="2"/>
      <c r="GIG34" s="2"/>
      <c r="GIH34" s="2"/>
      <c r="GII34" s="2"/>
      <c r="GIJ34" s="2"/>
      <c r="GIK34" s="2"/>
      <c r="GIL34" s="2"/>
      <c r="GIM34" s="2"/>
      <c r="GIN34" s="2"/>
      <c r="GIO34" s="2"/>
      <c r="GIP34" s="2"/>
      <c r="GIQ34" s="2"/>
      <c r="GIR34" s="2"/>
      <c r="GIS34" s="2"/>
      <c r="GIT34" s="2"/>
      <c r="GIU34" s="2"/>
      <c r="GIV34" s="2"/>
      <c r="GIW34" s="2"/>
      <c r="GIX34" s="2"/>
      <c r="GIY34" s="2"/>
      <c r="GIZ34" s="2"/>
      <c r="GJA34" s="2"/>
      <c r="GJB34" s="2"/>
      <c r="GJC34" s="2"/>
      <c r="GJD34" s="2"/>
      <c r="GJE34" s="2"/>
      <c r="GJF34" s="2"/>
      <c r="GJG34" s="2"/>
      <c r="GJH34" s="2"/>
      <c r="GJI34" s="2"/>
      <c r="GJJ34" s="2"/>
      <c r="GJK34" s="2"/>
      <c r="GJL34" s="2"/>
      <c r="GJM34" s="2"/>
      <c r="GJN34" s="2"/>
      <c r="GJO34" s="2"/>
      <c r="GJP34" s="2"/>
      <c r="GJQ34" s="2"/>
      <c r="GJR34" s="2"/>
      <c r="GJS34" s="2"/>
      <c r="GJT34" s="2"/>
      <c r="GJU34" s="2"/>
      <c r="GJV34" s="2"/>
      <c r="GJW34" s="2"/>
      <c r="GJX34" s="2"/>
      <c r="GJY34" s="2"/>
      <c r="GJZ34" s="2"/>
      <c r="GKA34" s="2"/>
      <c r="GKB34" s="2"/>
      <c r="GKC34" s="2"/>
      <c r="GKD34" s="2"/>
      <c r="GKE34" s="2"/>
      <c r="GKF34" s="2"/>
      <c r="GKG34" s="2"/>
      <c r="GKH34" s="2"/>
      <c r="GKI34" s="2"/>
      <c r="GKJ34" s="2"/>
      <c r="GKK34" s="2"/>
      <c r="GKL34" s="2"/>
      <c r="GKM34" s="2"/>
      <c r="GKN34" s="2"/>
      <c r="GKO34" s="2"/>
      <c r="GKP34" s="2"/>
      <c r="GKQ34" s="2"/>
      <c r="GKR34" s="2"/>
      <c r="GKS34" s="2"/>
      <c r="GKT34" s="2"/>
      <c r="GKU34" s="2"/>
      <c r="GKV34" s="2"/>
      <c r="GKW34" s="2"/>
      <c r="GKX34" s="2"/>
      <c r="GKY34" s="2"/>
      <c r="GKZ34" s="2"/>
      <c r="GLA34" s="2"/>
      <c r="GLB34" s="2"/>
      <c r="GLC34" s="2"/>
      <c r="GLD34" s="2"/>
      <c r="GLE34" s="2"/>
      <c r="GLF34" s="2"/>
      <c r="GLG34" s="2"/>
      <c r="GLH34" s="2"/>
      <c r="GLI34" s="2"/>
      <c r="GLJ34" s="2"/>
      <c r="GLK34" s="2"/>
      <c r="GLL34" s="2"/>
      <c r="GLM34" s="2"/>
      <c r="GLN34" s="2"/>
      <c r="GLO34" s="2"/>
      <c r="GLP34" s="2"/>
      <c r="GLQ34" s="2"/>
      <c r="GLR34" s="2"/>
      <c r="GLS34" s="2"/>
      <c r="GLT34" s="2"/>
      <c r="GLU34" s="2"/>
      <c r="GLV34" s="2"/>
      <c r="GLW34" s="2"/>
      <c r="GLX34" s="2"/>
      <c r="GLY34" s="2"/>
      <c r="GLZ34" s="2"/>
      <c r="GMA34" s="2"/>
      <c r="GMB34" s="2"/>
      <c r="GMC34" s="2"/>
      <c r="GMD34" s="2"/>
      <c r="GME34" s="2"/>
      <c r="GMF34" s="2"/>
      <c r="GMG34" s="2"/>
      <c r="GMH34" s="2"/>
      <c r="GMI34" s="2"/>
      <c r="GMJ34" s="2"/>
      <c r="GMK34" s="2"/>
      <c r="GML34" s="2"/>
      <c r="GMM34" s="2"/>
      <c r="GMN34" s="2"/>
      <c r="GMO34" s="2"/>
      <c r="GMP34" s="2"/>
      <c r="GMQ34" s="2"/>
      <c r="GMR34" s="2"/>
      <c r="GMS34" s="2"/>
      <c r="GMT34" s="2"/>
      <c r="GMU34" s="2"/>
      <c r="GMV34" s="2"/>
      <c r="GMW34" s="2"/>
      <c r="GMX34" s="2"/>
      <c r="GMY34" s="2"/>
      <c r="GMZ34" s="2"/>
      <c r="GNA34" s="2"/>
      <c r="GNB34" s="2"/>
      <c r="GNC34" s="2"/>
      <c r="GND34" s="2"/>
      <c r="GNE34" s="2"/>
      <c r="GNF34" s="2"/>
      <c r="GNG34" s="2"/>
      <c r="GNH34" s="2"/>
      <c r="GNI34" s="2"/>
      <c r="GNJ34" s="2"/>
      <c r="GNK34" s="2"/>
      <c r="GNL34" s="2"/>
      <c r="GNM34" s="2"/>
      <c r="GNN34" s="2"/>
      <c r="GNO34" s="2"/>
      <c r="GNP34" s="2"/>
      <c r="GNQ34" s="2"/>
      <c r="GNR34" s="2"/>
      <c r="GNS34" s="2"/>
      <c r="GNT34" s="2"/>
      <c r="GNU34" s="2"/>
      <c r="GNV34" s="2"/>
      <c r="GNW34" s="2"/>
      <c r="GNX34" s="2"/>
      <c r="GNY34" s="2"/>
      <c r="GNZ34" s="2"/>
      <c r="GOA34" s="2"/>
      <c r="GOB34" s="2"/>
      <c r="GOC34" s="2"/>
      <c r="GOD34" s="2"/>
      <c r="GOE34" s="2"/>
      <c r="GOF34" s="2"/>
      <c r="GOG34" s="2"/>
      <c r="GOH34" s="2"/>
      <c r="GOI34" s="2"/>
      <c r="GOJ34" s="2"/>
      <c r="GOK34" s="2"/>
      <c r="GOL34" s="2"/>
      <c r="GOM34" s="2"/>
      <c r="GON34" s="2"/>
      <c r="GOO34" s="2"/>
      <c r="GOP34" s="2"/>
      <c r="GOQ34" s="2"/>
      <c r="GOR34" s="2"/>
      <c r="GOS34" s="2"/>
      <c r="GOT34" s="2"/>
      <c r="GOU34" s="2"/>
      <c r="GOV34" s="2"/>
      <c r="GOW34" s="2"/>
      <c r="GOX34" s="2"/>
      <c r="GOY34" s="2"/>
      <c r="GOZ34" s="2"/>
      <c r="GPA34" s="2"/>
      <c r="GPB34" s="2"/>
      <c r="GPC34" s="2"/>
      <c r="GPD34" s="2"/>
      <c r="GPE34" s="2"/>
      <c r="GPF34" s="2"/>
      <c r="GPG34" s="2"/>
      <c r="GPH34" s="2"/>
      <c r="GPI34" s="2"/>
      <c r="GPJ34" s="2"/>
      <c r="GPK34" s="2"/>
      <c r="GPL34" s="2"/>
      <c r="GPM34" s="2"/>
      <c r="GPN34" s="2"/>
      <c r="GPO34" s="2"/>
      <c r="GPP34" s="2"/>
      <c r="GPQ34" s="2"/>
      <c r="GPR34" s="2"/>
      <c r="GPS34" s="2"/>
      <c r="GPT34" s="2"/>
      <c r="GPU34" s="2"/>
      <c r="GPV34" s="2"/>
      <c r="GPW34" s="2"/>
      <c r="GPX34" s="2"/>
      <c r="GPY34" s="2"/>
      <c r="GPZ34" s="2"/>
      <c r="GQA34" s="2"/>
      <c r="GQB34" s="2"/>
      <c r="GQC34" s="2"/>
      <c r="GQD34" s="2"/>
      <c r="GQE34" s="2"/>
      <c r="GQF34" s="2"/>
      <c r="GQG34" s="2"/>
      <c r="GQH34" s="2"/>
      <c r="GQI34" s="2"/>
      <c r="GQJ34" s="2"/>
      <c r="GQK34" s="2"/>
      <c r="GQL34" s="2"/>
      <c r="GQM34" s="2"/>
      <c r="GQN34" s="2"/>
      <c r="GQO34" s="2"/>
      <c r="GQP34" s="2"/>
      <c r="GQQ34" s="2"/>
      <c r="GQR34" s="2"/>
      <c r="GQS34" s="2"/>
      <c r="GQT34" s="2"/>
      <c r="GQU34" s="2"/>
      <c r="GQV34" s="2"/>
      <c r="GQW34" s="2"/>
      <c r="GQX34" s="2"/>
      <c r="GQY34" s="2"/>
      <c r="GQZ34" s="2"/>
      <c r="GRA34" s="2"/>
      <c r="GRB34" s="2"/>
      <c r="GRC34" s="2"/>
      <c r="GRD34" s="2"/>
      <c r="GRE34" s="2"/>
      <c r="GRF34" s="2"/>
      <c r="GRG34" s="2"/>
      <c r="GRH34" s="2"/>
      <c r="GRI34" s="2"/>
      <c r="GRJ34" s="2"/>
      <c r="GRK34" s="2"/>
      <c r="GRL34" s="2"/>
      <c r="GRM34" s="2"/>
      <c r="GRN34" s="2"/>
      <c r="GRO34" s="2"/>
      <c r="GRP34" s="2"/>
      <c r="GRQ34" s="2"/>
      <c r="GRR34" s="2"/>
      <c r="GRS34" s="2"/>
      <c r="GRT34" s="2"/>
      <c r="GRU34" s="2"/>
      <c r="GRV34" s="2"/>
      <c r="GRW34" s="2"/>
      <c r="GRX34" s="2"/>
      <c r="GRY34" s="2"/>
      <c r="GRZ34" s="2"/>
      <c r="GSA34" s="2"/>
      <c r="GSB34" s="2"/>
      <c r="GSC34" s="2"/>
      <c r="GSD34" s="2"/>
      <c r="GSE34" s="2"/>
      <c r="GSF34" s="2"/>
      <c r="GSG34" s="2"/>
      <c r="GSH34" s="2"/>
      <c r="GSI34" s="2"/>
      <c r="GSJ34" s="2"/>
      <c r="GSK34" s="2"/>
      <c r="GSL34" s="2"/>
      <c r="GSM34" s="2"/>
      <c r="GSN34" s="2"/>
      <c r="GSO34" s="2"/>
      <c r="GSP34" s="2"/>
      <c r="GSQ34" s="2"/>
      <c r="GSR34" s="2"/>
      <c r="GSS34" s="2"/>
      <c r="GST34" s="2"/>
      <c r="GSU34" s="2"/>
      <c r="GSV34" s="2"/>
      <c r="GSW34" s="2"/>
      <c r="GSX34" s="2"/>
      <c r="GSY34" s="2"/>
      <c r="GSZ34" s="2"/>
      <c r="GTA34" s="2"/>
      <c r="GTB34" s="2"/>
      <c r="GTC34" s="2"/>
      <c r="GTD34" s="2"/>
      <c r="GTE34" s="2"/>
      <c r="GTF34" s="2"/>
      <c r="GTG34" s="2"/>
      <c r="GTH34" s="2"/>
      <c r="GTI34" s="2"/>
      <c r="GTJ34" s="2"/>
      <c r="GTK34" s="2"/>
      <c r="GTL34" s="2"/>
      <c r="GTM34" s="2"/>
      <c r="GTN34" s="2"/>
      <c r="GTO34" s="2"/>
      <c r="GTP34" s="2"/>
      <c r="GTQ34" s="2"/>
      <c r="GTR34" s="2"/>
      <c r="GTS34" s="2"/>
      <c r="GTT34" s="2"/>
      <c r="GTU34" s="2"/>
      <c r="GTV34" s="2"/>
      <c r="GTW34" s="2"/>
      <c r="GTX34" s="2"/>
      <c r="GTY34" s="2"/>
      <c r="GTZ34" s="2"/>
      <c r="GUA34" s="2"/>
      <c r="GUB34" s="2"/>
      <c r="GUC34" s="2"/>
      <c r="GUD34" s="2"/>
      <c r="GUE34" s="2"/>
      <c r="GUF34" s="2"/>
      <c r="GUG34" s="2"/>
      <c r="GUH34" s="2"/>
      <c r="GUI34" s="2"/>
      <c r="GUJ34" s="2"/>
      <c r="GUK34" s="2"/>
      <c r="GUL34" s="2"/>
      <c r="GUM34" s="2"/>
      <c r="GUN34" s="2"/>
      <c r="GUO34" s="2"/>
      <c r="GUP34" s="2"/>
      <c r="GUQ34" s="2"/>
      <c r="GUR34" s="2"/>
      <c r="GUS34" s="2"/>
      <c r="GUT34" s="2"/>
      <c r="GUU34" s="2"/>
      <c r="GUV34" s="2"/>
      <c r="GUW34" s="2"/>
      <c r="GUX34" s="2"/>
      <c r="GUY34" s="2"/>
      <c r="GUZ34" s="2"/>
      <c r="GVA34" s="2"/>
      <c r="GVB34" s="2"/>
      <c r="GVC34" s="2"/>
      <c r="GVD34" s="2"/>
      <c r="GVE34" s="2"/>
      <c r="GVF34" s="2"/>
      <c r="GVG34" s="2"/>
      <c r="GVH34" s="2"/>
      <c r="GVI34" s="2"/>
      <c r="GVJ34" s="2"/>
      <c r="GVK34" s="2"/>
      <c r="GVL34" s="2"/>
      <c r="GVM34" s="2"/>
      <c r="GVN34" s="2"/>
      <c r="GVO34" s="2"/>
      <c r="GVP34" s="2"/>
      <c r="GVQ34" s="2"/>
      <c r="GVR34" s="2"/>
      <c r="GVS34" s="2"/>
      <c r="GVT34" s="2"/>
      <c r="GVU34" s="2"/>
      <c r="GVV34" s="2"/>
      <c r="GVW34" s="2"/>
      <c r="GVX34" s="2"/>
      <c r="GVY34" s="2"/>
      <c r="GVZ34" s="2"/>
      <c r="GWA34" s="2"/>
      <c r="GWB34" s="2"/>
      <c r="GWC34" s="2"/>
      <c r="GWD34" s="2"/>
      <c r="GWE34" s="2"/>
      <c r="GWF34" s="2"/>
      <c r="GWG34" s="2"/>
      <c r="GWH34" s="2"/>
      <c r="GWI34" s="2"/>
      <c r="GWJ34" s="2"/>
      <c r="GWK34" s="2"/>
      <c r="GWL34" s="2"/>
      <c r="GWM34" s="2"/>
      <c r="GWN34" s="2"/>
      <c r="GWO34" s="2"/>
      <c r="GWP34" s="2"/>
      <c r="GWQ34" s="2"/>
      <c r="GWR34" s="2"/>
      <c r="GWS34" s="2"/>
      <c r="GWT34" s="2"/>
      <c r="GWU34" s="2"/>
      <c r="GWV34" s="2"/>
      <c r="GWW34" s="2"/>
      <c r="GWX34" s="2"/>
      <c r="GWY34" s="2"/>
      <c r="GWZ34" s="2"/>
      <c r="GXA34" s="2"/>
      <c r="GXB34" s="2"/>
      <c r="GXC34" s="2"/>
      <c r="GXD34" s="2"/>
      <c r="GXE34" s="2"/>
      <c r="GXF34" s="2"/>
      <c r="GXG34" s="2"/>
      <c r="GXH34" s="2"/>
      <c r="GXI34" s="2"/>
      <c r="GXJ34" s="2"/>
      <c r="GXK34" s="2"/>
      <c r="GXL34" s="2"/>
      <c r="GXM34" s="2"/>
      <c r="GXN34" s="2"/>
      <c r="GXO34" s="2"/>
      <c r="GXP34" s="2"/>
      <c r="GXQ34" s="2"/>
      <c r="GXR34" s="2"/>
      <c r="GXS34" s="2"/>
      <c r="GXT34" s="2"/>
      <c r="GXU34" s="2"/>
      <c r="GXV34" s="2"/>
      <c r="GXW34" s="2"/>
      <c r="GXX34" s="2"/>
      <c r="GXY34" s="2"/>
      <c r="GXZ34" s="2"/>
      <c r="GYA34" s="2"/>
      <c r="GYB34" s="2"/>
      <c r="GYC34" s="2"/>
      <c r="GYD34" s="2"/>
      <c r="GYE34" s="2"/>
      <c r="GYF34" s="2"/>
      <c r="GYG34" s="2"/>
      <c r="GYH34" s="2"/>
      <c r="GYI34" s="2"/>
      <c r="GYJ34" s="2"/>
      <c r="GYK34" s="2"/>
      <c r="GYL34" s="2"/>
      <c r="GYM34" s="2"/>
      <c r="GYN34" s="2"/>
      <c r="GYO34" s="2"/>
      <c r="GYP34" s="2"/>
      <c r="GYQ34" s="2"/>
      <c r="GYR34" s="2"/>
      <c r="GYS34" s="2"/>
      <c r="GYT34" s="2"/>
      <c r="GYU34" s="2"/>
      <c r="GYV34" s="2"/>
      <c r="GYW34" s="2"/>
      <c r="GYX34" s="2"/>
      <c r="GYY34" s="2"/>
      <c r="GYZ34" s="2"/>
      <c r="GZA34" s="2"/>
      <c r="GZB34" s="2"/>
      <c r="GZC34" s="2"/>
      <c r="GZD34" s="2"/>
      <c r="GZE34" s="2"/>
      <c r="GZF34" s="2"/>
      <c r="GZG34" s="2"/>
      <c r="GZH34" s="2"/>
      <c r="GZI34" s="2"/>
      <c r="GZJ34" s="2"/>
      <c r="GZK34" s="2"/>
      <c r="GZL34" s="2"/>
      <c r="GZM34" s="2"/>
      <c r="GZN34" s="2"/>
      <c r="GZO34" s="2"/>
      <c r="GZP34" s="2"/>
      <c r="GZQ34" s="2"/>
      <c r="GZR34" s="2"/>
      <c r="GZS34" s="2"/>
      <c r="GZT34" s="2"/>
      <c r="GZU34" s="2"/>
      <c r="GZV34" s="2"/>
      <c r="GZW34" s="2"/>
      <c r="GZX34" s="2"/>
      <c r="GZY34" s="2"/>
      <c r="GZZ34" s="2"/>
      <c r="HAA34" s="2"/>
      <c r="HAB34" s="2"/>
      <c r="HAC34" s="2"/>
      <c r="HAD34" s="2"/>
      <c r="HAE34" s="2"/>
      <c r="HAF34" s="2"/>
      <c r="HAG34" s="2"/>
      <c r="HAH34" s="2"/>
      <c r="HAI34" s="2"/>
      <c r="HAJ34" s="2"/>
      <c r="HAK34" s="2"/>
      <c r="HAL34" s="2"/>
      <c r="HAM34" s="2"/>
      <c r="HAN34" s="2"/>
      <c r="HAO34" s="2"/>
      <c r="HAP34" s="2"/>
      <c r="HAQ34" s="2"/>
      <c r="HAR34" s="2"/>
      <c r="HAS34" s="2"/>
      <c r="HAT34" s="2"/>
      <c r="HAU34" s="2"/>
      <c r="HAV34" s="2"/>
      <c r="HAW34" s="2"/>
      <c r="HAX34" s="2"/>
      <c r="HAY34" s="2"/>
      <c r="HAZ34" s="2"/>
      <c r="HBA34" s="2"/>
      <c r="HBB34" s="2"/>
      <c r="HBC34" s="2"/>
      <c r="HBD34" s="2"/>
      <c r="HBE34" s="2"/>
      <c r="HBF34" s="2"/>
      <c r="HBG34" s="2"/>
      <c r="HBH34" s="2"/>
      <c r="HBI34" s="2"/>
      <c r="HBJ34" s="2"/>
      <c r="HBK34" s="2"/>
      <c r="HBL34" s="2"/>
      <c r="HBM34" s="2"/>
      <c r="HBN34" s="2"/>
      <c r="HBO34" s="2"/>
      <c r="HBP34" s="2"/>
      <c r="HBQ34" s="2"/>
      <c r="HBR34" s="2"/>
      <c r="HBS34" s="2"/>
      <c r="HBT34" s="2"/>
      <c r="HBU34" s="2"/>
      <c r="HBV34" s="2"/>
      <c r="HBW34" s="2"/>
      <c r="HBX34" s="2"/>
      <c r="HBY34" s="2"/>
      <c r="HBZ34" s="2"/>
      <c r="HCA34" s="2"/>
      <c r="HCB34" s="2"/>
      <c r="HCC34" s="2"/>
      <c r="HCD34" s="2"/>
      <c r="HCE34" s="2"/>
      <c r="HCF34" s="2"/>
      <c r="HCG34" s="2"/>
      <c r="HCH34" s="2"/>
      <c r="HCI34" s="2"/>
      <c r="HCJ34" s="2"/>
      <c r="HCK34" s="2"/>
      <c r="HCL34" s="2"/>
      <c r="HCM34" s="2"/>
      <c r="HCN34" s="2"/>
      <c r="HCO34" s="2"/>
      <c r="HCP34" s="2"/>
      <c r="HCQ34" s="2"/>
      <c r="HCR34" s="2"/>
      <c r="HCS34" s="2"/>
      <c r="HCT34" s="2"/>
      <c r="HCU34" s="2"/>
      <c r="HCV34" s="2"/>
      <c r="HCW34" s="2"/>
      <c r="HCX34" s="2"/>
      <c r="HCY34" s="2"/>
      <c r="HCZ34" s="2"/>
      <c r="HDA34" s="2"/>
      <c r="HDB34" s="2"/>
      <c r="HDC34" s="2"/>
      <c r="HDD34" s="2"/>
      <c r="HDE34" s="2"/>
      <c r="HDF34" s="2"/>
      <c r="HDG34" s="2"/>
      <c r="HDH34" s="2"/>
      <c r="HDI34" s="2"/>
      <c r="HDJ34" s="2"/>
      <c r="HDK34" s="2"/>
      <c r="HDL34" s="2"/>
      <c r="HDM34" s="2"/>
      <c r="HDN34" s="2"/>
      <c r="HDO34" s="2"/>
      <c r="HDP34" s="2"/>
      <c r="HDQ34" s="2"/>
      <c r="HDR34" s="2"/>
      <c r="HDS34" s="2"/>
      <c r="HDT34" s="2"/>
      <c r="HDU34" s="2"/>
      <c r="HDV34" s="2"/>
      <c r="HDW34" s="2"/>
      <c r="HDX34" s="2"/>
      <c r="HDY34" s="2"/>
      <c r="HDZ34" s="2"/>
      <c r="HEA34" s="2"/>
      <c r="HEB34" s="2"/>
      <c r="HEC34" s="2"/>
      <c r="HED34" s="2"/>
      <c r="HEE34" s="2"/>
      <c r="HEF34" s="2"/>
      <c r="HEG34" s="2"/>
      <c r="HEH34" s="2"/>
      <c r="HEI34" s="2"/>
      <c r="HEJ34" s="2"/>
      <c r="HEK34" s="2"/>
      <c r="HEL34" s="2"/>
      <c r="HEM34" s="2"/>
      <c r="HEN34" s="2"/>
      <c r="HEO34" s="2"/>
      <c r="HEP34" s="2"/>
      <c r="HEQ34" s="2"/>
      <c r="HER34" s="2"/>
      <c r="HES34" s="2"/>
      <c r="HET34" s="2"/>
      <c r="HEU34" s="2"/>
      <c r="HEV34" s="2"/>
      <c r="HEW34" s="2"/>
      <c r="HEX34" s="2"/>
      <c r="HEY34" s="2"/>
      <c r="HEZ34" s="2"/>
      <c r="HFA34" s="2"/>
      <c r="HFB34" s="2"/>
      <c r="HFC34" s="2"/>
      <c r="HFD34" s="2"/>
      <c r="HFE34" s="2"/>
      <c r="HFF34" s="2"/>
      <c r="HFG34" s="2"/>
      <c r="HFH34" s="2"/>
      <c r="HFI34" s="2"/>
      <c r="HFJ34" s="2"/>
      <c r="HFK34" s="2"/>
      <c r="HFL34" s="2"/>
      <c r="HFM34" s="2"/>
      <c r="HFN34" s="2"/>
      <c r="HFO34" s="2"/>
      <c r="HFP34" s="2"/>
      <c r="HFQ34" s="2"/>
      <c r="HFR34" s="2"/>
      <c r="HFS34" s="2"/>
      <c r="HFT34" s="2"/>
      <c r="HFU34" s="2"/>
      <c r="HFV34" s="2"/>
      <c r="HFW34" s="2"/>
      <c r="HFX34" s="2"/>
      <c r="HFY34" s="2"/>
      <c r="HFZ34" s="2"/>
      <c r="HGA34" s="2"/>
      <c r="HGB34" s="2"/>
      <c r="HGC34" s="2"/>
      <c r="HGD34" s="2"/>
      <c r="HGE34" s="2"/>
      <c r="HGF34" s="2"/>
      <c r="HGG34" s="2"/>
      <c r="HGH34" s="2"/>
      <c r="HGI34" s="2"/>
      <c r="HGJ34" s="2"/>
      <c r="HGK34" s="2"/>
      <c r="HGL34" s="2"/>
      <c r="HGM34" s="2"/>
      <c r="HGN34" s="2"/>
      <c r="HGO34" s="2"/>
      <c r="HGP34" s="2"/>
      <c r="HGQ34" s="2"/>
      <c r="HGR34" s="2"/>
      <c r="HGS34" s="2"/>
      <c r="HGT34" s="2"/>
      <c r="HGU34" s="2"/>
      <c r="HGV34" s="2"/>
      <c r="HGW34" s="2"/>
      <c r="HGX34" s="2"/>
      <c r="HGY34" s="2"/>
      <c r="HGZ34" s="2"/>
      <c r="HHA34" s="2"/>
      <c r="HHB34" s="2"/>
      <c r="HHC34" s="2"/>
      <c r="HHD34" s="2"/>
      <c r="HHE34" s="2"/>
      <c r="HHF34" s="2"/>
      <c r="HHG34" s="2"/>
      <c r="HHH34" s="2"/>
      <c r="HHI34" s="2"/>
      <c r="HHJ34" s="2"/>
      <c r="HHK34" s="2"/>
      <c r="HHL34" s="2"/>
      <c r="HHM34" s="2"/>
      <c r="HHN34" s="2"/>
      <c r="HHO34" s="2"/>
      <c r="HHP34" s="2"/>
      <c r="HHQ34" s="2"/>
      <c r="HHR34" s="2"/>
      <c r="HHS34" s="2"/>
      <c r="HHT34" s="2"/>
      <c r="HHU34" s="2"/>
      <c r="HHV34" s="2"/>
      <c r="HHW34" s="2"/>
      <c r="HHX34" s="2"/>
      <c r="HHY34" s="2"/>
      <c r="HHZ34" s="2"/>
      <c r="HIA34" s="2"/>
      <c r="HIB34" s="2"/>
      <c r="HIC34" s="2"/>
      <c r="HID34" s="2"/>
      <c r="HIE34" s="2"/>
      <c r="HIF34" s="2"/>
      <c r="HIG34" s="2"/>
      <c r="HIH34" s="2"/>
      <c r="HII34" s="2"/>
      <c r="HIJ34" s="2"/>
      <c r="HIK34" s="2"/>
      <c r="HIL34" s="2"/>
      <c r="HIM34" s="2"/>
      <c r="HIN34" s="2"/>
      <c r="HIO34" s="2"/>
      <c r="HIP34" s="2"/>
      <c r="HIQ34" s="2"/>
      <c r="HIR34" s="2"/>
      <c r="HIS34" s="2"/>
      <c r="HIT34" s="2"/>
      <c r="HIU34" s="2"/>
      <c r="HIV34" s="2"/>
      <c r="HIW34" s="2"/>
      <c r="HIX34" s="2"/>
      <c r="HIY34" s="2"/>
      <c r="HIZ34" s="2"/>
      <c r="HJA34" s="2"/>
      <c r="HJB34" s="2"/>
      <c r="HJC34" s="2"/>
      <c r="HJD34" s="2"/>
      <c r="HJE34" s="2"/>
      <c r="HJF34" s="2"/>
      <c r="HJG34" s="2"/>
      <c r="HJH34" s="2"/>
      <c r="HJI34" s="2"/>
      <c r="HJJ34" s="2"/>
      <c r="HJK34" s="2"/>
      <c r="HJL34" s="2"/>
      <c r="HJM34" s="2"/>
      <c r="HJN34" s="2"/>
      <c r="HJO34" s="2"/>
      <c r="HJP34" s="2"/>
      <c r="HJQ34" s="2"/>
      <c r="HJR34" s="2"/>
      <c r="HJS34" s="2"/>
      <c r="HJT34" s="2"/>
      <c r="HJU34" s="2"/>
      <c r="HJV34" s="2"/>
      <c r="HJW34" s="2"/>
      <c r="HJX34" s="2"/>
      <c r="HJY34" s="2"/>
      <c r="HJZ34" s="2"/>
      <c r="HKA34" s="2"/>
      <c r="HKB34" s="2"/>
      <c r="HKC34" s="2"/>
      <c r="HKD34" s="2"/>
      <c r="HKE34" s="2"/>
      <c r="HKF34" s="2"/>
      <c r="HKG34" s="2"/>
      <c r="HKH34" s="2"/>
      <c r="HKI34" s="2"/>
      <c r="HKJ34" s="2"/>
      <c r="HKK34" s="2"/>
      <c r="HKL34" s="2"/>
      <c r="HKM34" s="2"/>
      <c r="HKN34" s="2"/>
      <c r="HKO34" s="2"/>
      <c r="HKP34" s="2"/>
      <c r="HKQ34" s="2"/>
      <c r="HKR34" s="2"/>
      <c r="HKS34" s="2"/>
      <c r="HKT34" s="2"/>
      <c r="HKU34" s="2"/>
      <c r="HKV34" s="2"/>
      <c r="HKW34" s="2"/>
      <c r="HKX34" s="2"/>
      <c r="HKY34" s="2"/>
      <c r="HKZ34" s="2"/>
      <c r="HLA34" s="2"/>
      <c r="HLB34" s="2"/>
      <c r="HLC34" s="2"/>
      <c r="HLD34" s="2"/>
      <c r="HLE34" s="2"/>
      <c r="HLF34" s="2"/>
      <c r="HLG34" s="2"/>
      <c r="HLH34" s="2"/>
      <c r="HLI34" s="2"/>
      <c r="HLJ34" s="2"/>
      <c r="HLK34" s="2"/>
      <c r="HLL34" s="2"/>
      <c r="HLM34" s="2"/>
      <c r="HLN34" s="2"/>
      <c r="HLO34" s="2"/>
      <c r="HLP34" s="2"/>
      <c r="HLQ34" s="2"/>
      <c r="HLR34" s="2"/>
      <c r="HLS34" s="2"/>
      <c r="HLT34" s="2"/>
      <c r="HLU34" s="2"/>
      <c r="HLV34" s="2"/>
      <c r="HLW34" s="2"/>
      <c r="HLX34" s="2"/>
      <c r="HLY34" s="2"/>
      <c r="HLZ34" s="2"/>
      <c r="HMA34" s="2"/>
      <c r="HMB34" s="2"/>
      <c r="HMC34" s="2"/>
      <c r="HMD34" s="2"/>
      <c r="HME34" s="2"/>
      <c r="HMF34" s="2"/>
      <c r="HMG34" s="2"/>
      <c r="HMH34" s="2"/>
      <c r="HMI34" s="2"/>
      <c r="HMJ34" s="2"/>
      <c r="HMK34" s="2"/>
      <c r="HML34" s="2"/>
      <c r="HMM34" s="2"/>
      <c r="HMN34" s="2"/>
      <c r="HMO34" s="2"/>
      <c r="HMP34" s="2"/>
      <c r="HMQ34" s="2"/>
      <c r="HMR34" s="2"/>
      <c r="HMS34" s="2"/>
      <c r="HMT34" s="2"/>
      <c r="HMU34" s="2"/>
      <c r="HMV34" s="2"/>
      <c r="HMW34" s="2"/>
      <c r="HMX34" s="2"/>
      <c r="HMY34" s="2"/>
      <c r="HMZ34" s="2"/>
      <c r="HNA34" s="2"/>
      <c r="HNB34" s="2"/>
      <c r="HNC34" s="2"/>
      <c r="HND34" s="2"/>
      <c r="HNE34" s="2"/>
      <c r="HNF34" s="2"/>
      <c r="HNG34" s="2"/>
      <c r="HNH34" s="2"/>
      <c r="HNI34" s="2"/>
      <c r="HNJ34" s="2"/>
      <c r="HNK34" s="2"/>
      <c r="HNL34" s="2"/>
      <c r="HNM34" s="2"/>
      <c r="HNN34" s="2"/>
      <c r="HNO34" s="2"/>
      <c r="HNP34" s="2"/>
      <c r="HNQ34" s="2"/>
      <c r="HNR34" s="2"/>
      <c r="HNS34" s="2"/>
      <c r="HNT34" s="2"/>
      <c r="HNU34" s="2"/>
      <c r="HNV34" s="2"/>
      <c r="HNW34" s="2"/>
      <c r="HNX34" s="2"/>
      <c r="HNY34" s="2"/>
      <c r="HNZ34" s="2"/>
      <c r="HOA34" s="2"/>
      <c r="HOB34" s="2"/>
      <c r="HOC34" s="2"/>
      <c r="HOD34" s="2"/>
      <c r="HOE34" s="2"/>
      <c r="HOF34" s="2"/>
      <c r="HOG34" s="2"/>
      <c r="HOH34" s="2"/>
      <c r="HOI34" s="2"/>
      <c r="HOJ34" s="2"/>
      <c r="HOK34" s="2"/>
      <c r="HOL34" s="2"/>
      <c r="HOM34" s="2"/>
      <c r="HON34" s="2"/>
      <c r="HOO34" s="2"/>
      <c r="HOP34" s="2"/>
      <c r="HOQ34" s="2"/>
      <c r="HOR34" s="2"/>
      <c r="HOS34" s="2"/>
      <c r="HOT34" s="2"/>
      <c r="HOU34" s="2"/>
      <c r="HOV34" s="2"/>
      <c r="HOW34" s="2"/>
      <c r="HOX34" s="2"/>
      <c r="HOY34" s="2"/>
      <c r="HOZ34" s="2"/>
      <c r="HPA34" s="2"/>
      <c r="HPB34" s="2"/>
      <c r="HPC34" s="2"/>
      <c r="HPD34" s="2"/>
      <c r="HPE34" s="2"/>
      <c r="HPF34" s="2"/>
      <c r="HPG34" s="2"/>
      <c r="HPH34" s="2"/>
      <c r="HPI34" s="2"/>
      <c r="HPJ34" s="2"/>
      <c r="HPK34" s="2"/>
      <c r="HPL34" s="2"/>
      <c r="HPM34" s="2"/>
      <c r="HPN34" s="2"/>
      <c r="HPO34" s="2"/>
      <c r="HPP34" s="2"/>
      <c r="HPQ34" s="2"/>
      <c r="HPR34" s="2"/>
      <c r="HPS34" s="2"/>
      <c r="HPT34" s="2"/>
      <c r="HPU34" s="2"/>
      <c r="HPV34" s="2"/>
      <c r="HPW34" s="2"/>
      <c r="HPX34" s="2"/>
      <c r="HPY34" s="2"/>
      <c r="HPZ34" s="2"/>
      <c r="HQA34" s="2"/>
      <c r="HQB34" s="2"/>
      <c r="HQC34" s="2"/>
      <c r="HQD34" s="2"/>
      <c r="HQE34" s="2"/>
      <c r="HQF34" s="2"/>
      <c r="HQG34" s="2"/>
      <c r="HQH34" s="2"/>
      <c r="HQI34" s="2"/>
      <c r="HQJ34" s="2"/>
      <c r="HQK34" s="2"/>
      <c r="HQL34" s="2"/>
      <c r="HQM34" s="2"/>
      <c r="HQN34" s="2"/>
      <c r="HQO34" s="2"/>
      <c r="HQP34" s="2"/>
      <c r="HQQ34" s="2"/>
      <c r="HQR34" s="2"/>
      <c r="HQS34" s="2"/>
      <c r="HQT34" s="2"/>
      <c r="HQU34" s="2"/>
      <c r="HQV34" s="2"/>
      <c r="HQW34" s="2"/>
      <c r="HQX34" s="2"/>
      <c r="HQY34" s="2"/>
      <c r="HQZ34" s="2"/>
      <c r="HRA34" s="2"/>
      <c r="HRB34" s="2"/>
      <c r="HRC34" s="2"/>
      <c r="HRD34" s="2"/>
      <c r="HRE34" s="2"/>
      <c r="HRF34" s="2"/>
      <c r="HRG34" s="2"/>
      <c r="HRH34" s="2"/>
      <c r="HRI34" s="2"/>
      <c r="HRJ34" s="2"/>
      <c r="HRK34" s="2"/>
      <c r="HRL34" s="2"/>
      <c r="HRM34" s="2"/>
      <c r="HRN34" s="2"/>
      <c r="HRO34" s="2"/>
      <c r="HRP34" s="2"/>
      <c r="HRQ34" s="2"/>
      <c r="HRR34" s="2"/>
      <c r="HRS34" s="2"/>
      <c r="HRT34" s="2"/>
      <c r="HRU34" s="2"/>
      <c r="HRV34" s="2"/>
      <c r="HRW34" s="2"/>
      <c r="HRX34" s="2"/>
      <c r="HRY34" s="2"/>
      <c r="HRZ34" s="2"/>
      <c r="HSA34" s="2"/>
      <c r="HSB34" s="2"/>
      <c r="HSC34" s="2"/>
      <c r="HSD34" s="2"/>
      <c r="HSE34" s="2"/>
      <c r="HSF34" s="2"/>
      <c r="HSG34" s="2"/>
      <c r="HSH34" s="2"/>
      <c r="HSI34" s="2"/>
      <c r="HSJ34" s="2"/>
      <c r="HSK34" s="2"/>
      <c r="HSL34" s="2"/>
      <c r="HSM34" s="2"/>
      <c r="HSN34" s="2"/>
      <c r="HSO34" s="2"/>
      <c r="HSP34" s="2"/>
      <c r="HSQ34" s="2"/>
      <c r="HSR34" s="2"/>
      <c r="HSS34" s="2"/>
      <c r="HST34" s="2"/>
      <c r="HSU34" s="2"/>
      <c r="HSV34" s="2"/>
      <c r="HSW34" s="2"/>
      <c r="HSX34" s="2"/>
      <c r="HSY34" s="2"/>
      <c r="HSZ34" s="2"/>
      <c r="HTA34" s="2"/>
      <c r="HTB34" s="2"/>
      <c r="HTC34" s="2"/>
      <c r="HTD34" s="2"/>
      <c r="HTE34" s="2"/>
      <c r="HTF34" s="2"/>
      <c r="HTG34" s="2"/>
      <c r="HTH34" s="2"/>
      <c r="HTI34" s="2"/>
      <c r="HTJ34" s="2"/>
      <c r="HTK34" s="2"/>
      <c r="HTL34" s="2"/>
      <c r="HTM34" s="2"/>
      <c r="HTN34" s="2"/>
      <c r="HTO34" s="2"/>
      <c r="HTP34" s="2"/>
      <c r="HTQ34" s="2"/>
      <c r="HTR34" s="2"/>
      <c r="HTS34" s="2"/>
      <c r="HTT34" s="2"/>
      <c r="HTU34" s="2"/>
      <c r="HTV34" s="2"/>
      <c r="HTW34" s="2"/>
      <c r="HTX34" s="2"/>
      <c r="HTY34" s="2"/>
      <c r="HTZ34" s="2"/>
      <c r="HUA34" s="2"/>
      <c r="HUB34" s="2"/>
      <c r="HUC34" s="2"/>
      <c r="HUD34" s="2"/>
      <c r="HUE34" s="2"/>
      <c r="HUF34" s="2"/>
      <c r="HUG34" s="2"/>
      <c r="HUH34" s="2"/>
      <c r="HUI34" s="2"/>
      <c r="HUJ34" s="2"/>
      <c r="HUK34" s="2"/>
      <c r="HUL34" s="2"/>
      <c r="HUM34" s="2"/>
      <c r="HUN34" s="2"/>
      <c r="HUO34" s="2"/>
      <c r="HUP34" s="2"/>
      <c r="HUQ34" s="2"/>
      <c r="HUR34" s="2"/>
      <c r="HUS34" s="2"/>
      <c r="HUT34" s="2"/>
      <c r="HUU34" s="2"/>
      <c r="HUV34" s="2"/>
      <c r="HUW34" s="2"/>
      <c r="HUX34" s="2"/>
      <c r="HUY34" s="2"/>
      <c r="HUZ34" s="2"/>
      <c r="HVA34" s="2"/>
      <c r="HVB34" s="2"/>
      <c r="HVC34" s="2"/>
      <c r="HVD34" s="2"/>
      <c r="HVE34" s="2"/>
      <c r="HVF34" s="2"/>
      <c r="HVG34" s="2"/>
      <c r="HVH34" s="2"/>
      <c r="HVI34" s="2"/>
      <c r="HVJ34" s="2"/>
      <c r="HVK34" s="2"/>
      <c r="HVL34" s="2"/>
      <c r="HVM34" s="2"/>
      <c r="HVN34" s="2"/>
      <c r="HVO34" s="2"/>
      <c r="HVP34" s="2"/>
      <c r="HVQ34" s="2"/>
      <c r="HVR34" s="2"/>
      <c r="HVS34" s="2"/>
      <c r="HVT34" s="2"/>
      <c r="HVU34" s="2"/>
      <c r="HVV34" s="2"/>
      <c r="HVW34" s="2"/>
      <c r="HVX34" s="2"/>
      <c r="HVY34" s="2"/>
      <c r="HVZ34" s="2"/>
      <c r="HWA34" s="2"/>
      <c r="HWB34" s="2"/>
      <c r="HWC34" s="2"/>
      <c r="HWD34" s="2"/>
      <c r="HWE34" s="2"/>
      <c r="HWF34" s="2"/>
      <c r="HWG34" s="2"/>
      <c r="HWH34" s="2"/>
      <c r="HWI34" s="2"/>
      <c r="HWJ34" s="2"/>
      <c r="HWK34" s="2"/>
      <c r="HWL34" s="2"/>
      <c r="HWM34" s="2"/>
      <c r="HWN34" s="2"/>
      <c r="HWO34" s="2"/>
      <c r="HWP34" s="2"/>
      <c r="HWQ34" s="2"/>
      <c r="HWR34" s="2"/>
      <c r="HWS34" s="2"/>
      <c r="HWT34" s="2"/>
      <c r="HWU34" s="2"/>
      <c r="HWV34" s="2"/>
      <c r="HWW34" s="2"/>
      <c r="HWX34" s="2"/>
      <c r="HWY34" s="2"/>
      <c r="HWZ34" s="2"/>
      <c r="HXA34" s="2"/>
      <c r="HXB34" s="2"/>
      <c r="HXC34" s="2"/>
      <c r="HXD34" s="2"/>
      <c r="HXE34" s="2"/>
      <c r="HXF34" s="2"/>
      <c r="HXG34" s="2"/>
      <c r="HXH34" s="2"/>
      <c r="HXI34" s="2"/>
      <c r="HXJ34" s="2"/>
      <c r="HXK34" s="2"/>
      <c r="HXL34" s="2"/>
      <c r="HXM34" s="2"/>
      <c r="HXN34" s="2"/>
      <c r="HXO34" s="2"/>
      <c r="HXP34" s="2"/>
      <c r="HXQ34" s="2"/>
      <c r="HXR34" s="2"/>
      <c r="HXS34" s="2"/>
      <c r="HXT34" s="2"/>
      <c r="HXU34" s="2"/>
      <c r="HXV34" s="2"/>
      <c r="HXW34" s="2"/>
      <c r="HXX34" s="2"/>
      <c r="HXY34" s="2"/>
      <c r="HXZ34" s="2"/>
      <c r="HYA34" s="2"/>
      <c r="HYB34" s="2"/>
      <c r="HYC34" s="2"/>
      <c r="HYD34" s="2"/>
      <c r="HYE34" s="2"/>
      <c r="HYF34" s="2"/>
      <c r="HYG34" s="2"/>
      <c r="HYH34" s="2"/>
      <c r="HYI34" s="2"/>
      <c r="HYJ34" s="2"/>
      <c r="HYK34" s="2"/>
      <c r="HYL34" s="2"/>
      <c r="HYM34" s="2"/>
      <c r="HYN34" s="2"/>
      <c r="HYO34" s="2"/>
      <c r="HYP34" s="2"/>
      <c r="HYQ34" s="2"/>
      <c r="HYR34" s="2"/>
      <c r="HYS34" s="2"/>
      <c r="HYT34" s="2"/>
      <c r="HYU34" s="2"/>
      <c r="HYV34" s="2"/>
      <c r="HYW34" s="2"/>
      <c r="HYX34" s="2"/>
      <c r="HYY34" s="2"/>
      <c r="HYZ34" s="2"/>
      <c r="HZA34" s="2"/>
      <c r="HZB34" s="2"/>
      <c r="HZC34" s="2"/>
      <c r="HZD34" s="2"/>
      <c r="HZE34" s="2"/>
      <c r="HZF34" s="2"/>
      <c r="HZG34" s="2"/>
      <c r="HZH34" s="2"/>
      <c r="HZI34" s="2"/>
      <c r="HZJ34" s="2"/>
      <c r="HZK34" s="2"/>
      <c r="HZL34" s="2"/>
      <c r="HZM34" s="2"/>
      <c r="HZN34" s="2"/>
      <c r="HZO34" s="2"/>
      <c r="HZP34" s="2"/>
      <c r="HZQ34" s="2"/>
      <c r="HZR34" s="2"/>
      <c r="HZS34" s="2"/>
      <c r="HZT34" s="2"/>
      <c r="HZU34" s="2"/>
      <c r="HZV34" s="2"/>
      <c r="HZW34" s="2"/>
      <c r="HZX34" s="2"/>
      <c r="HZY34" s="2"/>
      <c r="HZZ34" s="2"/>
      <c r="IAA34" s="2"/>
      <c r="IAB34" s="2"/>
      <c r="IAC34" s="2"/>
      <c r="IAD34" s="2"/>
      <c r="IAE34" s="2"/>
      <c r="IAF34" s="2"/>
      <c r="IAG34" s="2"/>
      <c r="IAH34" s="2"/>
      <c r="IAI34" s="2"/>
      <c r="IAJ34" s="2"/>
      <c r="IAK34" s="2"/>
      <c r="IAL34" s="2"/>
      <c r="IAM34" s="2"/>
      <c r="IAN34" s="2"/>
      <c r="IAO34" s="2"/>
      <c r="IAP34" s="2"/>
      <c r="IAQ34" s="2"/>
      <c r="IAR34" s="2"/>
      <c r="IAS34" s="2"/>
      <c r="IAT34" s="2"/>
      <c r="IAU34" s="2"/>
      <c r="IAV34" s="2"/>
      <c r="IAW34" s="2"/>
      <c r="IAX34" s="2"/>
      <c r="IAY34" s="2"/>
      <c r="IAZ34" s="2"/>
      <c r="IBA34" s="2"/>
      <c r="IBB34" s="2"/>
      <c r="IBC34" s="2"/>
      <c r="IBD34" s="2"/>
      <c r="IBE34" s="2"/>
      <c r="IBF34" s="2"/>
      <c r="IBG34" s="2"/>
      <c r="IBH34" s="2"/>
      <c r="IBI34" s="2"/>
      <c r="IBJ34" s="2"/>
      <c r="IBK34" s="2"/>
      <c r="IBL34" s="2"/>
      <c r="IBM34" s="2"/>
      <c r="IBN34" s="2"/>
      <c r="IBO34" s="2"/>
      <c r="IBP34" s="2"/>
      <c r="IBQ34" s="2"/>
      <c r="IBR34" s="2"/>
      <c r="IBS34" s="2"/>
      <c r="IBT34" s="2"/>
      <c r="IBU34" s="2"/>
      <c r="IBV34" s="2"/>
      <c r="IBW34" s="2"/>
      <c r="IBX34" s="2"/>
      <c r="IBY34" s="2"/>
      <c r="IBZ34" s="2"/>
      <c r="ICA34" s="2"/>
      <c r="ICB34" s="2"/>
      <c r="ICC34" s="2"/>
      <c r="ICD34" s="2"/>
      <c r="ICE34" s="2"/>
      <c r="ICF34" s="2"/>
      <c r="ICG34" s="2"/>
      <c r="ICH34" s="2"/>
      <c r="ICI34" s="2"/>
      <c r="ICJ34" s="2"/>
      <c r="ICK34" s="2"/>
      <c r="ICL34" s="2"/>
      <c r="ICM34" s="2"/>
      <c r="ICN34" s="2"/>
      <c r="ICO34" s="2"/>
      <c r="ICP34" s="2"/>
      <c r="ICQ34" s="2"/>
      <c r="ICR34" s="2"/>
      <c r="ICS34" s="2"/>
      <c r="ICT34" s="2"/>
      <c r="ICU34" s="2"/>
      <c r="ICV34" s="2"/>
      <c r="ICW34" s="2"/>
      <c r="ICX34" s="2"/>
      <c r="ICY34" s="2"/>
      <c r="ICZ34" s="2"/>
      <c r="IDA34" s="2"/>
      <c r="IDB34" s="2"/>
      <c r="IDC34" s="2"/>
      <c r="IDD34" s="2"/>
      <c r="IDE34" s="2"/>
      <c r="IDF34" s="2"/>
      <c r="IDG34" s="2"/>
      <c r="IDH34" s="2"/>
      <c r="IDI34" s="2"/>
      <c r="IDJ34" s="2"/>
      <c r="IDK34" s="2"/>
      <c r="IDL34" s="2"/>
      <c r="IDM34" s="2"/>
      <c r="IDN34" s="2"/>
      <c r="IDO34" s="2"/>
      <c r="IDP34" s="2"/>
      <c r="IDQ34" s="2"/>
      <c r="IDR34" s="2"/>
      <c r="IDS34" s="2"/>
      <c r="IDT34" s="2"/>
      <c r="IDU34" s="2"/>
      <c r="IDV34" s="2"/>
      <c r="IDW34" s="2"/>
      <c r="IDX34" s="2"/>
      <c r="IDY34" s="2"/>
      <c r="IDZ34" s="2"/>
      <c r="IEA34" s="2"/>
      <c r="IEB34" s="2"/>
      <c r="IEC34" s="2"/>
      <c r="IED34" s="2"/>
      <c r="IEE34" s="2"/>
      <c r="IEF34" s="2"/>
      <c r="IEG34" s="2"/>
      <c r="IEH34" s="2"/>
      <c r="IEI34" s="2"/>
      <c r="IEJ34" s="2"/>
      <c r="IEK34" s="2"/>
      <c r="IEL34" s="2"/>
      <c r="IEM34" s="2"/>
      <c r="IEN34" s="2"/>
      <c r="IEO34" s="2"/>
      <c r="IEP34" s="2"/>
      <c r="IEQ34" s="2"/>
      <c r="IER34" s="2"/>
      <c r="IES34" s="2"/>
      <c r="IET34" s="2"/>
      <c r="IEU34" s="2"/>
      <c r="IEV34" s="2"/>
      <c r="IEW34" s="2"/>
      <c r="IEX34" s="2"/>
      <c r="IEY34" s="2"/>
      <c r="IEZ34" s="2"/>
      <c r="IFA34" s="2"/>
      <c r="IFB34" s="2"/>
      <c r="IFC34" s="2"/>
      <c r="IFD34" s="2"/>
      <c r="IFE34" s="2"/>
      <c r="IFF34" s="2"/>
      <c r="IFG34" s="2"/>
      <c r="IFH34" s="2"/>
      <c r="IFI34" s="2"/>
      <c r="IFJ34" s="2"/>
      <c r="IFK34" s="2"/>
      <c r="IFL34" s="2"/>
      <c r="IFM34" s="2"/>
      <c r="IFN34" s="2"/>
      <c r="IFO34" s="2"/>
      <c r="IFP34" s="2"/>
      <c r="IFQ34" s="2"/>
      <c r="IFR34" s="2"/>
      <c r="IFS34" s="2"/>
      <c r="IFT34" s="2"/>
      <c r="IFU34" s="2"/>
      <c r="IFV34" s="2"/>
      <c r="IFW34" s="2"/>
      <c r="IFX34" s="2"/>
      <c r="IFY34" s="2"/>
      <c r="IFZ34" s="2"/>
      <c r="IGA34" s="2"/>
      <c r="IGB34" s="2"/>
      <c r="IGC34" s="2"/>
      <c r="IGD34" s="2"/>
      <c r="IGE34" s="2"/>
      <c r="IGF34" s="2"/>
      <c r="IGG34" s="2"/>
      <c r="IGH34" s="2"/>
      <c r="IGI34" s="2"/>
      <c r="IGJ34" s="2"/>
      <c r="IGK34" s="2"/>
      <c r="IGL34" s="2"/>
      <c r="IGM34" s="2"/>
      <c r="IGN34" s="2"/>
      <c r="IGO34" s="2"/>
      <c r="IGP34" s="2"/>
      <c r="IGQ34" s="2"/>
      <c r="IGR34" s="2"/>
      <c r="IGS34" s="2"/>
      <c r="IGT34" s="2"/>
      <c r="IGU34" s="2"/>
      <c r="IGV34" s="2"/>
      <c r="IGW34" s="2"/>
      <c r="IGX34" s="2"/>
      <c r="IGY34" s="2"/>
      <c r="IGZ34" s="2"/>
      <c r="IHA34" s="2"/>
      <c r="IHB34" s="2"/>
      <c r="IHC34" s="2"/>
      <c r="IHD34" s="2"/>
      <c r="IHE34" s="2"/>
      <c r="IHF34" s="2"/>
      <c r="IHG34" s="2"/>
      <c r="IHH34" s="2"/>
      <c r="IHI34" s="2"/>
      <c r="IHJ34" s="2"/>
      <c r="IHK34" s="2"/>
      <c r="IHL34" s="2"/>
      <c r="IHM34" s="2"/>
      <c r="IHN34" s="2"/>
      <c r="IHO34" s="2"/>
      <c r="IHP34" s="2"/>
      <c r="IHQ34" s="2"/>
      <c r="IHR34" s="2"/>
      <c r="IHS34" s="2"/>
      <c r="IHT34" s="2"/>
      <c r="IHU34" s="2"/>
      <c r="IHV34" s="2"/>
      <c r="IHW34" s="2"/>
      <c r="IHX34" s="2"/>
      <c r="IHY34" s="2"/>
      <c r="IHZ34" s="2"/>
      <c r="IIA34" s="2"/>
      <c r="IIB34" s="2"/>
      <c r="IIC34" s="2"/>
      <c r="IID34" s="2"/>
      <c r="IIE34" s="2"/>
      <c r="IIF34" s="2"/>
      <c r="IIG34" s="2"/>
      <c r="IIH34" s="2"/>
      <c r="III34" s="2"/>
      <c r="IIJ34" s="2"/>
      <c r="IIK34" s="2"/>
      <c r="IIL34" s="2"/>
      <c r="IIM34" s="2"/>
      <c r="IIN34" s="2"/>
      <c r="IIO34" s="2"/>
      <c r="IIP34" s="2"/>
      <c r="IIQ34" s="2"/>
      <c r="IIR34" s="2"/>
      <c r="IIS34" s="2"/>
      <c r="IIT34" s="2"/>
      <c r="IIU34" s="2"/>
      <c r="IIV34" s="2"/>
      <c r="IIW34" s="2"/>
      <c r="IIX34" s="2"/>
      <c r="IIY34" s="2"/>
      <c r="IIZ34" s="2"/>
      <c r="IJA34" s="2"/>
      <c r="IJB34" s="2"/>
      <c r="IJC34" s="2"/>
      <c r="IJD34" s="2"/>
      <c r="IJE34" s="2"/>
      <c r="IJF34" s="2"/>
      <c r="IJG34" s="2"/>
      <c r="IJH34" s="2"/>
      <c r="IJI34" s="2"/>
      <c r="IJJ34" s="2"/>
      <c r="IJK34" s="2"/>
      <c r="IJL34" s="2"/>
      <c r="IJM34" s="2"/>
      <c r="IJN34" s="2"/>
      <c r="IJO34" s="2"/>
      <c r="IJP34" s="2"/>
      <c r="IJQ34" s="2"/>
      <c r="IJR34" s="2"/>
      <c r="IJS34" s="2"/>
      <c r="IJT34" s="2"/>
      <c r="IJU34" s="2"/>
      <c r="IJV34" s="2"/>
      <c r="IJW34" s="2"/>
      <c r="IJX34" s="2"/>
      <c r="IJY34" s="2"/>
      <c r="IJZ34" s="2"/>
      <c r="IKA34" s="2"/>
      <c r="IKB34" s="2"/>
      <c r="IKC34" s="2"/>
      <c r="IKD34" s="2"/>
      <c r="IKE34" s="2"/>
      <c r="IKF34" s="2"/>
      <c r="IKG34" s="2"/>
      <c r="IKH34" s="2"/>
      <c r="IKI34" s="2"/>
      <c r="IKJ34" s="2"/>
      <c r="IKK34" s="2"/>
      <c r="IKL34" s="2"/>
      <c r="IKM34" s="2"/>
      <c r="IKN34" s="2"/>
      <c r="IKO34" s="2"/>
      <c r="IKP34" s="2"/>
      <c r="IKQ34" s="2"/>
      <c r="IKR34" s="2"/>
      <c r="IKS34" s="2"/>
      <c r="IKT34" s="2"/>
      <c r="IKU34" s="2"/>
      <c r="IKV34" s="2"/>
      <c r="IKW34" s="2"/>
      <c r="IKX34" s="2"/>
      <c r="IKY34" s="2"/>
      <c r="IKZ34" s="2"/>
      <c r="ILA34" s="2"/>
      <c r="ILB34" s="2"/>
      <c r="ILC34" s="2"/>
      <c r="ILD34" s="2"/>
      <c r="ILE34" s="2"/>
      <c r="ILF34" s="2"/>
      <c r="ILG34" s="2"/>
      <c r="ILH34" s="2"/>
      <c r="ILI34" s="2"/>
      <c r="ILJ34" s="2"/>
      <c r="ILK34" s="2"/>
      <c r="ILL34" s="2"/>
      <c r="ILM34" s="2"/>
      <c r="ILN34" s="2"/>
      <c r="ILO34" s="2"/>
      <c r="ILP34" s="2"/>
      <c r="ILQ34" s="2"/>
      <c r="ILR34" s="2"/>
      <c r="ILS34" s="2"/>
      <c r="ILT34" s="2"/>
      <c r="ILU34" s="2"/>
      <c r="ILV34" s="2"/>
      <c r="ILW34" s="2"/>
      <c r="ILX34" s="2"/>
      <c r="ILY34" s="2"/>
      <c r="ILZ34" s="2"/>
      <c r="IMA34" s="2"/>
      <c r="IMB34" s="2"/>
      <c r="IMC34" s="2"/>
      <c r="IMD34" s="2"/>
      <c r="IME34" s="2"/>
      <c r="IMF34" s="2"/>
      <c r="IMG34" s="2"/>
      <c r="IMH34" s="2"/>
      <c r="IMI34" s="2"/>
      <c r="IMJ34" s="2"/>
      <c r="IMK34" s="2"/>
      <c r="IML34" s="2"/>
      <c r="IMM34" s="2"/>
      <c r="IMN34" s="2"/>
      <c r="IMO34" s="2"/>
      <c r="IMP34" s="2"/>
      <c r="IMQ34" s="2"/>
      <c r="IMR34" s="2"/>
      <c r="IMS34" s="2"/>
      <c r="IMT34" s="2"/>
      <c r="IMU34" s="2"/>
      <c r="IMV34" s="2"/>
      <c r="IMW34" s="2"/>
      <c r="IMX34" s="2"/>
      <c r="IMY34" s="2"/>
      <c r="IMZ34" s="2"/>
      <c r="INA34" s="2"/>
      <c r="INB34" s="2"/>
      <c r="INC34" s="2"/>
      <c r="IND34" s="2"/>
      <c r="INE34" s="2"/>
      <c r="INF34" s="2"/>
      <c r="ING34" s="2"/>
      <c r="INH34" s="2"/>
      <c r="INI34" s="2"/>
      <c r="INJ34" s="2"/>
      <c r="INK34" s="2"/>
      <c r="INL34" s="2"/>
      <c r="INM34" s="2"/>
      <c r="INN34" s="2"/>
      <c r="INO34" s="2"/>
      <c r="INP34" s="2"/>
      <c r="INQ34" s="2"/>
      <c r="INR34" s="2"/>
      <c r="INS34" s="2"/>
      <c r="INT34" s="2"/>
      <c r="INU34" s="2"/>
      <c r="INV34" s="2"/>
      <c r="INW34" s="2"/>
      <c r="INX34" s="2"/>
      <c r="INY34" s="2"/>
      <c r="INZ34" s="2"/>
      <c r="IOA34" s="2"/>
      <c r="IOB34" s="2"/>
      <c r="IOC34" s="2"/>
      <c r="IOD34" s="2"/>
      <c r="IOE34" s="2"/>
      <c r="IOF34" s="2"/>
      <c r="IOG34" s="2"/>
      <c r="IOH34" s="2"/>
      <c r="IOI34" s="2"/>
      <c r="IOJ34" s="2"/>
      <c r="IOK34" s="2"/>
      <c r="IOL34" s="2"/>
      <c r="IOM34" s="2"/>
      <c r="ION34" s="2"/>
      <c r="IOO34" s="2"/>
      <c r="IOP34" s="2"/>
      <c r="IOQ34" s="2"/>
      <c r="IOR34" s="2"/>
      <c r="IOS34" s="2"/>
      <c r="IOT34" s="2"/>
      <c r="IOU34" s="2"/>
      <c r="IOV34" s="2"/>
      <c r="IOW34" s="2"/>
      <c r="IOX34" s="2"/>
      <c r="IOY34" s="2"/>
      <c r="IOZ34" s="2"/>
      <c r="IPA34" s="2"/>
      <c r="IPB34" s="2"/>
      <c r="IPC34" s="2"/>
      <c r="IPD34" s="2"/>
      <c r="IPE34" s="2"/>
      <c r="IPF34" s="2"/>
      <c r="IPG34" s="2"/>
      <c r="IPH34" s="2"/>
      <c r="IPI34" s="2"/>
      <c r="IPJ34" s="2"/>
      <c r="IPK34" s="2"/>
      <c r="IPL34" s="2"/>
      <c r="IPM34" s="2"/>
      <c r="IPN34" s="2"/>
      <c r="IPO34" s="2"/>
      <c r="IPP34" s="2"/>
      <c r="IPQ34" s="2"/>
      <c r="IPR34" s="2"/>
      <c r="IPS34" s="2"/>
      <c r="IPT34" s="2"/>
      <c r="IPU34" s="2"/>
      <c r="IPV34" s="2"/>
      <c r="IPW34" s="2"/>
      <c r="IPX34" s="2"/>
      <c r="IPY34" s="2"/>
      <c r="IPZ34" s="2"/>
      <c r="IQA34" s="2"/>
      <c r="IQB34" s="2"/>
      <c r="IQC34" s="2"/>
      <c r="IQD34" s="2"/>
      <c r="IQE34" s="2"/>
      <c r="IQF34" s="2"/>
      <c r="IQG34" s="2"/>
      <c r="IQH34" s="2"/>
      <c r="IQI34" s="2"/>
      <c r="IQJ34" s="2"/>
      <c r="IQK34" s="2"/>
      <c r="IQL34" s="2"/>
      <c r="IQM34" s="2"/>
      <c r="IQN34" s="2"/>
      <c r="IQO34" s="2"/>
      <c r="IQP34" s="2"/>
      <c r="IQQ34" s="2"/>
      <c r="IQR34" s="2"/>
      <c r="IQS34" s="2"/>
      <c r="IQT34" s="2"/>
      <c r="IQU34" s="2"/>
      <c r="IQV34" s="2"/>
      <c r="IQW34" s="2"/>
      <c r="IQX34" s="2"/>
      <c r="IQY34" s="2"/>
      <c r="IQZ34" s="2"/>
      <c r="IRA34" s="2"/>
      <c r="IRB34" s="2"/>
      <c r="IRC34" s="2"/>
      <c r="IRD34" s="2"/>
      <c r="IRE34" s="2"/>
      <c r="IRF34" s="2"/>
      <c r="IRG34" s="2"/>
      <c r="IRH34" s="2"/>
      <c r="IRI34" s="2"/>
      <c r="IRJ34" s="2"/>
      <c r="IRK34" s="2"/>
      <c r="IRL34" s="2"/>
      <c r="IRM34" s="2"/>
      <c r="IRN34" s="2"/>
      <c r="IRO34" s="2"/>
      <c r="IRP34" s="2"/>
      <c r="IRQ34" s="2"/>
      <c r="IRR34" s="2"/>
      <c r="IRS34" s="2"/>
      <c r="IRT34" s="2"/>
      <c r="IRU34" s="2"/>
      <c r="IRV34" s="2"/>
      <c r="IRW34" s="2"/>
      <c r="IRX34" s="2"/>
      <c r="IRY34" s="2"/>
      <c r="IRZ34" s="2"/>
      <c r="ISA34" s="2"/>
      <c r="ISB34" s="2"/>
      <c r="ISC34" s="2"/>
      <c r="ISD34" s="2"/>
      <c r="ISE34" s="2"/>
      <c r="ISF34" s="2"/>
      <c r="ISG34" s="2"/>
      <c r="ISH34" s="2"/>
      <c r="ISI34" s="2"/>
      <c r="ISJ34" s="2"/>
      <c r="ISK34" s="2"/>
      <c r="ISL34" s="2"/>
      <c r="ISM34" s="2"/>
      <c r="ISN34" s="2"/>
      <c r="ISO34" s="2"/>
      <c r="ISP34" s="2"/>
      <c r="ISQ34" s="2"/>
      <c r="ISR34" s="2"/>
      <c r="ISS34" s="2"/>
      <c r="IST34" s="2"/>
      <c r="ISU34" s="2"/>
      <c r="ISV34" s="2"/>
      <c r="ISW34" s="2"/>
      <c r="ISX34" s="2"/>
      <c r="ISY34" s="2"/>
      <c r="ISZ34" s="2"/>
      <c r="ITA34" s="2"/>
      <c r="ITB34" s="2"/>
      <c r="ITC34" s="2"/>
      <c r="ITD34" s="2"/>
      <c r="ITE34" s="2"/>
      <c r="ITF34" s="2"/>
      <c r="ITG34" s="2"/>
      <c r="ITH34" s="2"/>
      <c r="ITI34" s="2"/>
      <c r="ITJ34" s="2"/>
      <c r="ITK34" s="2"/>
      <c r="ITL34" s="2"/>
      <c r="ITM34" s="2"/>
      <c r="ITN34" s="2"/>
      <c r="ITO34" s="2"/>
      <c r="ITP34" s="2"/>
      <c r="ITQ34" s="2"/>
      <c r="ITR34" s="2"/>
      <c r="ITS34" s="2"/>
      <c r="ITT34" s="2"/>
      <c r="ITU34" s="2"/>
      <c r="ITV34" s="2"/>
      <c r="ITW34" s="2"/>
      <c r="ITX34" s="2"/>
      <c r="ITY34" s="2"/>
      <c r="ITZ34" s="2"/>
      <c r="IUA34" s="2"/>
      <c r="IUB34" s="2"/>
      <c r="IUC34" s="2"/>
      <c r="IUD34" s="2"/>
      <c r="IUE34" s="2"/>
      <c r="IUF34" s="2"/>
      <c r="IUG34" s="2"/>
      <c r="IUH34" s="2"/>
      <c r="IUI34" s="2"/>
      <c r="IUJ34" s="2"/>
      <c r="IUK34" s="2"/>
      <c r="IUL34" s="2"/>
      <c r="IUM34" s="2"/>
      <c r="IUN34" s="2"/>
      <c r="IUO34" s="2"/>
      <c r="IUP34" s="2"/>
      <c r="IUQ34" s="2"/>
      <c r="IUR34" s="2"/>
      <c r="IUS34" s="2"/>
      <c r="IUT34" s="2"/>
      <c r="IUU34" s="2"/>
      <c r="IUV34" s="2"/>
      <c r="IUW34" s="2"/>
      <c r="IUX34" s="2"/>
      <c r="IUY34" s="2"/>
      <c r="IUZ34" s="2"/>
      <c r="IVA34" s="2"/>
      <c r="IVB34" s="2"/>
      <c r="IVC34" s="2"/>
      <c r="IVD34" s="2"/>
      <c r="IVE34" s="2"/>
      <c r="IVF34" s="2"/>
      <c r="IVG34" s="2"/>
      <c r="IVH34" s="2"/>
      <c r="IVI34" s="2"/>
      <c r="IVJ34" s="2"/>
      <c r="IVK34" s="2"/>
      <c r="IVL34" s="2"/>
      <c r="IVM34" s="2"/>
      <c r="IVN34" s="2"/>
      <c r="IVO34" s="2"/>
      <c r="IVP34" s="2"/>
      <c r="IVQ34" s="2"/>
      <c r="IVR34" s="2"/>
      <c r="IVS34" s="2"/>
      <c r="IVT34" s="2"/>
      <c r="IVU34" s="2"/>
      <c r="IVV34" s="2"/>
      <c r="IVW34" s="2"/>
      <c r="IVX34" s="2"/>
      <c r="IVY34" s="2"/>
      <c r="IVZ34" s="2"/>
      <c r="IWA34" s="2"/>
      <c r="IWB34" s="2"/>
      <c r="IWC34" s="2"/>
      <c r="IWD34" s="2"/>
      <c r="IWE34" s="2"/>
      <c r="IWF34" s="2"/>
      <c r="IWG34" s="2"/>
      <c r="IWH34" s="2"/>
      <c r="IWI34" s="2"/>
      <c r="IWJ34" s="2"/>
      <c r="IWK34" s="2"/>
      <c r="IWL34" s="2"/>
      <c r="IWM34" s="2"/>
      <c r="IWN34" s="2"/>
      <c r="IWO34" s="2"/>
      <c r="IWP34" s="2"/>
      <c r="IWQ34" s="2"/>
      <c r="IWR34" s="2"/>
      <c r="IWS34" s="2"/>
      <c r="IWT34" s="2"/>
      <c r="IWU34" s="2"/>
      <c r="IWV34" s="2"/>
      <c r="IWW34" s="2"/>
      <c r="IWX34" s="2"/>
      <c r="IWY34" s="2"/>
      <c r="IWZ34" s="2"/>
      <c r="IXA34" s="2"/>
      <c r="IXB34" s="2"/>
      <c r="IXC34" s="2"/>
      <c r="IXD34" s="2"/>
      <c r="IXE34" s="2"/>
      <c r="IXF34" s="2"/>
      <c r="IXG34" s="2"/>
      <c r="IXH34" s="2"/>
      <c r="IXI34" s="2"/>
      <c r="IXJ34" s="2"/>
      <c r="IXK34" s="2"/>
      <c r="IXL34" s="2"/>
      <c r="IXM34" s="2"/>
      <c r="IXN34" s="2"/>
      <c r="IXO34" s="2"/>
      <c r="IXP34" s="2"/>
      <c r="IXQ34" s="2"/>
      <c r="IXR34" s="2"/>
      <c r="IXS34" s="2"/>
      <c r="IXT34" s="2"/>
      <c r="IXU34" s="2"/>
      <c r="IXV34" s="2"/>
      <c r="IXW34" s="2"/>
      <c r="IXX34" s="2"/>
      <c r="IXY34" s="2"/>
      <c r="IXZ34" s="2"/>
      <c r="IYA34" s="2"/>
      <c r="IYB34" s="2"/>
      <c r="IYC34" s="2"/>
      <c r="IYD34" s="2"/>
      <c r="IYE34" s="2"/>
      <c r="IYF34" s="2"/>
      <c r="IYG34" s="2"/>
      <c r="IYH34" s="2"/>
      <c r="IYI34" s="2"/>
      <c r="IYJ34" s="2"/>
      <c r="IYK34" s="2"/>
      <c r="IYL34" s="2"/>
      <c r="IYM34" s="2"/>
      <c r="IYN34" s="2"/>
      <c r="IYO34" s="2"/>
      <c r="IYP34" s="2"/>
      <c r="IYQ34" s="2"/>
      <c r="IYR34" s="2"/>
      <c r="IYS34" s="2"/>
      <c r="IYT34" s="2"/>
      <c r="IYU34" s="2"/>
      <c r="IYV34" s="2"/>
      <c r="IYW34" s="2"/>
      <c r="IYX34" s="2"/>
      <c r="IYY34" s="2"/>
      <c r="IYZ34" s="2"/>
      <c r="IZA34" s="2"/>
      <c r="IZB34" s="2"/>
      <c r="IZC34" s="2"/>
      <c r="IZD34" s="2"/>
      <c r="IZE34" s="2"/>
      <c r="IZF34" s="2"/>
      <c r="IZG34" s="2"/>
      <c r="IZH34" s="2"/>
      <c r="IZI34" s="2"/>
      <c r="IZJ34" s="2"/>
      <c r="IZK34" s="2"/>
      <c r="IZL34" s="2"/>
      <c r="IZM34" s="2"/>
      <c r="IZN34" s="2"/>
      <c r="IZO34" s="2"/>
      <c r="IZP34" s="2"/>
      <c r="IZQ34" s="2"/>
      <c r="IZR34" s="2"/>
      <c r="IZS34" s="2"/>
      <c r="IZT34" s="2"/>
      <c r="IZU34" s="2"/>
      <c r="IZV34" s="2"/>
      <c r="IZW34" s="2"/>
      <c r="IZX34" s="2"/>
      <c r="IZY34" s="2"/>
      <c r="IZZ34" s="2"/>
      <c r="JAA34" s="2"/>
      <c r="JAB34" s="2"/>
      <c r="JAC34" s="2"/>
      <c r="JAD34" s="2"/>
      <c r="JAE34" s="2"/>
      <c r="JAF34" s="2"/>
      <c r="JAG34" s="2"/>
      <c r="JAH34" s="2"/>
      <c r="JAI34" s="2"/>
      <c r="JAJ34" s="2"/>
      <c r="JAK34" s="2"/>
      <c r="JAL34" s="2"/>
      <c r="JAM34" s="2"/>
      <c r="JAN34" s="2"/>
      <c r="JAO34" s="2"/>
      <c r="JAP34" s="2"/>
      <c r="JAQ34" s="2"/>
      <c r="JAR34" s="2"/>
      <c r="JAS34" s="2"/>
      <c r="JAT34" s="2"/>
      <c r="JAU34" s="2"/>
      <c r="JAV34" s="2"/>
      <c r="JAW34" s="2"/>
      <c r="JAX34" s="2"/>
      <c r="JAY34" s="2"/>
      <c r="JAZ34" s="2"/>
      <c r="JBA34" s="2"/>
      <c r="JBB34" s="2"/>
      <c r="JBC34" s="2"/>
      <c r="JBD34" s="2"/>
      <c r="JBE34" s="2"/>
      <c r="JBF34" s="2"/>
      <c r="JBG34" s="2"/>
      <c r="JBH34" s="2"/>
      <c r="JBI34" s="2"/>
      <c r="JBJ34" s="2"/>
      <c r="JBK34" s="2"/>
      <c r="JBL34" s="2"/>
      <c r="JBM34" s="2"/>
      <c r="JBN34" s="2"/>
      <c r="JBO34" s="2"/>
      <c r="JBP34" s="2"/>
      <c r="JBQ34" s="2"/>
      <c r="JBR34" s="2"/>
      <c r="JBS34" s="2"/>
      <c r="JBT34" s="2"/>
      <c r="JBU34" s="2"/>
      <c r="JBV34" s="2"/>
      <c r="JBW34" s="2"/>
      <c r="JBX34" s="2"/>
      <c r="JBY34" s="2"/>
      <c r="JBZ34" s="2"/>
      <c r="JCA34" s="2"/>
      <c r="JCB34" s="2"/>
      <c r="JCC34" s="2"/>
      <c r="JCD34" s="2"/>
      <c r="JCE34" s="2"/>
      <c r="JCF34" s="2"/>
      <c r="JCG34" s="2"/>
      <c r="JCH34" s="2"/>
      <c r="JCI34" s="2"/>
      <c r="JCJ34" s="2"/>
      <c r="JCK34" s="2"/>
      <c r="JCL34" s="2"/>
      <c r="JCM34" s="2"/>
      <c r="JCN34" s="2"/>
      <c r="JCO34" s="2"/>
      <c r="JCP34" s="2"/>
      <c r="JCQ34" s="2"/>
      <c r="JCR34" s="2"/>
      <c r="JCS34" s="2"/>
      <c r="JCT34" s="2"/>
      <c r="JCU34" s="2"/>
      <c r="JCV34" s="2"/>
      <c r="JCW34" s="2"/>
      <c r="JCX34" s="2"/>
      <c r="JCY34" s="2"/>
      <c r="JCZ34" s="2"/>
      <c r="JDA34" s="2"/>
      <c r="JDB34" s="2"/>
      <c r="JDC34" s="2"/>
      <c r="JDD34" s="2"/>
      <c r="JDE34" s="2"/>
      <c r="JDF34" s="2"/>
      <c r="JDG34" s="2"/>
      <c r="JDH34" s="2"/>
      <c r="JDI34" s="2"/>
      <c r="JDJ34" s="2"/>
      <c r="JDK34" s="2"/>
      <c r="JDL34" s="2"/>
      <c r="JDM34" s="2"/>
      <c r="JDN34" s="2"/>
      <c r="JDO34" s="2"/>
      <c r="JDP34" s="2"/>
      <c r="JDQ34" s="2"/>
      <c r="JDR34" s="2"/>
      <c r="JDS34" s="2"/>
      <c r="JDT34" s="2"/>
      <c r="JDU34" s="2"/>
      <c r="JDV34" s="2"/>
      <c r="JDW34" s="2"/>
      <c r="JDX34" s="2"/>
      <c r="JDY34" s="2"/>
      <c r="JDZ34" s="2"/>
      <c r="JEA34" s="2"/>
      <c r="JEB34" s="2"/>
      <c r="JEC34" s="2"/>
      <c r="JED34" s="2"/>
      <c r="JEE34" s="2"/>
      <c r="JEF34" s="2"/>
      <c r="JEG34" s="2"/>
      <c r="JEH34" s="2"/>
      <c r="JEI34" s="2"/>
      <c r="JEJ34" s="2"/>
      <c r="JEK34" s="2"/>
      <c r="JEL34" s="2"/>
      <c r="JEM34" s="2"/>
      <c r="JEN34" s="2"/>
      <c r="JEO34" s="2"/>
      <c r="JEP34" s="2"/>
      <c r="JEQ34" s="2"/>
      <c r="JER34" s="2"/>
      <c r="JES34" s="2"/>
      <c r="JET34" s="2"/>
      <c r="JEU34" s="2"/>
      <c r="JEV34" s="2"/>
      <c r="JEW34" s="2"/>
      <c r="JEX34" s="2"/>
      <c r="JEY34" s="2"/>
      <c r="JEZ34" s="2"/>
      <c r="JFA34" s="2"/>
      <c r="JFB34" s="2"/>
      <c r="JFC34" s="2"/>
      <c r="JFD34" s="2"/>
      <c r="JFE34" s="2"/>
      <c r="JFF34" s="2"/>
      <c r="JFG34" s="2"/>
      <c r="JFH34" s="2"/>
      <c r="JFI34" s="2"/>
      <c r="JFJ34" s="2"/>
      <c r="JFK34" s="2"/>
      <c r="JFL34" s="2"/>
      <c r="JFM34" s="2"/>
      <c r="JFN34" s="2"/>
      <c r="JFO34" s="2"/>
      <c r="JFP34" s="2"/>
      <c r="JFQ34" s="2"/>
      <c r="JFR34" s="2"/>
      <c r="JFS34" s="2"/>
      <c r="JFT34" s="2"/>
      <c r="JFU34" s="2"/>
      <c r="JFV34" s="2"/>
      <c r="JFW34" s="2"/>
      <c r="JFX34" s="2"/>
      <c r="JFY34" s="2"/>
      <c r="JFZ34" s="2"/>
      <c r="JGA34" s="2"/>
      <c r="JGB34" s="2"/>
      <c r="JGC34" s="2"/>
      <c r="JGD34" s="2"/>
      <c r="JGE34" s="2"/>
      <c r="JGF34" s="2"/>
      <c r="JGG34" s="2"/>
      <c r="JGH34" s="2"/>
      <c r="JGI34" s="2"/>
      <c r="JGJ34" s="2"/>
      <c r="JGK34" s="2"/>
      <c r="JGL34" s="2"/>
      <c r="JGM34" s="2"/>
      <c r="JGN34" s="2"/>
      <c r="JGO34" s="2"/>
      <c r="JGP34" s="2"/>
      <c r="JGQ34" s="2"/>
      <c r="JGR34" s="2"/>
      <c r="JGS34" s="2"/>
      <c r="JGT34" s="2"/>
      <c r="JGU34" s="2"/>
      <c r="JGV34" s="2"/>
      <c r="JGW34" s="2"/>
      <c r="JGX34" s="2"/>
      <c r="JGY34" s="2"/>
      <c r="JGZ34" s="2"/>
      <c r="JHA34" s="2"/>
      <c r="JHB34" s="2"/>
      <c r="JHC34" s="2"/>
      <c r="JHD34" s="2"/>
      <c r="JHE34" s="2"/>
      <c r="JHF34" s="2"/>
      <c r="JHG34" s="2"/>
      <c r="JHH34" s="2"/>
      <c r="JHI34" s="2"/>
      <c r="JHJ34" s="2"/>
      <c r="JHK34" s="2"/>
      <c r="JHL34" s="2"/>
      <c r="JHM34" s="2"/>
      <c r="JHN34" s="2"/>
      <c r="JHO34" s="2"/>
      <c r="JHP34" s="2"/>
      <c r="JHQ34" s="2"/>
      <c r="JHR34" s="2"/>
      <c r="JHS34" s="2"/>
      <c r="JHT34" s="2"/>
      <c r="JHU34" s="2"/>
      <c r="JHV34" s="2"/>
      <c r="JHW34" s="2"/>
      <c r="JHX34" s="2"/>
      <c r="JHY34" s="2"/>
      <c r="JHZ34" s="2"/>
      <c r="JIA34" s="2"/>
      <c r="JIB34" s="2"/>
      <c r="JIC34" s="2"/>
      <c r="JID34" s="2"/>
      <c r="JIE34" s="2"/>
      <c r="JIF34" s="2"/>
      <c r="JIG34" s="2"/>
      <c r="JIH34" s="2"/>
      <c r="JII34" s="2"/>
      <c r="JIJ34" s="2"/>
      <c r="JIK34" s="2"/>
      <c r="JIL34" s="2"/>
      <c r="JIM34" s="2"/>
      <c r="JIN34" s="2"/>
      <c r="JIO34" s="2"/>
      <c r="JIP34" s="2"/>
      <c r="JIQ34" s="2"/>
      <c r="JIR34" s="2"/>
      <c r="JIS34" s="2"/>
      <c r="JIT34" s="2"/>
      <c r="JIU34" s="2"/>
      <c r="JIV34" s="2"/>
      <c r="JIW34" s="2"/>
      <c r="JIX34" s="2"/>
      <c r="JIY34" s="2"/>
      <c r="JIZ34" s="2"/>
      <c r="JJA34" s="2"/>
      <c r="JJB34" s="2"/>
      <c r="JJC34" s="2"/>
      <c r="JJD34" s="2"/>
      <c r="JJE34" s="2"/>
      <c r="JJF34" s="2"/>
      <c r="JJG34" s="2"/>
      <c r="JJH34" s="2"/>
      <c r="JJI34" s="2"/>
      <c r="JJJ34" s="2"/>
      <c r="JJK34" s="2"/>
      <c r="JJL34" s="2"/>
      <c r="JJM34" s="2"/>
      <c r="JJN34" s="2"/>
      <c r="JJO34" s="2"/>
      <c r="JJP34" s="2"/>
      <c r="JJQ34" s="2"/>
      <c r="JJR34" s="2"/>
      <c r="JJS34" s="2"/>
      <c r="JJT34" s="2"/>
      <c r="JJU34" s="2"/>
      <c r="JJV34" s="2"/>
      <c r="JJW34" s="2"/>
      <c r="JJX34" s="2"/>
      <c r="JJY34" s="2"/>
      <c r="JJZ34" s="2"/>
      <c r="JKA34" s="2"/>
      <c r="JKB34" s="2"/>
      <c r="JKC34" s="2"/>
      <c r="JKD34" s="2"/>
      <c r="JKE34" s="2"/>
      <c r="JKF34" s="2"/>
      <c r="JKG34" s="2"/>
      <c r="JKH34" s="2"/>
      <c r="JKI34" s="2"/>
      <c r="JKJ34" s="2"/>
      <c r="JKK34" s="2"/>
      <c r="JKL34" s="2"/>
      <c r="JKM34" s="2"/>
      <c r="JKN34" s="2"/>
      <c r="JKO34" s="2"/>
      <c r="JKP34" s="2"/>
      <c r="JKQ34" s="2"/>
      <c r="JKR34" s="2"/>
      <c r="JKS34" s="2"/>
      <c r="JKT34" s="2"/>
      <c r="JKU34" s="2"/>
      <c r="JKV34" s="2"/>
      <c r="JKW34" s="2"/>
      <c r="JKX34" s="2"/>
      <c r="JKY34" s="2"/>
      <c r="JKZ34" s="2"/>
      <c r="JLA34" s="2"/>
      <c r="JLB34" s="2"/>
      <c r="JLC34" s="2"/>
      <c r="JLD34" s="2"/>
      <c r="JLE34" s="2"/>
      <c r="JLF34" s="2"/>
      <c r="JLG34" s="2"/>
      <c r="JLH34" s="2"/>
      <c r="JLI34" s="2"/>
      <c r="JLJ34" s="2"/>
      <c r="JLK34" s="2"/>
      <c r="JLL34" s="2"/>
      <c r="JLM34" s="2"/>
      <c r="JLN34" s="2"/>
      <c r="JLO34" s="2"/>
      <c r="JLP34" s="2"/>
      <c r="JLQ34" s="2"/>
      <c r="JLR34" s="2"/>
      <c r="JLS34" s="2"/>
      <c r="JLT34" s="2"/>
      <c r="JLU34" s="2"/>
      <c r="JLV34" s="2"/>
      <c r="JLW34" s="2"/>
      <c r="JLX34" s="2"/>
      <c r="JLY34" s="2"/>
      <c r="JLZ34" s="2"/>
      <c r="JMA34" s="2"/>
      <c r="JMB34" s="2"/>
      <c r="JMC34" s="2"/>
      <c r="JMD34" s="2"/>
      <c r="JME34" s="2"/>
      <c r="JMF34" s="2"/>
      <c r="JMG34" s="2"/>
      <c r="JMH34" s="2"/>
      <c r="JMI34" s="2"/>
      <c r="JMJ34" s="2"/>
      <c r="JMK34" s="2"/>
      <c r="JML34" s="2"/>
      <c r="JMM34" s="2"/>
      <c r="JMN34" s="2"/>
      <c r="JMO34" s="2"/>
      <c r="JMP34" s="2"/>
      <c r="JMQ34" s="2"/>
      <c r="JMR34" s="2"/>
      <c r="JMS34" s="2"/>
      <c r="JMT34" s="2"/>
      <c r="JMU34" s="2"/>
      <c r="JMV34" s="2"/>
      <c r="JMW34" s="2"/>
      <c r="JMX34" s="2"/>
      <c r="JMY34" s="2"/>
      <c r="JMZ34" s="2"/>
      <c r="JNA34" s="2"/>
      <c r="JNB34" s="2"/>
      <c r="JNC34" s="2"/>
      <c r="JND34" s="2"/>
      <c r="JNE34" s="2"/>
      <c r="JNF34" s="2"/>
      <c r="JNG34" s="2"/>
      <c r="JNH34" s="2"/>
      <c r="JNI34" s="2"/>
      <c r="JNJ34" s="2"/>
      <c r="JNK34" s="2"/>
      <c r="JNL34" s="2"/>
      <c r="JNM34" s="2"/>
      <c r="JNN34" s="2"/>
      <c r="JNO34" s="2"/>
      <c r="JNP34" s="2"/>
      <c r="JNQ34" s="2"/>
      <c r="JNR34" s="2"/>
      <c r="JNS34" s="2"/>
      <c r="JNT34" s="2"/>
      <c r="JNU34" s="2"/>
      <c r="JNV34" s="2"/>
      <c r="JNW34" s="2"/>
      <c r="JNX34" s="2"/>
      <c r="JNY34" s="2"/>
      <c r="JNZ34" s="2"/>
      <c r="JOA34" s="2"/>
      <c r="JOB34" s="2"/>
      <c r="JOC34" s="2"/>
      <c r="JOD34" s="2"/>
      <c r="JOE34" s="2"/>
      <c r="JOF34" s="2"/>
      <c r="JOG34" s="2"/>
      <c r="JOH34" s="2"/>
      <c r="JOI34" s="2"/>
      <c r="JOJ34" s="2"/>
      <c r="JOK34" s="2"/>
      <c r="JOL34" s="2"/>
      <c r="JOM34" s="2"/>
      <c r="JON34" s="2"/>
      <c r="JOO34" s="2"/>
      <c r="JOP34" s="2"/>
      <c r="JOQ34" s="2"/>
      <c r="JOR34" s="2"/>
      <c r="JOS34" s="2"/>
      <c r="JOT34" s="2"/>
      <c r="JOU34" s="2"/>
      <c r="JOV34" s="2"/>
      <c r="JOW34" s="2"/>
      <c r="JOX34" s="2"/>
      <c r="JOY34" s="2"/>
      <c r="JOZ34" s="2"/>
      <c r="JPA34" s="2"/>
      <c r="JPB34" s="2"/>
      <c r="JPC34" s="2"/>
      <c r="JPD34" s="2"/>
      <c r="JPE34" s="2"/>
      <c r="JPF34" s="2"/>
      <c r="JPG34" s="2"/>
      <c r="JPH34" s="2"/>
      <c r="JPI34" s="2"/>
      <c r="JPJ34" s="2"/>
      <c r="JPK34" s="2"/>
      <c r="JPL34" s="2"/>
      <c r="JPM34" s="2"/>
      <c r="JPN34" s="2"/>
      <c r="JPO34" s="2"/>
      <c r="JPP34" s="2"/>
      <c r="JPQ34" s="2"/>
      <c r="JPR34" s="2"/>
      <c r="JPS34" s="2"/>
      <c r="JPT34" s="2"/>
      <c r="JPU34" s="2"/>
      <c r="JPV34" s="2"/>
      <c r="JPW34" s="2"/>
      <c r="JPX34" s="2"/>
      <c r="JPY34" s="2"/>
      <c r="JPZ34" s="2"/>
      <c r="JQA34" s="2"/>
      <c r="JQB34" s="2"/>
      <c r="JQC34" s="2"/>
      <c r="JQD34" s="2"/>
      <c r="JQE34" s="2"/>
      <c r="JQF34" s="2"/>
      <c r="JQG34" s="2"/>
      <c r="JQH34" s="2"/>
      <c r="JQI34" s="2"/>
      <c r="JQJ34" s="2"/>
      <c r="JQK34" s="2"/>
      <c r="JQL34" s="2"/>
      <c r="JQM34" s="2"/>
      <c r="JQN34" s="2"/>
      <c r="JQO34" s="2"/>
      <c r="JQP34" s="2"/>
      <c r="JQQ34" s="2"/>
      <c r="JQR34" s="2"/>
      <c r="JQS34" s="2"/>
      <c r="JQT34" s="2"/>
      <c r="JQU34" s="2"/>
      <c r="JQV34" s="2"/>
      <c r="JQW34" s="2"/>
      <c r="JQX34" s="2"/>
      <c r="JQY34" s="2"/>
      <c r="JQZ34" s="2"/>
      <c r="JRA34" s="2"/>
      <c r="JRB34" s="2"/>
      <c r="JRC34" s="2"/>
      <c r="JRD34" s="2"/>
      <c r="JRE34" s="2"/>
      <c r="JRF34" s="2"/>
      <c r="JRG34" s="2"/>
      <c r="JRH34" s="2"/>
      <c r="JRI34" s="2"/>
      <c r="JRJ34" s="2"/>
      <c r="JRK34" s="2"/>
      <c r="JRL34" s="2"/>
      <c r="JRM34" s="2"/>
      <c r="JRN34" s="2"/>
      <c r="JRO34" s="2"/>
      <c r="JRP34" s="2"/>
      <c r="JRQ34" s="2"/>
      <c r="JRR34" s="2"/>
      <c r="JRS34" s="2"/>
      <c r="JRT34" s="2"/>
      <c r="JRU34" s="2"/>
      <c r="JRV34" s="2"/>
      <c r="JRW34" s="2"/>
      <c r="JRX34" s="2"/>
      <c r="JRY34" s="2"/>
      <c r="JRZ34" s="2"/>
      <c r="JSA34" s="2"/>
      <c r="JSB34" s="2"/>
      <c r="JSC34" s="2"/>
      <c r="JSD34" s="2"/>
      <c r="JSE34" s="2"/>
      <c r="JSF34" s="2"/>
      <c r="JSG34" s="2"/>
      <c r="JSH34" s="2"/>
      <c r="JSI34" s="2"/>
      <c r="JSJ34" s="2"/>
      <c r="JSK34" s="2"/>
      <c r="JSL34" s="2"/>
      <c r="JSM34" s="2"/>
      <c r="JSN34" s="2"/>
      <c r="JSO34" s="2"/>
      <c r="JSP34" s="2"/>
      <c r="JSQ34" s="2"/>
      <c r="JSR34" s="2"/>
      <c r="JSS34" s="2"/>
      <c r="JST34" s="2"/>
      <c r="JSU34" s="2"/>
      <c r="JSV34" s="2"/>
      <c r="JSW34" s="2"/>
      <c r="JSX34" s="2"/>
      <c r="JSY34" s="2"/>
      <c r="JSZ34" s="2"/>
      <c r="JTA34" s="2"/>
      <c r="JTB34" s="2"/>
      <c r="JTC34" s="2"/>
      <c r="JTD34" s="2"/>
      <c r="JTE34" s="2"/>
      <c r="JTF34" s="2"/>
      <c r="JTG34" s="2"/>
      <c r="JTH34" s="2"/>
      <c r="JTI34" s="2"/>
      <c r="JTJ34" s="2"/>
      <c r="JTK34" s="2"/>
      <c r="JTL34" s="2"/>
      <c r="JTM34" s="2"/>
      <c r="JTN34" s="2"/>
      <c r="JTO34" s="2"/>
      <c r="JTP34" s="2"/>
      <c r="JTQ34" s="2"/>
      <c r="JTR34" s="2"/>
      <c r="JTS34" s="2"/>
      <c r="JTT34" s="2"/>
      <c r="JTU34" s="2"/>
      <c r="JTV34" s="2"/>
      <c r="JTW34" s="2"/>
      <c r="JTX34" s="2"/>
      <c r="JTY34" s="2"/>
      <c r="JTZ34" s="2"/>
      <c r="JUA34" s="2"/>
      <c r="JUB34" s="2"/>
      <c r="JUC34" s="2"/>
      <c r="JUD34" s="2"/>
      <c r="JUE34" s="2"/>
      <c r="JUF34" s="2"/>
      <c r="JUG34" s="2"/>
      <c r="JUH34" s="2"/>
      <c r="JUI34" s="2"/>
      <c r="JUJ34" s="2"/>
      <c r="JUK34" s="2"/>
      <c r="JUL34" s="2"/>
      <c r="JUM34" s="2"/>
      <c r="JUN34" s="2"/>
      <c r="JUO34" s="2"/>
      <c r="JUP34" s="2"/>
      <c r="JUQ34" s="2"/>
      <c r="JUR34" s="2"/>
      <c r="JUS34" s="2"/>
      <c r="JUT34" s="2"/>
      <c r="JUU34" s="2"/>
      <c r="JUV34" s="2"/>
      <c r="JUW34" s="2"/>
      <c r="JUX34" s="2"/>
      <c r="JUY34" s="2"/>
      <c r="JUZ34" s="2"/>
      <c r="JVA34" s="2"/>
      <c r="JVB34" s="2"/>
      <c r="JVC34" s="2"/>
      <c r="JVD34" s="2"/>
      <c r="JVE34" s="2"/>
      <c r="JVF34" s="2"/>
      <c r="JVG34" s="2"/>
      <c r="JVH34" s="2"/>
      <c r="JVI34" s="2"/>
      <c r="JVJ34" s="2"/>
      <c r="JVK34" s="2"/>
      <c r="JVL34" s="2"/>
      <c r="JVM34" s="2"/>
      <c r="JVN34" s="2"/>
      <c r="JVO34" s="2"/>
      <c r="JVP34" s="2"/>
      <c r="JVQ34" s="2"/>
      <c r="JVR34" s="2"/>
      <c r="JVS34" s="2"/>
      <c r="JVT34" s="2"/>
      <c r="JVU34" s="2"/>
      <c r="JVV34" s="2"/>
      <c r="JVW34" s="2"/>
      <c r="JVX34" s="2"/>
      <c r="JVY34" s="2"/>
      <c r="JVZ34" s="2"/>
      <c r="JWA34" s="2"/>
      <c r="JWB34" s="2"/>
      <c r="JWC34" s="2"/>
      <c r="JWD34" s="2"/>
      <c r="JWE34" s="2"/>
      <c r="JWF34" s="2"/>
      <c r="JWG34" s="2"/>
      <c r="JWH34" s="2"/>
      <c r="JWI34" s="2"/>
      <c r="JWJ34" s="2"/>
      <c r="JWK34" s="2"/>
      <c r="JWL34" s="2"/>
      <c r="JWM34" s="2"/>
      <c r="JWN34" s="2"/>
      <c r="JWO34" s="2"/>
      <c r="JWP34" s="2"/>
      <c r="JWQ34" s="2"/>
      <c r="JWR34" s="2"/>
      <c r="JWS34" s="2"/>
      <c r="JWT34" s="2"/>
      <c r="JWU34" s="2"/>
      <c r="JWV34" s="2"/>
      <c r="JWW34" s="2"/>
      <c r="JWX34" s="2"/>
      <c r="JWY34" s="2"/>
      <c r="JWZ34" s="2"/>
      <c r="JXA34" s="2"/>
      <c r="JXB34" s="2"/>
      <c r="JXC34" s="2"/>
      <c r="JXD34" s="2"/>
      <c r="JXE34" s="2"/>
      <c r="JXF34" s="2"/>
      <c r="JXG34" s="2"/>
      <c r="JXH34" s="2"/>
      <c r="JXI34" s="2"/>
      <c r="JXJ34" s="2"/>
      <c r="JXK34" s="2"/>
      <c r="JXL34" s="2"/>
      <c r="JXM34" s="2"/>
      <c r="JXN34" s="2"/>
      <c r="JXO34" s="2"/>
      <c r="JXP34" s="2"/>
      <c r="JXQ34" s="2"/>
      <c r="JXR34" s="2"/>
      <c r="JXS34" s="2"/>
      <c r="JXT34" s="2"/>
      <c r="JXU34" s="2"/>
      <c r="JXV34" s="2"/>
      <c r="JXW34" s="2"/>
      <c r="JXX34" s="2"/>
      <c r="JXY34" s="2"/>
      <c r="JXZ34" s="2"/>
      <c r="JYA34" s="2"/>
      <c r="JYB34" s="2"/>
      <c r="JYC34" s="2"/>
      <c r="JYD34" s="2"/>
      <c r="JYE34" s="2"/>
      <c r="JYF34" s="2"/>
      <c r="JYG34" s="2"/>
      <c r="JYH34" s="2"/>
      <c r="JYI34" s="2"/>
      <c r="JYJ34" s="2"/>
      <c r="JYK34" s="2"/>
      <c r="JYL34" s="2"/>
      <c r="JYM34" s="2"/>
      <c r="JYN34" s="2"/>
      <c r="JYO34" s="2"/>
      <c r="JYP34" s="2"/>
      <c r="JYQ34" s="2"/>
      <c r="JYR34" s="2"/>
      <c r="JYS34" s="2"/>
      <c r="JYT34" s="2"/>
      <c r="JYU34" s="2"/>
      <c r="JYV34" s="2"/>
      <c r="JYW34" s="2"/>
      <c r="JYX34" s="2"/>
      <c r="JYY34" s="2"/>
      <c r="JYZ34" s="2"/>
      <c r="JZA34" s="2"/>
      <c r="JZB34" s="2"/>
      <c r="JZC34" s="2"/>
      <c r="JZD34" s="2"/>
      <c r="JZE34" s="2"/>
      <c r="JZF34" s="2"/>
      <c r="JZG34" s="2"/>
      <c r="JZH34" s="2"/>
      <c r="JZI34" s="2"/>
      <c r="JZJ34" s="2"/>
      <c r="JZK34" s="2"/>
      <c r="JZL34" s="2"/>
      <c r="JZM34" s="2"/>
      <c r="JZN34" s="2"/>
      <c r="JZO34" s="2"/>
      <c r="JZP34" s="2"/>
      <c r="JZQ34" s="2"/>
      <c r="JZR34" s="2"/>
      <c r="JZS34" s="2"/>
      <c r="JZT34" s="2"/>
      <c r="JZU34" s="2"/>
      <c r="JZV34" s="2"/>
      <c r="JZW34" s="2"/>
      <c r="JZX34" s="2"/>
      <c r="JZY34" s="2"/>
      <c r="JZZ34" s="2"/>
      <c r="KAA34" s="2"/>
      <c r="KAB34" s="2"/>
      <c r="KAC34" s="2"/>
      <c r="KAD34" s="2"/>
      <c r="KAE34" s="2"/>
      <c r="KAF34" s="2"/>
      <c r="KAG34" s="2"/>
      <c r="KAH34" s="2"/>
      <c r="KAI34" s="2"/>
      <c r="KAJ34" s="2"/>
      <c r="KAK34" s="2"/>
      <c r="KAL34" s="2"/>
      <c r="KAM34" s="2"/>
      <c r="KAN34" s="2"/>
      <c r="KAO34" s="2"/>
      <c r="KAP34" s="2"/>
      <c r="KAQ34" s="2"/>
      <c r="KAR34" s="2"/>
      <c r="KAS34" s="2"/>
      <c r="KAT34" s="2"/>
      <c r="KAU34" s="2"/>
      <c r="KAV34" s="2"/>
      <c r="KAW34" s="2"/>
      <c r="KAX34" s="2"/>
      <c r="KAY34" s="2"/>
      <c r="KAZ34" s="2"/>
      <c r="KBA34" s="2"/>
      <c r="KBB34" s="2"/>
      <c r="KBC34" s="2"/>
      <c r="KBD34" s="2"/>
      <c r="KBE34" s="2"/>
      <c r="KBF34" s="2"/>
      <c r="KBG34" s="2"/>
      <c r="KBH34" s="2"/>
      <c r="KBI34" s="2"/>
      <c r="KBJ34" s="2"/>
      <c r="KBK34" s="2"/>
      <c r="KBL34" s="2"/>
      <c r="KBM34" s="2"/>
      <c r="KBN34" s="2"/>
      <c r="KBO34" s="2"/>
      <c r="KBP34" s="2"/>
      <c r="KBQ34" s="2"/>
      <c r="KBR34" s="2"/>
      <c r="KBS34" s="2"/>
      <c r="KBT34" s="2"/>
      <c r="KBU34" s="2"/>
      <c r="KBV34" s="2"/>
      <c r="KBW34" s="2"/>
      <c r="KBX34" s="2"/>
      <c r="KBY34" s="2"/>
      <c r="KBZ34" s="2"/>
      <c r="KCA34" s="2"/>
      <c r="KCB34" s="2"/>
      <c r="KCC34" s="2"/>
      <c r="KCD34" s="2"/>
      <c r="KCE34" s="2"/>
      <c r="KCF34" s="2"/>
      <c r="KCG34" s="2"/>
      <c r="KCH34" s="2"/>
      <c r="KCI34" s="2"/>
      <c r="KCJ34" s="2"/>
      <c r="KCK34" s="2"/>
      <c r="KCL34" s="2"/>
      <c r="KCM34" s="2"/>
      <c r="KCN34" s="2"/>
      <c r="KCO34" s="2"/>
      <c r="KCP34" s="2"/>
      <c r="KCQ34" s="2"/>
      <c r="KCR34" s="2"/>
      <c r="KCS34" s="2"/>
      <c r="KCT34" s="2"/>
      <c r="KCU34" s="2"/>
      <c r="KCV34" s="2"/>
      <c r="KCW34" s="2"/>
      <c r="KCX34" s="2"/>
      <c r="KCY34" s="2"/>
      <c r="KCZ34" s="2"/>
      <c r="KDA34" s="2"/>
      <c r="KDB34" s="2"/>
      <c r="KDC34" s="2"/>
      <c r="KDD34" s="2"/>
      <c r="KDE34" s="2"/>
      <c r="KDF34" s="2"/>
      <c r="KDG34" s="2"/>
      <c r="KDH34" s="2"/>
      <c r="KDI34" s="2"/>
      <c r="KDJ34" s="2"/>
      <c r="KDK34" s="2"/>
      <c r="KDL34" s="2"/>
      <c r="KDM34" s="2"/>
      <c r="KDN34" s="2"/>
      <c r="KDO34" s="2"/>
      <c r="KDP34" s="2"/>
      <c r="KDQ34" s="2"/>
      <c r="KDR34" s="2"/>
      <c r="KDS34" s="2"/>
      <c r="KDT34" s="2"/>
      <c r="KDU34" s="2"/>
      <c r="KDV34" s="2"/>
      <c r="KDW34" s="2"/>
      <c r="KDX34" s="2"/>
      <c r="KDY34" s="2"/>
      <c r="KDZ34" s="2"/>
      <c r="KEA34" s="2"/>
      <c r="KEB34" s="2"/>
      <c r="KEC34" s="2"/>
      <c r="KED34" s="2"/>
      <c r="KEE34" s="2"/>
      <c r="KEF34" s="2"/>
      <c r="KEG34" s="2"/>
      <c r="KEH34" s="2"/>
      <c r="KEI34" s="2"/>
      <c r="KEJ34" s="2"/>
      <c r="KEK34" s="2"/>
      <c r="KEL34" s="2"/>
      <c r="KEM34" s="2"/>
      <c r="KEN34" s="2"/>
      <c r="KEO34" s="2"/>
      <c r="KEP34" s="2"/>
      <c r="KEQ34" s="2"/>
      <c r="KER34" s="2"/>
      <c r="KES34" s="2"/>
      <c r="KET34" s="2"/>
      <c r="KEU34" s="2"/>
      <c r="KEV34" s="2"/>
      <c r="KEW34" s="2"/>
      <c r="KEX34" s="2"/>
      <c r="KEY34" s="2"/>
      <c r="KEZ34" s="2"/>
      <c r="KFA34" s="2"/>
      <c r="KFB34" s="2"/>
      <c r="KFC34" s="2"/>
      <c r="KFD34" s="2"/>
      <c r="KFE34" s="2"/>
      <c r="KFF34" s="2"/>
      <c r="KFG34" s="2"/>
      <c r="KFH34" s="2"/>
      <c r="KFI34" s="2"/>
      <c r="KFJ34" s="2"/>
      <c r="KFK34" s="2"/>
      <c r="KFL34" s="2"/>
      <c r="KFM34" s="2"/>
      <c r="KFN34" s="2"/>
      <c r="KFO34" s="2"/>
      <c r="KFP34" s="2"/>
      <c r="KFQ34" s="2"/>
      <c r="KFR34" s="2"/>
      <c r="KFS34" s="2"/>
      <c r="KFT34" s="2"/>
      <c r="KFU34" s="2"/>
      <c r="KFV34" s="2"/>
      <c r="KFW34" s="2"/>
      <c r="KFX34" s="2"/>
      <c r="KFY34" s="2"/>
      <c r="KFZ34" s="2"/>
      <c r="KGA34" s="2"/>
      <c r="KGB34" s="2"/>
      <c r="KGC34" s="2"/>
      <c r="KGD34" s="2"/>
      <c r="KGE34" s="2"/>
      <c r="KGF34" s="2"/>
      <c r="KGG34" s="2"/>
      <c r="KGH34" s="2"/>
      <c r="KGI34" s="2"/>
      <c r="KGJ34" s="2"/>
      <c r="KGK34" s="2"/>
      <c r="KGL34" s="2"/>
      <c r="KGM34" s="2"/>
      <c r="KGN34" s="2"/>
      <c r="KGO34" s="2"/>
      <c r="KGP34" s="2"/>
      <c r="KGQ34" s="2"/>
      <c r="KGR34" s="2"/>
      <c r="KGS34" s="2"/>
      <c r="KGT34" s="2"/>
      <c r="KGU34" s="2"/>
      <c r="KGV34" s="2"/>
      <c r="KGW34" s="2"/>
      <c r="KGX34" s="2"/>
      <c r="KGY34" s="2"/>
      <c r="KGZ34" s="2"/>
      <c r="KHA34" s="2"/>
      <c r="KHB34" s="2"/>
      <c r="KHC34" s="2"/>
      <c r="KHD34" s="2"/>
      <c r="KHE34" s="2"/>
      <c r="KHF34" s="2"/>
      <c r="KHG34" s="2"/>
      <c r="KHH34" s="2"/>
      <c r="KHI34" s="2"/>
      <c r="KHJ34" s="2"/>
      <c r="KHK34" s="2"/>
      <c r="KHL34" s="2"/>
      <c r="KHM34" s="2"/>
      <c r="KHN34" s="2"/>
      <c r="KHO34" s="2"/>
      <c r="KHP34" s="2"/>
      <c r="KHQ34" s="2"/>
      <c r="KHR34" s="2"/>
      <c r="KHS34" s="2"/>
      <c r="KHT34" s="2"/>
      <c r="KHU34" s="2"/>
      <c r="KHV34" s="2"/>
      <c r="KHW34" s="2"/>
      <c r="KHX34" s="2"/>
      <c r="KHY34" s="2"/>
      <c r="KHZ34" s="2"/>
      <c r="KIA34" s="2"/>
      <c r="KIB34" s="2"/>
      <c r="KIC34" s="2"/>
      <c r="KID34" s="2"/>
      <c r="KIE34" s="2"/>
      <c r="KIF34" s="2"/>
      <c r="KIG34" s="2"/>
      <c r="KIH34" s="2"/>
      <c r="KII34" s="2"/>
      <c r="KIJ34" s="2"/>
      <c r="KIK34" s="2"/>
      <c r="KIL34" s="2"/>
      <c r="KIM34" s="2"/>
      <c r="KIN34" s="2"/>
      <c r="KIO34" s="2"/>
      <c r="KIP34" s="2"/>
      <c r="KIQ34" s="2"/>
      <c r="KIR34" s="2"/>
      <c r="KIS34" s="2"/>
      <c r="KIT34" s="2"/>
      <c r="KIU34" s="2"/>
      <c r="KIV34" s="2"/>
      <c r="KIW34" s="2"/>
      <c r="KIX34" s="2"/>
      <c r="KIY34" s="2"/>
      <c r="KIZ34" s="2"/>
      <c r="KJA34" s="2"/>
      <c r="KJB34" s="2"/>
      <c r="KJC34" s="2"/>
      <c r="KJD34" s="2"/>
      <c r="KJE34" s="2"/>
      <c r="KJF34" s="2"/>
      <c r="KJG34" s="2"/>
      <c r="KJH34" s="2"/>
      <c r="KJI34" s="2"/>
      <c r="KJJ34" s="2"/>
      <c r="KJK34" s="2"/>
      <c r="KJL34" s="2"/>
      <c r="KJM34" s="2"/>
      <c r="KJN34" s="2"/>
      <c r="KJO34" s="2"/>
      <c r="KJP34" s="2"/>
      <c r="KJQ34" s="2"/>
      <c r="KJR34" s="2"/>
      <c r="KJS34" s="2"/>
      <c r="KJT34" s="2"/>
      <c r="KJU34" s="2"/>
      <c r="KJV34" s="2"/>
      <c r="KJW34" s="2"/>
      <c r="KJX34" s="2"/>
      <c r="KJY34" s="2"/>
      <c r="KJZ34" s="2"/>
      <c r="KKA34" s="2"/>
      <c r="KKB34" s="2"/>
      <c r="KKC34" s="2"/>
      <c r="KKD34" s="2"/>
      <c r="KKE34" s="2"/>
      <c r="KKF34" s="2"/>
      <c r="KKG34" s="2"/>
      <c r="KKH34" s="2"/>
      <c r="KKI34" s="2"/>
      <c r="KKJ34" s="2"/>
      <c r="KKK34" s="2"/>
      <c r="KKL34" s="2"/>
      <c r="KKM34" s="2"/>
      <c r="KKN34" s="2"/>
      <c r="KKO34" s="2"/>
      <c r="KKP34" s="2"/>
      <c r="KKQ34" s="2"/>
      <c r="KKR34" s="2"/>
      <c r="KKS34" s="2"/>
      <c r="KKT34" s="2"/>
      <c r="KKU34" s="2"/>
      <c r="KKV34" s="2"/>
      <c r="KKW34" s="2"/>
      <c r="KKX34" s="2"/>
      <c r="KKY34" s="2"/>
      <c r="KKZ34" s="2"/>
      <c r="KLA34" s="2"/>
      <c r="KLB34" s="2"/>
      <c r="KLC34" s="2"/>
      <c r="KLD34" s="2"/>
      <c r="KLE34" s="2"/>
      <c r="KLF34" s="2"/>
      <c r="KLG34" s="2"/>
      <c r="KLH34" s="2"/>
      <c r="KLI34" s="2"/>
      <c r="KLJ34" s="2"/>
      <c r="KLK34" s="2"/>
      <c r="KLL34" s="2"/>
      <c r="KLM34" s="2"/>
      <c r="KLN34" s="2"/>
      <c r="KLO34" s="2"/>
      <c r="KLP34" s="2"/>
      <c r="KLQ34" s="2"/>
      <c r="KLR34" s="2"/>
      <c r="KLS34" s="2"/>
      <c r="KLT34" s="2"/>
      <c r="KLU34" s="2"/>
      <c r="KLV34" s="2"/>
      <c r="KLW34" s="2"/>
      <c r="KLX34" s="2"/>
      <c r="KLY34" s="2"/>
      <c r="KLZ34" s="2"/>
      <c r="KMA34" s="2"/>
      <c r="KMB34" s="2"/>
      <c r="KMC34" s="2"/>
      <c r="KMD34" s="2"/>
      <c r="KME34" s="2"/>
      <c r="KMF34" s="2"/>
      <c r="KMG34" s="2"/>
      <c r="KMH34" s="2"/>
      <c r="KMI34" s="2"/>
      <c r="KMJ34" s="2"/>
      <c r="KMK34" s="2"/>
      <c r="KML34" s="2"/>
      <c r="KMM34" s="2"/>
      <c r="KMN34" s="2"/>
      <c r="KMO34" s="2"/>
      <c r="KMP34" s="2"/>
      <c r="KMQ34" s="2"/>
      <c r="KMR34" s="2"/>
      <c r="KMS34" s="2"/>
      <c r="KMT34" s="2"/>
      <c r="KMU34" s="2"/>
      <c r="KMV34" s="2"/>
      <c r="KMW34" s="2"/>
      <c r="KMX34" s="2"/>
      <c r="KMY34" s="2"/>
      <c r="KMZ34" s="2"/>
      <c r="KNA34" s="2"/>
      <c r="KNB34" s="2"/>
      <c r="KNC34" s="2"/>
      <c r="KND34" s="2"/>
      <c r="KNE34" s="2"/>
      <c r="KNF34" s="2"/>
      <c r="KNG34" s="2"/>
      <c r="KNH34" s="2"/>
      <c r="KNI34" s="2"/>
      <c r="KNJ34" s="2"/>
      <c r="KNK34" s="2"/>
      <c r="KNL34" s="2"/>
      <c r="KNM34" s="2"/>
      <c r="KNN34" s="2"/>
      <c r="KNO34" s="2"/>
      <c r="KNP34" s="2"/>
      <c r="KNQ34" s="2"/>
      <c r="KNR34" s="2"/>
      <c r="KNS34" s="2"/>
      <c r="KNT34" s="2"/>
      <c r="KNU34" s="2"/>
      <c r="KNV34" s="2"/>
      <c r="KNW34" s="2"/>
      <c r="KNX34" s="2"/>
      <c r="KNY34" s="2"/>
      <c r="KNZ34" s="2"/>
      <c r="KOA34" s="2"/>
      <c r="KOB34" s="2"/>
      <c r="KOC34" s="2"/>
      <c r="KOD34" s="2"/>
      <c r="KOE34" s="2"/>
      <c r="KOF34" s="2"/>
      <c r="KOG34" s="2"/>
      <c r="KOH34" s="2"/>
      <c r="KOI34" s="2"/>
      <c r="KOJ34" s="2"/>
      <c r="KOK34" s="2"/>
      <c r="KOL34" s="2"/>
      <c r="KOM34" s="2"/>
      <c r="KON34" s="2"/>
      <c r="KOO34" s="2"/>
      <c r="KOP34" s="2"/>
      <c r="KOQ34" s="2"/>
      <c r="KOR34" s="2"/>
      <c r="KOS34" s="2"/>
      <c r="KOT34" s="2"/>
      <c r="KOU34" s="2"/>
      <c r="KOV34" s="2"/>
      <c r="KOW34" s="2"/>
      <c r="KOX34" s="2"/>
      <c r="KOY34" s="2"/>
      <c r="KOZ34" s="2"/>
      <c r="KPA34" s="2"/>
      <c r="KPB34" s="2"/>
      <c r="KPC34" s="2"/>
      <c r="KPD34" s="2"/>
      <c r="KPE34" s="2"/>
      <c r="KPF34" s="2"/>
      <c r="KPG34" s="2"/>
      <c r="KPH34" s="2"/>
      <c r="KPI34" s="2"/>
      <c r="KPJ34" s="2"/>
      <c r="KPK34" s="2"/>
      <c r="KPL34" s="2"/>
      <c r="KPM34" s="2"/>
      <c r="KPN34" s="2"/>
      <c r="KPO34" s="2"/>
      <c r="KPP34" s="2"/>
      <c r="KPQ34" s="2"/>
      <c r="KPR34" s="2"/>
      <c r="KPS34" s="2"/>
      <c r="KPT34" s="2"/>
      <c r="KPU34" s="2"/>
      <c r="KPV34" s="2"/>
      <c r="KPW34" s="2"/>
      <c r="KPX34" s="2"/>
      <c r="KPY34" s="2"/>
      <c r="KPZ34" s="2"/>
      <c r="KQA34" s="2"/>
      <c r="KQB34" s="2"/>
      <c r="KQC34" s="2"/>
      <c r="KQD34" s="2"/>
      <c r="KQE34" s="2"/>
      <c r="KQF34" s="2"/>
      <c r="KQG34" s="2"/>
      <c r="KQH34" s="2"/>
      <c r="KQI34" s="2"/>
      <c r="KQJ34" s="2"/>
      <c r="KQK34" s="2"/>
      <c r="KQL34" s="2"/>
      <c r="KQM34" s="2"/>
      <c r="KQN34" s="2"/>
      <c r="KQO34" s="2"/>
      <c r="KQP34" s="2"/>
      <c r="KQQ34" s="2"/>
      <c r="KQR34" s="2"/>
      <c r="KQS34" s="2"/>
      <c r="KQT34" s="2"/>
      <c r="KQU34" s="2"/>
      <c r="KQV34" s="2"/>
      <c r="KQW34" s="2"/>
      <c r="KQX34" s="2"/>
      <c r="KQY34" s="2"/>
      <c r="KQZ34" s="2"/>
      <c r="KRA34" s="2"/>
      <c r="KRB34" s="2"/>
      <c r="KRC34" s="2"/>
      <c r="KRD34" s="2"/>
      <c r="KRE34" s="2"/>
      <c r="KRF34" s="2"/>
      <c r="KRG34" s="2"/>
      <c r="KRH34" s="2"/>
      <c r="KRI34" s="2"/>
      <c r="KRJ34" s="2"/>
      <c r="KRK34" s="2"/>
      <c r="KRL34" s="2"/>
      <c r="KRM34" s="2"/>
      <c r="KRN34" s="2"/>
      <c r="KRO34" s="2"/>
      <c r="KRP34" s="2"/>
      <c r="KRQ34" s="2"/>
      <c r="KRR34" s="2"/>
      <c r="KRS34" s="2"/>
      <c r="KRT34" s="2"/>
      <c r="KRU34" s="2"/>
      <c r="KRV34" s="2"/>
      <c r="KRW34" s="2"/>
      <c r="KRX34" s="2"/>
      <c r="KRY34" s="2"/>
      <c r="KRZ34" s="2"/>
      <c r="KSA34" s="2"/>
      <c r="KSB34" s="2"/>
      <c r="KSC34" s="2"/>
      <c r="KSD34" s="2"/>
      <c r="KSE34" s="2"/>
      <c r="KSF34" s="2"/>
      <c r="KSG34" s="2"/>
      <c r="KSH34" s="2"/>
      <c r="KSI34" s="2"/>
      <c r="KSJ34" s="2"/>
      <c r="KSK34" s="2"/>
      <c r="KSL34" s="2"/>
      <c r="KSM34" s="2"/>
      <c r="KSN34" s="2"/>
      <c r="KSO34" s="2"/>
      <c r="KSP34" s="2"/>
      <c r="KSQ34" s="2"/>
      <c r="KSR34" s="2"/>
      <c r="KSS34" s="2"/>
      <c r="KST34" s="2"/>
      <c r="KSU34" s="2"/>
      <c r="KSV34" s="2"/>
      <c r="KSW34" s="2"/>
      <c r="KSX34" s="2"/>
      <c r="KSY34" s="2"/>
      <c r="KSZ34" s="2"/>
      <c r="KTA34" s="2"/>
      <c r="KTB34" s="2"/>
      <c r="KTC34" s="2"/>
      <c r="KTD34" s="2"/>
      <c r="KTE34" s="2"/>
      <c r="KTF34" s="2"/>
      <c r="KTG34" s="2"/>
      <c r="KTH34" s="2"/>
      <c r="KTI34" s="2"/>
      <c r="KTJ34" s="2"/>
      <c r="KTK34" s="2"/>
      <c r="KTL34" s="2"/>
      <c r="KTM34" s="2"/>
      <c r="KTN34" s="2"/>
      <c r="KTO34" s="2"/>
      <c r="KTP34" s="2"/>
      <c r="KTQ34" s="2"/>
      <c r="KTR34" s="2"/>
      <c r="KTS34" s="2"/>
      <c r="KTT34" s="2"/>
      <c r="KTU34" s="2"/>
      <c r="KTV34" s="2"/>
      <c r="KTW34" s="2"/>
      <c r="KTX34" s="2"/>
      <c r="KTY34" s="2"/>
      <c r="KTZ34" s="2"/>
      <c r="KUA34" s="2"/>
      <c r="KUB34" s="2"/>
      <c r="KUC34" s="2"/>
      <c r="KUD34" s="2"/>
      <c r="KUE34" s="2"/>
      <c r="KUF34" s="2"/>
      <c r="KUG34" s="2"/>
      <c r="KUH34" s="2"/>
      <c r="KUI34" s="2"/>
      <c r="KUJ34" s="2"/>
      <c r="KUK34" s="2"/>
      <c r="KUL34" s="2"/>
      <c r="KUM34" s="2"/>
      <c r="KUN34" s="2"/>
      <c r="KUO34" s="2"/>
      <c r="KUP34" s="2"/>
      <c r="KUQ34" s="2"/>
      <c r="KUR34" s="2"/>
      <c r="KUS34" s="2"/>
      <c r="KUT34" s="2"/>
      <c r="KUU34" s="2"/>
      <c r="KUV34" s="2"/>
      <c r="KUW34" s="2"/>
      <c r="KUX34" s="2"/>
      <c r="KUY34" s="2"/>
      <c r="KUZ34" s="2"/>
      <c r="KVA34" s="2"/>
      <c r="KVB34" s="2"/>
      <c r="KVC34" s="2"/>
      <c r="KVD34" s="2"/>
      <c r="KVE34" s="2"/>
      <c r="KVF34" s="2"/>
      <c r="KVG34" s="2"/>
      <c r="KVH34" s="2"/>
      <c r="KVI34" s="2"/>
      <c r="KVJ34" s="2"/>
      <c r="KVK34" s="2"/>
      <c r="KVL34" s="2"/>
      <c r="KVM34" s="2"/>
      <c r="KVN34" s="2"/>
      <c r="KVO34" s="2"/>
      <c r="KVP34" s="2"/>
      <c r="KVQ34" s="2"/>
      <c r="KVR34" s="2"/>
      <c r="KVS34" s="2"/>
      <c r="KVT34" s="2"/>
      <c r="KVU34" s="2"/>
      <c r="KVV34" s="2"/>
      <c r="KVW34" s="2"/>
      <c r="KVX34" s="2"/>
      <c r="KVY34" s="2"/>
      <c r="KVZ34" s="2"/>
      <c r="KWA34" s="2"/>
      <c r="KWB34" s="2"/>
      <c r="KWC34" s="2"/>
      <c r="KWD34" s="2"/>
      <c r="KWE34" s="2"/>
      <c r="KWF34" s="2"/>
      <c r="KWG34" s="2"/>
      <c r="KWH34" s="2"/>
      <c r="KWI34" s="2"/>
      <c r="KWJ34" s="2"/>
      <c r="KWK34" s="2"/>
      <c r="KWL34" s="2"/>
      <c r="KWM34" s="2"/>
      <c r="KWN34" s="2"/>
      <c r="KWO34" s="2"/>
      <c r="KWP34" s="2"/>
      <c r="KWQ34" s="2"/>
      <c r="KWR34" s="2"/>
      <c r="KWS34" s="2"/>
      <c r="KWT34" s="2"/>
      <c r="KWU34" s="2"/>
      <c r="KWV34" s="2"/>
      <c r="KWW34" s="2"/>
      <c r="KWX34" s="2"/>
      <c r="KWY34" s="2"/>
      <c r="KWZ34" s="2"/>
      <c r="KXA34" s="2"/>
      <c r="KXB34" s="2"/>
      <c r="KXC34" s="2"/>
      <c r="KXD34" s="2"/>
      <c r="KXE34" s="2"/>
      <c r="KXF34" s="2"/>
      <c r="KXG34" s="2"/>
      <c r="KXH34" s="2"/>
      <c r="KXI34" s="2"/>
      <c r="KXJ34" s="2"/>
      <c r="KXK34" s="2"/>
      <c r="KXL34" s="2"/>
      <c r="KXM34" s="2"/>
      <c r="KXN34" s="2"/>
      <c r="KXO34" s="2"/>
      <c r="KXP34" s="2"/>
      <c r="KXQ34" s="2"/>
      <c r="KXR34" s="2"/>
      <c r="KXS34" s="2"/>
      <c r="KXT34" s="2"/>
      <c r="KXU34" s="2"/>
      <c r="KXV34" s="2"/>
      <c r="KXW34" s="2"/>
      <c r="KXX34" s="2"/>
      <c r="KXY34" s="2"/>
      <c r="KXZ34" s="2"/>
      <c r="KYA34" s="2"/>
      <c r="KYB34" s="2"/>
      <c r="KYC34" s="2"/>
      <c r="KYD34" s="2"/>
      <c r="KYE34" s="2"/>
      <c r="KYF34" s="2"/>
      <c r="KYG34" s="2"/>
      <c r="KYH34" s="2"/>
      <c r="KYI34" s="2"/>
      <c r="KYJ34" s="2"/>
      <c r="KYK34" s="2"/>
      <c r="KYL34" s="2"/>
      <c r="KYM34" s="2"/>
      <c r="KYN34" s="2"/>
      <c r="KYO34" s="2"/>
      <c r="KYP34" s="2"/>
      <c r="KYQ34" s="2"/>
      <c r="KYR34" s="2"/>
      <c r="KYS34" s="2"/>
      <c r="KYT34" s="2"/>
      <c r="KYU34" s="2"/>
      <c r="KYV34" s="2"/>
      <c r="KYW34" s="2"/>
      <c r="KYX34" s="2"/>
      <c r="KYY34" s="2"/>
      <c r="KYZ34" s="2"/>
      <c r="KZA34" s="2"/>
      <c r="KZB34" s="2"/>
      <c r="KZC34" s="2"/>
      <c r="KZD34" s="2"/>
      <c r="KZE34" s="2"/>
      <c r="KZF34" s="2"/>
      <c r="KZG34" s="2"/>
      <c r="KZH34" s="2"/>
      <c r="KZI34" s="2"/>
      <c r="KZJ34" s="2"/>
      <c r="KZK34" s="2"/>
      <c r="KZL34" s="2"/>
      <c r="KZM34" s="2"/>
      <c r="KZN34" s="2"/>
      <c r="KZO34" s="2"/>
      <c r="KZP34" s="2"/>
      <c r="KZQ34" s="2"/>
      <c r="KZR34" s="2"/>
      <c r="KZS34" s="2"/>
      <c r="KZT34" s="2"/>
      <c r="KZU34" s="2"/>
      <c r="KZV34" s="2"/>
      <c r="KZW34" s="2"/>
      <c r="KZX34" s="2"/>
      <c r="KZY34" s="2"/>
      <c r="KZZ34" s="2"/>
      <c r="LAA34" s="2"/>
      <c r="LAB34" s="2"/>
      <c r="LAC34" s="2"/>
      <c r="LAD34" s="2"/>
      <c r="LAE34" s="2"/>
      <c r="LAF34" s="2"/>
      <c r="LAG34" s="2"/>
      <c r="LAH34" s="2"/>
      <c r="LAI34" s="2"/>
      <c r="LAJ34" s="2"/>
      <c r="LAK34" s="2"/>
      <c r="LAL34" s="2"/>
      <c r="LAM34" s="2"/>
      <c r="LAN34" s="2"/>
      <c r="LAO34" s="2"/>
      <c r="LAP34" s="2"/>
      <c r="LAQ34" s="2"/>
      <c r="LAR34" s="2"/>
      <c r="LAS34" s="2"/>
      <c r="LAT34" s="2"/>
      <c r="LAU34" s="2"/>
      <c r="LAV34" s="2"/>
      <c r="LAW34" s="2"/>
      <c r="LAX34" s="2"/>
      <c r="LAY34" s="2"/>
      <c r="LAZ34" s="2"/>
      <c r="LBA34" s="2"/>
      <c r="LBB34" s="2"/>
      <c r="LBC34" s="2"/>
      <c r="LBD34" s="2"/>
      <c r="LBE34" s="2"/>
      <c r="LBF34" s="2"/>
      <c r="LBG34" s="2"/>
      <c r="LBH34" s="2"/>
      <c r="LBI34" s="2"/>
      <c r="LBJ34" s="2"/>
      <c r="LBK34" s="2"/>
      <c r="LBL34" s="2"/>
      <c r="LBM34" s="2"/>
      <c r="LBN34" s="2"/>
      <c r="LBO34" s="2"/>
      <c r="LBP34" s="2"/>
      <c r="LBQ34" s="2"/>
      <c r="LBR34" s="2"/>
      <c r="LBS34" s="2"/>
      <c r="LBT34" s="2"/>
      <c r="LBU34" s="2"/>
      <c r="LBV34" s="2"/>
      <c r="LBW34" s="2"/>
      <c r="LBX34" s="2"/>
      <c r="LBY34" s="2"/>
      <c r="LBZ34" s="2"/>
      <c r="LCA34" s="2"/>
      <c r="LCB34" s="2"/>
      <c r="LCC34" s="2"/>
      <c r="LCD34" s="2"/>
      <c r="LCE34" s="2"/>
      <c r="LCF34" s="2"/>
      <c r="LCG34" s="2"/>
      <c r="LCH34" s="2"/>
      <c r="LCI34" s="2"/>
      <c r="LCJ34" s="2"/>
      <c r="LCK34" s="2"/>
      <c r="LCL34" s="2"/>
      <c r="LCM34" s="2"/>
      <c r="LCN34" s="2"/>
      <c r="LCO34" s="2"/>
      <c r="LCP34" s="2"/>
      <c r="LCQ34" s="2"/>
      <c r="LCR34" s="2"/>
      <c r="LCS34" s="2"/>
      <c r="LCT34" s="2"/>
      <c r="LCU34" s="2"/>
      <c r="LCV34" s="2"/>
      <c r="LCW34" s="2"/>
      <c r="LCX34" s="2"/>
      <c r="LCY34" s="2"/>
      <c r="LCZ34" s="2"/>
      <c r="LDA34" s="2"/>
      <c r="LDB34" s="2"/>
      <c r="LDC34" s="2"/>
      <c r="LDD34" s="2"/>
      <c r="LDE34" s="2"/>
      <c r="LDF34" s="2"/>
      <c r="LDG34" s="2"/>
      <c r="LDH34" s="2"/>
      <c r="LDI34" s="2"/>
      <c r="LDJ34" s="2"/>
      <c r="LDK34" s="2"/>
      <c r="LDL34" s="2"/>
      <c r="LDM34" s="2"/>
      <c r="LDN34" s="2"/>
      <c r="LDO34" s="2"/>
      <c r="LDP34" s="2"/>
      <c r="LDQ34" s="2"/>
      <c r="LDR34" s="2"/>
      <c r="LDS34" s="2"/>
      <c r="LDT34" s="2"/>
      <c r="LDU34" s="2"/>
      <c r="LDV34" s="2"/>
      <c r="LDW34" s="2"/>
      <c r="LDX34" s="2"/>
      <c r="LDY34" s="2"/>
      <c r="LDZ34" s="2"/>
      <c r="LEA34" s="2"/>
      <c r="LEB34" s="2"/>
      <c r="LEC34" s="2"/>
      <c r="LED34" s="2"/>
      <c r="LEE34" s="2"/>
      <c r="LEF34" s="2"/>
      <c r="LEG34" s="2"/>
      <c r="LEH34" s="2"/>
      <c r="LEI34" s="2"/>
      <c r="LEJ34" s="2"/>
      <c r="LEK34" s="2"/>
      <c r="LEL34" s="2"/>
      <c r="LEM34" s="2"/>
      <c r="LEN34" s="2"/>
      <c r="LEO34" s="2"/>
      <c r="LEP34" s="2"/>
      <c r="LEQ34" s="2"/>
      <c r="LER34" s="2"/>
      <c r="LES34" s="2"/>
      <c r="LET34" s="2"/>
      <c r="LEU34" s="2"/>
      <c r="LEV34" s="2"/>
      <c r="LEW34" s="2"/>
      <c r="LEX34" s="2"/>
      <c r="LEY34" s="2"/>
      <c r="LEZ34" s="2"/>
      <c r="LFA34" s="2"/>
      <c r="LFB34" s="2"/>
      <c r="LFC34" s="2"/>
      <c r="LFD34" s="2"/>
      <c r="LFE34" s="2"/>
      <c r="LFF34" s="2"/>
      <c r="LFG34" s="2"/>
      <c r="LFH34" s="2"/>
      <c r="LFI34" s="2"/>
      <c r="LFJ34" s="2"/>
      <c r="LFK34" s="2"/>
      <c r="LFL34" s="2"/>
      <c r="LFM34" s="2"/>
      <c r="LFN34" s="2"/>
      <c r="LFO34" s="2"/>
      <c r="LFP34" s="2"/>
      <c r="LFQ34" s="2"/>
      <c r="LFR34" s="2"/>
      <c r="LFS34" s="2"/>
      <c r="LFT34" s="2"/>
      <c r="LFU34" s="2"/>
      <c r="LFV34" s="2"/>
      <c r="LFW34" s="2"/>
      <c r="LFX34" s="2"/>
      <c r="LFY34" s="2"/>
      <c r="LFZ34" s="2"/>
      <c r="LGA34" s="2"/>
      <c r="LGB34" s="2"/>
      <c r="LGC34" s="2"/>
      <c r="LGD34" s="2"/>
      <c r="LGE34" s="2"/>
      <c r="LGF34" s="2"/>
      <c r="LGG34" s="2"/>
      <c r="LGH34" s="2"/>
      <c r="LGI34" s="2"/>
      <c r="LGJ34" s="2"/>
      <c r="LGK34" s="2"/>
      <c r="LGL34" s="2"/>
      <c r="LGM34" s="2"/>
      <c r="LGN34" s="2"/>
      <c r="LGO34" s="2"/>
      <c r="LGP34" s="2"/>
      <c r="LGQ34" s="2"/>
      <c r="LGR34" s="2"/>
      <c r="LGS34" s="2"/>
      <c r="LGT34" s="2"/>
      <c r="LGU34" s="2"/>
      <c r="LGV34" s="2"/>
      <c r="LGW34" s="2"/>
      <c r="LGX34" s="2"/>
      <c r="LGY34" s="2"/>
      <c r="LGZ34" s="2"/>
      <c r="LHA34" s="2"/>
      <c r="LHB34" s="2"/>
      <c r="LHC34" s="2"/>
      <c r="LHD34" s="2"/>
      <c r="LHE34" s="2"/>
      <c r="LHF34" s="2"/>
      <c r="LHG34" s="2"/>
      <c r="LHH34" s="2"/>
      <c r="LHI34" s="2"/>
      <c r="LHJ34" s="2"/>
      <c r="LHK34" s="2"/>
      <c r="LHL34" s="2"/>
      <c r="LHM34" s="2"/>
      <c r="LHN34" s="2"/>
      <c r="LHO34" s="2"/>
      <c r="LHP34" s="2"/>
      <c r="LHQ34" s="2"/>
      <c r="LHR34" s="2"/>
      <c r="LHS34" s="2"/>
      <c r="LHT34" s="2"/>
      <c r="LHU34" s="2"/>
      <c r="LHV34" s="2"/>
      <c r="LHW34" s="2"/>
      <c r="LHX34" s="2"/>
      <c r="LHY34" s="2"/>
      <c r="LHZ34" s="2"/>
      <c r="LIA34" s="2"/>
      <c r="LIB34" s="2"/>
      <c r="LIC34" s="2"/>
      <c r="LID34" s="2"/>
      <c r="LIE34" s="2"/>
      <c r="LIF34" s="2"/>
      <c r="LIG34" s="2"/>
      <c r="LIH34" s="2"/>
      <c r="LII34" s="2"/>
      <c r="LIJ34" s="2"/>
      <c r="LIK34" s="2"/>
      <c r="LIL34" s="2"/>
      <c r="LIM34" s="2"/>
      <c r="LIN34" s="2"/>
      <c r="LIO34" s="2"/>
      <c r="LIP34" s="2"/>
      <c r="LIQ34" s="2"/>
      <c r="LIR34" s="2"/>
      <c r="LIS34" s="2"/>
      <c r="LIT34" s="2"/>
      <c r="LIU34" s="2"/>
      <c r="LIV34" s="2"/>
      <c r="LIW34" s="2"/>
      <c r="LIX34" s="2"/>
      <c r="LIY34" s="2"/>
      <c r="LIZ34" s="2"/>
      <c r="LJA34" s="2"/>
      <c r="LJB34" s="2"/>
      <c r="LJC34" s="2"/>
      <c r="LJD34" s="2"/>
      <c r="LJE34" s="2"/>
      <c r="LJF34" s="2"/>
      <c r="LJG34" s="2"/>
      <c r="LJH34" s="2"/>
      <c r="LJI34" s="2"/>
      <c r="LJJ34" s="2"/>
      <c r="LJK34" s="2"/>
      <c r="LJL34" s="2"/>
      <c r="LJM34" s="2"/>
      <c r="LJN34" s="2"/>
      <c r="LJO34" s="2"/>
      <c r="LJP34" s="2"/>
      <c r="LJQ34" s="2"/>
      <c r="LJR34" s="2"/>
      <c r="LJS34" s="2"/>
      <c r="LJT34" s="2"/>
      <c r="LJU34" s="2"/>
      <c r="LJV34" s="2"/>
      <c r="LJW34" s="2"/>
      <c r="LJX34" s="2"/>
      <c r="LJY34" s="2"/>
      <c r="LJZ34" s="2"/>
      <c r="LKA34" s="2"/>
      <c r="LKB34" s="2"/>
      <c r="LKC34" s="2"/>
      <c r="LKD34" s="2"/>
      <c r="LKE34" s="2"/>
      <c r="LKF34" s="2"/>
      <c r="LKG34" s="2"/>
      <c r="LKH34" s="2"/>
      <c r="LKI34" s="2"/>
      <c r="LKJ34" s="2"/>
      <c r="LKK34" s="2"/>
      <c r="LKL34" s="2"/>
      <c r="LKM34" s="2"/>
      <c r="LKN34" s="2"/>
      <c r="LKO34" s="2"/>
      <c r="LKP34" s="2"/>
      <c r="LKQ34" s="2"/>
      <c r="LKR34" s="2"/>
      <c r="LKS34" s="2"/>
      <c r="LKT34" s="2"/>
      <c r="LKU34" s="2"/>
      <c r="LKV34" s="2"/>
      <c r="LKW34" s="2"/>
      <c r="LKX34" s="2"/>
      <c r="LKY34" s="2"/>
      <c r="LKZ34" s="2"/>
      <c r="LLA34" s="2"/>
      <c r="LLB34" s="2"/>
      <c r="LLC34" s="2"/>
      <c r="LLD34" s="2"/>
      <c r="LLE34" s="2"/>
      <c r="LLF34" s="2"/>
      <c r="LLG34" s="2"/>
      <c r="LLH34" s="2"/>
      <c r="LLI34" s="2"/>
      <c r="LLJ34" s="2"/>
      <c r="LLK34" s="2"/>
      <c r="LLL34" s="2"/>
      <c r="LLM34" s="2"/>
      <c r="LLN34" s="2"/>
      <c r="LLO34" s="2"/>
      <c r="LLP34" s="2"/>
      <c r="LLQ34" s="2"/>
      <c r="LLR34" s="2"/>
      <c r="LLS34" s="2"/>
      <c r="LLT34" s="2"/>
      <c r="LLU34" s="2"/>
      <c r="LLV34" s="2"/>
      <c r="LLW34" s="2"/>
      <c r="LLX34" s="2"/>
      <c r="LLY34" s="2"/>
      <c r="LLZ34" s="2"/>
      <c r="LMA34" s="2"/>
      <c r="LMB34" s="2"/>
      <c r="LMC34" s="2"/>
      <c r="LMD34" s="2"/>
      <c r="LME34" s="2"/>
      <c r="LMF34" s="2"/>
      <c r="LMG34" s="2"/>
      <c r="LMH34" s="2"/>
      <c r="LMI34" s="2"/>
      <c r="LMJ34" s="2"/>
      <c r="LMK34" s="2"/>
      <c r="LML34" s="2"/>
      <c r="LMM34" s="2"/>
      <c r="LMN34" s="2"/>
      <c r="LMO34" s="2"/>
      <c r="LMP34" s="2"/>
      <c r="LMQ34" s="2"/>
      <c r="LMR34" s="2"/>
      <c r="LMS34" s="2"/>
      <c r="LMT34" s="2"/>
      <c r="LMU34" s="2"/>
      <c r="LMV34" s="2"/>
      <c r="LMW34" s="2"/>
      <c r="LMX34" s="2"/>
      <c r="LMY34" s="2"/>
      <c r="LMZ34" s="2"/>
      <c r="LNA34" s="2"/>
      <c r="LNB34" s="2"/>
      <c r="LNC34" s="2"/>
      <c r="LND34" s="2"/>
      <c r="LNE34" s="2"/>
      <c r="LNF34" s="2"/>
      <c r="LNG34" s="2"/>
      <c r="LNH34" s="2"/>
      <c r="LNI34" s="2"/>
      <c r="LNJ34" s="2"/>
      <c r="LNK34" s="2"/>
      <c r="LNL34" s="2"/>
      <c r="LNM34" s="2"/>
      <c r="LNN34" s="2"/>
      <c r="LNO34" s="2"/>
      <c r="LNP34" s="2"/>
      <c r="LNQ34" s="2"/>
      <c r="LNR34" s="2"/>
      <c r="LNS34" s="2"/>
      <c r="LNT34" s="2"/>
      <c r="LNU34" s="2"/>
      <c r="LNV34" s="2"/>
      <c r="LNW34" s="2"/>
      <c r="LNX34" s="2"/>
      <c r="LNY34" s="2"/>
      <c r="LNZ34" s="2"/>
      <c r="LOA34" s="2"/>
      <c r="LOB34" s="2"/>
      <c r="LOC34" s="2"/>
      <c r="LOD34" s="2"/>
      <c r="LOE34" s="2"/>
      <c r="LOF34" s="2"/>
      <c r="LOG34" s="2"/>
      <c r="LOH34" s="2"/>
      <c r="LOI34" s="2"/>
      <c r="LOJ34" s="2"/>
      <c r="LOK34" s="2"/>
      <c r="LOL34" s="2"/>
      <c r="LOM34" s="2"/>
      <c r="LON34" s="2"/>
      <c r="LOO34" s="2"/>
      <c r="LOP34" s="2"/>
      <c r="LOQ34" s="2"/>
      <c r="LOR34" s="2"/>
      <c r="LOS34" s="2"/>
      <c r="LOT34" s="2"/>
      <c r="LOU34" s="2"/>
      <c r="LOV34" s="2"/>
      <c r="LOW34" s="2"/>
      <c r="LOX34" s="2"/>
      <c r="LOY34" s="2"/>
      <c r="LOZ34" s="2"/>
      <c r="LPA34" s="2"/>
      <c r="LPB34" s="2"/>
      <c r="LPC34" s="2"/>
      <c r="LPD34" s="2"/>
      <c r="LPE34" s="2"/>
      <c r="LPF34" s="2"/>
      <c r="LPG34" s="2"/>
      <c r="LPH34" s="2"/>
      <c r="LPI34" s="2"/>
      <c r="LPJ34" s="2"/>
      <c r="LPK34" s="2"/>
      <c r="LPL34" s="2"/>
      <c r="LPM34" s="2"/>
      <c r="LPN34" s="2"/>
      <c r="LPO34" s="2"/>
      <c r="LPP34" s="2"/>
      <c r="LPQ34" s="2"/>
      <c r="LPR34" s="2"/>
      <c r="LPS34" s="2"/>
      <c r="LPT34" s="2"/>
      <c r="LPU34" s="2"/>
      <c r="LPV34" s="2"/>
      <c r="LPW34" s="2"/>
      <c r="LPX34" s="2"/>
      <c r="LPY34" s="2"/>
      <c r="LPZ34" s="2"/>
      <c r="LQA34" s="2"/>
      <c r="LQB34" s="2"/>
      <c r="LQC34" s="2"/>
      <c r="LQD34" s="2"/>
      <c r="LQE34" s="2"/>
      <c r="LQF34" s="2"/>
      <c r="LQG34" s="2"/>
      <c r="LQH34" s="2"/>
      <c r="LQI34" s="2"/>
      <c r="LQJ34" s="2"/>
      <c r="LQK34" s="2"/>
      <c r="LQL34" s="2"/>
      <c r="LQM34" s="2"/>
      <c r="LQN34" s="2"/>
      <c r="LQO34" s="2"/>
      <c r="LQP34" s="2"/>
      <c r="LQQ34" s="2"/>
      <c r="LQR34" s="2"/>
      <c r="LQS34" s="2"/>
      <c r="LQT34" s="2"/>
      <c r="LQU34" s="2"/>
      <c r="LQV34" s="2"/>
      <c r="LQW34" s="2"/>
      <c r="LQX34" s="2"/>
      <c r="LQY34" s="2"/>
      <c r="LQZ34" s="2"/>
      <c r="LRA34" s="2"/>
      <c r="LRB34" s="2"/>
      <c r="LRC34" s="2"/>
      <c r="LRD34" s="2"/>
      <c r="LRE34" s="2"/>
      <c r="LRF34" s="2"/>
      <c r="LRG34" s="2"/>
      <c r="LRH34" s="2"/>
      <c r="LRI34" s="2"/>
      <c r="LRJ34" s="2"/>
      <c r="LRK34" s="2"/>
      <c r="LRL34" s="2"/>
      <c r="LRM34" s="2"/>
      <c r="LRN34" s="2"/>
      <c r="LRO34" s="2"/>
      <c r="LRP34" s="2"/>
      <c r="LRQ34" s="2"/>
      <c r="LRR34" s="2"/>
      <c r="LRS34" s="2"/>
      <c r="LRT34" s="2"/>
      <c r="LRU34" s="2"/>
      <c r="LRV34" s="2"/>
      <c r="LRW34" s="2"/>
      <c r="LRX34" s="2"/>
      <c r="LRY34" s="2"/>
      <c r="LRZ34" s="2"/>
      <c r="LSA34" s="2"/>
      <c r="LSB34" s="2"/>
      <c r="LSC34" s="2"/>
      <c r="LSD34" s="2"/>
      <c r="LSE34" s="2"/>
      <c r="LSF34" s="2"/>
      <c r="LSG34" s="2"/>
      <c r="LSH34" s="2"/>
      <c r="LSI34" s="2"/>
      <c r="LSJ34" s="2"/>
      <c r="LSK34" s="2"/>
      <c r="LSL34" s="2"/>
      <c r="LSM34" s="2"/>
      <c r="LSN34" s="2"/>
      <c r="LSO34" s="2"/>
      <c r="LSP34" s="2"/>
      <c r="LSQ34" s="2"/>
      <c r="LSR34" s="2"/>
      <c r="LSS34" s="2"/>
      <c r="LST34" s="2"/>
      <c r="LSU34" s="2"/>
      <c r="LSV34" s="2"/>
      <c r="LSW34" s="2"/>
      <c r="LSX34" s="2"/>
      <c r="LSY34" s="2"/>
      <c r="LSZ34" s="2"/>
      <c r="LTA34" s="2"/>
      <c r="LTB34" s="2"/>
      <c r="LTC34" s="2"/>
      <c r="LTD34" s="2"/>
      <c r="LTE34" s="2"/>
      <c r="LTF34" s="2"/>
      <c r="LTG34" s="2"/>
      <c r="LTH34" s="2"/>
      <c r="LTI34" s="2"/>
      <c r="LTJ34" s="2"/>
      <c r="LTK34" s="2"/>
      <c r="LTL34" s="2"/>
      <c r="LTM34" s="2"/>
      <c r="LTN34" s="2"/>
      <c r="LTO34" s="2"/>
      <c r="LTP34" s="2"/>
      <c r="LTQ34" s="2"/>
      <c r="LTR34" s="2"/>
      <c r="LTS34" s="2"/>
      <c r="LTT34" s="2"/>
      <c r="LTU34" s="2"/>
      <c r="LTV34" s="2"/>
      <c r="LTW34" s="2"/>
      <c r="LTX34" s="2"/>
      <c r="LTY34" s="2"/>
      <c r="LTZ34" s="2"/>
      <c r="LUA34" s="2"/>
      <c r="LUB34" s="2"/>
      <c r="LUC34" s="2"/>
      <c r="LUD34" s="2"/>
      <c r="LUE34" s="2"/>
      <c r="LUF34" s="2"/>
      <c r="LUG34" s="2"/>
      <c r="LUH34" s="2"/>
      <c r="LUI34" s="2"/>
      <c r="LUJ34" s="2"/>
      <c r="LUK34" s="2"/>
      <c r="LUL34" s="2"/>
      <c r="LUM34" s="2"/>
      <c r="LUN34" s="2"/>
      <c r="LUO34" s="2"/>
      <c r="LUP34" s="2"/>
      <c r="LUQ34" s="2"/>
      <c r="LUR34" s="2"/>
      <c r="LUS34" s="2"/>
      <c r="LUT34" s="2"/>
      <c r="LUU34" s="2"/>
      <c r="LUV34" s="2"/>
      <c r="LUW34" s="2"/>
      <c r="LUX34" s="2"/>
      <c r="LUY34" s="2"/>
      <c r="LUZ34" s="2"/>
      <c r="LVA34" s="2"/>
      <c r="LVB34" s="2"/>
      <c r="LVC34" s="2"/>
      <c r="LVD34" s="2"/>
      <c r="LVE34" s="2"/>
      <c r="LVF34" s="2"/>
      <c r="LVG34" s="2"/>
      <c r="LVH34" s="2"/>
      <c r="LVI34" s="2"/>
      <c r="LVJ34" s="2"/>
      <c r="LVK34" s="2"/>
      <c r="LVL34" s="2"/>
      <c r="LVM34" s="2"/>
      <c r="LVN34" s="2"/>
      <c r="LVO34" s="2"/>
      <c r="LVP34" s="2"/>
      <c r="LVQ34" s="2"/>
      <c r="LVR34" s="2"/>
      <c r="LVS34" s="2"/>
      <c r="LVT34" s="2"/>
      <c r="LVU34" s="2"/>
      <c r="LVV34" s="2"/>
      <c r="LVW34" s="2"/>
      <c r="LVX34" s="2"/>
      <c r="LVY34" s="2"/>
      <c r="LVZ34" s="2"/>
      <c r="LWA34" s="2"/>
      <c r="LWB34" s="2"/>
      <c r="LWC34" s="2"/>
      <c r="LWD34" s="2"/>
      <c r="LWE34" s="2"/>
      <c r="LWF34" s="2"/>
      <c r="LWG34" s="2"/>
      <c r="LWH34" s="2"/>
      <c r="LWI34" s="2"/>
      <c r="LWJ34" s="2"/>
      <c r="LWK34" s="2"/>
      <c r="LWL34" s="2"/>
      <c r="LWM34" s="2"/>
      <c r="LWN34" s="2"/>
      <c r="LWO34" s="2"/>
      <c r="LWP34" s="2"/>
      <c r="LWQ34" s="2"/>
      <c r="LWR34" s="2"/>
      <c r="LWS34" s="2"/>
      <c r="LWT34" s="2"/>
      <c r="LWU34" s="2"/>
      <c r="LWV34" s="2"/>
      <c r="LWW34" s="2"/>
      <c r="LWX34" s="2"/>
      <c r="LWY34" s="2"/>
      <c r="LWZ34" s="2"/>
      <c r="LXA34" s="2"/>
      <c r="LXB34" s="2"/>
      <c r="LXC34" s="2"/>
      <c r="LXD34" s="2"/>
      <c r="LXE34" s="2"/>
      <c r="LXF34" s="2"/>
      <c r="LXG34" s="2"/>
      <c r="LXH34" s="2"/>
      <c r="LXI34" s="2"/>
      <c r="LXJ34" s="2"/>
      <c r="LXK34" s="2"/>
      <c r="LXL34" s="2"/>
      <c r="LXM34" s="2"/>
      <c r="LXN34" s="2"/>
      <c r="LXO34" s="2"/>
      <c r="LXP34" s="2"/>
      <c r="LXQ34" s="2"/>
      <c r="LXR34" s="2"/>
      <c r="LXS34" s="2"/>
      <c r="LXT34" s="2"/>
      <c r="LXU34" s="2"/>
      <c r="LXV34" s="2"/>
      <c r="LXW34" s="2"/>
      <c r="LXX34" s="2"/>
      <c r="LXY34" s="2"/>
      <c r="LXZ34" s="2"/>
      <c r="LYA34" s="2"/>
      <c r="LYB34" s="2"/>
      <c r="LYC34" s="2"/>
      <c r="LYD34" s="2"/>
      <c r="LYE34" s="2"/>
      <c r="LYF34" s="2"/>
      <c r="LYG34" s="2"/>
      <c r="LYH34" s="2"/>
      <c r="LYI34" s="2"/>
      <c r="LYJ34" s="2"/>
      <c r="LYK34" s="2"/>
      <c r="LYL34" s="2"/>
      <c r="LYM34" s="2"/>
      <c r="LYN34" s="2"/>
      <c r="LYO34" s="2"/>
      <c r="LYP34" s="2"/>
      <c r="LYQ34" s="2"/>
      <c r="LYR34" s="2"/>
      <c r="LYS34" s="2"/>
      <c r="LYT34" s="2"/>
      <c r="LYU34" s="2"/>
      <c r="LYV34" s="2"/>
      <c r="LYW34" s="2"/>
      <c r="LYX34" s="2"/>
      <c r="LYY34" s="2"/>
      <c r="LYZ34" s="2"/>
      <c r="LZA34" s="2"/>
      <c r="LZB34" s="2"/>
      <c r="LZC34" s="2"/>
      <c r="LZD34" s="2"/>
      <c r="LZE34" s="2"/>
      <c r="LZF34" s="2"/>
      <c r="LZG34" s="2"/>
      <c r="LZH34" s="2"/>
      <c r="LZI34" s="2"/>
      <c r="LZJ34" s="2"/>
      <c r="LZK34" s="2"/>
      <c r="LZL34" s="2"/>
      <c r="LZM34" s="2"/>
      <c r="LZN34" s="2"/>
      <c r="LZO34" s="2"/>
      <c r="LZP34" s="2"/>
      <c r="LZQ34" s="2"/>
      <c r="LZR34" s="2"/>
      <c r="LZS34" s="2"/>
      <c r="LZT34" s="2"/>
      <c r="LZU34" s="2"/>
      <c r="LZV34" s="2"/>
      <c r="LZW34" s="2"/>
      <c r="LZX34" s="2"/>
      <c r="LZY34" s="2"/>
      <c r="LZZ34" s="2"/>
      <c r="MAA34" s="2"/>
      <c r="MAB34" s="2"/>
      <c r="MAC34" s="2"/>
      <c r="MAD34" s="2"/>
      <c r="MAE34" s="2"/>
      <c r="MAF34" s="2"/>
      <c r="MAG34" s="2"/>
      <c r="MAH34" s="2"/>
      <c r="MAI34" s="2"/>
      <c r="MAJ34" s="2"/>
      <c r="MAK34" s="2"/>
      <c r="MAL34" s="2"/>
      <c r="MAM34" s="2"/>
      <c r="MAN34" s="2"/>
      <c r="MAO34" s="2"/>
      <c r="MAP34" s="2"/>
      <c r="MAQ34" s="2"/>
      <c r="MAR34" s="2"/>
      <c r="MAS34" s="2"/>
      <c r="MAT34" s="2"/>
      <c r="MAU34" s="2"/>
      <c r="MAV34" s="2"/>
      <c r="MAW34" s="2"/>
      <c r="MAX34" s="2"/>
      <c r="MAY34" s="2"/>
      <c r="MAZ34" s="2"/>
      <c r="MBA34" s="2"/>
      <c r="MBB34" s="2"/>
      <c r="MBC34" s="2"/>
      <c r="MBD34" s="2"/>
      <c r="MBE34" s="2"/>
      <c r="MBF34" s="2"/>
      <c r="MBG34" s="2"/>
      <c r="MBH34" s="2"/>
      <c r="MBI34" s="2"/>
      <c r="MBJ34" s="2"/>
      <c r="MBK34" s="2"/>
      <c r="MBL34" s="2"/>
      <c r="MBM34" s="2"/>
      <c r="MBN34" s="2"/>
      <c r="MBO34" s="2"/>
      <c r="MBP34" s="2"/>
      <c r="MBQ34" s="2"/>
      <c r="MBR34" s="2"/>
      <c r="MBS34" s="2"/>
      <c r="MBT34" s="2"/>
      <c r="MBU34" s="2"/>
      <c r="MBV34" s="2"/>
      <c r="MBW34" s="2"/>
      <c r="MBX34" s="2"/>
      <c r="MBY34" s="2"/>
      <c r="MBZ34" s="2"/>
      <c r="MCA34" s="2"/>
      <c r="MCB34" s="2"/>
      <c r="MCC34" s="2"/>
      <c r="MCD34" s="2"/>
      <c r="MCE34" s="2"/>
      <c r="MCF34" s="2"/>
      <c r="MCG34" s="2"/>
      <c r="MCH34" s="2"/>
      <c r="MCI34" s="2"/>
      <c r="MCJ34" s="2"/>
      <c r="MCK34" s="2"/>
      <c r="MCL34" s="2"/>
      <c r="MCM34" s="2"/>
      <c r="MCN34" s="2"/>
      <c r="MCO34" s="2"/>
      <c r="MCP34" s="2"/>
      <c r="MCQ34" s="2"/>
      <c r="MCR34" s="2"/>
      <c r="MCS34" s="2"/>
      <c r="MCT34" s="2"/>
      <c r="MCU34" s="2"/>
      <c r="MCV34" s="2"/>
      <c r="MCW34" s="2"/>
      <c r="MCX34" s="2"/>
      <c r="MCY34" s="2"/>
      <c r="MCZ34" s="2"/>
      <c r="MDA34" s="2"/>
      <c r="MDB34" s="2"/>
      <c r="MDC34" s="2"/>
      <c r="MDD34" s="2"/>
      <c r="MDE34" s="2"/>
      <c r="MDF34" s="2"/>
      <c r="MDG34" s="2"/>
      <c r="MDH34" s="2"/>
      <c r="MDI34" s="2"/>
      <c r="MDJ34" s="2"/>
      <c r="MDK34" s="2"/>
      <c r="MDL34" s="2"/>
      <c r="MDM34" s="2"/>
      <c r="MDN34" s="2"/>
      <c r="MDO34" s="2"/>
      <c r="MDP34" s="2"/>
      <c r="MDQ34" s="2"/>
      <c r="MDR34" s="2"/>
      <c r="MDS34" s="2"/>
      <c r="MDT34" s="2"/>
      <c r="MDU34" s="2"/>
      <c r="MDV34" s="2"/>
      <c r="MDW34" s="2"/>
      <c r="MDX34" s="2"/>
      <c r="MDY34" s="2"/>
      <c r="MDZ34" s="2"/>
      <c r="MEA34" s="2"/>
      <c r="MEB34" s="2"/>
      <c r="MEC34" s="2"/>
      <c r="MED34" s="2"/>
      <c r="MEE34" s="2"/>
      <c r="MEF34" s="2"/>
      <c r="MEG34" s="2"/>
      <c r="MEH34" s="2"/>
      <c r="MEI34" s="2"/>
      <c r="MEJ34" s="2"/>
      <c r="MEK34" s="2"/>
      <c r="MEL34" s="2"/>
      <c r="MEM34" s="2"/>
      <c r="MEN34" s="2"/>
      <c r="MEO34" s="2"/>
      <c r="MEP34" s="2"/>
      <c r="MEQ34" s="2"/>
      <c r="MER34" s="2"/>
      <c r="MES34" s="2"/>
      <c r="MET34" s="2"/>
      <c r="MEU34" s="2"/>
      <c r="MEV34" s="2"/>
      <c r="MEW34" s="2"/>
      <c r="MEX34" s="2"/>
      <c r="MEY34" s="2"/>
      <c r="MEZ34" s="2"/>
      <c r="MFA34" s="2"/>
      <c r="MFB34" s="2"/>
      <c r="MFC34" s="2"/>
      <c r="MFD34" s="2"/>
      <c r="MFE34" s="2"/>
      <c r="MFF34" s="2"/>
      <c r="MFG34" s="2"/>
      <c r="MFH34" s="2"/>
      <c r="MFI34" s="2"/>
      <c r="MFJ34" s="2"/>
      <c r="MFK34" s="2"/>
      <c r="MFL34" s="2"/>
      <c r="MFM34" s="2"/>
      <c r="MFN34" s="2"/>
      <c r="MFO34" s="2"/>
      <c r="MFP34" s="2"/>
      <c r="MFQ34" s="2"/>
      <c r="MFR34" s="2"/>
      <c r="MFS34" s="2"/>
      <c r="MFT34" s="2"/>
      <c r="MFU34" s="2"/>
      <c r="MFV34" s="2"/>
      <c r="MFW34" s="2"/>
      <c r="MFX34" s="2"/>
      <c r="MFY34" s="2"/>
      <c r="MFZ34" s="2"/>
      <c r="MGA34" s="2"/>
      <c r="MGB34" s="2"/>
      <c r="MGC34" s="2"/>
      <c r="MGD34" s="2"/>
      <c r="MGE34" s="2"/>
      <c r="MGF34" s="2"/>
      <c r="MGG34" s="2"/>
      <c r="MGH34" s="2"/>
      <c r="MGI34" s="2"/>
      <c r="MGJ34" s="2"/>
      <c r="MGK34" s="2"/>
      <c r="MGL34" s="2"/>
      <c r="MGM34" s="2"/>
      <c r="MGN34" s="2"/>
      <c r="MGO34" s="2"/>
      <c r="MGP34" s="2"/>
      <c r="MGQ34" s="2"/>
      <c r="MGR34" s="2"/>
      <c r="MGS34" s="2"/>
      <c r="MGT34" s="2"/>
      <c r="MGU34" s="2"/>
      <c r="MGV34" s="2"/>
      <c r="MGW34" s="2"/>
      <c r="MGX34" s="2"/>
      <c r="MGY34" s="2"/>
      <c r="MGZ34" s="2"/>
      <c r="MHA34" s="2"/>
      <c r="MHB34" s="2"/>
      <c r="MHC34" s="2"/>
      <c r="MHD34" s="2"/>
      <c r="MHE34" s="2"/>
      <c r="MHF34" s="2"/>
      <c r="MHG34" s="2"/>
      <c r="MHH34" s="2"/>
      <c r="MHI34" s="2"/>
      <c r="MHJ34" s="2"/>
      <c r="MHK34" s="2"/>
      <c r="MHL34" s="2"/>
      <c r="MHM34" s="2"/>
      <c r="MHN34" s="2"/>
      <c r="MHO34" s="2"/>
      <c r="MHP34" s="2"/>
      <c r="MHQ34" s="2"/>
      <c r="MHR34" s="2"/>
      <c r="MHS34" s="2"/>
      <c r="MHT34" s="2"/>
      <c r="MHU34" s="2"/>
      <c r="MHV34" s="2"/>
      <c r="MHW34" s="2"/>
      <c r="MHX34" s="2"/>
      <c r="MHY34" s="2"/>
      <c r="MHZ34" s="2"/>
      <c r="MIA34" s="2"/>
      <c r="MIB34" s="2"/>
      <c r="MIC34" s="2"/>
      <c r="MID34" s="2"/>
      <c r="MIE34" s="2"/>
      <c r="MIF34" s="2"/>
      <c r="MIG34" s="2"/>
      <c r="MIH34" s="2"/>
      <c r="MII34" s="2"/>
      <c r="MIJ34" s="2"/>
      <c r="MIK34" s="2"/>
      <c r="MIL34" s="2"/>
      <c r="MIM34" s="2"/>
      <c r="MIN34" s="2"/>
      <c r="MIO34" s="2"/>
      <c r="MIP34" s="2"/>
      <c r="MIQ34" s="2"/>
      <c r="MIR34" s="2"/>
      <c r="MIS34" s="2"/>
      <c r="MIT34" s="2"/>
      <c r="MIU34" s="2"/>
      <c r="MIV34" s="2"/>
      <c r="MIW34" s="2"/>
      <c r="MIX34" s="2"/>
      <c r="MIY34" s="2"/>
      <c r="MIZ34" s="2"/>
      <c r="MJA34" s="2"/>
      <c r="MJB34" s="2"/>
      <c r="MJC34" s="2"/>
      <c r="MJD34" s="2"/>
      <c r="MJE34" s="2"/>
      <c r="MJF34" s="2"/>
      <c r="MJG34" s="2"/>
      <c r="MJH34" s="2"/>
      <c r="MJI34" s="2"/>
      <c r="MJJ34" s="2"/>
      <c r="MJK34" s="2"/>
      <c r="MJL34" s="2"/>
      <c r="MJM34" s="2"/>
      <c r="MJN34" s="2"/>
      <c r="MJO34" s="2"/>
      <c r="MJP34" s="2"/>
      <c r="MJQ34" s="2"/>
      <c r="MJR34" s="2"/>
      <c r="MJS34" s="2"/>
      <c r="MJT34" s="2"/>
      <c r="MJU34" s="2"/>
      <c r="MJV34" s="2"/>
      <c r="MJW34" s="2"/>
      <c r="MJX34" s="2"/>
      <c r="MJY34" s="2"/>
      <c r="MJZ34" s="2"/>
      <c r="MKA34" s="2"/>
      <c r="MKB34" s="2"/>
      <c r="MKC34" s="2"/>
      <c r="MKD34" s="2"/>
      <c r="MKE34" s="2"/>
      <c r="MKF34" s="2"/>
      <c r="MKG34" s="2"/>
      <c r="MKH34" s="2"/>
      <c r="MKI34" s="2"/>
      <c r="MKJ34" s="2"/>
      <c r="MKK34" s="2"/>
      <c r="MKL34" s="2"/>
      <c r="MKM34" s="2"/>
      <c r="MKN34" s="2"/>
      <c r="MKO34" s="2"/>
      <c r="MKP34" s="2"/>
      <c r="MKQ34" s="2"/>
      <c r="MKR34" s="2"/>
      <c r="MKS34" s="2"/>
      <c r="MKT34" s="2"/>
      <c r="MKU34" s="2"/>
      <c r="MKV34" s="2"/>
      <c r="MKW34" s="2"/>
      <c r="MKX34" s="2"/>
      <c r="MKY34" s="2"/>
      <c r="MKZ34" s="2"/>
      <c r="MLA34" s="2"/>
      <c r="MLB34" s="2"/>
      <c r="MLC34" s="2"/>
      <c r="MLD34" s="2"/>
      <c r="MLE34" s="2"/>
      <c r="MLF34" s="2"/>
      <c r="MLG34" s="2"/>
      <c r="MLH34" s="2"/>
      <c r="MLI34" s="2"/>
      <c r="MLJ34" s="2"/>
      <c r="MLK34" s="2"/>
      <c r="MLL34" s="2"/>
      <c r="MLM34" s="2"/>
      <c r="MLN34" s="2"/>
      <c r="MLO34" s="2"/>
      <c r="MLP34" s="2"/>
      <c r="MLQ34" s="2"/>
      <c r="MLR34" s="2"/>
      <c r="MLS34" s="2"/>
      <c r="MLT34" s="2"/>
      <c r="MLU34" s="2"/>
      <c r="MLV34" s="2"/>
      <c r="MLW34" s="2"/>
      <c r="MLX34" s="2"/>
      <c r="MLY34" s="2"/>
      <c r="MLZ34" s="2"/>
      <c r="MMA34" s="2"/>
      <c r="MMB34" s="2"/>
      <c r="MMC34" s="2"/>
      <c r="MMD34" s="2"/>
      <c r="MME34" s="2"/>
      <c r="MMF34" s="2"/>
      <c r="MMG34" s="2"/>
      <c r="MMH34" s="2"/>
      <c r="MMI34" s="2"/>
      <c r="MMJ34" s="2"/>
      <c r="MMK34" s="2"/>
      <c r="MML34" s="2"/>
      <c r="MMM34" s="2"/>
      <c r="MMN34" s="2"/>
      <c r="MMO34" s="2"/>
      <c r="MMP34" s="2"/>
      <c r="MMQ34" s="2"/>
      <c r="MMR34" s="2"/>
      <c r="MMS34" s="2"/>
      <c r="MMT34" s="2"/>
      <c r="MMU34" s="2"/>
      <c r="MMV34" s="2"/>
      <c r="MMW34" s="2"/>
      <c r="MMX34" s="2"/>
      <c r="MMY34" s="2"/>
      <c r="MMZ34" s="2"/>
      <c r="MNA34" s="2"/>
      <c r="MNB34" s="2"/>
      <c r="MNC34" s="2"/>
      <c r="MND34" s="2"/>
      <c r="MNE34" s="2"/>
      <c r="MNF34" s="2"/>
      <c r="MNG34" s="2"/>
      <c r="MNH34" s="2"/>
      <c r="MNI34" s="2"/>
      <c r="MNJ34" s="2"/>
      <c r="MNK34" s="2"/>
      <c r="MNL34" s="2"/>
      <c r="MNM34" s="2"/>
      <c r="MNN34" s="2"/>
      <c r="MNO34" s="2"/>
      <c r="MNP34" s="2"/>
      <c r="MNQ34" s="2"/>
      <c r="MNR34" s="2"/>
      <c r="MNS34" s="2"/>
      <c r="MNT34" s="2"/>
      <c r="MNU34" s="2"/>
      <c r="MNV34" s="2"/>
      <c r="MNW34" s="2"/>
      <c r="MNX34" s="2"/>
      <c r="MNY34" s="2"/>
      <c r="MNZ34" s="2"/>
      <c r="MOA34" s="2"/>
      <c r="MOB34" s="2"/>
      <c r="MOC34" s="2"/>
      <c r="MOD34" s="2"/>
      <c r="MOE34" s="2"/>
      <c r="MOF34" s="2"/>
      <c r="MOG34" s="2"/>
      <c r="MOH34" s="2"/>
      <c r="MOI34" s="2"/>
      <c r="MOJ34" s="2"/>
      <c r="MOK34" s="2"/>
      <c r="MOL34" s="2"/>
      <c r="MOM34" s="2"/>
      <c r="MON34" s="2"/>
      <c r="MOO34" s="2"/>
      <c r="MOP34" s="2"/>
      <c r="MOQ34" s="2"/>
      <c r="MOR34" s="2"/>
      <c r="MOS34" s="2"/>
      <c r="MOT34" s="2"/>
      <c r="MOU34" s="2"/>
      <c r="MOV34" s="2"/>
      <c r="MOW34" s="2"/>
      <c r="MOX34" s="2"/>
      <c r="MOY34" s="2"/>
      <c r="MOZ34" s="2"/>
      <c r="MPA34" s="2"/>
      <c r="MPB34" s="2"/>
      <c r="MPC34" s="2"/>
      <c r="MPD34" s="2"/>
      <c r="MPE34" s="2"/>
      <c r="MPF34" s="2"/>
      <c r="MPG34" s="2"/>
      <c r="MPH34" s="2"/>
      <c r="MPI34" s="2"/>
      <c r="MPJ34" s="2"/>
      <c r="MPK34" s="2"/>
      <c r="MPL34" s="2"/>
      <c r="MPM34" s="2"/>
      <c r="MPN34" s="2"/>
      <c r="MPO34" s="2"/>
      <c r="MPP34" s="2"/>
      <c r="MPQ34" s="2"/>
      <c r="MPR34" s="2"/>
      <c r="MPS34" s="2"/>
      <c r="MPT34" s="2"/>
      <c r="MPU34" s="2"/>
      <c r="MPV34" s="2"/>
      <c r="MPW34" s="2"/>
      <c r="MPX34" s="2"/>
      <c r="MPY34" s="2"/>
      <c r="MPZ34" s="2"/>
      <c r="MQA34" s="2"/>
      <c r="MQB34" s="2"/>
      <c r="MQC34" s="2"/>
      <c r="MQD34" s="2"/>
      <c r="MQE34" s="2"/>
      <c r="MQF34" s="2"/>
      <c r="MQG34" s="2"/>
      <c r="MQH34" s="2"/>
      <c r="MQI34" s="2"/>
      <c r="MQJ34" s="2"/>
      <c r="MQK34" s="2"/>
      <c r="MQL34" s="2"/>
      <c r="MQM34" s="2"/>
      <c r="MQN34" s="2"/>
      <c r="MQO34" s="2"/>
      <c r="MQP34" s="2"/>
      <c r="MQQ34" s="2"/>
      <c r="MQR34" s="2"/>
      <c r="MQS34" s="2"/>
      <c r="MQT34" s="2"/>
      <c r="MQU34" s="2"/>
      <c r="MQV34" s="2"/>
      <c r="MQW34" s="2"/>
      <c r="MQX34" s="2"/>
      <c r="MQY34" s="2"/>
      <c r="MQZ34" s="2"/>
      <c r="MRA34" s="2"/>
      <c r="MRB34" s="2"/>
      <c r="MRC34" s="2"/>
      <c r="MRD34" s="2"/>
      <c r="MRE34" s="2"/>
      <c r="MRF34" s="2"/>
      <c r="MRG34" s="2"/>
      <c r="MRH34" s="2"/>
      <c r="MRI34" s="2"/>
      <c r="MRJ34" s="2"/>
      <c r="MRK34" s="2"/>
      <c r="MRL34" s="2"/>
      <c r="MRM34" s="2"/>
      <c r="MRN34" s="2"/>
      <c r="MRO34" s="2"/>
      <c r="MRP34" s="2"/>
      <c r="MRQ34" s="2"/>
      <c r="MRR34" s="2"/>
      <c r="MRS34" s="2"/>
      <c r="MRT34" s="2"/>
      <c r="MRU34" s="2"/>
      <c r="MRV34" s="2"/>
      <c r="MRW34" s="2"/>
      <c r="MRX34" s="2"/>
      <c r="MRY34" s="2"/>
      <c r="MRZ34" s="2"/>
      <c r="MSA34" s="2"/>
      <c r="MSB34" s="2"/>
      <c r="MSC34" s="2"/>
      <c r="MSD34" s="2"/>
      <c r="MSE34" s="2"/>
      <c r="MSF34" s="2"/>
      <c r="MSG34" s="2"/>
      <c r="MSH34" s="2"/>
      <c r="MSI34" s="2"/>
      <c r="MSJ34" s="2"/>
      <c r="MSK34" s="2"/>
      <c r="MSL34" s="2"/>
      <c r="MSM34" s="2"/>
      <c r="MSN34" s="2"/>
      <c r="MSO34" s="2"/>
      <c r="MSP34" s="2"/>
      <c r="MSQ34" s="2"/>
      <c r="MSR34" s="2"/>
      <c r="MSS34" s="2"/>
      <c r="MST34" s="2"/>
      <c r="MSU34" s="2"/>
      <c r="MSV34" s="2"/>
      <c r="MSW34" s="2"/>
      <c r="MSX34" s="2"/>
      <c r="MSY34" s="2"/>
      <c r="MSZ34" s="2"/>
      <c r="MTA34" s="2"/>
      <c r="MTB34" s="2"/>
      <c r="MTC34" s="2"/>
      <c r="MTD34" s="2"/>
      <c r="MTE34" s="2"/>
      <c r="MTF34" s="2"/>
      <c r="MTG34" s="2"/>
      <c r="MTH34" s="2"/>
      <c r="MTI34" s="2"/>
      <c r="MTJ34" s="2"/>
      <c r="MTK34" s="2"/>
      <c r="MTL34" s="2"/>
      <c r="MTM34" s="2"/>
      <c r="MTN34" s="2"/>
      <c r="MTO34" s="2"/>
      <c r="MTP34" s="2"/>
      <c r="MTQ34" s="2"/>
      <c r="MTR34" s="2"/>
      <c r="MTS34" s="2"/>
      <c r="MTT34" s="2"/>
      <c r="MTU34" s="2"/>
      <c r="MTV34" s="2"/>
      <c r="MTW34" s="2"/>
      <c r="MTX34" s="2"/>
      <c r="MTY34" s="2"/>
      <c r="MTZ34" s="2"/>
      <c r="MUA34" s="2"/>
      <c r="MUB34" s="2"/>
      <c r="MUC34" s="2"/>
      <c r="MUD34" s="2"/>
      <c r="MUE34" s="2"/>
      <c r="MUF34" s="2"/>
      <c r="MUG34" s="2"/>
      <c r="MUH34" s="2"/>
      <c r="MUI34" s="2"/>
      <c r="MUJ34" s="2"/>
      <c r="MUK34" s="2"/>
      <c r="MUL34" s="2"/>
      <c r="MUM34" s="2"/>
      <c r="MUN34" s="2"/>
      <c r="MUO34" s="2"/>
      <c r="MUP34" s="2"/>
      <c r="MUQ34" s="2"/>
      <c r="MUR34" s="2"/>
      <c r="MUS34" s="2"/>
      <c r="MUT34" s="2"/>
      <c r="MUU34" s="2"/>
      <c r="MUV34" s="2"/>
      <c r="MUW34" s="2"/>
      <c r="MUX34" s="2"/>
      <c r="MUY34" s="2"/>
      <c r="MUZ34" s="2"/>
      <c r="MVA34" s="2"/>
      <c r="MVB34" s="2"/>
      <c r="MVC34" s="2"/>
      <c r="MVD34" s="2"/>
      <c r="MVE34" s="2"/>
      <c r="MVF34" s="2"/>
      <c r="MVG34" s="2"/>
      <c r="MVH34" s="2"/>
      <c r="MVI34" s="2"/>
      <c r="MVJ34" s="2"/>
      <c r="MVK34" s="2"/>
      <c r="MVL34" s="2"/>
      <c r="MVM34" s="2"/>
      <c r="MVN34" s="2"/>
      <c r="MVO34" s="2"/>
      <c r="MVP34" s="2"/>
      <c r="MVQ34" s="2"/>
      <c r="MVR34" s="2"/>
      <c r="MVS34" s="2"/>
      <c r="MVT34" s="2"/>
      <c r="MVU34" s="2"/>
      <c r="MVV34" s="2"/>
      <c r="MVW34" s="2"/>
      <c r="MVX34" s="2"/>
      <c r="MVY34" s="2"/>
      <c r="MVZ34" s="2"/>
      <c r="MWA34" s="2"/>
      <c r="MWB34" s="2"/>
      <c r="MWC34" s="2"/>
      <c r="MWD34" s="2"/>
      <c r="MWE34" s="2"/>
      <c r="MWF34" s="2"/>
      <c r="MWG34" s="2"/>
      <c r="MWH34" s="2"/>
      <c r="MWI34" s="2"/>
      <c r="MWJ34" s="2"/>
      <c r="MWK34" s="2"/>
      <c r="MWL34" s="2"/>
      <c r="MWM34" s="2"/>
      <c r="MWN34" s="2"/>
      <c r="MWO34" s="2"/>
      <c r="MWP34" s="2"/>
      <c r="MWQ34" s="2"/>
      <c r="MWR34" s="2"/>
      <c r="MWS34" s="2"/>
      <c r="MWT34" s="2"/>
      <c r="MWU34" s="2"/>
      <c r="MWV34" s="2"/>
      <c r="MWW34" s="2"/>
      <c r="MWX34" s="2"/>
      <c r="MWY34" s="2"/>
      <c r="MWZ34" s="2"/>
      <c r="MXA34" s="2"/>
      <c r="MXB34" s="2"/>
      <c r="MXC34" s="2"/>
      <c r="MXD34" s="2"/>
      <c r="MXE34" s="2"/>
      <c r="MXF34" s="2"/>
      <c r="MXG34" s="2"/>
      <c r="MXH34" s="2"/>
      <c r="MXI34" s="2"/>
      <c r="MXJ34" s="2"/>
      <c r="MXK34" s="2"/>
      <c r="MXL34" s="2"/>
      <c r="MXM34" s="2"/>
      <c r="MXN34" s="2"/>
      <c r="MXO34" s="2"/>
      <c r="MXP34" s="2"/>
      <c r="MXQ34" s="2"/>
      <c r="MXR34" s="2"/>
      <c r="MXS34" s="2"/>
      <c r="MXT34" s="2"/>
      <c r="MXU34" s="2"/>
      <c r="MXV34" s="2"/>
      <c r="MXW34" s="2"/>
      <c r="MXX34" s="2"/>
      <c r="MXY34" s="2"/>
      <c r="MXZ34" s="2"/>
      <c r="MYA34" s="2"/>
      <c r="MYB34" s="2"/>
      <c r="MYC34" s="2"/>
      <c r="MYD34" s="2"/>
      <c r="MYE34" s="2"/>
      <c r="MYF34" s="2"/>
      <c r="MYG34" s="2"/>
      <c r="MYH34" s="2"/>
      <c r="MYI34" s="2"/>
      <c r="MYJ34" s="2"/>
      <c r="MYK34" s="2"/>
      <c r="MYL34" s="2"/>
      <c r="MYM34" s="2"/>
      <c r="MYN34" s="2"/>
      <c r="MYO34" s="2"/>
      <c r="MYP34" s="2"/>
      <c r="MYQ34" s="2"/>
      <c r="MYR34" s="2"/>
      <c r="MYS34" s="2"/>
      <c r="MYT34" s="2"/>
      <c r="MYU34" s="2"/>
      <c r="MYV34" s="2"/>
      <c r="MYW34" s="2"/>
      <c r="MYX34" s="2"/>
      <c r="MYY34" s="2"/>
      <c r="MYZ34" s="2"/>
      <c r="MZA34" s="2"/>
      <c r="MZB34" s="2"/>
      <c r="MZC34" s="2"/>
      <c r="MZD34" s="2"/>
      <c r="MZE34" s="2"/>
      <c r="MZF34" s="2"/>
      <c r="MZG34" s="2"/>
      <c r="MZH34" s="2"/>
      <c r="MZI34" s="2"/>
      <c r="MZJ34" s="2"/>
      <c r="MZK34" s="2"/>
      <c r="MZL34" s="2"/>
      <c r="MZM34" s="2"/>
      <c r="MZN34" s="2"/>
      <c r="MZO34" s="2"/>
      <c r="MZP34" s="2"/>
      <c r="MZQ34" s="2"/>
      <c r="MZR34" s="2"/>
      <c r="MZS34" s="2"/>
      <c r="MZT34" s="2"/>
      <c r="MZU34" s="2"/>
      <c r="MZV34" s="2"/>
      <c r="MZW34" s="2"/>
      <c r="MZX34" s="2"/>
      <c r="MZY34" s="2"/>
      <c r="MZZ34" s="2"/>
      <c r="NAA34" s="2"/>
      <c r="NAB34" s="2"/>
      <c r="NAC34" s="2"/>
      <c r="NAD34" s="2"/>
      <c r="NAE34" s="2"/>
      <c r="NAF34" s="2"/>
      <c r="NAG34" s="2"/>
      <c r="NAH34" s="2"/>
      <c r="NAI34" s="2"/>
      <c r="NAJ34" s="2"/>
      <c r="NAK34" s="2"/>
      <c r="NAL34" s="2"/>
      <c r="NAM34" s="2"/>
      <c r="NAN34" s="2"/>
      <c r="NAO34" s="2"/>
      <c r="NAP34" s="2"/>
      <c r="NAQ34" s="2"/>
      <c r="NAR34" s="2"/>
      <c r="NAS34" s="2"/>
      <c r="NAT34" s="2"/>
      <c r="NAU34" s="2"/>
      <c r="NAV34" s="2"/>
      <c r="NAW34" s="2"/>
      <c r="NAX34" s="2"/>
      <c r="NAY34" s="2"/>
      <c r="NAZ34" s="2"/>
      <c r="NBA34" s="2"/>
      <c r="NBB34" s="2"/>
      <c r="NBC34" s="2"/>
      <c r="NBD34" s="2"/>
      <c r="NBE34" s="2"/>
      <c r="NBF34" s="2"/>
      <c r="NBG34" s="2"/>
      <c r="NBH34" s="2"/>
      <c r="NBI34" s="2"/>
      <c r="NBJ34" s="2"/>
      <c r="NBK34" s="2"/>
      <c r="NBL34" s="2"/>
      <c r="NBM34" s="2"/>
      <c r="NBN34" s="2"/>
      <c r="NBO34" s="2"/>
      <c r="NBP34" s="2"/>
      <c r="NBQ34" s="2"/>
      <c r="NBR34" s="2"/>
      <c r="NBS34" s="2"/>
      <c r="NBT34" s="2"/>
      <c r="NBU34" s="2"/>
      <c r="NBV34" s="2"/>
      <c r="NBW34" s="2"/>
      <c r="NBX34" s="2"/>
      <c r="NBY34" s="2"/>
      <c r="NBZ34" s="2"/>
      <c r="NCA34" s="2"/>
      <c r="NCB34" s="2"/>
      <c r="NCC34" s="2"/>
      <c r="NCD34" s="2"/>
      <c r="NCE34" s="2"/>
      <c r="NCF34" s="2"/>
      <c r="NCG34" s="2"/>
      <c r="NCH34" s="2"/>
      <c r="NCI34" s="2"/>
      <c r="NCJ34" s="2"/>
      <c r="NCK34" s="2"/>
      <c r="NCL34" s="2"/>
      <c r="NCM34" s="2"/>
      <c r="NCN34" s="2"/>
      <c r="NCO34" s="2"/>
      <c r="NCP34" s="2"/>
      <c r="NCQ34" s="2"/>
      <c r="NCR34" s="2"/>
      <c r="NCS34" s="2"/>
      <c r="NCT34" s="2"/>
      <c r="NCU34" s="2"/>
      <c r="NCV34" s="2"/>
      <c r="NCW34" s="2"/>
      <c r="NCX34" s="2"/>
      <c r="NCY34" s="2"/>
      <c r="NCZ34" s="2"/>
      <c r="NDA34" s="2"/>
      <c r="NDB34" s="2"/>
      <c r="NDC34" s="2"/>
      <c r="NDD34" s="2"/>
      <c r="NDE34" s="2"/>
      <c r="NDF34" s="2"/>
      <c r="NDG34" s="2"/>
      <c r="NDH34" s="2"/>
      <c r="NDI34" s="2"/>
      <c r="NDJ34" s="2"/>
      <c r="NDK34" s="2"/>
      <c r="NDL34" s="2"/>
      <c r="NDM34" s="2"/>
      <c r="NDN34" s="2"/>
      <c r="NDO34" s="2"/>
      <c r="NDP34" s="2"/>
      <c r="NDQ34" s="2"/>
      <c r="NDR34" s="2"/>
      <c r="NDS34" s="2"/>
      <c r="NDT34" s="2"/>
      <c r="NDU34" s="2"/>
      <c r="NDV34" s="2"/>
      <c r="NDW34" s="2"/>
      <c r="NDX34" s="2"/>
      <c r="NDY34" s="2"/>
      <c r="NDZ34" s="2"/>
      <c r="NEA34" s="2"/>
      <c r="NEB34" s="2"/>
      <c r="NEC34" s="2"/>
      <c r="NED34" s="2"/>
      <c r="NEE34" s="2"/>
      <c r="NEF34" s="2"/>
      <c r="NEG34" s="2"/>
      <c r="NEH34" s="2"/>
      <c r="NEI34" s="2"/>
      <c r="NEJ34" s="2"/>
      <c r="NEK34" s="2"/>
      <c r="NEL34" s="2"/>
      <c r="NEM34" s="2"/>
      <c r="NEN34" s="2"/>
      <c r="NEO34" s="2"/>
      <c r="NEP34" s="2"/>
      <c r="NEQ34" s="2"/>
      <c r="NER34" s="2"/>
      <c r="NES34" s="2"/>
      <c r="NET34" s="2"/>
      <c r="NEU34" s="2"/>
      <c r="NEV34" s="2"/>
      <c r="NEW34" s="2"/>
      <c r="NEX34" s="2"/>
      <c r="NEY34" s="2"/>
      <c r="NEZ34" s="2"/>
      <c r="NFA34" s="2"/>
      <c r="NFB34" s="2"/>
      <c r="NFC34" s="2"/>
      <c r="NFD34" s="2"/>
      <c r="NFE34" s="2"/>
      <c r="NFF34" s="2"/>
      <c r="NFG34" s="2"/>
      <c r="NFH34" s="2"/>
      <c r="NFI34" s="2"/>
      <c r="NFJ34" s="2"/>
      <c r="NFK34" s="2"/>
      <c r="NFL34" s="2"/>
      <c r="NFM34" s="2"/>
      <c r="NFN34" s="2"/>
      <c r="NFO34" s="2"/>
      <c r="NFP34" s="2"/>
      <c r="NFQ34" s="2"/>
      <c r="NFR34" s="2"/>
      <c r="NFS34" s="2"/>
      <c r="NFT34" s="2"/>
      <c r="NFU34" s="2"/>
      <c r="NFV34" s="2"/>
      <c r="NFW34" s="2"/>
      <c r="NFX34" s="2"/>
      <c r="NFY34" s="2"/>
      <c r="NFZ34" s="2"/>
      <c r="NGA34" s="2"/>
      <c r="NGB34" s="2"/>
      <c r="NGC34" s="2"/>
      <c r="NGD34" s="2"/>
      <c r="NGE34" s="2"/>
      <c r="NGF34" s="2"/>
      <c r="NGG34" s="2"/>
      <c r="NGH34" s="2"/>
      <c r="NGI34" s="2"/>
      <c r="NGJ34" s="2"/>
      <c r="NGK34" s="2"/>
      <c r="NGL34" s="2"/>
      <c r="NGM34" s="2"/>
      <c r="NGN34" s="2"/>
      <c r="NGO34" s="2"/>
      <c r="NGP34" s="2"/>
      <c r="NGQ34" s="2"/>
      <c r="NGR34" s="2"/>
      <c r="NGS34" s="2"/>
      <c r="NGT34" s="2"/>
      <c r="NGU34" s="2"/>
      <c r="NGV34" s="2"/>
      <c r="NGW34" s="2"/>
      <c r="NGX34" s="2"/>
      <c r="NGY34" s="2"/>
      <c r="NGZ34" s="2"/>
      <c r="NHA34" s="2"/>
      <c r="NHB34" s="2"/>
      <c r="NHC34" s="2"/>
      <c r="NHD34" s="2"/>
      <c r="NHE34" s="2"/>
      <c r="NHF34" s="2"/>
      <c r="NHG34" s="2"/>
      <c r="NHH34" s="2"/>
      <c r="NHI34" s="2"/>
      <c r="NHJ34" s="2"/>
      <c r="NHK34" s="2"/>
      <c r="NHL34" s="2"/>
      <c r="NHM34" s="2"/>
      <c r="NHN34" s="2"/>
      <c r="NHO34" s="2"/>
      <c r="NHP34" s="2"/>
      <c r="NHQ34" s="2"/>
      <c r="NHR34" s="2"/>
      <c r="NHS34" s="2"/>
      <c r="NHT34" s="2"/>
      <c r="NHU34" s="2"/>
      <c r="NHV34" s="2"/>
      <c r="NHW34" s="2"/>
      <c r="NHX34" s="2"/>
      <c r="NHY34" s="2"/>
      <c r="NHZ34" s="2"/>
      <c r="NIA34" s="2"/>
      <c r="NIB34" s="2"/>
      <c r="NIC34" s="2"/>
      <c r="NID34" s="2"/>
      <c r="NIE34" s="2"/>
      <c r="NIF34" s="2"/>
      <c r="NIG34" s="2"/>
      <c r="NIH34" s="2"/>
      <c r="NII34" s="2"/>
      <c r="NIJ34" s="2"/>
      <c r="NIK34" s="2"/>
      <c r="NIL34" s="2"/>
      <c r="NIM34" s="2"/>
      <c r="NIN34" s="2"/>
      <c r="NIO34" s="2"/>
      <c r="NIP34" s="2"/>
      <c r="NIQ34" s="2"/>
      <c r="NIR34" s="2"/>
      <c r="NIS34" s="2"/>
      <c r="NIT34" s="2"/>
      <c r="NIU34" s="2"/>
      <c r="NIV34" s="2"/>
      <c r="NIW34" s="2"/>
      <c r="NIX34" s="2"/>
      <c r="NIY34" s="2"/>
      <c r="NIZ34" s="2"/>
      <c r="NJA34" s="2"/>
      <c r="NJB34" s="2"/>
      <c r="NJC34" s="2"/>
      <c r="NJD34" s="2"/>
      <c r="NJE34" s="2"/>
      <c r="NJF34" s="2"/>
      <c r="NJG34" s="2"/>
      <c r="NJH34" s="2"/>
      <c r="NJI34" s="2"/>
      <c r="NJJ34" s="2"/>
      <c r="NJK34" s="2"/>
      <c r="NJL34" s="2"/>
      <c r="NJM34" s="2"/>
      <c r="NJN34" s="2"/>
      <c r="NJO34" s="2"/>
      <c r="NJP34" s="2"/>
      <c r="NJQ34" s="2"/>
      <c r="NJR34" s="2"/>
      <c r="NJS34" s="2"/>
      <c r="NJT34" s="2"/>
      <c r="NJU34" s="2"/>
      <c r="NJV34" s="2"/>
      <c r="NJW34" s="2"/>
      <c r="NJX34" s="2"/>
      <c r="NJY34" s="2"/>
      <c r="NJZ34" s="2"/>
      <c r="NKA34" s="2"/>
      <c r="NKB34" s="2"/>
      <c r="NKC34" s="2"/>
      <c r="NKD34" s="2"/>
      <c r="NKE34" s="2"/>
      <c r="NKF34" s="2"/>
      <c r="NKG34" s="2"/>
      <c r="NKH34" s="2"/>
      <c r="NKI34" s="2"/>
      <c r="NKJ34" s="2"/>
      <c r="NKK34" s="2"/>
      <c r="NKL34" s="2"/>
      <c r="NKM34" s="2"/>
      <c r="NKN34" s="2"/>
      <c r="NKO34" s="2"/>
      <c r="NKP34" s="2"/>
      <c r="NKQ34" s="2"/>
      <c r="NKR34" s="2"/>
      <c r="NKS34" s="2"/>
      <c r="NKT34" s="2"/>
      <c r="NKU34" s="2"/>
      <c r="NKV34" s="2"/>
      <c r="NKW34" s="2"/>
      <c r="NKX34" s="2"/>
      <c r="NKY34" s="2"/>
      <c r="NKZ34" s="2"/>
      <c r="NLA34" s="2"/>
      <c r="NLB34" s="2"/>
      <c r="NLC34" s="2"/>
      <c r="NLD34" s="2"/>
      <c r="NLE34" s="2"/>
      <c r="NLF34" s="2"/>
      <c r="NLG34" s="2"/>
      <c r="NLH34" s="2"/>
      <c r="NLI34" s="2"/>
      <c r="NLJ34" s="2"/>
      <c r="NLK34" s="2"/>
      <c r="NLL34" s="2"/>
      <c r="NLM34" s="2"/>
      <c r="NLN34" s="2"/>
      <c r="NLO34" s="2"/>
      <c r="NLP34" s="2"/>
      <c r="NLQ34" s="2"/>
      <c r="NLR34" s="2"/>
      <c r="NLS34" s="2"/>
      <c r="NLT34" s="2"/>
      <c r="NLU34" s="2"/>
      <c r="NLV34" s="2"/>
      <c r="NLW34" s="2"/>
      <c r="NLX34" s="2"/>
      <c r="NLY34" s="2"/>
      <c r="NLZ34" s="2"/>
      <c r="NMA34" s="2"/>
      <c r="NMB34" s="2"/>
      <c r="NMC34" s="2"/>
      <c r="NMD34" s="2"/>
      <c r="NME34" s="2"/>
      <c r="NMF34" s="2"/>
      <c r="NMG34" s="2"/>
      <c r="NMH34" s="2"/>
      <c r="NMI34" s="2"/>
      <c r="NMJ34" s="2"/>
      <c r="NMK34" s="2"/>
      <c r="NML34" s="2"/>
      <c r="NMM34" s="2"/>
      <c r="NMN34" s="2"/>
      <c r="NMO34" s="2"/>
      <c r="NMP34" s="2"/>
      <c r="NMQ34" s="2"/>
      <c r="NMR34" s="2"/>
      <c r="NMS34" s="2"/>
      <c r="NMT34" s="2"/>
      <c r="NMU34" s="2"/>
      <c r="NMV34" s="2"/>
      <c r="NMW34" s="2"/>
      <c r="NMX34" s="2"/>
      <c r="NMY34" s="2"/>
      <c r="NMZ34" s="2"/>
      <c r="NNA34" s="2"/>
      <c r="NNB34" s="2"/>
      <c r="NNC34" s="2"/>
      <c r="NND34" s="2"/>
      <c r="NNE34" s="2"/>
      <c r="NNF34" s="2"/>
      <c r="NNG34" s="2"/>
      <c r="NNH34" s="2"/>
      <c r="NNI34" s="2"/>
      <c r="NNJ34" s="2"/>
      <c r="NNK34" s="2"/>
      <c r="NNL34" s="2"/>
      <c r="NNM34" s="2"/>
      <c r="NNN34" s="2"/>
      <c r="NNO34" s="2"/>
      <c r="NNP34" s="2"/>
      <c r="NNQ34" s="2"/>
      <c r="NNR34" s="2"/>
      <c r="NNS34" s="2"/>
      <c r="NNT34" s="2"/>
      <c r="NNU34" s="2"/>
      <c r="NNV34" s="2"/>
      <c r="NNW34" s="2"/>
      <c r="NNX34" s="2"/>
      <c r="NNY34" s="2"/>
      <c r="NNZ34" s="2"/>
      <c r="NOA34" s="2"/>
      <c r="NOB34" s="2"/>
      <c r="NOC34" s="2"/>
      <c r="NOD34" s="2"/>
      <c r="NOE34" s="2"/>
      <c r="NOF34" s="2"/>
      <c r="NOG34" s="2"/>
      <c r="NOH34" s="2"/>
      <c r="NOI34" s="2"/>
      <c r="NOJ34" s="2"/>
      <c r="NOK34" s="2"/>
      <c r="NOL34" s="2"/>
      <c r="NOM34" s="2"/>
      <c r="NON34" s="2"/>
      <c r="NOO34" s="2"/>
      <c r="NOP34" s="2"/>
      <c r="NOQ34" s="2"/>
      <c r="NOR34" s="2"/>
      <c r="NOS34" s="2"/>
      <c r="NOT34" s="2"/>
      <c r="NOU34" s="2"/>
      <c r="NOV34" s="2"/>
      <c r="NOW34" s="2"/>
      <c r="NOX34" s="2"/>
      <c r="NOY34" s="2"/>
      <c r="NOZ34" s="2"/>
      <c r="NPA34" s="2"/>
      <c r="NPB34" s="2"/>
      <c r="NPC34" s="2"/>
      <c r="NPD34" s="2"/>
      <c r="NPE34" s="2"/>
      <c r="NPF34" s="2"/>
      <c r="NPG34" s="2"/>
      <c r="NPH34" s="2"/>
      <c r="NPI34" s="2"/>
      <c r="NPJ34" s="2"/>
      <c r="NPK34" s="2"/>
      <c r="NPL34" s="2"/>
      <c r="NPM34" s="2"/>
      <c r="NPN34" s="2"/>
      <c r="NPO34" s="2"/>
      <c r="NPP34" s="2"/>
      <c r="NPQ34" s="2"/>
      <c r="NPR34" s="2"/>
      <c r="NPS34" s="2"/>
      <c r="NPT34" s="2"/>
      <c r="NPU34" s="2"/>
      <c r="NPV34" s="2"/>
      <c r="NPW34" s="2"/>
      <c r="NPX34" s="2"/>
      <c r="NPY34" s="2"/>
      <c r="NPZ34" s="2"/>
      <c r="NQA34" s="2"/>
      <c r="NQB34" s="2"/>
      <c r="NQC34" s="2"/>
      <c r="NQD34" s="2"/>
      <c r="NQE34" s="2"/>
      <c r="NQF34" s="2"/>
      <c r="NQG34" s="2"/>
      <c r="NQH34" s="2"/>
      <c r="NQI34" s="2"/>
      <c r="NQJ34" s="2"/>
      <c r="NQK34" s="2"/>
      <c r="NQL34" s="2"/>
      <c r="NQM34" s="2"/>
      <c r="NQN34" s="2"/>
      <c r="NQO34" s="2"/>
      <c r="NQP34" s="2"/>
      <c r="NQQ34" s="2"/>
      <c r="NQR34" s="2"/>
      <c r="NQS34" s="2"/>
      <c r="NQT34" s="2"/>
      <c r="NQU34" s="2"/>
      <c r="NQV34" s="2"/>
      <c r="NQW34" s="2"/>
      <c r="NQX34" s="2"/>
      <c r="NQY34" s="2"/>
      <c r="NQZ34" s="2"/>
      <c r="NRA34" s="2"/>
      <c r="NRB34" s="2"/>
      <c r="NRC34" s="2"/>
      <c r="NRD34" s="2"/>
      <c r="NRE34" s="2"/>
      <c r="NRF34" s="2"/>
      <c r="NRG34" s="2"/>
      <c r="NRH34" s="2"/>
      <c r="NRI34" s="2"/>
      <c r="NRJ34" s="2"/>
      <c r="NRK34" s="2"/>
      <c r="NRL34" s="2"/>
      <c r="NRM34" s="2"/>
      <c r="NRN34" s="2"/>
      <c r="NRO34" s="2"/>
      <c r="NRP34" s="2"/>
      <c r="NRQ34" s="2"/>
      <c r="NRR34" s="2"/>
      <c r="NRS34" s="2"/>
      <c r="NRT34" s="2"/>
      <c r="NRU34" s="2"/>
      <c r="NRV34" s="2"/>
      <c r="NRW34" s="2"/>
      <c r="NRX34" s="2"/>
      <c r="NRY34" s="2"/>
      <c r="NRZ34" s="2"/>
      <c r="NSA34" s="2"/>
      <c r="NSB34" s="2"/>
      <c r="NSC34" s="2"/>
      <c r="NSD34" s="2"/>
      <c r="NSE34" s="2"/>
      <c r="NSF34" s="2"/>
      <c r="NSG34" s="2"/>
      <c r="NSH34" s="2"/>
      <c r="NSI34" s="2"/>
      <c r="NSJ34" s="2"/>
      <c r="NSK34" s="2"/>
      <c r="NSL34" s="2"/>
      <c r="NSM34" s="2"/>
      <c r="NSN34" s="2"/>
      <c r="NSO34" s="2"/>
      <c r="NSP34" s="2"/>
      <c r="NSQ34" s="2"/>
      <c r="NSR34" s="2"/>
      <c r="NSS34" s="2"/>
      <c r="NST34" s="2"/>
      <c r="NSU34" s="2"/>
      <c r="NSV34" s="2"/>
      <c r="NSW34" s="2"/>
      <c r="NSX34" s="2"/>
      <c r="NSY34" s="2"/>
      <c r="NSZ34" s="2"/>
      <c r="NTA34" s="2"/>
      <c r="NTB34" s="2"/>
      <c r="NTC34" s="2"/>
      <c r="NTD34" s="2"/>
      <c r="NTE34" s="2"/>
      <c r="NTF34" s="2"/>
      <c r="NTG34" s="2"/>
      <c r="NTH34" s="2"/>
      <c r="NTI34" s="2"/>
      <c r="NTJ34" s="2"/>
      <c r="NTK34" s="2"/>
      <c r="NTL34" s="2"/>
      <c r="NTM34" s="2"/>
      <c r="NTN34" s="2"/>
      <c r="NTO34" s="2"/>
      <c r="NTP34" s="2"/>
      <c r="NTQ34" s="2"/>
      <c r="NTR34" s="2"/>
      <c r="NTS34" s="2"/>
      <c r="NTT34" s="2"/>
      <c r="NTU34" s="2"/>
      <c r="NTV34" s="2"/>
      <c r="NTW34" s="2"/>
      <c r="NTX34" s="2"/>
      <c r="NTY34" s="2"/>
      <c r="NTZ34" s="2"/>
      <c r="NUA34" s="2"/>
      <c r="NUB34" s="2"/>
      <c r="NUC34" s="2"/>
      <c r="NUD34" s="2"/>
      <c r="NUE34" s="2"/>
      <c r="NUF34" s="2"/>
      <c r="NUG34" s="2"/>
      <c r="NUH34" s="2"/>
      <c r="NUI34" s="2"/>
      <c r="NUJ34" s="2"/>
      <c r="NUK34" s="2"/>
      <c r="NUL34" s="2"/>
      <c r="NUM34" s="2"/>
      <c r="NUN34" s="2"/>
      <c r="NUO34" s="2"/>
      <c r="NUP34" s="2"/>
      <c r="NUQ34" s="2"/>
      <c r="NUR34" s="2"/>
      <c r="NUS34" s="2"/>
      <c r="NUT34" s="2"/>
      <c r="NUU34" s="2"/>
      <c r="NUV34" s="2"/>
      <c r="NUW34" s="2"/>
      <c r="NUX34" s="2"/>
      <c r="NUY34" s="2"/>
      <c r="NUZ34" s="2"/>
      <c r="NVA34" s="2"/>
      <c r="NVB34" s="2"/>
      <c r="NVC34" s="2"/>
      <c r="NVD34" s="2"/>
      <c r="NVE34" s="2"/>
      <c r="NVF34" s="2"/>
      <c r="NVG34" s="2"/>
      <c r="NVH34" s="2"/>
      <c r="NVI34" s="2"/>
      <c r="NVJ34" s="2"/>
      <c r="NVK34" s="2"/>
      <c r="NVL34" s="2"/>
      <c r="NVM34" s="2"/>
      <c r="NVN34" s="2"/>
      <c r="NVO34" s="2"/>
      <c r="NVP34" s="2"/>
      <c r="NVQ34" s="2"/>
      <c r="NVR34" s="2"/>
      <c r="NVS34" s="2"/>
      <c r="NVT34" s="2"/>
      <c r="NVU34" s="2"/>
      <c r="NVV34" s="2"/>
      <c r="NVW34" s="2"/>
      <c r="NVX34" s="2"/>
      <c r="NVY34" s="2"/>
      <c r="NVZ34" s="2"/>
      <c r="NWA34" s="2"/>
      <c r="NWB34" s="2"/>
      <c r="NWC34" s="2"/>
      <c r="NWD34" s="2"/>
      <c r="NWE34" s="2"/>
      <c r="NWF34" s="2"/>
      <c r="NWG34" s="2"/>
      <c r="NWH34" s="2"/>
      <c r="NWI34" s="2"/>
      <c r="NWJ34" s="2"/>
      <c r="NWK34" s="2"/>
      <c r="NWL34" s="2"/>
      <c r="NWM34" s="2"/>
      <c r="NWN34" s="2"/>
      <c r="NWO34" s="2"/>
      <c r="NWP34" s="2"/>
      <c r="NWQ34" s="2"/>
      <c r="NWR34" s="2"/>
      <c r="NWS34" s="2"/>
      <c r="NWT34" s="2"/>
      <c r="NWU34" s="2"/>
      <c r="NWV34" s="2"/>
      <c r="NWW34" s="2"/>
      <c r="NWX34" s="2"/>
      <c r="NWY34" s="2"/>
      <c r="NWZ34" s="2"/>
      <c r="NXA34" s="2"/>
      <c r="NXB34" s="2"/>
      <c r="NXC34" s="2"/>
      <c r="NXD34" s="2"/>
      <c r="NXE34" s="2"/>
      <c r="NXF34" s="2"/>
      <c r="NXG34" s="2"/>
      <c r="NXH34" s="2"/>
      <c r="NXI34" s="2"/>
      <c r="NXJ34" s="2"/>
      <c r="NXK34" s="2"/>
      <c r="NXL34" s="2"/>
      <c r="NXM34" s="2"/>
      <c r="NXN34" s="2"/>
      <c r="NXO34" s="2"/>
      <c r="NXP34" s="2"/>
      <c r="NXQ34" s="2"/>
      <c r="NXR34" s="2"/>
      <c r="NXS34" s="2"/>
      <c r="NXT34" s="2"/>
      <c r="NXU34" s="2"/>
      <c r="NXV34" s="2"/>
      <c r="NXW34" s="2"/>
      <c r="NXX34" s="2"/>
      <c r="NXY34" s="2"/>
      <c r="NXZ34" s="2"/>
      <c r="NYA34" s="2"/>
      <c r="NYB34" s="2"/>
      <c r="NYC34" s="2"/>
      <c r="NYD34" s="2"/>
      <c r="NYE34" s="2"/>
      <c r="NYF34" s="2"/>
      <c r="NYG34" s="2"/>
      <c r="NYH34" s="2"/>
      <c r="NYI34" s="2"/>
      <c r="NYJ34" s="2"/>
      <c r="NYK34" s="2"/>
      <c r="NYL34" s="2"/>
      <c r="NYM34" s="2"/>
      <c r="NYN34" s="2"/>
      <c r="NYO34" s="2"/>
      <c r="NYP34" s="2"/>
      <c r="NYQ34" s="2"/>
      <c r="NYR34" s="2"/>
      <c r="NYS34" s="2"/>
      <c r="NYT34" s="2"/>
      <c r="NYU34" s="2"/>
      <c r="NYV34" s="2"/>
      <c r="NYW34" s="2"/>
      <c r="NYX34" s="2"/>
      <c r="NYY34" s="2"/>
      <c r="NYZ34" s="2"/>
      <c r="NZA34" s="2"/>
      <c r="NZB34" s="2"/>
      <c r="NZC34" s="2"/>
      <c r="NZD34" s="2"/>
      <c r="NZE34" s="2"/>
      <c r="NZF34" s="2"/>
      <c r="NZG34" s="2"/>
      <c r="NZH34" s="2"/>
      <c r="NZI34" s="2"/>
      <c r="NZJ34" s="2"/>
      <c r="NZK34" s="2"/>
      <c r="NZL34" s="2"/>
      <c r="NZM34" s="2"/>
      <c r="NZN34" s="2"/>
      <c r="NZO34" s="2"/>
      <c r="NZP34" s="2"/>
      <c r="NZQ34" s="2"/>
      <c r="NZR34" s="2"/>
      <c r="NZS34" s="2"/>
      <c r="NZT34" s="2"/>
      <c r="NZU34" s="2"/>
      <c r="NZV34" s="2"/>
      <c r="NZW34" s="2"/>
      <c r="NZX34" s="2"/>
      <c r="NZY34" s="2"/>
      <c r="NZZ34" s="2"/>
      <c r="OAA34" s="2"/>
      <c r="OAB34" s="2"/>
      <c r="OAC34" s="2"/>
      <c r="OAD34" s="2"/>
      <c r="OAE34" s="2"/>
      <c r="OAF34" s="2"/>
      <c r="OAG34" s="2"/>
      <c r="OAH34" s="2"/>
      <c r="OAI34" s="2"/>
      <c r="OAJ34" s="2"/>
      <c r="OAK34" s="2"/>
      <c r="OAL34" s="2"/>
      <c r="OAM34" s="2"/>
      <c r="OAN34" s="2"/>
      <c r="OAO34" s="2"/>
      <c r="OAP34" s="2"/>
      <c r="OAQ34" s="2"/>
      <c r="OAR34" s="2"/>
      <c r="OAS34" s="2"/>
      <c r="OAT34" s="2"/>
      <c r="OAU34" s="2"/>
      <c r="OAV34" s="2"/>
      <c r="OAW34" s="2"/>
      <c r="OAX34" s="2"/>
      <c r="OAY34" s="2"/>
      <c r="OAZ34" s="2"/>
      <c r="OBA34" s="2"/>
      <c r="OBB34" s="2"/>
      <c r="OBC34" s="2"/>
      <c r="OBD34" s="2"/>
      <c r="OBE34" s="2"/>
      <c r="OBF34" s="2"/>
      <c r="OBG34" s="2"/>
      <c r="OBH34" s="2"/>
      <c r="OBI34" s="2"/>
      <c r="OBJ34" s="2"/>
      <c r="OBK34" s="2"/>
      <c r="OBL34" s="2"/>
      <c r="OBM34" s="2"/>
      <c r="OBN34" s="2"/>
      <c r="OBO34" s="2"/>
      <c r="OBP34" s="2"/>
      <c r="OBQ34" s="2"/>
      <c r="OBR34" s="2"/>
      <c r="OBS34" s="2"/>
      <c r="OBT34" s="2"/>
      <c r="OBU34" s="2"/>
      <c r="OBV34" s="2"/>
      <c r="OBW34" s="2"/>
      <c r="OBX34" s="2"/>
      <c r="OBY34" s="2"/>
      <c r="OBZ34" s="2"/>
      <c r="OCA34" s="2"/>
      <c r="OCB34" s="2"/>
      <c r="OCC34" s="2"/>
      <c r="OCD34" s="2"/>
      <c r="OCE34" s="2"/>
      <c r="OCF34" s="2"/>
      <c r="OCG34" s="2"/>
      <c r="OCH34" s="2"/>
      <c r="OCI34" s="2"/>
      <c r="OCJ34" s="2"/>
      <c r="OCK34" s="2"/>
      <c r="OCL34" s="2"/>
      <c r="OCM34" s="2"/>
      <c r="OCN34" s="2"/>
      <c r="OCO34" s="2"/>
      <c r="OCP34" s="2"/>
      <c r="OCQ34" s="2"/>
      <c r="OCR34" s="2"/>
      <c r="OCS34" s="2"/>
      <c r="OCT34" s="2"/>
      <c r="OCU34" s="2"/>
      <c r="OCV34" s="2"/>
      <c r="OCW34" s="2"/>
      <c r="OCX34" s="2"/>
      <c r="OCY34" s="2"/>
      <c r="OCZ34" s="2"/>
      <c r="ODA34" s="2"/>
      <c r="ODB34" s="2"/>
      <c r="ODC34" s="2"/>
      <c r="ODD34" s="2"/>
      <c r="ODE34" s="2"/>
      <c r="ODF34" s="2"/>
      <c r="ODG34" s="2"/>
      <c r="ODH34" s="2"/>
      <c r="ODI34" s="2"/>
      <c r="ODJ34" s="2"/>
      <c r="ODK34" s="2"/>
      <c r="ODL34" s="2"/>
      <c r="ODM34" s="2"/>
      <c r="ODN34" s="2"/>
      <c r="ODO34" s="2"/>
      <c r="ODP34" s="2"/>
      <c r="ODQ34" s="2"/>
      <c r="ODR34" s="2"/>
      <c r="ODS34" s="2"/>
      <c r="ODT34" s="2"/>
      <c r="ODU34" s="2"/>
      <c r="ODV34" s="2"/>
      <c r="ODW34" s="2"/>
      <c r="ODX34" s="2"/>
      <c r="ODY34" s="2"/>
      <c r="ODZ34" s="2"/>
      <c r="OEA34" s="2"/>
      <c r="OEB34" s="2"/>
      <c r="OEC34" s="2"/>
      <c r="OED34" s="2"/>
      <c r="OEE34" s="2"/>
      <c r="OEF34" s="2"/>
      <c r="OEG34" s="2"/>
      <c r="OEH34" s="2"/>
      <c r="OEI34" s="2"/>
      <c r="OEJ34" s="2"/>
      <c r="OEK34" s="2"/>
      <c r="OEL34" s="2"/>
      <c r="OEM34" s="2"/>
      <c r="OEN34" s="2"/>
      <c r="OEO34" s="2"/>
      <c r="OEP34" s="2"/>
      <c r="OEQ34" s="2"/>
      <c r="OER34" s="2"/>
      <c r="OES34" s="2"/>
      <c r="OET34" s="2"/>
      <c r="OEU34" s="2"/>
      <c r="OEV34" s="2"/>
      <c r="OEW34" s="2"/>
      <c r="OEX34" s="2"/>
      <c r="OEY34" s="2"/>
      <c r="OEZ34" s="2"/>
      <c r="OFA34" s="2"/>
      <c r="OFB34" s="2"/>
      <c r="OFC34" s="2"/>
      <c r="OFD34" s="2"/>
      <c r="OFE34" s="2"/>
      <c r="OFF34" s="2"/>
      <c r="OFG34" s="2"/>
      <c r="OFH34" s="2"/>
      <c r="OFI34" s="2"/>
      <c r="OFJ34" s="2"/>
      <c r="OFK34" s="2"/>
      <c r="OFL34" s="2"/>
      <c r="OFM34" s="2"/>
      <c r="OFN34" s="2"/>
      <c r="OFO34" s="2"/>
      <c r="OFP34" s="2"/>
      <c r="OFQ34" s="2"/>
      <c r="OFR34" s="2"/>
      <c r="OFS34" s="2"/>
      <c r="OFT34" s="2"/>
      <c r="OFU34" s="2"/>
      <c r="OFV34" s="2"/>
      <c r="OFW34" s="2"/>
      <c r="OFX34" s="2"/>
      <c r="OFY34" s="2"/>
      <c r="OFZ34" s="2"/>
      <c r="OGA34" s="2"/>
      <c r="OGB34" s="2"/>
      <c r="OGC34" s="2"/>
      <c r="OGD34" s="2"/>
      <c r="OGE34" s="2"/>
      <c r="OGF34" s="2"/>
      <c r="OGG34" s="2"/>
      <c r="OGH34" s="2"/>
      <c r="OGI34" s="2"/>
      <c r="OGJ34" s="2"/>
      <c r="OGK34" s="2"/>
      <c r="OGL34" s="2"/>
      <c r="OGM34" s="2"/>
      <c r="OGN34" s="2"/>
      <c r="OGO34" s="2"/>
      <c r="OGP34" s="2"/>
      <c r="OGQ34" s="2"/>
      <c r="OGR34" s="2"/>
      <c r="OGS34" s="2"/>
      <c r="OGT34" s="2"/>
      <c r="OGU34" s="2"/>
      <c r="OGV34" s="2"/>
      <c r="OGW34" s="2"/>
      <c r="OGX34" s="2"/>
      <c r="OGY34" s="2"/>
      <c r="OGZ34" s="2"/>
      <c r="OHA34" s="2"/>
      <c r="OHB34" s="2"/>
      <c r="OHC34" s="2"/>
      <c r="OHD34" s="2"/>
      <c r="OHE34" s="2"/>
      <c r="OHF34" s="2"/>
      <c r="OHG34" s="2"/>
      <c r="OHH34" s="2"/>
      <c r="OHI34" s="2"/>
      <c r="OHJ34" s="2"/>
      <c r="OHK34" s="2"/>
      <c r="OHL34" s="2"/>
      <c r="OHM34" s="2"/>
      <c r="OHN34" s="2"/>
      <c r="OHO34" s="2"/>
      <c r="OHP34" s="2"/>
      <c r="OHQ34" s="2"/>
      <c r="OHR34" s="2"/>
      <c r="OHS34" s="2"/>
      <c r="OHT34" s="2"/>
      <c r="OHU34" s="2"/>
      <c r="OHV34" s="2"/>
      <c r="OHW34" s="2"/>
      <c r="OHX34" s="2"/>
      <c r="OHY34" s="2"/>
      <c r="OHZ34" s="2"/>
      <c r="OIA34" s="2"/>
      <c r="OIB34" s="2"/>
      <c r="OIC34" s="2"/>
      <c r="OID34" s="2"/>
      <c r="OIE34" s="2"/>
      <c r="OIF34" s="2"/>
      <c r="OIG34" s="2"/>
      <c r="OIH34" s="2"/>
      <c r="OII34" s="2"/>
      <c r="OIJ34" s="2"/>
      <c r="OIK34" s="2"/>
      <c r="OIL34" s="2"/>
      <c r="OIM34" s="2"/>
      <c r="OIN34" s="2"/>
      <c r="OIO34" s="2"/>
      <c r="OIP34" s="2"/>
      <c r="OIQ34" s="2"/>
      <c r="OIR34" s="2"/>
      <c r="OIS34" s="2"/>
      <c r="OIT34" s="2"/>
      <c r="OIU34" s="2"/>
      <c r="OIV34" s="2"/>
      <c r="OIW34" s="2"/>
      <c r="OIX34" s="2"/>
      <c r="OIY34" s="2"/>
      <c r="OIZ34" s="2"/>
      <c r="OJA34" s="2"/>
      <c r="OJB34" s="2"/>
      <c r="OJC34" s="2"/>
      <c r="OJD34" s="2"/>
      <c r="OJE34" s="2"/>
      <c r="OJF34" s="2"/>
      <c r="OJG34" s="2"/>
      <c r="OJH34" s="2"/>
      <c r="OJI34" s="2"/>
      <c r="OJJ34" s="2"/>
      <c r="OJK34" s="2"/>
      <c r="OJL34" s="2"/>
      <c r="OJM34" s="2"/>
      <c r="OJN34" s="2"/>
      <c r="OJO34" s="2"/>
      <c r="OJP34" s="2"/>
      <c r="OJQ34" s="2"/>
      <c r="OJR34" s="2"/>
      <c r="OJS34" s="2"/>
      <c r="OJT34" s="2"/>
      <c r="OJU34" s="2"/>
      <c r="OJV34" s="2"/>
      <c r="OJW34" s="2"/>
      <c r="OJX34" s="2"/>
      <c r="OJY34" s="2"/>
      <c r="OJZ34" s="2"/>
      <c r="OKA34" s="2"/>
      <c r="OKB34" s="2"/>
      <c r="OKC34" s="2"/>
      <c r="OKD34" s="2"/>
      <c r="OKE34" s="2"/>
      <c r="OKF34" s="2"/>
      <c r="OKG34" s="2"/>
      <c r="OKH34" s="2"/>
      <c r="OKI34" s="2"/>
      <c r="OKJ34" s="2"/>
      <c r="OKK34" s="2"/>
      <c r="OKL34" s="2"/>
      <c r="OKM34" s="2"/>
      <c r="OKN34" s="2"/>
      <c r="OKO34" s="2"/>
      <c r="OKP34" s="2"/>
      <c r="OKQ34" s="2"/>
      <c r="OKR34" s="2"/>
      <c r="OKS34" s="2"/>
      <c r="OKT34" s="2"/>
      <c r="OKU34" s="2"/>
      <c r="OKV34" s="2"/>
      <c r="OKW34" s="2"/>
      <c r="OKX34" s="2"/>
      <c r="OKY34" s="2"/>
      <c r="OKZ34" s="2"/>
      <c r="OLA34" s="2"/>
      <c r="OLB34" s="2"/>
      <c r="OLC34" s="2"/>
      <c r="OLD34" s="2"/>
      <c r="OLE34" s="2"/>
      <c r="OLF34" s="2"/>
      <c r="OLG34" s="2"/>
      <c r="OLH34" s="2"/>
      <c r="OLI34" s="2"/>
      <c r="OLJ34" s="2"/>
      <c r="OLK34" s="2"/>
      <c r="OLL34" s="2"/>
      <c r="OLM34" s="2"/>
      <c r="OLN34" s="2"/>
      <c r="OLO34" s="2"/>
      <c r="OLP34" s="2"/>
      <c r="OLQ34" s="2"/>
      <c r="OLR34" s="2"/>
      <c r="OLS34" s="2"/>
      <c r="OLT34" s="2"/>
      <c r="OLU34" s="2"/>
      <c r="OLV34" s="2"/>
      <c r="OLW34" s="2"/>
      <c r="OLX34" s="2"/>
      <c r="OLY34" s="2"/>
      <c r="OLZ34" s="2"/>
      <c r="OMA34" s="2"/>
      <c r="OMB34" s="2"/>
      <c r="OMC34" s="2"/>
      <c r="OMD34" s="2"/>
      <c r="OME34" s="2"/>
      <c r="OMF34" s="2"/>
      <c r="OMG34" s="2"/>
      <c r="OMH34" s="2"/>
      <c r="OMI34" s="2"/>
      <c r="OMJ34" s="2"/>
      <c r="OMK34" s="2"/>
      <c r="OML34" s="2"/>
      <c r="OMM34" s="2"/>
      <c r="OMN34" s="2"/>
      <c r="OMO34" s="2"/>
      <c r="OMP34" s="2"/>
      <c r="OMQ34" s="2"/>
      <c r="OMR34" s="2"/>
      <c r="OMS34" s="2"/>
      <c r="OMT34" s="2"/>
      <c r="OMU34" s="2"/>
      <c r="OMV34" s="2"/>
      <c r="OMW34" s="2"/>
      <c r="OMX34" s="2"/>
      <c r="OMY34" s="2"/>
      <c r="OMZ34" s="2"/>
      <c r="ONA34" s="2"/>
      <c r="ONB34" s="2"/>
      <c r="ONC34" s="2"/>
      <c r="OND34" s="2"/>
      <c r="ONE34" s="2"/>
      <c r="ONF34" s="2"/>
      <c r="ONG34" s="2"/>
      <c r="ONH34" s="2"/>
      <c r="ONI34" s="2"/>
      <c r="ONJ34" s="2"/>
      <c r="ONK34" s="2"/>
      <c r="ONL34" s="2"/>
      <c r="ONM34" s="2"/>
      <c r="ONN34" s="2"/>
      <c r="ONO34" s="2"/>
      <c r="ONP34" s="2"/>
      <c r="ONQ34" s="2"/>
      <c r="ONR34" s="2"/>
      <c r="ONS34" s="2"/>
      <c r="ONT34" s="2"/>
      <c r="ONU34" s="2"/>
      <c r="ONV34" s="2"/>
      <c r="ONW34" s="2"/>
      <c r="ONX34" s="2"/>
      <c r="ONY34" s="2"/>
      <c r="ONZ34" s="2"/>
      <c r="OOA34" s="2"/>
      <c r="OOB34" s="2"/>
      <c r="OOC34" s="2"/>
      <c r="OOD34" s="2"/>
      <c r="OOE34" s="2"/>
      <c r="OOF34" s="2"/>
      <c r="OOG34" s="2"/>
      <c r="OOH34" s="2"/>
      <c r="OOI34" s="2"/>
      <c r="OOJ34" s="2"/>
      <c r="OOK34" s="2"/>
      <c r="OOL34" s="2"/>
      <c r="OOM34" s="2"/>
      <c r="OON34" s="2"/>
      <c r="OOO34" s="2"/>
      <c r="OOP34" s="2"/>
      <c r="OOQ34" s="2"/>
      <c r="OOR34" s="2"/>
      <c r="OOS34" s="2"/>
      <c r="OOT34" s="2"/>
      <c r="OOU34" s="2"/>
      <c r="OOV34" s="2"/>
      <c r="OOW34" s="2"/>
      <c r="OOX34" s="2"/>
      <c r="OOY34" s="2"/>
      <c r="OOZ34" s="2"/>
      <c r="OPA34" s="2"/>
      <c r="OPB34" s="2"/>
      <c r="OPC34" s="2"/>
      <c r="OPD34" s="2"/>
      <c r="OPE34" s="2"/>
      <c r="OPF34" s="2"/>
      <c r="OPG34" s="2"/>
      <c r="OPH34" s="2"/>
      <c r="OPI34" s="2"/>
      <c r="OPJ34" s="2"/>
      <c r="OPK34" s="2"/>
      <c r="OPL34" s="2"/>
      <c r="OPM34" s="2"/>
      <c r="OPN34" s="2"/>
      <c r="OPO34" s="2"/>
      <c r="OPP34" s="2"/>
      <c r="OPQ34" s="2"/>
      <c r="OPR34" s="2"/>
      <c r="OPS34" s="2"/>
      <c r="OPT34" s="2"/>
      <c r="OPU34" s="2"/>
      <c r="OPV34" s="2"/>
      <c r="OPW34" s="2"/>
      <c r="OPX34" s="2"/>
      <c r="OPY34" s="2"/>
      <c r="OPZ34" s="2"/>
      <c r="OQA34" s="2"/>
      <c r="OQB34" s="2"/>
      <c r="OQC34" s="2"/>
      <c r="OQD34" s="2"/>
      <c r="OQE34" s="2"/>
      <c r="OQF34" s="2"/>
      <c r="OQG34" s="2"/>
      <c r="OQH34" s="2"/>
      <c r="OQI34" s="2"/>
      <c r="OQJ34" s="2"/>
      <c r="OQK34" s="2"/>
      <c r="OQL34" s="2"/>
      <c r="OQM34" s="2"/>
      <c r="OQN34" s="2"/>
      <c r="OQO34" s="2"/>
      <c r="OQP34" s="2"/>
      <c r="OQQ34" s="2"/>
      <c r="OQR34" s="2"/>
      <c r="OQS34" s="2"/>
      <c r="OQT34" s="2"/>
      <c r="OQU34" s="2"/>
      <c r="OQV34" s="2"/>
      <c r="OQW34" s="2"/>
      <c r="OQX34" s="2"/>
      <c r="OQY34" s="2"/>
      <c r="OQZ34" s="2"/>
      <c r="ORA34" s="2"/>
      <c r="ORB34" s="2"/>
      <c r="ORC34" s="2"/>
      <c r="ORD34" s="2"/>
      <c r="ORE34" s="2"/>
      <c r="ORF34" s="2"/>
      <c r="ORG34" s="2"/>
      <c r="ORH34" s="2"/>
      <c r="ORI34" s="2"/>
      <c r="ORJ34" s="2"/>
      <c r="ORK34" s="2"/>
      <c r="ORL34" s="2"/>
      <c r="ORM34" s="2"/>
      <c r="ORN34" s="2"/>
      <c r="ORO34" s="2"/>
      <c r="ORP34" s="2"/>
      <c r="ORQ34" s="2"/>
      <c r="ORR34" s="2"/>
      <c r="ORS34" s="2"/>
      <c r="ORT34" s="2"/>
      <c r="ORU34" s="2"/>
      <c r="ORV34" s="2"/>
      <c r="ORW34" s="2"/>
      <c r="ORX34" s="2"/>
      <c r="ORY34" s="2"/>
      <c r="ORZ34" s="2"/>
      <c r="OSA34" s="2"/>
      <c r="OSB34" s="2"/>
      <c r="OSC34" s="2"/>
      <c r="OSD34" s="2"/>
      <c r="OSE34" s="2"/>
      <c r="OSF34" s="2"/>
      <c r="OSG34" s="2"/>
      <c r="OSH34" s="2"/>
      <c r="OSI34" s="2"/>
      <c r="OSJ34" s="2"/>
      <c r="OSK34" s="2"/>
      <c r="OSL34" s="2"/>
      <c r="OSM34" s="2"/>
      <c r="OSN34" s="2"/>
      <c r="OSO34" s="2"/>
      <c r="OSP34" s="2"/>
      <c r="OSQ34" s="2"/>
      <c r="OSR34" s="2"/>
      <c r="OSS34" s="2"/>
      <c r="OST34" s="2"/>
      <c r="OSU34" s="2"/>
      <c r="OSV34" s="2"/>
      <c r="OSW34" s="2"/>
      <c r="OSX34" s="2"/>
      <c r="OSY34" s="2"/>
      <c r="OSZ34" s="2"/>
      <c r="OTA34" s="2"/>
      <c r="OTB34" s="2"/>
      <c r="OTC34" s="2"/>
      <c r="OTD34" s="2"/>
      <c r="OTE34" s="2"/>
      <c r="OTF34" s="2"/>
      <c r="OTG34" s="2"/>
      <c r="OTH34" s="2"/>
      <c r="OTI34" s="2"/>
      <c r="OTJ34" s="2"/>
      <c r="OTK34" s="2"/>
      <c r="OTL34" s="2"/>
      <c r="OTM34" s="2"/>
      <c r="OTN34" s="2"/>
      <c r="OTO34" s="2"/>
      <c r="OTP34" s="2"/>
      <c r="OTQ34" s="2"/>
      <c r="OTR34" s="2"/>
      <c r="OTS34" s="2"/>
      <c r="OTT34" s="2"/>
      <c r="OTU34" s="2"/>
      <c r="OTV34" s="2"/>
      <c r="OTW34" s="2"/>
      <c r="OTX34" s="2"/>
      <c r="OTY34" s="2"/>
      <c r="OTZ34" s="2"/>
      <c r="OUA34" s="2"/>
      <c r="OUB34" s="2"/>
      <c r="OUC34" s="2"/>
      <c r="OUD34" s="2"/>
      <c r="OUE34" s="2"/>
      <c r="OUF34" s="2"/>
      <c r="OUG34" s="2"/>
      <c r="OUH34" s="2"/>
      <c r="OUI34" s="2"/>
      <c r="OUJ34" s="2"/>
      <c r="OUK34" s="2"/>
      <c r="OUL34" s="2"/>
      <c r="OUM34" s="2"/>
      <c r="OUN34" s="2"/>
      <c r="OUO34" s="2"/>
      <c r="OUP34" s="2"/>
      <c r="OUQ34" s="2"/>
      <c r="OUR34" s="2"/>
      <c r="OUS34" s="2"/>
      <c r="OUT34" s="2"/>
      <c r="OUU34" s="2"/>
      <c r="OUV34" s="2"/>
      <c r="OUW34" s="2"/>
      <c r="OUX34" s="2"/>
      <c r="OUY34" s="2"/>
      <c r="OUZ34" s="2"/>
      <c r="OVA34" s="2"/>
      <c r="OVB34" s="2"/>
      <c r="OVC34" s="2"/>
      <c r="OVD34" s="2"/>
      <c r="OVE34" s="2"/>
      <c r="OVF34" s="2"/>
      <c r="OVG34" s="2"/>
      <c r="OVH34" s="2"/>
      <c r="OVI34" s="2"/>
      <c r="OVJ34" s="2"/>
      <c r="OVK34" s="2"/>
      <c r="OVL34" s="2"/>
      <c r="OVM34" s="2"/>
      <c r="OVN34" s="2"/>
      <c r="OVO34" s="2"/>
      <c r="OVP34" s="2"/>
      <c r="OVQ34" s="2"/>
      <c r="OVR34" s="2"/>
      <c r="OVS34" s="2"/>
      <c r="OVT34" s="2"/>
      <c r="OVU34" s="2"/>
      <c r="OVV34" s="2"/>
      <c r="OVW34" s="2"/>
      <c r="OVX34" s="2"/>
      <c r="OVY34" s="2"/>
      <c r="OVZ34" s="2"/>
      <c r="OWA34" s="2"/>
      <c r="OWB34" s="2"/>
      <c r="OWC34" s="2"/>
      <c r="OWD34" s="2"/>
      <c r="OWE34" s="2"/>
      <c r="OWF34" s="2"/>
      <c r="OWG34" s="2"/>
      <c r="OWH34" s="2"/>
      <c r="OWI34" s="2"/>
      <c r="OWJ34" s="2"/>
      <c r="OWK34" s="2"/>
      <c r="OWL34" s="2"/>
      <c r="OWM34" s="2"/>
      <c r="OWN34" s="2"/>
      <c r="OWO34" s="2"/>
      <c r="OWP34" s="2"/>
      <c r="OWQ34" s="2"/>
      <c r="OWR34" s="2"/>
      <c r="OWS34" s="2"/>
      <c r="OWT34" s="2"/>
      <c r="OWU34" s="2"/>
      <c r="OWV34" s="2"/>
      <c r="OWW34" s="2"/>
      <c r="OWX34" s="2"/>
      <c r="OWY34" s="2"/>
      <c r="OWZ34" s="2"/>
      <c r="OXA34" s="2"/>
      <c r="OXB34" s="2"/>
      <c r="OXC34" s="2"/>
      <c r="OXD34" s="2"/>
      <c r="OXE34" s="2"/>
      <c r="OXF34" s="2"/>
      <c r="OXG34" s="2"/>
      <c r="OXH34" s="2"/>
      <c r="OXI34" s="2"/>
      <c r="OXJ34" s="2"/>
      <c r="OXK34" s="2"/>
      <c r="OXL34" s="2"/>
      <c r="OXM34" s="2"/>
      <c r="OXN34" s="2"/>
      <c r="OXO34" s="2"/>
      <c r="OXP34" s="2"/>
      <c r="OXQ34" s="2"/>
      <c r="OXR34" s="2"/>
      <c r="OXS34" s="2"/>
      <c r="OXT34" s="2"/>
      <c r="OXU34" s="2"/>
      <c r="OXV34" s="2"/>
      <c r="OXW34" s="2"/>
      <c r="OXX34" s="2"/>
      <c r="OXY34" s="2"/>
      <c r="OXZ34" s="2"/>
      <c r="OYA34" s="2"/>
      <c r="OYB34" s="2"/>
      <c r="OYC34" s="2"/>
      <c r="OYD34" s="2"/>
      <c r="OYE34" s="2"/>
      <c r="OYF34" s="2"/>
      <c r="OYG34" s="2"/>
      <c r="OYH34" s="2"/>
      <c r="OYI34" s="2"/>
      <c r="OYJ34" s="2"/>
      <c r="OYK34" s="2"/>
      <c r="OYL34" s="2"/>
      <c r="OYM34" s="2"/>
      <c r="OYN34" s="2"/>
      <c r="OYO34" s="2"/>
      <c r="OYP34" s="2"/>
      <c r="OYQ34" s="2"/>
      <c r="OYR34" s="2"/>
      <c r="OYS34" s="2"/>
      <c r="OYT34" s="2"/>
      <c r="OYU34" s="2"/>
      <c r="OYV34" s="2"/>
      <c r="OYW34" s="2"/>
      <c r="OYX34" s="2"/>
      <c r="OYY34" s="2"/>
      <c r="OYZ34" s="2"/>
      <c r="OZA34" s="2"/>
      <c r="OZB34" s="2"/>
      <c r="OZC34" s="2"/>
      <c r="OZD34" s="2"/>
      <c r="OZE34" s="2"/>
      <c r="OZF34" s="2"/>
      <c r="OZG34" s="2"/>
      <c r="OZH34" s="2"/>
      <c r="OZI34" s="2"/>
      <c r="OZJ34" s="2"/>
      <c r="OZK34" s="2"/>
      <c r="OZL34" s="2"/>
      <c r="OZM34" s="2"/>
      <c r="OZN34" s="2"/>
      <c r="OZO34" s="2"/>
      <c r="OZP34" s="2"/>
      <c r="OZQ34" s="2"/>
      <c r="OZR34" s="2"/>
      <c r="OZS34" s="2"/>
      <c r="OZT34" s="2"/>
      <c r="OZU34" s="2"/>
      <c r="OZV34" s="2"/>
      <c r="OZW34" s="2"/>
      <c r="OZX34" s="2"/>
      <c r="OZY34" s="2"/>
      <c r="OZZ34" s="2"/>
      <c r="PAA34" s="2"/>
      <c r="PAB34" s="2"/>
      <c r="PAC34" s="2"/>
      <c r="PAD34" s="2"/>
      <c r="PAE34" s="2"/>
      <c r="PAF34" s="2"/>
      <c r="PAG34" s="2"/>
      <c r="PAH34" s="2"/>
      <c r="PAI34" s="2"/>
      <c r="PAJ34" s="2"/>
      <c r="PAK34" s="2"/>
      <c r="PAL34" s="2"/>
      <c r="PAM34" s="2"/>
      <c r="PAN34" s="2"/>
      <c r="PAO34" s="2"/>
      <c r="PAP34" s="2"/>
      <c r="PAQ34" s="2"/>
      <c r="PAR34" s="2"/>
      <c r="PAS34" s="2"/>
      <c r="PAT34" s="2"/>
      <c r="PAU34" s="2"/>
      <c r="PAV34" s="2"/>
      <c r="PAW34" s="2"/>
      <c r="PAX34" s="2"/>
      <c r="PAY34" s="2"/>
      <c r="PAZ34" s="2"/>
      <c r="PBA34" s="2"/>
      <c r="PBB34" s="2"/>
      <c r="PBC34" s="2"/>
      <c r="PBD34" s="2"/>
      <c r="PBE34" s="2"/>
      <c r="PBF34" s="2"/>
      <c r="PBG34" s="2"/>
      <c r="PBH34" s="2"/>
      <c r="PBI34" s="2"/>
      <c r="PBJ34" s="2"/>
      <c r="PBK34" s="2"/>
      <c r="PBL34" s="2"/>
      <c r="PBM34" s="2"/>
      <c r="PBN34" s="2"/>
      <c r="PBO34" s="2"/>
      <c r="PBP34" s="2"/>
      <c r="PBQ34" s="2"/>
      <c r="PBR34" s="2"/>
      <c r="PBS34" s="2"/>
      <c r="PBT34" s="2"/>
      <c r="PBU34" s="2"/>
      <c r="PBV34" s="2"/>
      <c r="PBW34" s="2"/>
      <c r="PBX34" s="2"/>
      <c r="PBY34" s="2"/>
      <c r="PBZ34" s="2"/>
      <c r="PCA34" s="2"/>
      <c r="PCB34" s="2"/>
      <c r="PCC34" s="2"/>
      <c r="PCD34" s="2"/>
      <c r="PCE34" s="2"/>
      <c r="PCF34" s="2"/>
      <c r="PCG34" s="2"/>
      <c r="PCH34" s="2"/>
      <c r="PCI34" s="2"/>
      <c r="PCJ34" s="2"/>
      <c r="PCK34" s="2"/>
      <c r="PCL34" s="2"/>
      <c r="PCM34" s="2"/>
      <c r="PCN34" s="2"/>
      <c r="PCO34" s="2"/>
      <c r="PCP34" s="2"/>
      <c r="PCQ34" s="2"/>
      <c r="PCR34" s="2"/>
      <c r="PCS34" s="2"/>
      <c r="PCT34" s="2"/>
      <c r="PCU34" s="2"/>
      <c r="PCV34" s="2"/>
      <c r="PCW34" s="2"/>
      <c r="PCX34" s="2"/>
      <c r="PCY34" s="2"/>
      <c r="PCZ34" s="2"/>
      <c r="PDA34" s="2"/>
      <c r="PDB34" s="2"/>
      <c r="PDC34" s="2"/>
      <c r="PDD34" s="2"/>
      <c r="PDE34" s="2"/>
      <c r="PDF34" s="2"/>
      <c r="PDG34" s="2"/>
      <c r="PDH34" s="2"/>
      <c r="PDI34" s="2"/>
      <c r="PDJ34" s="2"/>
      <c r="PDK34" s="2"/>
      <c r="PDL34" s="2"/>
      <c r="PDM34" s="2"/>
      <c r="PDN34" s="2"/>
      <c r="PDO34" s="2"/>
      <c r="PDP34" s="2"/>
      <c r="PDQ34" s="2"/>
      <c r="PDR34" s="2"/>
      <c r="PDS34" s="2"/>
      <c r="PDT34" s="2"/>
      <c r="PDU34" s="2"/>
      <c r="PDV34" s="2"/>
      <c r="PDW34" s="2"/>
      <c r="PDX34" s="2"/>
      <c r="PDY34" s="2"/>
      <c r="PDZ34" s="2"/>
      <c r="PEA34" s="2"/>
      <c r="PEB34" s="2"/>
      <c r="PEC34" s="2"/>
      <c r="PED34" s="2"/>
      <c r="PEE34" s="2"/>
      <c r="PEF34" s="2"/>
      <c r="PEG34" s="2"/>
      <c r="PEH34" s="2"/>
      <c r="PEI34" s="2"/>
      <c r="PEJ34" s="2"/>
      <c r="PEK34" s="2"/>
      <c r="PEL34" s="2"/>
      <c r="PEM34" s="2"/>
      <c r="PEN34" s="2"/>
      <c r="PEO34" s="2"/>
      <c r="PEP34" s="2"/>
      <c r="PEQ34" s="2"/>
      <c r="PER34" s="2"/>
      <c r="PES34" s="2"/>
      <c r="PET34" s="2"/>
      <c r="PEU34" s="2"/>
      <c r="PEV34" s="2"/>
      <c r="PEW34" s="2"/>
      <c r="PEX34" s="2"/>
      <c r="PEY34" s="2"/>
      <c r="PEZ34" s="2"/>
      <c r="PFA34" s="2"/>
      <c r="PFB34" s="2"/>
      <c r="PFC34" s="2"/>
      <c r="PFD34" s="2"/>
      <c r="PFE34" s="2"/>
      <c r="PFF34" s="2"/>
      <c r="PFG34" s="2"/>
      <c r="PFH34" s="2"/>
      <c r="PFI34" s="2"/>
      <c r="PFJ34" s="2"/>
      <c r="PFK34" s="2"/>
      <c r="PFL34" s="2"/>
      <c r="PFM34" s="2"/>
      <c r="PFN34" s="2"/>
      <c r="PFO34" s="2"/>
      <c r="PFP34" s="2"/>
      <c r="PFQ34" s="2"/>
      <c r="PFR34" s="2"/>
      <c r="PFS34" s="2"/>
      <c r="PFT34" s="2"/>
      <c r="PFU34" s="2"/>
      <c r="PFV34" s="2"/>
      <c r="PFW34" s="2"/>
      <c r="PFX34" s="2"/>
      <c r="PFY34" s="2"/>
      <c r="PFZ34" s="2"/>
      <c r="PGA34" s="2"/>
      <c r="PGB34" s="2"/>
      <c r="PGC34" s="2"/>
      <c r="PGD34" s="2"/>
      <c r="PGE34" s="2"/>
      <c r="PGF34" s="2"/>
      <c r="PGG34" s="2"/>
      <c r="PGH34" s="2"/>
      <c r="PGI34" s="2"/>
      <c r="PGJ34" s="2"/>
      <c r="PGK34" s="2"/>
      <c r="PGL34" s="2"/>
      <c r="PGM34" s="2"/>
      <c r="PGN34" s="2"/>
      <c r="PGO34" s="2"/>
      <c r="PGP34" s="2"/>
      <c r="PGQ34" s="2"/>
      <c r="PGR34" s="2"/>
      <c r="PGS34" s="2"/>
      <c r="PGT34" s="2"/>
      <c r="PGU34" s="2"/>
      <c r="PGV34" s="2"/>
      <c r="PGW34" s="2"/>
      <c r="PGX34" s="2"/>
      <c r="PGY34" s="2"/>
      <c r="PGZ34" s="2"/>
      <c r="PHA34" s="2"/>
      <c r="PHB34" s="2"/>
      <c r="PHC34" s="2"/>
      <c r="PHD34" s="2"/>
      <c r="PHE34" s="2"/>
      <c r="PHF34" s="2"/>
      <c r="PHG34" s="2"/>
      <c r="PHH34" s="2"/>
      <c r="PHI34" s="2"/>
      <c r="PHJ34" s="2"/>
      <c r="PHK34" s="2"/>
      <c r="PHL34" s="2"/>
      <c r="PHM34" s="2"/>
      <c r="PHN34" s="2"/>
      <c r="PHO34" s="2"/>
      <c r="PHP34" s="2"/>
      <c r="PHQ34" s="2"/>
      <c r="PHR34" s="2"/>
      <c r="PHS34" s="2"/>
      <c r="PHT34" s="2"/>
      <c r="PHU34" s="2"/>
      <c r="PHV34" s="2"/>
      <c r="PHW34" s="2"/>
      <c r="PHX34" s="2"/>
      <c r="PHY34" s="2"/>
      <c r="PHZ34" s="2"/>
      <c r="PIA34" s="2"/>
      <c r="PIB34" s="2"/>
      <c r="PIC34" s="2"/>
      <c r="PID34" s="2"/>
      <c r="PIE34" s="2"/>
      <c r="PIF34" s="2"/>
      <c r="PIG34" s="2"/>
      <c r="PIH34" s="2"/>
      <c r="PII34" s="2"/>
      <c r="PIJ34" s="2"/>
      <c r="PIK34" s="2"/>
      <c r="PIL34" s="2"/>
      <c r="PIM34" s="2"/>
      <c r="PIN34" s="2"/>
      <c r="PIO34" s="2"/>
      <c r="PIP34" s="2"/>
      <c r="PIQ34" s="2"/>
      <c r="PIR34" s="2"/>
      <c r="PIS34" s="2"/>
      <c r="PIT34" s="2"/>
      <c r="PIU34" s="2"/>
      <c r="PIV34" s="2"/>
      <c r="PIW34" s="2"/>
      <c r="PIX34" s="2"/>
      <c r="PIY34" s="2"/>
      <c r="PIZ34" s="2"/>
      <c r="PJA34" s="2"/>
      <c r="PJB34" s="2"/>
      <c r="PJC34" s="2"/>
      <c r="PJD34" s="2"/>
      <c r="PJE34" s="2"/>
      <c r="PJF34" s="2"/>
      <c r="PJG34" s="2"/>
      <c r="PJH34" s="2"/>
      <c r="PJI34" s="2"/>
      <c r="PJJ34" s="2"/>
      <c r="PJK34" s="2"/>
      <c r="PJL34" s="2"/>
      <c r="PJM34" s="2"/>
      <c r="PJN34" s="2"/>
      <c r="PJO34" s="2"/>
      <c r="PJP34" s="2"/>
      <c r="PJQ34" s="2"/>
      <c r="PJR34" s="2"/>
      <c r="PJS34" s="2"/>
      <c r="PJT34" s="2"/>
      <c r="PJU34" s="2"/>
      <c r="PJV34" s="2"/>
      <c r="PJW34" s="2"/>
      <c r="PJX34" s="2"/>
      <c r="PJY34" s="2"/>
      <c r="PJZ34" s="2"/>
      <c r="PKA34" s="2"/>
      <c r="PKB34" s="2"/>
      <c r="PKC34" s="2"/>
      <c r="PKD34" s="2"/>
      <c r="PKE34" s="2"/>
      <c r="PKF34" s="2"/>
      <c r="PKG34" s="2"/>
      <c r="PKH34" s="2"/>
      <c r="PKI34" s="2"/>
      <c r="PKJ34" s="2"/>
      <c r="PKK34" s="2"/>
      <c r="PKL34" s="2"/>
      <c r="PKM34" s="2"/>
      <c r="PKN34" s="2"/>
      <c r="PKO34" s="2"/>
      <c r="PKP34" s="2"/>
      <c r="PKQ34" s="2"/>
      <c r="PKR34" s="2"/>
      <c r="PKS34" s="2"/>
      <c r="PKT34" s="2"/>
      <c r="PKU34" s="2"/>
      <c r="PKV34" s="2"/>
      <c r="PKW34" s="2"/>
      <c r="PKX34" s="2"/>
      <c r="PKY34" s="2"/>
      <c r="PKZ34" s="2"/>
      <c r="PLA34" s="2"/>
      <c r="PLB34" s="2"/>
      <c r="PLC34" s="2"/>
      <c r="PLD34" s="2"/>
      <c r="PLE34" s="2"/>
      <c r="PLF34" s="2"/>
      <c r="PLG34" s="2"/>
      <c r="PLH34" s="2"/>
      <c r="PLI34" s="2"/>
      <c r="PLJ34" s="2"/>
      <c r="PLK34" s="2"/>
      <c r="PLL34" s="2"/>
      <c r="PLM34" s="2"/>
      <c r="PLN34" s="2"/>
      <c r="PLO34" s="2"/>
      <c r="PLP34" s="2"/>
      <c r="PLQ34" s="2"/>
      <c r="PLR34" s="2"/>
      <c r="PLS34" s="2"/>
      <c r="PLT34" s="2"/>
      <c r="PLU34" s="2"/>
      <c r="PLV34" s="2"/>
      <c r="PLW34" s="2"/>
      <c r="PLX34" s="2"/>
      <c r="PLY34" s="2"/>
      <c r="PLZ34" s="2"/>
      <c r="PMA34" s="2"/>
      <c r="PMB34" s="2"/>
      <c r="PMC34" s="2"/>
      <c r="PMD34" s="2"/>
      <c r="PME34" s="2"/>
      <c r="PMF34" s="2"/>
      <c r="PMG34" s="2"/>
      <c r="PMH34" s="2"/>
      <c r="PMI34" s="2"/>
      <c r="PMJ34" s="2"/>
      <c r="PMK34" s="2"/>
      <c r="PML34" s="2"/>
      <c r="PMM34" s="2"/>
      <c r="PMN34" s="2"/>
      <c r="PMO34" s="2"/>
      <c r="PMP34" s="2"/>
      <c r="PMQ34" s="2"/>
      <c r="PMR34" s="2"/>
      <c r="PMS34" s="2"/>
      <c r="PMT34" s="2"/>
      <c r="PMU34" s="2"/>
      <c r="PMV34" s="2"/>
      <c r="PMW34" s="2"/>
      <c r="PMX34" s="2"/>
      <c r="PMY34" s="2"/>
      <c r="PMZ34" s="2"/>
      <c r="PNA34" s="2"/>
      <c r="PNB34" s="2"/>
      <c r="PNC34" s="2"/>
      <c r="PND34" s="2"/>
      <c r="PNE34" s="2"/>
      <c r="PNF34" s="2"/>
      <c r="PNG34" s="2"/>
      <c r="PNH34" s="2"/>
      <c r="PNI34" s="2"/>
      <c r="PNJ34" s="2"/>
      <c r="PNK34" s="2"/>
      <c r="PNL34" s="2"/>
      <c r="PNM34" s="2"/>
      <c r="PNN34" s="2"/>
      <c r="PNO34" s="2"/>
      <c r="PNP34" s="2"/>
      <c r="PNQ34" s="2"/>
      <c r="PNR34" s="2"/>
      <c r="PNS34" s="2"/>
      <c r="PNT34" s="2"/>
      <c r="PNU34" s="2"/>
      <c r="PNV34" s="2"/>
      <c r="PNW34" s="2"/>
      <c r="PNX34" s="2"/>
      <c r="PNY34" s="2"/>
      <c r="PNZ34" s="2"/>
      <c r="POA34" s="2"/>
      <c r="POB34" s="2"/>
      <c r="POC34" s="2"/>
      <c r="POD34" s="2"/>
      <c r="POE34" s="2"/>
      <c r="POF34" s="2"/>
      <c r="POG34" s="2"/>
      <c r="POH34" s="2"/>
      <c r="POI34" s="2"/>
      <c r="POJ34" s="2"/>
      <c r="POK34" s="2"/>
      <c r="POL34" s="2"/>
      <c r="POM34" s="2"/>
      <c r="PON34" s="2"/>
      <c r="POO34" s="2"/>
      <c r="POP34" s="2"/>
      <c r="POQ34" s="2"/>
      <c r="POR34" s="2"/>
      <c r="POS34" s="2"/>
      <c r="POT34" s="2"/>
      <c r="POU34" s="2"/>
      <c r="POV34" s="2"/>
      <c r="POW34" s="2"/>
      <c r="POX34" s="2"/>
      <c r="POY34" s="2"/>
      <c r="POZ34" s="2"/>
      <c r="PPA34" s="2"/>
      <c r="PPB34" s="2"/>
      <c r="PPC34" s="2"/>
      <c r="PPD34" s="2"/>
      <c r="PPE34" s="2"/>
      <c r="PPF34" s="2"/>
      <c r="PPG34" s="2"/>
      <c r="PPH34" s="2"/>
      <c r="PPI34" s="2"/>
      <c r="PPJ34" s="2"/>
      <c r="PPK34" s="2"/>
      <c r="PPL34" s="2"/>
      <c r="PPM34" s="2"/>
      <c r="PPN34" s="2"/>
      <c r="PPO34" s="2"/>
      <c r="PPP34" s="2"/>
      <c r="PPQ34" s="2"/>
      <c r="PPR34" s="2"/>
      <c r="PPS34" s="2"/>
      <c r="PPT34" s="2"/>
      <c r="PPU34" s="2"/>
      <c r="PPV34" s="2"/>
      <c r="PPW34" s="2"/>
      <c r="PPX34" s="2"/>
      <c r="PPY34" s="2"/>
      <c r="PPZ34" s="2"/>
      <c r="PQA34" s="2"/>
      <c r="PQB34" s="2"/>
      <c r="PQC34" s="2"/>
      <c r="PQD34" s="2"/>
      <c r="PQE34" s="2"/>
      <c r="PQF34" s="2"/>
      <c r="PQG34" s="2"/>
      <c r="PQH34" s="2"/>
      <c r="PQI34" s="2"/>
      <c r="PQJ34" s="2"/>
      <c r="PQK34" s="2"/>
      <c r="PQL34" s="2"/>
      <c r="PQM34" s="2"/>
      <c r="PQN34" s="2"/>
      <c r="PQO34" s="2"/>
      <c r="PQP34" s="2"/>
      <c r="PQQ34" s="2"/>
      <c r="PQR34" s="2"/>
      <c r="PQS34" s="2"/>
      <c r="PQT34" s="2"/>
      <c r="PQU34" s="2"/>
      <c r="PQV34" s="2"/>
      <c r="PQW34" s="2"/>
      <c r="PQX34" s="2"/>
      <c r="PQY34" s="2"/>
      <c r="PQZ34" s="2"/>
      <c r="PRA34" s="2"/>
      <c r="PRB34" s="2"/>
      <c r="PRC34" s="2"/>
      <c r="PRD34" s="2"/>
      <c r="PRE34" s="2"/>
      <c r="PRF34" s="2"/>
      <c r="PRG34" s="2"/>
      <c r="PRH34" s="2"/>
      <c r="PRI34" s="2"/>
      <c r="PRJ34" s="2"/>
      <c r="PRK34" s="2"/>
      <c r="PRL34" s="2"/>
      <c r="PRM34" s="2"/>
      <c r="PRN34" s="2"/>
      <c r="PRO34" s="2"/>
      <c r="PRP34" s="2"/>
      <c r="PRQ34" s="2"/>
      <c r="PRR34" s="2"/>
      <c r="PRS34" s="2"/>
      <c r="PRT34" s="2"/>
      <c r="PRU34" s="2"/>
      <c r="PRV34" s="2"/>
      <c r="PRW34" s="2"/>
      <c r="PRX34" s="2"/>
      <c r="PRY34" s="2"/>
      <c r="PRZ34" s="2"/>
      <c r="PSA34" s="2"/>
      <c r="PSB34" s="2"/>
      <c r="PSC34" s="2"/>
      <c r="PSD34" s="2"/>
      <c r="PSE34" s="2"/>
      <c r="PSF34" s="2"/>
      <c r="PSG34" s="2"/>
      <c r="PSH34" s="2"/>
      <c r="PSI34" s="2"/>
      <c r="PSJ34" s="2"/>
      <c r="PSK34" s="2"/>
      <c r="PSL34" s="2"/>
      <c r="PSM34" s="2"/>
      <c r="PSN34" s="2"/>
      <c r="PSO34" s="2"/>
      <c r="PSP34" s="2"/>
      <c r="PSQ34" s="2"/>
      <c r="PSR34" s="2"/>
      <c r="PSS34" s="2"/>
      <c r="PST34" s="2"/>
      <c r="PSU34" s="2"/>
      <c r="PSV34" s="2"/>
      <c r="PSW34" s="2"/>
      <c r="PSX34" s="2"/>
      <c r="PSY34" s="2"/>
      <c r="PSZ34" s="2"/>
      <c r="PTA34" s="2"/>
      <c r="PTB34" s="2"/>
      <c r="PTC34" s="2"/>
      <c r="PTD34" s="2"/>
      <c r="PTE34" s="2"/>
      <c r="PTF34" s="2"/>
      <c r="PTG34" s="2"/>
      <c r="PTH34" s="2"/>
      <c r="PTI34" s="2"/>
      <c r="PTJ34" s="2"/>
      <c r="PTK34" s="2"/>
      <c r="PTL34" s="2"/>
      <c r="PTM34" s="2"/>
      <c r="PTN34" s="2"/>
      <c r="PTO34" s="2"/>
      <c r="PTP34" s="2"/>
      <c r="PTQ34" s="2"/>
      <c r="PTR34" s="2"/>
      <c r="PTS34" s="2"/>
      <c r="PTT34" s="2"/>
      <c r="PTU34" s="2"/>
      <c r="PTV34" s="2"/>
      <c r="PTW34" s="2"/>
      <c r="PTX34" s="2"/>
      <c r="PTY34" s="2"/>
      <c r="PTZ34" s="2"/>
      <c r="PUA34" s="2"/>
      <c r="PUB34" s="2"/>
      <c r="PUC34" s="2"/>
      <c r="PUD34" s="2"/>
      <c r="PUE34" s="2"/>
      <c r="PUF34" s="2"/>
      <c r="PUG34" s="2"/>
      <c r="PUH34" s="2"/>
      <c r="PUI34" s="2"/>
      <c r="PUJ34" s="2"/>
      <c r="PUK34" s="2"/>
      <c r="PUL34" s="2"/>
      <c r="PUM34" s="2"/>
      <c r="PUN34" s="2"/>
      <c r="PUO34" s="2"/>
      <c r="PUP34" s="2"/>
      <c r="PUQ34" s="2"/>
      <c r="PUR34" s="2"/>
      <c r="PUS34" s="2"/>
      <c r="PUT34" s="2"/>
      <c r="PUU34" s="2"/>
      <c r="PUV34" s="2"/>
      <c r="PUW34" s="2"/>
      <c r="PUX34" s="2"/>
      <c r="PUY34" s="2"/>
      <c r="PUZ34" s="2"/>
      <c r="PVA34" s="2"/>
      <c r="PVB34" s="2"/>
      <c r="PVC34" s="2"/>
      <c r="PVD34" s="2"/>
      <c r="PVE34" s="2"/>
      <c r="PVF34" s="2"/>
      <c r="PVG34" s="2"/>
      <c r="PVH34" s="2"/>
      <c r="PVI34" s="2"/>
      <c r="PVJ34" s="2"/>
      <c r="PVK34" s="2"/>
      <c r="PVL34" s="2"/>
      <c r="PVM34" s="2"/>
      <c r="PVN34" s="2"/>
      <c r="PVO34" s="2"/>
      <c r="PVP34" s="2"/>
      <c r="PVQ34" s="2"/>
      <c r="PVR34" s="2"/>
      <c r="PVS34" s="2"/>
      <c r="PVT34" s="2"/>
      <c r="PVU34" s="2"/>
      <c r="PVV34" s="2"/>
      <c r="PVW34" s="2"/>
      <c r="PVX34" s="2"/>
      <c r="PVY34" s="2"/>
      <c r="PVZ34" s="2"/>
      <c r="PWA34" s="2"/>
      <c r="PWB34" s="2"/>
      <c r="PWC34" s="2"/>
      <c r="PWD34" s="2"/>
      <c r="PWE34" s="2"/>
      <c r="PWF34" s="2"/>
      <c r="PWG34" s="2"/>
      <c r="PWH34" s="2"/>
      <c r="PWI34" s="2"/>
      <c r="PWJ34" s="2"/>
      <c r="PWK34" s="2"/>
      <c r="PWL34" s="2"/>
      <c r="PWM34" s="2"/>
      <c r="PWN34" s="2"/>
      <c r="PWO34" s="2"/>
      <c r="PWP34" s="2"/>
      <c r="PWQ34" s="2"/>
      <c r="PWR34" s="2"/>
      <c r="PWS34" s="2"/>
      <c r="PWT34" s="2"/>
      <c r="PWU34" s="2"/>
      <c r="PWV34" s="2"/>
      <c r="PWW34" s="2"/>
      <c r="PWX34" s="2"/>
      <c r="PWY34" s="2"/>
      <c r="PWZ34" s="2"/>
      <c r="PXA34" s="2"/>
      <c r="PXB34" s="2"/>
      <c r="PXC34" s="2"/>
      <c r="PXD34" s="2"/>
      <c r="PXE34" s="2"/>
      <c r="PXF34" s="2"/>
      <c r="PXG34" s="2"/>
      <c r="PXH34" s="2"/>
      <c r="PXI34" s="2"/>
      <c r="PXJ34" s="2"/>
      <c r="PXK34" s="2"/>
      <c r="PXL34" s="2"/>
      <c r="PXM34" s="2"/>
      <c r="PXN34" s="2"/>
      <c r="PXO34" s="2"/>
      <c r="PXP34" s="2"/>
      <c r="PXQ34" s="2"/>
      <c r="PXR34" s="2"/>
      <c r="PXS34" s="2"/>
      <c r="PXT34" s="2"/>
      <c r="PXU34" s="2"/>
      <c r="PXV34" s="2"/>
      <c r="PXW34" s="2"/>
      <c r="PXX34" s="2"/>
      <c r="PXY34" s="2"/>
      <c r="PXZ34" s="2"/>
      <c r="PYA34" s="2"/>
      <c r="PYB34" s="2"/>
      <c r="PYC34" s="2"/>
      <c r="PYD34" s="2"/>
      <c r="PYE34" s="2"/>
      <c r="PYF34" s="2"/>
      <c r="PYG34" s="2"/>
      <c r="PYH34" s="2"/>
      <c r="PYI34" s="2"/>
      <c r="PYJ34" s="2"/>
      <c r="PYK34" s="2"/>
      <c r="PYL34" s="2"/>
      <c r="PYM34" s="2"/>
      <c r="PYN34" s="2"/>
      <c r="PYO34" s="2"/>
      <c r="PYP34" s="2"/>
      <c r="PYQ34" s="2"/>
      <c r="PYR34" s="2"/>
      <c r="PYS34" s="2"/>
      <c r="PYT34" s="2"/>
      <c r="PYU34" s="2"/>
      <c r="PYV34" s="2"/>
      <c r="PYW34" s="2"/>
      <c r="PYX34" s="2"/>
      <c r="PYY34" s="2"/>
      <c r="PYZ34" s="2"/>
      <c r="PZA34" s="2"/>
      <c r="PZB34" s="2"/>
      <c r="PZC34" s="2"/>
      <c r="PZD34" s="2"/>
      <c r="PZE34" s="2"/>
      <c r="PZF34" s="2"/>
      <c r="PZG34" s="2"/>
      <c r="PZH34" s="2"/>
      <c r="PZI34" s="2"/>
      <c r="PZJ34" s="2"/>
      <c r="PZK34" s="2"/>
      <c r="PZL34" s="2"/>
      <c r="PZM34" s="2"/>
      <c r="PZN34" s="2"/>
      <c r="PZO34" s="2"/>
      <c r="PZP34" s="2"/>
      <c r="PZQ34" s="2"/>
      <c r="PZR34" s="2"/>
      <c r="PZS34" s="2"/>
      <c r="PZT34" s="2"/>
      <c r="PZU34" s="2"/>
      <c r="PZV34" s="2"/>
      <c r="PZW34" s="2"/>
      <c r="PZX34" s="2"/>
      <c r="PZY34" s="2"/>
      <c r="PZZ34" s="2"/>
      <c r="QAA34" s="2"/>
      <c r="QAB34" s="2"/>
      <c r="QAC34" s="2"/>
      <c r="QAD34" s="2"/>
      <c r="QAE34" s="2"/>
      <c r="QAF34" s="2"/>
      <c r="QAG34" s="2"/>
      <c r="QAH34" s="2"/>
      <c r="QAI34" s="2"/>
      <c r="QAJ34" s="2"/>
      <c r="QAK34" s="2"/>
      <c r="QAL34" s="2"/>
      <c r="QAM34" s="2"/>
      <c r="QAN34" s="2"/>
      <c r="QAO34" s="2"/>
      <c r="QAP34" s="2"/>
      <c r="QAQ34" s="2"/>
      <c r="QAR34" s="2"/>
      <c r="QAS34" s="2"/>
      <c r="QAT34" s="2"/>
      <c r="QAU34" s="2"/>
      <c r="QAV34" s="2"/>
      <c r="QAW34" s="2"/>
      <c r="QAX34" s="2"/>
      <c r="QAY34" s="2"/>
      <c r="QAZ34" s="2"/>
      <c r="QBA34" s="2"/>
      <c r="QBB34" s="2"/>
      <c r="QBC34" s="2"/>
      <c r="QBD34" s="2"/>
      <c r="QBE34" s="2"/>
      <c r="QBF34" s="2"/>
      <c r="QBG34" s="2"/>
      <c r="QBH34" s="2"/>
      <c r="QBI34" s="2"/>
      <c r="QBJ34" s="2"/>
      <c r="QBK34" s="2"/>
      <c r="QBL34" s="2"/>
      <c r="QBM34" s="2"/>
      <c r="QBN34" s="2"/>
      <c r="QBO34" s="2"/>
      <c r="QBP34" s="2"/>
      <c r="QBQ34" s="2"/>
      <c r="QBR34" s="2"/>
      <c r="QBS34" s="2"/>
      <c r="QBT34" s="2"/>
      <c r="QBU34" s="2"/>
      <c r="QBV34" s="2"/>
      <c r="QBW34" s="2"/>
      <c r="QBX34" s="2"/>
      <c r="QBY34" s="2"/>
      <c r="QBZ34" s="2"/>
      <c r="QCA34" s="2"/>
      <c r="QCB34" s="2"/>
      <c r="QCC34" s="2"/>
      <c r="QCD34" s="2"/>
      <c r="QCE34" s="2"/>
      <c r="QCF34" s="2"/>
      <c r="QCG34" s="2"/>
      <c r="QCH34" s="2"/>
      <c r="QCI34" s="2"/>
      <c r="QCJ34" s="2"/>
      <c r="QCK34" s="2"/>
      <c r="QCL34" s="2"/>
      <c r="QCM34" s="2"/>
      <c r="QCN34" s="2"/>
      <c r="QCO34" s="2"/>
      <c r="QCP34" s="2"/>
      <c r="QCQ34" s="2"/>
      <c r="QCR34" s="2"/>
      <c r="QCS34" s="2"/>
      <c r="QCT34" s="2"/>
      <c r="QCU34" s="2"/>
      <c r="QCV34" s="2"/>
      <c r="QCW34" s="2"/>
      <c r="QCX34" s="2"/>
      <c r="QCY34" s="2"/>
      <c r="QCZ34" s="2"/>
      <c r="QDA34" s="2"/>
      <c r="QDB34" s="2"/>
      <c r="QDC34" s="2"/>
      <c r="QDD34" s="2"/>
      <c r="QDE34" s="2"/>
      <c r="QDF34" s="2"/>
      <c r="QDG34" s="2"/>
      <c r="QDH34" s="2"/>
      <c r="QDI34" s="2"/>
      <c r="QDJ34" s="2"/>
      <c r="QDK34" s="2"/>
      <c r="QDL34" s="2"/>
      <c r="QDM34" s="2"/>
      <c r="QDN34" s="2"/>
      <c r="QDO34" s="2"/>
      <c r="QDP34" s="2"/>
      <c r="QDQ34" s="2"/>
      <c r="QDR34" s="2"/>
      <c r="QDS34" s="2"/>
      <c r="QDT34" s="2"/>
      <c r="QDU34" s="2"/>
      <c r="QDV34" s="2"/>
      <c r="QDW34" s="2"/>
      <c r="QDX34" s="2"/>
      <c r="QDY34" s="2"/>
      <c r="QDZ34" s="2"/>
      <c r="QEA34" s="2"/>
      <c r="QEB34" s="2"/>
      <c r="QEC34" s="2"/>
      <c r="QED34" s="2"/>
      <c r="QEE34" s="2"/>
      <c r="QEF34" s="2"/>
      <c r="QEG34" s="2"/>
      <c r="QEH34" s="2"/>
      <c r="QEI34" s="2"/>
      <c r="QEJ34" s="2"/>
      <c r="QEK34" s="2"/>
      <c r="QEL34" s="2"/>
      <c r="QEM34" s="2"/>
      <c r="QEN34" s="2"/>
      <c r="QEO34" s="2"/>
      <c r="QEP34" s="2"/>
      <c r="QEQ34" s="2"/>
      <c r="QER34" s="2"/>
      <c r="QES34" s="2"/>
      <c r="QET34" s="2"/>
      <c r="QEU34" s="2"/>
      <c r="QEV34" s="2"/>
      <c r="QEW34" s="2"/>
      <c r="QEX34" s="2"/>
      <c r="QEY34" s="2"/>
      <c r="QEZ34" s="2"/>
      <c r="QFA34" s="2"/>
      <c r="QFB34" s="2"/>
      <c r="QFC34" s="2"/>
      <c r="QFD34" s="2"/>
      <c r="QFE34" s="2"/>
      <c r="QFF34" s="2"/>
      <c r="QFG34" s="2"/>
      <c r="QFH34" s="2"/>
      <c r="QFI34" s="2"/>
      <c r="QFJ34" s="2"/>
      <c r="QFK34" s="2"/>
      <c r="QFL34" s="2"/>
      <c r="QFM34" s="2"/>
      <c r="QFN34" s="2"/>
      <c r="QFO34" s="2"/>
      <c r="QFP34" s="2"/>
      <c r="QFQ34" s="2"/>
      <c r="QFR34" s="2"/>
      <c r="QFS34" s="2"/>
      <c r="QFT34" s="2"/>
      <c r="QFU34" s="2"/>
      <c r="QFV34" s="2"/>
      <c r="QFW34" s="2"/>
      <c r="QFX34" s="2"/>
      <c r="QFY34" s="2"/>
      <c r="QFZ34" s="2"/>
      <c r="QGA34" s="2"/>
      <c r="QGB34" s="2"/>
      <c r="QGC34" s="2"/>
      <c r="QGD34" s="2"/>
      <c r="QGE34" s="2"/>
      <c r="QGF34" s="2"/>
      <c r="QGG34" s="2"/>
      <c r="QGH34" s="2"/>
      <c r="QGI34" s="2"/>
      <c r="QGJ34" s="2"/>
      <c r="QGK34" s="2"/>
      <c r="QGL34" s="2"/>
      <c r="QGM34" s="2"/>
      <c r="QGN34" s="2"/>
      <c r="QGO34" s="2"/>
      <c r="QGP34" s="2"/>
      <c r="QGQ34" s="2"/>
      <c r="QGR34" s="2"/>
      <c r="QGS34" s="2"/>
      <c r="QGT34" s="2"/>
      <c r="QGU34" s="2"/>
      <c r="QGV34" s="2"/>
      <c r="QGW34" s="2"/>
      <c r="QGX34" s="2"/>
      <c r="QGY34" s="2"/>
      <c r="QGZ34" s="2"/>
      <c r="QHA34" s="2"/>
      <c r="QHB34" s="2"/>
      <c r="QHC34" s="2"/>
      <c r="QHD34" s="2"/>
      <c r="QHE34" s="2"/>
      <c r="QHF34" s="2"/>
      <c r="QHG34" s="2"/>
      <c r="QHH34" s="2"/>
      <c r="QHI34" s="2"/>
      <c r="QHJ34" s="2"/>
      <c r="QHK34" s="2"/>
      <c r="QHL34" s="2"/>
      <c r="QHM34" s="2"/>
      <c r="QHN34" s="2"/>
      <c r="QHO34" s="2"/>
      <c r="QHP34" s="2"/>
      <c r="QHQ34" s="2"/>
      <c r="QHR34" s="2"/>
      <c r="QHS34" s="2"/>
      <c r="QHT34" s="2"/>
      <c r="QHU34" s="2"/>
      <c r="QHV34" s="2"/>
      <c r="QHW34" s="2"/>
      <c r="QHX34" s="2"/>
      <c r="QHY34" s="2"/>
      <c r="QHZ34" s="2"/>
      <c r="QIA34" s="2"/>
      <c r="QIB34" s="2"/>
      <c r="QIC34" s="2"/>
      <c r="QID34" s="2"/>
      <c r="QIE34" s="2"/>
      <c r="QIF34" s="2"/>
      <c r="QIG34" s="2"/>
      <c r="QIH34" s="2"/>
      <c r="QII34" s="2"/>
      <c r="QIJ34" s="2"/>
      <c r="QIK34" s="2"/>
      <c r="QIL34" s="2"/>
      <c r="QIM34" s="2"/>
      <c r="QIN34" s="2"/>
      <c r="QIO34" s="2"/>
      <c r="QIP34" s="2"/>
      <c r="QIQ34" s="2"/>
      <c r="QIR34" s="2"/>
      <c r="QIS34" s="2"/>
      <c r="QIT34" s="2"/>
      <c r="QIU34" s="2"/>
      <c r="QIV34" s="2"/>
      <c r="QIW34" s="2"/>
      <c r="QIX34" s="2"/>
      <c r="QIY34" s="2"/>
      <c r="QIZ34" s="2"/>
      <c r="QJA34" s="2"/>
      <c r="QJB34" s="2"/>
      <c r="QJC34" s="2"/>
      <c r="QJD34" s="2"/>
      <c r="QJE34" s="2"/>
      <c r="QJF34" s="2"/>
      <c r="QJG34" s="2"/>
      <c r="QJH34" s="2"/>
      <c r="QJI34" s="2"/>
      <c r="QJJ34" s="2"/>
      <c r="QJK34" s="2"/>
      <c r="QJL34" s="2"/>
      <c r="QJM34" s="2"/>
      <c r="QJN34" s="2"/>
      <c r="QJO34" s="2"/>
      <c r="QJP34" s="2"/>
      <c r="QJQ34" s="2"/>
      <c r="QJR34" s="2"/>
      <c r="QJS34" s="2"/>
      <c r="QJT34" s="2"/>
      <c r="QJU34" s="2"/>
      <c r="QJV34" s="2"/>
      <c r="QJW34" s="2"/>
      <c r="QJX34" s="2"/>
      <c r="QJY34" s="2"/>
      <c r="QJZ34" s="2"/>
      <c r="QKA34" s="2"/>
      <c r="QKB34" s="2"/>
      <c r="QKC34" s="2"/>
      <c r="QKD34" s="2"/>
      <c r="QKE34" s="2"/>
      <c r="QKF34" s="2"/>
      <c r="QKG34" s="2"/>
      <c r="QKH34" s="2"/>
      <c r="QKI34" s="2"/>
      <c r="QKJ34" s="2"/>
      <c r="QKK34" s="2"/>
      <c r="QKL34" s="2"/>
      <c r="QKM34" s="2"/>
      <c r="QKN34" s="2"/>
      <c r="QKO34" s="2"/>
      <c r="QKP34" s="2"/>
      <c r="QKQ34" s="2"/>
      <c r="QKR34" s="2"/>
      <c r="QKS34" s="2"/>
      <c r="QKT34" s="2"/>
      <c r="QKU34" s="2"/>
      <c r="QKV34" s="2"/>
      <c r="QKW34" s="2"/>
      <c r="QKX34" s="2"/>
      <c r="QKY34" s="2"/>
      <c r="QKZ34" s="2"/>
      <c r="QLA34" s="2"/>
      <c r="QLB34" s="2"/>
      <c r="QLC34" s="2"/>
      <c r="QLD34" s="2"/>
      <c r="QLE34" s="2"/>
      <c r="QLF34" s="2"/>
      <c r="QLG34" s="2"/>
      <c r="QLH34" s="2"/>
      <c r="QLI34" s="2"/>
      <c r="QLJ34" s="2"/>
      <c r="QLK34" s="2"/>
      <c r="QLL34" s="2"/>
      <c r="QLM34" s="2"/>
      <c r="QLN34" s="2"/>
      <c r="QLO34" s="2"/>
      <c r="QLP34" s="2"/>
      <c r="QLQ34" s="2"/>
      <c r="QLR34" s="2"/>
      <c r="QLS34" s="2"/>
      <c r="QLT34" s="2"/>
      <c r="QLU34" s="2"/>
      <c r="QLV34" s="2"/>
      <c r="QLW34" s="2"/>
      <c r="QLX34" s="2"/>
      <c r="QLY34" s="2"/>
      <c r="QLZ34" s="2"/>
      <c r="QMA34" s="2"/>
      <c r="QMB34" s="2"/>
      <c r="QMC34" s="2"/>
      <c r="QMD34" s="2"/>
      <c r="QME34" s="2"/>
      <c r="QMF34" s="2"/>
      <c r="QMG34" s="2"/>
      <c r="QMH34" s="2"/>
      <c r="QMI34" s="2"/>
      <c r="QMJ34" s="2"/>
      <c r="QMK34" s="2"/>
      <c r="QML34" s="2"/>
      <c r="QMM34" s="2"/>
      <c r="QMN34" s="2"/>
      <c r="QMO34" s="2"/>
      <c r="QMP34" s="2"/>
      <c r="QMQ34" s="2"/>
      <c r="QMR34" s="2"/>
      <c r="QMS34" s="2"/>
      <c r="QMT34" s="2"/>
      <c r="QMU34" s="2"/>
      <c r="QMV34" s="2"/>
      <c r="QMW34" s="2"/>
      <c r="QMX34" s="2"/>
      <c r="QMY34" s="2"/>
      <c r="QMZ34" s="2"/>
      <c r="QNA34" s="2"/>
      <c r="QNB34" s="2"/>
      <c r="QNC34" s="2"/>
      <c r="QND34" s="2"/>
      <c r="QNE34" s="2"/>
      <c r="QNF34" s="2"/>
      <c r="QNG34" s="2"/>
      <c r="QNH34" s="2"/>
      <c r="QNI34" s="2"/>
      <c r="QNJ34" s="2"/>
      <c r="QNK34" s="2"/>
      <c r="QNL34" s="2"/>
      <c r="QNM34" s="2"/>
      <c r="QNN34" s="2"/>
      <c r="QNO34" s="2"/>
      <c r="QNP34" s="2"/>
      <c r="QNQ34" s="2"/>
      <c r="QNR34" s="2"/>
      <c r="QNS34" s="2"/>
      <c r="QNT34" s="2"/>
      <c r="QNU34" s="2"/>
      <c r="QNV34" s="2"/>
      <c r="QNW34" s="2"/>
      <c r="QNX34" s="2"/>
      <c r="QNY34" s="2"/>
      <c r="QNZ34" s="2"/>
      <c r="QOA34" s="2"/>
      <c r="QOB34" s="2"/>
      <c r="QOC34" s="2"/>
      <c r="QOD34" s="2"/>
      <c r="QOE34" s="2"/>
      <c r="QOF34" s="2"/>
      <c r="QOG34" s="2"/>
      <c r="QOH34" s="2"/>
      <c r="QOI34" s="2"/>
      <c r="QOJ34" s="2"/>
      <c r="QOK34" s="2"/>
      <c r="QOL34" s="2"/>
      <c r="QOM34" s="2"/>
      <c r="QON34" s="2"/>
      <c r="QOO34" s="2"/>
      <c r="QOP34" s="2"/>
      <c r="QOQ34" s="2"/>
      <c r="QOR34" s="2"/>
      <c r="QOS34" s="2"/>
      <c r="QOT34" s="2"/>
      <c r="QOU34" s="2"/>
      <c r="QOV34" s="2"/>
      <c r="QOW34" s="2"/>
      <c r="QOX34" s="2"/>
      <c r="QOY34" s="2"/>
      <c r="QOZ34" s="2"/>
      <c r="QPA34" s="2"/>
      <c r="QPB34" s="2"/>
      <c r="QPC34" s="2"/>
      <c r="QPD34" s="2"/>
      <c r="QPE34" s="2"/>
      <c r="QPF34" s="2"/>
      <c r="QPG34" s="2"/>
      <c r="QPH34" s="2"/>
      <c r="QPI34" s="2"/>
      <c r="QPJ34" s="2"/>
      <c r="QPK34" s="2"/>
      <c r="QPL34" s="2"/>
      <c r="QPM34" s="2"/>
      <c r="QPN34" s="2"/>
      <c r="QPO34" s="2"/>
      <c r="QPP34" s="2"/>
      <c r="QPQ34" s="2"/>
      <c r="QPR34" s="2"/>
      <c r="QPS34" s="2"/>
      <c r="QPT34" s="2"/>
      <c r="QPU34" s="2"/>
      <c r="QPV34" s="2"/>
      <c r="QPW34" s="2"/>
      <c r="QPX34" s="2"/>
      <c r="QPY34" s="2"/>
      <c r="QPZ34" s="2"/>
      <c r="QQA34" s="2"/>
      <c r="QQB34" s="2"/>
      <c r="QQC34" s="2"/>
      <c r="QQD34" s="2"/>
      <c r="QQE34" s="2"/>
      <c r="QQF34" s="2"/>
      <c r="QQG34" s="2"/>
      <c r="QQH34" s="2"/>
      <c r="QQI34" s="2"/>
      <c r="QQJ34" s="2"/>
      <c r="QQK34" s="2"/>
      <c r="QQL34" s="2"/>
      <c r="QQM34" s="2"/>
      <c r="QQN34" s="2"/>
      <c r="QQO34" s="2"/>
      <c r="QQP34" s="2"/>
      <c r="QQQ34" s="2"/>
      <c r="QQR34" s="2"/>
      <c r="QQS34" s="2"/>
      <c r="QQT34" s="2"/>
      <c r="QQU34" s="2"/>
      <c r="QQV34" s="2"/>
      <c r="QQW34" s="2"/>
      <c r="QQX34" s="2"/>
      <c r="QQY34" s="2"/>
      <c r="QQZ34" s="2"/>
      <c r="QRA34" s="2"/>
      <c r="QRB34" s="2"/>
      <c r="QRC34" s="2"/>
      <c r="QRD34" s="2"/>
      <c r="QRE34" s="2"/>
      <c r="QRF34" s="2"/>
      <c r="QRG34" s="2"/>
      <c r="QRH34" s="2"/>
      <c r="QRI34" s="2"/>
      <c r="QRJ34" s="2"/>
      <c r="QRK34" s="2"/>
      <c r="QRL34" s="2"/>
      <c r="QRM34" s="2"/>
      <c r="QRN34" s="2"/>
      <c r="QRO34" s="2"/>
      <c r="QRP34" s="2"/>
      <c r="QRQ34" s="2"/>
      <c r="QRR34" s="2"/>
      <c r="QRS34" s="2"/>
      <c r="QRT34" s="2"/>
      <c r="QRU34" s="2"/>
      <c r="QRV34" s="2"/>
      <c r="QRW34" s="2"/>
      <c r="QRX34" s="2"/>
      <c r="QRY34" s="2"/>
      <c r="QRZ34" s="2"/>
      <c r="QSA34" s="2"/>
      <c r="QSB34" s="2"/>
      <c r="QSC34" s="2"/>
      <c r="QSD34" s="2"/>
      <c r="QSE34" s="2"/>
      <c r="QSF34" s="2"/>
      <c r="QSG34" s="2"/>
      <c r="QSH34" s="2"/>
      <c r="QSI34" s="2"/>
      <c r="QSJ34" s="2"/>
      <c r="QSK34" s="2"/>
      <c r="QSL34" s="2"/>
      <c r="QSM34" s="2"/>
      <c r="QSN34" s="2"/>
      <c r="QSO34" s="2"/>
      <c r="QSP34" s="2"/>
      <c r="QSQ34" s="2"/>
      <c r="QSR34" s="2"/>
      <c r="QSS34" s="2"/>
      <c r="QST34" s="2"/>
      <c r="QSU34" s="2"/>
      <c r="QSV34" s="2"/>
      <c r="QSW34" s="2"/>
      <c r="QSX34" s="2"/>
      <c r="QSY34" s="2"/>
      <c r="QSZ34" s="2"/>
      <c r="QTA34" s="2"/>
      <c r="QTB34" s="2"/>
      <c r="QTC34" s="2"/>
      <c r="QTD34" s="2"/>
      <c r="QTE34" s="2"/>
      <c r="QTF34" s="2"/>
      <c r="QTG34" s="2"/>
      <c r="QTH34" s="2"/>
      <c r="QTI34" s="2"/>
      <c r="QTJ34" s="2"/>
      <c r="QTK34" s="2"/>
      <c r="QTL34" s="2"/>
      <c r="QTM34" s="2"/>
      <c r="QTN34" s="2"/>
      <c r="QTO34" s="2"/>
      <c r="QTP34" s="2"/>
      <c r="QTQ34" s="2"/>
      <c r="QTR34" s="2"/>
      <c r="QTS34" s="2"/>
      <c r="QTT34" s="2"/>
      <c r="QTU34" s="2"/>
      <c r="QTV34" s="2"/>
      <c r="QTW34" s="2"/>
      <c r="QTX34" s="2"/>
      <c r="QTY34" s="2"/>
      <c r="QTZ34" s="2"/>
      <c r="QUA34" s="2"/>
      <c r="QUB34" s="2"/>
      <c r="QUC34" s="2"/>
      <c r="QUD34" s="2"/>
      <c r="QUE34" s="2"/>
      <c r="QUF34" s="2"/>
      <c r="QUG34" s="2"/>
      <c r="QUH34" s="2"/>
      <c r="QUI34" s="2"/>
      <c r="QUJ34" s="2"/>
      <c r="QUK34" s="2"/>
      <c r="QUL34" s="2"/>
      <c r="QUM34" s="2"/>
      <c r="QUN34" s="2"/>
      <c r="QUO34" s="2"/>
      <c r="QUP34" s="2"/>
      <c r="QUQ34" s="2"/>
      <c r="QUR34" s="2"/>
      <c r="QUS34" s="2"/>
      <c r="QUT34" s="2"/>
      <c r="QUU34" s="2"/>
      <c r="QUV34" s="2"/>
      <c r="QUW34" s="2"/>
      <c r="QUX34" s="2"/>
      <c r="QUY34" s="2"/>
      <c r="QUZ34" s="2"/>
      <c r="QVA34" s="2"/>
      <c r="QVB34" s="2"/>
      <c r="QVC34" s="2"/>
      <c r="QVD34" s="2"/>
      <c r="QVE34" s="2"/>
      <c r="QVF34" s="2"/>
      <c r="QVG34" s="2"/>
      <c r="QVH34" s="2"/>
      <c r="QVI34" s="2"/>
      <c r="QVJ34" s="2"/>
      <c r="QVK34" s="2"/>
      <c r="QVL34" s="2"/>
      <c r="QVM34" s="2"/>
      <c r="QVN34" s="2"/>
      <c r="QVO34" s="2"/>
      <c r="QVP34" s="2"/>
      <c r="QVQ34" s="2"/>
      <c r="QVR34" s="2"/>
      <c r="QVS34" s="2"/>
      <c r="QVT34" s="2"/>
      <c r="QVU34" s="2"/>
      <c r="QVV34" s="2"/>
      <c r="QVW34" s="2"/>
      <c r="QVX34" s="2"/>
      <c r="QVY34" s="2"/>
      <c r="QVZ34" s="2"/>
      <c r="QWA34" s="2"/>
      <c r="QWB34" s="2"/>
      <c r="QWC34" s="2"/>
      <c r="QWD34" s="2"/>
      <c r="QWE34" s="2"/>
      <c r="QWF34" s="2"/>
      <c r="QWG34" s="2"/>
      <c r="QWH34" s="2"/>
      <c r="QWI34" s="2"/>
      <c r="QWJ34" s="2"/>
      <c r="QWK34" s="2"/>
      <c r="QWL34" s="2"/>
      <c r="QWM34" s="2"/>
      <c r="QWN34" s="2"/>
      <c r="QWO34" s="2"/>
      <c r="QWP34" s="2"/>
      <c r="QWQ34" s="2"/>
      <c r="QWR34" s="2"/>
      <c r="QWS34" s="2"/>
      <c r="QWT34" s="2"/>
      <c r="QWU34" s="2"/>
      <c r="QWV34" s="2"/>
      <c r="QWW34" s="2"/>
      <c r="QWX34" s="2"/>
      <c r="QWY34" s="2"/>
      <c r="QWZ34" s="2"/>
      <c r="QXA34" s="2"/>
      <c r="QXB34" s="2"/>
      <c r="QXC34" s="2"/>
      <c r="QXD34" s="2"/>
      <c r="QXE34" s="2"/>
      <c r="QXF34" s="2"/>
      <c r="QXG34" s="2"/>
      <c r="QXH34" s="2"/>
      <c r="QXI34" s="2"/>
      <c r="QXJ34" s="2"/>
      <c r="QXK34" s="2"/>
      <c r="QXL34" s="2"/>
      <c r="QXM34" s="2"/>
      <c r="QXN34" s="2"/>
      <c r="QXO34" s="2"/>
      <c r="QXP34" s="2"/>
      <c r="QXQ34" s="2"/>
      <c r="QXR34" s="2"/>
      <c r="QXS34" s="2"/>
      <c r="QXT34" s="2"/>
      <c r="QXU34" s="2"/>
      <c r="QXV34" s="2"/>
      <c r="QXW34" s="2"/>
      <c r="QXX34" s="2"/>
      <c r="QXY34" s="2"/>
      <c r="QXZ34" s="2"/>
      <c r="QYA34" s="2"/>
      <c r="QYB34" s="2"/>
      <c r="QYC34" s="2"/>
      <c r="QYD34" s="2"/>
      <c r="QYE34" s="2"/>
      <c r="QYF34" s="2"/>
      <c r="QYG34" s="2"/>
      <c r="QYH34" s="2"/>
      <c r="QYI34" s="2"/>
      <c r="QYJ34" s="2"/>
      <c r="QYK34" s="2"/>
      <c r="QYL34" s="2"/>
      <c r="QYM34" s="2"/>
      <c r="QYN34" s="2"/>
      <c r="QYO34" s="2"/>
      <c r="QYP34" s="2"/>
      <c r="QYQ34" s="2"/>
      <c r="QYR34" s="2"/>
      <c r="QYS34" s="2"/>
      <c r="QYT34" s="2"/>
      <c r="QYU34" s="2"/>
      <c r="QYV34" s="2"/>
      <c r="QYW34" s="2"/>
      <c r="QYX34" s="2"/>
      <c r="QYY34" s="2"/>
      <c r="QYZ34" s="2"/>
      <c r="QZA34" s="2"/>
      <c r="QZB34" s="2"/>
      <c r="QZC34" s="2"/>
      <c r="QZD34" s="2"/>
      <c r="QZE34" s="2"/>
      <c r="QZF34" s="2"/>
      <c r="QZG34" s="2"/>
      <c r="QZH34" s="2"/>
      <c r="QZI34" s="2"/>
      <c r="QZJ34" s="2"/>
      <c r="QZK34" s="2"/>
      <c r="QZL34" s="2"/>
      <c r="QZM34" s="2"/>
      <c r="QZN34" s="2"/>
      <c r="QZO34" s="2"/>
      <c r="QZP34" s="2"/>
      <c r="QZQ34" s="2"/>
      <c r="QZR34" s="2"/>
      <c r="QZS34" s="2"/>
      <c r="QZT34" s="2"/>
      <c r="QZU34" s="2"/>
      <c r="QZV34" s="2"/>
      <c r="QZW34" s="2"/>
      <c r="QZX34" s="2"/>
      <c r="QZY34" s="2"/>
      <c r="QZZ34" s="2"/>
      <c r="RAA34" s="2"/>
      <c r="RAB34" s="2"/>
      <c r="RAC34" s="2"/>
      <c r="RAD34" s="2"/>
      <c r="RAE34" s="2"/>
      <c r="RAF34" s="2"/>
      <c r="RAG34" s="2"/>
      <c r="RAH34" s="2"/>
      <c r="RAI34" s="2"/>
      <c r="RAJ34" s="2"/>
      <c r="RAK34" s="2"/>
      <c r="RAL34" s="2"/>
      <c r="RAM34" s="2"/>
      <c r="RAN34" s="2"/>
      <c r="RAO34" s="2"/>
      <c r="RAP34" s="2"/>
      <c r="RAQ34" s="2"/>
      <c r="RAR34" s="2"/>
      <c r="RAS34" s="2"/>
      <c r="RAT34" s="2"/>
      <c r="RAU34" s="2"/>
      <c r="RAV34" s="2"/>
      <c r="RAW34" s="2"/>
      <c r="RAX34" s="2"/>
      <c r="RAY34" s="2"/>
      <c r="RAZ34" s="2"/>
      <c r="RBA34" s="2"/>
      <c r="RBB34" s="2"/>
      <c r="RBC34" s="2"/>
      <c r="RBD34" s="2"/>
      <c r="RBE34" s="2"/>
      <c r="RBF34" s="2"/>
      <c r="RBG34" s="2"/>
      <c r="RBH34" s="2"/>
      <c r="RBI34" s="2"/>
      <c r="RBJ34" s="2"/>
      <c r="RBK34" s="2"/>
      <c r="RBL34" s="2"/>
      <c r="RBM34" s="2"/>
      <c r="RBN34" s="2"/>
      <c r="RBO34" s="2"/>
      <c r="RBP34" s="2"/>
      <c r="RBQ34" s="2"/>
      <c r="RBR34" s="2"/>
      <c r="RBS34" s="2"/>
      <c r="RBT34" s="2"/>
      <c r="RBU34" s="2"/>
      <c r="RBV34" s="2"/>
      <c r="RBW34" s="2"/>
      <c r="RBX34" s="2"/>
      <c r="RBY34" s="2"/>
      <c r="RBZ34" s="2"/>
      <c r="RCA34" s="2"/>
      <c r="RCB34" s="2"/>
      <c r="RCC34" s="2"/>
      <c r="RCD34" s="2"/>
      <c r="RCE34" s="2"/>
      <c r="RCF34" s="2"/>
      <c r="RCG34" s="2"/>
      <c r="RCH34" s="2"/>
      <c r="RCI34" s="2"/>
      <c r="RCJ34" s="2"/>
      <c r="RCK34" s="2"/>
      <c r="RCL34" s="2"/>
      <c r="RCM34" s="2"/>
      <c r="RCN34" s="2"/>
      <c r="RCO34" s="2"/>
      <c r="RCP34" s="2"/>
      <c r="RCQ34" s="2"/>
      <c r="RCR34" s="2"/>
      <c r="RCS34" s="2"/>
      <c r="RCT34" s="2"/>
      <c r="RCU34" s="2"/>
      <c r="RCV34" s="2"/>
      <c r="RCW34" s="2"/>
      <c r="RCX34" s="2"/>
      <c r="RCY34" s="2"/>
      <c r="RCZ34" s="2"/>
      <c r="RDA34" s="2"/>
      <c r="RDB34" s="2"/>
      <c r="RDC34" s="2"/>
      <c r="RDD34" s="2"/>
      <c r="RDE34" s="2"/>
      <c r="RDF34" s="2"/>
      <c r="RDG34" s="2"/>
      <c r="RDH34" s="2"/>
      <c r="RDI34" s="2"/>
      <c r="RDJ34" s="2"/>
      <c r="RDK34" s="2"/>
      <c r="RDL34" s="2"/>
      <c r="RDM34" s="2"/>
      <c r="RDN34" s="2"/>
      <c r="RDO34" s="2"/>
      <c r="RDP34" s="2"/>
      <c r="RDQ34" s="2"/>
      <c r="RDR34" s="2"/>
      <c r="RDS34" s="2"/>
      <c r="RDT34" s="2"/>
      <c r="RDU34" s="2"/>
      <c r="RDV34" s="2"/>
      <c r="RDW34" s="2"/>
      <c r="RDX34" s="2"/>
      <c r="RDY34" s="2"/>
      <c r="RDZ34" s="2"/>
      <c r="REA34" s="2"/>
      <c r="REB34" s="2"/>
      <c r="REC34" s="2"/>
      <c r="RED34" s="2"/>
      <c r="REE34" s="2"/>
      <c r="REF34" s="2"/>
      <c r="REG34" s="2"/>
      <c r="REH34" s="2"/>
      <c r="REI34" s="2"/>
      <c r="REJ34" s="2"/>
      <c r="REK34" s="2"/>
      <c r="REL34" s="2"/>
      <c r="REM34" s="2"/>
      <c r="REN34" s="2"/>
      <c r="REO34" s="2"/>
      <c r="REP34" s="2"/>
      <c r="REQ34" s="2"/>
      <c r="RER34" s="2"/>
      <c r="RES34" s="2"/>
      <c r="RET34" s="2"/>
      <c r="REU34" s="2"/>
      <c r="REV34" s="2"/>
      <c r="REW34" s="2"/>
      <c r="REX34" s="2"/>
      <c r="REY34" s="2"/>
      <c r="REZ34" s="2"/>
      <c r="RFA34" s="2"/>
      <c r="RFB34" s="2"/>
      <c r="RFC34" s="2"/>
      <c r="RFD34" s="2"/>
      <c r="RFE34" s="2"/>
      <c r="RFF34" s="2"/>
      <c r="RFG34" s="2"/>
      <c r="RFH34" s="2"/>
      <c r="RFI34" s="2"/>
      <c r="RFJ34" s="2"/>
      <c r="RFK34" s="2"/>
      <c r="RFL34" s="2"/>
      <c r="RFM34" s="2"/>
      <c r="RFN34" s="2"/>
      <c r="RFO34" s="2"/>
      <c r="RFP34" s="2"/>
      <c r="RFQ34" s="2"/>
      <c r="RFR34" s="2"/>
      <c r="RFS34" s="2"/>
      <c r="RFT34" s="2"/>
      <c r="RFU34" s="2"/>
      <c r="RFV34" s="2"/>
      <c r="RFW34" s="2"/>
      <c r="RFX34" s="2"/>
      <c r="RFY34" s="2"/>
      <c r="RFZ34" s="2"/>
      <c r="RGA34" s="2"/>
      <c r="RGB34" s="2"/>
      <c r="RGC34" s="2"/>
      <c r="RGD34" s="2"/>
      <c r="RGE34" s="2"/>
      <c r="RGF34" s="2"/>
      <c r="RGG34" s="2"/>
      <c r="RGH34" s="2"/>
      <c r="RGI34" s="2"/>
      <c r="RGJ34" s="2"/>
      <c r="RGK34" s="2"/>
      <c r="RGL34" s="2"/>
      <c r="RGM34" s="2"/>
      <c r="RGN34" s="2"/>
      <c r="RGO34" s="2"/>
      <c r="RGP34" s="2"/>
      <c r="RGQ34" s="2"/>
      <c r="RGR34" s="2"/>
      <c r="RGS34" s="2"/>
      <c r="RGT34" s="2"/>
      <c r="RGU34" s="2"/>
      <c r="RGV34" s="2"/>
      <c r="RGW34" s="2"/>
      <c r="RGX34" s="2"/>
      <c r="RGY34" s="2"/>
      <c r="RGZ34" s="2"/>
      <c r="RHA34" s="2"/>
      <c r="RHB34" s="2"/>
      <c r="RHC34" s="2"/>
      <c r="RHD34" s="2"/>
      <c r="RHE34" s="2"/>
      <c r="RHF34" s="2"/>
      <c r="RHG34" s="2"/>
      <c r="RHH34" s="2"/>
      <c r="RHI34" s="2"/>
      <c r="RHJ34" s="2"/>
      <c r="RHK34" s="2"/>
      <c r="RHL34" s="2"/>
      <c r="RHM34" s="2"/>
      <c r="RHN34" s="2"/>
      <c r="RHO34" s="2"/>
      <c r="RHP34" s="2"/>
      <c r="RHQ34" s="2"/>
      <c r="RHR34" s="2"/>
      <c r="RHS34" s="2"/>
      <c r="RHT34" s="2"/>
      <c r="RHU34" s="2"/>
      <c r="RHV34" s="2"/>
      <c r="RHW34" s="2"/>
      <c r="RHX34" s="2"/>
      <c r="RHY34" s="2"/>
      <c r="RHZ34" s="2"/>
      <c r="RIA34" s="2"/>
      <c r="RIB34" s="2"/>
      <c r="RIC34" s="2"/>
      <c r="RID34" s="2"/>
      <c r="RIE34" s="2"/>
      <c r="RIF34" s="2"/>
      <c r="RIG34" s="2"/>
      <c r="RIH34" s="2"/>
      <c r="RII34" s="2"/>
      <c r="RIJ34" s="2"/>
      <c r="RIK34" s="2"/>
      <c r="RIL34" s="2"/>
      <c r="RIM34" s="2"/>
      <c r="RIN34" s="2"/>
      <c r="RIO34" s="2"/>
      <c r="RIP34" s="2"/>
      <c r="RIQ34" s="2"/>
      <c r="RIR34" s="2"/>
      <c r="RIS34" s="2"/>
      <c r="RIT34" s="2"/>
      <c r="RIU34" s="2"/>
      <c r="RIV34" s="2"/>
      <c r="RIW34" s="2"/>
      <c r="RIX34" s="2"/>
      <c r="RIY34" s="2"/>
      <c r="RIZ34" s="2"/>
      <c r="RJA34" s="2"/>
      <c r="RJB34" s="2"/>
      <c r="RJC34" s="2"/>
      <c r="RJD34" s="2"/>
      <c r="RJE34" s="2"/>
      <c r="RJF34" s="2"/>
      <c r="RJG34" s="2"/>
      <c r="RJH34" s="2"/>
      <c r="RJI34" s="2"/>
      <c r="RJJ34" s="2"/>
      <c r="RJK34" s="2"/>
      <c r="RJL34" s="2"/>
      <c r="RJM34" s="2"/>
      <c r="RJN34" s="2"/>
      <c r="RJO34" s="2"/>
      <c r="RJP34" s="2"/>
      <c r="RJQ34" s="2"/>
      <c r="RJR34" s="2"/>
      <c r="RJS34" s="2"/>
      <c r="RJT34" s="2"/>
      <c r="RJU34" s="2"/>
      <c r="RJV34" s="2"/>
      <c r="RJW34" s="2"/>
      <c r="RJX34" s="2"/>
      <c r="RJY34" s="2"/>
      <c r="RJZ34" s="2"/>
      <c r="RKA34" s="2"/>
      <c r="RKB34" s="2"/>
      <c r="RKC34" s="2"/>
      <c r="RKD34" s="2"/>
      <c r="RKE34" s="2"/>
      <c r="RKF34" s="2"/>
      <c r="RKG34" s="2"/>
      <c r="RKH34" s="2"/>
      <c r="RKI34" s="2"/>
      <c r="RKJ34" s="2"/>
      <c r="RKK34" s="2"/>
      <c r="RKL34" s="2"/>
      <c r="RKM34" s="2"/>
      <c r="RKN34" s="2"/>
      <c r="RKO34" s="2"/>
      <c r="RKP34" s="2"/>
      <c r="RKQ34" s="2"/>
      <c r="RKR34" s="2"/>
      <c r="RKS34" s="2"/>
      <c r="RKT34" s="2"/>
      <c r="RKU34" s="2"/>
      <c r="RKV34" s="2"/>
      <c r="RKW34" s="2"/>
      <c r="RKX34" s="2"/>
      <c r="RKY34" s="2"/>
      <c r="RKZ34" s="2"/>
      <c r="RLA34" s="2"/>
      <c r="RLB34" s="2"/>
      <c r="RLC34" s="2"/>
      <c r="RLD34" s="2"/>
      <c r="RLE34" s="2"/>
      <c r="RLF34" s="2"/>
      <c r="RLG34" s="2"/>
      <c r="RLH34" s="2"/>
      <c r="RLI34" s="2"/>
      <c r="RLJ34" s="2"/>
      <c r="RLK34" s="2"/>
      <c r="RLL34" s="2"/>
      <c r="RLM34" s="2"/>
      <c r="RLN34" s="2"/>
      <c r="RLO34" s="2"/>
      <c r="RLP34" s="2"/>
      <c r="RLQ34" s="2"/>
      <c r="RLR34" s="2"/>
      <c r="RLS34" s="2"/>
      <c r="RLT34" s="2"/>
      <c r="RLU34" s="2"/>
      <c r="RLV34" s="2"/>
      <c r="RLW34" s="2"/>
      <c r="RLX34" s="2"/>
      <c r="RLY34" s="2"/>
      <c r="RLZ34" s="2"/>
      <c r="RMA34" s="2"/>
      <c r="RMB34" s="2"/>
      <c r="RMC34" s="2"/>
      <c r="RMD34" s="2"/>
      <c r="RME34" s="2"/>
      <c r="RMF34" s="2"/>
      <c r="RMG34" s="2"/>
      <c r="RMH34" s="2"/>
      <c r="RMI34" s="2"/>
      <c r="RMJ34" s="2"/>
      <c r="RMK34" s="2"/>
      <c r="RML34" s="2"/>
      <c r="RMM34" s="2"/>
      <c r="RMN34" s="2"/>
      <c r="RMO34" s="2"/>
      <c r="RMP34" s="2"/>
      <c r="RMQ34" s="2"/>
      <c r="RMR34" s="2"/>
      <c r="RMS34" s="2"/>
      <c r="RMT34" s="2"/>
      <c r="RMU34" s="2"/>
      <c r="RMV34" s="2"/>
      <c r="RMW34" s="2"/>
      <c r="RMX34" s="2"/>
      <c r="RMY34" s="2"/>
      <c r="RMZ34" s="2"/>
      <c r="RNA34" s="2"/>
      <c r="RNB34" s="2"/>
      <c r="RNC34" s="2"/>
      <c r="RND34" s="2"/>
      <c r="RNE34" s="2"/>
      <c r="RNF34" s="2"/>
      <c r="RNG34" s="2"/>
      <c r="RNH34" s="2"/>
      <c r="RNI34" s="2"/>
      <c r="RNJ34" s="2"/>
      <c r="RNK34" s="2"/>
      <c r="RNL34" s="2"/>
      <c r="RNM34" s="2"/>
      <c r="RNN34" s="2"/>
      <c r="RNO34" s="2"/>
      <c r="RNP34" s="2"/>
      <c r="RNQ34" s="2"/>
      <c r="RNR34" s="2"/>
      <c r="RNS34" s="2"/>
      <c r="RNT34" s="2"/>
      <c r="RNU34" s="2"/>
      <c r="RNV34" s="2"/>
      <c r="RNW34" s="2"/>
      <c r="RNX34" s="2"/>
      <c r="RNY34" s="2"/>
      <c r="RNZ34" s="2"/>
      <c r="ROA34" s="2"/>
      <c r="ROB34" s="2"/>
      <c r="ROC34" s="2"/>
      <c r="ROD34" s="2"/>
      <c r="ROE34" s="2"/>
      <c r="ROF34" s="2"/>
      <c r="ROG34" s="2"/>
      <c r="ROH34" s="2"/>
      <c r="ROI34" s="2"/>
      <c r="ROJ34" s="2"/>
      <c r="ROK34" s="2"/>
      <c r="ROL34" s="2"/>
      <c r="ROM34" s="2"/>
      <c r="RON34" s="2"/>
      <c r="ROO34" s="2"/>
      <c r="ROP34" s="2"/>
      <c r="ROQ34" s="2"/>
      <c r="ROR34" s="2"/>
      <c r="ROS34" s="2"/>
      <c r="ROT34" s="2"/>
      <c r="ROU34" s="2"/>
      <c r="ROV34" s="2"/>
      <c r="ROW34" s="2"/>
      <c r="ROX34" s="2"/>
      <c r="ROY34" s="2"/>
      <c r="ROZ34" s="2"/>
      <c r="RPA34" s="2"/>
      <c r="RPB34" s="2"/>
      <c r="RPC34" s="2"/>
      <c r="RPD34" s="2"/>
      <c r="RPE34" s="2"/>
      <c r="RPF34" s="2"/>
      <c r="RPG34" s="2"/>
      <c r="RPH34" s="2"/>
      <c r="RPI34" s="2"/>
      <c r="RPJ34" s="2"/>
      <c r="RPK34" s="2"/>
      <c r="RPL34" s="2"/>
      <c r="RPM34" s="2"/>
      <c r="RPN34" s="2"/>
      <c r="RPO34" s="2"/>
      <c r="RPP34" s="2"/>
      <c r="RPQ34" s="2"/>
      <c r="RPR34" s="2"/>
      <c r="RPS34" s="2"/>
      <c r="RPT34" s="2"/>
      <c r="RPU34" s="2"/>
      <c r="RPV34" s="2"/>
      <c r="RPW34" s="2"/>
      <c r="RPX34" s="2"/>
      <c r="RPY34" s="2"/>
      <c r="RPZ34" s="2"/>
      <c r="RQA34" s="2"/>
      <c r="RQB34" s="2"/>
      <c r="RQC34" s="2"/>
      <c r="RQD34" s="2"/>
      <c r="RQE34" s="2"/>
      <c r="RQF34" s="2"/>
      <c r="RQG34" s="2"/>
      <c r="RQH34" s="2"/>
      <c r="RQI34" s="2"/>
      <c r="RQJ34" s="2"/>
      <c r="RQK34" s="2"/>
      <c r="RQL34" s="2"/>
      <c r="RQM34" s="2"/>
      <c r="RQN34" s="2"/>
      <c r="RQO34" s="2"/>
      <c r="RQP34" s="2"/>
      <c r="RQQ34" s="2"/>
      <c r="RQR34" s="2"/>
      <c r="RQS34" s="2"/>
      <c r="RQT34" s="2"/>
      <c r="RQU34" s="2"/>
      <c r="RQV34" s="2"/>
      <c r="RQW34" s="2"/>
      <c r="RQX34" s="2"/>
      <c r="RQY34" s="2"/>
      <c r="RQZ34" s="2"/>
      <c r="RRA34" s="2"/>
      <c r="RRB34" s="2"/>
      <c r="RRC34" s="2"/>
      <c r="RRD34" s="2"/>
      <c r="RRE34" s="2"/>
      <c r="RRF34" s="2"/>
      <c r="RRG34" s="2"/>
      <c r="RRH34" s="2"/>
      <c r="RRI34" s="2"/>
      <c r="RRJ34" s="2"/>
      <c r="RRK34" s="2"/>
      <c r="RRL34" s="2"/>
      <c r="RRM34" s="2"/>
      <c r="RRN34" s="2"/>
      <c r="RRO34" s="2"/>
      <c r="RRP34" s="2"/>
      <c r="RRQ34" s="2"/>
      <c r="RRR34" s="2"/>
      <c r="RRS34" s="2"/>
      <c r="RRT34" s="2"/>
      <c r="RRU34" s="2"/>
      <c r="RRV34" s="2"/>
      <c r="RRW34" s="2"/>
      <c r="RRX34" s="2"/>
      <c r="RRY34" s="2"/>
      <c r="RRZ34" s="2"/>
      <c r="RSA34" s="2"/>
      <c r="RSB34" s="2"/>
      <c r="RSC34" s="2"/>
      <c r="RSD34" s="2"/>
      <c r="RSE34" s="2"/>
      <c r="RSF34" s="2"/>
      <c r="RSG34" s="2"/>
      <c r="RSH34" s="2"/>
      <c r="RSI34" s="2"/>
      <c r="RSJ34" s="2"/>
      <c r="RSK34" s="2"/>
      <c r="RSL34" s="2"/>
      <c r="RSM34" s="2"/>
      <c r="RSN34" s="2"/>
      <c r="RSO34" s="2"/>
      <c r="RSP34" s="2"/>
      <c r="RSQ34" s="2"/>
      <c r="RSR34" s="2"/>
      <c r="RSS34" s="2"/>
      <c r="RST34" s="2"/>
      <c r="RSU34" s="2"/>
      <c r="RSV34" s="2"/>
      <c r="RSW34" s="2"/>
      <c r="RSX34" s="2"/>
      <c r="RSY34" s="2"/>
      <c r="RSZ34" s="2"/>
      <c r="RTA34" s="2"/>
      <c r="RTB34" s="2"/>
      <c r="RTC34" s="2"/>
      <c r="RTD34" s="2"/>
      <c r="RTE34" s="2"/>
      <c r="RTF34" s="2"/>
      <c r="RTG34" s="2"/>
      <c r="RTH34" s="2"/>
      <c r="RTI34" s="2"/>
      <c r="RTJ34" s="2"/>
      <c r="RTK34" s="2"/>
      <c r="RTL34" s="2"/>
      <c r="RTM34" s="2"/>
      <c r="RTN34" s="2"/>
      <c r="RTO34" s="2"/>
      <c r="RTP34" s="2"/>
      <c r="RTQ34" s="2"/>
      <c r="RTR34" s="2"/>
      <c r="RTS34" s="2"/>
      <c r="RTT34" s="2"/>
      <c r="RTU34" s="2"/>
      <c r="RTV34" s="2"/>
      <c r="RTW34" s="2"/>
      <c r="RTX34" s="2"/>
      <c r="RTY34" s="2"/>
      <c r="RTZ34" s="2"/>
      <c r="RUA34" s="2"/>
      <c r="RUB34" s="2"/>
      <c r="RUC34" s="2"/>
      <c r="RUD34" s="2"/>
      <c r="RUE34" s="2"/>
      <c r="RUF34" s="2"/>
      <c r="RUG34" s="2"/>
      <c r="RUH34" s="2"/>
      <c r="RUI34" s="2"/>
      <c r="RUJ34" s="2"/>
      <c r="RUK34" s="2"/>
      <c r="RUL34" s="2"/>
      <c r="RUM34" s="2"/>
      <c r="RUN34" s="2"/>
      <c r="RUO34" s="2"/>
      <c r="RUP34" s="2"/>
      <c r="RUQ34" s="2"/>
      <c r="RUR34" s="2"/>
      <c r="RUS34" s="2"/>
      <c r="RUT34" s="2"/>
      <c r="RUU34" s="2"/>
      <c r="RUV34" s="2"/>
      <c r="RUW34" s="2"/>
      <c r="RUX34" s="2"/>
      <c r="RUY34" s="2"/>
      <c r="RUZ34" s="2"/>
      <c r="RVA34" s="2"/>
      <c r="RVB34" s="2"/>
      <c r="RVC34" s="2"/>
      <c r="RVD34" s="2"/>
      <c r="RVE34" s="2"/>
      <c r="RVF34" s="2"/>
      <c r="RVG34" s="2"/>
      <c r="RVH34" s="2"/>
      <c r="RVI34" s="2"/>
      <c r="RVJ34" s="2"/>
      <c r="RVK34" s="2"/>
      <c r="RVL34" s="2"/>
      <c r="RVM34" s="2"/>
      <c r="RVN34" s="2"/>
      <c r="RVO34" s="2"/>
      <c r="RVP34" s="2"/>
      <c r="RVQ34" s="2"/>
      <c r="RVR34" s="2"/>
      <c r="RVS34" s="2"/>
      <c r="RVT34" s="2"/>
      <c r="RVU34" s="2"/>
      <c r="RVV34" s="2"/>
      <c r="RVW34" s="2"/>
      <c r="RVX34" s="2"/>
      <c r="RVY34" s="2"/>
      <c r="RVZ34" s="2"/>
      <c r="RWA34" s="2"/>
      <c r="RWB34" s="2"/>
      <c r="RWC34" s="2"/>
      <c r="RWD34" s="2"/>
      <c r="RWE34" s="2"/>
      <c r="RWF34" s="2"/>
      <c r="RWG34" s="2"/>
      <c r="RWH34" s="2"/>
      <c r="RWI34" s="2"/>
      <c r="RWJ34" s="2"/>
      <c r="RWK34" s="2"/>
      <c r="RWL34" s="2"/>
      <c r="RWM34" s="2"/>
      <c r="RWN34" s="2"/>
      <c r="RWO34" s="2"/>
      <c r="RWP34" s="2"/>
      <c r="RWQ34" s="2"/>
      <c r="RWR34" s="2"/>
      <c r="RWS34" s="2"/>
      <c r="RWT34" s="2"/>
      <c r="RWU34" s="2"/>
      <c r="RWV34" s="2"/>
      <c r="RWW34" s="2"/>
      <c r="RWX34" s="2"/>
      <c r="RWY34" s="2"/>
      <c r="RWZ34" s="2"/>
      <c r="RXA34" s="2"/>
      <c r="RXB34" s="2"/>
      <c r="RXC34" s="2"/>
      <c r="RXD34" s="2"/>
      <c r="RXE34" s="2"/>
      <c r="RXF34" s="2"/>
      <c r="RXG34" s="2"/>
      <c r="RXH34" s="2"/>
      <c r="RXI34" s="2"/>
      <c r="RXJ34" s="2"/>
      <c r="RXK34" s="2"/>
      <c r="RXL34" s="2"/>
      <c r="RXM34" s="2"/>
      <c r="RXN34" s="2"/>
      <c r="RXO34" s="2"/>
      <c r="RXP34" s="2"/>
      <c r="RXQ34" s="2"/>
      <c r="RXR34" s="2"/>
      <c r="RXS34" s="2"/>
      <c r="RXT34" s="2"/>
      <c r="RXU34" s="2"/>
      <c r="RXV34" s="2"/>
      <c r="RXW34" s="2"/>
      <c r="RXX34" s="2"/>
      <c r="RXY34" s="2"/>
      <c r="RXZ34" s="2"/>
      <c r="RYA34" s="2"/>
      <c r="RYB34" s="2"/>
      <c r="RYC34" s="2"/>
      <c r="RYD34" s="2"/>
      <c r="RYE34" s="2"/>
      <c r="RYF34" s="2"/>
      <c r="RYG34" s="2"/>
      <c r="RYH34" s="2"/>
      <c r="RYI34" s="2"/>
      <c r="RYJ34" s="2"/>
      <c r="RYK34" s="2"/>
      <c r="RYL34" s="2"/>
      <c r="RYM34" s="2"/>
      <c r="RYN34" s="2"/>
      <c r="RYO34" s="2"/>
      <c r="RYP34" s="2"/>
      <c r="RYQ34" s="2"/>
      <c r="RYR34" s="2"/>
      <c r="RYS34" s="2"/>
      <c r="RYT34" s="2"/>
      <c r="RYU34" s="2"/>
      <c r="RYV34" s="2"/>
      <c r="RYW34" s="2"/>
      <c r="RYX34" s="2"/>
      <c r="RYY34" s="2"/>
      <c r="RYZ34" s="2"/>
      <c r="RZA34" s="2"/>
      <c r="RZB34" s="2"/>
      <c r="RZC34" s="2"/>
      <c r="RZD34" s="2"/>
      <c r="RZE34" s="2"/>
      <c r="RZF34" s="2"/>
      <c r="RZG34" s="2"/>
      <c r="RZH34" s="2"/>
      <c r="RZI34" s="2"/>
      <c r="RZJ34" s="2"/>
      <c r="RZK34" s="2"/>
      <c r="RZL34" s="2"/>
      <c r="RZM34" s="2"/>
      <c r="RZN34" s="2"/>
      <c r="RZO34" s="2"/>
      <c r="RZP34" s="2"/>
      <c r="RZQ34" s="2"/>
      <c r="RZR34" s="2"/>
      <c r="RZS34" s="2"/>
      <c r="RZT34" s="2"/>
      <c r="RZU34" s="2"/>
      <c r="RZV34" s="2"/>
      <c r="RZW34" s="2"/>
      <c r="RZX34" s="2"/>
      <c r="RZY34" s="2"/>
      <c r="RZZ34" s="2"/>
      <c r="SAA34" s="2"/>
      <c r="SAB34" s="2"/>
      <c r="SAC34" s="2"/>
      <c r="SAD34" s="2"/>
      <c r="SAE34" s="2"/>
      <c r="SAF34" s="2"/>
      <c r="SAG34" s="2"/>
      <c r="SAH34" s="2"/>
      <c r="SAI34" s="2"/>
      <c r="SAJ34" s="2"/>
      <c r="SAK34" s="2"/>
      <c r="SAL34" s="2"/>
      <c r="SAM34" s="2"/>
      <c r="SAN34" s="2"/>
      <c r="SAO34" s="2"/>
      <c r="SAP34" s="2"/>
      <c r="SAQ34" s="2"/>
      <c r="SAR34" s="2"/>
      <c r="SAS34" s="2"/>
      <c r="SAT34" s="2"/>
      <c r="SAU34" s="2"/>
      <c r="SAV34" s="2"/>
      <c r="SAW34" s="2"/>
      <c r="SAX34" s="2"/>
      <c r="SAY34" s="2"/>
      <c r="SAZ34" s="2"/>
      <c r="SBA34" s="2"/>
      <c r="SBB34" s="2"/>
      <c r="SBC34" s="2"/>
      <c r="SBD34" s="2"/>
      <c r="SBE34" s="2"/>
      <c r="SBF34" s="2"/>
      <c r="SBG34" s="2"/>
      <c r="SBH34" s="2"/>
      <c r="SBI34" s="2"/>
      <c r="SBJ34" s="2"/>
      <c r="SBK34" s="2"/>
      <c r="SBL34" s="2"/>
      <c r="SBM34" s="2"/>
      <c r="SBN34" s="2"/>
      <c r="SBO34" s="2"/>
      <c r="SBP34" s="2"/>
      <c r="SBQ34" s="2"/>
      <c r="SBR34" s="2"/>
      <c r="SBS34" s="2"/>
      <c r="SBT34" s="2"/>
      <c r="SBU34" s="2"/>
      <c r="SBV34" s="2"/>
      <c r="SBW34" s="2"/>
      <c r="SBX34" s="2"/>
      <c r="SBY34" s="2"/>
      <c r="SBZ34" s="2"/>
      <c r="SCA34" s="2"/>
      <c r="SCB34" s="2"/>
      <c r="SCC34" s="2"/>
      <c r="SCD34" s="2"/>
      <c r="SCE34" s="2"/>
      <c r="SCF34" s="2"/>
      <c r="SCG34" s="2"/>
      <c r="SCH34" s="2"/>
      <c r="SCI34" s="2"/>
      <c r="SCJ34" s="2"/>
      <c r="SCK34" s="2"/>
      <c r="SCL34" s="2"/>
      <c r="SCM34" s="2"/>
      <c r="SCN34" s="2"/>
      <c r="SCO34" s="2"/>
      <c r="SCP34" s="2"/>
      <c r="SCQ34" s="2"/>
      <c r="SCR34" s="2"/>
      <c r="SCS34" s="2"/>
      <c r="SCT34" s="2"/>
      <c r="SCU34" s="2"/>
      <c r="SCV34" s="2"/>
      <c r="SCW34" s="2"/>
      <c r="SCX34" s="2"/>
      <c r="SCY34" s="2"/>
      <c r="SCZ34" s="2"/>
      <c r="SDA34" s="2"/>
      <c r="SDB34" s="2"/>
      <c r="SDC34" s="2"/>
      <c r="SDD34" s="2"/>
      <c r="SDE34" s="2"/>
      <c r="SDF34" s="2"/>
      <c r="SDG34" s="2"/>
      <c r="SDH34" s="2"/>
      <c r="SDI34" s="2"/>
      <c r="SDJ34" s="2"/>
      <c r="SDK34" s="2"/>
      <c r="SDL34" s="2"/>
      <c r="SDM34" s="2"/>
      <c r="SDN34" s="2"/>
      <c r="SDO34" s="2"/>
      <c r="SDP34" s="2"/>
      <c r="SDQ34" s="2"/>
      <c r="SDR34" s="2"/>
      <c r="SDS34" s="2"/>
      <c r="SDT34" s="2"/>
      <c r="SDU34" s="2"/>
      <c r="SDV34" s="2"/>
      <c r="SDW34" s="2"/>
      <c r="SDX34" s="2"/>
      <c r="SDY34" s="2"/>
      <c r="SDZ34" s="2"/>
      <c r="SEA34" s="2"/>
      <c r="SEB34" s="2"/>
      <c r="SEC34" s="2"/>
      <c r="SED34" s="2"/>
      <c r="SEE34" s="2"/>
      <c r="SEF34" s="2"/>
      <c r="SEG34" s="2"/>
      <c r="SEH34" s="2"/>
      <c r="SEI34" s="2"/>
      <c r="SEJ34" s="2"/>
      <c r="SEK34" s="2"/>
      <c r="SEL34" s="2"/>
      <c r="SEM34" s="2"/>
      <c r="SEN34" s="2"/>
      <c r="SEO34" s="2"/>
      <c r="SEP34" s="2"/>
      <c r="SEQ34" s="2"/>
      <c r="SER34" s="2"/>
      <c r="SES34" s="2"/>
      <c r="SET34" s="2"/>
      <c r="SEU34" s="2"/>
      <c r="SEV34" s="2"/>
      <c r="SEW34" s="2"/>
      <c r="SEX34" s="2"/>
      <c r="SEY34" s="2"/>
      <c r="SEZ34" s="2"/>
      <c r="SFA34" s="2"/>
      <c r="SFB34" s="2"/>
      <c r="SFC34" s="2"/>
      <c r="SFD34" s="2"/>
      <c r="SFE34" s="2"/>
      <c r="SFF34" s="2"/>
      <c r="SFG34" s="2"/>
      <c r="SFH34" s="2"/>
      <c r="SFI34" s="2"/>
      <c r="SFJ34" s="2"/>
      <c r="SFK34" s="2"/>
      <c r="SFL34" s="2"/>
      <c r="SFM34" s="2"/>
      <c r="SFN34" s="2"/>
      <c r="SFO34" s="2"/>
      <c r="SFP34" s="2"/>
      <c r="SFQ34" s="2"/>
      <c r="SFR34" s="2"/>
      <c r="SFS34" s="2"/>
      <c r="SFT34" s="2"/>
      <c r="SFU34" s="2"/>
      <c r="SFV34" s="2"/>
      <c r="SFW34" s="2"/>
      <c r="SFX34" s="2"/>
      <c r="SFY34" s="2"/>
      <c r="SFZ34" s="2"/>
      <c r="SGA34" s="2"/>
      <c r="SGB34" s="2"/>
      <c r="SGC34" s="2"/>
      <c r="SGD34" s="2"/>
      <c r="SGE34" s="2"/>
      <c r="SGF34" s="2"/>
      <c r="SGG34" s="2"/>
      <c r="SGH34" s="2"/>
      <c r="SGI34" s="2"/>
      <c r="SGJ34" s="2"/>
      <c r="SGK34" s="2"/>
      <c r="SGL34" s="2"/>
      <c r="SGM34" s="2"/>
      <c r="SGN34" s="2"/>
      <c r="SGO34" s="2"/>
      <c r="SGP34" s="2"/>
      <c r="SGQ34" s="2"/>
      <c r="SGR34" s="2"/>
      <c r="SGS34" s="2"/>
      <c r="SGT34" s="2"/>
      <c r="SGU34" s="2"/>
      <c r="SGV34" s="2"/>
      <c r="SGW34" s="2"/>
      <c r="SGX34" s="2"/>
      <c r="SGY34" s="2"/>
      <c r="SGZ34" s="2"/>
      <c r="SHA34" s="2"/>
      <c r="SHB34" s="2"/>
      <c r="SHC34" s="2"/>
      <c r="SHD34" s="2"/>
      <c r="SHE34" s="2"/>
      <c r="SHF34" s="2"/>
      <c r="SHG34" s="2"/>
      <c r="SHH34" s="2"/>
      <c r="SHI34" s="2"/>
      <c r="SHJ34" s="2"/>
      <c r="SHK34" s="2"/>
      <c r="SHL34" s="2"/>
      <c r="SHM34" s="2"/>
      <c r="SHN34" s="2"/>
      <c r="SHO34" s="2"/>
      <c r="SHP34" s="2"/>
      <c r="SHQ34" s="2"/>
      <c r="SHR34" s="2"/>
      <c r="SHS34" s="2"/>
      <c r="SHT34" s="2"/>
      <c r="SHU34" s="2"/>
      <c r="SHV34" s="2"/>
      <c r="SHW34" s="2"/>
      <c r="SHX34" s="2"/>
      <c r="SHY34" s="2"/>
      <c r="SHZ34" s="2"/>
      <c r="SIA34" s="2"/>
      <c r="SIB34" s="2"/>
      <c r="SIC34" s="2"/>
      <c r="SID34" s="2"/>
      <c r="SIE34" s="2"/>
      <c r="SIF34" s="2"/>
      <c r="SIG34" s="2"/>
      <c r="SIH34" s="2"/>
      <c r="SII34" s="2"/>
      <c r="SIJ34" s="2"/>
      <c r="SIK34" s="2"/>
      <c r="SIL34" s="2"/>
      <c r="SIM34" s="2"/>
      <c r="SIN34" s="2"/>
      <c r="SIO34" s="2"/>
      <c r="SIP34" s="2"/>
      <c r="SIQ34" s="2"/>
      <c r="SIR34" s="2"/>
      <c r="SIS34" s="2"/>
      <c r="SIT34" s="2"/>
      <c r="SIU34" s="2"/>
      <c r="SIV34" s="2"/>
      <c r="SIW34" s="2"/>
      <c r="SIX34" s="2"/>
      <c r="SIY34" s="2"/>
      <c r="SIZ34" s="2"/>
      <c r="SJA34" s="2"/>
      <c r="SJB34" s="2"/>
      <c r="SJC34" s="2"/>
      <c r="SJD34" s="2"/>
      <c r="SJE34" s="2"/>
      <c r="SJF34" s="2"/>
      <c r="SJG34" s="2"/>
      <c r="SJH34" s="2"/>
      <c r="SJI34" s="2"/>
      <c r="SJJ34" s="2"/>
      <c r="SJK34" s="2"/>
      <c r="SJL34" s="2"/>
      <c r="SJM34" s="2"/>
      <c r="SJN34" s="2"/>
      <c r="SJO34" s="2"/>
      <c r="SJP34" s="2"/>
      <c r="SJQ34" s="2"/>
      <c r="SJR34" s="2"/>
      <c r="SJS34" s="2"/>
      <c r="SJT34" s="2"/>
      <c r="SJU34" s="2"/>
      <c r="SJV34" s="2"/>
      <c r="SJW34" s="2"/>
      <c r="SJX34" s="2"/>
      <c r="SJY34" s="2"/>
      <c r="SJZ34" s="2"/>
      <c r="SKA34" s="2"/>
      <c r="SKB34" s="2"/>
      <c r="SKC34" s="2"/>
      <c r="SKD34" s="2"/>
      <c r="SKE34" s="2"/>
      <c r="SKF34" s="2"/>
      <c r="SKG34" s="2"/>
      <c r="SKH34" s="2"/>
      <c r="SKI34" s="2"/>
      <c r="SKJ34" s="2"/>
      <c r="SKK34" s="2"/>
      <c r="SKL34" s="2"/>
      <c r="SKM34" s="2"/>
      <c r="SKN34" s="2"/>
      <c r="SKO34" s="2"/>
      <c r="SKP34" s="2"/>
      <c r="SKQ34" s="2"/>
      <c r="SKR34" s="2"/>
      <c r="SKS34" s="2"/>
      <c r="SKT34" s="2"/>
      <c r="SKU34" s="2"/>
      <c r="SKV34" s="2"/>
      <c r="SKW34" s="2"/>
      <c r="SKX34" s="2"/>
      <c r="SKY34" s="2"/>
      <c r="SKZ34" s="2"/>
      <c r="SLA34" s="2"/>
      <c r="SLB34" s="2"/>
      <c r="SLC34" s="2"/>
      <c r="SLD34" s="2"/>
      <c r="SLE34" s="2"/>
      <c r="SLF34" s="2"/>
      <c r="SLG34" s="2"/>
      <c r="SLH34" s="2"/>
      <c r="SLI34" s="2"/>
      <c r="SLJ34" s="2"/>
      <c r="SLK34" s="2"/>
      <c r="SLL34" s="2"/>
      <c r="SLM34" s="2"/>
      <c r="SLN34" s="2"/>
      <c r="SLO34" s="2"/>
      <c r="SLP34" s="2"/>
      <c r="SLQ34" s="2"/>
      <c r="SLR34" s="2"/>
      <c r="SLS34" s="2"/>
      <c r="SLT34" s="2"/>
      <c r="SLU34" s="2"/>
      <c r="SLV34" s="2"/>
      <c r="SLW34" s="2"/>
      <c r="SLX34" s="2"/>
      <c r="SLY34" s="2"/>
      <c r="SLZ34" s="2"/>
      <c r="SMA34" s="2"/>
      <c r="SMB34" s="2"/>
      <c r="SMC34" s="2"/>
      <c r="SMD34" s="2"/>
      <c r="SME34" s="2"/>
      <c r="SMF34" s="2"/>
      <c r="SMG34" s="2"/>
      <c r="SMH34" s="2"/>
      <c r="SMI34" s="2"/>
      <c r="SMJ34" s="2"/>
      <c r="SMK34" s="2"/>
      <c r="SML34" s="2"/>
      <c r="SMM34" s="2"/>
      <c r="SMN34" s="2"/>
      <c r="SMO34" s="2"/>
      <c r="SMP34" s="2"/>
      <c r="SMQ34" s="2"/>
      <c r="SMR34" s="2"/>
      <c r="SMS34" s="2"/>
      <c r="SMT34" s="2"/>
      <c r="SMU34" s="2"/>
      <c r="SMV34" s="2"/>
      <c r="SMW34" s="2"/>
      <c r="SMX34" s="2"/>
      <c r="SMY34" s="2"/>
      <c r="SMZ34" s="2"/>
      <c r="SNA34" s="2"/>
      <c r="SNB34" s="2"/>
      <c r="SNC34" s="2"/>
      <c r="SND34" s="2"/>
      <c r="SNE34" s="2"/>
      <c r="SNF34" s="2"/>
      <c r="SNG34" s="2"/>
      <c r="SNH34" s="2"/>
      <c r="SNI34" s="2"/>
      <c r="SNJ34" s="2"/>
      <c r="SNK34" s="2"/>
      <c r="SNL34" s="2"/>
      <c r="SNM34" s="2"/>
      <c r="SNN34" s="2"/>
      <c r="SNO34" s="2"/>
      <c r="SNP34" s="2"/>
      <c r="SNQ34" s="2"/>
      <c r="SNR34" s="2"/>
      <c r="SNS34" s="2"/>
      <c r="SNT34" s="2"/>
      <c r="SNU34" s="2"/>
      <c r="SNV34" s="2"/>
      <c r="SNW34" s="2"/>
      <c r="SNX34" s="2"/>
      <c r="SNY34" s="2"/>
      <c r="SNZ34" s="2"/>
      <c r="SOA34" s="2"/>
      <c r="SOB34" s="2"/>
      <c r="SOC34" s="2"/>
      <c r="SOD34" s="2"/>
      <c r="SOE34" s="2"/>
      <c r="SOF34" s="2"/>
      <c r="SOG34" s="2"/>
      <c r="SOH34" s="2"/>
      <c r="SOI34" s="2"/>
      <c r="SOJ34" s="2"/>
      <c r="SOK34" s="2"/>
      <c r="SOL34" s="2"/>
      <c r="SOM34" s="2"/>
      <c r="SON34" s="2"/>
      <c r="SOO34" s="2"/>
      <c r="SOP34" s="2"/>
      <c r="SOQ34" s="2"/>
      <c r="SOR34" s="2"/>
      <c r="SOS34" s="2"/>
      <c r="SOT34" s="2"/>
      <c r="SOU34" s="2"/>
      <c r="SOV34" s="2"/>
      <c r="SOW34" s="2"/>
      <c r="SOX34" s="2"/>
      <c r="SOY34" s="2"/>
      <c r="SOZ34" s="2"/>
      <c r="SPA34" s="2"/>
      <c r="SPB34" s="2"/>
      <c r="SPC34" s="2"/>
      <c r="SPD34" s="2"/>
      <c r="SPE34" s="2"/>
      <c r="SPF34" s="2"/>
      <c r="SPG34" s="2"/>
      <c r="SPH34" s="2"/>
      <c r="SPI34" s="2"/>
      <c r="SPJ34" s="2"/>
      <c r="SPK34" s="2"/>
      <c r="SPL34" s="2"/>
      <c r="SPM34" s="2"/>
      <c r="SPN34" s="2"/>
      <c r="SPO34" s="2"/>
      <c r="SPP34" s="2"/>
      <c r="SPQ34" s="2"/>
      <c r="SPR34" s="2"/>
      <c r="SPS34" s="2"/>
      <c r="SPT34" s="2"/>
      <c r="SPU34" s="2"/>
      <c r="SPV34" s="2"/>
      <c r="SPW34" s="2"/>
      <c r="SPX34" s="2"/>
      <c r="SPY34" s="2"/>
      <c r="SPZ34" s="2"/>
      <c r="SQA34" s="2"/>
      <c r="SQB34" s="2"/>
      <c r="SQC34" s="2"/>
      <c r="SQD34" s="2"/>
      <c r="SQE34" s="2"/>
      <c r="SQF34" s="2"/>
      <c r="SQG34" s="2"/>
      <c r="SQH34" s="2"/>
      <c r="SQI34" s="2"/>
      <c r="SQJ34" s="2"/>
      <c r="SQK34" s="2"/>
      <c r="SQL34" s="2"/>
      <c r="SQM34" s="2"/>
      <c r="SQN34" s="2"/>
      <c r="SQO34" s="2"/>
      <c r="SQP34" s="2"/>
      <c r="SQQ34" s="2"/>
      <c r="SQR34" s="2"/>
      <c r="SQS34" s="2"/>
      <c r="SQT34" s="2"/>
      <c r="SQU34" s="2"/>
      <c r="SQV34" s="2"/>
      <c r="SQW34" s="2"/>
      <c r="SQX34" s="2"/>
      <c r="SQY34" s="2"/>
      <c r="SQZ34" s="2"/>
      <c r="SRA34" s="2"/>
      <c r="SRB34" s="2"/>
      <c r="SRC34" s="2"/>
      <c r="SRD34" s="2"/>
      <c r="SRE34" s="2"/>
      <c r="SRF34" s="2"/>
      <c r="SRG34" s="2"/>
      <c r="SRH34" s="2"/>
      <c r="SRI34" s="2"/>
      <c r="SRJ34" s="2"/>
      <c r="SRK34" s="2"/>
      <c r="SRL34" s="2"/>
      <c r="SRM34" s="2"/>
      <c r="SRN34" s="2"/>
      <c r="SRO34" s="2"/>
      <c r="SRP34" s="2"/>
      <c r="SRQ34" s="2"/>
      <c r="SRR34" s="2"/>
      <c r="SRS34" s="2"/>
      <c r="SRT34" s="2"/>
      <c r="SRU34" s="2"/>
      <c r="SRV34" s="2"/>
      <c r="SRW34" s="2"/>
      <c r="SRX34" s="2"/>
      <c r="SRY34" s="2"/>
      <c r="SRZ34" s="2"/>
      <c r="SSA34" s="2"/>
      <c r="SSB34" s="2"/>
      <c r="SSC34" s="2"/>
      <c r="SSD34" s="2"/>
      <c r="SSE34" s="2"/>
      <c r="SSF34" s="2"/>
      <c r="SSG34" s="2"/>
      <c r="SSH34" s="2"/>
      <c r="SSI34" s="2"/>
      <c r="SSJ34" s="2"/>
      <c r="SSK34" s="2"/>
      <c r="SSL34" s="2"/>
      <c r="SSM34" s="2"/>
      <c r="SSN34" s="2"/>
      <c r="SSO34" s="2"/>
      <c r="SSP34" s="2"/>
      <c r="SSQ34" s="2"/>
      <c r="SSR34" s="2"/>
      <c r="SSS34" s="2"/>
      <c r="SST34" s="2"/>
      <c r="SSU34" s="2"/>
      <c r="SSV34" s="2"/>
      <c r="SSW34" s="2"/>
      <c r="SSX34" s="2"/>
      <c r="SSY34" s="2"/>
      <c r="SSZ34" s="2"/>
      <c r="STA34" s="2"/>
      <c r="STB34" s="2"/>
      <c r="STC34" s="2"/>
      <c r="STD34" s="2"/>
      <c r="STE34" s="2"/>
      <c r="STF34" s="2"/>
      <c r="STG34" s="2"/>
      <c r="STH34" s="2"/>
      <c r="STI34" s="2"/>
      <c r="STJ34" s="2"/>
      <c r="STK34" s="2"/>
      <c r="STL34" s="2"/>
      <c r="STM34" s="2"/>
      <c r="STN34" s="2"/>
      <c r="STO34" s="2"/>
      <c r="STP34" s="2"/>
      <c r="STQ34" s="2"/>
      <c r="STR34" s="2"/>
      <c r="STS34" s="2"/>
      <c r="STT34" s="2"/>
      <c r="STU34" s="2"/>
      <c r="STV34" s="2"/>
      <c r="STW34" s="2"/>
      <c r="STX34" s="2"/>
      <c r="STY34" s="2"/>
      <c r="STZ34" s="2"/>
      <c r="SUA34" s="2"/>
      <c r="SUB34" s="2"/>
      <c r="SUC34" s="2"/>
      <c r="SUD34" s="2"/>
      <c r="SUE34" s="2"/>
      <c r="SUF34" s="2"/>
      <c r="SUG34" s="2"/>
      <c r="SUH34" s="2"/>
      <c r="SUI34" s="2"/>
      <c r="SUJ34" s="2"/>
      <c r="SUK34" s="2"/>
      <c r="SUL34" s="2"/>
      <c r="SUM34" s="2"/>
      <c r="SUN34" s="2"/>
      <c r="SUO34" s="2"/>
      <c r="SUP34" s="2"/>
      <c r="SUQ34" s="2"/>
      <c r="SUR34" s="2"/>
      <c r="SUS34" s="2"/>
      <c r="SUT34" s="2"/>
      <c r="SUU34" s="2"/>
      <c r="SUV34" s="2"/>
      <c r="SUW34" s="2"/>
      <c r="SUX34" s="2"/>
      <c r="SUY34" s="2"/>
      <c r="SUZ34" s="2"/>
      <c r="SVA34" s="2"/>
      <c r="SVB34" s="2"/>
      <c r="SVC34" s="2"/>
      <c r="SVD34" s="2"/>
      <c r="SVE34" s="2"/>
      <c r="SVF34" s="2"/>
      <c r="SVG34" s="2"/>
      <c r="SVH34" s="2"/>
      <c r="SVI34" s="2"/>
      <c r="SVJ34" s="2"/>
      <c r="SVK34" s="2"/>
      <c r="SVL34" s="2"/>
      <c r="SVM34" s="2"/>
      <c r="SVN34" s="2"/>
      <c r="SVO34" s="2"/>
      <c r="SVP34" s="2"/>
      <c r="SVQ34" s="2"/>
      <c r="SVR34" s="2"/>
      <c r="SVS34" s="2"/>
      <c r="SVT34" s="2"/>
      <c r="SVU34" s="2"/>
      <c r="SVV34" s="2"/>
      <c r="SVW34" s="2"/>
      <c r="SVX34" s="2"/>
      <c r="SVY34" s="2"/>
      <c r="SVZ34" s="2"/>
      <c r="SWA34" s="2"/>
      <c r="SWB34" s="2"/>
      <c r="SWC34" s="2"/>
      <c r="SWD34" s="2"/>
      <c r="SWE34" s="2"/>
      <c r="SWF34" s="2"/>
      <c r="SWG34" s="2"/>
      <c r="SWH34" s="2"/>
      <c r="SWI34" s="2"/>
      <c r="SWJ34" s="2"/>
      <c r="SWK34" s="2"/>
      <c r="SWL34" s="2"/>
      <c r="SWM34" s="2"/>
      <c r="SWN34" s="2"/>
      <c r="SWO34" s="2"/>
      <c r="SWP34" s="2"/>
      <c r="SWQ34" s="2"/>
      <c r="SWR34" s="2"/>
      <c r="SWS34" s="2"/>
      <c r="SWT34" s="2"/>
      <c r="SWU34" s="2"/>
      <c r="SWV34" s="2"/>
      <c r="SWW34" s="2"/>
      <c r="SWX34" s="2"/>
      <c r="SWY34" s="2"/>
      <c r="SWZ34" s="2"/>
      <c r="SXA34" s="2"/>
      <c r="SXB34" s="2"/>
      <c r="SXC34" s="2"/>
      <c r="SXD34" s="2"/>
      <c r="SXE34" s="2"/>
      <c r="SXF34" s="2"/>
      <c r="SXG34" s="2"/>
      <c r="SXH34" s="2"/>
      <c r="SXI34" s="2"/>
      <c r="SXJ34" s="2"/>
      <c r="SXK34" s="2"/>
      <c r="SXL34" s="2"/>
      <c r="SXM34" s="2"/>
      <c r="SXN34" s="2"/>
      <c r="SXO34" s="2"/>
      <c r="SXP34" s="2"/>
      <c r="SXQ34" s="2"/>
      <c r="SXR34" s="2"/>
      <c r="SXS34" s="2"/>
      <c r="SXT34" s="2"/>
      <c r="SXU34" s="2"/>
      <c r="SXV34" s="2"/>
      <c r="SXW34" s="2"/>
      <c r="SXX34" s="2"/>
      <c r="SXY34" s="2"/>
      <c r="SXZ34" s="2"/>
      <c r="SYA34" s="2"/>
      <c r="SYB34" s="2"/>
      <c r="SYC34" s="2"/>
      <c r="SYD34" s="2"/>
      <c r="SYE34" s="2"/>
      <c r="SYF34" s="2"/>
      <c r="SYG34" s="2"/>
      <c r="SYH34" s="2"/>
      <c r="SYI34" s="2"/>
      <c r="SYJ34" s="2"/>
      <c r="SYK34" s="2"/>
      <c r="SYL34" s="2"/>
      <c r="SYM34" s="2"/>
      <c r="SYN34" s="2"/>
      <c r="SYO34" s="2"/>
      <c r="SYP34" s="2"/>
      <c r="SYQ34" s="2"/>
      <c r="SYR34" s="2"/>
      <c r="SYS34" s="2"/>
      <c r="SYT34" s="2"/>
      <c r="SYU34" s="2"/>
      <c r="SYV34" s="2"/>
      <c r="SYW34" s="2"/>
      <c r="SYX34" s="2"/>
      <c r="SYY34" s="2"/>
      <c r="SYZ34" s="2"/>
      <c r="SZA34" s="2"/>
      <c r="SZB34" s="2"/>
      <c r="SZC34" s="2"/>
      <c r="SZD34" s="2"/>
      <c r="SZE34" s="2"/>
      <c r="SZF34" s="2"/>
      <c r="SZG34" s="2"/>
      <c r="SZH34" s="2"/>
      <c r="SZI34" s="2"/>
      <c r="SZJ34" s="2"/>
      <c r="SZK34" s="2"/>
      <c r="SZL34" s="2"/>
      <c r="SZM34" s="2"/>
      <c r="SZN34" s="2"/>
      <c r="SZO34" s="2"/>
      <c r="SZP34" s="2"/>
      <c r="SZQ34" s="2"/>
      <c r="SZR34" s="2"/>
      <c r="SZS34" s="2"/>
      <c r="SZT34" s="2"/>
      <c r="SZU34" s="2"/>
      <c r="SZV34" s="2"/>
      <c r="SZW34" s="2"/>
      <c r="SZX34" s="2"/>
      <c r="SZY34" s="2"/>
      <c r="SZZ34" s="2"/>
      <c r="TAA34" s="2"/>
      <c r="TAB34" s="2"/>
      <c r="TAC34" s="2"/>
      <c r="TAD34" s="2"/>
      <c r="TAE34" s="2"/>
      <c r="TAF34" s="2"/>
      <c r="TAG34" s="2"/>
      <c r="TAH34" s="2"/>
      <c r="TAI34" s="2"/>
      <c r="TAJ34" s="2"/>
      <c r="TAK34" s="2"/>
      <c r="TAL34" s="2"/>
      <c r="TAM34" s="2"/>
      <c r="TAN34" s="2"/>
      <c r="TAO34" s="2"/>
      <c r="TAP34" s="2"/>
      <c r="TAQ34" s="2"/>
      <c r="TAR34" s="2"/>
      <c r="TAS34" s="2"/>
      <c r="TAT34" s="2"/>
      <c r="TAU34" s="2"/>
      <c r="TAV34" s="2"/>
      <c r="TAW34" s="2"/>
      <c r="TAX34" s="2"/>
      <c r="TAY34" s="2"/>
      <c r="TAZ34" s="2"/>
      <c r="TBA34" s="2"/>
      <c r="TBB34" s="2"/>
      <c r="TBC34" s="2"/>
      <c r="TBD34" s="2"/>
      <c r="TBE34" s="2"/>
      <c r="TBF34" s="2"/>
      <c r="TBG34" s="2"/>
      <c r="TBH34" s="2"/>
      <c r="TBI34" s="2"/>
      <c r="TBJ34" s="2"/>
      <c r="TBK34" s="2"/>
      <c r="TBL34" s="2"/>
      <c r="TBM34" s="2"/>
      <c r="TBN34" s="2"/>
      <c r="TBO34" s="2"/>
      <c r="TBP34" s="2"/>
      <c r="TBQ34" s="2"/>
      <c r="TBR34" s="2"/>
      <c r="TBS34" s="2"/>
      <c r="TBT34" s="2"/>
      <c r="TBU34" s="2"/>
      <c r="TBV34" s="2"/>
      <c r="TBW34" s="2"/>
      <c r="TBX34" s="2"/>
      <c r="TBY34" s="2"/>
      <c r="TBZ34" s="2"/>
      <c r="TCA34" s="2"/>
      <c r="TCB34" s="2"/>
      <c r="TCC34" s="2"/>
      <c r="TCD34" s="2"/>
      <c r="TCE34" s="2"/>
      <c r="TCF34" s="2"/>
      <c r="TCG34" s="2"/>
      <c r="TCH34" s="2"/>
      <c r="TCI34" s="2"/>
      <c r="TCJ34" s="2"/>
      <c r="TCK34" s="2"/>
      <c r="TCL34" s="2"/>
      <c r="TCM34" s="2"/>
      <c r="TCN34" s="2"/>
      <c r="TCO34" s="2"/>
      <c r="TCP34" s="2"/>
      <c r="TCQ34" s="2"/>
      <c r="TCR34" s="2"/>
      <c r="TCS34" s="2"/>
      <c r="TCT34" s="2"/>
      <c r="TCU34" s="2"/>
      <c r="TCV34" s="2"/>
      <c r="TCW34" s="2"/>
      <c r="TCX34" s="2"/>
      <c r="TCY34" s="2"/>
      <c r="TCZ34" s="2"/>
      <c r="TDA34" s="2"/>
      <c r="TDB34" s="2"/>
      <c r="TDC34" s="2"/>
      <c r="TDD34" s="2"/>
      <c r="TDE34" s="2"/>
      <c r="TDF34" s="2"/>
      <c r="TDG34" s="2"/>
      <c r="TDH34" s="2"/>
      <c r="TDI34" s="2"/>
      <c r="TDJ34" s="2"/>
      <c r="TDK34" s="2"/>
      <c r="TDL34" s="2"/>
      <c r="TDM34" s="2"/>
      <c r="TDN34" s="2"/>
      <c r="TDO34" s="2"/>
      <c r="TDP34" s="2"/>
      <c r="TDQ34" s="2"/>
      <c r="TDR34" s="2"/>
      <c r="TDS34" s="2"/>
      <c r="TDT34" s="2"/>
      <c r="TDU34" s="2"/>
      <c r="TDV34" s="2"/>
      <c r="TDW34" s="2"/>
      <c r="TDX34" s="2"/>
      <c r="TDY34" s="2"/>
      <c r="TDZ34" s="2"/>
      <c r="TEA34" s="2"/>
      <c r="TEB34" s="2"/>
      <c r="TEC34" s="2"/>
      <c r="TED34" s="2"/>
      <c r="TEE34" s="2"/>
      <c r="TEF34" s="2"/>
      <c r="TEG34" s="2"/>
      <c r="TEH34" s="2"/>
      <c r="TEI34" s="2"/>
      <c r="TEJ34" s="2"/>
      <c r="TEK34" s="2"/>
      <c r="TEL34" s="2"/>
      <c r="TEM34" s="2"/>
      <c r="TEN34" s="2"/>
      <c r="TEO34" s="2"/>
      <c r="TEP34" s="2"/>
      <c r="TEQ34" s="2"/>
      <c r="TER34" s="2"/>
      <c r="TES34" s="2"/>
      <c r="TET34" s="2"/>
      <c r="TEU34" s="2"/>
      <c r="TEV34" s="2"/>
      <c r="TEW34" s="2"/>
      <c r="TEX34" s="2"/>
      <c r="TEY34" s="2"/>
      <c r="TEZ34" s="2"/>
      <c r="TFA34" s="2"/>
      <c r="TFB34" s="2"/>
      <c r="TFC34" s="2"/>
      <c r="TFD34" s="2"/>
      <c r="TFE34" s="2"/>
      <c r="TFF34" s="2"/>
      <c r="TFG34" s="2"/>
      <c r="TFH34" s="2"/>
      <c r="TFI34" s="2"/>
      <c r="TFJ34" s="2"/>
      <c r="TFK34" s="2"/>
      <c r="TFL34" s="2"/>
      <c r="TFM34" s="2"/>
      <c r="TFN34" s="2"/>
      <c r="TFO34" s="2"/>
      <c r="TFP34" s="2"/>
      <c r="TFQ34" s="2"/>
      <c r="TFR34" s="2"/>
      <c r="TFS34" s="2"/>
      <c r="TFT34" s="2"/>
      <c r="TFU34" s="2"/>
      <c r="TFV34" s="2"/>
      <c r="TFW34" s="2"/>
      <c r="TFX34" s="2"/>
      <c r="TFY34" s="2"/>
      <c r="TFZ34" s="2"/>
      <c r="TGA34" s="2"/>
      <c r="TGB34" s="2"/>
      <c r="TGC34" s="2"/>
      <c r="TGD34" s="2"/>
      <c r="TGE34" s="2"/>
      <c r="TGF34" s="2"/>
      <c r="TGG34" s="2"/>
      <c r="TGH34" s="2"/>
      <c r="TGI34" s="2"/>
      <c r="TGJ34" s="2"/>
      <c r="TGK34" s="2"/>
      <c r="TGL34" s="2"/>
      <c r="TGM34" s="2"/>
      <c r="TGN34" s="2"/>
      <c r="TGO34" s="2"/>
      <c r="TGP34" s="2"/>
      <c r="TGQ34" s="2"/>
      <c r="TGR34" s="2"/>
      <c r="TGS34" s="2"/>
      <c r="TGT34" s="2"/>
      <c r="TGU34" s="2"/>
      <c r="TGV34" s="2"/>
      <c r="TGW34" s="2"/>
      <c r="TGX34" s="2"/>
      <c r="TGY34" s="2"/>
      <c r="TGZ34" s="2"/>
      <c r="THA34" s="2"/>
      <c r="THB34" s="2"/>
      <c r="THC34" s="2"/>
      <c r="THD34" s="2"/>
      <c r="THE34" s="2"/>
      <c r="THF34" s="2"/>
      <c r="THG34" s="2"/>
      <c r="THH34" s="2"/>
      <c r="THI34" s="2"/>
      <c r="THJ34" s="2"/>
      <c r="THK34" s="2"/>
      <c r="THL34" s="2"/>
      <c r="THM34" s="2"/>
      <c r="THN34" s="2"/>
      <c r="THO34" s="2"/>
      <c r="THP34" s="2"/>
      <c r="THQ34" s="2"/>
      <c r="THR34" s="2"/>
      <c r="THS34" s="2"/>
      <c r="THT34" s="2"/>
      <c r="THU34" s="2"/>
      <c r="THV34" s="2"/>
      <c r="THW34" s="2"/>
      <c r="THX34" s="2"/>
      <c r="THY34" s="2"/>
      <c r="THZ34" s="2"/>
      <c r="TIA34" s="2"/>
      <c r="TIB34" s="2"/>
      <c r="TIC34" s="2"/>
      <c r="TID34" s="2"/>
      <c r="TIE34" s="2"/>
      <c r="TIF34" s="2"/>
      <c r="TIG34" s="2"/>
      <c r="TIH34" s="2"/>
      <c r="TII34" s="2"/>
      <c r="TIJ34" s="2"/>
      <c r="TIK34" s="2"/>
      <c r="TIL34" s="2"/>
      <c r="TIM34" s="2"/>
      <c r="TIN34" s="2"/>
      <c r="TIO34" s="2"/>
      <c r="TIP34" s="2"/>
      <c r="TIQ34" s="2"/>
      <c r="TIR34" s="2"/>
      <c r="TIS34" s="2"/>
      <c r="TIT34" s="2"/>
      <c r="TIU34" s="2"/>
      <c r="TIV34" s="2"/>
      <c r="TIW34" s="2"/>
      <c r="TIX34" s="2"/>
      <c r="TIY34" s="2"/>
      <c r="TIZ34" s="2"/>
      <c r="TJA34" s="2"/>
      <c r="TJB34" s="2"/>
      <c r="TJC34" s="2"/>
      <c r="TJD34" s="2"/>
      <c r="TJE34" s="2"/>
      <c r="TJF34" s="2"/>
      <c r="TJG34" s="2"/>
      <c r="TJH34" s="2"/>
      <c r="TJI34" s="2"/>
      <c r="TJJ34" s="2"/>
      <c r="TJK34" s="2"/>
      <c r="TJL34" s="2"/>
      <c r="TJM34" s="2"/>
      <c r="TJN34" s="2"/>
      <c r="TJO34" s="2"/>
      <c r="TJP34" s="2"/>
      <c r="TJQ34" s="2"/>
      <c r="TJR34" s="2"/>
      <c r="TJS34" s="2"/>
      <c r="TJT34" s="2"/>
      <c r="TJU34" s="2"/>
      <c r="TJV34" s="2"/>
      <c r="TJW34" s="2"/>
      <c r="TJX34" s="2"/>
      <c r="TJY34" s="2"/>
      <c r="TJZ34" s="2"/>
      <c r="TKA34" s="2"/>
      <c r="TKB34" s="2"/>
      <c r="TKC34" s="2"/>
      <c r="TKD34" s="2"/>
      <c r="TKE34" s="2"/>
      <c r="TKF34" s="2"/>
      <c r="TKG34" s="2"/>
      <c r="TKH34" s="2"/>
      <c r="TKI34" s="2"/>
      <c r="TKJ34" s="2"/>
      <c r="TKK34" s="2"/>
      <c r="TKL34" s="2"/>
      <c r="TKM34" s="2"/>
      <c r="TKN34" s="2"/>
      <c r="TKO34" s="2"/>
      <c r="TKP34" s="2"/>
      <c r="TKQ34" s="2"/>
      <c r="TKR34" s="2"/>
      <c r="TKS34" s="2"/>
      <c r="TKT34" s="2"/>
      <c r="TKU34" s="2"/>
      <c r="TKV34" s="2"/>
      <c r="TKW34" s="2"/>
      <c r="TKX34" s="2"/>
      <c r="TKY34" s="2"/>
      <c r="TKZ34" s="2"/>
      <c r="TLA34" s="2"/>
      <c r="TLB34" s="2"/>
      <c r="TLC34" s="2"/>
      <c r="TLD34" s="2"/>
      <c r="TLE34" s="2"/>
      <c r="TLF34" s="2"/>
      <c r="TLG34" s="2"/>
      <c r="TLH34" s="2"/>
      <c r="TLI34" s="2"/>
      <c r="TLJ34" s="2"/>
      <c r="TLK34" s="2"/>
      <c r="TLL34" s="2"/>
      <c r="TLM34" s="2"/>
      <c r="TLN34" s="2"/>
      <c r="TLO34" s="2"/>
      <c r="TLP34" s="2"/>
      <c r="TLQ34" s="2"/>
      <c r="TLR34" s="2"/>
      <c r="TLS34" s="2"/>
      <c r="TLT34" s="2"/>
      <c r="TLU34" s="2"/>
      <c r="TLV34" s="2"/>
      <c r="TLW34" s="2"/>
      <c r="TLX34" s="2"/>
      <c r="TLY34" s="2"/>
      <c r="TLZ34" s="2"/>
      <c r="TMA34" s="2"/>
      <c r="TMB34" s="2"/>
      <c r="TMC34" s="2"/>
      <c r="TMD34" s="2"/>
      <c r="TME34" s="2"/>
      <c r="TMF34" s="2"/>
      <c r="TMG34" s="2"/>
      <c r="TMH34" s="2"/>
      <c r="TMI34" s="2"/>
      <c r="TMJ34" s="2"/>
      <c r="TMK34" s="2"/>
      <c r="TML34" s="2"/>
      <c r="TMM34" s="2"/>
      <c r="TMN34" s="2"/>
      <c r="TMO34" s="2"/>
      <c r="TMP34" s="2"/>
      <c r="TMQ34" s="2"/>
      <c r="TMR34" s="2"/>
      <c r="TMS34" s="2"/>
      <c r="TMT34" s="2"/>
      <c r="TMU34" s="2"/>
      <c r="TMV34" s="2"/>
      <c r="TMW34" s="2"/>
      <c r="TMX34" s="2"/>
      <c r="TMY34" s="2"/>
      <c r="TMZ34" s="2"/>
      <c r="TNA34" s="2"/>
      <c r="TNB34" s="2"/>
      <c r="TNC34" s="2"/>
      <c r="TND34" s="2"/>
      <c r="TNE34" s="2"/>
      <c r="TNF34" s="2"/>
      <c r="TNG34" s="2"/>
      <c r="TNH34" s="2"/>
      <c r="TNI34" s="2"/>
      <c r="TNJ34" s="2"/>
      <c r="TNK34" s="2"/>
      <c r="TNL34" s="2"/>
      <c r="TNM34" s="2"/>
      <c r="TNN34" s="2"/>
      <c r="TNO34" s="2"/>
      <c r="TNP34" s="2"/>
      <c r="TNQ34" s="2"/>
      <c r="TNR34" s="2"/>
      <c r="TNS34" s="2"/>
      <c r="TNT34" s="2"/>
      <c r="TNU34" s="2"/>
      <c r="TNV34" s="2"/>
      <c r="TNW34" s="2"/>
      <c r="TNX34" s="2"/>
      <c r="TNY34" s="2"/>
      <c r="TNZ34" s="2"/>
      <c r="TOA34" s="2"/>
      <c r="TOB34" s="2"/>
      <c r="TOC34" s="2"/>
      <c r="TOD34" s="2"/>
      <c r="TOE34" s="2"/>
      <c r="TOF34" s="2"/>
      <c r="TOG34" s="2"/>
      <c r="TOH34" s="2"/>
      <c r="TOI34" s="2"/>
      <c r="TOJ34" s="2"/>
      <c r="TOK34" s="2"/>
      <c r="TOL34" s="2"/>
      <c r="TOM34" s="2"/>
      <c r="TON34" s="2"/>
      <c r="TOO34" s="2"/>
      <c r="TOP34" s="2"/>
      <c r="TOQ34" s="2"/>
      <c r="TOR34" s="2"/>
      <c r="TOS34" s="2"/>
      <c r="TOT34" s="2"/>
      <c r="TOU34" s="2"/>
      <c r="TOV34" s="2"/>
      <c r="TOW34" s="2"/>
      <c r="TOX34" s="2"/>
      <c r="TOY34" s="2"/>
      <c r="TOZ34" s="2"/>
      <c r="TPA34" s="2"/>
      <c r="TPB34" s="2"/>
      <c r="TPC34" s="2"/>
      <c r="TPD34" s="2"/>
      <c r="TPE34" s="2"/>
      <c r="TPF34" s="2"/>
      <c r="TPG34" s="2"/>
      <c r="TPH34" s="2"/>
      <c r="TPI34" s="2"/>
      <c r="TPJ34" s="2"/>
      <c r="TPK34" s="2"/>
      <c r="TPL34" s="2"/>
      <c r="TPM34" s="2"/>
      <c r="TPN34" s="2"/>
      <c r="TPO34" s="2"/>
      <c r="TPP34" s="2"/>
      <c r="TPQ34" s="2"/>
      <c r="TPR34" s="2"/>
      <c r="TPS34" s="2"/>
      <c r="TPT34" s="2"/>
      <c r="TPU34" s="2"/>
      <c r="TPV34" s="2"/>
      <c r="TPW34" s="2"/>
      <c r="TPX34" s="2"/>
      <c r="TPY34" s="2"/>
      <c r="TPZ34" s="2"/>
      <c r="TQA34" s="2"/>
      <c r="TQB34" s="2"/>
      <c r="TQC34" s="2"/>
      <c r="TQD34" s="2"/>
      <c r="TQE34" s="2"/>
      <c r="TQF34" s="2"/>
      <c r="TQG34" s="2"/>
      <c r="TQH34" s="2"/>
      <c r="TQI34" s="2"/>
      <c r="TQJ34" s="2"/>
      <c r="TQK34" s="2"/>
      <c r="TQL34" s="2"/>
      <c r="TQM34" s="2"/>
      <c r="TQN34" s="2"/>
      <c r="TQO34" s="2"/>
      <c r="TQP34" s="2"/>
      <c r="TQQ34" s="2"/>
      <c r="TQR34" s="2"/>
      <c r="TQS34" s="2"/>
      <c r="TQT34" s="2"/>
      <c r="TQU34" s="2"/>
      <c r="TQV34" s="2"/>
      <c r="TQW34" s="2"/>
      <c r="TQX34" s="2"/>
      <c r="TQY34" s="2"/>
      <c r="TQZ34" s="2"/>
      <c r="TRA34" s="2"/>
      <c r="TRB34" s="2"/>
      <c r="TRC34" s="2"/>
      <c r="TRD34" s="2"/>
      <c r="TRE34" s="2"/>
      <c r="TRF34" s="2"/>
      <c r="TRG34" s="2"/>
      <c r="TRH34" s="2"/>
      <c r="TRI34" s="2"/>
      <c r="TRJ34" s="2"/>
      <c r="TRK34" s="2"/>
      <c r="TRL34" s="2"/>
      <c r="TRM34" s="2"/>
      <c r="TRN34" s="2"/>
      <c r="TRO34" s="2"/>
      <c r="TRP34" s="2"/>
      <c r="TRQ34" s="2"/>
      <c r="TRR34" s="2"/>
      <c r="TRS34" s="2"/>
      <c r="TRT34" s="2"/>
      <c r="TRU34" s="2"/>
      <c r="TRV34" s="2"/>
      <c r="TRW34" s="2"/>
      <c r="TRX34" s="2"/>
      <c r="TRY34" s="2"/>
      <c r="TRZ34" s="2"/>
      <c r="TSA34" s="2"/>
      <c r="TSB34" s="2"/>
      <c r="TSC34" s="2"/>
      <c r="TSD34" s="2"/>
      <c r="TSE34" s="2"/>
      <c r="TSF34" s="2"/>
      <c r="TSG34" s="2"/>
      <c r="TSH34" s="2"/>
      <c r="TSI34" s="2"/>
      <c r="TSJ34" s="2"/>
      <c r="TSK34" s="2"/>
      <c r="TSL34" s="2"/>
      <c r="TSM34" s="2"/>
      <c r="TSN34" s="2"/>
      <c r="TSO34" s="2"/>
      <c r="TSP34" s="2"/>
      <c r="TSQ34" s="2"/>
      <c r="TSR34" s="2"/>
      <c r="TSS34" s="2"/>
      <c r="TST34" s="2"/>
      <c r="TSU34" s="2"/>
      <c r="TSV34" s="2"/>
      <c r="TSW34" s="2"/>
      <c r="TSX34" s="2"/>
      <c r="TSY34" s="2"/>
      <c r="TSZ34" s="2"/>
      <c r="TTA34" s="2"/>
      <c r="TTB34" s="2"/>
      <c r="TTC34" s="2"/>
      <c r="TTD34" s="2"/>
      <c r="TTE34" s="2"/>
      <c r="TTF34" s="2"/>
      <c r="TTG34" s="2"/>
      <c r="TTH34" s="2"/>
      <c r="TTI34" s="2"/>
      <c r="TTJ34" s="2"/>
      <c r="TTK34" s="2"/>
      <c r="TTL34" s="2"/>
      <c r="TTM34" s="2"/>
      <c r="TTN34" s="2"/>
      <c r="TTO34" s="2"/>
      <c r="TTP34" s="2"/>
      <c r="TTQ34" s="2"/>
      <c r="TTR34" s="2"/>
      <c r="TTS34" s="2"/>
      <c r="TTT34" s="2"/>
      <c r="TTU34" s="2"/>
      <c r="TTV34" s="2"/>
      <c r="TTW34" s="2"/>
      <c r="TTX34" s="2"/>
      <c r="TTY34" s="2"/>
      <c r="TTZ34" s="2"/>
      <c r="TUA34" s="2"/>
      <c r="TUB34" s="2"/>
      <c r="TUC34" s="2"/>
      <c r="TUD34" s="2"/>
      <c r="TUE34" s="2"/>
      <c r="TUF34" s="2"/>
      <c r="TUG34" s="2"/>
      <c r="TUH34" s="2"/>
      <c r="TUI34" s="2"/>
      <c r="TUJ34" s="2"/>
      <c r="TUK34" s="2"/>
      <c r="TUL34" s="2"/>
      <c r="TUM34" s="2"/>
      <c r="TUN34" s="2"/>
      <c r="TUO34" s="2"/>
      <c r="TUP34" s="2"/>
      <c r="TUQ34" s="2"/>
      <c r="TUR34" s="2"/>
      <c r="TUS34" s="2"/>
      <c r="TUT34" s="2"/>
      <c r="TUU34" s="2"/>
      <c r="TUV34" s="2"/>
      <c r="TUW34" s="2"/>
      <c r="TUX34" s="2"/>
      <c r="TUY34" s="2"/>
      <c r="TUZ34" s="2"/>
      <c r="TVA34" s="2"/>
      <c r="TVB34" s="2"/>
      <c r="TVC34" s="2"/>
      <c r="TVD34" s="2"/>
      <c r="TVE34" s="2"/>
      <c r="TVF34" s="2"/>
      <c r="TVG34" s="2"/>
      <c r="TVH34" s="2"/>
      <c r="TVI34" s="2"/>
      <c r="TVJ34" s="2"/>
      <c r="TVK34" s="2"/>
      <c r="TVL34" s="2"/>
      <c r="TVM34" s="2"/>
      <c r="TVN34" s="2"/>
      <c r="TVO34" s="2"/>
      <c r="TVP34" s="2"/>
      <c r="TVQ34" s="2"/>
      <c r="TVR34" s="2"/>
      <c r="TVS34" s="2"/>
      <c r="TVT34" s="2"/>
      <c r="TVU34" s="2"/>
      <c r="TVV34" s="2"/>
      <c r="TVW34" s="2"/>
      <c r="TVX34" s="2"/>
      <c r="TVY34" s="2"/>
      <c r="TVZ34" s="2"/>
      <c r="TWA34" s="2"/>
      <c r="TWB34" s="2"/>
      <c r="TWC34" s="2"/>
      <c r="TWD34" s="2"/>
      <c r="TWE34" s="2"/>
      <c r="TWF34" s="2"/>
      <c r="TWG34" s="2"/>
      <c r="TWH34" s="2"/>
      <c r="TWI34" s="2"/>
      <c r="TWJ34" s="2"/>
      <c r="TWK34" s="2"/>
      <c r="TWL34" s="2"/>
      <c r="TWM34" s="2"/>
      <c r="TWN34" s="2"/>
      <c r="TWO34" s="2"/>
      <c r="TWP34" s="2"/>
      <c r="TWQ34" s="2"/>
      <c r="TWR34" s="2"/>
      <c r="TWS34" s="2"/>
      <c r="TWT34" s="2"/>
      <c r="TWU34" s="2"/>
      <c r="TWV34" s="2"/>
      <c r="TWW34" s="2"/>
      <c r="TWX34" s="2"/>
      <c r="TWY34" s="2"/>
      <c r="TWZ34" s="2"/>
      <c r="TXA34" s="2"/>
      <c r="TXB34" s="2"/>
      <c r="TXC34" s="2"/>
      <c r="TXD34" s="2"/>
      <c r="TXE34" s="2"/>
      <c r="TXF34" s="2"/>
      <c r="TXG34" s="2"/>
      <c r="TXH34" s="2"/>
      <c r="TXI34" s="2"/>
      <c r="TXJ34" s="2"/>
      <c r="TXK34" s="2"/>
      <c r="TXL34" s="2"/>
      <c r="TXM34" s="2"/>
      <c r="TXN34" s="2"/>
      <c r="TXO34" s="2"/>
      <c r="TXP34" s="2"/>
      <c r="TXQ34" s="2"/>
      <c r="TXR34" s="2"/>
      <c r="TXS34" s="2"/>
      <c r="TXT34" s="2"/>
      <c r="TXU34" s="2"/>
      <c r="TXV34" s="2"/>
      <c r="TXW34" s="2"/>
      <c r="TXX34" s="2"/>
      <c r="TXY34" s="2"/>
      <c r="TXZ34" s="2"/>
      <c r="TYA34" s="2"/>
      <c r="TYB34" s="2"/>
      <c r="TYC34" s="2"/>
      <c r="TYD34" s="2"/>
      <c r="TYE34" s="2"/>
      <c r="TYF34" s="2"/>
      <c r="TYG34" s="2"/>
      <c r="TYH34" s="2"/>
      <c r="TYI34" s="2"/>
      <c r="TYJ34" s="2"/>
      <c r="TYK34" s="2"/>
      <c r="TYL34" s="2"/>
      <c r="TYM34" s="2"/>
      <c r="TYN34" s="2"/>
      <c r="TYO34" s="2"/>
      <c r="TYP34" s="2"/>
      <c r="TYQ34" s="2"/>
      <c r="TYR34" s="2"/>
      <c r="TYS34" s="2"/>
      <c r="TYT34" s="2"/>
      <c r="TYU34" s="2"/>
      <c r="TYV34" s="2"/>
      <c r="TYW34" s="2"/>
      <c r="TYX34" s="2"/>
      <c r="TYY34" s="2"/>
      <c r="TYZ34" s="2"/>
      <c r="TZA34" s="2"/>
      <c r="TZB34" s="2"/>
      <c r="TZC34" s="2"/>
      <c r="TZD34" s="2"/>
      <c r="TZE34" s="2"/>
      <c r="TZF34" s="2"/>
      <c r="TZG34" s="2"/>
      <c r="TZH34" s="2"/>
      <c r="TZI34" s="2"/>
      <c r="TZJ34" s="2"/>
      <c r="TZK34" s="2"/>
      <c r="TZL34" s="2"/>
      <c r="TZM34" s="2"/>
      <c r="TZN34" s="2"/>
      <c r="TZO34" s="2"/>
      <c r="TZP34" s="2"/>
      <c r="TZQ34" s="2"/>
      <c r="TZR34" s="2"/>
      <c r="TZS34" s="2"/>
      <c r="TZT34" s="2"/>
      <c r="TZU34" s="2"/>
      <c r="TZV34" s="2"/>
      <c r="TZW34" s="2"/>
      <c r="TZX34" s="2"/>
      <c r="TZY34" s="2"/>
      <c r="TZZ34" s="2"/>
      <c r="UAA34" s="2"/>
      <c r="UAB34" s="2"/>
      <c r="UAC34" s="2"/>
      <c r="UAD34" s="2"/>
      <c r="UAE34" s="2"/>
      <c r="UAF34" s="2"/>
      <c r="UAG34" s="2"/>
      <c r="UAH34" s="2"/>
      <c r="UAI34" s="2"/>
      <c r="UAJ34" s="2"/>
      <c r="UAK34" s="2"/>
      <c r="UAL34" s="2"/>
      <c r="UAM34" s="2"/>
      <c r="UAN34" s="2"/>
      <c r="UAO34" s="2"/>
      <c r="UAP34" s="2"/>
      <c r="UAQ34" s="2"/>
      <c r="UAR34" s="2"/>
      <c r="UAS34" s="2"/>
      <c r="UAT34" s="2"/>
      <c r="UAU34" s="2"/>
      <c r="UAV34" s="2"/>
      <c r="UAW34" s="2"/>
      <c r="UAX34" s="2"/>
      <c r="UAY34" s="2"/>
      <c r="UAZ34" s="2"/>
      <c r="UBA34" s="2"/>
      <c r="UBB34" s="2"/>
      <c r="UBC34" s="2"/>
      <c r="UBD34" s="2"/>
      <c r="UBE34" s="2"/>
      <c r="UBF34" s="2"/>
      <c r="UBG34" s="2"/>
      <c r="UBH34" s="2"/>
      <c r="UBI34" s="2"/>
      <c r="UBJ34" s="2"/>
      <c r="UBK34" s="2"/>
      <c r="UBL34" s="2"/>
      <c r="UBM34" s="2"/>
      <c r="UBN34" s="2"/>
      <c r="UBO34" s="2"/>
      <c r="UBP34" s="2"/>
      <c r="UBQ34" s="2"/>
      <c r="UBR34" s="2"/>
      <c r="UBS34" s="2"/>
      <c r="UBT34" s="2"/>
      <c r="UBU34" s="2"/>
      <c r="UBV34" s="2"/>
      <c r="UBW34" s="2"/>
      <c r="UBX34" s="2"/>
      <c r="UBY34" s="2"/>
      <c r="UBZ34" s="2"/>
      <c r="UCA34" s="2"/>
      <c r="UCB34" s="2"/>
      <c r="UCC34" s="2"/>
      <c r="UCD34" s="2"/>
      <c r="UCE34" s="2"/>
      <c r="UCF34" s="2"/>
      <c r="UCG34" s="2"/>
      <c r="UCH34" s="2"/>
      <c r="UCI34" s="2"/>
      <c r="UCJ34" s="2"/>
      <c r="UCK34" s="2"/>
      <c r="UCL34" s="2"/>
      <c r="UCM34" s="2"/>
      <c r="UCN34" s="2"/>
      <c r="UCO34" s="2"/>
      <c r="UCP34" s="2"/>
      <c r="UCQ34" s="2"/>
      <c r="UCR34" s="2"/>
      <c r="UCS34" s="2"/>
      <c r="UCT34" s="2"/>
      <c r="UCU34" s="2"/>
      <c r="UCV34" s="2"/>
      <c r="UCW34" s="2"/>
      <c r="UCX34" s="2"/>
      <c r="UCY34" s="2"/>
      <c r="UCZ34" s="2"/>
      <c r="UDA34" s="2"/>
      <c r="UDB34" s="2"/>
      <c r="UDC34" s="2"/>
      <c r="UDD34" s="2"/>
      <c r="UDE34" s="2"/>
      <c r="UDF34" s="2"/>
      <c r="UDG34" s="2"/>
      <c r="UDH34" s="2"/>
      <c r="UDI34" s="2"/>
      <c r="UDJ34" s="2"/>
      <c r="UDK34" s="2"/>
      <c r="UDL34" s="2"/>
      <c r="UDM34" s="2"/>
      <c r="UDN34" s="2"/>
      <c r="UDO34" s="2"/>
      <c r="UDP34" s="2"/>
      <c r="UDQ34" s="2"/>
      <c r="UDR34" s="2"/>
      <c r="UDS34" s="2"/>
      <c r="UDT34" s="2"/>
      <c r="UDU34" s="2"/>
      <c r="UDV34" s="2"/>
      <c r="UDW34" s="2"/>
      <c r="UDX34" s="2"/>
      <c r="UDY34" s="2"/>
      <c r="UDZ34" s="2"/>
      <c r="UEA34" s="2"/>
      <c r="UEB34" s="2"/>
      <c r="UEC34" s="2"/>
      <c r="UED34" s="2"/>
      <c r="UEE34" s="2"/>
      <c r="UEF34" s="2"/>
      <c r="UEG34" s="2"/>
      <c r="UEH34" s="2"/>
      <c r="UEI34" s="2"/>
      <c r="UEJ34" s="2"/>
      <c r="UEK34" s="2"/>
      <c r="UEL34" s="2"/>
      <c r="UEM34" s="2"/>
      <c r="UEN34" s="2"/>
      <c r="UEO34" s="2"/>
      <c r="UEP34" s="2"/>
      <c r="UEQ34" s="2"/>
      <c r="UER34" s="2"/>
      <c r="UES34" s="2"/>
      <c r="UET34" s="2"/>
      <c r="UEU34" s="2"/>
      <c r="UEV34" s="2"/>
      <c r="UEW34" s="2"/>
      <c r="UEX34" s="2"/>
      <c r="UEY34" s="2"/>
      <c r="UEZ34" s="2"/>
      <c r="UFA34" s="2"/>
      <c r="UFB34" s="2"/>
      <c r="UFC34" s="2"/>
      <c r="UFD34" s="2"/>
      <c r="UFE34" s="2"/>
      <c r="UFF34" s="2"/>
      <c r="UFG34" s="2"/>
      <c r="UFH34" s="2"/>
      <c r="UFI34" s="2"/>
      <c r="UFJ34" s="2"/>
      <c r="UFK34" s="2"/>
      <c r="UFL34" s="2"/>
      <c r="UFM34" s="2"/>
      <c r="UFN34" s="2"/>
      <c r="UFO34" s="2"/>
      <c r="UFP34" s="2"/>
      <c r="UFQ34" s="2"/>
      <c r="UFR34" s="2"/>
      <c r="UFS34" s="2"/>
      <c r="UFT34" s="2"/>
      <c r="UFU34" s="2"/>
      <c r="UFV34" s="2"/>
      <c r="UFW34" s="2"/>
      <c r="UFX34" s="2"/>
      <c r="UFY34" s="2"/>
      <c r="UFZ34" s="2"/>
      <c r="UGA34" s="2"/>
      <c r="UGB34" s="2"/>
      <c r="UGC34" s="2"/>
      <c r="UGD34" s="2"/>
      <c r="UGE34" s="2"/>
      <c r="UGF34" s="2"/>
      <c r="UGG34" s="2"/>
      <c r="UGH34" s="2"/>
      <c r="UGI34" s="2"/>
      <c r="UGJ34" s="2"/>
      <c r="UGK34" s="2"/>
      <c r="UGL34" s="2"/>
      <c r="UGM34" s="2"/>
      <c r="UGN34" s="2"/>
      <c r="UGO34" s="2"/>
      <c r="UGP34" s="2"/>
      <c r="UGQ34" s="2"/>
      <c r="UGR34" s="2"/>
      <c r="UGS34" s="2"/>
      <c r="UGT34" s="2"/>
      <c r="UGU34" s="2"/>
      <c r="UGV34" s="2"/>
      <c r="UGW34" s="2"/>
      <c r="UGX34" s="2"/>
      <c r="UGY34" s="2"/>
      <c r="UGZ34" s="2"/>
      <c r="UHA34" s="2"/>
      <c r="UHB34" s="2"/>
      <c r="UHC34" s="2"/>
      <c r="UHD34" s="2"/>
      <c r="UHE34" s="2"/>
      <c r="UHF34" s="2"/>
      <c r="UHG34" s="2"/>
      <c r="UHH34" s="2"/>
      <c r="UHI34" s="2"/>
      <c r="UHJ34" s="2"/>
      <c r="UHK34" s="2"/>
      <c r="UHL34" s="2"/>
      <c r="UHM34" s="2"/>
      <c r="UHN34" s="2"/>
      <c r="UHO34" s="2"/>
      <c r="UHP34" s="2"/>
      <c r="UHQ34" s="2"/>
      <c r="UHR34" s="2"/>
      <c r="UHS34" s="2"/>
      <c r="UHT34" s="2"/>
      <c r="UHU34" s="2"/>
      <c r="UHV34" s="2"/>
      <c r="UHW34" s="2"/>
      <c r="UHX34" s="2"/>
      <c r="UHY34" s="2"/>
      <c r="UHZ34" s="2"/>
      <c r="UIA34" s="2"/>
      <c r="UIB34" s="2"/>
      <c r="UIC34" s="2"/>
      <c r="UID34" s="2"/>
      <c r="UIE34" s="2"/>
      <c r="UIF34" s="2"/>
      <c r="UIG34" s="2"/>
      <c r="UIH34" s="2"/>
      <c r="UII34" s="2"/>
      <c r="UIJ34" s="2"/>
      <c r="UIK34" s="2"/>
      <c r="UIL34" s="2"/>
      <c r="UIM34" s="2"/>
      <c r="UIN34" s="2"/>
      <c r="UIO34" s="2"/>
      <c r="UIP34" s="2"/>
      <c r="UIQ34" s="2"/>
      <c r="UIR34" s="2"/>
      <c r="UIS34" s="2"/>
      <c r="UIT34" s="2"/>
      <c r="UIU34" s="2"/>
      <c r="UIV34" s="2"/>
      <c r="UIW34" s="2"/>
      <c r="UIX34" s="2"/>
      <c r="UIY34" s="2"/>
      <c r="UIZ34" s="2"/>
      <c r="UJA34" s="2"/>
      <c r="UJB34" s="2"/>
      <c r="UJC34" s="2"/>
      <c r="UJD34" s="2"/>
      <c r="UJE34" s="2"/>
      <c r="UJF34" s="2"/>
      <c r="UJG34" s="2"/>
      <c r="UJH34" s="2"/>
      <c r="UJI34" s="2"/>
      <c r="UJJ34" s="2"/>
      <c r="UJK34" s="2"/>
      <c r="UJL34" s="2"/>
      <c r="UJM34" s="2"/>
      <c r="UJN34" s="2"/>
      <c r="UJO34" s="2"/>
      <c r="UJP34" s="2"/>
      <c r="UJQ34" s="2"/>
      <c r="UJR34" s="2"/>
      <c r="UJS34" s="2"/>
      <c r="UJT34" s="2"/>
      <c r="UJU34" s="2"/>
      <c r="UJV34" s="2"/>
      <c r="UJW34" s="2"/>
      <c r="UJX34" s="2"/>
      <c r="UJY34" s="2"/>
      <c r="UJZ34" s="2"/>
      <c r="UKA34" s="2"/>
      <c r="UKB34" s="2"/>
      <c r="UKC34" s="2"/>
      <c r="UKD34" s="2"/>
      <c r="UKE34" s="2"/>
      <c r="UKF34" s="2"/>
      <c r="UKG34" s="2"/>
      <c r="UKH34" s="2"/>
      <c r="UKI34" s="2"/>
      <c r="UKJ34" s="2"/>
      <c r="UKK34" s="2"/>
      <c r="UKL34" s="2"/>
      <c r="UKM34" s="2"/>
      <c r="UKN34" s="2"/>
      <c r="UKO34" s="2"/>
      <c r="UKP34" s="2"/>
      <c r="UKQ34" s="2"/>
      <c r="UKR34" s="2"/>
      <c r="UKS34" s="2"/>
      <c r="UKT34" s="2"/>
      <c r="UKU34" s="2"/>
      <c r="UKV34" s="2"/>
      <c r="UKW34" s="2"/>
      <c r="UKX34" s="2"/>
      <c r="UKY34" s="2"/>
      <c r="UKZ34" s="2"/>
      <c r="ULA34" s="2"/>
      <c r="ULB34" s="2"/>
      <c r="ULC34" s="2"/>
      <c r="ULD34" s="2"/>
      <c r="ULE34" s="2"/>
      <c r="ULF34" s="2"/>
      <c r="ULG34" s="2"/>
      <c r="ULH34" s="2"/>
      <c r="ULI34" s="2"/>
      <c r="ULJ34" s="2"/>
      <c r="ULK34" s="2"/>
      <c r="ULL34" s="2"/>
      <c r="ULM34" s="2"/>
      <c r="ULN34" s="2"/>
      <c r="ULO34" s="2"/>
      <c r="ULP34" s="2"/>
      <c r="ULQ34" s="2"/>
      <c r="ULR34" s="2"/>
      <c r="ULS34" s="2"/>
      <c r="ULT34" s="2"/>
      <c r="ULU34" s="2"/>
      <c r="ULV34" s="2"/>
      <c r="ULW34" s="2"/>
      <c r="ULX34" s="2"/>
      <c r="ULY34" s="2"/>
      <c r="ULZ34" s="2"/>
      <c r="UMA34" s="2"/>
      <c r="UMB34" s="2"/>
      <c r="UMC34" s="2"/>
      <c r="UMD34" s="2"/>
      <c r="UME34" s="2"/>
      <c r="UMF34" s="2"/>
      <c r="UMG34" s="2"/>
      <c r="UMH34" s="2"/>
      <c r="UMI34" s="2"/>
      <c r="UMJ34" s="2"/>
      <c r="UMK34" s="2"/>
      <c r="UML34" s="2"/>
      <c r="UMM34" s="2"/>
      <c r="UMN34" s="2"/>
      <c r="UMO34" s="2"/>
      <c r="UMP34" s="2"/>
      <c r="UMQ34" s="2"/>
      <c r="UMR34" s="2"/>
      <c r="UMS34" s="2"/>
      <c r="UMT34" s="2"/>
      <c r="UMU34" s="2"/>
      <c r="UMV34" s="2"/>
      <c r="UMW34" s="2"/>
      <c r="UMX34" s="2"/>
      <c r="UMY34" s="2"/>
      <c r="UMZ34" s="2"/>
      <c r="UNA34" s="2"/>
      <c r="UNB34" s="2"/>
      <c r="UNC34" s="2"/>
      <c r="UND34" s="2"/>
      <c r="UNE34" s="2"/>
      <c r="UNF34" s="2"/>
      <c r="UNG34" s="2"/>
      <c r="UNH34" s="2"/>
      <c r="UNI34" s="2"/>
      <c r="UNJ34" s="2"/>
      <c r="UNK34" s="2"/>
      <c r="UNL34" s="2"/>
      <c r="UNM34" s="2"/>
      <c r="UNN34" s="2"/>
      <c r="UNO34" s="2"/>
      <c r="UNP34" s="2"/>
      <c r="UNQ34" s="2"/>
      <c r="UNR34" s="2"/>
      <c r="UNS34" s="2"/>
      <c r="UNT34" s="2"/>
      <c r="UNU34" s="2"/>
      <c r="UNV34" s="2"/>
      <c r="UNW34" s="2"/>
      <c r="UNX34" s="2"/>
      <c r="UNY34" s="2"/>
      <c r="UNZ34" s="2"/>
      <c r="UOA34" s="2"/>
      <c r="UOB34" s="2"/>
      <c r="UOC34" s="2"/>
      <c r="UOD34" s="2"/>
      <c r="UOE34" s="2"/>
      <c r="UOF34" s="2"/>
      <c r="UOG34" s="2"/>
      <c r="UOH34" s="2"/>
      <c r="UOI34" s="2"/>
      <c r="UOJ34" s="2"/>
      <c r="UOK34" s="2"/>
      <c r="UOL34" s="2"/>
      <c r="UOM34" s="2"/>
      <c r="UON34" s="2"/>
      <c r="UOO34" s="2"/>
      <c r="UOP34" s="2"/>
      <c r="UOQ34" s="2"/>
      <c r="UOR34" s="2"/>
      <c r="UOS34" s="2"/>
      <c r="UOT34" s="2"/>
      <c r="UOU34" s="2"/>
      <c r="UOV34" s="2"/>
      <c r="UOW34" s="2"/>
      <c r="UOX34" s="2"/>
      <c r="UOY34" s="2"/>
      <c r="UOZ34" s="2"/>
      <c r="UPA34" s="2"/>
      <c r="UPB34" s="2"/>
      <c r="UPC34" s="2"/>
      <c r="UPD34" s="2"/>
      <c r="UPE34" s="2"/>
      <c r="UPF34" s="2"/>
      <c r="UPG34" s="2"/>
      <c r="UPH34" s="2"/>
      <c r="UPI34" s="2"/>
      <c r="UPJ34" s="2"/>
      <c r="UPK34" s="2"/>
      <c r="UPL34" s="2"/>
      <c r="UPM34" s="2"/>
      <c r="UPN34" s="2"/>
      <c r="UPO34" s="2"/>
      <c r="UPP34" s="2"/>
      <c r="UPQ34" s="2"/>
      <c r="UPR34" s="2"/>
      <c r="UPS34" s="2"/>
      <c r="UPT34" s="2"/>
      <c r="UPU34" s="2"/>
      <c r="UPV34" s="2"/>
      <c r="UPW34" s="2"/>
      <c r="UPX34" s="2"/>
      <c r="UPY34" s="2"/>
      <c r="UPZ34" s="2"/>
      <c r="UQA34" s="2"/>
      <c r="UQB34" s="2"/>
      <c r="UQC34" s="2"/>
      <c r="UQD34" s="2"/>
      <c r="UQE34" s="2"/>
      <c r="UQF34" s="2"/>
      <c r="UQG34" s="2"/>
      <c r="UQH34" s="2"/>
      <c r="UQI34" s="2"/>
      <c r="UQJ34" s="2"/>
      <c r="UQK34" s="2"/>
      <c r="UQL34" s="2"/>
      <c r="UQM34" s="2"/>
      <c r="UQN34" s="2"/>
      <c r="UQO34" s="2"/>
      <c r="UQP34" s="2"/>
      <c r="UQQ34" s="2"/>
      <c r="UQR34" s="2"/>
      <c r="UQS34" s="2"/>
      <c r="UQT34" s="2"/>
      <c r="UQU34" s="2"/>
      <c r="UQV34" s="2"/>
      <c r="UQW34" s="2"/>
      <c r="UQX34" s="2"/>
      <c r="UQY34" s="2"/>
      <c r="UQZ34" s="2"/>
      <c r="URA34" s="2"/>
      <c r="URB34" s="2"/>
      <c r="URC34" s="2"/>
      <c r="URD34" s="2"/>
      <c r="URE34" s="2"/>
      <c r="URF34" s="2"/>
      <c r="URG34" s="2"/>
      <c r="URH34" s="2"/>
      <c r="URI34" s="2"/>
      <c r="URJ34" s="2"/>
      <c r="URK34" s="2"/>
      <c r="URL34" s="2"/>
      <c r="URM34" s="2"/>
      <c r="URN34" s="2"/>
      <c r="URO34" s="2"/>
      <c r="URP34" s="2"/>
      <c r="URQ34" s="2"/>
      <c r="URR34" s="2"/>
      <c r="URS34" s="2"/>
      <c r="URT34" s="2"/>
      <c r="URU34" s="2"/>
      <c r="URV34" s="2"/>
      <c r="URW34" s="2"/>
      <c r="URX34" s="2"/>
      <c r="URY34" s="2"/>
      <c r="URZ34" s="2"/>
      <c r="USA34" s="2"/>
      <c r="USB34" s="2"/>
      <c r="USC34" s="2"/>
      <c r="USD34" s="2"/>
      <c r="USE34" s="2"/>
      <c r="USF34" s="2"/>
      <c r="USG34" s="2"/>
      <c r="USH34" s="2"/>
      <c r="USI34" s="2"/>
      <c r="USJ34" s="2"/>
      <c r="USK34" s="2"/>
      <c r="USL34" s="2"/>
      <c r="USM34" s="2"/>
      <c r="USN34" s="2"/>
      <c r="USO34" s="2"/>
      <c r="USP34" s="2"/>
      <c r="USQ34" s="2"/>
      <c r="USR34" s="2"/>
      <c r="USS34" s="2"/>
      <c r="UST34" s="2"/>
      <c r="USU34" s="2"/>
      <c r="USV34" s="2"/>
      <c r="USW34" s="2"/>
      <c r="USX34" s="2"/>
      <c r="USY34" s="2"/>
      <c r="USZ34" s="2"/>
      <c r="UTA34" s="2"/>
      <c r="UTB34" s="2"/>
      <c r="UTC34" s="2"/>
      <c r="UTD34" s="2"/>
      <c r="UTE34" s="2"/>
      <c r="UTF34" s="2"/>
      <c r="UTG34" s="2"/>
      <c r="UTH34" s="2"/>
      <c r="UTI34" s="2"/>
      <c r="UTJ34" s="2"/>
      <c r="UTK34" s="2"/>
      <c r="UTL34" s="2"/>
      <c r="UTM34" s="2"/>
      <c r="UTN34" s="2"/>
      <c r="UTO34" s="2"/>
      <c r="UTP34" s="2"/>
      <c r="UTQ34" s="2"/>
      <c r="UTR34" s="2"/>
      <c r="UTS34" s="2"/>
      <c r="UTT34" s="2"/>
      <c r="UTU34" s="2"/>
      <c r="UTV34" s="2"/>
      <c r="UTW34" s="2"/>
      <c r="UTX34" s="2"/>
      <c r="UTY34" s="2"/>
      <c r="UTZ34" s="2"/>
      <c r="UUA34" s="2"/>
      <c r="UUB34" s="2"/>
      <c r="UUC34" s="2"/>
      <c r="UUD34" s="2"/>
      <c r="UUE34" s="2"/>
      <c r="UUF34" s="2"/>
      <c r="UUG34" s="2"/>
      <c r="UUH34" s="2"/>
      <c r="UUI34" s="2"/>
      <c r="UUJ34" s="2"/>
      <c r="UUK34" s="2"/>
      <c r="UUL34" s="2"/>
      <c r="UUM34" s="2"/>
      <c r="UUN34" s="2"/>
      <c r="UUO34" s="2"/>
      <c r="UUP34" s="2"/>
      <c r="UUQ34" s="2"/>
      <c r="UUR34" s="2"/>
      <c r="UUS34" s="2"/>
      <c r="UUT34" s="2"/>
      <c r="UUU34" s="2"/>
      <c r="UUV34" s="2"/>
      <c r="UUW34" s="2"/>
      <c r="UUX34" s="2"/>
      <c r="UUY34" s="2"/>
      <c r="UUZ34" s="2"/>
      <c r="UVA34" s="2"/>
      <c r="UVB34" s="2"/>
      <c r="UVC34" s="2"/>
      <c r="UVD34" s="2"/>
      <c r="UVE34" s="2"/>
      <c r="UVF34" s="2"/>
      <c r="UVG34" s="2"/>
      <c r="UVH34" s="2"/>
      <c r="UVI34" s="2"/>
      <c r="UVJ34" s="2"/>
      <c r="UVK34" s="2"/>
      <c r="UVL34" s="2"/>
      <c r="UVM34" s="2"/>
      <c r="UVN34" s="2"/>
      <c r="UVO34" s="2"/>
      <c r="UVP34" s="2"/>
      <c r="UVQ34" s="2"/>
      <c r="UVR34" s="2"/>
      <c r="UVS34" s="2"/>
      <c r="UVT34" s="2"/>
      <c r="UVU34" s="2"/>
      <c r="UVV34" s="2"/>
      <c r="UVW34" s="2"/>
      <c r="UVX34" s="2"/>
      <c r="UVY34" s="2"/>
      <c r="UVZ34" s="2"/>
      <c r="UWA34" s="2"/>
      <c r="UWB34" s="2"/>
      <c r="UWC34" s="2"/>
      <c r="UWD34" s="2"/>
      <c r="UWE34" s="2"/>
      <c r="UWF34" s="2"/>
      <c r="UWG34" s="2"/>
      <c r="UWH34" s="2"/>
      <c r="UWI34" s="2"/>
      <c r="UWJ34" s="2"/>
      <c r="UWK34" s="2"/>
      <c r="UWL34" s="2"/>
      <c r="UWM34" s="2"/>
      <c r="UWN34" s="2"/>
      <c r="UWO34" s="2"/>
      <c r="UWP34" s="2"/>
      <c r="UWQ34" s="2"/>
      <c r="UWR34" s="2"/>
      <c r="UWS34" s="2"/>
      <c r="UWT34" s="2"/>
      <c r="UWU34" s="2"/>
      <c r="UWV34" s="2"/>
      <c r="UWW34" s="2"/>
      <c r="UWX34" s="2"/>
      <c r="UWY34" s="2"/>
      <c r="UWZ34" s="2"/>
      <c r="UXA34" s="2"/>
      <c r="UXB34" s="2"/>
      <c r="UXC34" s="2"/>
      <c r="UXD34" s="2"/>
      <c r="UXE34" s="2"/>
      <c r="UXF34" s="2"/>
      <c r="UXG34" s="2"/>
      <c r="UXH34" s="2"/>
      <c r="UXI34" s="2"/>
      <c r="UXJ34" s="2"/>
      <c r="UXK34" s="2"/>
      <c r="UXL34" s="2"/>
      <c r="UXM34" s="2"/>
      <c r="UXN34" s="2"/>
      <c r="UXO34" s="2"/>
      <c r="UXP34" s="2"/>
      <c r="UXQ34" s="2"/>
      <c r="UXR34" s="2"/>
      <c r="UXS34" s="2"/>
      <c r="UXT34" s="2"/>
      <c r="UXU34" s="2"/>
      <c r="UXV34" s="2"/>
      <c r="UXW34" s="2"/>
      <c r="UXX34" s="2"/>
      <c r="UXY34" s="2"/>
      <c r="UXZ34" s="2"/>
      <c r="UYA34" s="2"/>
      <c r="UYB34" s="2"/>
      <c r="UYC34" s="2"/>
      <c r="UYD34" s="2"/>
      <c r="UYE34" s="2"/>
      <c r="UYF34" s="2"/>
      <c r="UYG34" s="2"/>
      <c r="UYH34" s="2"/>
      <c r="UYI34" s="2"/>
      <c r="UYJ34" s="2"/>
      <c r="UYK34" s="2"/>
      <c r="UYL34" s="2"/>
      <c r="UYM34" s="2"/>
      <c r="UYN34" s="2"/>
      <c r="UYO34" s="2"/>
      <c r="UYP34" s="2"/>
      <c r="UYQ34" s="2"/>
      <c r="UYR34" s="2"/>
      <c r="UYS34" s="2"/>
      <c r="UYT34" s="2"/>
      <c r="UYU34" s="2"/>
      <c r="UYV34" s="2"/>
      <c r="UYW34" s="2"/>
      <c r="UYX34" s="2"/>
      <c r="UYY34" s="2"/>
      <c r="UYZ34" s="2"/>
      <c r="UZA34" s="2"/>
      <c r="UZB34" s="2"/>
      <c r="UZC34" s="2"/>
      <c r="UZD34" s="2"/>
      <c r="UZE34" s="2"/>
      <c r="UZF34" s="2"/>
      <c r="UZG34" s="2"/>
      <c r="UZH34" s="2"/>
      <c r="UZI34" s="2"/>
      <c r="UZJ34" s="2"/>
      <c r="UZK34" s="2"/>
      <c r="UZL34" s="2"/>
      <c r="UZM34" s="2"/>
      <c r="UZN34" s="2"/>
      <c r="UZO34" s="2"/>
      <c r="UZP34" s="2"/>
      <c r="UZQ34" s="2"/>
      <c r="UZR34" s="2"/>
      <c r="UZS34" s="2"/>
      <c r="UZT34" s="2"/>
      <c r="UZU34" s="2"/>
      <c r="UZV34" s="2"/>
      <c r="UZW34" s="2"/>
      <c r="UZX34" s="2"/>
      <c r="UZY34" s="2"/>
      <c r="UZZ34" s="2"/>
      <c r="VAA34" s="2"/>
      <c r="VAB34" s="2"/>
      <c r="VAC34" s="2"/>
      <c r="VAD34" s="2"/>
      <c r="VAE34" s="2"/>
      <c r="VAF34" s="2"/>
      <c r="VAG34" s="2"/>
      <c r="VAH34" s="2"/>
      <c r="VAI34" s="2"/>
      <c r="VAJ34" s="2"/>
      <c r="VAK34" s="2"/>
      <c r="VAL34" s="2"/>
      <c r="VAM34" s="2"/>
      <c r="VAN34" s="2"/>
      <c r="VAO34" s="2"/>
      <c r="VAP34" s="2"/>
      <c r="VAQ34" s="2"/>
      <c r="VAR34" s="2"/>
      <c r="VAS34" s="2"/>
      <c r="VAT34" s="2"/>
      <c r="VAU34" s="2"/>
      <c r="VAV34" s="2"/>
      <c r="VAW34" s="2"/>
      <c r="VAX34" s="2"/>
      <c r="VAY34" s="2"/>
      <c r="VAZ34" s="2"/>
      <c r="VBA34" s="2"/>
      <c r="VBB34" s="2"/>
      <c r="VBC34" s="2"/>
      <c r="VBD34" s="2"/>
      <c r="VBE34" s="2"/>
      <c r="VBF34" s="2"/>
      <c r="VBG34" s="2"/>
      <c r="VBH34" s="2"/>
      <c r="VBI34" s="2"/>
      <c r="VBJ34" s="2"/>
      <c r="VBK34" s="2"/>
      <c r="VBL34" s="2"/>
      <c r="VBM34" s="2"/>
      <c r="VBN34" s="2"/>
      <c r="VBO34" s="2"/>
      <c r="VBP34" s="2"/>
      <c r="VBQ34" s="2"/>
      <c r="VBR34" s="2"/>
      <c r="VBS34" s="2"/>
      <c r="VBT34" s="2"/>
      <c r="VBU34" s="2"/>
      <c r="VBV34" s="2"/>
      <c r="VBW34" s="2"/>
      <c r="VBX34" s="2"/>
      <c r="VBY34" s="2"/>
      <c r="VBZ34" s="2"/>
      <c r="VCA34" s="2"/>
      <c r="VCB34" s="2"/>
      <c r="VCC34" s="2"/>
      <c r="VCD34" s="2"/>
      <c r="VCE34" s="2"/>
      <c r="VCF34" s="2"/>
      <c r="VCG34" s="2"/>
      <c r="VCH34" s="2"/>
      <c r="VCI34" s="2"/>
      <c r="VCJ34" s="2"/>
      <c r="VCK34" s="2"/>
      <c r="VCL34" s="2"/>
      <c r="VCM34" s="2"/>
      <c r="VCN34" s="2"/>
      <c r="VCO34" s="2"/>
      <c r="VCP34" s="2"/>
      <c r="VCQ34" s="2"/>
      <c r="VCR34" s="2"/>
      <c r="VCS34" s="2"/>
      <c r="VCT34" s="2"/>
      <c r="VCU34" s="2"/>
      <c r="VCV34" s="2"/>
      <c r="VCW34" s="2"/>
      <c r="VCX34" s="2"/>
      <c r="VCY34" s="2"/>
      <c r="VCZ34" s="2"/>
      <c r="VDA34" s="2"/>
      <c r="VDB34" s="2"/>
      <c r="VDC34" s="2"/>
      <c r="VDD34" s="2"/>
      <c r="VDE34" s="2"/>
      <c r="VDF34" s="2"/>
      <c r="VDG34" s="2"/>
      <c r="VDH34" s="2"/>
      <c r="VDI34" s="2"/>
      <c r="VDJ34" s="2"/>
      <c r="VDK34" s="2"/>
      <c r="VDL34" s="2"/>
      <c r="VDM34" s="2"/>
      <c r="VDN34" s="2"/>
      <c r="VDO34" s="2"/>
      <c r="VDP34" s="2"/>
      <c r="VDQ34" s="2"/>
      <c r="VDR34" s="2"/>
      <c r="VDS34" s="2"/>
      <c r="VDT34" s="2"/>
      <c r="VDU34" s="2"/>
      <c r="VDV34" s="2"/>
      <c r="VDW34" s="2"/>
      <c r="VDX34" s="2"/>
      <c r="VDY34" s="2"/>
      <c r="VDZ34" s="2"/>
      <c r="VEA34" s="2"/>
      <c r="VEB34" s="2"/>
      <c r="VEC34" s="2"/>
      <c r="VED34" s="2"/>
      <c r="VEE34" s="2"/>
      <c r="VEF34" s="2"/>
      <c r="VEG34" s="2"/>
      <c r="VEH34" s="2"/>
      <c r="VEI34" s="2"/>
      <c r="VEJ34" s="2"/>
      <c r="VEK34" s="2"/>
      <c r="VEL34" s="2"/>
      <c r="VEM34" s="2"/>
      <c r="VEN34" s="2"/>
      <c r="VEO34" s="2"/>
      <c r="VEP34" s="2"/>
      <c r="VEQ34" s="2"/>
      <c r="VER34" s="2"/>
      <c r="VES34" s="2"/>
      <c r="VET34" s="2"/>
      <c r="VEU34" s="2"/>
      <c r="VEV34" s="2"/>
      <c r="VEW34" s="2"/>
      <c r="VEX34" s="2"/>
      <c r="VEY34" s="2"/>
      <c r="VEZ34" s="2"/>
      <c r="VFA34" s="2"/>
      <c r="VFB34" s="2"/>
      <c r="VFC34" s="2"/>
      <c r="VFD34" s="2"/>
      <c r="VFE34" s="2"/>
      <c r="VFF34" s="2"/>
      <c r="VFG34" s="2"/>
      <c r="VFH34" s="2"/>
      <c r="VFI34" s="2"/>
      <c r="VFJ34" s="2"/>
      <c r="VFK34" s="2"/>
      <c r="VFL34" s="2"/>
      <c r="VFM34" s="2"/>
      <c r="VFN34" s="2"/>
      <c r="VFO34" s="2"/>
      <c r="VFP34" s="2"/>
      <c r="VFQ34" s="2"/>
      <c r="VFR34" s="2"/>
      <c r="VFS34" s="2"/>
      <c r="VFT34" s="2"/>
      <c r="VFU34" s="2"/>
      <c r="VFV34" s="2"/>
      <c r="VFW34" s="2"/>
      <c r="VFX34" s="2"/>
      <c r="VFY34" s="2"/>
      <c r="VFZ34" s="2"/>
      <c r="VGA34" s="2"/>
      <c r="VGB34" s="2"/>
      <c r="VGC34" s="2"/>
      <c r="VGD34" s="2"/>
      <c r="VGE34" s="2"/>
      <c r="VGF34" s="2"/>
      <c r="VGG34" s="2"/>
      <c r="VGH34" s="2"/>
      <c r="VGI34" s="2"/>
      <c r="VGJ34" s="2"/>
      <c r="VGK34" s="2"/>
      <c r="VGL34" s="2"/>
      <c r="VGM34" s="2"/>
      <c r="VGN34" s="2"/>
      <c r="VGO34" s="2"/>
      <c r="VGP34" s="2"/>
      <c r="VGQ34" s="2"/>
      <c r="VGR34" s="2"/>
      <c r="VGS34" s="2"/>
      <c r="VGT34" s="2"/>
      <c r="VGU34" s="2"/>
      <c r="VGV34" s="2"/>
      <c r="VGW34" s="2"/>
      <c r="VGX34" s="2"/>
      <c r="VGY34" s="2"/>
      <c r="VGZ34" s="2"/>
      <c r="VHA34" s="2"/>
      <c r="VHB34" s="2"/>
      <c r="VHC34" s="2"/>
      <c r="VHD34" s="2"/>
      <c r="VHE34" s="2"/>
      <c r="VHF34" s="2"/>
      <c r="VHG34" s="2"/>
      <c r="VHH34" s="2"/>
      <c r="VHI34" s="2"/>
      <c r="VHJ34" s="2"/>
      <c r="VHK34" s="2"/>
      <c r="VHL34" s="2"/>
      <c r="VHM34" s="2"/>
      <c r="VHN34" s="2"/>
      <c r="VHO34" s="2"/>
      <c r="VHP34" s="2"/>
      <c r="VHQ34" s="2"/>
      <c r="VHR34" s="2"/>
      <c r="VHS34" s="2"/>
      <c r="VHT34" s="2"/>
      <c r="VHU34" s="2"/>
      <c r="VHV34" s="2"/>
      <c r="VHW34" s="2"/>
      <c r="VHX34" s="2"/>
      <c r="VHY34" s="2"/>
      <c r="VHZ34" s="2"/>
      <c r="VIA34" s="2"/>
      <c r="VIB34" s="2"/>
      <c r="VIC34" s="2"/>
      <c r="VID34" s="2"/>
      <c r="VIE34" s="2"/>
      <c r="VIF34" s="2"/>
      <c r="VIG34" s="2"/>
      <c r="VIH34" s="2"/>
      <c r="VII34" s="2"/>
      <c r="VIJ34" s="2"/>
      <c r="VIK34" s="2"/>
      <c r="VIL34" s="2"/>
      <c r="VIM34" s="2"/>
      <c r="VIN34" s="2"/>
      <c r="VIO34" s="2"/>
      <c r="VIP34" s="2"/>
      <c r="VIQ34" s="2"/>
      <c r="VIR34" s="2"/>
      <c r="VIS34" s="2"/>
      <c r="VIT34" s="2"/>
      <c r="VIU34" s="2"/>
      <c r="VIV34" s="2"/>
      <c r="VIW34" s="2"/>
      <c r="VIX34" s="2"/>
      <c r="VIY34" s="2"/>
      <c r="VIZ34" s="2"/>
      <c r="VJA34" s="2"/>
      <c r="VJB34" s="2"/>
      <c r="VJC34" s="2"/>
      <c r="VJD34" s="2"/>
      <c r="VJE34" s="2"/>
      <c r="VJF34" s="2"/>
      <c r="VJG34" s="2"/>
      <c r="VJH34" s="2"/>
      <c r="VJI34" s="2"/>
      <c r="VJJ34" s="2"/>
      <c r="VJK34" s="2"/>
      <c r="VJL34" s="2"/>
      <c r="VJM34" s="2"/>
      <c r="VJN34" s="2"/>
      <c r="VJO34" s="2"/>
      <c r="VJP34" s="2"/>
      <c r="VJQ34" s="2"/>
      <c r="VJR34" s="2"/>
      <c r="VJS34" s="2"/>
      <c r="VJT34" s="2"/>
      <c r="VJU34" s="2"/>
      <c r="VJV34" s="2"/>
      <c r="VJW34" s="2"/>
      <c r="VJX34" s="2"/>
      <c r="VJY34" s="2"/>
      <c r="VJZ34" s="2"/>
      <c r="VKA34" s="2"/>
      <c r="VKB34" s="2"/>
      <c r="VKC34" s="2"/>
      <c r="VKD34" s="2"/>
      <c r="VKE34" s="2"/>
      <c r="VKF34" s="2"/>
      <c r="VKG34" s="2"/>
      <c r="VKH34" s="2"/>
      <c r="VKI34" s="2"/>
      <c r="VKJ34" s="2"/>
      <c r="VKK34" s="2"/>
      <c r="VKL34" s="2"/>
      <c r="VKM34" s="2"/>
      <c r="VKN34" s="2"/>
      <c r="VKO34" s="2"/>
      <c r="VKP34" s="2"/>
      <c r="VKQ34" s="2"/>
      <c r="VKR34" s="2"/>
      <c r="VKS34" s="2"/>
      <c r="VKT34" s="2"/>
      <c r="VKU34" s="2"/>
      <c r="VKV34" s="2"/>
      <c r="VKW34" s="2"/>
      <c r="VKX34" s="2"/>
      <c r="VKY34" s="2"/>
      <c r="VKZ34" s="2"/>
      <c r="VLA34" s="2"/>
      <c r="VLB34" s="2"/>
      <c r="VLC34" s="2"/>
      <c r="VLD34" s="2"/>
      <c r="VLE34" s="2"/>
      <c r="VLF34" s="2"/>
      <c r="VLG34" s="2"/>
      <c r="VLH34" s="2"/>
      <c r="VLI34" s="2"/>
      <c r="VLJ34" s="2"/>
      <c r="VLK34" s="2"/>
      <c r="VLL34" s="2"/>
      <c r="VLM34" s="2"/>
      <c r="VLN34" s="2"/>
      <c r="VLO34" s="2"/>
      <c r="VLP34" s="2"/>
      <c r="VLQ34" s="2"/>
      <c r="VLR34" s="2"/>
      <c r="VLS34" s="2"/>
      <c r="VLT34" s="2"/>
      <c r="VLU34" s="2"/>
      <c r="VLV34" s="2"/>
      <c r="VLW34" s="2"/>
      <c r="VLX34" s="2"/>
      <c r="VLY34" s="2"/>
      <c r="VLZ34" s="2"/>
      <c r="VMA34" s="2"/>
      <c r="VMB34" s="2"/>
      <c r="VMC34" s="2"/>
      <c r="VMD34" s="2"/>
      <c r="VME34" s="2"/>
      <c r="VMF34" s="2"/>
      <c r="VMG34" s="2"/>
      <c r="VMH34" s="2"/>
      <c r="VMI34" s="2"/>
      <c r="VMJ34" s="2"/>
      <c r="VMK34" s="2"/>
      <c r="VML34" s="2"/>
      <c r="VMM34" s="2"/>
      <c r="VMN34" s="2"/>
      <c r="VMO34" s="2"/>
      <c r="VMP34" s="2"/>
      <c r="VMQ34" s="2"/>
      <c r="VMR34" s="2"/>
      <c r="VMS34" s="2"/>
      <c r="VMT34" s="2"/>
      <c r="VMU34" s="2"/>
      <c r="VMV34" s="2"/>
      <c r="VMW34" s="2"/>
      <c r="VMX34" s="2"/>
      <c r="VMY34" s="2"/>
      <c r="VMZ34" s="2"/>
      <c r="VNA34" s="2"/>
      <c r="VNB34" s="2"/>
      <c r="VNC34" s="2"/>
      <c r="VND34" s="2"/>
      <c r="VNE34" s="2"/>
      <c r="VNF34" s="2"/>
      <c r="VNG34" s="2"/>
      <c r="VNH34" s="2"/>
      <c r="VNI34" s="2"/>
      <c r="VNJ34" s="2"/>
      <c r="VNK34" s="2"/>
      <c r="VNL34" s="2"/>
      <c r="VNM34" s="2"/>
      <c r="VNN34" s="2"/>
      <c r="VNO34" s="2"/>
      <c r="VNP34" s="2"/>
      <c r="VNQ34" s="2"/>
      <c r="VNR34" s="2"/>
      <c r="VNS34" s="2"/>
      <c r="VNT34" s="2"/>
      <c r="VNU34" s="2"/>
      <c r="VNV34" s="2"/>
      <c r="VNW34" s="2"/>
      <c r="VNX34" s="2"/>
      <c r="VNY34" s="2"/>
      <c r="VNZ34" s="2"/>
      <c r="VOA34" s="2"/>
      <c r="VOB34" s="2"/>
      <c r="VOC34" s="2"/>
      <c r="VOD34" s="2"/>
      <c r="VOE34" s="2"/>
      <c r="VOF34" s="2"/>
      <c r="VOG34" s="2"/>
      <c r="VOH34" s="2"/>
      <c r="VOI34" s="2"/>
      <c r="VOJ34" s="2"/>
      <c r="VOK34" s="2"/>
      <c r="VOL34" s="2"/>
      <c r="VOM34" s="2"/>
      <c r="VON34" s="2"/>
      <c r="VOO34" s="2"/>
      <c r="VOP34" s="2"/>
      <c r="VOQ34" s="2"/>
      <c r="VOR34" s="2"/>
      <c r="VOS34" s="2"/>
      <c r="VOT34" s="2"/>
      <c r="VOU34" s="2"/>
      <c r="VOV34" s="2"/>
      <c r="VOW34" s="2"/>
      <c r="VOX34" s="2"/>
      <c r="VOY34" s="2"/>
      <c r="VOZ34" s="2"/>
      <c r="VPA34" s="2"/>
      <c r="VPB34" s="2"/>
      <c r="VPC34" s="2"/>
      <c r="VPD34" s="2"/>
      <c r="VPE34" s="2"/>
      <c r="VPF34" s="2"/>
      <c r="VPG34" s="2"/>
      <c r="VPH34" s="2"/>
      <c r="VPI34" s="2"/>
      <c r="VPJ34" s="2"/>
      <c r="VPK34" s="2"/>
      <c r="VPL34" s="2"/>
      <c r="VPM34" s="2"/>
      <c r="VPN34" s="2"/>
      <c r="VPO34" s="2"/>
      <c r="VPP34" s="2"/>
      <c r="VPQ34" s="2"/>
      <c r="VPR34" s="2"/>
      <c r="VPS34" s="2"/>
      <c r="VPT34" s="2"/>
      <c r="VPU34" s="2"/>
      <c r="VPV34" s="2"/>
      <c r="VPW34" s="2"/>
      <c r="VPX34" s="2"/>
      <c r="VPY34" s="2"/>
      <c r="VPZ34" s="2"/>
      <c r="VQA34" s="2"/>
      <c r="VQB34" s="2"/>
      <c r="VQC34" s="2"/>
      <c r="VQD34" s="2"/>
      <c r="VQE34" s="2"/>
      <c r="VQF34" s="2"/>
      <c r="VQG34" s="2"/>
      <c r="VQH34" s="2"/>
      <c r="VQI34" s="2"/>
      <c r="VQJ34" s="2"/>
      <c r="VQK34" s="2"/>
      <c r="VQL34" s="2"/>
      <c r="VQM34" s="2"/>
      <c r="VQN34" s="2"/>
      <c r="VQO34" s="2"/>
      <c r="VQP34" s="2"/>
      <c r="VQQ34" s="2"/>
      <c r="VQR34" s="2"/>
      <c r="VQS34" s="2"/>
      <c r="VQT34" s="2"/>
      <c r="VQU34" s="2"/>
      <c r="VQV34" s="2"/>
      <c r="VQW34" s="2"/>
      <c r="VQX34" s="2"/>
      <c r="VQY34" s="2"/>
      <c r="VQZ34" s="2"/>
      <c r="VRA34" s="2"/>
      <c r="VRB34" s="2"/>
      <c r="VRC34" s="2"/>
      <c r="VRD34" s="2"/>
      <c r="VRE34" s="2"/>
      <c r="VRF34" s="2"/>
      <c r="VRG34" s="2"/>
      <c r="VRH34" s="2"/>
      <c r="VRI34" s="2"/>
      <c r="VRJ34" s="2"/>
      <c r="VRK34" s="2"/>
      <c r="VRL34" s="2"/>
      <c r="VRM34" s="2"/>
      <c r="VRN34" s="2"/>
      <c r="VRO34" s="2"/>
      <c r="VRP34" s="2"/>
      <c r="VRQ34" s="2"/>
      <c r="VRR34" s="2"/>
      <c r="VRS34" s="2"/>
      <c r="VRT34" s="2"/>
      <c r="VRU34" s="2"/>
      <c r="VRV34" s="2"/>
      <c r="VRW34" s="2"/>
      <c r="VRX34" s="2"/>
      <c r="VRY34" s="2"/>
      <c r="VRZ34" s="2"/>
      <c r="VSA34" s="2"/>
      <c r="VSB34" s="2"/>
      <c r="VSC34" s="2"/>
      <c r="VSD34" s="2"/>
      <c r="VSE34" s="2"/>
      <c r="VSF34" s="2"/>
      <c r="VSG34" s="2"/>
      <c r="VSH34" s="2"/>
      <c r="VSI34" s="2"/>
      <c r="VSJ34" s="2"/>
      <c r="VSK34" s="2"/>
      <c r="VSL34" s="2"/>
      <c r="VSM34" s="2"/>
      <c r="VSN34" s="2"/>
      <c r="VSO34" s="2"/>
      <c r="VSP34" s="2"/>
      <c r="VSQ34" s="2"/>
      <c r="VSR34" s="2"/>
      <c r="VSS34" s="2"/>
      <c r="VST34" s="2"/>
      <c r="VSU34" s="2"/>
      <c r="VSV34" s="2"/>
      <c r="VSW34" s="2"/>
      <c r="VSX34" s="2"/>
      <c r="VSY34" s="2"/>
      <c r="VSZ34" s="2"/>
      <c r="VTA34" s="2"/>
      <c r="VTB34" s="2"/>
      <c r="VTC34" s="2"/>
      <c r="VTD34" s="2"/>
      <c r="VTE34" s="2"/>
      <c r="VTF34" s="2"/>
      <c r="VTG34" s="2"/>
      <c r="VTH34" s="2"/>
      <c r="VTI34" s="2"/>
      <c r="VTJ34" s="2"/>
      <c r="VTK34" s="2"/>
      <c r="VTL34" s="2"/>
      <c r="VTM34" s="2"/>
      <c r="VTN34" s="2"/>
      <c r="VTO34" s="2"/>
      <c r="VTP34" s="2"/>
      <c r="VTQ34" s="2"/>
      <c r="VTR34" s="2"/>
      <c r="VTS34" s="2"/>
      <c r="VTT34" s="2"/>
      <c r="VTU34" s="2"/>
      <c r="VTV34" s="2"/>
      <c r="VTW34" s="2"/>
      <c r="VTX34" s="2"/>
      <c r="VTY34" s="2"/>
      <c r="VTZ34" s="2"/>
      <c r="VUA34" s="2"/>
      <c r="VUB34" s="2"/>
      <c r="VUC34" s="2"/>
      <c r="VUD34" s="2"/>
      <c r="VUE34" s="2"/>
      <c r="VUF34" s="2"/>
      <c r="VUG34" s="2"/>
      <c r="VUH34" s="2"/>
      <c r="VUI34" s="2"/>
      <c r="VUJ34" s="2"/>
      <c r="VUK34" s="2"/>
      <c r="VUL34" s="2"/>
      <c r="VUM34" s="2"/>
      <c r="VUN34" s="2"/>
      <c r="VUO34" s="2"/>
      <c r="VUP34" s="2"/>
      <c r="VUQ34" s="2"/>
      <c r="VUR34" s="2"/>
      <c r="VUS34" s="2"/>
      <c r="VUT34" s="2"/>
      <c r="VUU34" s="2"/>
      <c r="VUV34" s="2"/>
      <c r="VUW34" s="2"/>
      <c r="VUX34" s="2"/>
      <c r="VUY34" s="2"/>
      <c r="VUZ34" s="2"/>
      <c r="VVA34" s="2"/>
      <c r="VVB34" s="2"/>
      <c r="VVC34" s="2"/>
      <c r="VVD34" s="2"/>
      <c r="VVE34" s="2"/>
      <c r="VVF34" s="2"/>
      <c r="VVG34" s="2"/>
      <c r="VVH34" s="2"/>
      <c r="VVI34" s="2"/>
      <c r="VVJ34" s="2"/>
      <c r="VVK34" s="2"/>
      <c r="VVL34" s="2"/>
      <c r="VVM34" s="2"/>
      <c r="VVN34" s="2"/>
      <c r="VVO34" s="2"/>
      <c r="VVP34" s="2"/>
      <c r="VVQ34" s="2"/>
      <c r="VVR34" s="2"/>
      <c r="VVS34" s="2"/>
      <c r="VVT34" s="2"/>
      <c r="VVU34" s="2"/>
      <c r="VVV34" s="2"/>
      <c r="VVW34" s="2"/>
      <c r="VVX34" s="2"/>
      <c r="VVY34" s="2"/>
      <c r="VVZ34" s="2"/>
      <c r="VWA34" s="2"/>
      <c r="VWB34" s="2"/>
      <c r="VWC34" s="2"/>
      <c r="VWD34" s="2"/>
      <c r="VWE34" s="2"/>
      <c r="VWF34" s="2"/>
      <c r="VWG34" s="2"/>
      <c r="VWH34" s="2"/>
      <c r="VWI34" s="2"/>
      <c r="VWJ34" s="2"/>
      <c r="VWK34" s="2"/>
      <c r="VWL34" s="2"/>
      <c r="VWM34" s="2"/>
      <c r="VWN34" s="2"/>
      <c r="VWO34" s="2"/>
      <c r="VWP34" s="2"/>
      <c r="VWQ34" s="2"/>
      <c r="VWR34" s="2"/>
      <c r="VWS34" s="2"/>
      <c r="VWT34" s="2"/>
      <c r="VWU34" s="2"/>
      <c r="VWV34" s="2"/>
      <c r="VWW34" s="2"/>
      <c r="VWX34" s="2"/>
      <c r="VWY34" s="2"/>
      <c r="VWZ34" s="2"/>
      <c r="VXA34" s="2"/>
      <c r="VXB34" s="2"/>
      <c r="VXC34" s="2"/>
      <c r="VXD34" s="2"/>
      <c r="VXE34" s="2"/>
      <c r="VXF34" s="2"/>
      <c r="VXG34" s="2"/>
      <c r="VXH34" s="2"/>
      <c r="VXI34" s="2"/>
      <c r="VXJ34" s="2"/>
      <c r="VXK34" s="2"/>
      <c r="VXL34" s="2"/>
      <c r="VXM34" s="2"/>
      <c r="VXN34" s="2"/>
      <c r="VXO34" s="2"/>
      <c r="VXP34" s="2"/>
      <c r="VXQ34" s="2"/>
      <c r="VXR34" s="2"/>
      <c r="VXS34" s="2"/>
      <c r="VXT34" s="2"/>
      <c r="VXU34" s="2"/>
      <c r="VXV34" s="2"/>
      <c r="VXW34" s="2"/>
      <c r="VXX34" s="2"/>
      <c r="VXY34" s="2"/>
      <c r="VXZ34" s="2"/>
      <c r="VYA34" s="2"/>
      <c r="VYB34" s="2"/>
      <c r="VYC34" s="2"/>
      <c r="VYD34" s="2"/>
      <c r="VYE34" s="2"/>
      <c r="VYF34" s="2"/>
      <c r="VYG34" s="2"/>
      <c r="VYH34" s="2"/>
      <c r="VYI34" s="2"/>
      <c r="VYJ34" s="2"/>
      <c r="VYK34" s="2"/>
      <c r="VYL34" s="2"/>
      <c r="VYM34" s="2"/>
      <c r="VYN34" s="2"/>
      <c r="VYO34" s="2"/>
      <c r="VYP34" s="2"/>
      <c r="VYQ34" s="2"/>
      <c r="VYR34" s="2"/>
      <c r="VYS34" s="2"/>
      <c r="VYT34" s="2"/>
      <c r="VYU34" s="2"/>
      <c r="VYV34" s="2"/>
      <c r="VYW34" s="2"/>
      <c r="VYX34" s="2"/>
      <c r="VYY34" s="2"/>
      <c r="VYZ34" s="2"/>
      <c r="VZA34" s="2"/>
      <c r="VZB34" s="2"/>
      <c r="VZC34" s="2"/>
      <c r="VZD34" s="2"/>
      <c r="VZE34" s="2"/>
      <c r="VZF34" s="2"/>
      <c r="VZG34" s="2"/>
      <c r="VZH34" s="2"/>
      <c r="VZI34" s="2"/>
      <c r="VZJ34" s="2"/>
      <c r="VZK34" s="2"/>
      <c r="VZL34" s="2"/>
      <c r="VZM34" s="2"/>
      <c r="VZN34" s="2"/>
      <c r="VZO34" s="2"/>
      <c r="VZP34" s="2"/>
      <c r="VZQ34" s="2"/>
      <c r="VZR34" s="2"/>
      <c r="VZS34" s="2"/>
      <c r="VZT34" s="2"/>
      <c r="VZU34" s="2"/>
      <c r="VZV34" s="2"/>
      <c r="VZW34" s="2"/>
      <c r="VZX34" s="2"/>
      <c r="VZY34" s="2"/>
      <c r="VZZ34" s="2"/>
      <c r="WAA34" s="2"/>
      <c r="WAB34" s="2"/>
      <c r="WAC34" s="2"/>
      <c r="WAD34" s="2"/>
      <c r="WAE34" s="2"/>
      <c r="WAF34" s="2"/>
      <c r="WAG34" s="2"/>
      <c r="WAH34" s="2"/>
      <c r="WAI34" s="2"/>
      <c r="WAJ34" s="2"/>
      <c r="WAK34" s="2"/>
      <c r="WAL34" s="2"/>
      <c r="WAM34" s="2"/>
      <c r="WAN34" s="2"/>
      <c r="WAO34" s="2"/>
      <c r="WAP34" s="2"/>
      <c r="WAQ34" s="2"/>
      <c r="WAR34" s="2"/>
      <c r="WAS34" s="2"/>
      <c r="WAT34" s="2"/>
      <c r="WAU34" s="2"/>
      <c r="WAV34" s="2"/>
      <c r="WAW34" s="2"/>
      <c r="WAX34" s="2"/>
      <c r="WAY34" s="2"/>
      <c r="WAZ34" s="2"/>
      <c r="WBA34" s="2"/>
      <c r="WBB34" s="2"/>
      <c r="WBC34" s="2"/>
      <c r="WBD34" s="2"/>
      <c r="WBE34" s="2"/>
      <c r="WBF34" s="2"/>
      <c r="WBG34" s="2"/>
      <c r="WBH34" s="2"/>
      <c r="WBI34" s="2"/>
      <c r="WBJ34" s="2"/>
      <c r="WBK34" s="2"/>
      <c r="WBL34" s="2"/>
      <c r="WBM34" s="2"/>
      <c r="WBN34" s="2"/>
      <c r="WBO34" s="2"/>
      <c r="WBP34" s="2"/>
      <c r="WBQ34" s="2"/>
      <c r="WBR34" s="2"/>
      <c r="WBS34" s="2"/>
      <c r="WBT34" s="2"/>
      <c r="WBU34" s="2"/>
      <c r="WBV34" s="2"/>
      <c r="WBW34" s="2"/>
      <c r="WBX34" s="2"/>
      <c r="WBY34" s="2"/>
      <c r="WBZ34" s="2"/>
      <c r="WCA34" s="2"/>
      <c r="WCB34" s="2"/>
      <c r="WCC34" s="2"/>
      <c r="WCD34" s="2"/>
      <c r="WCE34" s="2"/>
      <c r="WCF34" s="2"/>
      <c r="WCG34" s="2"/>
      <c r="WCH34" s="2"/>
      <c r="WCI34" s="2"/>
      <c r="WCJ34" s="2"/>
      <c r="WCK34" s="2"/>
      <c r="WCL34" s="2"/>
      <c r="WCM34" s="2"/>
      <c r="WCN34" s="2"/>
      <c r="WCO34" s="2"/>
      <c r="WCP34" s="2"/>
      <c r="WCQ34" s="2"/>
      <c r="WCR34" s="2"/>
      <c r="WCS34" s="2"/>
      <c r="WCT34" s="2"/>
      <c r="WCU34" s="2"/>
      <c r="WCV34" s="2"/>
      <c r="WCW34" s="2"/>
      <c r="WCX34" s="2"/>
      <c r="WCY34" s="2"/>
      <c r="WCZ34" s="2"/>
      <c r="WDA34" s="2"/>
      <c r="WDB34" s="2"/>
      <c r="WDC34" s="2"/>
      <c r="WDD34" s="2"/>
      <c r="WDE34" s="2"/>
      <c r="WDF34" s="2"/>
      <c r="WDG34" s="2"/>
      <c r="WDH34" s="2"/>
      <c r="WDI34" s="2"/>
      <c r="WDJ34" s="2"/>
      <c r="WDK34" s="2"/>
      <c r="WDL34" s="2"/>
      <c r="WDM34" s="2"/>
      <c r="WDN34" s="2"/>
      <c r="WDO34" s="2"/>
      <c r="WDP34" s="2"/>
      <c r="WDQ34" s="2"/>
      <c r="WDR34" s="2"/>
      <c r="WDS34" s="2"/>
      <c r="WDT34" s="2"/>
      <c r="WDU34" s="2"/>
      <c r="WDV34" s="2"/>
      <c r="WDW34" s="2"/>
      <c r="WDX34" s="2"/>
      <c r="WDY34" s="2"/>
      <c r="WDZ34" s="2"/>
      <c r="WEA34" s="2"/>
      <c r="WEB34" s="2"/>
      <c r="WEC34" s="2"/>
      <c r="WED34" s="2"/>
      <c r="WEE34" s="2"/>
      <c r="WEF34" s="2"/>
      <c r="WEG34" s="2"/>
      <c r="WEH34" s="2"/>
      <c r="WEI34" s="2"/>
      <c r="WEJ34" s="2"/>
      <c r="WEK34" s="2"/>
      <c r="WEL34" s="2"/>
      <c r="WEM34" s="2"/>
      <c r="WEN34" s="2"/>
      <c r="WEO34" s="2"/>
      <c r="WEP34" s="2"/>
      <c r="WEQ34" s="2"/>
      <c r="WER34" s="2"/>
      <c r="WES34" s="2"/>
      <c r="WET34" s="2"/>
      <c r="WEU34" s="2"/>
      <c r="WEV34" s="2"/>
      <c r="WEW34" s="2"/>
      <c r="WEX34" s="2"/>
      <c r="WEY34" s="2"/>
      <c r="WEZ34" s="2"/>
      <c r="WFA34" s="2"/>
      <c r="WFB34" s="2"/>
      <c r="WFC34" s="2"/>
      <c r="WFD34" s="2"/>
      <c r="WFE34" s="2"/>
      <c r="WFF34" s="2"/>
      <c r="WFG34" s="2"/>
      <c r="WFH34" s="2"/>
      <c r="WFI34" s="2"/>
      <c r="WFJ34" s="2"/>
      <c r="WFK34" s="2"/>
      <c r="WFL34" s="2"/>
      <c r="WFM34" s="2"/>
      <c r="WFN34" s="2"/>
      <c r="WFO34" s="2"/>
      <c r="WFP34" s="2"/>
      <c r="WFQ34" s="2"/>
      <c r="WFR34" s="2"/>
      <c r="WFS34" s="2"/>
      <c r="WFT34" s="2"/>
      <c r="WFU34" s="2"/>
      <c r="WFV34" s="2"/>
      <c r="WFW34" s="2"/>
      <c r="WFX34" s="2"/>
      <c r="WFY34" s="2"/>
      <c r="WFZ34" s="2"/>
      <c r="WGA34" s="2"/>
      <c r="WGB34" s="2"/>
      <c r="WGC34" s="2"/>
      <c r="WGD34" s="2"/>
      <c r="WGE34" s="2"/>
      <c r="WGF34" s="2"/>
      <c r="WGG34" s="2"/>
      <c r="WGH34" s="2"/>
      <c r="WGI34" s="2"/>
      <c r="WGJ34" s="2"/>
      <c r="WGK34" s="2"/>
      <c r="WGL34" s="2"/>
      <c r="WGM34" s="2"/>
      <c r="WGN34" s="2"/>
      <c r="WGO34" s="2"/>
      <c r="WGP34" s="2"/>
      <c r="WGQ34" s="2"/>
      <c r="WGR34" s="2"/>
      <c r="WGS34" s="2"/>
      <c r="WGT34" s="2"/>
      <c r="WGU34" s="2"/>
      <c r="WGV34" s="2"/>
      <c r="WGW34" s="2"/>
      <c r="WGX34" s="2"/>
      <c r="WGY34" s="2"/>
      <c r="WGZ34" s="2"/>
      <c r="WHA34" s="2"/>
      <c r="WHB34" s="2"/>
      <c r="WHC34" s="2"/>
      <c r="WHD34" s="2"/>
      <c r="WHE34" s="2"/>
      <c r="WHF34" s="2"/>
      <c r="WHG34" s="2"/>
      <c r="WHH34" s="2"/>
      <c r="WHI34" s="2"/>
      <c r="WHJ34" s="2"/>
      <c r="WHK34" s="2"/>
      <c r="WHL34" s="2"/>
      <c r="WHM34" s="2"/>
      <c r="WHN34" s="2"/>
      <c r="WHO34" s="2"/>
      <c r="WHP34" s="2"/>
      <c r="WHQ34" s="2"/>
      <c r="WHR34" s="2"/>
      <c r="WHS34" s="2"/>
      <c r="WHT34" s="2"/>
      <c r="WHU34" s="2"/>
      <c r="WHV34" s="2"/>
      <c r="WHW34" s="2"/>
      <c r="WHX34" s="2"/>
      <c r="WHY34" s="2"/>
      <c r="WHZ34" s="2"/>
      <c r="WIA34" s="2"/>
      <c r="WIB34" s="2"/>
      <c r="WIC34" s="2"/>
      <c r="WID34" s="2"/>
      <c r="WIE34" s="2"/>
      <c r="WIF34" s="2"/>
      <c r="WIG34" s="2"/>
      <c r="WIH34" s="2"/>
      <c r="WII34" s="2"/>
      <c r="WIJ34" s="2"/>
      <c r="WIK34" s="2"/>
      <c r="WIL34" s="2"/>
      <c r="WIM34" s="2"/>
      <c r="WIN34" s="2"/>
      <c r="WIO34" s="2"/>
      <c r="WIP34" s="2"/>
      <c r="WIQ34" s="2"/>
      <c r="WIR34" s="2"/>
      <c r="WIS34" s="2"/>
      <c r="WIT34" s="2"/>
      <c r="WIU34" s="2"/>
      <c r="WIV34" s="2"/>
      <c r="WIW34" s="2"/>
      <c r="WIX34" s="2"/>
      <c r="WIY34" s="2"/>
      <c r="WIZ34" s="2"/>
      <c r="WJA34" s="2"/>
      <c r="WJB34" s="2"/>
      <c r="WJC34" s="2"/>
      <c r="WJD34" s="2"/>
      <c r="WJE34" s="2"/>
      <c r="WJF34" s="2"/>
      <c r="WJG34" s="2"/>
      <c r="WJH34" s="2"/>
      <c r="WJI34" s="2"/>
      <c r="WJJ34" s="2"/>
      <c r="WJK34" s="2"/>
      <c r="WJL34" s="2"/>
      <c r="WJM34" s="2"/>
      <c r="WJN34" s="2"/>
      <c r="WJO34" s="2"/>
      <c r="WJP34" s="2"/>
      <c r="WJQ34" s="2"/>
      <c r="WJR34" s="2"/>
      <c r="WJS34" s="2"/>
      <c r="WJT34" s="2"/>
      <c r="WJU34" s="2"/>
      <c r="WJV34" s="2"/>
      <c r="WJW34" s="2"/>
      <c r="WJX34" s="2"/>
      <c r="WJY34" s="2"/>
      <c r="WJZ34" s="2"/>
      <c r="WKA34" s="2"/>
      <c r="WKB34" s="2"/>
      <c r="WKC34" s="2"/>
      <c r="WKD34" s="2"/>
      <c r="WKE34" s="2"/>
      <c r="WKF34" s="2"/>
      <c r="WKG34" s="2"/>
      <c r="WKH34" s="2"/>
      <c r="WKI34" s="2"/>
      <c r="WKJ34" s="2"/>
      <c r="WKK34" s="2"/>
      <c r="WKL34" s="2"/>
      <c r="WKM34" s="2"/>
      <c r="WKN34" s="2"/>
      <c r="WKO34" s="2"/>
      <c r="WKP34" s="2"/>
      <c r="WKQ34" s="2"/>
      <c r="WKR34" s="2"/>
      <c r="WKS34" s="2"/>
      <c r="WKT34" s="2"/>
      <c r="WKU34" s="2"/>
      <c r="WKV34" s="2"/>
      <c r="WKW34" s="2"/>
      <c r="WKX34" s="2"/>
      <c r="WKY34" s="2"/>
      <c r="WKZ34" s="2"/>
      <c r="WLA34" s="2"/>
      <c r="WLB34" s="2"/>
      <c r="WLC34" s="2"/>
      <c r="WLD34" s="2"/>
      <c r="WLE34" s="2"/>
      <c r="WLF34" s="2"/>
      <c r="WLG34" s="2"/>
      <c r="WLH34" s="2"/>
      <c r="WLI34" s="2"/>
      <c r="WLJ34" s="2"/>
      <c r="WLK34" s="2"/>
      <c r="WLL34" s="2"/>
      <c r="WLM34" s="2"/>
      <c r="WLN34" s="2"/>
      <c r="WLO34" s="2"/>
      <c r="WLP34" s="2"/>
      <c r="WLQ34" s="2"/>
      <c r="WLR34" s="2"/>
      <c r="WLS34" s="2"/>
      <c r="WLT34" s="2"/>
      <c r="WLU34" s="2"/>
      <c r="WLV34" s="2"/>
      <c r="WLW34" s="2"/>
      <c r="WLX34" s="2"/>
      <c r="WLY34" s="2"/>
      <c r="WLZ34" s="2"/>
      <c r="WMA34" s="2"/>
      <c r="WMB34" s="2"/>
      <c r="WMC34" s="2"/>
      <c r="WMD34" s="2"/>
      <c r="WME34" s="2"/>
      <c r="WMF34" s="2"/>
      <c r="WMG34" s="2"/>
      <c r="WMH34" s="2"/>
      <c r="WMI34" s="2"/>
      <c r="WMJ34" s="2"/>
      <c r="WMK34" s="2"/>
      <c r="WML34" s="2"/>
      <c r="WMM34" s="2"/>
      <c r="WMN34" s="2"/>
      <c r="WMO34" s="2"/>
      <c r="WMP34" s="2"/>
      <c r="WMQ34" s="2"/>
      <c r="WMR34" s="2"/>
      <c r="WMS34" s="2"/>
      <c r="WMT34" s="2"/>
      <c r="WMU34" s="2"/>
      <c r="WMV34" s="2"/>
      <c r="WMW34" s="2"/>
      <c r="WMX34" s="2"/>
      <c r="WMY34" s="2"/>
      <c r="WMZ34" s="2"/>
      <c r="WNA34" s="2"/>
      <c r="WNB34" s="2"/>
      <c r="WNC34" s="2"/>
      <c r="WND34" s="2"/>
      <c r="WNE34" s="2"/>
      <c r="WNF34" s="2"/>
      <c r="WNG34" s="2"/>
      <c r="WNH34" s="2"/>
      <c r="WNI34" s="2"/>
      <c r="WNJ34" s="2"/>
      <c r="WNK34" s="2"/>
      <c r="WNL34" s="2"/>
      <c r="WNM34" s="2"/>
      <c r="WNN34" s="2"/>
      <c r="WNO34" s="2"/>
      <c r="WNP34" s="2"/>
      <c r="WNQ34" s="2"/>
      <c r="WNR34" s="2"/>
      <c r="WNS34" s="2"/>
      <c r="WNT34" s="2"/>
      <c r="WNU34" s="2"/>
      <c r="WNV34" s="2"/>
      <c r="WNW34" s="2"/>
      <c r="WNX34" s="2"/>
      <c r="WNY34" s="2"/>
      <c r="WNZ34" s="2"/>
      <c r="WOA34" s="2"/>
      <c r="WOB34" s="2"/>
      <c r="WOC34" s="2"/>
      <c r="WOD34" s="2"/>
      <c r="WOE34" s="2"/>
      <c r="WOF34" s="2"/>
      <c r="WOG34" s="2"/>
      <c r="WOH34" s="2"/>
      <c r="WOI34" s="2"/>
      <c r="WOJ34" s="2"/>
      <c r="WOK34" s="2"/>
      <c r="WOL34" s="2"/>
      <c r="WOM34" s="2"/>
      <c r="WON34" s="2"/>
      <c r="WOO34" s="2"/>
      <c r="WOP34" s="2"/>
      <c r="WOQ34" s="2"/>
      <c r="WOR34" s="2"/>
      <c r="WOS34" s="2"/>
      <c r="WOT34" s="2"/>
      <c r="WOU34" s="2"/>
      <c r="WOV34" s="2"/>
      <c r="WOW34" s="2"/>
      <c r="WOX34" s="2"/>
      <c r="WOY34" s="2"/>
      <c r="WOZ34" s="2"/>
      <c r="WPA34" s="2"/>
      <c r="WPB34" s="2"/>
      <c r="WPC34" s="2"/>
      <c r="WPD34" s="2"/>
      <c r="WPE34" s="2"/>
      <c r="WPF34" s="2"/>
      <c r="WPG34" s="2"/>
      <c r="WPH34" s="2"/>
      <c r="WPI34" s="2"/>
      <c r="WPJ34" s="2"/>
      <c r="WPK34" s="2"/>
      <c r="WPL34" s="2"/>
      <c r="WPM34" s="2"/>
      <c r="WPN34" s="2"/>
      <c r="WPO34" s="2"/>
      <c r="WPP34" s="2"/>
      <c r="WPQ34" s="2"/>
      <c r="WPR34" s="2"/>
      <c r="WPS34" s="2"/>
      <c r="WPT34" s="2"/>
      <c r="WPU34" s="2"/>
      <c r="WPV34" s="2"/>
      <c r="WPW34" s="2"/>
      <c r="WPX34" s="2"/>
      <c r="WPY34" s="2"/>
      <c r="WPZ34" s="2"/>
      <c r="WQA34" s="2"/>
      <c r="WQB34" s="2"/>
      <c r="WQC34" s="2"/>
      <c r="WQD34" s="2"/>
      <c r="WQE34" s="2"/>
      <c r="WQF34" s="2"/>
      <c r="WQG34" s="2"/>
      <c r="WQH34" s="2"/>
      <c r="WQI34" s="2"/>
      <c r="WQJ34" s="2"/>
      <c r="WQK34" s="2"/>
      <c r="WQL34" s="2"/>
      <c r="WQM34" s="2"/>
      <c r="WQN34" s="2"/>
      <c r="WQO34" s="2"/>
      <c r="WQP34" s="2"/>
      <c r="WQQ34" s="2"/>
      <c r="WQR34" s="2"/>
      <c r="WQS34" s="2"/>
      <c r="WQT34" s="2"/>
      <c r="WQU34" s="2"/>
      <c r="WQV34" s="2"/>
      <c r="WQW34" s="2"/>
      <c r="WQX34" s="2"/>
      <c r="WQY34" s="2"/>
      <c r="WQZ34" s="2"/>
      <c r="WRA34" s="2"/>
      <c r="WRB34" s="2"/>
      <c r="WRC34" s="2"/>
      <c r="WRD34" s="2"/>
      <c r="WRE34" s="2"/>
      <c r="WRF34" s="2"/>
      <c r="WRG34" s="2"/>
      <c r="WRH34" s="2"/>
      <c r="WRI34" s="2"/>
      <c r="WRJ34" s="2"/>
      <c r="WRK34" s="2"/>
      <c r="WRL34" s="2"/>
      <c r="WRM34" s="2"/>
      <c r="WRN34" s="2"/>
      <c r="WRO34" s="2"/>
      <c r="WRP34" s="2"/>
      <c r="WRQ34" s="2"/>
      <c r="WRR34" s="2"/>
      <c r="WRS34" s="2"/>
      <c r="WRT34" s="2"/>
      <c r="WRU34" s="2"/>
      <c r="WRV34" s="2"/>
      <c r="WRW34" s="2"/>
      <c r="WRX34" s="2"/>
      <c r="WRY34" s="2"/>
      <c r="WRZ34" s="2"/>
      <c r="WSA34" s="2"/>
      <c r="WSB34" s="2"/>
      <c r="WSC34" s="2"/>
      <c r="WSD34" s="2"/>
      <c r="WSE34" s="2"/>
      <c r="WSF34" s="2"/>
      <c r="WSG34" s="2"/>
      <c r="WSH34" s="2"/>
      <c r="WSI34" s="2"/>
      <c r="WSJ34" s="2"/>
      <c r="WSK34" s="2"/>
      <c r="WSL34" s="2"/>
      <c r="WSM34" s="2"/>
      <c r="WSN34" s="2"/>
      <c r="WSO34" s="2"/>
      <c r="WSP34" s="2"/>
      <c r="WSQ34" s="2"/>
      <c r="WSR34" s="2"/>
      <c r="WSS34" s="2"/>
      <c r="WST34" s="2"/>
      <c r="WSU34" s="2"/>
      <c r="WSV34" s="2"/>
      <c r="WSW34" s="2"/>
      <c r="WSX34" s="2"/>
      <c r="WSY34" s="2"/>
      <c r="WSZ34" s="2"/>
      <c r="WTA34" s="2"/>
      <c r="WTB34" s="2"/>
      <c r="WTC34" s="2"/>
      <c r="WTD34" s="2"/>
      <c r="WTE34" s="2"/>
      <c r="WTF34" s="2"/>
      <c r="WTG34" s="2"/>
      <c r="WTH34" s="2"/>
      <c r="WTI34" s="2"/>
      <c r="WTJ34" s="2"/>
      <c r="WTK34" s="2"/>
      <c r="WTL34" s="2"/>
      <c r="WTM34" s="2"/>
      <c r="WTN34" s="2"/>
      <c r="WTO34" s="2"/>
      <c r="WTP34" s="2"/>
      <c r="WTQ34" s="2"/>
      <c r="WTR34" s="2"/>
      <c r="WTS34" s="2"/>
      <c r="WTT34" s="2"/>
      <c r="WTU34" s="2"/>
      <c r="WTV34" s="2"/>
      <c r="WTW34" s="2"/>
      <c r="WTX34" s="2"/>
      <c r="WTY34" s="2"/>
      <c r="WTZ34" s="2"/>
      <c r="WUA34" s="2"/>
      <c r="WUB34" s="2"/>
      <c r="WUC34" s="2"/>
      <c r="WUD34" s="2"/>
      <c r="WUE34" s="2"/>
      <c r="WUF34" s="2"/>
      <c r="WUG34" s="2"/>
      <c r="WUH34" s="2"/>
      <c r="WUI34" s="2"/>
      <c r="WUJ34" s="2"/>
      <c r="WUK34" s="2"/>
      <c r="WUL34" s="2"/>
      <c r="WUM34" s="2"/>
      <c r="WUN34" s="2"/>
      <c r="WUO34" s="2"/>
      <c r="WUP34" s="2"/>
      <c r="WUQ34" s="2"/>
      <c r="WUR34" s="2"/>
      <c r="WUS34" s="2"/>
      <c r="WUT34" s="2"/>
      <c r="WUU34" s="2"/>
      <c r="WUV34" s="2"/>
      <c r="WUW34" s="2"/>
      <c r="WUX34" s="2"/>
      <c r="WUY34" s="2"/>
      <c r="WUZ34" s="2"/>
      <c r="WVA34" s="2"/>
      <c r="WVB34" s="2"/>
      <c r="WVC34" s="2"/>
      <c r="WVD34" s="2"/>
      <c r="WVE34" s="2"/>
      <c r="WVF34" s="2"/>
      <c r="WVG34" s="2"/>
      <c r="WVH34" s="2"/>
      <c r="WVI34" s="2"/>
      <c r="WVJ34" s="2"/>
      <c r="WVK34" s="2"/>
      <c r="WVL34" s="2"/>
      <c r="WVM34" s="2"/>
      <c r="WVN34" s="2"/>
      <c r="WVO34" s="2"/>
      <c r="WVP34" s="2"/>
      <c r="WVQ34" s="2"/>
      <c r="WVR34" s="2"/>
      <c r="WVS34" s="2"/>
      <c r="WVT34" s="2"/>
      <c r="WVU34" s="2"/>
      <c r="WVV34" s="2"/>
      <c r="WVW34" s="2"/>
      <c r="WVX34" s="2"/>
      <c r="WVY34" s="2"/>
      <c r="WVZ34" s="2"/>
      <c r="WWA34" s="2"/>
      <c r="WWB34" s="2"/>
      <c r="WWC34" s="2"/>
      <c r="WWD34" s="2"/>
      <c r="WWE34" s="2"/>
      <c r="WWF34" s="2"/>
      <c r="WWG34" s="2"/>
      <c r="WWH34" s="2"/>
      <c r="WWI34" s="2"/>
      <c r="WWJ34" s="2"/>
      <c r="WWK34" s="2"/>
      <c r="WWL34" s="2"/>
      <c r="WWM34" s="2"/>
      <c r="WWN34" s="2"/>
      <c r="WWO34" s="2"/>
      <c r="WWP34" s="2"/>
      <c r="WWQ34" s="2"/>
      <c r="WWR34" s="2"/>
      <c r="WWS34" s="2"/>
      <c r="WWT34" s="2"/>
      <c r="WWU34" s="2"/>
      <c r="WWV34" s="2"/>
      <c r="WWW34" s="2"/>
      <c r="WWX34" s="2"/>
      <c r="WWY34" s="2"/>
      <c r="WWZ34" s="2"/>
      <c r="WXA34" s="2"/>
      <c r="WXB34" s="2"/>
      <c r="WXC34" s="2"/>
      <c r="WXD34" s="2"/>
      <c r="WXE34" s="2"/>
      <c r="WXF34" s="2"/>
      <c r="WXG34" s="2"/>
      <c r="WXH34" s="2"/>
      <c r="WXI34" s="2"/>
      <c r="WXJ34" s="2"/>
      <c r="WXK34" s="2"/>
      <c r="WXL34" s="2"/>
      <c r="WXM34" s="2"/>
      <c r="WXN34" s="2"/>
      <c r="WXO34" s="2"/>
      <c r="WXP34" s="2"/>
      <c r="WXQ34" s="2"/>
      <c r="WXR34" s="2"/>
      <c r="WXS34" s="2"/>
      <c r="WXT34" s="2"/>
      <c r="WXU34" s="2"/>
      <c r="WXV34" s="2"/>
      <c r="WXW34" s="2"/>
      <c r="WXX34" s="2"/>
      <c r="WXY34" s="2"/>
      <c r="WXZ34" s="2"/>
      <c r="WYA34" s="2"/>
      <c r="WYB34" s="2"/>
      <c r="WYC34" s="2"/>
      <c r="WYD34" s="2"/>
      <c r="WYE34" s="2"/>
      <c r="WYF34" s="2"/>
      <c r="WYG34" s="2"/>
      <c r="WYH34" s="2"/>
      <c r="WYI34" s="2"/>
      <c r="WYJ34" s="2"/>
      <c r="WYK34" s="2"/>
      <c r="WYL34" s="2"/>
      <c r="WYM34" s="2"/>
      <c r="WYN34" s="2"/>
      <c r="WYO34" s="2"/>
      <c r="WYP34" s="2"/>
      <c r="WYQ34" s="2"/>
      <c r="WYR34" s="2"/>
      <c r="WYS34" s="2"/>
      <c r="WYT34" s="2"/>
      <c r="WYU34" s="2"/>
      <c r="WYV34" s="2"/>
      <c r="WYW34" s="2"/>
      <c r="WYX34" s="2"/>
      <c r="WYY34" s="2"/>
      <c r="WYZ34" s="2"/>
      <c r="WZA34" s="2"/>
      <c r="WZB34" s="2"/>
      <c r="WZC34" s="2"/>
      <c r="WZD34" s="2"/>
      <c r="WZE34" s="2"/>
      <c r="WZF34" s="2"/>
      <c r="WZG34" s="2"/>
      <c r="WZH34" s="2"/>
      <c r="WZI34" s="2"/>
      <c r="WZJ34" s="2"/>
      <c r="WZK34" s="2"/>
      <c r="WZL34" s="2"/>
      <c r="WZM34" s="2"/>
      <c r="WZN34" s="2"/>
      <c r="WZO34" s="2"/>
      <c r="WZP34" s="2"/>
      <c r="WZQ34" s="2"/>
      <c r="WZR34" s="2"/>
      <c r="WZS34" s="2"/>
      <c r="WZT34" s="2"/>
      <c r="WZU34" s="2"/>
      <c r="WZV34" s="2"/>
      <c r="WZW34" s="2"/>
      <c r="WZX34" s="2"/>
      <c r="WZY34" s="2"/>
      <c r="WZZ34" s="2"/>
      <c r="XAA34" s="2"/>
      <c r="XAB34" s="2"/>
      <c r="XAC34" s="2"/>
      <c r="XAD34" s="2"/>
      <c r="XAE34" s="2"/>
      <c r="XAF34" s="2"/>
      <c r="XAG34" s="2"/>
      <c r="XAH34" s="2"/>
      <c r="XAI34" s="2"/>
      <c r="XAJ34" s="2"/>
      <c r="XAK34" s="2"/>
      <c r="XAL34" s="2"/>
      <c r="XAM34" s="2"/>
      <c r="XAN34" s="2"/>
      <c r="XAO34" s="2"/>
      <c r="XAP34" s="2"/>
      <c r="XAQ34" s="2"/>
      <c r="XAR34" s="2"/>
      <c r="XAS34" s="2"/>
      <c r="XAT34" s="2"/>
      <c r="XAU34" s="2"/>
      <c r="XAV34" s="2"/>
      <c r="XAW34" s="2"/>
      <c r="XAX34" s="2"/>
      <c r="XAY34" s="2"/>
      <c r="XAZ34" s="2"/>
      <c r="XBA34" s="2"/>
      <c r="XBB34" s="2"/>
      <c r="XBC34" s="2"/>
      <c r="XBD34" s="2"/>
      <c r="XBE34" s="2"/>
      <c r="XBF34" s="2"/>
      <c r="XBG34" s="2"/>
      <c r="XBH34" s="2"/>
      <c r="XBI34" s="2"/>
      <c r="XBJ34" s="2"/>
      <c r="XBK34" s="2"/>
      <c r="XBL34" s="2"/>
      <c r="XBM34" s="2"/>
      <c r="XBN34" s="2"/>
      <c r="XBO34" s="2"/>
      <c r="XBP34" s="2"/>
      <c r="XBQ34" s="2"/>
      <c r="XBR34" s="2"/>
      <c r="XBS34" s="2"/>
      <c r="XBT34" s="2"/>
      <c r="XBU34" s="2"/>
      <c r="XBV34" s="2"/>
      <c r="XBW34" s="2"/>
      <c r="XBX34" s="2"/>
      <c r="XBY34" s="2"/>
      <c r="XBZ34" s="2"/>
      <c r="XCA34" s="2"/>
      <c r="XCB34" s="2"/>
      <c r="XCC34" s="2"/>
      <c r="XCD34" s="2"/>
      <c r="XCE34" s="2"/>
      <c r="XCF34" s="2"/>
      <c r="XCG34" s="2"/>
      <c r="XCH34" s="2"/>
      <c r="XCI34" s="2"/>
      <c r="XCJ34" s="2"/>
      <c r="XCK34" s="2"/>
      <c r="XCL34" s="2"/>
      <c r="XCM34" s="2"/>
      <c r="XCN34" s="2"/>
      <c r="XCO34" s="2"/>
      <c r="XCP34" s="2"/>
      <c r="XCQ34" s="2"/>
      <c r="XCR34" s="2"/>
      <c r="XCS34" s="2"/>
      <c r="XCT34" s="2"/>
      <c r="XCU34" s="2"/>
      <c r="XCV34" s="2"/>
      <c r="XCW34" s="2"/>
      <c r="XCX34" s="2"/>
      <c r="XCY34" s="2"/>
      <c r="XCZ34" s="2"/>
      <c r="XDA34" s="2"/>
      <c r="XDB34" s="2"/>
      <c r="XDC34" s="2"/>
      <c r="XDD34" s="2"/>
      <c r="XDE34" s="2"/>
      <c r="XDF34" s="2"/>
      <c r="XDG34" s="2"/>
      <c r="XDH34" s="2"/>
      <c r="XDI34" s="2"/>
      <c r="XDJ34" s="2"/>
      <c r="XDK34" s="2"/>
      <c r="XDL34" s="2"/>
      <c r="XDM34" s="2"/>
      <c r="XDN34" s="2"/>
      <c r="XDO34" s="2"/>
      <c r="XDP34" s="2"/>
      <c r="XDQ34" s="2"/>
      <c r="XDR34" s="2"/>
      <c r="XDS34" s="2"/>
      <c r="XDT34" s="2"/>
      <c r="XDU34" s="2"/>
      <c r="XDV34" s="2"/>
      <c r="XDW34" s="2"/>
      <c r="XDX34" s="2"/>
      <c r="XDY34" s="2"/>
      <c r="XDZ34" s="2"/>
      <c r="XEA34" s="2"/>
      <c r="XEB34" s="2"/>
      <c r="XEC34" s="2"/>
      <c r="XED34" s="2"/>
      <c r="XEE34" s="2"/>
      <c r="XEF34" s="2"/>
      <c r="XEG34" s="2"/>
      <c r="XEH34" s="2"/>
      <c r="XEI34" s="2"/>
      <c r="XEJ34" s="2"/>
      <c r="XEK34" s="2"/>
      <c r="XEL34" s="2"/>
      <c r="XEM34" s="2"/>
      <c r="XEN34" s="2"/>
      <c r="XEO34" s="2"/>
      <c r="XEP34" s="2"/>
      <c r="XEQ34" s="2"/>
      <c r="XER34" s="2"/>
      <c r="XES34" s="2"/>
      <c r="XET34" s="2"/>
      <c r="XEU34" s="2"/>
      <c r="XEV34" s="2"/>
      <c r="XEW34" s="2"/>
      <c r="XEX34" s="2"/>
      <c r="XEY34" s="2"/>
      <c r="XEZ34" s="2"/>
      <c r="XFA34" s="2"/>
    </row>
    <row r="35" s="78" customFormat="1" ht="24" customHeight="1" spans="1:16381">
      <c r="A35" s="2"/>
      <c r="B35" s="2"/>
      <c r="C35" s="86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  <c r="ALM35" s="2"/>
      <c r="ALN35" s="2"/>
      <c r="ALO35" s="2"/>
      <c r="ALP35" s="2"/>
      <c r="ALQ35" s="2"/>
      <c r="ALR35" s="2"/>
      <c r="ALS35" s="2"/>
      <c r="ALT35" s="2"/>
      <c r="ALU35" s="2"/>
      <c r="ALV35" s="2"/>
      <c r="ALW35" s="2"/>
      <c r="ALX35" s="2"/>
      <c r="ALY35" s="2"/>
      <c r="ALZ35" s="2"/>
      <c r="AMA35" s="2"/>
      <c r="AMB35" s="2"/>
      <c r="AMC35" s="2"/>
      <c r="AMD35" s="2"/>
      <c r="AME35" s="2"/>
      <c r="AMF35" s="2"/>
      <c r="AMG35" s="2"/>
      <c r="AMH35" s="2"/>
      <c r="AMI35" s="2"/>
      <c r="AMJ35" s="2"/>
      <c r="AMK35" s="2"/>
      <c r="AML35" s="2"/>
      <c r="AMM35" s="2"/>
      <c r="AMN35" s="2"/>
      <c r="AMO35" s="2"/>
      <c r="AMP35" s="2"/>
      <c r="AMQ35" s="2"/>
      <c r="AMR35" s="2"/>
      <c r="AMS35" s="2"/>
      <c r="AMT35" s="2"/>
      <c r="AMU35" s="2"/>
      <c r="AMV35" s="2"/>
      <c r="AMW35" s="2"/>
      <c r="AMX35" s="2"/>
      <c r="AMY35" s="2"/>
      <c r="AMZ35" s="2"/>
      <c r="ANA35" s="2"/>
      <c r="ANB35" s="2"/>
      <c r="ANC35" s="2"/>
      <c r="AND35" s="2"/>
      <c r="ANE35" s="2"/>
      <c r="ANF35" s="2"/>
      <c r="ANG35" s="2"/>
      <c r="ANH35" s="2"/>
      <c r="ANI35" s="2"/>
      <c r="ANJ35" s="2"/>
      <c r="ANK35" s="2"/>
      <c r="ANL35" s="2"/>
      <c r="ANM35" s="2"/>
      <c r="ANN35" s="2"/>
      <c r="ANO35" s="2"/>
      <c r="ANP35" s="2"/>
      <c r="ANQ35" s="2"/>
      <c r="ANR35" s="2"/>
      <c r="ANS35" s="2"/>
      <c r="ANT35" s="2"/>
      <c r="ANU35" s="2"/>
      <c r="ANV35" s="2"/>
      <c r="ANW35" s="2"/>
      <c r="ANX35" s="2"/>
      <c r="ANY35" s="2"/>
      <c r="ANZ35" s="2"/>
      <c r="AOA35" s="2"/>
      <c r="AOB35" s="2"/>
      <c r="AOC35" s="2"/>
      <c r="AOD35" s="2"/>
      <c r="AOE35" s="2"/>
      <c r="AOF35" s="2"/>
      <c r="AOG35" s="2"/>
      <c r="AOH35" s="2"/>
      <c r="AOI35" s="2"/>
      <c r="AOJ35" s="2"/>
      <c r="AOK35" s="2"/>
      <c r="AOL35" s="2"/>
      <c r="AOM35" s="2"/>
      <c r="AON35" s="2"/>
      <c r="AOO35" s="2"/>
      <c r="AOP35" s="2"/>
      <c r="AOQ35" s="2"/>
      <c r="AOR35" s="2"/>
      <c r="AOS35" s="2"/>
      <c r="AOT35" s="2"/>
      <c r="AOU35" s="2"/>
      <c r="AOV35" s="2"/>
      <c r="AOW35" s="2"/>
      <c r="AOX35" s="2"/>
      <c r="AOY35" s="2"/>
      <c r="AOZ35" s="2"/>
      <c r="APA35" s="2"/>
      <c r="APB35" s="2"/>
      <c r="APC35" s="2"/>
      <c r="APD35" s="2"/>
      <c r="APE35" s="2"/>
      <c r="APF35" s="2"/>
      <c r="APG35" s="2"/>
      <c r="APH35" s="2"/>
      <c r="API35" s="2"/>
      <c r="APJ35" s="2"/>
      <c r="APK35" s="2"/>
      <c r="APL35" s="2"/>
      <c r="APM35" s="2"/>
      <c r="APN35" s="2"/>
      <c r="APO35" s="2"/>
      <c r="APP35" s="2"/>
      <c r="APQ35" s="2"/>
      <c r="APR35" s="2"/>
      <c r="APS35" s="2"/>
      <c r="APT35" s="2"/>
      <c r="APU35" s="2"/>
      <c r="APV35" s="2"/>
      <c r="APW35" s="2"/>
      <c r="APX35" s="2"/>
      <c r="APY35" s="2"/>
      <c r="APZ35" s="2"/>
      <c r="AQA35" s="2"/>
      <c r="AQB35" s="2"/>
      <c r="AQC35" s="2"/>
      <c r="AQD35" s="2"/>
      <c r="AQE35" s="2"/>
      <c r="AQF35" s="2"/>
      <c r="AQG35" s="2"/>
      <c r="AQH35" s="2"/>
      <c r="AQI35" s="2"/>
      <c r="AQJ35" s="2"/>
      <c r="AQK35" s="2"/>
      <c r="AQL35" s="2"/>
      <c r="AQM35" s="2"/>
      <c r="AQN35" s="2"/>
      <c r="AQO35" s="2"/>
      <c r="AQP35" s="2"/>
      <c r="AQQ35" s="2"/>
      <c r="AQR35" s="2"/>
      <c r="AQS35" s="2"/>
      <c r="AQT35" s="2"/>
      <c r="AQU35" s="2"/>
      <c r="AQV35" s="2"/>
      <c r="AQW35" s="2"/>
      <c r="AQX35" s="2"/>
      <c r="AQY35" s="2"/>
      <c r="AQZ35" s="2"/>
      <c r="ARA35" s="2"/>
      <c r="ARB35" s="2"/>
      <c r="ARC35" s="2"/>
      <c r="ARD35" s="2"/>
      <c r="ARE35" s="2"/>
      <c r="ARF35" s="2"/>
      <c r="ARG35" s="2"/>
      <c r="ARH35" s="2"/>
      <c r="ARI35" s="2"/>
      <c r="ARJ35" s="2"/>
      <c r="ARK35" s="2"/>
      <c r="ARL35" s="2"/>
      <c r="ARM35" s="2"/>
      <c r="ARN35" s="2"/>
      <c r="ARO35" s="2"/>
      <c r="ARP35" s="2"/>
      <c r="ARQ35" s="2"/>
      <c r="ARR35" s="2"/>
      <c r="ARS35" s="2"/>
      <c r="ART35" s="2"/>
      <c r="ARU35" s="2"/>
      <c r="ARV35" s="2"/>
      <c r="ARW35" s="2"/>
      <c r="ARX35" s="2"/>
      <c r="ARY35" s="2"/>
      <c r="ARZ35" s="2"/>
      <c r="ASA35" s="2"/>
      <c r="ASB35" s="2"/>
      <c r="ASC35" s="2"/>
      <c r="ASD35" s="2"/>
      <c r="ASE35" s="2"/>
      <c r="ASF35" s="2"/>
      <c r="ASG35" s="2"/>
      <c r="ASH35" s="2"/>
      <c r="ASI35" s="2"/>
      <c r="ASJ35" s="2"/>
      <c r="ASK35" s="2"/>
      <c r="ASL35" s="2"/>
      <c r="ASM35" s="2"/>
      <c r="ASN35" s="2"/>
      <c r="ASO35" s="2"/>
      <c r="ASP35" s="2"/>
      <c r="ASQ35" s="2"/>
      <c r="ASR35" s="2"/>
      <c r="ASS35" s="2"/>
      <c r="AST35" s="2"/>
      <c r="ASU35" s="2"/>
      <c r="ASV35" s="2"/>
      <c r="ASW35" s="2"/>
      <c r="ASX35" s="2"/>
      <c r="ASY35" s="2"/>
      <c r="ASZ35" s="2"/>
      <c r="ATA35" s="2"/>
      <c r="ATB35" s="2"/>
      <c r="ATC35" s="2"/>
      <c r="ATD35" s="2"/>
      <c r="ATE35" s="2"/>
      <c r="ATF35" s="2"/>
      <c r="ATG35" s="2"/>
      <c r="ATH35" s="2"/>
      <c r="ATI35" s="2"/>
      <c r="ATJ35" s="2"/>
      <c r="ATK35" s="2"/>
      <c r="ATL35" s="2"/>
      <c r="ATM35" s="2"/>
      <c r="ATN35" s="2"/>
      <c r="ATO35" s="2"/>
      <c r="ATP35" s="2"/>
      <c r="ATQ35" s="2"/>
      <c r="ATR35" s="2"/>
      <c r="ATS35" s="2"/>
      <c r="ATT35" s="2"/>
      <c r="ATU35" s="2"/>
      <c r="ATV35" s="2"/>
      <c r="ATW35" s="2"/>
      <c r="ATX35" s="2"/>
      <c r="ATY35" s="2"/>
      <c r="ATZ35" s="2"/>
      <c r="AUA35" s="2"/>
      <c r="AUB35" s="2"/>
      <c r="AUC35" s="2"/>
      <c r="AUD35" s="2"/>
      <c r="AUE35" s="2"/>
      <c r="AUF35" s="2"/>
      <c r="AUG35" s="2"/>
      <c r="AUH35" s="2"/>
      <c r="AUI35" s="2"/>
      <c r="AUJ35" s="2"/>
      <c r="AUK35" s="2"/>
      <c r="AUL35" s="2"/>
      <c r="AUM35" s="2"/>
      <c r="AUN35" s="2"/>
      <c r="AUO35" s="2"/>
      <c r="AUP35" s="2"/>
      <c r="AUQ35" s="2"/>
      <c r="AUR35" s="2"/>
      <c r="AUS35" s="2"/>
      <c r="AUT35" s="2"/>
      <c r="AUU35" s="2"/>
      <c r="AUV35" s="2"/>
      <c r="AUW35" s="2"/>
      <c r="AUX35" s="2"/>
      <c r="AUY35" s="2"/>
      <c r="AUZ35" s="2"/>
      <c r="AVA35" s="2"/>
      <c r="AVB35" s="2"/>
      <c r="AVC35" s="2"/>
      <c r="AVD35" s="2"/>
      <c r="AVE35" s="2"/>
      <c r="AVF35" s="2"/>
      <c r="AVG35" s="2"/>
      <c r="AVH35" s="2"/>
      <c r="AVI35" s="2"/>
      <c r="AVJ35" s="2"/>
      <c r="AVK35" s="2"/>
      <c r="AVL35" s="2"/>
      <c r="AVM35" s="2"/>
      <c r="AVN35" s="2"/>
      <c r="AVO35" s="2"/>
      <c r="AVP35" s="2"/>
      <c r="AVQ35" s="2"/>
      <c r="AVR35" s="2"/>
      <c r="AVS35" s="2"/>
      <c r="AVT35" s="2"/>
      <c r="AVU35" s="2"/>
      <c r="AVV35" s="2"/>
      <c r="AVW35" s="2"/>
      <c r="AVX35" s="2"/>
      <c r="AVY35" s="2"/>
      <c r="AVZ35" s="2"/>
      <c r="AWA35" s="2"/>
      <c r="AWB35" s="2"/>
      <c r="AWC35" s="2"/>
      <c r="AWD35" s="2"/>
      <c r="AWE35" s="2"/>
      <c r="AWF35" s="2"/>
      <c r="AWG35" s="2"/>
      <c r="AWH35" s="2"/>
      <c r="AWI35" s="2"/>
      <c r="AWJ35" s="2"/>
      <c r="AWK35" s="2"/>
      <c r="AWL35" s="2"/>
      <c r="AWM35" s="2"/>
      <c r="AWN35" s="2"/>
      <c r="AWO35" s="2"/>
      <c r="AWP35" s="2"/>
      <c r="AWQ35" s="2"/>
      <c r="AWR35" s="2"/>
      <c r="AWS35" s="2"/>
      <c r="AWT35" s="2"/>
      <c r="AWU35" s="2"/>
      <c r="AWV35" s="2"/>
      <c r="AWW35" s="2"/>
      <c r="AWX35" s="2"/>
      <c r="AWY35" s="2"/>
      <c r="AWZ35" s="2"/>
      <c r="AXA35" s="2"/>
      <c r="AXB35" s="2"/>
      <c r="AXC35" s="2"/>
      <c r="AXD35" s="2"/>
      <c r="AXE35" s="2"/>
      <c r="AXF35" s="2"/>
      <c r="AXG35" s="2"/>
      <c r="AXH35" s="2"/>
      <c r="AXI35" s="2"/>
      <c r="AXJ35" s="2"/>
      <c r="AXK35" s="2"/>
      <c r="AXL35" s="2"/>
      <c r="AXM35" s="2"/>
      <c r="AXN35" s="2"/>
      <c r="AXO35" s="2"/>
      <c r="AXP35" s="2"/>
      <c r="AXQ35" s="2"/>
      <c r="AXR35" s="2"/>
      <c r="AXS35" s="2"/>
      <c r="AXT35" s="2"/>
      <c r="AXU35" s="2"/>
      <c r="AXV35" s="2"/>
      <c r="AXW35" s="2"/>
      <c r="AXX35" s="2"/>
      <c r="AXY35" s="2"/>
      <c r="AXZ35" s="2"/>
      <c r="AYA35" s="2"/>
      <c r="AYB35" s="2"/>
      <c r="AYC35" s="2"/>
      <c r="AYD35" s="2"/>
      <c r="AYE35" s="2"/>
      <c r="AYF35" s="2"/>
      <c r="AYG35" s="2"/>
      <c r="AYH35" s="2"/>
      <c r="AYI35" s="2"/>
      <c r="AYJ35" s="2"/>
      <c r="AYK35" s="2"/>
      <c r="AYL35" s="2"/>
      <c r="AYM35" s="2"/>
      <c r="AYN35" s="2"/>
      <c r="AYO35" s="2"/>
      <c r="AYP35" s="2"/>
      <c r="AYQ35" s="2"/>
      <c r="AYR35" s="2"/>
      <c r="AYS35" s="2"/>
      <c r="AYT35" s="2"/>
      <c r="AYU35" s="2"/>
      <c r="AYV35" s="2"/>
      <c r="AYW35" s="2"/>
      <c r="AYX35" s="2"/>
      <c r="AYY35" s="2"/>
      <c r="AYZ35" s="2"/>
      <c r="AZA35" s="2"/>
      <c r="AZB35" s="2"/>
      <c r="AZC35" s="2"/>
      <c r="AZD35" s="2"/>
      <c r="AZE35" s="2"/>
      <c r="AZF35" s="2"/>
      <c r="AZG35" s="2"/>
      <c r="AZH35" s="2"/>
      <c r="AZI35" s="2"/>
      <c r="AZJ35" s="2"/>
      <c r="AZK35" s="2"/>
      <c r="AZL35" s="2"/>
      <c r="AZM35" s="2"/>
      <c r="AZN35" s="2"/>
      <c r="AZO35" s="2"/>
      <c r="AZP35" s="2"/>
      <c r="AZQ35" s="2"/>
      <c r="AZR35" s="2"/>
      <c r="AZS35" s="2"/>
      <c r="AZT35" s="2"/>
      <c r="AZU35" s="2"/>
      <c r="AZV35" s="2"/>
      <c r="AZW35" s="2"/>
      <c r="AZX35" s="2"/>
      <c r="AZY35" s="2"/>
      <c r="AZZ35" s="2"/>
      <c r="BAA35" s="2"/>
      <c r="BAB35" s="2"/>
      <c r="BAC35" s="2"/>
      <c r="BAD35" s="2"/>
      <c r="BAE35" s="2"/>
      <c r="BAF35" s="2"/>
      <c r="BAG35" s="2"/>
      <c r="BAH35" s="2"/>
      <c r="BAI35" s="2"/>
      <c r="BAJ35" s="2"/>
      <c r="BAK35" s="2"/>
      <c r="BAL35" s="2"/>
      <c r="BAM35" s="2"/>
      <c r="BAN35" s="2"/>
      <c r="BAO35" s="2"/>
      <c r="BAP35" s="2"/>
      <c r="BAQ35" s="2"/>
      <c r="BAR35" s="2"/>
      <c r="BAS35" s="2"/>
      <c r="BAT35" s="2"/>
      <c r="BAU35" s="2"/>
      <c r="BAV35" s="2"/>
      <c r="BAW35" s="2"/>
      <c r="BAX35" s="2"/>
      <c r="BAY35" s="2"/>
      <c r="BAZ35" s="2"/>
      <c r="BBA35" s="2"/>
      <c r="BBB35" s="2"/>
      <c r="BBC35" s="2"/>
      <c r="BBD35" s="2"/>
      <c r="BBE35" s="2"/>
      <c r="BBF35" s="2"/>
      <c r="BBG35" s="2"/>
      <c r="BBH35" s="2"/>
      <c r="BBI35" s="2"/>
      <c r="BBJ35" s="2"/>
      <c r="BBK35" s="2"/>
      <c r="BBL35" s="2"/>
      <c r="BBM35" s="2"/>
      <c r="BBN35" s="2"/>
      <c r="BBO35" s="2"/>
      <c r="BBP35" s="2"/>
      <c r="BBQ35" s="2"/>
      <c r="BBR35" s="2"/>
      <c r="BBS35" s="2"/>
      <c r="BBT35" s="2"/>
      <c r="BBU35" s="2"/>
      <c r="BBV35" s="2"/>
      <c r="BBW35" s="2"/>
      <c r="BBX35" s="2"/>
      <c r="BBY35" s="2"/>
      <c r="BBZ35" s="2"/>
      <c r="BCA35" s="2"/>
      <c r="BCB35" s="2"/>
      <c r="BCC35" s="2"/>
      <c r="BCD35" s="2"/>
      <c r="BCE35" s="2"/>
      <c r="BCF35" s="2"/>
      <c r="BCG35" s="2"/>
      <c r="BCH35" s="2"/>
      <c r="BCI35" s="2"/>
      <c r="BCJ35" s="2"/>
      <c r="BCK35" s="2"/>
      <c r="BCL35" s="2"/>
      <c r="BCM35" s="2"/>
      <c r="BCN35" s="2"/>
      <c r="BCO35" s="2"/>
      <c r="BCP35" s="2"/>
      <c r="BCQ35" s="2"/>
      <c r="BCR35" s="2"/>
      <c r="BCS35" s="2"/>
      <c r="BCT35" s="2"/>
      <c r="BCU35" s="2"/>
      <c r="BCV35" s="2"/>
      <c r="BCW35" s="2"/>
      <c r="BCX35" s="2"/>
      <c r="BCY35" s="2"/>
      <c r="BCZ35" s="2"/>
      <c r="BDA35" s="2"/>
      <c r="BDB35" s="2"/>
      <c r="BDC35" s="2"/>
      <c r="BDD35" s="2"/>
      <c r="BDE35" s="2"/>
      <c r="BDF35" s="2"/>
      <c r="BDG35" s="2"/>
      <c r="BDH35" s="2"/>
      <c r="BDI35" s="2"/>
      <c r="BDJ35" s="2"/>
      <c r="BDK35" s="2"/>
      <c r="BDL35" s="2"/>
      <c r="BDM35" s="2"/>
      <c r="BDN35" s="2"/>
      <c r="BDO35" s="2"/>
      <c r="BDP35" s="2"/>
      <c r="BDQ35" s="2"/>
      <c r="BDR35" s="2"/>
      <c r="BDS35" s="2"/>
      <c r="BDT35" s="2"/>
      <c r="BDU35" s="2"/>
      <c r="BDV35" s="2"/>
      <c r="BDW35" s="2"/>
      <c r="BDX35" s="2"/>
      <c r="BDY35" s="2"/>
      <c r="BDZ35" s="2"/>
      <c r="BEA35" s="2"/>
      <c r="BEB35" s="2"/>
      <c r="BEC35" s="2"/>
      <c r="BED35" s="2"/>
      <c r="BEE35" s="2"/>
      <c r="BEF35" s="2"/>
      <c r="BEG35" s="2"/>
      <c r="BEH35" s="2"/>
      <c r="BEI35" s="2"/>
      <c r="BEJ35" s="2"/>
      <c r="BEK35" s="2"/>
      <c r="BEL35" s="2"/>
      <c r="BEM35" s="2"/>
      <c r="BEN35" s="2"/>
      <c r="BEO35" s="2"/>
      <c r="BEP35" s="2"/>
      <c r="BEQ35" s="2"/>
      <c r="BER35" s="2"/>
      <c r="BES35" s="2"/>
      <c r="BET35" s="2"/>
      <c r="BEU35" s="2"/>
      <c r="BEV35" s="2"/>
      <c r="BEW35" s="2"/>
      <c r="BEX35" s="2"/>
      <c r="BEY35" s="2"/>
      <c r="BEZ35" s="2"/>
      <c r="BFA35" s="2"/>
      <c r="BFB35" s="2"/>
      <c r="BFC35" s="2"/>
      <c r="BFD35" s="2"/>
      <c r="BFE35" s="2"/>
      <c r="BFF35" s="2"/>
      <c r="BFG35" s="2"/>
      <c r="BFH35" s="2"/>
      <c r="BFI35" s="2"/>
      <c r="BFJ35" s="2"/>
      <c r="BFK35" s="2"/>
      <c r="BFL35" s="2"/>
      <c r="BFM35" s="2"/>
      <c r="BFN35" s="2"/>
      <c r="BFO35" s="2"/>
      <c r="BFP35" s="2"/>
      <c r="BFQ35" s="2"/>
      <c r="BFR35" s="2"/>
      <c r="BFS35" s="2"/>
      <c r="BFT35" s="2"/>
      <c r="BFU35" s="2"/>
      <c r="BFV35" s="2"/>
      <c r="BFW35" s="2"/>
      <c r="BFX35" s="2"/>
      <c r="BFY35" s="2"/>
      <c r="BFZ35" s="2"/>
      <c r="BGA35" s="2"/>
      <c r="BGB35" s="2"/>
      <c r="BGC35" s="2"/>
      <c r="BGD35" s="2"/>
      <c r="BGE35" s="2"/>
      <c r="BGF35" s="2"/>
      <c r="BGG35" s="2"/>
      <c r="BGH35" s="2"/>
      <c r="BGI35" s="2"/>
      <c r="BGJ35" s="2"/>
      <c r="BGK35" s="2"/>
      <c r="BGL35" s="2"/>
      <c r="BGM35" s="2"/>
      <c r="BGN35" s="2"/>
      <c r="BGO35" s="2"/>
      <c r="BGP35" s="2"/>
      <c r="BGQ35" s="2"/>
      <c r="BGR35" s="2"/>
      <c r="BGS35" s="2"/>
      <c r="BGT35" s="2"/>
      <c r="BGU35" s="2"/>
      <c r="BGV35" s="2"/>
      <c r="BGW35" s="2"/>
      <c r="BGX35" s="2"/>
      <c r="BGY35" s="2"/>
      <c r="BGZ35" s="2"/>
      <c r="BHA35" s="2"/>
      <c r="BHB35" s="2"/>
      <c r="BHC35" s="2"/>
      <c r="BHD35" s="2"/>
      <c r="BHE35" s="2"/>
      <c r="BHF35" s="2"/>
      <c r="BHG35" s="2"/>
      <c r="BHH35" s="2"/>
      <c r="BHI35" s="2"/>
      <c r="BHJ35" s="2"/>
      <c r="BHK35" s="2"/>
      <c r="BHL35" s="2"/>
      <c r="BHM35" s="2"/>
      <c r="BHN35" s="2"/>
      <c r="BHO35" s="2"/>
      <c r="BHP35" s="2"/>
      <c r="BHQ35" s="2"/>
      <c r="BHR35" s="2"/>
      <c r="BHS35" s="2"/>
      <c r="BHT35" s="2"/>
      <c r="BHU35" s="2"/>
      <c r="BHV35" s="2"/>
      <c r="BHW35" s="2"/>
      <c r="BHX35" s="2"/>
      <c r="BHY35" s="2"/>
      <c r="BHZ35" s="2"/>
      <c r="BIA35" s="2"/>
      <c r="BIB35" s="2"/>
      <c r="BIC35" s="2"/>
      <c r="BID35" s="2"/>
      <c r="BIE35" s="2"/>
      <c r="BIF35" s="2"/>
      <c r="BIG35" s="2"/>
      <c r="BIH35" s="2"/>
      <c r="BII35" s="2"/>
      <c r="BIJ35" s="2"/>
      <c r="BIK35" s="2"/>
      <c r="BIL35" s="2"/>
      <c r="BIM35" s="2"/>
      <c r="BIN35" s="2"/>
      <c r="BIO35" s="2"/>
      <c r="BIP35" s="2"/>
      <c r="BIQ35" s="2"/>
      <c r="BIR35" s="2"/>
      <c r="BIS35" s="2"/>
      <c r="BIT35" s="2"/>
      <c r="BIU35" s="2"/>
      <c r="BIV35" s="2"/>
      <c r="BIW35" s="2"/>
      <c r="BIX35" s="2"/>
      <c r="BIY35" s="2"/>
      <c r="BIZ35" s="2"/>
      <c r="BJA35" s="2"/>
      <c r="BJB35" s="2"/>
      <c r="BJC35" s="2"/>
      <c r="BJD35" s="2"/>
      <c r="BJE35" s="2"/>
      <c r="BJF35" s="2"/>
      <c r="BJG35" s="2"/>
      <c r="BJH35" s="2"/>
      <c r="BJI35" s="2"/>
      <c r="BJJ35" s="2"/>
      <c r="BJK35" s="2"/>
      <c r="BJL35" s="2"/>
      <c r="BJM35" s="2"/>
      <c r="BJN35" s="2"/>
      <c r="BJO35" s="2"/>
      <c r="BJP35" s="2"/>
      <c r="BJQ35" s="2"/>
      <c r="BJR35" s="2"/>
      <c r="BJS35" s="2"/>
      <c r="BJT35" s="2"/>
      <c r="BJU35" s="2"/>
      <c r="BJV35" s="2"/>
      <c r="BJW35" s="2"/>
      <c r="BJX35" s="2"/>
      <c r="BJY35" s="2"/>
      <c r="BJZ35" s="2"/>
      <c r="BKA35" s="2"/>
      <c r="BKB35" s="2"/>
      <c r="BKC35" s="2"/>
      <c r="BKD35" s="2"/>
      <c r="BKE35" s="2"/>
      <c r="BKF35" s="2"/>
      <c r="BKG35" s="2"/>
      <c r="BKH35" s="2"/>
      <c r="BKI35" s="2"/>
      <c r="BKJ35" s="2"/>
      <c r="BKK35" s="2"/>
      <c r="BKL35" s="2"/>
      <c r="BKM35" s="2"/>
      <c r="BKN35" s="2"/>
      <c r="BKO35" s="2"/>
      <c r="BKP35" s="2"/>
      <c r="BKQ35" s="2"/>
      <c r="BKR35" s="2"/>
      <c r="BKS35" s="2"/>
      <c r="BKT35" s="2"/>
      <c r="BKU35" s="2"/>
      <c r="BKV35" s="2"/>
      <c r="BKW35" s="2"/>
      <c r="BKX35" s="2"/>
      <c r="BKY35" s="2"/>
      <c r="BKZ35" s="2"/>
      <c r="BLA35" s="2"/>
      <c r="BLB35" s="2"/>
      <c r="BLC35" s="2"/>
      <c r="BLD35" s="2"/>
      <c r="BLE35" s="2"/>
      <c r="BLF35" s="2"/>
      <c r="BLG35" s="2"/>
      <c r="BLH35" s="2"/>
      <c r="BLI35" s="2"/>
      <c r="BLJ35" s="2"/>
      <c r="BLK35" s="2"/>
      <c r="BLL35" s="2"/>
      <c r="BLM35" s="2"/>
      <c r="BLN35" s="2"/>
      <c r="BLO35" s="2"/>
      <c r="BLP35" s="2"/>
      <c r="BLQ35" s="2"/>
      <c r="BLR35" s="2"/>
      <c r="BLS35" s="2"/>
      <c r="BLT35" s="2"/>
      <c r="BLU35" s="2"/>
      <c r="BLV35" s="2"/>
      <c r="BLW35" s="2"/>
      <c r="BLX35" s="2"/>
      <c r="BLY35" s="2"/>
      <c r="BLZ35" s="2"/>
      <c r="BMA35" s="2"/>
      <c r="BMB35" s="2"/>
      <c r="BMC35" s="2"/>
      <c r="BMD35" s="2"/>
      <c r="BME35" s="2"/>
      <c r="BMF35" s="2"/>
      <c r="BMG35" s="2"/>
      <c r="BMH35" s="2"/>
      <c r="BMI35" s="2"/>
      <c r="BMJ35" s="2"/>
      <c r="BMK35" s="2"/>
      <c r="BML35" s="2"/>
      <c r="BMM35" s="2"/>
      <c r="BMN35" s="2"/>
      <c r="BMO35" s="2"/>
      <c r="BMP35" s="2"/>
      <c r="BMQ35" s="2"/>
      <c r="BMR35" s="2"/>
      <c r="BMS35" s="2"/>
      <c r="BMT35" s="2"/>
      <c r="BMU35" s="2"/>
      <c r="BMV35" s="2"/>
      <c r="BMW35" s="2"/>
      <c r="BMX35" s="2"/>
      <c r="BMY35" s="2"/>
      <c r="BMZ35" s="2"/>
      <c r="BNA35" s="2"/>
      <c r="BNB35" s="2"/>
      <c r="BNC35" s="2"/>
      <c r="BND35" s="2"/>
      <c r="BNE35" s="2"/>
      <c r="BNF35" s="2"/>
      <c r="BNG35" s="2"/>
      <c r="BNH35" s="2"/>
      <c r="BNI35" s="2"/>
      <c r="BNJ35" s="2"/>
      <c r="BNK35" s="2"/>
      <c r="BNL35" s="2"/>
      <c r="BNM35" s="2"/>
      <c r="BNN35" s="2"/>
      <c r="BNO35" s="2"/>
      <c r="BNP35" s="2"/>
      <c r="BNQ35" s="2"/>
      <c r="BNR35" s="2"/>
      <c r="BNS35" s="2"/>
      <c r="BNT35" s="2"/>
      <c r="BNU35" s="2"/>
      <c r="BNV35" s="2"/>
      <c r="BNW35" s="2"/>
      <c r="BNX35" s="2"/>
      <c r="BNY35" s="2"/>
      <c r="BNZ35" s="2"/>
      <c r="BOA35" s="2"/>
      <c r="BOB35" s="2"/>
      <c r="BOC35" s="2"/>
      <c r="BOD35" s="2"/>
      <c r="BOE35" s="2"/>
      <c r="BOF35" s="2"/>
      <c r="BOG35" s="2"/>
      <c r="BOH35" s="2"/>
      <c r="BOI35" s="2"/>
      <c r="BOJ35" s="2"/>
      <c r="BOK35" s="2"/>
      <c r="BOL35" s="2"/>
      <c r="BOM35" s="2"/>
      <c r="BON35" s="2"/>
      <c r="BOO35" s="2"/>
      <c r="BOP35" s="2"/>
      <c r="BOQ35" s="2"/>
      <c r="BOR35" s="2"/>
      <c r="BOS35" s="2"/>
      <c r="BOT35" s="2"/>
      <c r="BOU35" s="2"/>
      <c r="BOV35" s="2"/>
      <c r="BOW35" s="2"/>
      <c r="BOX35" s="2"/>
      <c r="BOY35" s="2"/>
      <c r="BOZ35" s="2"/>
      <c r="BPA35" s="2"/>
      <c r="BPB35" s="2"/>
      <c r="BPC35" s="2"/>
      <c r="BPD35" s="2"/>
      <c r="BPE35" s="2"/>
      <c r="BPF35" s="2"/>
      <c r="BPG35" s="2"/>
      <c r="BPH35" s="2"/>
      <c r="BPI35" s="2"/>
      <c r="BPJ35" s="2"/>
      <c r="BPK35" s="2"/>
      <c r="BPL35" s="2"/>
      <c r="BPM35" s="2"/>
      <c r="BPN35" s="2"/>
      <c r="BPO35" s="2"/>
      <c r="BPP35" s="2"/>
      <c r="BPQ35" s="2"/>
      <c r="BPR35" s="2"/>
      <c r="BPS35" s="2"/>
      <c r="BPT35" s="2"/>
      <c r="BPU35" s="2"/>
      <c r="BPV35" s="2"/>
      <c r="BPW35" s="2"/>
      <c r="BPX35" s="2"/>
      <c r="BPY35" s="2"/>
      <c r="BPZ35" s="2"/>
      <c r="BQA35" s="2"/>
      <c r="BQB35" s="2"/>
      <c r="BQC35" s="2"/>
      <c r="BQD35" s="2"/>
      <c r="BQE35" s="2"/>
      <c r="BQF35" s="2"/>
      <c r="BQG35" s="2"/>
      <c r="BQH35" s="2"/>
      <c r="BQI35" s="2"/>
      <c r="BQJ35" s="2"/>
      <c r="BQK35" s="2"/>
      <c r="BQL35" s="2"/>
      <c r="BQM35" s="2"/>
      <c r="BQN35" s="2"/>
      <c r="BQO35" s="2"/>
      <c r="BQP35" s="2"/>
      <c r="BQQ35" s="2"/>
      <c r="BQR35" s="2"/>
      <c r="BQS35" s="2"/>
      <c r="BQT35" s="2"/>
      <c r="BQU35" s="2"/>
      <c r="BQV35" s="2"/>
      <c r="BQW35" s="2"/>
      <c r="BQX35" s="2"/>
      <c r="BQY35" s="2"/>
      <c r="BQZ35" s="2"/>
      <c r="BRA35" s="2"/>
      <c r="BRB35" s="2"/>
      <c r="BRC35" s="2"/>
      <c r="BRD35" s="2"/>
      <c r="BRE35" s="2"/>
      <c r="BRF35" s="2"/>
      <c r="BRG35" s="2"/>
      <c r="BRH35" s="2"/>
      <c r="BRI35" s="2"/>
      <c r="BRJ35" s="2"/>
      <c r="BRK35" s="2"/>
      <c r="BRL35" s="2"/>
      <c r="BRM35" s="2"/>
      <c r="BRN35" s="2"/>
      <c r="BRO35" s="2"/>
      <c r="BRP35" s="2"/>
      <c r="BRQ35" s="2"/>
      <c r="BRR35" s="2"/>
      <c r="BRS35" s="2"/>
      <c r="BRT35" s="2"/>
      <c r="BRU35" s="2"/>
      <c r="BRV35" s="2"/>
      <c r="BRW35" s="2"/>
      <c r="BRX35" s="2"/>
      <c r="BRY35" s="2"/>
      <c r="BRZ35" s="2"/>
      <c r="BSA35" s="2"/>
      <c r="BSB35" s="2"/>
      <c r="BSC35" s="2"/>
      <c r="BSD35" s="2"/>
      <c r="BSE35" s="2"/>
      <c r="BSF35" s="2"/>
      <c r="BSG35" s="2"/>
      <c r="BSH35" s="2"/>
      <c r="BSI35" s="2"/>
      <c r="BSJ35" s="2"/>
      <c r="BSK35" s="2"/>
      <c r="BSL35" s="2"/>
      <c r="BSM35" s="2"/>
      <c r="BSN35" s="2"/>
      <c r="BSO35" s="2"/>
      <c r="BSP35" s="2"/>
      <c r="BSQ35" s="2"/>
      <c r="BSR35" s="2"/>
      <c r="BSS35" s="2"/>
      <c r="BST35" s="2"/>
      <c r="BSU35" s="2"/>
      <c r="BSV35" s="2"/>
      <c r="BSW35" s="2"/>
      <c r="BSX35" s="2"/>
      <c r="BSY35" s="2"/>
      <c r="BSZ35" s="2"/>
      <c r="BTA35" s="2"/>
      <c r="BTB35" s="2"/>
      <c r="BTC35" s="2"/>
      <c r="BTD35" s="2"/>
      <c r="BTE35" s="2"/>
      <c r="BTF35" s="2"/>
      <c r="BTG35" s="2"/>
      <c r="BTH35" s="2"/>
      <c r="BTI35" s="2"/>
      <c r="BTJ35" s="2"/>
      <c r="BTK35" s="2"/>
      <c r="BTL35" s="2"/>
      <c r="BTM35" s="2"/>
      <c r="BTN35" s="2"/>
      <c r="BTO35" s="2"/>
      <c r="BTP35" s="2"/>
      <c r="BTQ35" s="2"/>
      <c r="BTR35" s="2"/>
      <c r="BTS35" s="2"/>
      <c r="BTT35" s="2"/>
      <c r="BTU35" s="2"/>
      <c r="BTV35" s="2"/>
      <c r="BTW35" s="2"/>
      <c r="BTX35" s="2"/>
      <c r="BTY35" s="2"/>
      <c r="BTZ35" s="2"/>
      <c r="BUA35" s="2"/>
      <c r="BUB35" s="2"/>
      <c r="BUC35" s="2"/>
      <c r="BUD35" s="2"/>
      <c r="BUE35" s="2"/>
      <c r="BUF35" s="2"/>
      <c r="BUG35" s="2"/>
      <c r="BUH35" s="2"/>
      <c r="BUI35" s="2"/>
      <c r="BUJ35" s="2"/>
      <c r="BUK35" s="2"/>
      <c r="BUL35" s="2"/>
      <c r="BUM35" s="2"/>
      <c r="BUN35" s="2"/>
      <c r="BUO35" s="2"/>
      <c r="BUP35" s="2"/>
      <c r="BUQ35" s="2"/>
      <c r="BUR35" s="2"/>
      <c r="BUS35" s="2"/>
      <c r="BUT35" s="2"/>
      <c r="BUU35" s="2"/>
      <c r="BUV35" s="2"/>
      <c r="BUW35" s="2"/>
      <c r="BUX35" s="2"/>
      <c r="BUY35" s="2"/>
      <c r="BUZ35" s="2"/>
      <c r="BVA35" s="2"/>
      <c r="BVB35" s="2"/>
      <c r="BVC35" s="2"/>
      <c r="BVD35" s="2"/>
      <c r="BVE35" s="2"/>
      <c r="BVF35" s="2"/>
      <c r="BVG35" s="2"/>
      <c r="BVH35" s="2"/>
      <c r="BVI35" s="2"/>
      <c r="BVJ35" s="2"/>
      <c r="BVK35" s="2"/>
      <c r="BVL35" s="2"/>
      <c r="BVM35" s="2"/>
      <c r="BVN35" s="2"/>
      <c r="BVO35" s="2"/>
      <c r="BVP35" s="2"/>
      <c r="BVQ35" s="2"/>
      <c r="BVR35" s="2"/>
      <c r="BVS35" s="2"/>
      <c r="BVT35" s="2"/>
      <c r="BVU35" s="2"/>
      <c r="BVV35" s="2"/>
      <c r="BVW35" s="2"/>
      <c r="BVX35" s="2"/>
      <c r="BVY35" s="2"/>
      <c r="BVZ35" s="2"/>
      <c r="BWA35" s="2"/>
      <c r="BWB35" s="2"/>
      <c r="BWC35" s="2"/>
      <c r="BWD35" s="2"/>
      <c r="BWE35" s="2"/>
      <c r="BWF35" s="2"/>
      <c r="BWG35" s="2"/>
      <c r="BWH35" s="2"/>
      <c r="BWI35" s="2"/>
      <c r="BWJ35" s="2"/>
      <c r="BWK35" s="2"/>
      <c r="BWL35" s="2"/>
      <c r="BWM35" s="2"/>
      <c r="BWN35" s="2"/>
      <c r="BWO35" s="2"/>
      <c r="BWP35" s="2"/>
      <c r="BWQ35" s="2"/>
      <c r="BWR35" s="2"/>
      <c r="BWS35" s="2"/>
      <c r="BWT35" s="2"/>
      <c r="BWU35" s="2"/>
      <c r="BWV35" s="2"/>
      <c r="BWW35" s="2"/>
      <c r="BWX35" s="2"/>
      <c r="BWY35" s="2"/>
      <c r="BWZ35" s="2"/>
      <c r="BXA35" s="2"/>
      <c r="BXB35" s="2"/>
      <c r="BXC35" s="2"/>
      <c r="BXD35" s="2"/>
      <c r="BXE35" s="2"/>
      <c r="BXF35" s="2"/>
      <c r="BXG35" s="2"/>
      <c r="BXH35" s="2"/>
      <c r="BXI35" s="2"/>
      <c r="BXJ35" s="2"/>
      <c r="BXK35" s="2"/>
      <c r="BXL35" s="2"/>
      <c r="BXM35" s="2"/>
      <c r="BXN35" s="2"/>
      <c r="BXO35" s="2"/>
      <c r="BXP35" s="2"/>
      <c r="BXQ35" s="2"/>
      <c r="BXR35" s="2"/>
      <c r="BXS35" s="2"/>
      <c r="BXT35" s="2"/>
      <c r="BXU35" s="2"/>
      <c r="BXV35" s="2"/>
      <c r="BXW35" s="2"/>
      <c r="BXX35" s="2"/>
      <c r="BXY35" s="2"/>
      <c r="BXZ35" s="2"/>
      <c r="BYA35" s="2"/>
      <c r="BYB35" s="2"/>
      <c r="BYC35" s="2"/>
      <c r="BYD35" s="2"/>
      <c r="BYE35" s="2"/>
      <c r="BYF35" s="2"/>
      <c r="BYG35" s="2"/>
      <c r="BYH35" s="2"/>
      <c r="BYI35" s="2"/>
      <c r="BYJ35" s="2"/>
      <c r="BYK35" s="2"/>
      <c r="BYL35" s="2"/>
      <c r="BYM35" s="2"/>
      <c r="BYN35" s="2"/>
      <c r="BYO35" s="2"/>
      <c r="BYP35" s="2"/>
      <c r="BYQ35" s="2"/>
      <c r="BYR35" s="2"/>
      <c r="BYS35" s="2"/>
      <c r="BYT35" s="2"/>
      <c r="BYU35" s="2"/>
      <c r="BYV35" s="2"/>
      <c r="BYW35" s="2"/>
      <c r="BYX35" s="2"/>
      <c r="BYY35" s="2"/>
      <c r="BYZ35" s="2"/>
      <c r="BZA35" s="2"/>
      <c r="BZB35" s="2"/>
      <c r="BZC35" s="2"/>
      <c r="BZD35" s="2"/>
      <c r="BZE35" s="2"/>
      <c r="BZF35" s="2"/>
      <c r="BZG35" s="2"/>
      <c r="BZH35" s="2"/>
      <c r="BZI35" s="2"/>
      <c r="BZJ35" s="2"/>
      <c r="BZK35" s="2"/>
      <c r="BZL35" s="2"/>
      <c r="BZM35" s="2"/>
      <c r="BZN35" s="2"/>
      <c r="BZO35" s="2"/>
      <c r="BZP35" s="2"/>
      <c r="BZQ35" s="2"/>
      <c r="BZR35" s="2"/>
      <c r="BZS35" s="2"/>
      <c r="BZT35" s="2"/>
      <c r="BZU35" s="2"/>
      <c r="BZV35" s="2"/>
      <c r="BZW35" s="2"/>
      <c r="BZX35" s="2"/>
      <c r="BZY35" s="2"/>
      <c r="BZZ35" s="2"/>
      <c r="CAA35" s="2"/>
      <c r="CAB35" s="2"/>
      <c r="CAC35" s="2"/>
      <c r="CAD35" s="2"/>
      <c r="CAE35" s="2"/>
      <c r="CAF35" s="2"/>
      <c r="CAG35" s="2"/>
      <c r="CAH35" s="2"/>
      <c r="CAI35" s="2"/>
      <c r="CAJ35" s="2"/>
      <c r="CAK35" s="2"/>
      <c r="CAL35" s="2"/>
      <c r="CAM35" s="2"/>
      <c r="CAN35" s="2"/>
      <c r="CAO35" s="2"/>
      <c r="CAP35" s="2"/>
      <c r="CAQ35" s="2"/>
      <c r="CAR35" s="2"/>
      <c r="CAS35" s="2"/>
      <c r="CAT35" s="2"/>
      <c r="CAU35" s="2"/>
      <c r="CAV35" s="2"/>
      <c r="CAW35" s="2"/>
      <c r="CAX35" s="2"/>
      <c r="CAY35" s="2"/>
      <c r="CAZ35" s="2"/>
      <c r="CBA35" s="2"/>
      <c r="CBB35" s="2"/>
      <c r="CBC35" s="2"/>
      <c r="CBD35" s="2"/>
      <c r="CBE35" s="2"/>
      <c r="CBF35" s="2"/>
      <c r="CBG35" s="2"/>
      <c r="CBH35" s="2"/>
      <c r="CBI35" s="2"/>
      <c r="CBJ35" s="2"/>
      <c r="CBK35" s="2"/>
      <c r="CBL35" s="2"/>
      <c r="CBM35" s="2"/>
      <c r="CBN35" s="2"/>
      <c r="CBO35" s="2"/>
      <c r="CBP35" s="2"/>
      <c r="CBQ35" s="2"/>
      <c r="CBR35" s="2"/>
      <c r="CBS35" s="2"/>
      <c r="CBT35" s="2"/>
      <c r="CBU35" s="2"/>
      <c r="CBV35" s="2"/>
      <c r="CBW35" s="2"/>
      <c r="CBX35" s="2"/>
      <c r="CBY35" s="2"/>
      <c r="CBZ35" s="2"/>
      <c r="CCA35" s="2"/>
      <c r="CCB35" s="2"/>
      <c r="CCC35" s="2"/>
      <c r="CCD35" s="2"/>
      <c r="CCE35" s="2"/>
      <c r="CCF35" s="2"/>
      <c r="CCG35" s="2"/>
      <c r="CCH35" s="2"/>
      <c r="CCI35" s="2"/>
      <c r="CCJ35" s="2"/>
      <c r="CCK35" s="2"/>
      <c r="CCL35" s="2"/>
      <c r="CCM35" s="2"/>
      <c r="CCN35" s="2"/>
      <c r="CCO35" s="2"/>
      <c r="CCP35" s="2"/>
      <c r="CCQ35" s="2"/>
      <c r="CCR35" s="2"/>
      <c r="CCS35" s="2"/>
      <c r="CCT35" s="2"/>
      <c r="CCU35" s="2"/>
      <c r="CCV35" s="2"/>
      <c r="CCW35" s="2"/>
      <c r="CCX35" s="2"/>
      <c r="CCY35" s="2"/>
      <c r="CCZ35" s="2"/>
      <c r="CDA35" s="2"/>
      <c r="CDB35" s="2"/>
      <c r="CDC35" s="2"/>
      <c r="CDD35" s="2"/>
      <c r="CDE35" s="2"/>
      <c r="CDF35" s="2"/>
      <c r="CDG35" s="2"/>
      <c r="CDH35" s="2"/>
      <c r="CDI35" s="2"/>
      <c r="CDJ35" s="2"/>
      <c r="CDK35" s="2"/>
      <c r="CDL35" s="2"/>
      <c r="CDM35" s="2"/>
      <c r="CDN35" s="2"/>
      <c r="CDO35" s="2"/>
      <c r="CDP35" s="2"/>
      <c r="CDQ35" s="2"/>
      <c r="CDR35" s="2"/>
      <c r="CDS35" s="2"/>
      <c r="CDT35" s="2"/>
      <c r="CDU35" s="2"/>
      <c r="CDV35" s="2"/>
      <c r="CDW35" s="2"/>
      <c r="CDX35" s="2"/>
      <c r="CDY35" s="2"/>
      <c r="CDZ35" s="2"/>
      <c r="CEA35" s="2"/>
      <c r="CEB35" s="2"/>
      <c r="CEC35" s="2"/>
      <c r="CED35" s="2"/>
      <c r="CEE35" s="2"/>
      <c r="CEF35" s="2"/>
      <c r="CEG35" s="2"/>
      <c r="CEH35" s="2"/>
      <c r="CEI35" s="2"/>
      <c r="CEJ35" s="2"/>
      <c r="CEK35" s="2"/>
      <c r="CEL35" s="2"/>
      <c r="CEM35" s="2"/>
      <c r="CEN35" s="2"/>
      <c r="CEO35" s="2"/>
      <c r="CEP35" s="2"/>
      <c r="CEQ35" s="2"/>
      <c r="CER35" s="2"/>
      <c r="CES35" s="2"/>
      <c r="CET35" s="2"/>
      <c r="CEU35" s="2"/>
      <c r="CEV35" s="2"/>
      <c r="CEW35" s="2"/>
      <c r="CEX35" s="2"/>
      <c r="CEY35" s="2"/>
      <c r="CEZ35" s="2"/>
      <c r="CFA35" s="2"/>
      <c r="CFB35" s="2"/>
      <c r="CFC35" s="2"/>
      <c r="CFD35" s="2"/>
      <c r="CFE35" s="2"/>
      <c r="CFF35" s="2"/>
      <c r="CFG35" s="2"/>
      <c r="CFH35" s="2"/>
      <c r="CFI35" s="2"/>
      <c r="CFJ35" s="2"/>
      <c r="CFK35" s="2"/>
      <c r="CFL35" s="2"/>
      <c r="CFM35" s="2"/>
      <c r="CFN35" s="2"/>
      <c r="CFO35" s="2"/>
      <c r="CFP35" s="2"/>
      <c r="CFQ35" s="2"/>
      <c r="CFR35" s="2"/>
      <c r="CFS35" s="2"/>
      <c r="CFT35" s="2"/>
      <c r="CFU35" s="2"/>
      <c r="CFV35" s="2"/>
      <c r="CFW35" s="2"/>
      <c r="CFX35" s="2"/>
      <c r="CFY35" s="2"/>
      <c r="CFZ35" s="2"/>
      <c r="CGA35" s="2"/>
      <c r="CGB35" s="2"/>
      <c r="CGC35" s="2"/>
      <c r="CGD35" s="2"/>
      <c r="CGE35" s="2"/>
      <c r="CGF35" s="2"/>
      <c r="CGG35" s="2"/>
      <c r="CGH35" s="2"/>
      <c r="CGI35" s="2"/>
      <c r="CGJ35" s="2"/>
      <c r="CGK35" s="2"/>
      <c r="CGL35" s="2"/>
      <c r="CGM35" s="2"/>
      <c r="CGN35" s="2"/>
      <c r="CGO35" s="2"/>
      <c r="CGP35" s="2"/>
      <c r="CGQ35" s="2"/>
      <c r="CGR35" s="2"/>
      <c r="CGS35" s="2"/>
      <c r="CGT35" s="2"/>
      <c r="CGU35" s="2"/>
      <c r="CGV35" s="2"/>
      <c r="CGW35" s="2"/>
      <c r="CGX35" s="2"/>
      <c r="CGY35" s="2"/>
      <c r="CGZ35" s="2"/>
      <c r="CHA35" s="2"/>
      <c r="CHB35" s="2"/>
      <c r="CHC35" s="2"/>
      <c r="CHD35" s="2"/>
      <c r="CHE35" s="2"/>
      <c r="CHF35" s="2"/>
      <c r="CHG35" s="2"/>
      <c r="CHH35" s="2"/>
      <c r="CHI35" s="2"/>
      <c r="CHJ35" s="2"/>
      <c r="CHK35" s="2"/>
      <c r="CHL35" s="2"/>
      <c r="CHM35" s="2"/>
      <c r="CHN35" s="2"/>
      <c r="CHO35" s="2"/>
      <c r="CHP35" s="2"/>
      <c r="CHQ35" s="2"/>
      <c r="CHR35" s="2"/>
      <c r="CHS35" s="2"/>
      <c r="CHT35" s="2"/>
      <c r="CHU35" s="2"/>
      <c r="CHV35" s="2"/>
      <c r="CHW35" s="2"/>
      <c r="CHX35" s="2"/>
      <c r="CHY35" s="2"/>
      <c r="CHZ35" s="2"/>
      <c r="CIA35" s="2"/>
      <c r="CIB35" s="2"/>
      <c r="CIC35" s="2"/>
      <c r="CID35" s="2"/>
      <c r="CIE35" s="2"/>
      <c r="CIF35" s="2"/>
      <c r="CIG35" s="2"/>
      <c r="CIH35" s="2"/>
      <c r="CII35" s="2"/>
      <c r="CIJ35" s="2"/>
      <c r="CIK35" s="2"/>
      <c r="CIL35" s="2"/>
      <c r="CIM35" s="2"/>
      <c r="CIN35" s="2"/>
      <c r="CIO35" s="2"/>
      <c r="CIP35" s="2"/>
      <c r="CIQ35" s="2"/>
      <c r="CIR35" s="2"/>
      <c r="CIS35" s="2"/>
      <c r="CIT35" s="2"/>
      <c r="CIU35" s="2"/>
      <c r="CIV35" s="2"/>
      <c r="CIW35" s="2"/>
      <c r="CIX35" s="2"/>
      <c r="CIY35" s="2"/>
      <c r="CIZ35" s="2"/>
      <c r="CJA35" s="2"/>
      <c r="CJB35" s="2"/>
      <c r="CJC35" s="2"/>
      <c r="CJD35" s="2"/>
      <c r="CJE35" s="2"/>
      <c r="CJF35" s="2"/>
      <c r="CJG35" s="2"/>
      <c r="CJH35" s="2"/>
      <c r="CJI35" s="2"/>
      <c r="CJJ35" s="2"/>
      <c r="CJK35" s="2"/>
      <c r="CJL35" s="2"/>
      <c r="CJM35" s="2"/>
      <c r="CJN35" s="2"/>
      <c r="CJO35" s="2"/>
      <c r="CJP35" s="2"/>
      <c r="CJQ35" s="2"/>
      <c r="CJR35" s="2"/>
      <c r="CJS35" s="2"/>
      <c r="CJT35" s="2"/>
      <c r="CJU35" s="2"/>
      <c r="CJV35" s="2"/>
      <c r="CJW35" s="2"/>
      <c r="CJX35" s="2"/>
      <c r="CJY35" s="2"/>
      <c r="CJZ35" s="2"/>
      <c r="CKA35" s="2"/>
      <c r="CKB35" s="2"/>
      <c r="CKC35" s="2"/>
      <c r="CKD35" s="2"/>
      <c r="CKE35" s="2"/>
      <c r="CKF35" s="2"/>
      <c r="CKG35" s="2"/>
      <c r="CKH35" s="2"/>
      <c r="CKI35" s="2"/>
      <c r="CKJ35" s="2"/>
      <c r="CKK35" s="2"/>
      <c r="CKL35" s="2"/>
      <c r="CKM35" s="2"/>
      <c r="CKN35" s="2"/>
      <c r="CKO35" s="2"/>
      <c r="CKP35" s="2"/>
      <c r="CKQ35" s="2"/>
      <c r="CKR35" s="2"/>
      <c r="CKS35" s="2"/>
      <c r="CKT35" s="2"/>
      <c r="CKU35" s="2"/>
      <c r="CKV35" s="2"/>
      <c r="CKW35" s="2"/>
      <c r="CKX35" s="2"/>
      <c r="CKY35" s="2"/>
      <c r="CKZ35" s="2"/>
      <c r="CLA35" s="2"/>
      <c r="CLB35" s="2"/>
      <c r="CLC35" s="2"/>
      <c r="CLD35" s="2"/>
      <c r="CLE35" s="2"/>
      <c r="CLF35" s="2"/>
      <c r="CLG35" s="2"/>
      <c r="CLH35" s="2"/>
      <c r="CLI35" s="2"/>
      <c r="CLJ35" s="2"/>
      <c r="CLK35" s="2"/>
      <c r="CLL35" s="2"/>
      <c r="CLM35" s="2"/>
      <c r="CLN35" s="2"/>
      <c r="CLO35" s="2"/>
      <c r="CLP35" s="2"/>
      <c r="CLQ35" s="2"/>
      <c r="CLR35" s="2"/>
      <c r="CLS35" s="2"/>
      <c r="CLT35" s="2"/>
      <c r="CLU35" s="2"/>
      <c r="CLV35" s="2"/>
      <c r="CLW35" s="2"/>
      <c r="CLX35" s="2"/>
      <c r="CLY35" s="2"/>
      <c r="CLZ35" s="2"/>
      <c r="CMA35" s="2"/>
      <c r="CMB35" s="2"/>
      <c r="CMC35" s="2"/>
      <c r="CMD35" s="2"/>
      <c r="CME35" s="2"/>
      <c r="CMF35" s="2"/>
      <c r="CMG35" s="2"/>
      <c r="CMH35" s="2"/>
      <c r="CMI35" s="2"/>
      <c r="CMJ35" s="2"/>
      <c r="CMK35" s="2"/>
      <c r="CML35" s="2"/>
      <c r="CMM35" s="2"/>
      <c r="CMN35" s="2"/>
      <c r="CMO35" s="2"/>
      <c r="CMP35" s="2"/>
      <c r="CMQ35" s="2"/>
      <c r="CMR35" s="2"/>
      <c r="CMS35" s="2"/>
      <c r="CMT35" s="2"/>
      <c r="CMU35" s="2"/>
      <c r="CMV35" s="2"/>
      <c r="CMW35" s="2"/>
      <c r="CMX35" s="2"/>
      <c r="CMY35" s="2"/>
      <c r="CMZ35" s="2"/>
      <c r="CNA35" s="2"/>
      <c r="CNB35" s="2"/>
      <c r="CNC35" s="2"/>
      <c r="CND35" s="2"/>
      <c r="CNE35" s="2"/>
      <c r="CNF35" s="2"/>
      <c r="CNG35" s="2"/>
      <c r="CNH35" s="2"/>
      <c r="CNI35" s="2"/>
      <c r="CNJ35" s="2"/>
      <c r="CNK35" s="2"/>
      <c r="CNL35" s="2"/>
      <c r="CNM35" s="2"/>
      <c r="CNN35" s="2"/>
      <c r="CNO35" s="2"/>
      <c r="CNP35" s="2"/>
      <c r="CNQ35" s="2"/>
      <c r="CNR35" s="2"/>
      <c r="CNS35" s="2"/>
      <c r="CNT35" s="2"/>
      <c r="CNU35" s="2"/>
      <c r="CNV35" s="2"/>
      <c r="CNW35" s="2"/>
      <c r="CNX35" s="2"/>
      <c r="CNY35" s="2"/>
      <c r="CNZ35" s="2"/>
      <c r="COA35" s="2"/>
      <c r="COB35" s="2"/>
      <c r="COC35" s="2"/>
      <c r="COD35" s="2"/>
      <c r="COE35" s="2"/>
      <c r="COF35" s="2"/>
      <c r="COG35" s="2"/>
      <c r="COH35" s="2"/>
      <c r="COI35" s="2"/>
      <c r="COJ35" s="2"/>
      <c r="COK35" s="2"/>
      <c r="COL35" s="2"/>
      <c r="COM35" s="2"/>
      <c r="CON35" s="2"/>
      <c r="COO35" s="2"/>
      <c r="COP35" s="2"/>
      <c r="COQ35" s="2"/>
      <c r="COR35" s="2"/>
      <c r="COS35" s="2"/>
      <c r="COT35" s="2"/>
      <c r="COU35" s="2"/>
      <c r="COV35" s="2"/>
      <c r="COW35" s="2"/>
      <c r="COX35" s="2"/>
      <c r="COY35" s="2"/>
      <c r="COZ35" s="2"/>
      <c r="CPA35" s="2"/>
      <c r="CPB35" s="2"/>
      <c r="CPC35" s="2"/>
      <c r="CPD35" s="2"/>
      <c r="CPE35" s="2"/>
      <c r="CPF35" s="2"/>
      <c r="CPG35" s="2"/>
      <c r="CPH35" s="2"/>
      <c r="CPI35" s="2"/>
      <c r="CPJ35" s="2"/>
      <c r="CPK35" s="2"/>
      <c r="CPL35" s="2"/>
      <c r="CPM35" s="2"/>
      <c r="CPN35" s="2"/>
      <c r="CPO35" s="2"/>
      <c r="CPP35" s="2"/>
      <c r="CPQ35" s="2"/>
      <c r="CPR35" s="2"/>
      <c r="CPS35" s="2"/>
      <c r="CPT35" s="2"/>
      <c r="CPU35" s="2"/>
      <c r="CPV35" s="2"/>
      <c r="CPW35" s="2"/>
      <c r="CPX35" s="2"/>
      <c r="CPY35" s="2"/>
      <c r="CPZ35" s="2"/>
      <c r="CQA35" s="2"/>
      <c r="CQB35" s="2"/>
      <c r="CQC35" s="2"/>
      <c r="CQD35" s="2"/>
      <c r="CQE35" s="2"/>
      <c r="CQF35" s="2"/>
      <c r="CQG35" s="2"/>
      <c r="CQH35" s="2"/>
      <c r="CQI35" s="2"/>
      <c r="CQJ35" s="2"/>
      <c r="CQK35" s="2"/>
      <c r="CQL35" s="2"/>
      <c r="CQM35" s="2"/>
      <c r="CQN35" s="2"/>
      <c r="CQO35" s="2"/>
      <c r="CQP35" s="2"/>
      <c r="CQQ35" s="2"/>
      <c r="CQR35" s="2"/>
      <c r="CQS35" s="2"/>
      <c r="CQT35" s="2"/>
      <c r="CQU35" s="2"/>
      <c r="CQV35" s="2"/>
      <c r="CQW35" s="2"/>
      <c r="CQX35" s="2"/>
      <c r="CQY35" s="2"/>
      <c r="CQZ35" s="2"/>
      <c r="CRA35" s="2"/>
      <c r="CRB35" s="2"/>
      <c r="CRC35" s="2"/>
      <c r="CRD35" s="2"/>
      <c r="CRE35" s="2"/>
      <c r="CRF35" s="2"/>
      <c r="CRG35" s="2"/>
      <c r="CRH35" s="2"/>
      <c r="CRI35" s="2"/>
      <c r="CRJ35" s="2"/>
      <c r="CRK35" s="2"/>
      <c r="CRL35" s="2"/>
      <c r="CRM35" s="2"/>
      <c r="CRN35" s="2"/>
      <c r="CRO35" s="2"/>
      <c r="CRP35" s="2"/>
      <c r="CRQ35" s="2"/>
      <c r="CRR35" s="2"/>
      <c r="CRS35" s="2"/>
      <c r="CRT35" s="2"/>
      <c r="CRU35" s="2"/>
      <c r="CRV35" s="2"/>
      <c r="CRW35" s="2"/>
      <c r="CRX35" s="2"/>
      <c r="CRY35" s="2"/>
      <c r="CRZ35" s="2"/>
      <c r="CSA35" s="2"/>
      <c r="CSB35" s="2"/>
      <c r="CSC35" s="2"/>
      <c r="CSD35" s="2"/>
      <c r="CSE35" s="2"/>
      <c r="CSF35" s="2"/>
      <c r="CSG35" s="2"/>
      <c r="CSH35" s="2"/>
      <c r="CSI35" s="2"/>
      <c r="CSJ35" s="2"/>
      <c r="CSK35" s="2"/>
      <c r="CSL35" s="2"/>
      <c r="CSM35" s="2"/>
      <c r="CSN35" s="2"/>
      <c r="CSO35" s="2"/>
      <c r="CSP35" s="2"/>
      <c r="CSQ35" s="2"/>
      <c r="CSR35" s="2"/>
      <c r="CSS35" s="2"/>
      <c r="CST35" s="2"/>
      <c r="CSU35" s="2"/>
      <c r="CSV35" s="2"/>
      <c r="CSW35" s="2"/>
      <c r="CSX35" s="2"/>
      <c r="CSY35" s="2"/>
      <c r="CSZ35" s="2"/>
      <c r="CTA35" s="2"/>
      <c r="CTB35" s="2"/>
      <c r="CTC35" s="2"/>
      <c r="CTD35" s="2"/>
      <c r="CTE35" s="2"/>
      <c r="CTF35" s="2"/>
      <c r="CTG35" s="2"/>
      <c r="CTH35" s="2"/>
      <c r="CTI35" s="2"/>
      <c r="CTJ35" s="2"/>
      <c r="CTK35" s="2"/>
      <c r="CTL35" s="2"/>
      <c r="CTM35" s="2"/>
      <c r="CTN35" s="2"/>
      <c r="CTO35" s="2"/>
      <c r="CTP35" s="2"/>
      <c r="CTQ35" s="2"/>
      <c r="CTR35" s="2"/>
      <c r="CTS35" s="2"/>
      <c r="CTT35" s="2"/>
      <c r="CTU35" s="2"/>
      <c r="CTV35" s="2"/>
      <c r="CTW35" s="2"/>
      <c r="CTX35" s="2"/>
      <c r="CTY35" s="2"/>
      <c r="CTZ35" s="2"/>
      <c r="CUA35" s="2"/>
      <c r="CUB35" s="2"/>
      <c r="CUC35" s="2"/>
      <c r="CUD35" s="2"/>
      <c r="CUE35" s="2"/>
      <c r="CUF35" s="2"/>
      <c r="CUG35" s="2"/>
      <c r="CUH35" s="2"/>
      <c r="CUI35" s="2"/>
      <c r="CUJ35" s="2"/>
      <c r="CUK35" s="2"/>
      <c r="CUL35" s="2"/>
      <c r="CUM35" s="2"/>
      <c r="CUN35" s="2"/>
      <c r="CUO35" s="2"/>
      <c r="CUP35" s="2"/>
      <c r="CUQ35" s="2"/>
      <c r="CUR35" s="2"/>
      <c r="CUS35" s="2"/>
      <c r="CUT35" s="2"/>
      <c r="CUU35" s="2"/>
      <c r="CUV35" s="2"/>
      <c r="CUW35" s="2"/>
      <c r="CUX35" s="2"/>
      <c r="CUY35" s="2"/>
      <c r="CUZ35" s="2"/>
      <c r="CVA35" s="2"/>
      <c r="CVB35" s="2"/>
      <c r="CVC35" s="2"/>
      <c r="CVD35" s="2"/>
      <c r="CVE35" s="2"/>
      <c r="CVF35" s="2"/>
      <c r="CVG35" s="2"/>
      <c r="CVH35" s="2"/>
      <c r="CVI35" s="2"/>
      <c r="CVJ35" s="2"/>
      <c r="CVK35" s="2"/>
      <c r="CVL35" s="2"/>
      <c r="CVM35" s="2"/>
      <c r="CVN35" s="2"/>
      <c r="CVO35" s="2"/>
      <c r="CVP35" s="2"/>
      <c r="CVQ35" s="2"/>
      <c r="CVR35" s="2"/>
      <c r="CVS35" s="2"/>
      <c r="CVT35" s="2"/>
      <c r="CVU35" s="2"/>
      <c r="CVV35" s="2"/>
      <c r="CVW35" s="2"/>
      <c r="CVX35" s="2"/>
      <c r="CVY35" s="2"/>
      <c r="CVZ35" s="2"/>
      <c r="CWA35" s="2"/>
      <c r="CWB35" s="2"/>
      <c r="CWC35" s="2"/>
      <c r="CWD35" s="2"/>
      <c r="CWE35" s="2"/>
      <c r="CWF35" s="2"/>
      <c r="CWG35" s="2"/>
      <c r="CWH35" s="2"/>
      <c r="CWI35" s="2"/>
      <c r="CWJ35" s="2"/>
      <c r="CWK35" s="2"/>
      <c r="CWL35" s="2"/>
      <c r="CWM35" s="2"/>
      <c r="CWN35" s="2"/>
      <c r="CWO35" s="2"/>
      <c r="CWP35" s="2"/>
      <c r="CWQ35" s="2"/>
      <c r="CWR35" s="2"/>
      <c r="CWS35" s="2"/>
      <c r="CWT35" s="2"/>
      <c r="CWU35" s="2"/>
      <c r="CWV35" s="2"/>
      <c r="CWW35" s="2"/>
      <c r="CWX35" s="2"/>
      <c r="CWY35" s="2"/>
      <c r="CWZ35" s="2"/>
      <c r="CXA35" s="2"/>
      <c r="CXB35" s="2"/>
      <c r="CXC35" s="2"/>
      <c r="CXD35" s="2"/>
      <c r="CXE35" s="2"/>
      <c r="CXF35" s="2"/>
      <c r="CXG35" s="2"/>
      <c r="CXH35" s="2"/>
      <c r="CXI35" s="2"/>
      <c r="CXJ35" s="2"/>
      <c r="CXK35" s="2"/>
      <c r="CXL35" s="2"/>
      <c r="CXM35" s="2"/>
      <c r="CXN35" s="2"/>
      <c r="CXO35" s="2"/>
      <c r="CXP35" s="2"/>
      <c r="CXQ35" s="2"/>
      <c r="CXR35" s="2"/>
      <c r="CXS35" s="2"/>
      <c r="CXT35" s="2"/>
      <c r="CXU35" s="2"/>
      <c r="CXV35" s="2"/>
      <c r="CXW35" s="2"/>
      <c r="CXX35" s="2"/>
      <c r="CXY35" s="2"/>
      <c r="CXZ35" s="2"/>
      <c r="CYA35" s="2"/>
      <c r="CYB35" s="2"/>
      <c r="CYC35" s="2"/>
      <c r="CYD35" s="2"/>
      <c r="CYE35" s="2"/>
      <c r="CYF35" s="2"/>
      <c r="CYG35" s="2"/>
      <c r="CYH35" s="2"/>
      <c r="CYI35" s="2"/>
      <c r="CYJ35" s="2"/>
      <c r="CYK35" s="2"/>
      <c r="CYL35" s="2"/>
      <c r="CYM35" s="2"/>
      <c r="CYN35" s="2"/>
      <c r="CYO35" s="2"/>
      <c r="CYP35" s="2"/>
      <c r="CYQ35" s="2"/>
      <c r="CYR35" s="2"/>
      <c r="CYS35" s="2"/>
      <c r="CYT35" s="2"/>
      <c r="CYU35" s="2"/>
      <c r="CYV35" s="2"/>
      <c r="CYW35" s="2"/>
      <c r="CYX35" s="2"/>
      <c r="CYY35" s="2"/>
      <c r="CYZ35" s="2"/>
      <c r="CZA35" s="2"/>
      <c r="CZB35" s="2"/>
      <c r="CZC35" s="2"/>
      <c r="CZD35" s="2"/>
      <c r="CZE35" s="2"/>
      <c r="CZF35" s="2"/>
      <c r="CZG35" s="2"/>
      <c r="CZH35" s="2"/>
      <c r="CZI35" s="2"/>
      <c r="CZJ35" s="2"/>
      <c r="CZK35" s="2"/>
      <c r="CZL35" s="2"/>
      <c r="CZM35" s="2"/>
      <c r="CZN35" s="2"/>
      <c r="CZO35" s="2"/>
      <c r="CZP35" s="2"/>
      <c r="CZQ35" s="2"/>
      <c r="CZR35" s="2"/>
      <c r="CZS35" s="2"/>
      <c r="CZT35" s="2"/>
      <c r="CZU35" s="2"/>
      <c r="CZV35" s="2"/>
      <c r="CZW35" s="2"/>
      <c r="CZX35" s="2"/>
      <c r="CZY35" s="2"/>
      <c r="CZZ35" s="2"/>
      <c r="DAA35" s="2"/>
      <c r="DAB35" s="2"/>
      <c r="DAC35" s="2"/>
      <c r="DAD35" s="2"/>
      <c r="DAE35" s="2"/>
      <c r="DAF35" s="2"/>
      <c r="DAG35" s="2"/>
      <c r="DAH35" s="2"/>
      <c r="DAI35" s="2"/>
      <c r="DAJ35" s="2"/>
      <c r="DAK35" s="2"/>
      <c r="DAL35" s="2"/>
      <c r="DAM35" s="2"/>
      <c r="DAN35" s="2"/>
      <c r="DAO35" s="2"/>
      <c r="DAP35" s="2"/>
      <c r="DAQ35" s="2"/>
      <c r="DAR35" s="2"/>
      <c r="DAS35" s="2"/>
      <c r="DAT35" s="2"/>
      <c r="DAU35" s="2"/>
      <c r="DAV35" s="2"/>
      <c r="DAW35" s="2"/>
      <c r="DAX35" s="2"/>
      <c r="DAY35" s="2"/>
      <c r="DAZ35" s="2"/>
      <c r="DBA35" s="2"/>
      <c r="DBB35" s="2"/>
      <c r="DBC35" s="2"/>
      <c r="DBD35" s="2"/>
      <c r="DBE35" s="2"/>
      <c r="DBF35" s="2"/>
      <c r="DBG35" s="2"/>
      <c r="DBH35" s="2"/>
      <c r="DBI35" s="2"/>
      <c r="DBJ35" s="2"/>
      <c r="DBK35" s="2"/>
      <c r="DBL35" s="2"/>
      <c r="DBM35" s="2"/>
      <c r="DBN35" s="2"/>
      <c r="DBO35" s="2"/>
      <c r="DBP35" s="2"/>
      <c r="DBQ35" s="2"/>
      <c r="DBR35" s="2"/>
      <c r="DBS35" s="2"/>
      <c r="DBT35" s="2"/>
      <c r="DBU35" s="2"/>
      <c r="DBV35" s="2"/>
      <c r="DBW35" s="2"/>
      <c r="DBX35" s="2"/>
      <c r="DBY35" s="2"/>
      <c r="DBZ35" s="2"/>
      <c r="DCA35" s="2"/>
      <c r="DCB35" s="2"/>
      <c r="DCC35" s="2"/>
      <c r="DCD35" s="2"/>
      <c r="DCE35" s="2"/>
      <c r="DCF35" s="2"/>
      <c r="DCG35" s="2"/>
      <c r="DCH35" s="2"/>
      <c r="DCI35" s="2"/>
      <c r="DCJ35" s="2"/>
      <c r="DCK35" s="2"/>
      <c r="DCL35" s="2"/>
      <c r="DCM35" s="2"/>
      <c r="DCN35" s="2"/>
      <c r="DCO35" s="2"/>
      <c r="DCP35" s="2"/>
      <c r="DCQ35" s="2"/>
      <c r="DCR35" s="2"/>
      <c r="DCS35" s="2"/>
      <c r="DCT35" s="2"/>
      <c r="DCU35" s="2"/>
      <c r="DCV35" s="2"/>
      <c r="DCW35" s="2"/>
      <c r="DCX35" s="2"/>
      <c r="DCY35" s="2"/>
      <c r="DCZ35" s="2"/>
      <c r="DDA35" s="2"/>
      <c r="DDB35" s="2"/>
      <c r="DDC35" s="2"/>
      <c r="DDD35" s="2"/>
      <c r="DDE35" s="2"/>
      <c r="DDF35" s="2"/>
      <c r="DDG35" s="2"/>
      <c r="DDH35" s="2"/>
      <c r="DDI35" s="2"/>
      <c r="DDJ35" s="2"/>
      <c r="DDK35" s="2"/>
      <c r="DDL35" s="2"/>
      <c r="DDM35" s="2"/>
      <c r="DDN35" s="2"/>
      <c r="DDO35" s="2"/>
      <c r="DDP35" s="2"/>
      <c r="DDQ35" s="2"/>
      <c r="DDR35" s="2"/>
      <c r="DDS35" s="2"/>
      <c r="DDT35" s="2"/>
      <c r="DDU35" s="2"/>
      <c r="DDV35" s="2"/>
      <c r="DDW35" s="2"/>
      <c r="DDX35" s="2"/>
      <c r="DDY35" s="2"/>
      <c r="DDZ35" s="2"/>
      <c r="DEA35" s="2"/>
      <c r="DEB35" s="2"/>
      <c r="DEC35" s="2"/>
      <c r="DED35" s="2"/>
      <c r="DEE35" s="2"/>
      <c r="DEF35" s="2"/>
      <c r="DEG35" s="2"/>
      <c r="DEH35" s="2"/>
      <c r="DEI35" s="2"/>
      <c r="DEJ35" s="2"/>
      <c r="DEK35" s="2"/>
      <c r="DEL35" s="2"/>
      <c r="DEM35" s="2"/>
      <c r="DEN35" s="2"/>
      <c r="DEO35" s="2"/>
      <c r="DEP35" s="2"/>
      <c r="DEQ35" s="2"/>
      <c r="DER35" s="2"/>
      <c r="DES35" s="2"/>
      <c r="DET35" s="2"/>
      <c r="DEU35" s="2"/>
      <c r="DEV35" s="2"/>
      <c r="DEW35" s="2"/>
      <c r="DEX35" s="2"/>
      <c r="DEY35" s="2"/>
      <c r="DEZ35" s="2"/>
      <c r="DFA35" s="2"/>
      <c r="DFB35" s="2"/>
      <c r="DFC35" s="2"/>
      <c r="DFD35" s="2"/>
      <c r="DFE35" s="2"/>
      <c r="DFF35" s="2"/>
      <c r="DFG35" s="2"/>
      <c r="DFH35" s="2"/>
      <c r="DFI35" s="2"/>
      <c r="DFJ35" s="2"/>
      <c r="DFK35" s="2"/>
      <c r="DFL35" s="2"/>
      <c r="DFM35" s="2"/>
      <c r="DFN35" s="2"/>
      <c r="DFO35" s="2"/>
      <c r="DFP35" s="2"/>
      <c r="DFQ35" s="2"/>
      <c r="DFR35" s="2"/>
      <c r="DFS35" s="2"/>
      <c r="DFT35" s="2"/>
      <c r="DFU35" s="2"/>
      <c r="DFV35" s="2"/>
      <c r="DFW35" s="2"/>
      <c r="DFX35" s="2"/>
      <c r="DFY35" s="2"/>
      <c r="DFZ35" s="2"/>
      <c r="DGA35" s="2"/>
      <c r="DGB35" s="2"/>
      <c r="DGC35" s="2"/>
      <c r="DGD35" s="2"/>
      <c r="DGE35" s="2"/>
      <c r="DGF35" s="2"/>
      <c r="DGG35" s="2"/>
      <c r="DGH35" s="2"/>
      <c r="DGI35" s="2"/>
      <c r="DGJ35" s="2"/>
      <c r="DGK35" s="2"/>
      <c r="DGL35" s="2"/>
      <c r="DGM35" s="2"/>
      <c r="DGN35" s="2"/>
      <c r="DGO35" s="2"/>
      <c r="DGP35" s="2"/>
      <c r="DGQ35" s="2"/>
      <c r="DGR35" s="2"/>
      <c r="DGS35" s="2"/>
      <c r="DGT35" s="2"/>
      <c r="DGU35" s="2"/>
      <c r="DGV35" s="2"/>
      <c r="DGW35" s="2"/>
      <c r="DGX35" s="2"/>
      <c r="DGY35" s="2"/>
      <c r="DGZ35" s="2"/>
      <c r="DHA35" s="2"/>
      <c r="DHB35" s="2"/>
      <c r="DHC35" s="2"/>
      <c r="DHD35" s="2"/>
      <c r="DHE35" s="2"/>
      <c r="DHF35" s="2"/>
      <c r="DHG35" s="2"/>
      <c r="DHH35" s="2"/>
      <c r="DHI35" s="2"/>
      <c r="DHJ35" s="2"/>
      <c r="DHK35" s="2"/>
      <c r="DHL35" s="2"/>
      <c r="DHM35" s="2"/>
      <c r="DHN35" s="2"/>
      <c r="DHO35" s="2"/>
      <c r="DHP35" s="2"/>
      <c r="DHQ35" s="2"/>
      <c r="DHR35" s="2"/>
      <c r="DHS35" s="2"/>
      <c r="DHT35" s="2"/>
      <c r="DHU35" s="2"/>
      <c r="DHV35" s="2"/>
      <c r="DHW35" s="2"/>
      <c r="DHX35" s="2"/>
      <c r="DHY35" s="2"/>
      <c r="DHZ35" s="2"/>
      <c r="DIA35" s="2"/>
      <c r="DIB35" s="2"/>
      <c r="DIC35" s="2"/>
      <c r="DID35" s="2"/>
      <c r="DIE35" s="2"/>
      <c r="DIF35" s="2"/>
      <c r="DIG35" s="2"/>
      <c r="DIH35" s="2"/>
      <c r="DII35" s="2"/>
      <c r="DIJ35" s="2"/>
      <c r="DIK35" s="2"/>
      <c r="DIL35" s="2"/>
      <c r="DIM35" s="2"/>
      <c r="DIN35" s="2"/>
      <c r="DIO35" s="2"/>
      <c r="DIP35" s="2"/>
      <c r="DIQ35" s="2"/>
      <c r="DIR35" s="2"/>
      <c r="DIS35" s="2"/>
      <c r="DIT35" s="2"/>
      <c r="DIU35" s="2"/>
      <c r="DIV35" s="2"/>
      <c r="DIW35" s="2"/>
      <c r="DIX35" s="2"/>
      <c r="DIY35" s="2"/>
      <c r="DIZ35" s="2"/>
      <c r="DJA35" s="2"/>
      <c r="DJB35" s="2"/>
      <c r="DJC35" s="2"/>
      <c r="DJD35" s="2"/>
      <c r="DJE35" s="2"/>
      <c r="DJF35" s="2"/>
      <c r="DJG35" s="2"/>
      <c r="DJH35" s="2"/>
      <c r="DJI35" s="2"/>
      <c r="DJJ35" s="2"/>
      <c r="DJK35" s="2"/>
      <c r="DJL35" s="2"/>
      <c r="DJM35" s="2"/>
      <c r="DJN35" s="2"/>
      <c r="DJO35" s="2"/>
      <c r="DJP35" s="2"/>
      <c r="DJQ35" s="2"/>
      <c r="DJR35" s="2"/>
      <c r="DJS35" s="2"/>
      <c r="DJT35" s="2"/>
      <c r="DJU35" s="2"/>
      <c r="DJV35" s="2"/>
      <c r="DJW35" s="2"/>
      <c r="DJX35" s="2"/>
      <c r="DJY35" s="2"/>
      <c r="DJZ35" s="2"/>
      <c r="DKA35" s="2"/>
      <c r="DKB35" s="2"/>
      <c r="DKC35" s="2"/>
      <c r="DKD35" s="2"/>
      <c r="DKE35" s="2"/>
      <c r="DKF35" s="2"/>
      <c r="DKG35" s="2"/>
      <c r="DKH35" s="2"/>
      <c r="DKI35" s="2"/>
      <c r="DKJ35" s="2"/>
      <c r="DKK35" s="2"/>
      <c r="DKL35" s="2"/>
      <c r="DKM35" s="2"/>
      <c r="DKN35" s="2"/>
      <c r="DKO35" s="2"/>
      <c r="DKP35" s="2"/>
      <c r="DKQ35" s="2"/>
      <c r="DKR35" s="2"/>
      <c r="DKS35" s="2"/>
      <c r="DKT35" s="2"/>
      <c r="DKU35" s="2"/>
      <c r="DKV35" s="2"/>
      <c r="DKW35" s="2"/>
      <c r="DKX35" s="2"/>
      <c r="DKY35" s="2"/>
      <c r="DKZ35" s="2"/>
      <c r="DLA35" s="2"/>
      <c r="DLB35" s="2"/>
      <c r="DLC35" s="2"/>
      <c r="DLD35" s="2"/>
      <c r="DLE35" s="2"/>
      <c r="DLF35" s="2"/>
      <c r="DLG35" s="2"/>
      <c r="DLH35" s="2"/>
      <c r="DLI35" s="2"/>
      <c r="DLJ35" s="2"/>
      <c r="DLK35" s="2"/>
      <c r="DLL35" s="2"/>
      <c r="DLM35" s="2"/>
      <c r="DLN35" s="2"/>
      <c r="DLO35" s="2"/>
      <c r="DLP35" s="2"/>
      <c r="DLQ35" s="2"/>
      <c r="DLR35" s="2"/>
      <c r="DLS35" s="2"/>
      <c r="DLT35" s="2"/>
      <c r="DLU35" s="2"/>
      <c r="DLV35" s="2"/>
      <c r="DLW35" s="2"/>
      <c r="DLX35" s="2"/>
      <c r="DLY35" s="2"/>
      <c r="DLZ35" s="2"/>
      <c r="DMA35" s="2"/>
      <c r="DMB35" s="2"/>
      <c r="DMC35" s="2"/>
      <c r="DMD35" s="2"/>
      <c r="DME35" s="2"/>
      <c r="DMF35" s="2"/>
      <c r="DMG35" s="2"/>
      <c r="DMH35" s="2"/>
      <c r="DMI35" s="2"/>
      <c r="DMJ35" s="2"/>
      <c r="DMK35" s="2"/>
      <c r="DML35" s="2"/>
      <c r="DMM35" s="2"/>
      <c r="DMN35" s="2"/>
      <c r="DMO35" s="2"/>
      <c r="DMP35" s="2"/>
      <c r="DMQ35" s="2"/>
      <c r="DMR35" s="2"/>
      <c r="DMS35" s="2"/>
      <c r="DMT35" s="2"/>
      <c r="DMU35" s="2"/>
      <c r="DMV35" s="2"/>
      <c r="DMW35" s="2"/>
      <c r="DMX35" s="2"/>
      <c r="DMY35" s="2"/>
      <c r="DMZ35" s="2"/>
      <c r="DNA35" s="2"/>
      <c r="DNB35" s="2"/>
      <c r="DNC35" s="2"/>
      <c r="DND35" s="2"/>
      <c r="DNE35" s="2"/>
      <c r="DNF35" s="2"/>
      <c r="DNG35" s="2"/>
      <c r="DNH35" s="2"/>
      <c r="DNI35" s="2"/>
      <c r="DNJ35" s="2"/>
      <c r="DNK35" s="2"/>
      <c r="DNL35" s="2"/>
      <c r="DNM35" s="2"/>
      <c r="DNN35" s="2"/>
      <c r="DNO35" s="2"/>
      <c r="DNP35" s="2"/>
      <c r="DNQ35" s="2"/>
      <c r="DNR35" s="2"/>
      <c r="DNS35" s="2"/>
      <c r="DNT35" s="2"/>
      <c r="DNU35" s="2"/>
      <c r="DNV35" s="2"/>
      <c r="DNW35" s="2"/>
      <c r="DNX35" s="2"/>
      <c r="DNY35" s="2"/>
      <c r="DNZ35" s="2"/>
      <c r="DOA35" s="2"/>
      <c r="DOB35" s="2"/>
      <c r="DOC35" s="2"/>
      <c r="DOD35" s="2"/>
      <c r="DOE35" s="2"/>
      <c r="DOF35" s="2"/>
      <c r="DOG35" s="2"/>
      <c r="DOH35" s="2"/>
      <c r="DOI35" s="2"/>
      <c r="DOJ35" s="2"/>
      <c r="DOK35" s="2"/>
      <c r="DOL35" s="2"/>
      <c r="DOM35" s="2"/>
      <c r="DON35" s="2"/>
      <c r="DOO35" s="2"/>
      <c r="DOP35" s="2"/>
      <c r="DOQ35" s="2"/>
      <c r="DOR35" s="2"/>
      <c r="DOS35" s="2"/>
      <c r="DOT35" s="2"/>
      <c r="DOU35" s="2"/>
      <c r="DOV35" s="2"/>
      <c r="DOW35" s="2"/>
      <c r="DOX35" s="2"/>
      <c r="DOY35" s="2"/>
      <c r="DOZ35" s="2"/>
      <c r="DPA35" s="2"/>
      <c r="DPB35" s="2"/>
      <c r="DPC35" s="2"/>
      <c r="DPD35" s="2"/>
      <c r="DPE35" s="2"/>
      <c r="DPF35" s="2"/>
      <c r="DPG35" s="2"/>
      <c r="DPH35" s="2"/>
      <c r="DPI35" s="2"/>
      <c r="DPJ35" s="2"/>
      <c r="DPK35" s="2"/>
      <c r="DPL35" s="2"/>
      <c r="DPM35" s="2"/>
      <c r="DPN35" s="2"/>
      <c r="DPO35" s="2"/>
      <c r="DPP35" s="2"/>
      <c r="DPQ35" s="2"/>
      <c r="DPR35" s="2"/>
      <c r="DPS35" s="2"/>
      <c r="DPT35" s="2"/>
      <c r="DPU35" s="2"/>
      <c r="DPV35" s="2"/>
      <c r="DPW35" s="2"/>
      <c r="DPX35" s="2"/>
      <c r="DPY35" s="2"/>
      <c r="DPZ35" s="2"/>
      <c r="DQA35" s="2"/>
      <c r="DQB35" s="2"/>
      <c r="DQC35" s="2"/>
      <c r="DQD35" s="2"/>
      <c r="DQE35" s="2"/>
      <c r="DQF35" s="2"/>
      <c r="DQG35" s="2"/>
      <c r="DQH35" s="2"/>
      <c r="DQI35" s="2"/>
      <c r="DQJ35" s="2"/>
      <c r="DQK35" s="2"/>
      <c r="DQL35" s="2"/>
      <c r="DQM35" s="2"/>
      <c r="DQN35" s="2"/>
      <c r="DQO35" s="2"/>
      <c r="DQP35" s="2"/>
      <c r="DQQ35" s="2"/>
      <c r="DQR35" s="2"/>
      <c r="DQS35" s="2"/>
      <c r="DQT35" s="2"/>
      <c r="DQU35" s="2"/>
      <c r="DQV35" s="2"/>
      <c r="DQW35" s="2"/>
      <c r="DQX35" s="2"/>
      <c r="DQY35" s="2"/>
      <c r="DQZ35" s="2"/>
      <c r="DRA35" s="2"/>
      <c r="DRB35" s="2"/>
      <c r="DRC35" s="2"/>
      <c r="DRD35" s="2"/>
      <c r="DRE35" s="2"/>
      <c r="DRF35" s="2"/>
      <c r="DRG35" s="2"/>
      <c r="DRH35" s="2"/>
      <c r="DRI35" s="2"/>
      <c r="DRJ35" s="2"/>
      <c r="DRK35" s="2"/>
      <c r="DRL35" s="2"/>
      <c r="DRM35" s="2"/>
      <c r="DRN35" s="2"/>
      <c r="DRO35" s="2"/>
      <c r="DRP35" s="2"/>
      <c r="DRQ35" s="2"/>
      <c r="DRR35" s="2"/>
      <c r="DRS35" s="2"/>
      <c r="DRT35" s="2"/>
      <c r="DRU35" s="2"/>
      <c r="DRV35" s="2"/>
      <c r="DRW35" s="2"/>
      <c r="DRX35" s="2"/>
      <c r="DRY35" s="2"/>
      <c r="DRZ35" s="2"/>
      <c r="DSA35" s="2"/>
      <c r="DSB35" s="2"/>
      <c r="DSC35" s="2"/>
      <c r="DSD35" s="2"/>
      <c r="DSE35" s="2"/>
      <c r="DSF35" s="2"/>
      <c r="DSG35" s="2"/>
      <c r="DSH35" s="2"/>
      <c r="DSI35" s="2"/>
      <c r="DSJ35" s="2"/>
      <c r="DSK35" s="2"/>
      <c r="DSL35" s="2"/>
      <c r="DSM35" s="2"/>
      <c r="DSN35" s="2"/>
      <c r="DSO35" s="2"/>
      <c r="DSP35" s="2"/>
      <c r="DSQ35" s="2"/>
      <c r="DSR35" s="2"/>
      <c r="DSS35" s="2"/>
      <c r="DST35" s="2"/>
      <c r="DSU35" s="2"/>
      <c r="DSV35" s="2"/>
      <c r="DSW35" s="2"/>
      <c r="DSX35" s="2"/>
      <c r="DSY35" s="2"/>
      <c r="DSZ35" s="2"/>
      <c r="DTA35" s="2"/>
      <c r="DTB35" s="2"/>
      <c r="DTC35" s="2"/>
      <c r="DTD35" s="2"/>
      <c r="DTE35" s="2"/>
      <c r="DTF35" s="2"/>
      <c r="DTG35" s="2"/>
      <c r="DTH35" s="2"/>
      <c r="DTI35" s="2"/>
      <c r="DTJ35" s="2"/>
      <c r="DTK35" s="2"/>
      <c r="DTL35" s="2"/>
      <c r="DTM35" s="2"/>
      <c r="DTN35" s="2"/>
      <c r="DTO35" s="2"/>
      <c r="DTP35" s="2"/>
      <c r="DTQ35" s="2"/>
      <c r="DTR35" s="2"/>
      <c r="DTS35" s="2"/>
      <c r="DTT35" s="2"/>
      <c r="DTU35" s="2"/>
      <c r="DTV35" s="2"/>
      <c r="DTW35" s="2"/>
      <c r="DTX35" s="2"/>
      <c r="DTY35" s="2"/>
      <c r="DTZ35" s="2"/>
      <c r="DUA35" s="2"/>
      <c r="DUB35" s="2"/>
      <c r="DUC35" s="2"/>
      <c r="DUD35" s="2"/>
      <c r="DUE35" s="2"/>
      <c r="DUF35" s="2"/>
      <c r="DUG35" s="2"/>
      <c r="DUH35" s="2"/>
      <c r="DUI35" s="2"/>
      <c r="DUJ35" s="2"/>
      <c r="DUK35" s="2"/>
      <c r="DUL35" s="2"/>
      <c r="DUM35" s="2"/>
      <c r="DUN35" s="2"/>
      <c r="DUO35" s="2"/>
      <c r="DUP35" s="2"/>
      <c r="DUQ35" s="2"/>
      <c r="DUR35" s="2"/>
      <c r="DUS35" s="2"/>
      <c r="DUT35" s="2"/>
      <c r="DUU35" s="2"/>
      <c r="DUV35" s="2"/>
      <c r="DUW35" s="2"/>
      <c r="DUX35" s="2"/>
      <c r="DUY35" s="2"/>
      <c r="DUZ35" s="2"/>
      <c r="DVA35" s="2"/>
      <c r="DVB35" s="2"/>
      <c r="DVC35" s="2"/>
      <c r="DVD35" s="2"/>
      <c r="DVE35" s="2"/>
      <c r="DVF35" s="2"/>
      <c r="DVG35" s="2"/>
      <c r="DVH35" s="2"/>
      <c r="DVI35" s="2"/>
      <c r="DVJ35" s="2"/>
      <c r="DVK35" s="2"/>
      <c r="DVL35" s="2"/>
      <c r="DVM35" s="2"/>
      <c r="DVN35" s="2"/>
      <c r="DVO35" s="2"/>
      <c r="DVP35" s="2"/>
      <c r="DVQ35" s="2"/>
      <c r="DVR35" s="2"/>
      <c r="DVS35" s="2"/>
      <c r="DVT35" s="2"/>
      <c r="DVU35" s="2"/>
      <c r="DVV35" s="2"/>
      <c r="DVW35" s="2"/>
      <c r="DVX35" s="2"/>
      <c r="DVY35" s="2"/>
      <c r="DVZ35" s="2"/>
      <c r="DWA35" s="2"/>
      <c r="DWB35" s="2"/>
      <c r="DWC35" s="2"/>
      <c r="DWD35" s="2"/>
      <c r="DWE35" s="2"/>
      <c r="DWF35" s="2"/>
      <c r="DWG35" s="2"/>
      <c r="DWH35" s="2"/>
      <c r="DWI35" s="2"/>
      <c r="DWJ35" s="2"/>
      <c r="DWK35" s="2"/>
      <c r="DWL35" s="2"/>
      <c r="DWM35" s="2"/>
      <c r="DWN35" s="2"/>
      <c r="DWO35" s="2"/>
      <c r="DWP35" s="2"/>
      <c r="DWQ35" s="2"/>
      <c r="DWR35" s="2"/>
      <c r="DWS35" s="2"/>
      <c r="DWT35" s="2"/>
      <c r="DWU35" s="2"/>
      <c r="DWV35" s="2"/>
      <c r="DWW35" s="2"/>
      <c r="DWX35" s="2"/>
      <c r="DWY35" s="2"/>
      <c r="DWZ35" s="2"/>
      <c r="DXA35" s="2"/>
      <c r="DXB35" s="2"/>
      <c r="DXC35" s="2"/>
      <c r="DXD35" s="2"/>
      <c r="DXE35" s="2"/>
      <c r="DXF35" s="2"/>
      <c r="DXG35" s="2"/>
      <c r="DXH35" s="2"/>
      <c r="DXI35" s="2"/>
      <c r="DXJ35" s="2"/>
      <c r="DXK35" s="2"/>
      <c r="DXL35" s="2"/>
      <c r="DXM35" s="2"/>
      <c r="DXN35" s="2"/>
      <c r="DXO35" s="2"/>
      <c r="DXP35" s="2"/>
      <c r="DXQ35" s="2"/>
      <c r="DXR35" s="2"/>
      <c r="DXS35" s="2"/>
      <c r="DXT35" s="2"/>
      <c r="DXU35" s="2"/>
      <c r="DXV35" s="2"/>
      <c r="DXW35" s="2"/>
      <c r="DXX35" s="2"/>
      <c r="DXY35" s="2"/>
      <c r="DXZ35" s="2"/>
      <c r="DYA35" s="2"/>
      <c r="DYB35" s="2"/>
      <c r="DYC35" s="2"/>
      <c r="DYD35" s="2"/>
      <c r="DYE35" s="2"/>
      <c r="DYF35" s="2"/>
      <c r="DYG35" s="2"/>
      <c r="DYH35" s="2"/>
      <c r="DYI35" s="2"/>
      <c r="DYJ35" s="2"/>
      <c r="DYK35" s="2"/>
      <c r="DYL35" s="2"/>
      <c r="DYM35" s="2"/>
      <c r="DYN35" s="2"/>
      <c r="DYO35" s="2"/>
      <c r="DYP35" s="2"/>
      <c r="DYQ35" s="2"/>
      <c r="DYR35" s="2"/>
      <c r="DYS35" s="2"/>
      <c r="DYT35" s="2"/>
      <c r="DYU35" s="2"/>
      <c r="DYV35" s="2"/>
      <c r="DYW35" s="2"/>
      <c r="DYX35" s="2"/>
      <c r="DYY35" s="2"/>
      <c r="DYZ35" s="2"/>
      <c r="DZA35" s="2"/>
      <c r="DZB35" s="2"/>
      <c r="DZC35" s="2"/>
      <c r="DZD35" s="2"/>
      <c r="DZE35" s="2"/>
      <c r="DZF35" s="2"/>
      <c r="DZG35" s="2"/>
      <c r="DZH35" s="2"/>
      <c r="DZI35" s="2"/>
      <c r="DZJ35" s="2"/>
      <c r="DZK35" s="2"/>
      <c r="DZL35" s="2"/>
      <c r="DZM35" s="2"/>
      <c r="DZN35" s="2"/>
      <c r="DZO35" s="2"/>
      <c r="DZP35" s="2"/>
      <c r="DZQ35" s="2"/>
      <c r="DZR35" s="2"/>
      <c r="DZS35" s="2"/>
      <c r="DZT35" s="2"/>
      <c r="DZU35" s="2"/>
      <c r="DZV35" s="2"/>
      <c r="DZW35" s="2"/>
      <c r="DZX35" s="2"/>
      <c r="DZY35" s="2"/>
      <c r="DZZ35" s="2"/>
      <c r="EAA35" s="2"/>
      <c r="EAB35" s="2"/>
      <c r="EAC35" s="2"/>
      <c r="EAD35" s="2"/>
      <c r="EAE35" s="2"/>
      <c r="EAF35" s="2"/>
      <c r="EAG35" s="2"/>
      <c r="EAH35" s="2"/>
      <c r="EAI35" s="2"/>
      <c r="EAJ35" s="2"/>
      <c r="EAK35" s="2"/>
      <c r="EAL35" s="2"/>
      <c r="EAM35" s="2"/>
      <c r="EAN35" s="2"/>
      <c r="EAO35" s="2"/>
      <c r="EAP35" s="2"/>
      <c r="EAQ35" s="2"/>
      <c r="EAR35" s="2"/>
      <c r="EAS35" s="2"/>
      <c r="EAT35" s="2"/>
      <c r="EAU35" s="2"/>
      <c r="EAV35" s="2"/>
      <c r="EAW35" s="2"/>
      <c r="EAX35" s="2"/>
      <c r="EAY35" s="2"/>
      <c r="EAZ35" s="2"/>
      <c r="EBA35" s="2"/>
      <c r="EBB35" s="2"/>
      <c r="EBC35" s="2"/>
      <c r="EBD35" s="2"/>
      <c r="EBE35" s="2"/>
      <c r="EBF35" s="2"/>
      <c r="EBG35" s="2"/>
      <c r="EBH35" s="2"/>
      <c r="EBI35" s="2"/>
      <c r="EBJ35" s="2"/>
      <c r="EBK35" s="2"/>
      <c r="EBL35" s="2"/>
      <c r="EBM35" s="2"/>
      <c r="EBN35" s="2"/>
      <c r="EBO35" s="2"/>
      <c r="EBP35" s="2"/>
      <c r="EBQ35" s="2"/>
      <c r="EBR35" s="2"/>
      <c r="EBS35" s="2"/>
      <c r="EBT35" s="2"/>
      <c r="EBU35" s="2"/>
      <c r="EBV35" s="2"/>
      <c r="EBW35" s="2"/>
      <c r="EBX35" s="2"/>
      <c r="EBY35" s="2"/>
      <c r="EBZ35" s="2"/>
      <c r="ECA35" s="2"/>
      <c r="ECB35" s="2"/>
      <c r="ECC35" s="2"/>
      <c r="ECD35" s="2"/>
      <c r="ECE35" s="2"/>
      <c r="ECF35" s="2"/>
      <c r="ECG35" s="2"/>
      <c r="ECH35" s="2"/>
      <c r="ECI35" s="2"/>
      <c r="ECJ35" s="2"/>
      <c r="ECK35" s="2"/>
      <c r="ECL35" s="2"/>
      <c r="ECM35" s="2"/>
      <c r="ECN35" s="2"/>
      <c r="ECO35" s="2"/>
      <c r="ECP35" s="2"/>
      <c r="ECQ35" s="2"/>
      <c r="ECR35" s="2"/>
      <c r="ECS35" s="2"/>
      <c r="ECT35" s="2"/>
      <c r="ECU35" s="2"/>
      <c r="ECV35" s="2"/>
      <c r="ECW35" s="2"/>
      <c r="ECX35" s="2"/>
      <c r="ECY35" s="2"/>
      <c r="ECZ35" s="2"/>
      <c r="EDA35" s="2"/>
      <c r="EDB35" s="2"/>
      <c r="EDC35" s="2"/>
      <c r="EDD35" s="2"/>
      <c r="EDE35" s="2"/>
      <c r="EDF35" s="2"/>
      <c r="EDG35" s="2"/>
      <c r="EDH35" s="2"/>
      <c r="EDI35" s="2"/>
      <c r="EDJ35" s="2"/>
      <c r="EDK35" s="2"/>
      <c r="EDL35" s="2"/>
      <c r="EDM35" s="2"/>
      <c r="EDN35" s="2"/>
      <c r="EDO35" s="2"/>
      <c r="EDP35" s="2"/>
      <c r="EDQ35" s="2"/>
      <c r="EDR35" s="2"/>
      <c r="EDS35" s="2"/>
      <c r="EDT35" s="2"/>
      <c r="EDU35" s="2"/>
      <c r="EDV35" s="2"/>
      <c r="EDW35" s="2"/>
      <c r="EDX35" s="2"/>
      <c r="EDY35" s="2"/>
      <c r="EDZ35" s="2"/>
      <c r="EEA35" s="2"/>
      <c r="EEB35" s="2"/>
      <c r="EEC35" s="2"/>
      <c r="EED35" s="2"/>
      <c r="EEE35" s="2"/>
      <c r="EEF35" s="2"/>
      <c r="EEG35" s="2"/>
      <c r="EEH35" s="2"/>
      <c r="EEI35" s="2"/>
      <c r="EEJ35" s="2"/>
      <c r="EEK35" s="2"/>
      <c r="EEL35" s="2"/>
      <c r="EEM35" s="2"/>
      <c r="EEN35" s="2"/>
      <c r="EEO35" s="2"/>
      <c r="EEP35" s="2"/>
      <c r="EEQ35" s="2"/>
      <c r="EER35" s="2"/>
      <c r="EES35" s="2"/>
      <c r="EET35" s="2"/>
      <c r="EEU35" s="2"/>
      <c r="EEV35" s="2"/>
      <c r="EEW35" s="2"/>
      <c r="EEX35" s="2"/>
      <c r="EEY35" s="2"/>
      <c r="EEZ35" s="2"/>
      <c r="EFA35" s="2"/>
      <c r="EFB35" s="2"/>
      <c r="EFC35" s="2"/>
      <c r="EFD35" s="2"/>
      <c r="EFE35" s="2"/>
      <c r="EFF35" s="2"/>
      <c r="EFG35" s="2"/>
      <c r="EFH35" s="2"/>
      <c r="EFI35" s="2"/>
      <c r="EFJ35" s="2"/>
      <c r="EFK35" s="2"/>
      <c r="EFL35" s="2"/>
      <c r="EFM35" s="2"/>
      <c r="EFN35" s="2"/>
      <c r="EFO35" s="2"/>
      <c r="EFP35" s="2"/>
      <c r="EFQ35" s="2"/>
      <c r="EFR35" s="2"/>
      <c r="EFS35" s="2"/>
      <c r="EFT35" s="2"/>
      <c r="EFU35" s="2"/>
      <c r="EFV35" s="2"/>
      <c r="EFW35" s="2"/>
      <c r="EFX35" s="2"/>
      <c r="EFY35" s="2"/>
      <c r="EFZ35" s="2"/>
      <c r="EGA35" s="2"/>
      <c r="EGB35" s="2"/>
      <c r="EGC35" s="2"/>
      <c r="EGD35" s="2"/>
      <c r="EGE35" s="2"/>
      <c r="EGF35" s="2"/>
      <c r="EGG35" s="2"/>
      <c r="EGH35" s="2"/>
      <c r="EGI35" s="2"/>
      <c r="EGJ35" s="2"/>
      <c r="EGK35" s="2"/>
      <c r="EGL35" s="2"/>
      <c r="EGM35" s="2"/>
      <c r="EGN35" s="2"/>
      <c r="EGO35" s="2"/>
      <c r="EGP35" s="2"/>
      <c r="EGQ35" s="2"/>
      <c r="EGR35" s="2"/>
      <c r="EGS35" s="2"/>
      <c r="EGT35" s="2"/>
      <c r="EGU35" s="2"/>
      <c r="EGV35" s="2"/>
      <c r="EGW35" s="2"/>
      <c r="EGX35" s="2"/>
      <c r="EGY35" s="2"/>
      <c r="EGZ35" s="2"/>
      <c r="EHA35" s="2"/>
      <c r="EHB35" s="2"/>
      <c r="EHC35" s="2"/>
      <c r="EHD35" s="2"/>
      <c r="EHE35" s="2"/>
      <c r="EHF35" s="2"/>
      <c r="EHG35" s="2"/>
      <c r="EHH35" s="2"/>
      <c r="EHI35" s="2"/>
      <c r="EHJ35" s="2"/>
      <c r="EHK35" s="2"/>
      <c r="EHL35" s="2"/>
      <c r="EHM35" s="2"/>
      <c r="EHN35" s="2"/>
      <c r="EHO35" s="2"/>
      <c r="EHP35" s="2"/>
      <c r="EHQ35" s="2"/>
      <c r="EHR35" s="2"/>
      <c r="EHS35" s="2"/>
      <c r="EHT35" s="2"/>
      <c r="EHU35" s="2"/>
      <c r="EHV35" s="2"/>
      <c r="EHW35" s="2"/>
      <c r="EHX35" s="2"/>
      <c r="EHY35" s="2"/>
      <c r="EHZ35" s="2"/>
      <c r="EIA35" s="2"/>
      <c r="EIB35" s="2"/>
      <c r="EIC35" s="2"/>
      <c r="EID35" s="2"/>
      <c r="EIE35" s="2"/>
      <c r="EIF35" s="2"/>
      <c r="EIG35" s="2"/>
      <c r="EIH35" s="2"/>
      <c r="EII35" s="2"/>
      <c r="EIJ35" s="2"/>
      <c r="EIK35" s="2"/>
      <c r="EIL35" s="2"/>
      <c r="EIM35" s="2"/>
      <c r="EIN35" s="2"/>
      <c r="EIO35" s="2"/>
      <c r="EIP35" s="2"/>
      <c r="EIQ35" s="2"/>
      <c r="EIR35" s="2"/>
      <c r="EIS35" s="2"/>
      <c r="EIT35" s="2"/>
      <c r="EIU35" s="2"/>
      <c r="EIV35" s="2"/>
      <c r="EIW35" s="2"/>
      <c r="EIX35" s="2"/>
      <c r="EIY35" s="2"/>
      <c r="EIZ35" s="2"/>
      <c r="EJA35" s="2"/>
      <c r="EJB35" s="2"/>
      <c r="EJC35" s="2"/>
      <c r="EJD35" s="2"/>
      <c r="EJE35" s="2"/>
      <c r="EJF35" s="2"/>
      <c r="EJG35" s="2"/>
      <c r="EJH35" s="2"/>
      <c r="EJI35" s="2"/>
      <c r="EJJ35" s="2"/>
      <c r="EJK35" s="2"/>
      <c r="EJL35" s="2"/>
      <c r="EJM35" s="2"/>
      <c r="EJN35" s="2"/>
      <c r="EJO35" s="2"/>
      <c r="EJP35" s="2"/>
      <c r="EJQ35" s="2"/>
      <c r="EJR35" s="2"/>
      <c r="EJS35" s="2"/>
      <c r="EJT35" s="2"/>
      <c r="EJU35" s="2"/>
      <c r="EJV35" s="2"/>
      <c r="EJW35" s="2"/>
      <c r="EJX35" s="2"/>
      <c r="EJY35" s="2"/>
      <c r="EJZ35" s="2"/>
      <c r="EKA35" s="2"/>
      <c r="EKB35" s="2"/>
      <c r="EKC35" s="2"/>
      <c r="EKD35" s="2"/>
      <c r="EKE35" s="2"/>
      <c r="EKF35" s="2"/>
      <c r="EKG35" s="2"/>
      <c r="EKH35" s="2"/>
      <c r="EKI35" s="2"/>
      <c r="EKJ35" s="2"/>
      <c r="EKK35" s="2"/>
      <c r="EKL35" s="2"/>
      <c r="EKM35" s="2"/>
      <c r="EKN35" s="2"/>
      <c r="EKO35" s="2"/>
      <c r="EKP35" s="2"/>
      <c r="EKQ35" s="2"/>
      <c r="EKR35" s="2"/>
      <c r="EKS35" s="2"/>
      <c r="EKT35" s="2"/>
      <c r="EKU35" s="2"/>
      <c r="EKV35" s="2"/>
      <c r="EKW35" s="2"/>
      <c r="EKX35" s="2"/>
      <c r="EKY35" s="2"/>
      <c r="EKZ35" s="2"/>
      <c r="ELA35" s="2"/>
      <c r="ELB35" s="2"/>
      <c r="ELC35" s="2"/>
      <c r="ELD35" s="2"/>
      <c r="ELE35" s="2"/>
      <c r="ELF35" s="2"/>
      <c r="ELG35" s="2"/>
      <c r="ELH35" s="2"/>
      <c r="ELI35" s="2"/>
      <c r="ELJ35" s="2"/>
      <c r="ELK35" s="2"/>
      <c r="ELL35" s="2"/>
      <c r="ELM35" s="2"/>
      <c r="ELN35" s="2"/>
      <c r="ELO35" s="2"/>
      <c r="ELP35" s="2"/>
      <c r="ELQ35" s="2"/>
      <c r="ELR35" s="2"/>
      <c r="ELS35" s="2"/>
      <c r="ELT35" s="2"/>
      <c r="ELU35" s="2"/>
      <c r="ELV35" s="2"/>
      <c r="ELW35" s="2"/>
      <c r="ELX35" s="2"/>
      <c r="ELY35" s="2"/>
      <c r="ELZ35" s="2"/>
      <c r="EMA35" s="2"/>
      <c r="EMB35" s="2"/>
      <c r="EMC35" s="2"/>
      <c r="EMD35" s="2"/>
      <c r="EME35" s="2"/>
      <c r="EMF35" s="2"/>
      <c r="EMG35" s="2"/>
      <c r="EMH35" s="2"/>
      <c r="EMI35" s="2"/>
      <c r="EMJ35" s="2"/>
      <c r="EMK35" s="2"/>
      <c r="EML35" s="2"/>
      <c r="EMM35" s="2"/>
      <c r="EMN35" s="2"/>
      <c r="EMO35" s="2"/>
      <c r="EMP35" s="2"/>
      <c r="EMQ35" s="2"/>
      <c r="EMR35" s="2"/>
      <c r="EMS35" s="2"/>
      <c r="EMT35" s="2"/>
      <c r="EMU35" s="2"/>
      <c r="EMV35" s="2"/>
      <c r="EMW35" s="2"/>
      <c r="EMX35" s="2"/>
      <c r="EMY35" s="2"/>
      <c r="EMZ35" s="2"/>
      <c r="ENA35" s="2"/>
      <c r="ENB35" s="2"/>
      <c r="ENC35" s="2"/>
      <c r="END35" s="2"/>
      <c r="ENE35" s="2"/>
      <c r="ENF35" s="2"/>
      <c r="ENG35" s="2"/>
      <c r="ENH35" s="2"/>
      <c r="ENI35" s="2"/>
      <c r="ENJ35" s="2"/>
      <c r="ENK35" s="2"/>
      <c r="ENL35" s="2"/>
      <c r="ENM35" s="2"/>
      <c r="ENN35" s="2"/>
      <c r="ENO35" s="2"/>
      <c r="ENP35" s="2"/>
      <c r="ENQ35" s="2"/>
      <c r="ENR35" s="2"/>
      <c r="ENS35" s="2"/>
      <c r="ENT35" s="2"/>
      <c r="ENU35" s="2"/>
      <c r="ENV35" s="2"/>
      <c r="ENW35" s="2"/>
      <c r="ENX35" s="2"/>
      <c r="ENY35" s="2"/>
      <c r="ENZ35" s="2"/>
      <c r="EOA35" s="2"/>
      <c r="EOB35" s="2"/>
      <c r="EOC35" s="2"/>
      <c r="EOD35" s="2"/>
      <c r="EOE35" s="2"/>
      <c r="EOF35" s="2"/>
      <c r="EOG35" s="2"/>
      <c r="EOH35" s="2"/>
      <c r="EOI35" s="2"/>
      <c r="EOJ35" s="2"/>
      <c r="EOK35" s="2"/>
      <c r="EOL35" s="2"/>
      <c r="EOM35" s="2"/>
      <c r="EON35" s="2"/>
      <c r="EOO35" s="2"/>
      <c r="EOP35" s="2"/>
      <c r="EOQ35" s="2"/>
      <c r="EOR35" s="2"/>
      <c r="EOS35" s="2"/>
      <c r="EOT35" s="2"/>
      <c r="EOU35" s="2"/>
      <c r="EOV35" s="2"/>
      <c r="EOW35" s="2"/>
      <c r="EOX35" s="2"/>
      <c r="EOY35" s="2"/>
      <c r="EOZ35" s="2"/>
      <c r="EPA35" s="2"/>
      <c r="EPB35" s="2"/>
      <c r="EPC35" s="2"/>
      <c r="EPD35" s="2"/>
      <c r="EPE35" s="2"/>
      <c r="EPF35" s="2"/>
      <c r="EPG35" s="2"/>
      <c r="EPH35" s="2"/>
      <c r="EPI35" s="2"/>
      <c r="EPJ35" s="2"/>
      <c r="EPK35" s="2"/>
      <c r="EPL35" s="2"/>
      <c r="EPM35" s="2"/>
      <c r="EPN35" s="2"/>
      <c r="EPO35" s="2"/>
      <c r="EPP35" s="2"/>
      <c r="EPQ35" s="2"/>
      <c r="EPR35" s="2"/>
      <c r="EPS35" s="2"/>
      <c r="EPT35" s="2"/>
      <c r="EPU35" s="2"/>
      <c r="EPV35" s="2"/>
      <c r="EPW35" s="2"/>
      <c r="EPX35" s="2"/>
      <c r="EPY35" s="2"/>
      <c r="EPZ35" s="2"/>
      <c r="EQA35" s="2"/>
      <c r="EQB35" s="2"/>
      <c r="EQC35" s="2"/>
      <c r="EQD35" s="2"/>
      <c r="EQE35" s="2"/>
      <c r="EQF35" s="2"/>
      <c r="EQG35" s="2"/>
      <c r="EQH35" s="2"/>
      <c r="EQI35" s="2"/>
      <c r="EQJ35" s="2"/>
      <c r="EQK35" s="2"/>
      <c r="EQL35" s="2"/>
      <c r="EQM35" s="2"/>
      <c r="EQN35" s="2"/>
      <c r="EQO35" s="2"/>
      <c r="EQP35" s="2"/>
      <c r="EQQ35" s="2"/>
      <c r="EQR35" s="2"/>
      <c r="EQS35" s="2"/>
      <c r="EQT35" s="2"/>
      <c r="EQU35" s="2"/>
      <c r="EQV35" s="2"/>
      <c r="EQW35" s="2"/>
      <c r="EQX35" s="2"/>
      <c r="EQY35" s="2"/>
      <c r="EQZ35" s="2"/>
      <c r="ERA35" s="2"/>
      <c r="ERB35" s="2"/>
      <c r="ERC35" s="2"/>
      <c r="ERD35" s="2"/>
      <c r="ERE35" s="2"/>
      <c r="ERF35" s="2"/>
      <c r="ERG35" s="2"/>
      <c r="ERH35" s="2"/>
      <c r="ERI35" s="2"/>
      <c r="ERJ35" s="2"/>
      <c r="ERK35" s="2"/>
      <c r="ERL35" s="2"/>
      <c r="ERM35" s="2"/>
      <c r="ERN35" s="2"/>
      <c r="ERO35" s="2"/>
      <c r="ERP35" s="2"/>
      <c r="ERQ35" s="2"/>
      <c r="ERR35" s="2"/>
      <c r="ERS35" s="2"/>
      <c r="ERT35" s="2"/>
      <c r="ERU35" s="2"/>
      <c r="ERV35" s="2"/>
      <c r="ERW35" s="2"/>
      <c r="ERX35" s="2"/>
      <c r="ERY35" s="2"/>
      <c r="ERZ35" s="2"/>
      <c r="ESA35" s="2"/>
      <c r="ESB35" s="2"/>
      <c r="ESC35" s="2"/>
      <c r="ESD35" s="2"/>
      <c r="ESE35" s="2"/>
      <c r="ESF35" s="2"/>
      <c r="ESG35" s="2"/>
      <c r="ESH35" s="2"/>
      <c r="ESI35" s="2"/>
      <c r="ESJ35" s="2"/>
      <c r="ESK35" s="2"/>
      <c r="ESL35" s="2"/>
      <c r="ESM35" s="2"/>
      <c r="ESN35" s="2"/>
      <c r="ESO35" s="2"/>
      <c r="ESP35" s="2"/>
      <c r="ESQ35" s="2"/>
      <c r="ESR35" s="2"/>
      <c r="ESS35" s="2"/>
      <c r="EST35" s="2"/>
      <c r="ESU35" s="2"/>
      <c r="ESV35" s="2"/>
      <c r="ESW35" s="2"/>
      <c r="ESX35" s="2"/>
      <c r="ESY35" s="2"/>
      <c r="ESZ35" s="2"/>
      <c r="ETA35" s="2"/>
      <c r="ETB35" s="2"/>
      <c r="ETC35" s="2"/>
      <c r="ETD35" s="2"/>
      <c r="ETE35" s="2"/>
      <c r="ETF35" s="2"/>
      <c r="ETG35" s="2"/>
      <c r="ETH35" s="2"/>
      <c r="ETI35" s="2"/>
      <c r="ETJ35" s="2"/>
      <c r="ETK35" s="2"/>
      <c r="ETL35" s="2"/>
      <c r="ETM35" s="2"/>
      <c r="ETN35" s="2"/>
      <c r="ETO35" s="2"/>
      <c r="ETP35" s="2"/>
      <c r="ETQ35" s="2"/>
      <c r="ETR35" s="2"/>
      <c r="ETS35" s="2"/>
      <c r="ETT35" s="2"/>
      <c r="ETU35" s="2"/>
      <c r="ETV35" s="2"/>
      <c r="ETW35" s="2"/>
      <c r="ETX35" s="2"/>
      <c r="ETY35" s="2"/>
      <c r="ETZ35" s="2"/>
      <c r="EUA35" s="2"/>
      <c r="EUB35" s="2"/>
      <c r="EUC35" s="2"/>
      <c r="EUD35" s="2"/>
      <c r="EUE35" s="2"/>
      <c r="EUF35" s="2"/>
      <c r="EUG35" s="2"/>
      <c r="EUH35" s="2"/>
      <c r="EUI35" s="2"/>
      <c r="EUJ35" s="2"/>
      <c r="EUK35" s="2"/>
      <c r="EUL35" s="2"/>
      <c r="EUM35" s="2"/>
      <c r="EUN35" s="2"/>
      <c r="EUO35" s="2"/>
      <c r="EUP35" s="2"/>
      <c r="EUQ35" s="2"/>
      <c r="EUR35" s="2"/>
      <c r="EUS35" s="2"/>
      <c r="EUT35" s="2"/>
      <c r="EUU35" s="2"/>
      <c r="EUV35" s="2"/>
      <c r="EUW35" s="2"/>
      <c r="EUX35" s="2"/>
      <c r="EUY35" s="2"/>
      <c r="EUZ35" s="2"/>
      <c r="EVA35" s="2"/>
      <c r="EVB35" s="2"/>
      <c r="EVC35" s="2"/>
      <c r="EVD35" s="2"/>
      <c r="EVE35" s="2"/>
      <c r="EVF35" s="2"/>
      <c r="EVG35" s="2"/>
      <c r="EVH35" s="2"/>
      <c r="EVI35" s="2"/>
      <c r="EVJ35" s="2"/>
      <c r="EVK35" s="2"/>
      <c r="EVL35" s="2"/>
      <c r="EVM35" s="2"/>
      <c r="EVN35" s="2"/>
      <c r="EVO35" s="2"/>
      <c r="EVP35" s="2"/>
      <c r="EVQ35" s="2"/>
      <c r="EVR35" s="2"/>
      <c r="EVS35" s="2"/>
      <c r="EVT35" s="2"/>
      <c r="EVU35" s="2"/>
      <c r="EVV35" s="2"/>
      <c r="EVW35" s="2"/>
      <c r="EVX35" s="2"/>
      <c r="EVY35" s="2"/>
      <c r="EVZ35" s="2"/>
      <c r="EWA35" s="2"/>
      <c r="EWB35" s="2"/>
      <c r="EWC35" s="2"/>
      <c r="EWD35" s="2"/>
      <c r="EWE35" s="2"/>
      <c r="EWF35" s="2"/>
      <c r="EWG35" s="2"/>
      <c r="EWH35" s="2"/>
      <c r="EWI35" s="2"/>
      <c r="EWJ35" s="2"/>
      <c r="EWK35" s="2"/>
      <c r="EWL35" s="2"/>
      <c r="EWM35" s="2"/>
      <c r="EWN35" s="2"/>
      <c r="EWO35" s="2"/>
      <c r="EWP35" s="2"/>
      <c r="EWQ35" s="2"/>
      <c r="EWR35" s="2"/>
      <c r="EWS35" s="2"/>
      <c r="EWT35" s="2"/>
      <c r="EWU35" s="2"/>
      <c r="EWV35" s="2"/>
      <c r="EWW35" s="2"/>
      <c r="EWX35" s="2"/>
      <c r="EWY35" s="2"/>
      <c r="EWZ35" s="2"/>
      <c r="EXA35" s="2"/>
      <c r="EXB35" s="2"/>
      <c r="EXC35" s="2"/>
      <c r="EXD35" s="2"/>
      <c r="EXE35" s="2"/>
      <c r="EXF35" s="2"/>
      <c r="EXG35" s="2"/>
      <c r="EXH35" s="2"/>
      <c r="EXI35" s="2"/>
      <c r="EXJ35" s="2"/>
      <c r="EXK35" s="2"/>
      <c r="EXL35" s="2"/>
      <c r="EXM35" s="2"/>
      <c r="EXN35" s="2"/>
      <c r="EXO35" s="2"/>
      <c r="EXP35" s="2"/>
      <c r="EXQ35" s="2"/>
      <c r="EXR35" s="2"/>
      <c r="EXS35" s="2"/>
      <c r="EXT35" s="2"/>
      <c r="EXU35" s="2"/>
      <c r="EXV35" s="2"/>
      <c r="EXW35" s="2"/>
      <c r="EXX35" s="2"/>
      <c r="EXY35" s="2"/>
      <c r="EXZ35" s="2"/>
      <c r="EYA35" s="2"/>
      <c r="EYB35" s="2"/>
      <c r="EYC35" s="2"/>
      <c r="EYD35" s="2"/>
      <c r="EYE35" s="2"/>
      <c r="EYF35" s="2"/>
      <c r="EYG35" s="2"/>
      <c r="EYH35" s="2"/>
      <c r="EYI35" s="2"/>
      <c r="EYJ35" s="2"/>
      <c r="EYK35" s="2"/>
      <c r="EYL35" s="2"/>
      <c r="EYM35" s="2"/>
      <c r="EYN35" s="2"/>
      <c r="EYO35" s="2"/>
      <c r="EYP35" s="2"/>
      <c r="EYQ35" s="2"/>
      <c r="EYR35" s="2"/>
      <c r="EYS35" s="2"/>
      <c r="EYT35" s="2"/>
      <c r="EYU35" s="2"/>
      <c r="EYV35" s="2"/>
      <c r="EYW35" s="2"/>
      <c r="EYX35" s="2"/>
      <c r="EYY35" s="2"/>
      <c r="EYZ35" s="2"/>
      <c r="EZA35" s="2"/>
      <c r="EZB35" s="2"/>
      <c r="EZC35" s="2"/>
      <c r="EZD35" s="2"/>
      <c r="EZE35" s="2"/>
      <c r="EZF35" s="2"/>
      <c r="EZG35" s="2"/>
      <c r="EZH35" s="2"/>
      <c r="EZI35" s="2"/>
      <c r="EZJ35" s="2"/>
      <c r="EZK35" s="2"/>
      <c r="EZL35" s="2"/>
      <c r="EZM35" s="2"/>
      <c r="EZN35" s="2"/>
      <c r="EZO35" s="2"/>
      <c r="EZP35" s="2"/>
      <c r="EZQ35" s="2"/>
      <c r="EZR35" s="2"/>
      <c r="EZS35" s="2"/>
      <c r="EZT35" s="2"/>
      <c r="EZU35" s="2"/>
      <c r="EZV35" s="2"/>
      <c r="EZW35" s="2"/>
      <c r="EZX35" s="2"/>
      <c r="EZY35" s="2"/>
      <c r="EZZ35" s="2"/>
      <c r="FAA35" s="2"/>
      <c r="FAB35" s="2"/>
      <c r="FAC35" s="2"/>
      <c r="FAD35" s="2"/>
      <c r="FAE35" s="2"/>
      <c r="FAF35" s="2"/>
      <c r="FAG35" s="2"/>
      <c r="FAH35" s="2"/>
      <c r="FAI35" s="2"/>
      <c r="FAJ35" s="2"/>
      <c r="FAK35" s="2"/>
      <c r="FAL35" s="2"/>
      <c r="FAM35" s="2"/>
      <c r="FAN35" s="2"/>
      <c r="FAO35" s="2"/>
      <c r="FAP35" s="2"/>
      <c r="FAQ35" s="2"/>
      <c r="FAR35" s="2"/>
      <c r="FAS35" s="2"/>
      <c r="FAT35" s="2"/>
      <c r="FAU35" s="2"/>
      <c r="FAV35" s="2"/>
      <c r="FAW35" s="2"/>
      <c r="FAX35" s="2"/>
      <c r="FAY35" s="2"/>
      <c r="FAZ35" s="2"/>
      <c r="FBA35" s="2"/>
      <c r="FBB35" s="2"/>
      <c r="FBC35" s="2"/>
      <c r="FBD35" s="2"/>
      <c r="FBE35" s="2"/>
      <c r="FBF35" s="2"/>
      <c r="FBG35" s="2"/>
      <c r="FBH35" s="2"/>
      <c r="FBI35" s="2"/>
      <c r="FBJ35" s="2"/>
      <c r="FBK35" s="2"/>
      <c r="FBL35" s="2"/>
      <c r="FBM35" s="2"/>
      <c r="FBN35" s="2"/>
      <c r="FBO35" s="2"/>
      <c r="FBP35" s="2"/>
      <c r="FBQ35" s="2"/>
      <c r="FBR35" s="2"/>
      <c r="FBS35" s="2"/>
      <c r="FBT35" s="2"/>
      <c r="FBU35" s="2"/>
      <c r="FBV35" s="2"/>
      <c r="FBW35" s="2"/>
      <c r="FBX35" s="2"/>
      <c r="FBY35" s="2"/>
      <c r="FBZ35" s="2"/>
      <c r="FCA35" s="2"/>
      <c r="FCB35" s="2"/>
      <c r="FCC35" s="2"/>
      <c r="FCD35" s="2"/>
      <c r="FCE35" s="2"/>
      <c r="FCF35" s="2"/>
      <c r="FCG35" s="2"/>
      <c r="FCH35" s="2"/>
      <c r="FCI35" s="2"/>
      <c r="FCJ35" s="2"/>
      <c r="FCK35" s="2"/>
      <c r="FCL35" s="2"/>
      <c r="FCM35" s="2"/>
      <c r="FCN35" s="2"/>
      <c r="FCO35" s="2"/>
      <c r="FCP35" s="2"/>
      <c r="FCQ35" s="2"/>
      <c r="FCR35" s="2"/>
      <c r="FCS35" s="2"/>
      <c r="FCT35" s="2"/>
      <c r="FCU35" s="2"/>
      <c r="FCV35" s="2"/>
      <c r="FCW35" s="2"/>
      <c r="FCX35" s="2"/>
      <c r="FCY35" s="2"/>
      <c r="FCZ35" s="2"/>
      <c r="FDA35" s="2"/>
      <c r="FDB35" s="2"/>
      <c r="FDC35" s="2"/>
      <c r="FDD35" s="2"/>
      <c r="FDE35" s="2"/>
      <c r="FDF35" s="2"/>
      <c r="FDG35" s="2"/>
      <c r="FDH35" s="2"/>
      <c r="FDI35" s="2"/>
      <c r="FDJ35" s="2"/>
      <c r="FDK35" s="2"/>
      <c r="FDL35" s="2"/>
      <c r="FDM35" s="2"/>
      <c r="FDN35" s="2"/>
      <c r="FDO35" s="2"/>
      <c r="FDP35" s="2"/>
      <c r="FDQ35" s="2"/>
      <c r="FDR35" s="2"/>
      <c r="FDS35" s="2"/>
      <c r="FDT35" s="2"/>
      <c r="FDU35" s="2"/>
      <c r="FDV35" s="2"/>
      <c r="FDW35" s="2"/>
      <c r="FDX35" s="2"/>
      <c r="FDY35" s="2"/>
      <c r="FDZ35" s="2"/>
      <c r="FEA35" s="2"/>
      <c r="FEB35" s="2"/>
      <c r="FEC35" s="2"/>
      <c r="FED35" s="2"/>
      <c r="FEE35" s="2"/>
      <c r="FEF35" s="2"/>
      <c r="FEG35" s="2"/>
      <c r="FEH35" s="2"/>
      <c r="FEI35" s="2"/>
      <c r="FEJ35" s="2"/>
      <c r="FEK35" s="2"/>
      <c r="FEL35" s="2"/>
      <c r="FEM35" s="2"/>
      <c r="FEN35" s="2"/>
      <c r="FEO35" s="2"/>
      <c r="FEP35" s="2"/>
      <c r="FEQ35" s="2"/>
      <c r="FER35" s="2"/>
      <c r="FES35" s="2"/>
      <c r="FET35" s="2"/>
      <c r="FEU35" s="2"/>
      <c r="FEV35" s="2"/>
      <c r="FEW35" s="2"/>
      <c r="FEX35" s="2"/>
      <c r="FEY35" s="2"/>
      <c r="FEZ35" s="2"/>
      <c r="FFA35" s="2"/>
      <c r="FFB35" s="2"/>
      <c r="FFC35" s="2"/>
      <c r="FFD35" s="2"/>
      <c r="FFE35" s="2"/>
      <c r="FFF35" s="2"/>
      <c r="FFG35" s="2"/>
      <c r="FFH35" s="2"/>
      <c r="FFI35" s="2"/>
      <c r="FFJ35" s="2"/>
      <c r="FFK35" s="2"/>
      <c r="FFL35" s="2"/>
      <c r="FFM35" s="2"/>
      <c r="FFN35" s="2"/>
      <c r="FFO35" s="2"/>
      <c r="FFP35" s="2"/>
      <c r="FFQ35" s="2"/>
      <c r="FFR35" s="2"/>
      <c r="FFS35" s="2"/>
      <c r="FFT35" s="2"/>
      <c r="FFU35" s="2"/>
      <c r="FFV35" s="2"/>
      <c r="FFW35" s="2"/>
      <c r="FFX35" s="2"/>
      <c r="FFY35" s="2"/>
      <c r="FFZ35" s="2"/>
      <c r="FGA35" s="2"/>
      <c r="FGB35" s="2"/>
      <c r="FGC35" s="2"/>
      <c r="FGD35" s="2"/>
      <c r="FGE35" s="2"/>
      <c r="FGF35" s="2"/>
      <c r="FGG35" s="2"/>
      <c r="FGH35" s="2"/>
      <c r="FGI35" s="2"/>
      <c r="FGJ35" s="2"/>
      <c r="FGK35" s="2"/>
      <c r="FGL35" s="2"/>
      <c r="FGM35" s="2"/>
      <c r="FGN35" s="2"/>
      <c r="FGO35" s="2"/>
      <c r="FGP35" s="2"/>
      <c r="FGQ35" s="2"/>
      <c r="FGR35" s="2"/>
      <c r="FGS35" s="2"/>
      <c r="FGT35" s="2"/>
      <c r="FGU35" s="2"/>
      <c r="FGV35" s="2"/>
      <c r="FGW35" s="2"/>
      <c r="FGX35" s="2"/>
      <c r="FGY35" s="2"/>
      <c r="FGZ35" s="2"/>
      <c r="FHA35" s="2"/>
      <c r="FHB35" s="2"/>
      <c r="FHC35" s="2"/>
      <c r="FHD35" s="2"/>
      <c r="FHE35" s="2"/>
      <c r="FHF35" s="2"/>
      <c r="FHG35" s="2"/>
      <c r="FHH35" s="2"/>
      <c r="FHI35" s="2"/>
      <c r="FHJ35" s="2"/>
      <c r="FHK35" s="2"/>
      <c r="FHL35" s="2"/>
      <c r="FHM35" s="2"/>
      <c r="FHN35" s="2"/>
      <c r="FHO35" s="2"/>
      <c r="FHP35" s="2"/>
      <c r="FHQ35" s="2"/>
      <c r="FHR35" s="2"/>
      <c r="FHS35" s="2"/>
      <c r="FHT35" s="2"/>
      <c r="FHU35" s="2"/>
      <c r="FHV35" s="2"/>
      <c r="FHW35" s="2"/>
      <c r="FHX35" s="2"/>
      <c r="FHY35" s="2"/>
      <c r="FHZ35" s="2"/>
      <c r="FIA35" s="2"/>
      <c r="FIB35" s="2"/>
      <c r="FIC35" s="2"/>
      <c r="FID35" s="2"/>
      <c r="FIE35" s="2"/>
      <c r="FIF35" s="2"/>
      <c r="FIG35" s="2"/>
      <c r="FIH35" s="2"/>
      <c r="FII35" s="2"/>
      <c r="FIJ35" s="2"/>
      <c r="FIK35" s="2"/>
      <c r="FIL35" s="2"/>
      <c r="FIM35" s="2"/>
      <c r="FIN35" s="2"/>
      <c r="FIO35" s="2"/>
      <c r="FIP35" s="2"/>
      <c r="FIQ35" s="2"/>
      <c r="FIR35" s="2"/>
      <c r="FIS35" s="2"/>
      <c r="FIT35" s="2"/>
      <c r="FIU35" s="2"/>
      <c r="FIV35" s="2"/>
      <c r="FIW35" s="2"/>
      <c r="FIX35" s="2"/>
      <c r="FIY35" s="2"/>
      <c r="FIZ35" s="2"/>
      <c r="FJA35" s="2"/>
      <c r="FJB35" s="2"/>
      <c r="FJC35" s="2"/>
      <c r="FJD35" s="2"/>
      <c r="FJE35" s="2"/>
      <c r="FJF35" s="2"/>
      <c r="FJG35" s="2"/>
      <c r="FJH35" s="2"/>
      <c r="FJI35" s="2"/>
      <c r="FJJ35" s="2"/>
      <c r="FJK35" s="2"/>
      <c r="FJL35" s="2"/>
      <c r="FJM35" s="2"/>
      <c r="FJN35" s="2"/>
      <c r="FJO35" s="2"/>
      <c r="FJP35" s="2"/>
      <c r="FJQ35" s="2"/>
      <c r="FJR35" s="2"/>
      <c r="FJS35" s="2"/>
      <c r="FJT35" s="2"/>
      <c r="FJU35" s="2"/>
      <c r="FJV35" s="2"/>
      <c r="FJW35" s="2"/>
      <c r="FJX35" s="2"/>
      <c r="FJY35" s="2"/>
      <c r="FJZ35" s="2"/>
      <c r="FKA35" s="2"/>
      <c r="FKB35" s="2"/>
      <c r="FKC35" s="2"/>
      <c r="FKD35" s="2"/>
      <c r="FKE35" s="2"/>
      <c r="FKF35" s="2"/>
      <c r="FKG35" s="2"/>
      <c r="FKH35" s="2"/>
      <c r="FKI35" s="2"/>
      <c r="FKJ35" s="2"/>
      <c r="FKK35" s="2"/>
      <c r="FKL35" s="2"/>
      <c r="FKM35" s="2"/>
      <c r="FKN35" s="2"/>
      <c r="FKO35" s="2"/>
      <c r="FKP35" s="2"/>
      <c r="FKQ35" s="2"/>
      <c r="FKR35" s="2"/>
      <c r="FKS35" s="2"/>
      <c r="FKT35" s="2"/>
      <c r="FKU35" s="2"/>
      <c r="FKV35" s="2"/>
      <c r="FKW35" s="2"/>
      <c r="FKX35" s="2"/>
      <c r="FKY35" s="2"/>
      <c r="FKZ35" s="2"/>
      <c r="FLA35" s="2"/>
      <c r="FLB35" s="2"/>
      <c r="FLC35" s="2"/>
      <c r="FLD35" s="2"/>
      <c r="FLE35" s="2"/>
      <c r="FLF35" s="2"/>
      <c r="FLG35" s="2"/>
      <c r="FLH35" s="2"/>
      <c r="FLI35" s="2"/>
      <c r="FLJ35" s="2"/>
      <c r="FLK35" s="2"/>
      <c r="FLL35" s="2"/>
      <c r="FLM35" s="2"/>
      <c r="FLN35" s="2"/>
      <c r="FLO35" s="2"/>
      <c r="FLP35" s="2"/>
      <c r="FLQ35" s="2"/>
      <c r="FLR35" s="2"/>
      <c r="FLS35" s="2"/>
      <c r="FLT35" s="2"/>
      <c r="FLU35" s="2"/>
      <c r="FLV35" s="2"/>
      <c r="FLW35" s="2"/>
      <c r="FLX35" s="2"/>
      <c r="FLY35" s="2"/>
      <c r="FLZ35" s="2"/>
      <c r="FMA35" s="2"/>
      <c r="FMB35" s="2"/>
      <c r="FMC35" s="2"/>
      <c r="FMD35" s="2"/>
      <c r="FME35" s="2"/>
      <c r="FMF35" s="2"/>
      <c r="FMG35" s="2"/>
      <c r="FMH35" s="2"/>
      <c r="FMI35" s="2"/>
      <c r="FMJ35" s="2"/>
      <c r="FMK35" s="2"/>
      <c r="FML35" s="2"/>
      <c r="FMM35" s="2"/>
      <c r="FMN35" s="2"/>
      <c r="FMO35" s="2"/>
      <c r="FMP35" s="2"/>
      <c r="FMQ35" s="2"/>
      <c r="FMR35" s="2"/>
      <c r="FMS35" s="2"/>
      <c r="FMT35" s="2"/>
      <c r="FMU35" s="2"/>
      <c r="FMV35" s="2"/>
      <c r="FMW35" s="2"/>
      <c r="FMX35" s="2"/>
      <c r="FMY35" s="2"/>
      <c r="FMZ35" s="2"/>
      <c r="FNA35" s="2"/>
      <c r="FNB35" s="2"/>
      <c r="FNC35" s="2"/>
      <c r="FND35" s="2"/>
      <c r="FNE35" s="2"/>
      <c r="FNF35" s="2"/>
      <c r="FNG35" s="2"/>
      <c r="FNH35" s="2"/>
      <c r="FNI35" s="2"/>
      <c r="FNJ35" s="2"/>
      <c r="FNK35" s="2"/>
      <c r="FNL35" s="2"/>
      <c r="FNM35" s="2"/>
      <c r="FNN35" s="2"/>
      <c r="FNO35" s="2"/>
      <c r="FNP35" s="2"/>
      <c r="FNQ35" s="2"/>
      <c r="FNR35" s="2"/>
      <c r="FNS35" s="2"/>
      <c r="FNT35" s="2"/>
      <c r="FNU35" s="2"/>
      <c r="FNV35" s="2"/>
      <c r="FNW35" s="2"/>
      <c r="FNX35" s="2"/>
      <c r="FNY35" s="2"/>
      <c r="FNZ35" s="2"/>
      <c r="FOA35" s="2"/>
      <c r="FOB35" s="2"/>
      <c r="FOC35" s="2"/>
      <c r="FOD35" s="2"/>
      <c r="FOE35" s="2"/>
      <c r="FOF35" s="2"/>
      <c r="FOG35" s="2"/>
      <c r="FOH35" s="2"/>
      <c r="FOI35" s="2"/>
      <c r="FOJ35" s="2"/>
      <c r="FOK35" s="2"/>
      <c r="FOL35" s="2"/>
      <c r="FOM35" s="2"/>
      <c r="FON35" s="2"/>
      <c r="FOO35" s="2"/>
      <c r="FOP35" s="2"/>
      <c r="FOQ35" s="2"/>
      <c r="FOR35" s="2"/>
      <c r="FOS35" s="2"/>
      <c r="FOT35" s="2"/>
      <c r="FOU35" s="2"/>
      <c r="FOV35" s="2"/>
      <c r="FOW35" s="2"/>
      <c r="FOX35" s="2"/>
      <c r="FOY35" s="2"/>
      <c r="FOZ35" s="2"/>
      <c r="FPA35" s="2"/>
      <c r="FPB35" s="2"/>
      <c r="FPC35" s="2"/>
      <c r="FPD35" s="2"/>
      <c r="FPE35" s="2"/>
      <c r="FPF35" s="2"/>
      <c r="FPG35" s="2"/>
      <c r="FPH35" s="2"/>
      <c r="FPI35" s="2"/>
      <c r="FPJ35" s="2"/>
      <c r="FPK35" s="2"/>
      <c r="FPL35" s="2"/>
      <c r="FPM35" s="2"/>
      <c r="FPN35" s="2"/>
      <c r="FPO35" s="2"/>
      <c r="FPP35" s="2"/>
      <c r="FPQ35" s="2"/>
      <c r="FPR35" s="2"/>
      <c r="FPS35" s="2"/>
      <c r="FPT35" s="2"/>
      <c r="FPU35" s="2"/>
      <c r="FPV35" s="2"/>
      <c r="FPW35" s="2"/>
      <c r="FPX35" s="2"/>
      <c r="FPY35" s="2"/>
      <c r="FPZ35" s="2"/>
      <c r="FQA35" s="2"/>
      <c r="FQB35" s="2"/>
      <c r="FQC35" s="2"/>
      <c r="FQD35" s="2"/>
      <c r="FQE35" s="2"/>
      <c r="FQF35" s="2"/>
      <c r="FQG35" s="2"/>
      <c r="FQH35" s="2"/>
      <c r="FQI35" s="2"/>
      <c r="FQJ35" s="2"/>
      <c r="FQK35" s="2"/>
      <c r="FQL35" s="2"/>
      <c r="FQM35" s="2"/>
      <c r="FQN35" s="2"/>
      <c r="FQO35" s="2"/>
      <c r="FQP35" s="2"/>
      <c r="FQQ35" s="2"/>
      <c r="FQR35" s="2"/>
      <c r="FQS35" s="2"/>
      <c r="FQT35" s="2"/>
      <c r="FQU35" s="2"/>
      <c r="FQV35" s="2"/>
      <c r="FQW35" s="2"/>
      <c r="FQX35" s="2"/>
      <c r="FQY35" s="2"/>
      <c r="FQZ35" s="2"/>
      <c r="FRA35" s="2"/>
      <c r="FRB35" s="2"/>
      <c r="FRC35" s="2"/>
      <c r="FRD35" s="2"/>
      <c r="FRE35" s="2"/>
      <c r="FRF35" s="2"/>
      <c r="FRG35" s="2"/>
      <c r="FRH35" s="2"/>
      <c r="FRI35" s="2"/>
      <c r="FRJ35" s="2"/>
      <c r="FRK35" s="2"/>
      <c r="FRL35" s="2"/>
      <c r="FRM35" s="2"/>
      <c r="FRN35" s="2"/>
      <c r="FRO35" s="2"/>
      <c r="FRP35" s="2"/>
      <c r="FRQ35" s="2"/>
      <c r="FRR35" s="2"/>
      <c r="FRS35" s="2"/>
      <c r="FRT35" s="2"/>
      <c r="FRU35" s="2"/>
      <c r="FRV35" s="2"/>
      <c r="FRW35" s="2"/>
      <c r="FRX35" s="2"/>
      <c r="FRY35" s="2"/>
      <c r="FRZ35" s="2"/>
      <c r="FSA35" s="2"/>
      <c r="FSB35" s="2"/>
      <c r="FSC35" s="2"/>
      <c r="FSD35" s="2"/>
      <c r="FSE35" s="2"/>
      <c r="FSF35" s="2"/>
      <c r="FSG35" s="2"/>
      <c r="FSH35" s="2"/>
      <c r="FSI35" s="2"/>
      <c r="FSJ35" s="2"/>
      <c r="FSK35" s="2"/>
      <c r="FSL35" s="2"/>
      <c r="FSM35" s="2"/>
      <c r="FSN35" s="2"/>
      <c r="FSO35" s="2"/>
      <c r="FSP35" s="2"/>
      <c r="FSQ35" s="2"/>
      <c r="FSR35" s="2"/>
      <c r="FSS35" s="2"/>
      <c r="FST35" s="2"/>
      <c r="FSU35" s="2"/>
      <c r="FSV35" s="2"/>
      <c r="FSW35" s="2"/>
      <c r="FSX35" s="2"/>
      <c r="FSY35" s="2"/>
      <c r="FSZ35" s="2"/>
      <c r="FTA35" s="2"/>
      <c r="FTB35" s="2"/>
      <c r="FTC35" s="2"/>
      <c r="FTD35" s="2"/>
      <c r="FTE35" s="2"/>
      <c r="FTF35" s="2"/>
      <c r="FTG35" s="2"/>
      <c r="FTH35" s="2"/>
      <c r="FTI35" s="2"/>
      <c r="FTJ35" s="2"/>
      <c r="FTK35" s="2"/>
      <c r="FTL35" s="2"/>
      <c r="FTM35" s="2"/>
      <c r="FTN35" s="2"/>
      <c r="FTO35" s="2"/>
      <c r="FTP35" s="2"/>
      <c r="FTQ35" s="2"/>
      <c r="FTR35" s="2"/>
      <c r="FTS35" s="2"/>
      <c r="FTT35" s="2"/>
      <c r="FTU35" s="2"/>
      <c r="FTV35" s="2"/>
      <c r="FTW35" s="2"/>
      <c r="FTX35" s="2"/>
      <c r="FTY35" s="2"/>
      <c r="FTZ35" s="2"/>
      <c r="FUA35" s="2"/>
      <c r="FUB35" s="2"/>
      <c r="FUC35" s="2"/>
      <c r="FUD35" s="2"/>
      <c r="FUE35" s="2"/>
      <c r="FUF35" s="2"/>
      <c r="FUG35" s="2"/>
      <c r="FUH35" s="2"/>
      <c r="FUI35" s="2"/>
      <c r="FUJ35" s="2"/>
      <c r="FUK35" s="2"/>
      <c r="FUL35" s="2"/>
      <c r="FUM35" s="2"/>
      <c r="FUN35" s="2"/>
      <c r="FUO35" s="2"/>
      <c r="FUP35" s="2"/>
      <c r="FUQ35" s="2"/>
      <c r="FUR35" s="2"/>
      <c r="FUS35" s="2"/>
      <c r="FUT35" s="2"/>
      <c r="FUU35" s="2"/>
      <c r="FUV35" s="2"/>
      <c r="FUW35" s="2"/>
      <c r="FUX35" s="2"/>
      <c r="FUY35" s="2"/>
      <c r="FUZ35" s="2"/>
      <c r="FVA35" s="2"/>
      <c r="FVB35" s="2"/>
      <c r="FVC35" s="2"/>
      <c r="FVD35" s="2"/>
      <c r="FVE35" s="2"/>
      <c r="FVF35" s="2"/>
      <c r="FVG35" s="2"/>
      <c r="FVH35" s="2"/>
      <c r="FVI35" s="2"/>
      <c r="FVJ35" s="2"/>
      <c r="FVK35" s="2"/>
      <c r="FVL35" s="2"/>
      <c r="FVM35" s="2"/>
      <c r="FVN35" s="2"/>
      <c r="FVO35" s="2"/>
      <c r="FVP35" s="2"/>
      <c r="FVQ35" s="2"/>
      <c r="FVR35" s="2"/>
      <c r="FVS35" s="2"/>
      <c r="FVT35" s="2"/>
      <c r="FVU35" s="2"/>
      <c r="FVV35" s="2"/>
      <c r="FVW35" s="2"/>
      <c r="FVX35" s="2"/>
      <c r="FVY35" s="2"/>
      <c r="FVZ35" s="2"/>
      <c r="FWA35" s="2"/>
      <c r="FWB35" s="2"/>
      <c r="FWC35" s="2"/>
      <c r="FWD35" s="2"/>
      <c r="FWE35" s="2"/>
      <c r="FWF35" s="2"/>
      <c r="FWG35" s="2"/>
      <c r="FWH35" s="2"/>
      <c r="FWI35" s="2"/>
      <c r="FWJ35" s="2"/>
      <c r="FWK35" s="2"/>
      <c r="FWL35" s="2"/>
      <c r="FWM35" s="2"/>
      <c r="FWN35" s="2"/>
      <c r="FWO35" s="2"/>
      <c r="FWP35" s="2"/>
      <c r="FWQ35" s="2"/>
      <c r="FWR35" s="2"/>
      <c r="FWS35" s="2"/>
      <c r="FWT35" s="2"/>
      <c r="FWU35" s="2"/>
      <c r="FWV35" s="2"/>
      <c r="FWW35" s="2"/>
      <c r="FWX35" s="2"/>
      <c r="FWY35" s="2"/>
      <c r="FWZ35" s="2"/>
      <c r="FXA35" s="2"/>
      <c r="FXB35" s="2"/>
      <c r="FXC35" s="2"/>
      <c r="FXD35" s="2"/>
      <c r="FXE35" s="2"/>
      <c r="FXF35" s="2"/>
      <c r="FXG35" s="2"/>
      <c r="FXH35" s="2"/>
      <c r="FXI35" s="2"/>
      <c r="FXJ35" s="2"/>
      <c r="FXK35" s="2"/>
      <c r="FXL35" s="2"/>
      <c r="FXM35" s="2"/>
      <c r="FXN35" s="2"/>
      <c r="FXO35" s="2"/>
      <c r="FXP35" s="2"/>
      <c r="FXQ35" s="2"/>
      <c r="FXR35" s="2"/>
      <c r="FXS35" s="2"/>
      <c r="FXT35" s="2"/>
      <c r="FXU35" s="2"/>
      <c r="FXV35" s="2"/>
      <c r="FXW35" s="2"/>
      <c r="FXX35" s="2"/>
      <c r="FXY35" s="2"/>
      <c r="FXZ35" s="2"/>
      <c r="FYA35" s="2"/>
      <c r="FYB35" s="2"/>
      <c r="FYC35" s="2"/>
      <c r="FYD35" s="2"/>
      <c r="FYE35" s="2"/>
      <c r="FYF35" s="2"/>
      <c r="FYG35" s="2"/>
      <c r="FYH35" s="2"/>
      <c r="FYI35" s="2"/>
      <c r="FYJ35" s="2"/>
      <c r="FYK35" s="2"/>
      <c r="FYL35" s="2"/>
      <c r="FYM35" s="2"/>
      <c r="FYN35" s="2"/>
      <c r="FYO35" s="2"/>
      <c r="FYP35" s="2"/>
      <c r="FYQ35" s="2"/>
      <c r="FYR35" s="2"/>
      <c r="FYS35" s="2"/>
      <c r="FYT35" s="2"/>
      <c r="FYU35" s="2"/>
      <c r="FYV35" s="2"/>
      <c r="FYW35" s="2"/>
      <c r="FYX35" s="2"/>
      <c r="FYY35" s="2"/>
      <c r="FYZ35" s="2"/>
      <c r="FZA35" s="2"/>
      <c r="FZB35" s="2"/>
      <c r="FZC35" s="2"/>
      <c r="FZD35" s="2"/>
      <c r="FZE35" s="2"/>
      <c r="FZF35" s="2"/>
      <c r="FZG35" s="2"/>
      <c r="FZH35" s="2"/>
      <c r="FZI35" s="2"/>
      <c r="FZJ35" s="2"/>
      <c r="FZK35" s="2"/>
      <c r="FZL35" s="2"/>
      <c r="FZM35" s="2"/>
      <c r="FZN35" s="2"/>
      <c r="FZO35" s="2"/>
      <c r="FZP35" s="2"/>
      <c r="FZQ35" s="2"/>
      <c r="FZR35" s="2"/>
      <c r="FZS35" s="2"/>
      <c r="FZT35" s="2"/>
      <c r="FZU35" s="2"/>
      <c r="FZV35" s="2"/>
      <c r="FZW35" s="2"/>
      <c r="FZX35" s="2"/>
      <c r="FZY35" s="2"/>
      <c r="FZZ35" s="2"/>
      <c r="GAA35" s="2"/>
      <c r="GAB35" s="2"/>
      <c r="GAC35" s="2"/>
      <c r="GAD35" s="2"/>
      <c r="GAE35" s="2"/>
      <c r="GAF35" s="2"/>
      <c r="GAG35" s="2"/>
      <c r="GAH35" s="2"/>
      <c r="GAI35" s="2"/>
      <c r="GAJ35" s="2"/>
      <c r="GAK35" s="2"/>
      <c r="GAL35" s="2"/>
      <c r="GAM35" s="2"/>
      <c r="GAN35" s="2"/>
      <c r="GAO35" s="2"/>
      <c r="GAP35" s="2"/>
      <c r="GAQ35" s="2"/>
      <c r="GAR35" s="2"/>
      <c r="GAS35" s="2"/>
      <c r="GAT35" s="2"/>
      <c r="GAU35" s="2"/>
      <c r="GAV35" s="2"/>
      <c r="GAW35" s="2"/>
      <c r="GAX35" s="2"/>
      <c r="GAY35" s="2"/>
      <c r="GAZ35" s="2"/>
      <c r="GBA35" s="2"/>
      <c r="GBB35" s="2"/>
      <c r="GBC35" s="2"/>
      <c r="GBD35" s="2"/>
      <c r="GBE35" s="2"/>
      <c r="GBF35" s="2"/>
      <c r="GBG35" s="2"/>
      <c r="GBH35" s="2"/>
      <c r="GBI35" s="2"/>
      <c r="GBJ35" s="2"/>
      <c r="GBK35" s="2"/>
      <c r="GBL35" s="2"/>
      <c r="GBM35" s="2"/>
      <c r="GBN35" s="2"/>
      <c r="GBO35" s="2"/>
      <c r="GBP35" s="2"/>
      <c r="GBQ35" s="2"/>
      <c r="GBR35" s="2"/>
      <c r="GBS35" s="2"/>
      <c r="GBT35" s="2"/>
      <c r="GBU35" s="2"/>
      <c r="GBV35" s="2"/>
      <c r="GBW35" s="2"/>
      <c r="GBX35" s="2"/>
      <c r="GBY35" s="2"/>
      <c r="GBZ35" s="2"/>
      <c r="GCA35" s="2"/>
      <c r="GCB35" s="2"/>
      <c r="GCC35" s="2"/>
      <c r="GCD35" s="2"/>
      <c r="GCE35" s="2"/>
      <c r="GCF35" s="2"/>
      <c r="GCG35" s="2"/>
      <c r="GCH35" s="2"/>
      <c r="GCI35" s="2"/>
      <c r="GCJ35" s="2"/>
      <c r="GCK35" s="2"/>
      <c r="GCL35" s="2"/>
      <c r="GCM35" s="2"/>
      <c r="GCN35" s="2"/>
      <c r="GCO35" s="2"/>
      <c r="GCP35" s="2"/>
      <c r="GCQ35" s="2"/>
      <c r="GCR35" s="2"/>
      <c r="GCS35" s="2"/>
      <c r="GCT35" s="2"/>
      <c r="GCU35" s="2"/>
      <c r="GCV35" s="2"/>
      <c r="GCW35" s="2"/>
      <c r="GCX35" s="2"/>
      <c r="GCY35" s="2"/>
      <c r="GCZ35" s="2"/>
      <c r="GDA35" s="2"/>
      <c r="GDB35" s="2"/>
      <c r="GDC35" s="2"/>
      <c r="GDD35" s="2"/>
      <c r="GDE35" s="2"/>
      <c r="GDF35" s="2"/>
      <c r="GDG35" s="2"/>
      <c r="GDH35" s="2"/>
      <c r="GDI35" s="2"/>
      <c r="GDJ35" s="2"/>
      <c r="GDK35" s="2"/>
      <c r="GDL35" s="2"/>
      <c r="GDM35" s="2"/>
      <c r="GDN35" s="2"/>
      <c r="GDO35" s="2"/>
      <c r="GDP35" s="2"/>
      <c r="GDQ35" s="2"/>
      <c r="GDR35" s="2"/>
      <c r="GDS35" s="2"/>
      <c r="GDT35" s="2"/>
      <c r="GDU35" s="2"/>
      <c r="GDV35" s="2"/>
      <c r="GDW35" s="2"/>
      <c r="GDX35" s="2"/>
      <c r="GDY35" s="2"/>
      <c r="GDZ35" s="2"/>
      <c r="GEA35" s="2"/>
      <c r="GEB35" s="2"/>
      <c r="GEC35" s="2"/>
      <c r="GED35" s="2"/>
      <c r="GEE35" s="2"/>
      <c r="GEF35" s="2"/>
      <c r="GEG35" s="2"/>
      <c r="GEH35" s="2"/>
      <c r="GEI35" s="2"/>
      <c r="GEJ35" s="2"/>
      <c r="GEK35" s="2"/>
      <c r="GEL35" s="2"/>
      <c r="GEM35" s="2"/>
      <c r="GEN35" s="2"/>
      <c r="GEO35" s="2"/>
      <c r="GEP35" s="2"/>
      <c r="GEQ35" s="2"/>
      <c r="GER35" s="2"/>
      <c r="GES35" s="2"/>
      <c r="GET35" s="2"/>
      <c r="GEU35" s="2"/>
      <c r="GEV35" s="2"/>
      <c r="GEW35" s="2"/>
      <c r="GEX35" s="2"/>
      <c r="GEY35" s="2"/>
      <c r="GEZ35" s="2"/>
      <c r="GFA35" s="2"/>
      <c r="GFB35" s="2"/>
      <c r="GFC35" s="2"/>
      <c r="GFD35" s="2"/>
      <c r="GFE35" s="2"/>
      <c r="GFF35" s="2"/>
      <c r="GFG35" s="2"/>
      <c r="GFH35" s="2"/>
      <c r="GFI35" s="2"/>
      <c r="GFJ35" s="2"/>
      <c r="GFK35" s="2"/>
      <c r="GFL35" s="2"/>
      <c r="GFM35" s="2"/>
      <c r="GFN35" s="2"/>
      <c r="GFO35" s="2"/>
      <c r="GFP35" s="2"/>
      <c r="GFQ35" s="2"/>
      <c r="GFR35" s="2"/>
      <c r="GFS35" s="2"/>
      <c r="GFT35" s="2"/>
      <c r="GFU35" s="2"/>
      <c r="GFV35" s="2"/>
      <c r="GFW35" s="2"/>
      <c r="GFX35" s="2"/>
      <c r="GFY35" s="2"/>
      <c r="GFZ35" s="2"/>
      <c r="GGA35" s="2"/>
      <c r="GGB35" s="2"/>
      <c r="GGC35" s="2"/>
      <c r="GGD35" s="2"/>
      <c r="GGE35" s="2"/>
      <c r="GGF35" s="2"/>
      <c r="GGG35" s="2"/>
      <c r="GGH35" s="2"/>
      <c r="GGI35" s="2"/>
      <c r="GGJ35" s="2"/>
      <c r="GGK35" s="2"/>
      <c r="GGL35" s="2"/>
      <c r="GGM35" s="2"/>
      <c r="GGN35" s="2"/>
      <c r="GGO35" s="2"/>
      <c r="GGP35" s="2"/>
      <c r="GGQ35" s="2"/>
      <c r="GGR35" s="2"/>
      <c r="GGS35" s="2"/>
      <c r="GGT35" s="2"/>
      <c r="GGU35" s="2"/>
      <c r="GGV35" s="2"/>
      <c r="GGW35" s="2"/>
      <c r="GGX35" s="2"/>
      <c r="GGY35" s="2"/>
      <c r="GGZ35" s="2"/>
      <c r="GHA35" s="2"/>
      <c r="GHB35" s="2"/>
      <c r="GHC35" s="2"/>
      <c r="GHD35" s="2"/>
      <c r="GHE35" s="2"/>
      <c r="GHF35" s="2"/>
      <c r="GHG35" s="2"/>
      <c r="GHH35" s="2"/>
      <c r="GHI35" s="2"/>
      <c r="GHJ35" s="2"/>
      <c r="GHK35" s="2"/>
      <c r="GHL35" s="2"/>
      <c r="GHM35" s="2"/>
      <c r="GHN35" s="2"/>
      <c r="GHO35" s="2"/>
      <c r="GHP35" s="2"/>
      <c r="GHQ35" s="2"/>
      <c r="GHR35" s="2"/>
      <c r="GHS35" s="2"/>
      <c r="GHT35" s="2"/>
      <c r="GHU35" s="2"/>
      <c r="GHV35" s="2"/>
      <c r="GHW35" s="2"/>
      <c r="GHX35" s="2"/>
      <c r="GHY35" s="2"/>
      <c r="GHZ35" s="2"/>
      <c r="GIA35" s="2"/>
      <c r="GIB35" s="2"/>
      <c r="GIC35" s="2"/>
      <c r="GID35" s="2"/>
      <c r="GIE35" s="2"/>
      <c r="GIF35" s="2"/>
      <c r="GIG35" s="2"/>
      <c r="GIH35" s="2"/>
      <c r="GII35" s="2"/>
      <c r="GIJ35" s="2"/>
      <c r="GIK35" s="2"/>
      <c r="GIL35" s="2"/>
      <c r="GIM35" s="2"/>
      <c r="GIN35" s="2"/>
      <c r="GIO35" s="2"/>
      <c r="GIP35" s="2"/>
      <c r="GIQ35" s="2"/>
      <c r="GIR35" s="2"/>
      <c r="GIS35" s="2"/>
      <c r="GIT35" s="2"/>
      <c r="GIU35" s="2"/>
      <c r="GIV35" s="2"/>
      <c r="GIW35" s="2"/>
      <c r="GIX35" s="2"/>
      <c r="GIY35" s="2"/>
      <c r="GIZ35" s="2"/>
      <c r="GJA35" s="2"/>
      <c r="GJB35" s="2"/>
      <c r="GJC35" s="2"/>
      <c r="GJD35" s="2"/>
      <c r="GJE35" s="2"/>
      <c r="GJF35" s="2"/>
      <c r="GJG35" s="2"/>
      <c r="GJH35" s="2"/>
      <c r="GJI35" s="2"/>
      <c r="GJJ35" s="2"/>
      <c r="GJK35" s="2"/>
      <c r="GJL35" s="2"/>
      <c r="GJM35" s="2"/>
      <c r="GJN35" s="2"/>
      <c r="GJO35" s="2"/>
      <c r="GJP35" s="2"/>
      <c r="GJQ35" s="2"/>
      <c r="GJR35" s="2"/>
      <c r="GJS35" s="2"/>
      <c r="GJT35" s="2"/>
      <c r="GJU35" s="2"/>
      <c r="GJV35" s="2"/>
      <c r="GJW35" s="2"/>
      <c r="GJX35" s="2"/>
      <c r="GJY35" s="2"/>
      <c r="GJZ35" s="2"/>
      <c r="GKA35" s="2"/>
      <c r="GKB35" s="2"/>
      <c r="GKC35" s="2"/>
      <c r="GKD35" s="2"/>
      <c r="GKE35" s="2"/>
      <c r="GKF35" s="2"/>
      <c r="GKG35" s="2"/>
      <c r="GKH35" s="2"/>
      <c r="GKI35" s="2"/>
      <c r="GKJ35" s="2"/>
      <c r="GKK35" s="2"/>
      <c r="GKL35" s="2"/>
      <c r="GKM35" s="2"/>
      <c r="GKN35" s="2"/>
      <c r="GKO35" s="2"/>
      <c r="GKP35" s="2"/>
      <c r="GKQ35" s="2"/>
      <c r="GKR35" s="2"/>
      <c r="GKS35" s="2"/>
      <c r="GKT35" s="2"/>
      <c r="GKU35" s="2"/>
      <c r="GKV35" s="2"/>
      <c r="GKW35" s="2"/>
      <c r="GKX35" s="2"/>
      <c r="GKY35" s="2"/>
      <c r="GKZ35" s="2"/>
      <c r="GLA35" s="2"/>
      <c r="GLB35" s="2"/>
      <c r="GLC35" s="2"/>
      <c r="GLD35" s="2"/>
      <c r="GLE35" s="2"/>
      <c r="GLF35" s="2"/>
      <c r="GLG35" s="2"/>
      <c r="GLH35" s="2"/>
      <c r="GLI35" s="2"/>
      <c r="GLJ35" s="2"/>
      <c r="GLK35" s="2"/>
      <c r="GLL35" s="2"/>
      <c r="GLM35" s="2"/>
      <c r="GLN35" s="2"/>
      <c r="GLO35" s="2"/>
      <c r="GLP35" s="2"/>
      <c r="GLQ35" s="2"/>
      <c r="GLR35" s="2"/>
      <c r="GLS35" s="2"/>
      <c r="GLT35" s="2"/>
      <c r="GLU35" s="2"/>
      <c r="GLV35" s="2"/>
      <c r="GLW35" s="2"/>
      <c r="GLX35" s="2"/>
      <c r="GLY35" s="2"/>
      <c r="GLZ35" s="2"/>
      <c r="GMA35" s="2"/>
      <c r="GMB35" s="2"/>
      <c r="GMC35" s="2"/>
      <c r="GMD35" s="2"/>
      <c r="GME35" s="2"/>
      <c r="GMF35" s="2"/>
      <c r="GMG35" s="2"/>
      <c r="GMH35" s="2"/>
      <c r="GMI35" s="2"/>
      <c r="GMJ35" s="2"/>
      <c r="GMK35" s="2"/>
      <c r="GML35" s="2"/>
      <c r="GMM35" s="2"/>
      <c r="GMN35" s="2"/>
      <c r="GMO35" s="2"/>
      <c r="GMP35" s="2"/>
      <c r="GMQ35" s="2"/>
      <c r="GMR35" s="2"/>
      <c r="GMS35" s="2"/>
      <c r="GMT35" s="2"/>
      <c r="GMU35" s="2"/>
      <c r="GMV35" s="2"/>
      <c r="GMW35" s="2"/>
      <c r="GMX35" s="2"/>
      <c r="GMY35" s="2"/>
      <c r="GMZ35" s="2"/>
      <c r="GNA35" s="2"/>
      <c r="GNB35" s="2"/>
      <c r="GNC35" s="2"/>
      <c r="GND35" s="2"/>
      <c r="GNE35" s="2"/>
      <c r="GNF35" s="2"/>
      <c r="GNG35" s="2"/>
      <c r="GNH35" s="2"/>
      <c r="GNI35" s="2"/>
      <c r="GNJ35" s="2"/>
      <c r="GNK35" s="2"/>
      <c r="GNL35" s="2"/>
      <c r="GNM35" s="2"/>
      <c r="GNN35" s="2"/>
      <c r="GNO35" s="2"/>
      <c r="GNP35" s="2"/>
      <c r="GNQ35" s="2"/>
      <c r="GNR35" s="2"/>
      <c r="GNS35" s="2"/>
      <c r="GNT35" s="2"/>
      <c r="GNU35" s="2"/>
      <c r="GNV35" s="2"/>
      <c r="GNW35" s="2"/>
      <c r="GNX35" s="2"/>
      <c r="GNY35" s="2"/>
      <c r="GNZ35" s="2"/>
      <c r="GOA35" s="2"/>
      <c r="GOB35" s="2"/>
      <c r="GOC35" s="2"/>
      <c r="GOD35" s="2"/>
      <c r="GOE35" s="2"/>
      <c r="GOF35" s="2"/>
      <c r="GOG35" s="2"/>
      <c r="GOH35" s="2"/>
      <c r="GOI35" s="2"/>
      <c r="GOJ35" s="2"/>
      <c r="GOK35" s="2"/>
      <c r="GOL35" s="2"/>
      <c r="GOM35" s="2"/>
      <c r="GON35" s="2"/>
      <c r="GOO35" s="2"/>
      <c r="GOP35" s="2"/>
      <c r="GOQ35" s="2"/>
      <c r="GOR35" s="2"/>
      <c r="GOS35" s="2"/>
      <c r="GOT35" s="2"/>
      <c r="GOU35" s="2"/>
      <c r="GOV35" s="2"/>
      <c r="GOW35" s="2"/>
      <c r="GOX35" s="2"/>
      <c r="GOY35" s="2"/>
      <c r="GOZ35" s="2"/>
      <c r="GPA35" s="2"/>
      <c r="GPB35" s="2"/>
      <c r="GPC35" s="2"/>
      <c r="GPD35" s="2"/>
      <c r="GPE35" s="2"/>
      <c r="GPF35" s="2"/>
      <c r="GPG35" s="2"/>
      <c r="GPH35" s="2"/>
      <c r="GPI35" s="2"/>
      <c r="GPJ35" s="2"/>
      <c r="GPK35" s="2"/>
      <c r="GPL35" s="2"/>
      <c r="GPM35" s="2"/>
      <c r="GPN35" s="2"/>
      <c r="GPO35" s="2"/>
      <c r="GPP35" s="2"/>
      <c r="GPQ35" s="2"/>
      <c r="GPR35" s="2"/>
      <c r="GPS35" s="2"/>
      <c r="GPT35" s="2"/>
      <c r="GPU35" s="2"/>
      <c r="GPV35" s="2"/>
      <c r="GPW35" s="2"/>
      <c r="GPX35" s="2"/>
      <c r="GPY35" s="2"/>
      <c r="GPZ35" s="2"/>
      <c r="GQA35" s="2"/>
      <c r="GQB35" s="2"/>
      <c r="GQC35" s="2"/>
      <c r="GQD35" s="2"/>
      <c r="GQE35" s="2"/>
      <c r="GQF35" s="2"/>
      <c r="GQG35" s="2"/>
      <c r="GQH35" s="2"/>
      <c r="GQI35" s="2"/>
      <c r="GQJ35" s="2"/>
      <c r="GQK35" s="2"/>
      <c r="GQL35" s="2"/>
      <c r="GQM35" s="2"/>
      <c r="GQN35" s="2"/>
      <c r="GQO35" s="2"/>
      <c r="GQP35" s="2"/>
      <c r="GQQ35" s="2"/>
      <c r="GQR35" s="2"/>
      <c r="GQS35" s="2"/>
      <c r="GQT35" s="2"/>
      <c r="GQU35" s="2"/>
      <c r="GQV35" s="2"/>
      <c r="GQW35" s="2"/>
      <c r="GQX35" s="2"/>
      <c r="GQY35" s="2"/>
      <c r="GQZ35" s="2"/>
      <c r="GRA35" s="2"/>
      <c r="GRB35" s="2"/>
      <c r="GRC35" s="2"/>
      <c r="GRD35" s="2"/>
      <c r="GRE35" s="2"/>
      <c r="GRF35" s="2"/>
      <c r="GRG35" s="2"/>
      <c r="GRH35" s="2"/>
      <c r="GRI35" s="2"/>
      <c r="GRJ35" s="2"/>
      <c r="GRK35" s="2"/>
      <c r="GRL35" s="2"/>
      <c r="GRM35" s="2"/>
      <c r="GRN35" s="2"/>
      <c r="GRO35" s="2"/>
      <c r="GRP35" s="2"/>
      <c r="GRQ35" s="2"/>
      <c r="GRR35" s="2"/>
      <c r="GRS35" s="2"/>
      <c r="GRT35" s="2"/>
      <c r="GRU35" s="2"/>
      <c r="GRV35" s="2"/>
      <c r="GRW35" s="2"/>
      <c r="GRX35" s="2"/>
      <c r="GRY35" s="2"/>
      <c r="GRZ35" s="2"/>
      <c r="GSA35" s="2"/>
      <c r="GSB35" s="2"/>
      <c r="GSC35" s="2"/>
      <c r="GSD35" s="2"/>
      <c r="GSE35" s="2"/>
      <c r="GSF35" s="2"/>
      <c r="GSG35" s="2"/>
      <c r="GSH35" s="2"/>
      <c r="GSI35" s="2"/>
      <c r="GSJ35" s="2"/>
      <c r="GSK35" s="2"/>
      <c r="GSL35" s="2"/>
      <c r="GSM35" s="2"/>
      <c r="GSN35" s="2"/>
      <c r="GSO35" s="2"/>
      <c r="GSP35" s="2"/>
      <c r="GSQ35" s="2"/>
      <c r="GSR35" s="2"/>
      <c r="GSS35" s="2"/>
      <c r="GST35" s="2"/>
      <c r="GSU35" s="2"/>
      <c r="GSV35" s="2"/>
      <c r="GSW35" s="2"/>
      <c r="GSX35" s="2"/>
      <c r="GSY35" s="2"/>
      <c r="GSZ35" s="2"/>
      <c r="GTA35" s="2"/>
      <c r="GTB35" s="2"/>
      <c r="GTC35" s="2"/>
      <c r="GTD35" s="2"/>
      <c r="GTE35" s="2"/>
      <c r="GTF35" s="2"/>
      <c r="GTG35" s="2"/>
      <c r="GTH35" s="2"/>
      <c r="GTI35" s="2"/>
      <c r="GTJ35" s="2"/>
      <c r="GTK35" s="2"/>
      <c r="GTL35" s="2"/>
      <c r="GTM35" s="2"/>
      <c r="GTN35" s="2"/>
      <c r="GTO35" s="2"/>
      <c r="GTP35" s="2"/>
      <c r="GTQ35" s="2"/>
      <c r="GTR35" s="2"/>
      <c r="GTS35" s="2"/>
      <c r="GTT35" s="2"/>
      <c r="GTU35" s="2"/>
      <c r="GTV35" s="2"/>
      <c r="GTW35" s="2"/>
      <c r="GTX35" s="2"/>
      <c r="GTY35" s="2"/>
      <c r="GTZ35" s="2"/>
      <c r="GUA35" s="2"/>
      <c r="GUB35" s="2"/>
      <c r="GUC35" s="2"/>
      <c r="GUD35" s="2"/>
      <c r="GUE35" s="2"/>
      <c r="GUF35" s="2"/>
      <c r="GUG35" s="2"/>
      <c r="GUH35" s="2"/>
      <c r="GUI35" s="2"/>
      <c r="GUJ35" s="2"/>
      <c r="GUK35" s="2"/>
      <c r="GUL35" s="2"/>
      <c r="GUM35" s="2"/>
      <c r="GUN35" s="2"/>
      <c r="GUO35" s="2"/>
      <c r="GUP35" s="2"/>
      <c r="GUQ35" s="2"/>
      <c r="GUR35" s="2"/>
      <c r="GUS35" s="2"/>
      <c r="GUT35" s="2"/>
      <c r="GUU35" s="2"/>
      <c r="GUV35" s="2"/>
      <c r="GUW35" s="2"/>
      <c r="GUX35" s="2"/>
      <c r="GUY35" s="2"/>
      <c r="GUZ35" s="2"/>
      <c r="GVA35" s="2"/>
      <c r="GVB35" s="2"/>
      <c r="GVC35" s="2"/>
      <c r="GVD35" s="2"/>
      <c r="GVE35" s="2"/>
      <c r="GVF35" s="2"/>
      <c r="GVG35" s="2"/>
      <c r="GVH35" s="2"/>
      <c r="GVI35" s="2"/>
      <c r="GVJ35" s="2"/>
      <c r="GVK35" s="2"/>
      <c r="GVL35" s="2"/>
      <c r="GVM35" s="2"/>
      <c r="GVN35" s="2"/>
      <c r="GVO35" s="2"/>
      <c r="GVP35" s="2"/>
      <c r="GVQ35" s="2"/>
      <c r="GVR35" s="2"/>
      <c r="GVS35" s="2"/>
      <c r="GVT35" s="2"/>
      <c r="GVU35" s="2"/>
      <c r="GVV35" s="2"/>
      <c r="GVW35" s="2"/>
      <c r="GVX35" s="2"/>
      <c r="GVY35" s="2"/>
      <c r="GVZ35" s="2"/>
      <c r="GWA35" s="2"/>
      <c r="GWB35" s="2"/>
      <c r="GWC35" s="2"/>
      <c r="GWD35" s="2"/>
      <c r="GWE35" s="2"/>
      <c r="GWF35" s="2"/>
      <c r="GWG35" s="2"/>
      <c r="GWH35" s="2"/>
      <c r="GWI35" s="2"/>
      <c r="GWJ35" s="2"/>
      <c r="GWK35" s="2"/>
      <c r="GWL35" s="2"/>
      <c r="GWM35" s="2"/>
      <c r="GWN35" s="2"/>
      <c r="GWO35" s="2"/>
      <c r="GWP35" s="2"/>
      <c r="GWQ35" s="2"/>
      <c r="GWR35" s="2"/>
      <c r="GWS35" s="2"/>
      <c r="GWT35" s="2"/>
      <c r="GWU35" s="2"/>
      <c r="GWV35" s="2"/>
      <c r="GWW35" s="2"/>
      <c r="GWX35" s="2"/>
      <c r="GWY35" s="2"/>
      <c r="GWZ35" s="2"/>
      <c r="GXA35" s="2"/>
      <c r="GXB35" s="2"/>
      <c r="GXC35" s="2"/>
      <c r="GXD35" s="2"/>
      <c r="GXE35" s="2"/>
      <c r="GXF35" s="2"/>
      <c r="GXG35" s="2"/>
      <c r="GXH35" s="2"/>
      <c r="GXI35" s="2"/>
      <c r="GXJ35" s="2"/>
      <c r="GXK35" s="2"/>
      <c r="GXL35" s="2"/>
      <c r="GXM35" s="2"/>
      <c r="GXN35" s="2"/>
      <c r="GXO35" s="2"/>
      <c r="GXP35" s="2"/>
      <c r="GXQ35" s="2"/>
      <c r="GXR35" s="2"/>
      <c r="GXS35" s="2"/>
      <c r="GXT35" s="2"/>
      <c r="GXU35" s="2"/>
      <c r="GXV35" s="2"/>
      <c r="GXW35" s="2"/>
      <c r="GXX35" s="2"/>
      <c r="GXY35" s="2"/>
      <c r="GXZ35" s="2"/>
      <c r="GYA35" s="2"/>
      <c r="GYB35" s="2"/>
      <c r="GYC35" s="2"/>
      <c r="GYD35" s="2"/>
      <c r="GYE35" s="2"/>
      <c r="GYF35" s="2"/>
      <c r="GYG35" s="2"/>
      <c r="GYH35" s="2"/>
      <c r="GYI35" s="2"/>
      <c r="GYJ35" s="2"/>
      <c r="GYK35" s="2"/>
      <c r="GYL35" s="2"/>
      <c r="GYM35" s="2"/>
      <c r="GYN35" s="2"/>
      <c r="GYO35" s="2"/>
      <c r="GYP35" s="2"/>
      <c r="GYQ35" s="2"/>
      <c r="GYR35" s="2"/>
      <c r="GYS35" s="2"/>
      <c r="GYT35" s="2"/>
      <c r="GYU35" s="2"/>
      <c r="GYV35" s="2"/>
      <c r="GYW35" s="2"/>
      <c r="GYX35" s="2"/>
      <c r="GYY35" s="2"/>
      <c r="GYZ35" s="2"/>
      <c r="GZA35" s="2"/>
      <c r="GZB35" s="2"/>
      <c r="GZC35" s="2"/>
      <c r="GZD35" s="2"/>
      <c r="GZE35" s="2"/>
      <c r="GZF35" s="2"/>
      <c r="GZG35" s="2"/>
      <c r="GZH35" s="2"/>
      <c r="GZI35" s="2"/>
      <c r="GZJ35" s="2"/>
      <c r="GZK35" s="2"/>
      <c r="GZL35" s="2"/>
      <c r="GZM35" s="2"/>
      <c r="GZN35" s="2"/>
      <c r="GZO35" s="2"/>
      <c r="GZP35" s="2"/>
      <c r="GZQ35" s="2"/>
      <c r="GZR35" s="2"/>
      <c r="GZS35" s="2"/>
      <c r="GZT35" s="2"/>
      <c r="GZU35" s="2"/>
      <c r="GZV35" s="2"/>
      <c r="GZW35" s="2"/>
      <c r="GZX35" s="2"/>
      <c r="GZY35" s="2"/>
      <c r="GZZ35" s="2"/>
      <c r="HAA35" s="2"/>
      <c r="HAB35" s="2"/>
      <c r="HAC35" s="2"/>
      <c r="HAD35" s="2"/>
      <c r="HAE35" s="2"/>
      <c r="HAF35" s="2"/>
      <c r="HAG35" s="2"/>
      <c r="HAH35" s="2"/>
      <c r="HAI35" s="2"/>
      <c r="HAJ35" s="2"/>
      <c r="HAK35" s="2"/>
      <c r="HAL35" s="2"/>
      <c r="HAM35" s="2"/>
      <c r="HAN35" s="2"/>
      <c r="HAO35" s="2"/>
      <c r="HAP35" s="2"/>
      <c r="HAQ35" s="2"/>
      <c r="HAR35" s="2"/>
      <c r="HAS35" s="2"/>
      <c r="HAT35" s="2"/>
      <c r="HAU35" s="2"/>
      <c r="HAV35" s="2"/>
      <c r="HAW35" s="2"/>
      <c r="HAX35" s="2"/>
      <c r="HAY35" s="2"/>
      <c r="HAZ35" s="2"/>
      <c r="HBA35" s="2"/>
      <c r="HBB35" s="2"/>
      <c r="HBC35" s="2"/>
      <c r="HBD35" s="2"/>
      <c r="HBE35" s="2"/>
      <c r="HBF35" s="2"/>
      <c r="HBG35" s="2"/>
      <c r="HBH35" s="2"/>
      <c r="HBI35" s="2"/>
      <c r="HBJ35" s="2"/>
      <c r="HBK35" s="2"/>
      <c r="HBL35" s="2"/>
      <c r="HBM35" s="2"/>
      <c r="HBN35" s="2"/>
      <c r="HBO35" s="2"/>
      <c r="HBP35" s="2"/>
      <c r="HBQ35" s="2"/>
      <c r="HBR35" s="2"/>
      <c r="HBS35" s="2"/>
      <c r="HBT35" s="2"/>
      <c r="HBU35" s="2"/>
      <c r="HBV35" s="2"/>
      <c r="HBW35" s="2"/>
      <c r="HBX35" s="2"/>
      <c r="HBY35" s="2"/>
      <c r="HBZ35" s="2"/>
      <c r="HCA35" s="2"/>
      <c r="HCB35" s="2"/>
      <c r="HCC35" s="2"/>
      <c r="HCD35" s="2"/>
      <c r="HCE35" s="2"/>
      <c r="HCF35" s="2"/>
      <c r="HCG35" s="2"/>
      <c r="HCH35" s="2"/>
      <c r="HCI35" s="2"/>
      <c r="HCJ35" s="2"/>
      <c r="HCK35" s="2"/>
      <c r="HCL35" s="2"/>
      <c r="HCM35" s="2"/>
      <c r="HCN35" s="2"/>
      <c r="HCO35" s="2"/>
      <c r="HCP35" s="2"/>
      <c r="HCQ35" s="2"/>
      <c r="HCR35" s="2"/>
      <c r="HCS35" s="2"/>
      <c r="HCT35" s="2"/>
      <c r="HCU35" s="2"/>
      <c r="HCV35" s="2"/>
      <c r="HCW35" s="2"/>
      <c r="HCX35" s="2"/>
      <c r="HCY35" s="2"/>
      <c r="HCZ35" s="2"/>
      <c r="HDA35" s="2"/>
      <c r="HDB35" s="2"/>
      <c r="HDC35" s="2"/>
      <c r="HDD35" s="2"/>
      <c r="HDE35" s="2"/>
      <c r="HDF35" s="2"/>
      <c r="HDG35" s="2"/>
      <c r="HDH35" s="2"/>
      <c r="HDI35" s="2"/>
      <c r="HDJ35" s="2"/>
      <c r="HDK35" s="2"/>
      <c r="HDL35" s="2"/>
      <c r="HDM35" s="2"/>
      <c r="HDN35" s="2"/>
      <c r="HDO35" s="2"/>
      <c r="HDP35" s="2"/>
      <c r="HDQ35" s="2"/>
      <c r="HDR35" s="2"/>
      <c r="HDS35" s="2"/>
      <c r="HDT35" s="2"/>
      <c r="HDU35" s="2"/>
      <c r="HDV35" s="2"/>
      <c r="HDW35" s="2"/>
      <c r="HDX35" s="2"/>
      <c r="HDY35" s="2"/>
      <c r="HDZ35" s="2"/>
      <c r="HEA35" s="2"/>
      <c r="HEB35" s="2"/>
      <c r="HEC35" s="2"/>
      <c r="HED35" s="2"/>
      <c r="HEE35" s="2"/>
      <c r="HEF35" s="2"/>
      <c r="HEG35" s="2"/>
      <c r="HEH35" s="2"/>
      <c r="HEI35" s="2"/>
      <c r="HEJ35" s="2"/>
      <c r="HEK35" s="2"/>
      <c r="HEL35" s="2"/>
      <c r="HEM35" s="2"/>
      <c r="HEN35" s="2"/>
      <c r="HEO35" s="2"/>
      <c r="HEP35" s="2"/>
      <c r="HEQ35" s="2"/>
      <c r="HER35" s="2"/>
      <c r="HES35" s="2"/>
      <c r="HET35" s="2"/>
      <c r="HEU35" s="2"/>
      <c r="HEV35" s="2"/>
      <c r="HEW35" s="2"/>
      <c r="HEX35" s="2"/>
      <c r="HEY35" s="2"/>
      <c r="HEZ35" s="2"/>
      <c r="HFA35" s="2"/>
      <c r="HFB35" s="2"/>
      <c r="HFC35" s="2"/>
      <c r="HFD35" s="2"/>
      <c r="HFE35" s="2"/>
      <c r="HFF35" s="2"/>
      <c r="HFG35" s="2"/>
      <c r="HFH35" s="2"/>
      <c r="HFI35" s="2"/>
      <c r="HFJ35" s="2"/>
      <c r="HFK35" s="2"/>
      <c r="HFL35" s="2"/>
      <c r="HFM35" s="2"/>
      <c r="HFN35" s="2"/>
      <c r="HFO35" s="2"/>
      <c r="HFP35" s="2"/>
      <c r="HFQ35" s="2"/>
      <c r="HFR35" s="2"/>
      <c r="HFS35" s="2"/>
      <c r="HFT35" s="2"/>
      <c r="HFU35" s="2"/>
      <c r="HFV35" s="2"/>
      <c r="HFW35" s="2"/>
      <c r="HFX35" s="2"/>
      <c r="HFY35" s="2"/>
      <c r="HFZ35" s="2"/>
      <c r="HGA35" s="2"/>
      <c r="HGB35" s="2"/>
      <c r="HGC35" s="2"/>
      <c r="HGD35" s="2"/>
      <c r="HGE35" s="2"/>
      <c r="HGF35" s="2"/>
      <c r="HGG35" s="2"/>
      <c r="HGH35" s="2"/>
      <c r="HGI35" s="2"/>
      <c r="HGJ35" s="2"/>
      <c r="HGK35" s="2"/>
      <c r="HGL35" s="2"/>
      <c r="HGM35" s="2"/>
      <c r="HGN35" s="2"/>
      <c r="HGO35" s="2"/>
      <c r="HGP35" s="2"/>
      <c r="HGQ35" s="2"/>
      <c r="HGR35" s="2"/>
      <c r="HGS35" s="2"/>
      <c r="HGT35" s="2"/>
      <c r="HGU35" s="2"/>
      <c r="HGV35" s="2"/>
      <c r="HGW35" s="2"/>
      <c r="HGX35" s="2"/>
      <c r="HGY35" s="2"/>
      <c r="HGZ35" s="2"/>
      <c r="HHA35" s="2"/>
      <c r="HHB35" s="2"/>
      <c r="HHC35" s="2"/>
      <c r="HHD35" s="2"/>
      <c r="HHE35" s="2"/>
      <c r="HHF35" s="2"/>
      <c r="HHG35" s="2"/>
      <c r="HHH35" s="2"/>
      <c r="HHI35" s="2"/>
      <c r="HHJ35" s="2"/>
      <c r="HHK35" s="2"/>
      <c r="HHL35" s="2"/>
      <c r="HHM35" s="2"/>
      <c r="HHN35" s="2"/>
      <c r="HHO35" s="2"/>
      <c r="HHP35" s="2"/>
      <c r="HHQ35" s="2"/>
      <c r="HHR35" s="2"/>
      <c r="HHS35" s="2"/>
      <c r="HHT35" s="2"/>
      <c r="HHU35" s="2"/>
      <c r="HHV35" s="2"/>
      <c r="HHW35" s="2"/>
      <c r="HHX35" s="2"/>
      <c r="HHY35" s="2"/>
      <c r="HHZ35" s="2"/>
      <c r="HIA35" s="2"/>
      <c r="HIB35" s="2"/>
      <c r="HIC35" s="2"/>
      <c r="HID35" s="2"/>
      <c r="HIE35" s="2"/>
      <c r="HIF35" s="2"/>
      <c r="HIG35" s="2"/>
      <c r="HIH35" s="2"/>
      <c r="HII35" s="2"/>
      <c r="HIJ35" s="2"/>
      <c r="HIK35" s="2"/>
      <c r="HIL35" s="2"/>
      <c r="HIM35" s="2"/>
      <c r="HIN35" s="2"/>
      <c r="HIO35" s="2"/>
      <c r="HIP35" s="2"/>
      <c r="HIQ35" s="2"/>
      <c r="HIR35" s="2"/>
      <c r="HIS35" s="2"/>
      <c r="HIT35" s="2"/>
      <c r="HIU35" s="2"/>
      <c r="HIV35" s="2"/>
      <c r="HIW35" s="2"/>
      <c r="HIX35" s="2"/>
      <c r="HIY35" s="2"/>
      <c r="HIZ35" s="2"/>
      <c r="HJA35" s="2"/>
      <c r="HJB35" s="2"/>
      <c r="HJC35" s="2"/>
      <c r="HJD35" s="2"/>
      <c r="HJE35" s="2"/>
      <c r="HJF35" s="2"/>
      <c r="HJG35" s="2"/>
      <c r="HJH35" s="2"/>
      <c r="HJI35" s="2"/>
      <c r="HJJ35" s="2"/>
      <c r="HJK35" s="2"/>
      <c r="HJL35" s="2"/>
      <c r="HJM35" s="2"/>
      <c r="HJN35" s="2"/>
      <c r="HJO35" s="2"/>
      <c r="HJP35" s="2"/>
      <c r="HJQ35" s="2"/>
      <c r="HJR35" s="2"/>
      <c r="HJS35" s="2"/>
      <c r="HJT35" s="2"/>
      <c r="HJU35" s="2"/>
      <c r="HJV35" s="2"/>
      <c r="HJW35" s="2"/>
      <c r="HJX35" s="2"/>
      <c r="HJY35" s="2"/>
      <c r="HJZ35" s="2"/>
      <c r="HKA35" s="2"/>
      <c r="HKB35" s="2"/>
      <c r="HKC35" s="2"/>
      <c r="HKD35" s="2"/>
      <c r="HKE35" s="2"/>
      <c r="HKF35" s="2"/>
      <c r="HKG35" s="2"/>
      <c r="HKH35" s="2"/>
      <c r="HKI35" s="2"/>
      <c r="HKJ35" s="2"/>
      <c r="HKK35" s="2"/>
      <c r="HKL35" s="2"/>
      <c r="HKM35" s="2"/>
      <c r="HKN35" s="2"/>
      <c r="HKO35" s="2"/>
      <c r="HKP35" s="2"/>
      <c r="HKQ35" s="2"/>
      <c r="HKR35" s="2"/>
      <c r="HKS35" s="2"/>
      <c r="HKT35" s="2"/>
      <c r="HKU35" s="2"/>
      <c r="HKV35" s="2"/>
      <c r="HKW35" s="2"/>
      <c r="HKX35" s="2"/>
      <c r="HKY35" s="2"/>
      <c r="HKZ35" s="2"/>
      <c r="HLA35" s="2"/>
      <c r="HLB35" s="2"/>
      <c r="HLC35" s="2"/>
      <c r="HLD35" s="2"/>
      <c r="HLE35" s="2"/>
      <c r="HLF35" s="2"/>
      <c r="HLG35" s="2"/>
      <c r="HLH35" s="2"/>
      <c r="HLI35" s="2"/>
      <c r="HLJ35" s="2"/>
      <c r="HLK35" s="2"/>
      <c r="HLL35" s="2"/>
      <c r="HLM35" s="2"/>
      <c r="HLN35" s="2"/>
      <c r="HLO35" s="2"/>
      <c r="HLP35" s="2"/>
      <c r="HLQ35" s="2"/>
      <c r="HLR35" s="2"/>
      <c r="HLS35" s="2"/>
      <c r="HLT35" s="2"/>
      <c r="HLU35" s="2"/>
      <c r="HLV35" s="2"/>
      <c r="HLW35" s="2"/>
      <c r="HLX35" s="2"/>
      <c r="HLY35" s="2"/>
      <c r="HLZ35" s="2"/>
      <c r="HMA35" s="2"/>
      <c r="HMB35" s="2"/>
      <c r="HMC35" s="2"/>
      <c r="HMD35" s="2"/>
      <c r="HME35" s="2"/>
      <c r="HMF35" s="2"/>
      <c r="HMG35" s="2"/>
      <c r="HMH35" s="2"/>
      <c r="HMI35" s="2"/>
      <c r="HMJ35" s="2"/>
      <c r="HMK35" s="2"/>
      <c r="HML35" s="2"/>
      <c r="HMM35" s="2"/>
      <c r="HMN35" s="2"/>
      <c r="HMO35" s="2"/>
      <c r="HMP35" s="2"/>
      <c r="HMQ35" s="2"/>
      <c r="HMR35" s="2"/>
      <c r="HMS35" s="2"/>
      <c r="HMT35" s="2"/>
      <c r="HMU35" s="2"/>
      <c r="HMV35" s="2"/>
      <c r="HMW35" s="2"/>
      <c r="HMX35" s="2"/>
      <c r="HMY35" s="2"/>
      <c r="HMZ35" s="2"/>
      <c r="HNA35" s="2"/>
      <c r="HNB35" s="2"/>
      <c r="HNC35" s="2"/>
      <c r="HND35" s="2"/>
      <c r="HNE35" s="2"/>
      <c r="HNF35" s="2"/>
      <c r="HNG35" s="2"/>
      <c r="HNH35" s="2"/>
      <c r="HNI35" s="2"/>
      <c r="HNJ35" s="2"/>
      <c r="HNK35" s="2"/>
      <c r="HNL35" s="2"/>
      <c r="HNM35" s="2"/>
      <c r="HNN35" s="2"/>
      <c r="HNO35" s="2"/>
      <c r="HNP35" s="2"/>
      <c r="HNQ35" s="2"/>
      <c r="HNR35" s="2"/>
      <c r="HNS35" s="2"/>
      <c r="HNT35" s="2"/>
      <c r="HNU35" s="2"/>
      <c r="HNV35" s="2"/>
      <c r="HNW35" s="2"/>
      <c r="HNX35" s="2"/>
      <c r="HNY35" s="2"/>
      <c r="HNZ35" s="2"/>
      <c r="HOA35" s="2"/>
      <c r="HOB35" s="2"/>
      <c r="HOC35" s="2"/>
      <c r="HOD35" s="2"/>
      <c r="HOE35" s="2"/>
      <c r="HOF35" s="2"/>
      <c r="HOG35" s="2"/>
      <c r="HOH35" s="2"/>
      <c r="HOI35" s="2"/>
      <c r="HOJ35" s="2"/>
      <c r="HOK35" s="2"/>
      <c r="HOL35" s="2"/>
      <c r="HOM35" s="2"/>
      <c r="HON35" s="2"/>
      <c r="HOO35" s="2"/>
      <c r="HOP35" s="2"/>
      <c r="HOQ35" s="2"/>
      <c r="HOR35" s="2"/>
      <c r="HOS35" s="2"/>
      <c r="HOT35" s="2"/>
      <c r="HOU35" s="2"/>
      <c r="HOV35" s="2"/>
      <c r="HOW35" s="2"/>
      <c r="HOX35" s="2"/>
      <c r="HOY35" s="2"/>
      <c r="HOZ35" s="2"/>
      <c r="HPA35" s="2"/>
      <c r="HPB35" s="2"/>
      <c r="HPC35" s="2"/>
      <c r="HPD35" s="2"/>
      <c r="HPE35" s="2"/>
      <c r="HPF35" s="2"/>
      <c r="HPG35" s="2"/>
      <c r="HPH35" s="2"/>
      <c r="HPI35" s="2"/>
      <c r="HPJ35" s="2"/>
      <c r="HPK35" s="2"/>
      <c r="HPL35" s="2"/>
      <c r="HPM35" s="2"/>
      <c r="HPN35" s="2"/>
      <c r="HPO35" s="2"/>
      <c r="HPP35" s="2"/>
      <c r="HPQ35" s="2"/>
      <c r="HPR35" s="2"/>
      <c r="HPS35" s="2"/>
      <c r="HPT35" s="2"/>
      <c r="HPU35" s="2"/>
      <c r="HPV35" s="2"/>
      <c r="HPW35" s="2"/>
      <c r="HPX35" s="2"/>
      <c r="HPY35" s="2"/>
      <c r="HPZ35" s="2"/>
      <c r="HQA35" s="2"/>
      <c r="HQB35" s="2"/>
      <c r="HQC35" s="2"/>
      <c r="HQD35" s="2"/>
      <c r="HQE35" s="2"/>
      <c r="HQF35" s="2"/>
      <c r="HQG35" s="2"/>
      <c r="HQH35" s="2"/>
      <c r="HQI35" s="2"/>
      <c r="HQJ35" s="2"/>
      <c r="HQK35" s="2"/>
      <c r="HQL35" s="2"/>
      <c r="HQM35" s="2"/>
      <c r="HQN35" s="2"/>
      <c r="HQO35" s="2"/>
      <c r="HQP35" s="2"/>
      <c r="HQQ35" s="2"/>
      <c r="HQR35" s="2"/>
      <c r="HQS35" s="2"/>
      <c r="HQT35" s="2"/>
      <c r="HQU35" s="2"/>
      <c r="HQV35" s="2"/>
      <c r="HQW35" s="2"/>
      <c r="HQX35" s="2"/>
      <c r="HQY35" s="2"/>
      <c r="HQZ35" s="2"/>
      <c r="HRA35" s="2"/>
      <c r="HRB35" s="2"/>
      <c r="HRC35" s="2"/>
      <c r="HRD35" s="2"/>
      <c r="HRE35" s="2"/>
      <c r="HRF35" s="2"/>
      <c r="HRG35" s="2"/>
      <c r="HRH35" s="2"/>
      <c r="HRI35" s="2"/>
      <c r="HRJ35" s="2"/>
      <c r="HRK35" s="2"/>
      <c r="HRL35" s="2"/>
      <c r="HRM35" s="2"/>
      <c r="HRN35" s="2"/>
      <c r="HRO35" s="2"/>
      <c r="HRP35" s="2"/>
      <c r="HRQ35" s="2"/>
      <c r="HRR35" s="2"/>
      <c r="HRS35" s="2"/>
      <c r="HRT35" s="2"/>
      <c r="HRU35" s="2"/>
      <c r="HRV35" s="2"/>
      <c r="HRW35" s="2"/>
      <c r="HRX35" s="2"/>
      <c r="HRY35" s="2"/>
      <c r="HRZ35" s="2"/>
      <c r="HSA35" s="2"/>
      <c r="HSB35" s="2"/>
      <c r="HSC35" s="2"/>
      <c r="HSD35" s="2"/>
      <c r="HSE35" s="2"/>
      <c r="HSF35" s="2"/>
      <c r="HSG35" s="2"/>
      <c r="HSH35" s="2"/>
      <c r="HSI35" s="2"/>
      <c r="HSJ35" s="2"/>
      <c r="HSK35" s="2"/>
      <c r="HSL35" s="2"/>
      <c r="HSM35" s="2"/>
      <c r="HSN35" s="2"/>
      <c r="HSO35" s="2"/>
      <c r="HSP35" s="2"/>
      <c r="HSQ35" s="2"/>
      <c r="HSR35" s="2"/>
      <c r="HSS35" s="2"/>
      <c r="HST35" s="2"/>
      <c r="HSU35" s="2"/>
      <c r="HSV35" s="2"/>
      <c r="HSW35" s="2"/>
      <c r="HSX35" s="2"/>
      <c r="HSY35" s="2"/>
      <c r="HSZ35" s="2"/>
      <c r="HTA35" s="2"/>
      <c r="HTB35" s="2"/>
      <c r="HTC35" s="2"/>
      <c r="HTD35" s="2"/>
      <c r="HTE35" s="2"/>
      <c r="HTF35" s="2"/>
      <c r="HTG35" s="2"/>
      <c r="HTH35" s="2"/>
      <c r="HTI35" s="2"/>
      <c r="HTJ35" s="2"/>
      <c r="HTK35" s="2"/>
      <c r="HTL35" s="2"/>
      <c r="HTM35" s="2"/>
      <c r="HTN35" s="2"/>
      <c r="HTO35" s="2"/>
      <c r="HTP35" s="2"/>
      <c r="HTQ35" s="2"/>
      <c r="HTR35" s="2"/>
      <c r="HTS35" s="2"/>
      <c r="HTT35" s="2"/>
      <c r="HTU35" s="2"/>
      <c r="HTV35" s="2"/>
      <c r="HTW35" s="2"/>
      <c r="HTX35" s="2"/>
      <c r="HTY35" s="2"/>
      <c r="HTZ35" s="2"/>
      <c r="HUA35" s="2"/>
      <c r="HUB35" s="2"/>
      <c r="HUC35" s="2"/>
      <c r="HUD35" s="2"/>
      <c r="HUE35" s="2"/>
      <c r="HUF35" s="2"/>
      <c r="HUG35" s="2"/>
      <c r="HUH35" s="2"/>
      <c r="HUI35" s="2"/>
      <c r="HUJ35" s="2"/>
      <c r="HUK35" s="2"/>
      <c r="HUL35" s="2"/>
      <c r="HUM35" s="2"/>
      <c r="HUN35" s="2"/>
      <c r="HUO35" s="2"/>
      <c r="HUP35" s="2"/>
      <c r="HUQ35" s="2"/>
      <c r="HUR35" s="2"/>
      <c r="HUS35" s="2"/>
      <c r="HUT35" s="2"/>
      <c r="HUU35" s="2"/>
      <c r="HUV35" s="2"/>
      <c r="HUW35" s="2"/>
      <c r="HUX35" s="2"/>
      <c r="HUY35" s="2"/>
      <c r="HUZ35" s="2"/>
      <c r="HVA35" s="2"/>
      <c r="HVB35" s="2"/>
      <c r="HVC35" s="2"/>
      <c r="HVD35" s="2"/>
      <c r="HVE35" s="2"/>
      <c r="HVF35" s="2"/>
      <c r="HVG35" s="2"/>
      <c r="HVH35" s="2"/>
      <c r="HVI35" s="2"/>
      <c r="HVJ35" s="2"/>
      <c r="HVK35" s="2"/>
      <c r="HVL35" s="2"/>
      <c r="HVM35" s="2"/>
      <c r="HVN35" s="2"/>
      <c r="HVO35" s="2"/>
      <c r="HVP35" s="2"/>
      <c r="HVQ35" s="2"/>
      <c r="HVR35" s="2"/>
      <c r="HVS35" s="2"/>
      <c r="HVT35" s="2"/>
      <c r="HVU35" s="2"/>
      <c r="HVV35" s="2"/>
      <c r="HVW35" s="2"/>
      <c r="HVX35" s="2"/>
      <c r="HVY35" s="2"/>
      <c r="HVZ35" s="2"/>
      <c r="HWA35" s="2"/>
      <c r="HWB35" s="2"/>
      <c r="HWC35" s="2"/>
      <c r="HWD35" s="2"/>
      <c r="HWE35" s="2"/>
      <c r="HWF35" s="2"/>
      <c r="HWG35" s="2"/>
      <c r="HWH35" s="2"/>
      <c r="HWI35" s="2"/>
      <c r="HWJ35" s="2"/>
      <c r="HWK35" s="2"/>
      <c r="HWL35" s="2"/>
      <c r="HWM35" s="2"/>
      <c r="HWN35" s="2"/>
      <c r="HWO35" s="2"/>
      <c r="HWP35" s="2"/>
      <c r="HWQ35" s="2"/>
      <c r="HWR35" s="2"/>
      <c r="HWS35" s="2"/>
      <c r="HWT35" s="2"/>
      <c r="HWU35" s="2"/>
      <c r="HWV35" s="2"/>
      <c r="HWW35" s="2"/>
      <c r="HWX35" s="2"/>
      <c r="HWY35" s="2"/>
      <c r="HWZ35" s="2"/>
      <c r="HXA35" s="2"/>
      <c r="HXB35" s="2"/>
      <c r="HXC35" s="2"/>
      <c r="HXD35" s="2"/>
      <c r="HXE35" s="2"/>
      <c r="HXF35" s="2"/>
      <c r="HXG35" s="2"/>
      <c r="HXH35" s="2"/>
      <c r="HXI35" s="2"/>
      <c r="HXJ35" s="2"/>
      <c r="HXK35" s="2"/>
      <c r="HXL35" s="2"/>
      <c r="HXM35" s="2"/>
      <c r="HXN35" s="2"/>
      <c r="HXO35" s="2"/>
      <c r="HXP35" s="2"/>
      <c r="HXQ35" s="2"/>
      <c r="HXR35" s="2"/>
      <c r="HXS35" s="2"/>
      <c r="HXT35" s="2"/>
      <c r="HXU35" s="2"/>
      <c r="HXV35" s="2"/>
      <c r="HXW35" s="2"/>
      <c r="HXX35" s="2"/>
      <c r="HXY35" s="2"/>
      <c r="HXZ35" s="2"/>
      <c r="HYA35" s="2"/>
      <c r="HYB35" s="2"/>
      <c r="HYC35" s="2"/>
      <c r="HYD35" s="2"/>
      <c r="HYE35" s="2"/>
      <c r="HYF35" s="2"/>
      <c r="HYG35" s="2"/>
      <c r="HYH35" s="2"/>
      <c r="HYI35" s="2"/>
      <c r="HYJ35" s="2"/>
      <c r="HYK35" s="2"/>
      <c r="HYL35" s="2"/>
      <c r="HYM35" s="2"/>
      <c r="HYN35" s="2"/>
      <c r="HYO35" s="2"/>
      <c r="HYP35" s="2"/>
      <c r="HYQ35" s="2"/>
      <c r="HYR35" s="2"/>
      <c r="HYS35" s="2"/>
      <c r="HYT35" s="2"/>
      <c r="HYU35" s="2"/>
      <c r="HYV35" s="2"/>
      <c r="HYW35" s="2"/>
      <c r="HYX35" s="2"/>
      <c r="HYY35" s="2"/>
      <c r="HYZ35" s="2"/>
      <c r="HZA35" s="2"/>
      <c r="HZB35" s="2"/>
      <c r="HZC35" s="2"/>
      <c r="HZD35" s="2"/>
      <c r="HZE35" s="2"/>
      <c r="HZF35" s="2"/>
      <c r="HZG35" s="2"/>
      <c r="HZH35" s="2"/>
      <c r="HZI35" s="2"/>
      <c r="HZJ35" s="2"/>
      <c r="HZK35" s="2"/>
      <c r="HZL35" s="2"/>
      <c r="HZM35" s="2"/>
      <c r="HZN35" s="2"/>
      <c r="HZO35" s="2"/>
      <c r="HZP35" s="2"/>
      <c r="HZQ35" s="2"/>
      <c r="HZR35" s="2"/>
      <c r="HZS35" s="2"/>
      <c r="HZT35" s="2"/>
      <c r="HZU35" s="2"/>
      <c r="HZV35" s="2"/>
      <c r="HZW35" s="2"/>
      <c r="HZX35" s="2"/>
      <c r="HZY35" s="2"/>
      <c r="HZZ35" s="2"/>
      <c r="IAA35" s="2"/>
      <c r="IAB35" s="2"/>
      <c r="IAC35" s="2"/>
      <c r="IAD35" s="2"/>
      <c r="IAE35" s="2"/>
      <c r="IAF35" s="2"/>
      <c r="IAG35" s="2"/>
      <c r="IAH35" s="2"/>
      <c r="IAI35" s="2"/>
      <c r="IAJ35" s="2"/>
      <c r="IAK35" s="2"/>
      <c r="IAL35" s="2"/>
      <c r="IAM35" s="2"/>
      <c r="IAN35" s="2"/>
      <c r="IAO35" s="2"/>
      <c r="IAP35" s="2"/>
      <c r="IAQ35" s="2"/>
      <c r="IAR35" s="2"/>
      <c r="IAS35" s="2"/>
      <c r="IAT35" s="2"/>
      <c r="IAU35" s="2"/>
      <c r="IAV35" s="2"/>
      <c r="IAW35" s="2"/>
      <c r="IAX35" s="2"/>
      <c r="IAY35" s="2"/>
      <c r="IAZ35" s="2"/>
      <c r="IBA35" s="2"/>
      <c r="IBB35" s="2"/>
      <c r="IBC35" s="2"/>
      <c r="IBD35" s="2"/>
      <c r="IBE35" s="2"/>
      <c r="IBF35" s="2"/>
      <c r="IBG35" s="2"/>
      <c r="IBH35" s="2"/>
      <c r="IBI35" s="2"/>
      <c r="IBJ35" s="2"/>
      <c r="IBK35" s="2"/>
      <c r="IBL35" s="2"/>
      <c r="IBM35" s="2"/>
      <c r="IBN35" s="2"/>
      <c r="IBO35" s="2"/>
      <c r="IBP35" s="2"/>
      <c r="IBQ35" s="2"/>
      <c r="IBR35" s="2"/>
      <c r="IBS35" s="2"/>
      <c r="IBT35" s="2"/>
      <c r="IBU35" s="2"/>
      <c r="IBV35" s="2"/>
      <c r="IBW35" s="2"/>
      <c r="IBX35" s="2"/>
      <c r="IBY35" s="2"/>
      <c r="IBZ35" s="2"/>
      <c r="ICA35" s="2"/>
      <c r="ICB35" s="2"/>
      <c r="ICC35" s="2"/>
      <c r="ICD35" s="2"/>
      <c r="ICE35" s="2"/>
      <c r="ICF35" s="2"/>
      <c r="ICG35" s="2"/>
      <c r="ICH35" s="2"/>
      <c r="ICI35" s="2"/>
      <c r="ICJ35" s="2"/>
      <c r="ICK35" s="2"/>
      <c r="ICL35" s="2"/>
      <c r="ICM35" s="2"/>
      <c r="ICN35" s="2"/>
      <c r="ICO35" s="2"/>
      <c r="ICP35" s="2"/>
      <c r="ICQ35" s="2"/>
      <c r="ICR35" s="2"/>
      <c r="ICS35" s="2"/>
      <c r="ICT35" s="2"/>
      <c r="ICU35" s="2"/>
      <c r="ICV35" s="2"/>
      <c r="ICW35" s="2"/>
      <c r="ICX35" s="2"/>
      <c r="ICY35" s="2"/>
      <c r="ICZ35" s="2"/>
      <c r="IDA35" s="2"/>
      <c r="IDB35" s="2"/>
      <c r="IDC35" s="2"/>
      <c r="IDD35" s="2"/>
      <c r="IDE35" s="2"/>
      <c r="IDF35" s="2"/>
      <c r="IDG35" s="2"/>
      <c r="IDH35" s="2"/>
      <c r="IDI35" s="2"/>
      <c r="IDJ35" s="2"/>
      <c r="IDK35" s="2"/>
      <c r="IDL35" s="2"/>
      <c r="IDM35" s="2"/>
      <c r="IDN35" s="2"/>
      <c r="IDO35" s="2"/>
      <c r="IDP35" s="2"/>
      <c r="IDQ35" s="2"/>
      <c r="IDR35" s="2"/>
      <c r="IDS35" s="2"/>
      <c r="IDT35" s="2"/>
      <c r="IDU35" s="2"/>
      <c r="IDV35" s="2"/>
      <c r="IDW35" s="2"/>
      <c r="IDX35" s="2"/>
      <c r="IDY35" s="2"/>
      <c r="IDZ35" s="2"/>
      <c r="IEA35" s="2"/>
      <c r="IEB35" s="2"/>
      <c r="IEC35" s="2"/>
      <c r="IED35" s="2"/>
      <c r="IEE35" s="2"/>
      <c r="IEF35" s="2"/>
      <c r="IEG35" s="2"/>
      <c r="IEH35" s="2"/>
      <c r="IEI35" s="2"/>
      <c r="IEJ35" s="2"/>
      <c r="IEK35" s="2"/>
      <c r="IEL35" s="2"/>
      <c r="IEM35" s="2"/>
      <c r="IEN35" s="2"/>
      <c r="IEO35" s="2"/>
      <c r="IEP35" s="2"/>
      <c r="IEQ35" s="2"/>
      <c r="IER35" s="2"/>
      <c r="IES35" s="2"/>
      <c r="IET35" s="2"/>
      <c r="IEU35" s="2"/>
      <c r="IEV35" s="2"/>
      <c r="IEW35" s="2"/>
      <c r="IEX35" s="2"/>
      <c r="IEY35" s="2"/>
      <c r="IEZ35" s="2"/>
      <c r="IFA35" s="2"/>
      <c r="IFB35" s="2"/>
      <c r="IFC35" s="2"/>
      <c r="IFD35" s="2"/>
      <c r="IFE35" s="2"/>
      <c r="IFF35" s="2"/>
      <c r="IFG35" s="2"/>
      <c r="IFH35" s="2"/>
      <c r="IFI35" s="2"/>
      <c r="IFJ35" s="2"/>
      <c r="IFK35" s="2"/>
      <c r="IFL35" s="2"/>
      <c r="IFM35" s="2"/>
      <c r="IFN35" s="2"/>
      <c r="IFO35" s="2"/>
      <c r="IFP35" s="2"/>
      <c r="IFQ35" s="2"/>
      <c r="IFR35" s="2"/>
      <c r="IFS35" s="2"/>
      <c r="IFT35" s="2"/>
      <c r="IFU35" s="2"/>
      <c r="IFV35" s="2"/>
      <c r="IFW35" s="2"/>
      <c r="IFX35" s="2"/>
      <c r="IFY35" s="2"/>
      <c r="IFZ35" s="2"/>
      <c r="IGA35" s="2"/>
      <c r="IGB35" s="2"/>
      <c r="IGC35" s="2"/>
      <c r="IGD35" s="2"/>
      <c r="IGE35" s="2"/>
      <c r="IGF35" s="2"/>
      <c r="IGG35" s="2"/>
      <c r="IGH35" s="2"/>
      <c r="IGI35" s="2"/>
      <c r="IGJ35" s="2"/>
      <c r="IGK35" s="2"/>
      <c r="IGL35" s="2"/>
      <c r="IGM35" s="2"/>
      <c r="IGN35" s="2"/>
      <c r="IGO35" s="2"/>
      <c r="IGP35" s="2"/>
      <c r="IGQ35" s="2"/>
      <c r="IGR35" s="2"/>
      <c r="IGS35" s="2"/>
      <c r="IGT35" s="2"/>
      <c r="IGU35" s="2"/>
      <c r="IGV35" s="2"/>
      <c r="IGW35" s="2"/>
      <c r="IGX35" s="2"/>
      <c r="IGY35" s="2"/>
      <c r="IGZ35" s="2"/>
      <c r="IHA35" s="2"/>
      <c r="IHB35" s="2"/>
      <c r="IHC35" s="2"/>
      <c r="IHD35" s="2"/>
      <c r="IHE35" s="2"/>
      <c r="IHF35" s="2"/>
      <c r="IHG35" s="2"/>
      <c r="IHH35" s="2"/>
      <c r="IHI35" s="2"/>
      <c r="IHJ35" s="2"/>
      <c r="IHK35" s="2"/>
      <c r="IHL35" s="2"/>
      <c r="IHM35" s="2"/>
      <c r="IHN35" s="2"/>
      <c r="IHO35" s="2"/>
      <c r="IHP35" s="2"/>
      <c r="IHQ35" s="2"/>
      <c r="IHR35" s="2"/>
      <c r="IHS35" s="2"/>
      <c r="IHT35" s="2"/>
      <c r="IHU35" s="2"/>
      <c r="IHV35" s="2"/>
      <c r="IHW35" s="2"/>
      <c r="IHX35" s="2"/>
      <c r="IHY35" s="2"/>
      <c r="IHZ35" s="2"/>
      <c r="IIA35" s="2"/>
      <c r="IIB35" s="2"/>
      <c r="IIC35" s="2"/>
      <c r="IID35" s="2"/>
      <c r="IIE35" s="2"/>
      <c r="IIF35" s="2"/>
      <c r="IIG35" s="2"/>
      <c r="IIH35" s="2"/>
      <c r="III35" s="2"/>
      <c r="IIJ35" s="2"/>
      <c r="IIK35" s="2"/>
      <c r="IIL35" s="2"/>
      <c r="IIM35" s="2"/>
      <c r="IIN35" s="2"/>
      <c r="IIO35" s="2"/>
      <c r="IIP35" s="2"/>
      <c r="IIQ35" s="2"/>
      <c r="IIR35" s="2"/>
      <c r="IIS35" s="2"/>
      <c r="IIT35" s="2"/>
      <c r="IIU35" s="2"/>
      <c r="IIV35" s="2"/>
      <c r="IIW35" s="2"/>
      <c r="IIX35" s="2"/>
      <c r="IIY35" s="2"/>
      <c r="IIZ35" s="2"/>
      <c r="IJA35" s="2"/>
      <c r="IJB35" s="2"/>
      <c r="IJC35" s="2"/>
      <c r="IJD35" s="2"/>
      <c r="IJE35" s="2"/>
      <c r="IJF35" s="2"/>
      <c r="IJG35" s="2"/>
      <c r="IJH35" s="2"/>
      <c r="IJI35" s="2"/>
      <c r="IJJ35" s="2"/>
      <c r="IJK35" s="2"/>
      <c r="IJL35" s="2"/>
      <c r="IJM35" s="2"/>
      <c r="IJN35" s="2"/>
      <c r="IJO35" s="2"/>
      <c r="IJP35" s="2"/>
      <c r="IJQ35" s="2"/>
      <c r="IJR35" s="2"/>
      <c r="IJS35" s="2"/>
      <c r="IJT35" s="2"/>
      <c r="IJU35" s="2"/>
      <c r="IJV35" s="2"/>
      <c r="IJW35" s="2"/>
      <c r="IJX35" s="2"/>
      <c r="IJY35" s="2"/>
      <c r="IJZ35" s="2"/>
      <c r="IKA35" s="2"/>
      <c r="IKB35" s="2"/>
      <c r="IKC35" s="2"/>
      <c r="IKD35" s="2"/>
      <c r="IKE35" s="2"/>
      <c r="IKF35" s="2"/>
      <c r="IKG35" s="2"/>
      <c r="IKH35" s="2"/>
      <c r="IKI35" s="2"/>
      <c r="IKJ35" s="2"/>
      <c r="IKK35" s="2"/>
      <c r="IKL35" s="2"/>
      <c r="IKM35" s="2"/>
      <c r="IKN35" s="2"/>
      <c r="IKO35" s="2"/>
      <c r="IKP35" s="2"/>
      <c r="IKQ35" s="2"/>
      <c r="IKR35" s="2"/>
      <c r="IKS35" s="2"/>
      <c r="IKT35" s="2"/>
      <c r="IKU35" s="2"/>
      <c r="IKV35" s="2"/>
      <c r="IKW35" s="2"/>
      <c r="IKX35" s="2"/>
      <c r="IKY35" s="2"/>
      <c r="IKZ35" s="2"/>
      <c r="ILA35" s="2"/>
      <c r="ILB35" s="2"/>
      <c r="ILC35" s="2"/>
      <c r="ILD35" s="2"/>
      <c r="ILE35" s="2"/>
      <c r="ILF35" s="2"/>
      <c r="ILG35" s="2"/>
      <c r="ILH35" s="2"/>
      <c r="ILI35" s="2"/>
      <c r="ILJ35" s="2"/>
      <c r="ILK35" s="2"/>
      <c r="ILL35" s="2"/>
      <c r="ILM35" s="2"/>
      <c r="ILN35" s="2"/>
      <c r="ILO35" s="2"/>
      <c r="ILP35" s="2"/>
      <c r="ILQ35" s="2"/>
      <c r="ILR35" s="2"/>
      <c r="ILS35" s="2"/>
      <c r="ILT35" s="2"/>
      <c r="ILU35" s="2"/>
      <c r="ILV35" s="2"/>
      <c r="ILW35" s="2"/>
      <c r="ILX35" s="2"/>
      <c r="ILY35" s="2"/>
      <c r="ILZ35" s="2"/>
      <c r="IMA35" s="2"/>
      <c r="IMB35" s="2"/>
      <c r="IMC35" s="2"/>
      <c r="IMD35" s="2"/>
      <c r="IME35" s="2"/>
      <c r="IMF35" s="2"/>
      <c r="IMG35" s="2"/>
      <c r="IMH35" s="2"/>
      <c r="IMI35" s="2"/>
      <c r="IMJ35" s="2"/>
      <c r="IMK35" s="2"/>
      <c r="IML35" s="2"/>
      <c r="IMM35" s="2"/>
      <c r="IMN35" s="2"/>
      <c r="IMO35" s="2"/>
      <c r="IMP35" s="2"/>
      <c r="IMQ35" s="2"/>
      <c r="IMR35" s="2"/>
      <c r="IMS35" s="2"/>
      <c r="IMT35" s="2"/>
      <c r="IMU35" s="2"/>
      <c r="IMV35" s="2"/>
      <c r="IMW35" s="2"/>
      <c r="IMX35" s="2"/>
      <c r="IMY35" s="2"/>
      <c r="IMZ35" s="2"/>
      <c r="INA35" s="2"/>
      <c r="INB35" s="2"/>
      <c r="INC35" s="2"/>
      <c r="IND35" s="2"/>
      <c r="INE35" s="2"/>
      <c r="INF35" s="2"/>
      <c r="ING35" s="2"/>
      <c r="INH35" s="2"/>
      <c r="INI35" s="2"/>
      <c r="INJ35" s="2"/>
      <c r="INK35" s="2"/>
      <c r="INL35" s="2"/>
      <c r="INM35" s="2"/>
      <c r="INN35" s="2"/>
      <c r="INO35" s="2"/>
      <c r="INP35" s="2"/>
      <c r="INQ35" s="2"/>
      <c r="INR35" s="2"/>
      <c r="INS35" s="2"/>
      <c r="INT35" s="2"/>
      <c r="INU35" s="2"/>
      <c r="INV35" s="2"/>
      <c r="INW35" s="2"/>
      <c r="INX35" s="2"/>
      <c r="INY35" s="2"/>
      <c r="INZ35" s="2"/>
      <c r="IOA35" s="2"/>
      <c r="IOB35" s="2"/>
      <c r="IOC35" s="2"/>
      <c r="IOD35" s="2"/>
      <c r="IOE35" s="2"/>
      <c r="IOF35" s="2"/>
      <c r="IOG35" s="2"/>
      <c r="IOH35" s="2"/>
      <c r="IOI35" s="2"/>
      <c r="IOJ35" s="2"/>
      <c r="IOK35" s="2"/>
      <c r="IOL35" s="2"/>
      <c r="IOM35" s="2"/>
      <c r="ION35" s="2"/>
      <c r="IOO35" s="2"/>
      <c r="IOP35" s="2"/>
      <c r="IOQ35" s="2"/>
      <c r="IOR35" s="2"/>
      <c r="IOS35" s="2"/>
      <c r="IOT35" s="2"/>
      <c r="IOU35" s="2"/>
      <c r="IOV35" s="2"/>
      <c r="IOW35" s="2"/>
      <c r="IOX35" s="2"/>
      <c r="IOY35" s="2"/>
      <c r="IOZ35" s="2"/>
      <c r="IPA35" s="2"/>
      <c r="IPB35" s="2"/>
      <c r="IPC35" s="2"/>
      <c r="IPD35" s="2"/>
      <c r="IPE35" s="2"/>
      <c r="IPF35" s="2"/>
      <c r="IPG35" s="2"/>
      <c r="IPH35" s="2"/>
      <c r="IPI35" s="2"/>
      <c r="IPJ35" s="2"/>
      <c r="IPK35" s="2"/>
      <c r="IPL35" s="2"/>
      <c r="IPM35" s="2"/>
      <c r="IPN35" s="2"/>
      <c r="IPO35" s="2"/>
      <c r="IPP35" s="2"/>
      <c r="IPQ35" s="2"/>
      <c r="IPR35" s="2"/>
      <c r="IPS35" s="2"/>
      <c r="IPT35" s="2"/>
      <c r="IPU35" s="2"/>
      <c r="IPV35" s="2"/>
      <c r="IPW35" s="2"/>
      <c r="IPX35" s="2"/>
      <c r="IPY35" s="2"/>
      <c r="IPZ35" s="2"/>
      <c r="IQA35" s="2"/>
      <c r="IQB35" s="2"/>
      <c r="IQC35" s="2"/>
      <c r="IQD35" s="2"/>
      <c r="IQE35" s="2"/>
      <c r="IQF35" s="2"/>
      <c r="IQG35" s="2"/>
      <c r="IQH35" s="2"/>
      <c r="IQI35" s="2"/>
      <c r="IQJ35" s="2"/>
      <c r="IQK35" s="2"/>
      <c r="IQL35" s="2"/>
      <c r="IQM35" s="2"/>
      <c r="IQN35" s="2"/>
      <c r="IQO35" s="2"/>
      <c r="IQP35" s="2"/>
      <c r="IQQ35" s="2"/>
      <c r="IQR35" s="2"/>
      <c r="IQS35" s="2"/>
      <c r="IQT35" s="2"/>
      <c r="IQU35" s="2"/>
      <c r="IQV35" s="2"/>
      <c r="IQW35" s="2"/>
      <c r="IQX35" s="2"/>
      <c r="IQY35" s="2"/>
      <c r="IQZ35" s="2"/>
      <c r="IRA35" s="2"/>
      <c r="IRB35" s="2"/>
      <c r="IRC35" s="2"/>
      <c r="IRD35" s="2"/>
      <c r="IRE35" s="2"/>
      <c r="IRF35" s="2"/>
      <c r="IRG35" s="2"/>
      <c r="IRH35" s="2"/>
      <c r="IRI35" s="2"/>
      <c r="IRJ35" s="2"/>
      <c r="IRK35" s="2"/>
      <c r="IRL35" s="2"/>
      <c r="IRM35" s="2"/>
      <c r="IRN35" s="2"/>
      <c r="IRO35" s="2"/>
      <c r="IRP35" s="2"/>
      <c r="IRQ35" s="2"/>
      <c r="IRR35" s="2"/>
      <c r="IRS35" s="2"/>
      <c r="IRT35" s="2"/>
      <c r="IRU35" s="2"/>
      <c r="IRV35" s="2"/>
      <c r="IRW35" s="2"/>
      <c r="IRX35" s="2"/>
      <c r="IRY35" s="2"/>
      <c r="IRZ35" s="2"/>
      <c r="ISA35" s="2"/>
      <c r="ISB35" s="2"/>
      <c r="ISC35" s="2"/>
      <c r="ISD35" s="2"/>
      <c r="ISE35" s="2"/>
      <c r="ISF35" s="2"/>
      <c r="ISG35" s="2"/>
      <c r="ISH35" s="2"/>
      <c r="ISI35" s="2"/>
      <c r="ISJ35" s="2"/>
      <c r="ISK35" s="2"/>
      <c r="ISL35" s="2"/>
      <c r="ISM35" s="2"/>
      <c r="ISN35" s="2"/>
      <c r="ISO35" s="2"/>
      <c r="ISP35" s="2"/>
      <c r="ISQ35" s="2"/>
      <c r="ISR35" s="2"/>
      <c r="ISS35" s="2"/>
      <c r="IST35" s="2"/>
      <c r="ISU35" s="2"/>
      <c r="ISV35" s="2"/>
      <c r="ISW35" s="2"/>
      <c r="ISX35" s="2"/>
      <c r="ISY35" s="2"/>
      <c r="ISZ35" s="2"/>
      <c r="ITA35" s="2"/>
      <c r="ITB35" s="2"/>
      <c r="ITC35" s="2"/>
      <c r="ITD35" s="2"/>
      <c r="ITE35" s="2"/>
      <c r="ITF35" s="2"/>
      <c r="ITG35" s="2"/>
      <c r="ITH35" s="2"/>
      <c r="ITI35" s="2"/>
      <c r="ITJ35" s="2"/>
      <c r="ITK35" s="2"/>
      <c r="ITL35" s="2"/>
      <c r="ITM35" s="2"/>
      <c r="ITN35" s="2"/>
      <c r="ITO35" s="2"/>
      <c r="ITP35" s="2"/>
      <c r="ITQ35" s="2"/>
      <c r="ITR35" s="2"/>
      <c r="ITS35" s="2"/>
      <c r="ITT35" s="2"/>
      <c r="ITU35" s="2"/>
      <c r="ITV35" s="2"/>
      <c r="ITW35" s="2"/>
      <c r="ITX35" s="2"/>
      <c r="ITY35" s="2"/>
      <c r="ITZ35" s="2"/>
      <c r="IUA35" s="2"/>
      <c r="IUB35" s="2"/>
      <c r="IUC35" s="2"/>
      <c r="IUD35" s="2"/>
      <c r="IUE35" s="2"/>
      <c r="IUF35" s="2"/>
      <c r="IUG35" s="2"/>
      <c r="IUH35" s="2"/>
      <c r="IUI35" s="2"/>
      <c r="IUJ35" s="2"/>
      <c r="IUK35" s="2"/>
      <c r="IUL35" s="2"/>
      <c r="IUM35" s="2"/>
      <c r="IUN35" s="2"/>
      <c r="IUO35" s="2"/>
      <c r="IUP35" s="2"/>
      <c r="IUQ35" s="2"/>
      <c r="IUR35" s="2"/>
      <c r="IUS35" s="2"/>
      <c r="IUT35" s="2"/>
      <c r="IUU35" s="2"/>
      <c r="IUV35" s="2"/>
      <c r="IUW35" s="2"/>
      <c r="IUX35" s="2"/>
      <c r="IUY35" s="2"/>
      <c r="IUZ35" s="2"/>
      <c r="IVA35" s="2"/>
      <c r="IVB35" s="2"/>
      <c r="IVC35" s="2"/>
      <c r="IVD35" s="2"/>
      <c r="IVE35" s="2"/>
      <c r="IVF35" s="2"/>
      <c r="IVG35" s="2"/>
      <c r="IVH35" s="2"/>
      <c r="IVI35" s="2"/>
      <c r="IVJ35" s="2"/>
      <c r="IVK35" s="2"/>
      <c r="IVL35" s="2"/>
      <c r="IVM35" s="2"/>
      <c r="IVN35" s="2"/>
      <c r="IVO35" s="2"/>
      <c r="IVP35" s="2"/>
      <c r="IVQ35" s="2"/>
      <c r="IVR35" s="2"/>
      <c r="IVS35" s="2"/>
      <c r="IVT35" s="2"/>
      <c r="IVU35" s="2"/>
      <c r="IVV35" s="2"/>
      <c r="IVW35" s="2"/>
      <c r="IVX35" s="2"/>
      <c r="IVY35" s="2"/>
      <c r="IVZ35" s="2"/>
      <c r="IWA35" s="2"/>
      <c r="IWB35" s="2"/>
      <c r="IWC35" s="2"/>
      <c r="IWD35" s="2"/>
      <c r="IWE35" s="2"/>
      <c r="IWF35" s="2"/>
      <c r="IWG35" s="2"/>
      <c r="IWH35" s="2"/>
      <c r="IWI35" s="2"/>
      <c r="IWJ35" s="2"/>
      <c r="IWK35" s="2"/>
      <c r="IWL35" s="2"/>
      <c r="IWM35" s="2"/>
      <c r="IWN35" s="2"/>
      <c r="IWO35" s="2"/>
      <c r="IWP35" s="2"/>
      <c r="IWQ35" s="2"/>
      <c r="IWR35" s="2"/>
      <c r="IWS35" s="2"/>
      <c r="IWT35" s="2"/>
      <c r="IWU35" s="2"/>
      <c r="IWV35" s="2"/>
      <c r="IWW35" s="2"/>
      <c r="IWX35" s="2"/>
      <c r="IWY35" s="2"/>
      <c r="IWZ35" s="2"/>
      <c r="IXA35" s="2"/>
      <c r="IXB35" s="2"/>
      <c r="IXC35" s="2"/>
      <c r="IXD35" s="2"/>
      <c r="IXE35" s="2"/>
      <c r="IXF35" s="2"/>
      <c r="IXG35" s="2"/>
      <c r="IXH35" s="2"/>
      <c r="IXI35" s="2"/>
      <c r="IXJ35" s="2"/>
      <c r="IXK35" s="2"/>
      <c r="IXL35" s="2"/>
      <c r="IXM35" s="2"/>
      <c r="IXN35" s="2"/>
      <c r="IXO35" s="2"/>
      <c r="IXP35" s="2"/>
      <c r="IXQ35" s="2"/>
      <c r="IXR35" s="2"/>
      <c r="IXS35" s="2"/>
      <c r="IXT35" s="2"/>
      <c r="IXU35" s="2"/>
      <c r="IXV35" s="2"/>
      <c r="IXW35" s="2"/>
      <c r="IXX35" s="2"/>
      <c r="IXY35" s="2"/>
      <c r="IXZ35" s="2"/>
      <c r="IYA35" s="2"/>
      <c r="IYB35" s="2"/>
      <c r="IYC35" s="2"/>
      <c r="IYD35" s="2"/>
      <c r="IYE35" s="2"/>
      <c r="IYF35" s="2"/>
      <c r="IYG35" s="2"/>
      <c r="IYH35" s="2"/>
      <c r="IYI35" s="2"/>
      <c r="IYJ35" s="2"/>
      <c r="IYK35" s="2"/>
      <c r="IYL35" s="2"/>
      <c r="IYM35" s="2"/>
      <c r="IYN35" s="2"/>
      <c r="IYO35" s="2"/>
      <c r="IYP35" s="2"/>
      <c r="IYQ35" s="2"/>
      <c r="IYR35" s="2"/>
      <c r="IYS35" s="2"/>
      <c r="IYT35" s="2"/>
      <c r="IYU35" s="2"/>
      <c r="IYV35" s="2"/>
      <c r="IYW35" s="2"/>
      <c r="IYX35" s="2"/>
      <c r="IYY35" s="2"/>
      <c r="IYZ35" s="2"/>
      <c r="IZA35" s="2"/>
      <c r="IZB35" s="2"/>
      <c r="IZC35" s="2"/>
      <c r="IZD35" s="2"/>
      <c r="IZE35" s="2"/>
      <c r="IZF35" s="2"/>
      <c r="IZG35" s="2"/>
      <c r="IZH35" s="2"/>
      <c r="IZI35" s="2"/>
      <c r="IZJ35" s="2"/>
      <c r="IZK35" s="2"/>
      <c r="IZL35" s="2"/>
      <c r="IZM35" s="2"/>
      <c r="IZN35" s="2"/>
      <c r="IZO35" s="2"/>
      <c r="IZP35" s="2"/>
      <c r="IZQ35" s="2"/>
      <c r="IZR35" s="2"/>
      <c r="IZS35" s="2"/>
      <c r="IZT35" s="2"/>
      <c r="IZU35" s="2"/>
      <c r="IZV35" s="2"/>
      <c r="IZW35" s="2"/>
      <c r="IZX35" s="2"/>
      <c r="IZY35" s="2"/>
      <c r="IZZ35" s="2"/>
      <c r="JAA35" s="2"/>
      <c r="JAB35" s="2"/>
      <c r="JAC35" s="2"/>
      <c r="JAD35" s="2"/>
      <c r="JAE35" s="2"/>
      <c r="JAF35" s="2"/>
      <c r="JAG35" s="2"/>
      <c r="JAH35" s="2"/>
      <c r="JAI35" s="2"/>
      <c r="JAJ35" s="2"/>
      <c r="JAK35" s="2"/>
      <c r="JAL35" s="2"/>
      <c r="JAM35" s="2"/>
      <c r="JAN35" s="2"/>
      <c r="JAO35" s="2"/>
      <c r="JAP35" s="2"/>
      <c r="JAQ35" s="2"/>
      <c r="JAR35" s="2"/>
      <c r="JAS35" s="2"/>
      <c r="JAT35" s="2"/>
      <c r="JAU35" s="2"/>
      <c r="JAV35" s="2"/>
      <c r="JAW35" s="2"/>
      <c r="JAX35" s="2"/>
      <c r="JAY35" s="2"/>
      <c r="JAZ35" s="2"/>
      <c r="JBA35" s="2"/>
      <c r="JBB35" s="2"/>
      <c r="JBC35" s="2"/>
      <c r="JBD35" s="2"/>
      <c r="JBE35" s="2"/>
      <c r="JBF35" s="2"/>
      <c r="JBG35" s="2"/>
      <c r="JBH35" s="2"/>
      <c r="JBI35" s="2"/>
      <c r="JBJ35" s="2"/>
      <c r="JBK35" s="2"/>
      <c r="JBL35" s="2"/>
      <c r="JBM35" s="2"/>
      <c r="JBN35" s="2"/>
      <c r="JBO35" s="2"/>
      <c r="JBP35" s="2"/>
      <c r="JBQ35" s="2"/>
      <c r="JBR35" s="2"/>
      <c r="JBS35" s="2"/>
      <c r="JBT35" s="2"/>
      <c r="JBU35" s="2"/>
      <c r="JBV35" s="2"/>
      <c r="JBW35" s="2"/>
      <c r="JBX35" s="2"/>
      <c r="JBY35" s="2"/>
      <c r="JBZ35" s="2"/>
      <c r="JCA35" s="2"/>
      <c r="JCB35" s="2"/>
      <c r="JCC35" s="2"/>
      <c r="JCD35" s="2"/>
      <c r="JCE35" s="2"/>
      <c r="JCF35" s="2"/>
      <c r="JCG35" s="2"/>
      <c r="JCH35" s="2"/>
      <c r="JCI35" s="2"/>
      <c r="JCJ35" s="2"/>
      <c r="JCK35" s="2"/>
      <c r="JCL35" s="2"/>
      <c r="JCM35" s="2"/>
      <c r="JCN35" s="2"/>
      <c r="JCO35" s="2"/>
      <c r="JCP35" s="2"/>
      <c r="JCQ35" s="2"/>
      <c r="JCR35" s="2"/>
      <c r="JCS35" s="2"/>
      <c r="JCT35" s="2"/>
      <c r="JCU35" s="2"/>
      <c r="JCV35" s="2"/>
      <c r="JCW35" s="2"/>
      <c r="JCX35" s="2"/>
      <c r="JCY35" s="2"/>
      <c r="JCZ35" s="2"/>
      <c r="JDA35" s="2"/>
      <c r="JDB35" s="2"/>
      <c r="JDC35" s="2"/>
      <c r="JDD35" s="2"/>
      <c r="JDE35" s="2"/>
      <c r="JDF35" s="2"/>
      <c r="JDG35" s="2"/>
      <c r="JDH35" s="2"/>
      <c r="JDI35" s="2"/>
      <c r="JDJ35" s="2"/>
      <c r="JDK35" s="2"/>
      <c r="JDL35" s="2"/>
      <c r="JDM35" s="2"/>
      <c r="JDN35" s="2"/>
      <c r="JDO35" s="2"/>
      <c r="JDP35" s="2"/>
      <c r="JDQ35" s="2"/>
      <c r="JDR35" s="2"/>
      <c r="JDS35" s="2"/>
      <c r="JDT35" s="2"/>
      <c r="JDU35" s="2"/>
      <c r="JDV35" s="2"/>
      <c r="JDW35" s="2"/>
      <c r="JDX35" s="2"/>
      <c r="JDY35" s="2"/>
      <c r="JDZ35" s="2"/>
      <c r="JEA35" s="2"/>
      <c r="JEB35" s="2"/>
      <c r="JEC35" s="2"/>
      <c r="JED35" s="2"/>
      <c r="JEE35" s="2"/>
      <c r="JEF35" s="2"/>
      <c r="JEG35" s="2"/>
      <c r="JEH35" s="2"/>
      <c r="JEI35" s="2"/>
      <c r="JEJ35" s="2"/>
      <c r="JEK35" s="2"/>
      <c r="JEL35" s="2"/>
      <c r="JEM35" s="2"/>
      <c r="JEN35" s="2"/>
      <c r="JEO35" s="2"/>
      <c r="JEP35" s="2"/>
      <c r="JEQ35" s="2"/>
      <c r="JER35" s="2"/>
      <c r="JES35" s="2"/>
      <c r="JET35" s="2"/>
      <c r="JEU35" s="2"/>
      <c r="JEV35" s="2"/>
      <c r="JEW35" s="2"/>
      <c r="JEX35" s="2"/>
      <c r="JEY35" s="2"/>
      <c r="JEZ35" s="2"/>
      <c r="JFA35" s="2"/>
      <c r="JFB35" s="2"/>
      <c r="JFC35" s="2"/>
      <c r="JFD35" s="2"/>
      <c r="JFE35" s="2"/>
      <c r="JFF35" s="2"/>
      <c r="JFG35" s="2"/>
      <c r="JFH35" s="2"/>
      <c r="JFI35" s="2"/>
      <c r="JFJ35" s="2"/>
      <c r="JFK35" s="2"/>
      <c r="JFL35" s="2"/>
      <c r="JFM35" s="2"/>
      <c r="JFN35" s="2"/>
      <c r="JFO35" s="2"/>
      <c r="JFP35" s="2"/>
      <c r="JFQ35" s="2"/>
      <c r="JFR35" s="2"/>
      <c r="JFS35" s="2"/>
      <c r="JFT35" s="2"/>
      <c r="JFU35" s="2"/>
      <c r="JFV35" s="2"/>
      <c r="JFW35" s="2"/>
      <c r="JFX35" s="2"/>
      <c r="JFY35" s="2"/>
      <c r="JFZ35" s="2"/>
      <c r="JGA35" s="2"/>
      <c r="JGB35" s="2"/>
      <c r="JGC35" s="2"/>
      <c r="JGD35" s="2"/>
      <c r="JGE35" s="2"/>
      <c r="JGF35" s="2"/>
      <c r="JGG35" s="2"/>
      <c r="JGH35" s="2"/>
      <c r="JGI35" s="2"/>
      <c r="JGJ35" s="2"/>
      <c r="JGK35" s="2"/>
      <c r="JGL35" s="2"/>
      <c r="JGM35" s="2"/>
      <c r="JGN35" s="2"/>
      <c r="JGO35" s="2"/>
      <c r="JGP35" s="2"/>
      <c r="JGQ35" s="2"/>
      <c r="JGR35" s="2"/>
      <c r="JGS35" s="2"/>
      <c r="JGT35" s="2"/>
      <c r="JGU35" s="2"/>
      <c r="JGV35" s="2"/>
      <c r="JGW35" s="2"/>
      <c r="JGX35" s="2"/>
      <c r="JGY35" s="2"/>
      <c r="JGZ35" s="2"/>
      <c r="JHA35" s="2"/>
      <c r="JHB35" s="2"/>
      <c r="JHC35" s="2"/>
      <c r="JHD35" s="2"/>
      <c r="JHE35" s="2"/>
      <c r="JHF35" s="2"/>
      <c r="JHG35" s="2"/>
      <c r="JHH35" s="2"/>
      <c r="JHI35" s="2"/>
      <c r="JHJ35" s="2"/>
      <c r="JHK35" s="2"/>
      <c r="JHL35" s="2"/>
      <c r="JHM35" s="2"/>
      <c r="JHN35" s="2"/>
      <c r="JHO35" s="2"/>
      <c r="JHP35" s="2"/>
      <c r="JHQ35" s="2"/>
      <c r="JHR35" s="2"/>
      <c r="JHS35" s="2"/>
      <c r="JHT35" s="2"/>
      <c r="JHU35" s="2"/>
      <c r="JHV35" s="2"/>
      <c r="JHW35" s="2"/>
      <c r="JHX35" s="2"/>
      <c r="JHY35" s="2"/>
      <c r="JHZ35" s="2"/>
      <c r="JIA35" s="2"/>
      <c r="JIB35" s="2"/>
      <c r="JIC35" s="2"/>
      <c r="JID35" s="2"/>
      <c r="JIE35" s="2"/>
      <c r="JIF35" s="2"/>
      <c r="JIG35" s="2"/>
      <c r="JIH35" s="2"/>
      <c r="JII35" s="2"/>
      <c r="JIJ35" s="2"/>
      <c r="JIK35" s="2"/>
      <c r="JIL35" s="2"/>
      <c r="JIM35" s="2"/>
      <c r="JIN35" s="2"/>
      <c r="JIO35" s="2"/>
      <c r="JIP35" s="2"/>
      <c r="JIQ35" s="2"/>
      <c r="JIR35" s="2"/>
      <c r="JIS35" s="2"/>
      <c r="JIT35" s="2"/>
      <c r="JIU35" s="2"/>
      <c r="JIV35" s="2"/>
      <c r="JIW35" s="2"/>
      <c r="JIX35" s="2"/>
      <c r="JIY35" s="2"/>
      <c r="JIZ35" s="2"/>
      <c r="JJA35" s="2"/>
      <c r="JJB35" s="2"/>
      <c r="JJC35" s="2"/>
      <c r="JJD35" s="2"/>
      <c r="JJE35" s="2"/>
      <c r="JJF35" s="2"/>
      <c r="JJG35" s="2"/>
      <c r="JJH35" s="2"/>
      <c r="JJI35" s="2"/>
      <c r="JJJ35" s="2"/>
      <c r="JJK35" s="2"/>
      <c r="JJL35" s="2"/>
      <c r="JJM35" s="2"/>
      <c r="JJN35" s="2"/>
      <c r="JJO35" s="2"/>
      <c r="JJP35" s="2"/>
      <c r="JJQ35" s="2"/>
      <c r="JJR35" s="2"/>
      <c r="JJS35" s="2"/>
      <c r="JJT35" s="2"/>
      <c r="JJU35" s="2"/>
      <c r="JJV35" s="2"/>
      <c r="JJW35" s="2"/>
      <c r="JJX35" s="2"/>
      <c r="JJY35" s="2"/>
      <c r="JJZ35" s="2"/>
      <c r="JKA35" s="2"/>
      <c r="JKB35" s="2"/>
      <c r="JKC35" s="2"/>
      <c r="JKD35" s="2"/>
      <c r="JKE35" s="2"/>
      <c r="JKF35" s="2"/>
      <c r="JKG35" s="2"/>
      <c r="JKH35" s="2"/>
      <c r="JKI35" s="2"/>
      <c r="JKJ35" s="2"/>
      <c r="JKK35" s="2"/>
      <c r="JKL35" s="2"/>
      <c r="JKM35" s="2"/>
      <c r="JKN35" s="2"/>
      <c r="JKO35" s="2"/>
      <c r="JKP35" s="2"/>
      <c r="JKQ35" s="2"/>
      <c r="JKR35" s="2"/>
      <c r="JKS35" s="2"/>
      <c r="JKT35" s="2"/>
      <c r="JKU35" s="2"/>
      <c r="JKV35" s="2"/>
      <c r="JKW35" s="2"/>
      <c r="JKX35" s="2"/>
      <c r="JKY35" s="2"/>
      <c r="JKZ35" s="2"/>
      <c r="JLA35" s="2"/>
      <c r="JLB35" s="2"/>
      <c r="JLC35" s="2"/>
      <c r="JLD35" s="2"/>
      <c r="JLE35" s="2"/>
      <c r="JLF35" s="2"/>
      <c r="JLG35" s="2"/>
      <c r="JLH35" s="2"/>
      <c r="JLI35" s="2"/>
      <c r="JLJ35" s="2"/>
      <c r="JLK35" s="2"/>
      <c r="JLL35" s="2"/>
      <c r="JLM35" s="2"/>
      <c r="JLN35" s="2"/>
      <c r="JLO35" s="2"/>
      <c r="JLP35" s="2"/>
      <c r="JLQ35" s="2"/>
      <c r="JLR35" s="2"/>
      <c r="JLS35" s="2"/>
      <c r="JLT35" s="2"/>
      <c r="JLU35" s="2"/>
      <c r="JLV35" s="2"/>
      <c r="JLW35" s="2"/>
      <c r="JLX35" s="2"/>
      <c r="JLY35" s="2"/>
      <c r="JLZ35" s="2"/>
      <c r="JMA35" s="2"/>
      <c r="JMB35" s="2"/>
      <c r="JMC35" s="2"/>
      <c r="JMD35" s="2"/>
      <c r="JME35" s="2"/>
      <c r="JMF35" s="2"/>
      <c r="JMG35" s="2"/>
      <c r="JMH35" s="2"/>
      <c r="JMI35" s="2"/>
      <c r="JMJ35" s="2"/>
      <c r="JMK35" s="2"/>
      <c r="JML35" s="2"/>
      <c r="JMM35" s="2"/>
      <c r="JMN35" s="2"/>
      <c r="JMO35" s="2"/>
      <c r="JMP35" s="2"/>
      <c r="JMQ35" s="2"/>
      <c r="JMR35" s="2"/>
      <c r="JMS35" s="2"/>
      <c r="JMT35" s="2"/>
      <c r="JMU35" s="2"/>
      <c r="JMV35" s="2"/>
      <c r="JMW35" s="2"/>
      <c r="JMX35" s="2"/>
      <c r="JMY35" s="2"/>
      <c r="JMZ35" s="2"/>
      <c r="JNA35" s="2"/>
      <c r="JNB35" s="2"/>
      <c r="JNC35" s="2"/>
      <c r="JND35" s="2"/>
      <c r="JNE35" s="2"/>
      <c r="JNF35" s="2"/>
      <c r="JNG35" s="2"/>
      <c r="JNH35" s="2"/>
      <c r="JNI35" s="2"/>
      <c r="JNJ35" s="2"/>
      <c r="JNK35" s="2"/>
      <c r="JNL35" s="2"/>
      <c r="JNM35" s="2"/>
      <c r="JNN35" s="2"/>
      <c r="JNO35" s="2"/>
      <c r="JNP35" s="2"/>
      <c r="JNQ35" s="2"/>
      <c r="JNR35" s="2"/>
      <c r="JNS35" s="2"/>
      <c r="JNT35" s="2"/>
      <c r="JNU35" s="2"/>
      <c r="JNV35" s="2"/>
      <c r="JNW35" s="2"/>
      <c r="JNX35" s="2"/>
      <c r="JNY35" s="2"/>
      <c r="JNZ35" s="2"/>
      <c r="JOA35" s="2"/>
      <c r="JOB35" s="2"/>
      <c r="JOC35" s="2"/>
      <c r="JOD35" s="2"/>
      <c r="JOE35" s="2"/>
      <c r="JOF35" s="2"/>
      <c r="JOG35" s="2"/>
      <c r="JOH35" s="2"/>
      <c r="JOI35" s="2"/>
      <c r="JOJ35" s="2"/>
      <c r="JOK35" s="2"/>
      <c r="JOL35" s="2"/>
      <c r="JOM35" s="2"/>
      <c r="JON35" s="2"/>
      <c r="JOO35" s="2"/>
      <c r="JOP35" s="2"/>
      <c r="JOQ35" s="2"/>
      <c r="JOR35" s="2"/>
      <c r="JOS35" s="2"/>
      <c r="JOT35" s="2"/>
      <c r="JOU35" s="2"/>
      <c r="JOV35" s="2"/>
      <c r="JOW35" s="2"/>
      <c r="JOX35" s="2"/>
      <c r="JOY35" s="2"/>
      <c r="JOZ35" s="2"/>
      <c r="JPA35" s="2"/>
      <c r="JPB35" s="2"/>
      <c r="JPC35" s="2"/>
      <c r="JPD35" s="2"/>
      <c r="JPE35" s="2"/>
      <c r="JPF35" s="2"/>
      <c r="JPG35" s="2"/>
      <c r="JPH35" s="2"/>
      <c r="JPI35" s="2"/>
      <c r="JPJ35" s="2"/>
      <c r="JPK35" s="2"/>
      <c r="JPL35" s="2"/>
      <c r="JPM35" s="2"/>
      <c r="JPN35" s="2"/>
      <c r="JPO35" s="2"/>
      <c r="JPP35" s="2"/>
      <c r="JPQ35" s="2"/>
      <c r="JPR35" s="2"/>
      <c r="JPS35" s="2"/>
      <c r="JPT35" s="2"/>
      <c r="JPU35" s="2"/>
      <c r="JPV35" s="2"/>
      <c r="JPW35" s="2"/>
      <c r="JPX35" s="2"/>
      <c r="JPY35" s="2"/>
      <c r="JPZ35" s="2"/>
      <c r="JQA35" s="2"/>
      <c r="JQB35" s="2"/>
      <c r="JQC35" s="2"/>
      <c r="JQD35" s="2"/>
      <c r="JQE35" s="2"/>
      <c r="JQF35" s="2"/>
      <c r="JQG35" s="2"/>
      <c r="JQH35" s="2"/>
      <c r="JQI35" s="2"/>
      <c r="JQJ35" s="2"/>
      <c r="JQK35" s="2"/>
      <c r="JQL35" s="2"/>
      <c r="JQM35" s="2"/>
      <c r="JQN35" s="2"/>
      <c r="JQO35" s="2"/>
      <c r="JQP35" s="2"/>
      <c r="JQQ35" s="2"/>
      <c r="JQR35" s="2"/>
      <c r="JQS35" s="2"/>
      <c r="JQT35" s="2"/>
      <c r="JQU35" s="2"/>
      <c r="JQV35" s="2"/>
      <c r="JQW35" s="2"/>
      <c r="JQX35" s="2"/>
      <c r="JQY35" s="2"/>
      <c r="JQZ35" s="2"/>
      <c r="JRA35" s="2"/>
      <c r="JRB35" s="2"/>
      <c r="JRC35" s="2"/>
      <c r="JRD35" s="2"/>
      <c r="JRE35" s="2"/>
      <c r="JRF35" s="2"/>
      <c r="JRG35" s="2"/>
      <c r="JRH35" s="2"/>
      <c r="JRI35" s="2"/>
      <c r="JRJ35" s="2"/>
      <c r="JRK35" s="2"/>
      <c r="JRL35" s="2"/>
      <c r="JRM35" s="2"/>
      <c r="JRN35" s="2"/>
      <c r="JRO35" s="2"/>
      <c r="JRP35" s="2"/>
      <c r="JRQ35" s="2"/>
      <c r="JRR35" s="2"/>
      <c r="JRS35" s="2"/>
      <c r="JRT35" s="2"/>
      <c r="JRU35" s="2"/>
      <c r="JRV35" s="2"/>
      <c r="JRW35" s="2"/>
      <c r="JRX35" s="2"/>
      <c r="JRY35" s="2"/>
      <c r="JRZ35" s="2"/>
      <c r="JSA35" s="2"/>
      <c r="JSB35" s="2"/>
      <c r="JSC35" s="2"/>
      <c r="JSD35" s="2"/>
      <c r="JSE35" s="2"/>
      <c r="JSF35" s="2"/>
      <c r="JSG35" s="2"/>
      <c r="JSH35" s="2"/>
      <c r="JSI35" s="2"/>
      <c r="JSJ35" s="2"/>
      <c r="JSK35" s="2"/>
      <c r="JSL35" s="2"/>
      <c r="JSM35" s="2"/>
      <c r="JSN35" s="2"/>
      <c r="JSO35" s="2"/>
      <c r="JSP35" s="2"/>
      <c r="JSQ35" s="2"/>
      <c r="JSR35" s="2"/>
      <c r="JSS35" s="2"/>
      <c r="JST35" s="2"/>
      <c r="JSU35" s="2"/>
      <c r="JSV35" s="2"/>
      <c r="JSW35" s="2"/>
      <c r="JSX35" s="2"/>
      <c r="JSY35" s="2"/>
      <c r="JSZ35" s="2"/>
      <c r="JTA35" s="2"/>
      <c r="JTB35" s="2"/>
      <c r="JTC35" s="2"/>
      <c r="JTD35" s="2"/>
      <c r="JTE35" s="2"/>
      <c r="JTF35" s="2"/>
      <c r="JTG35" s="2"/>
      <c r="JTH35" s="2"/>
      <c r="JTI35" s="2"/>
      <c r="JTJ35" s="2"/>
      <c r="JTK35" s="2"/>
      <c r="JTL35" s="2"/>
      <c r="JTM35" s="2"/>
      <c r="JTN35" s="2"/>
      <c r="JTO35" s="2"/>
      <c r="JTP35" s="2"/>
      <c r="JTQ35" s="2"/>
      <c r="JTR35" s="2"/>
      <c r="JTS35" s="2"/>
      <c r="JTT35" s="2"/>
      <c r="JTU35" s="2"/>
      <c r="JTV35" s="2"/>
      <c r="JTW35" s="2"/>
      <c r="JTX35" s="2"/>
      <c r="JTY35" s="2"/>
      <c r="JTZ35" s="2"/>
      <c r="JUA35" s="2"/>
      <c r="JUB35" s="2"/>
      <c r="JUC35" s="2"/>
      <c r="JUD35" s="2"/>
      <c r="JUE35" s="2"/>
      <c r="JUF35" s="2"/>
      <c r="JUG35" s="2"/>
      <c r="JUH35" s="2"/>
      <c r="JUI35" s="2"/>
      <c r="JUJ35" s="2"/>
      <c r="JUK35" s="2"/>
      <c r="JUL35" s="2"/>
      <c r="JUM35" s="2"/>
      <c r="JUN35" s="2"/>
      <c r="JUO35" s="2"/>
      <c r="JUP35" s="2"/>
      <c r="JUQ35" s="2"/>
      <c r="JUR35" s="2"/>
      <c r="JUS35" s="2"/>
      <c r="JUT35" s="2"/>
      <c r="JUU35" s="2"/>
      <c r="JUV35" s="2"/>
      <c r="JUW35" s="2"/>
      <c r="JUX35" s="2"/>
      <c r="JUY35" s="2"/>
      <c r="JUZ35" s="2"/>
      <c r="JVA35" s="2"/>
      <c r="JVB35" s="2"/>
      <c r="JVC35" s="2"/>
      <c r="JVD35" s="2"/>
      <c r="JVE35" s="2"/>
      <c r="JVF35" s="2"/>
      <c r="JVG35" s="2"/>
      <c r="JVH35" s="2"/>
      <c r="JVI35" s="2"/>
      <c r="JVJ35" s="2"/>
      <c r="JVK35" s="2"/>
      <c r="JVL35" s="2"/>
      <c r="JVM35" s="2"/>
      <c r="JVN35" s="2"/>
      <c r="JVO35" s="2"/>
      <c r="JVP35" s="2"/>
      <c r="JVQ35" s="2"/>
      <c r="JVR35" s="2"/>
      <c r="JVS35" s="2"/>
      <c r="JVT35" s="2"/>
      <c r="JVU35" s="2"/>
      <c r="JVV35" s="2"/>
      <c r="JVW35" s="2"/>
      <c r="JVX35" s="2"/>
      <c r="JVY35" s="2"/>
      <c r="JVZ35" s="2"/>
      <c r="JWA35" s="2"/>
      <c r="JWB35" s="2"/>
      <c r="JWC35" s="2"/>
      <c r="JWD35" s="2"/>
      <c r="JWE35" s="2"/>
      <c r="JWF35" s="2"/>
      <c r="JWG35" s="2"/>
      <c r="JWH35" s="2"/>
      <c r="JWI35" s="2"/>
      <c r="JWJ35" s="2"/>
      <c r="JWK35" s="2"/>
      <c r="JWL35" s="2"/>
      <c r="JWM35" s="2"/>
      <c r="JWN35" s="2"/>
      <c r="JWO35" s="2"/>
      <c r="JWP35" s="2"/>
      <c r="JWQ35" s="2"/>
      <c r="JWR35" s="2"/>
      <c r="JWS35" s="2"/>
      <c r="JWT35" s="2"/>
      <c r="JWU35" s="2"/>
      <c r="JWV35" s="2"/>
      <c r="JWW35" s="2"/>
      <c r="JWX35" s="2"/>
      <c r="JWY35" s="2"/>
      <c r="JWZ35" s="2"/>
      <c r="JXA35" s="2"/>
      <c r="JXB35" s="2"/>
      <c r="JXC35" s="2"/>
      <c r="JXD35" s="2"/>
      <c r="JXE35" s="2"/>
      <c r="JXF35" s="2"/>
      <c r="JXG35" s="2"/>
      <c r="JXH35" s="2"/>
      <c r="JXI35" s="2"/>
      <c r="JXJ35" s="2"/>
      <c r="JXK35" s="2"/>
      <c r="JXL35" s="2"/>
      <c r="JXM35" s="2"/>
      <c r="JXN35" s="2"/>
      <c r="JXO35" s="2"/>
      <c r="JXP35" s="2"/>
      <c r="JXQ35" s="2"/>
      <c r="JXR35" s="2"/>
      <c r="JXS35" s="2"/>
      <c r="JXT35" s="2"/>
      <c r="JXU35" s="2"/>
      <c r="JXV35" s="2"/>
      <c r="JXW35" s="2"/>
      <c r="JXX35" s="2"/>
      <c r="JXY35" s="2"/>
      <c r="JXZ35" s="2"/>
      <c r="JYA35" s="2"/>
      <c r="JYB35" s="2"/>
      <c r="JYC35" s="2"/>
      <c r="JYD35" s="2"/>
      <c r="JYE35" s="2"/>
      <c r="JYF35" s="2"/>
      <c r="JYG35" s="2"/>
      <c r="JYH35" s="2"/>
      <c r="JYI35" s="2"/>
      <c r="JYJ35" s="2"/>
      <c r="JYK35" s="2"/>
      <c r="JYL35" s="2"/>
      <c r="JYM35" s="2"/>
      <c r="JYN35" s="2"/>
      <c r="JYO35" s="2"/>
      <c r="JYP35" s="2"/>
      <c r="JYQ35" s="2"/>
      <c r="JYR35" s="2"/>
      <c r="JYS35" s="2"/>
      <c r="JYT35" s="2"/>
      <c r="JYU35" s="2"/>
      <c r="JYV35" s="2"/>
      <c r="JYW35" s="2"/>
      <c r="JYX35" s="2"/>
      <c r="JYY35" s="2"/>
      <c r="JYZ35" s="2"/>
      <c r="JZA35" s="2"/>
      <c r="JZB35" s="2"/>
      <c r="JZC35" s="2"/>
      <c r="JZD35" s="2"/>
      <c r="JZE35" s="2"/>
      <c r="JZF35" s="2"/>
      <c r="JZG35" s="2"/>
      <c r="JZH35" s="2"/>
      <c r="JZI35" s="2"/>
      <c r="JZJ35" s="2"/>
      <c r="JZK35" s="2"/>
      <c r="JZL35" s="2"/>
      <c r="JZM35" s="2"/>
      <c r="JZN35" s="2"/>
      <c r="JZO35" s="2"/>
      <c r="JZP35" s="2"/>
      <c r="JZQ35" s="2"/>
      <c r="JZR35" s="2"/>
      <c r="JZS35" s="2"/>
      <c r="JZT35" s="2"/>
      <c r="JZU35" s="2"/>
      <c r="JZV35" s="2"/>
      <c r="JZW35" s="2"/>
      <c r="JZX35" s="2"/>
      <c r="JZY35" s="2"/>
      <c r="JZZ35" s="2"/>
      <c r="KAA35" s="2"/>
      <c r="KAB35" s="2"/>
      <c r="KAC35" s="2"/>
      <c r="KAD35" s="2"/>
      <c r="KAE35" s="2"/>
      <c r="KAF35" s="2"/>
      <c r="KAG35" s="2"/>
      <c r="KAH35" s="2"/>
      <c r="KAI35" s="2"/>
      <c r="KAJ35" s="2"/>
      <c r="KAK35" s="2"/>
      <c r="KAL35" s="2"/>
      <c r="KAM35" s="2"/>
      <c r="KAN35" s="2"/>
      <c r="KAO35" s="2"/>
      <c r="KAP35" s="2"/>
      <c r="KAQ35" s="2"/>
      <c r="KAR35" s="2"/>
      <c r="KAS35" s="2"/>
      <c r="KAT35" s="2"/>
      <c r="KAU35" s="2"/>
      <c r="KAV35" s="2"/>
      <c r="KAW35" s="2"/>
      <c r="KAX35" s="2"/>
      <c r="KAY35" s="2"/>
      <c r="KAZ35" s="2"/>
      <c r="KBA35" s="2"/>
      <c r="KBB35" s="2"/>
      <c r="KBC35" s="2"/>
      <c r="KBD35" s="2"/>
      <c r="KBE35" s="2"/>
      <c r="KBF35" s="2"/>
      <c r="KBG35" s="2"/>
      <c r="KBH35" s="2"/>
      <c r="KBI35" s="2"/>
      <c r="KBJ35" s="2"/>
      <c r="KBK35" s="2"/>
      <c r="KBL35" s="2"/>
      <c r="KBM35" s="2"/>
      <c r="KBN35" s="2"/>
      <c r="KBO35" s="2"/>
      <c r="KBP35" s="2"/>
      <c r="KBQ35" s="2"/>
      <c r="KBR35" s="2"/>
      <c r="KBS35" s="2"/>
      <c r="KBT35" s="2"/>
      <c r="KBU35" s="2"/>
      <c r="KBV35" s="2"/>
      <c r="KBW35" s="2"/>
      <c r="KBX35" s="2"/>
      <c r="KBY35" s="2"/>
      <c r="KBZ35" s="2"/>
      <c r="KCA35" s="2"/>
      <c r="KCB35" s="2"/>
      <c r="KCC35" s="2"/>
      <c r="KCD35" s="2"/>
      <c r="KCE35" s="2"/>
      <c r="KCF35" s="2"/>
      <c r="KCG35" s="2"/>
      <c r="KCH35" s="2"/>
      <c r="KCI35" s="2"/>
      <c r="KCJ35" s="2"/>
      <c r="KCK35" s="2"/>
      <c r="KCL35" s="2"/>
      <c r="KCM35" s="2"/>
      <c r="KCN35" s="2"/>
      <c r="KCO35" s="2"/>
      <c r="KCP35" s="2"/>
      <c r="KCQ35" s="2"/>
      <c r="KCR35" s="2"/>
      <c r="KCS35" s="2"/>
      <c r="KCT35" s="2"/>
      <c r="KCU35" s="2"/>
      <c r="KCV35" s="2"/>
      <c r="KCW35" s="2"/>
      <c r="KCX35" s="2"/>
      <c r="KCY35" s="2"/>
      <c r="KCZ35" s="2"/>
      <c r="KDA35" s="2"/>
      <c r="KDB35" s="2"/>
      <c r="KDC35" s="2"/>
      <c r="KDD35" s="2"/>
      <c r="KDE35" s="2"/>
      <c r="KDF35" s="2"/>
      <c r="KDG35" s="2"/>
      <c r="KDH35" s="2"/>
      <c r="KDI35" s="2"/>
      <c r="KDJ35" s="2"/>
      <c r="KDK35" s="2"/>
      <c r="KDL35" s="2"/>
      <c r="KDM35" s="2"/>
      <c r="KDN35" s="2"/>
      <c r="KDO35" s="2"/>
      <c r="KDP35" s="2"/>
      <c r="KDQ35" s="2"/>
      <c r="KDR35" s="2"/>
      <c r="KDS35" s="2"/>
      <c r="KDT35" s="2"/>
      <c r="KDU35" s="2"/>
      <c r="KDV35" s="2"/>
      <c r="KDW35" s="2"/>
      <c r="KDX35" s="2"/>
      <c r="KDY35" s="2"/>
      <c r="KDZ35" s="2"/>
      <c r="KEA35" s="2"/>
      <c r="KEB35" s="2"/>
      <c r="KEC35" s="2"/>
      <c r="KED35" s="2"/>
      <c r="KEE35" s="2"/>
      <c r="KEF35" s="2"/>
      <c r="KEG35" s="2"/>
      <c r="KEH35" s="2"/>
      <c r="KEI35" s="2"/>
      <c r="KEJ35" s="2"/>
      <c r="KEK35" s="2"/>
      <c r="KEL35" s="2"/>
      <c r="KEM35" s="2"/>
      <c r="KEN35" s="2"/>
      <c r="KEO35" s="2"/>
      <c r="KEP35" s="2"/>
      <c r="KEQ35" s="2"/>
      <c r="KER35" s="2"/>
      <c r="KES35" s="2"/>
      <c r="KET35" s="2"/>
      <c r="KEU35" s="2"/>
      <c r="KEV35" s="2"/>
      <c r="KEW35" s="2"/>
      <c r="KEX35" s="2"/>
      <c r="KEY35" s="2"/>
      <c r="KEZ35" s="2"/>
      <c r="KFA35" s="2"/>
      <c r="KFB35" s="2"/>
      <c r="KFC35" s="2"/>
      <c r="KFD35" s="2"/>
      <c r="KFE35" s="2"/>
      <c r="KFF35" s="2"/>
      <c r="KFG35" s="2"/>
      <c r="KFH35" s="2"/>
      <c r="KFI35" s="2"/>
      <c r="KFJ35" s="2"/>
      <c r="KFK35" s="2"/>
      <c r="KFL35" s="2"/>
      <c r="KFM35" s="2"/>
      <c r="KFN35" s="2"/>
      <c r="KFO35" s="2"/>
      <c r="KFP35" s="2"/>
      <c r="KFQ35" s="2"/>
      <c r="KFR35" s="2"/>
      <c r="KFS35" s="2"/>
      <c r="KFT35" s="2"/>
      <c r="KFU35" s="2"/>
      <c r="KFV35" s="2"/>
      <c r="KFW35" s="2"/>
      <c r="KFX35" s="2"/>
      <c r="KFY35" s="2"/>
      <c r="KFZ35" s="2"/>
      <c r="KGA35" s="2"/>
      <c r="KGB35" s="2"/>
      <c r="KGC35" s="2"/>
      <c r="KGD35" s="2"/>
      <c r="KGE35" s="2"/>
      <c r="KGF35" s="2"/>
      <c r="KGG35" s="2"/>
      <c r="KGH35" s="2"/>
      <c r="KGI35" s="2"/>
      <c r="KGJ35" s="2"/>
      <c r="KGK35" s="2"/>
      <c r="KGL35" s="2"/>
      <c r="KGM35" s="2"/>
      <c r="KGN35" s="2"/>
      <c r="KGO35" s="2"/>
      <c r="KGP35" s="2"/>
      <c r="KGQ35" s="2"/>
      <c r="KGR35" s="2"/>
      <c r="KGS35" s="2"/>
      <c r="KGT35" s="2"/>
      <c r="KGU35" s="2"/>
      <c r="KGV35" s="2"/>
      <c r="KGW35" s="2"/>
      <c r="KGX35" s="2"/>
      <c r="KGY35" s="2"/>
      <c r="KGZ35" s="2"/>
      <c r="KHA35" s="2"/>
      <c r="KHB35" s="2"/>
      <c r="KHC35" s="2"/>
      <c r="KHD35" s="2"/>
      <c r="KHE35" s="2"/>
      <c r="KHF35" s="2"/>
      <c r="KHG35" s="2"/>
      <c r="KHH35" s="2"/>
      <c r="KHI35" s="2"/>
      <c r="KHJ35" s="2"/>
      <c r="KHK35" s="2"/>
      <c r="KHL35" s="2"/>
      <c r="KHM35" s="2"/>
      <c r="KHN35" s="2"/>
      <c r="KHO35" s="2"/>
      <c r="KHP35" s="2"/>
      <c r="KHQ35" s="2"/>
      <c r="KHR35" s="2"/>
      <c r="KHS35" s="2"/>
      <c r="KHT35" s="2"/>
      <c r="KHU35" s="2"/>
      <c r="KHV35" s="2"/>
      <c r="KHW35" s="2"/>
      <c r="KHX35" s="2"/>
      <c r="KHY35" s="2"/>
      <c r="KHZ35" s="2"/>
      <c r="KIA35" s="2"/>
      <c r="KIB35" s="2"/>
      <c r="KIC35" s="2"/>
      <c r="KID35" s="2"/>
      <c r="KIE35" s="2"/>
      <c r="KIF35" s="2"/>
      <c r="KIG35" s="2"/>
      <c r="KIH35" s="2"/>
      <c r="KII35" s="2"/>
      <c r="KIJ35" s="2"/>
      <c r="KIK35" s="2"/>
      <c r="KIL35" s="2"/>
      <c r="KIM35" s="2"/>
      <c r="KIN35" s="2"/>
      <c r="KIO35" s="2"/>
      <c r="KIP35" s="2"/>
      <c r="KIQ35" s="2"/>
      <c r="KIR35" s="2"/>
      <c r="KIS35" s="2"/>
      <c r="KIT35" s="2"/>
      <c r="KIU35" s="2"/>
      <c r="KIV35" s="2"/>
      <c r="KIW35" s="2"/>
      <c r="KIX35" s="2"/>
      <c r="KIY35" s="2"/>
      <c r="KIZ35" s="2"/>
      <c r="KJA35" s="2"/>
      <c r="KJB35" s="2"/>
      <c r="KJC35" s="2"/>
      <c r="KJD35" s="2"/>
      <c r="KJE35" s="2"/>
      <c r="KJF35" s="2"/>
      <c r="KJG35" s="2"/>
      <c r="KJH35" s="2"/>
      <c r="KJI35" s="2"/>
      <c r="KJJ35" s="2"/>
      <c r="KJK35" s="2"/>
      <c r="KJL35" s="2"/>
      <c r="KJM35" s="2"/>
      <c r="KJN35" s="2"/>
      <c r="KJO35" s="2"/>
      <c r="KJP35" s="2"/>
      <c r="KJQ35" s="2"/>
      <c r="KJR35" s="2"/>
      <c r="KJS35" s="2"/>
      <c r="KJT35" s="2"/>
      <c r="KJU35" s="2"/>
      <c r="KJV35" s="2"/>
      <c r="KJW35" s="2"/>
      <c r="KJX35" s="2"/>
      <c r="KJY35" s="2"/>
      <c r="KJZ35" s="2"/>
      <c r="KKA35" s="2"/>
      <c r="KKB35" s="2"/>
      <c r="KKC35" s="2"/>
      <c r="KKD35" s="2"/>
      <c r="KKE35" s="2"/>
      <c r="KKF35" s="2"/>
      <c r="KKG35" s="2"/>
      <c r="KKH35" s="2"/>
      <c r="KKI35" s="2"/>
      <c r="KKJ35" s="2"/>
      <c r="KKK35" s="2"/>
      <c r="KKL35" s="2"/>
      <c r="KKM35" s="2"/>
      <c r="KKN35" s="2"/>
      <c r="KKO35" s="2"/>
      <c r="KKP35" s="2"/>
      <c r="KKQ35" s="2"/>
      <c r="KKR35" s="2"/>
      <c r="KKS35" s="2"/>
      <c r="KKT35" s="2"/>
      <c r="KKU35" s="2"/>
      <c r="KKV35" s="2"/>
      <c r="KKW35" s="2"/>
      <c r="KKX35" s="2"/>
      <c r="KKY35" s="2"/>
      <c r="KKZ35" s="2"/>
      <c r="KLA35" s="2"/>
      <c r="KLB35" s="2"/>
      <c r="KLC35" s="2"/>
      <c r="KLD35" s="2"/>
      <c r="KLE35" s="2"/>
      <c r="KLF35" s="2"/>
      <c r="KLG35" s="2"/>
      <c r="KLH35" s="2"/>
      <c r="KLI35" s="2"/>
      <c r="KLJ35" s="2"/>
      <c r="KLK35" s="2"/>
      <c r="KLL35" s="2"/>
      <c r="KLM35" s="2"/>
      <c r="KLN35" s="2"/>
      <c r="KLO35" s="2"/>
      <c r="KLP35" s="2"/>
      <c r="KLQ35" s="2"/>
      <c r="KLR35" s="2"/>
      <c r="KLS35" s="2"/>
      <c r="KLT35" s="2"/>
      <c r="KLU35" s="2"/>
      <c r="KLV35" s="2"/>
      <c r="KLW35" s="2"/>
      <c r="KLX35" s="2"/>
      <c r="KLY35" s="2"/>
      <c r="KLZ35" s="2"/>
      <c r="KMA35" s="2"/>
      <c r="KMB35" s="2"/>
      <c r="KMC35" s="2"/>
      <c r="KMD35" s="2"/>
      <c r="KME35" s="2"/>
      <c r="KMF35" s="2"/>
      <c r="KMG35" s="2"/>
      <c r="KMH35" s="2"/>
      <c r="KMI35" s="2"/>
      <c r="KMJ35" s="2"/>
      <c r="KMK35" s="2"/>
      <c r="KML35" s="2"/>
      <c r="KMM35" s="2"/>
      <c r="KMN35" s="2"/>
      <c r="KMO35" s="2"/>
      <c r="KMP35" s="2"/>
      <c r="KMQ35" s="2"/>
      <c r="KMR35" s="2"/>
      <c r="KMS35" s="2"/>
      <c r="KMT35" s="2"/>
      <c r="KMU35" s="2"/>
      <c r="KMV35" s="2"/>
      <c r="KMW35" s="2"/>
      <c r="KMX35" s="2"/>
      <c r="KMY35" s="2"/>
      <c r="KMZ35" s="2"/>
      <c r="KNA35" s="2"/>
      <c r="KNB35" s="2"/>
      <c r="KNC35" s="2"/>
      <c r="KND35" s="2"/>
      <c r="KNE35" s="2"/>
      <c r="KNF35" s="2"/>
      <c r="KNG35" s="2"/>
      <c r="KNH35" s="2"/>
      <c r="KNI35" s="2"/>
      <c r="KNJ35" s="2"/>
      <c r="KNK35" s="2"/>
      <c r="KNL35" s="2"/>
      <c r="KNM35" s="2"/>
      <c r="KNN35" s="2"/>
      <c r="KNO35" s="2"/>
      <c r="KNP35" s="2"/>
      <c r="KNQ35" s="2"/>
      <c r="KNR35" s="2"/>
      <c r="KNS35" s="2"/>
      <c r="KNT35" s="2"/>
      <c r="KNU35" s="2"/>
      <c r="KNV35" s="2"/>
      <c r="KNW35" s="2"/>
      <c r="KNX35" s="2"/>
      <c r="KNY35" s="2"/>
      <c r="KNZ35" s="2"/>
      <c r="KOA35" s="2"/>
      <c r="KOB35" s="2"/>
      <c r="KOC35" s="2"/>
      <c r="KOD35" s="2"/>
      <c r="KOE35" s="2"/>
      <c r="KOF35" s="2"/>
      <c r="KOG35" s="2"/>
      <c r="KOH35" s="2"/>
      <c r="KOI35" s="2"/>
      <c r="KOJ35" s="2"/>
      <c r="KOK35" s="2"/>
      <c r="KOL35" s="2"/>
      <c r="KOM35" s="2"/>
      <c r="KON35" s="2"/>
      <c r="KOO35" s="2"/>
      <c r="KOP35" s="2"/>
      <c r="KOQ35" s="2"/>
      <c r="KOR35" s="2"/>
      <c r="KOS35" s="2"/>
      <c r="KOT35" s="2"/>
      <c r="KOU35" s="2"/>
      <c r="KOV35" s="2"/>
      <c r="KOW35" s="2"/>
      <c r="KOX35" s="2"/>
      <c r="KOY35" s="2"/>
      <c r="KOZ35" s="2"/>
      <c r="KPA35" s="2"/>
      <c r="KPB35" s="2"/>
      <c r="KPC35" s="2"/>
      <c r="KPD35" s="2"/>
      <c r="KPE35" s="2"/>
      <c r="KPF35" s="2"/>
      <c r="KPG35" s="2"/>
      <c r="KPH35" s="2"/>
      <c r="KPI35" s="2"/>
      <c r="KPJ35" s="2"/>
      <c r="KPK35" s="2"/>
      <c r="KPL35" s="2"/>
      <c r="KPM35" s="2"/>
      <c r="KPN35" s="2"/>
      <c r="KPO35" s="2"/>
      <c r="KPP35" s="2"/>
      <c r="KPQ35" s="2"/>
      <c r="KPR35" s="2"/>
      <c r="KPS35" s="2"/>
      <c r="KPT35" s="2"/>
      <c r="KPU35" s="2"/>
      <c r="KPV35" s="2"/>
      <c r="KPW35" s="2"/>
      <c r="KPX35" s="2"/>
      <c r="KPY35" s="2"/>
      <c r="KPZ35" s="2"/>
      <c r="KQA35" s="2"/>
      <c r="KQB35" s="2"/>
      <c r="KQC35" s="2"/>
      <c r="KQD35" s="2"/>
      <c r="KQE35" s="2"/>
      <c r="KQF35" s="2"/>
      <c r="KQG35" s="2"/>
      <c r="KQH35" s="2"/>
      <c r="KQI35" s="2"/>
      <c r="KQJ35" s="2"/>
      <c r="KQK35" s="2"/>
      <c r="KQL35" s="2"/>
      <c r="KQM35" s="2"/>
      <c r="KQN35" s="2"/>
      <c r="KQO35" s="2"/>
      <c r="KQP35" s="2"/>
      <c r="KQQ35" s="2"/>
      <c r="KQR35" s="2"/>
      <c r="KQS35" s="2"/>
      <c r="KQT35" s="2"/>
      <c r="KQU35" s="2"/>
      <c r="KQV35" s="2"/>
      <c r="KQW35" s="2"/>
      <c r="KQX35" s="2"/>
      <c r="KQY35" s="2"/>
      <c r="KQZ35" s="2"/>
      <c r="KRA35" s="2"/>
      <c r="KRB35" s="2"/>
      <c r="KRC35" s="2"/>
      <c r="KRD35" s="2"/>
      <c r="KRE35" s="2"/>
      <c r="KRF35" s="2"/>
      <c r="KRG35" s="2"/>
      <c r="KRH35" s="2"/>
      <c r="KRI35" s="2"/>
      <c r="KRJ35" s="2"/>
      <c r="KRK35" s="2"/>
      <c r="KRL35" s="2"/>
      <c r="KRM35" s="2"/>
      <c r="KRN35" s="2"/>
      <c r="KRO35" s="2"/>
      <c r="KRP35" s="2"/>
      <c r="KRQ35" s="2"/>
      <c r="KRR35" s="2"/>
      <c r="KRS35" s="2"/>
      <c r="KRT35" s="2"/>
      <c r="KRU35" s="2"/>
      <c r="KRV35" s="2"/>
      <c r="KRW35" s="2"/>
      <c r="KRX35" s="2"/>
      <c r="KRY35" s="2"/>
      <c r="KRZ35" s="2"/>
      <c r="KSA35" s="2"/>
      <c r="KSB35" s="2"/>
      <c r="KSC35" s="2"/>
      <c r="KSD35" s="2"/>
      <c r="KSE35" s="2"/>
      <c r="KSF35" s="2"/>
      <c r="KSG35" s="2"/>
      <c r="KSH35" s="2"/>
      <c r="KSI35" s="2"/>
      <c r="KSJ35" s="2"/>
      <c r="KSK35" s="2"/>
      <c r="KSL35" s="2"/>
      <c r="KSM35" s="2"/>
      <c r="KSN35" s="2"/>
      <c r="KSO35" s="2"/>
      <c r="KSP35" s="2"/>
      <c r="KSQ35" s="2"/>
      <c r="KSR35" s="2"/>
      <c r="KSS35" s="2"/>
      <c r="KST35" s="2"/>
      <c r="KSU35" s="2"/>
      <c r="KSV35" s="2"/>
      <c r="KSW35" s="2"/>
      <c r="KSX35" s="2"/>
      <c r="KSY35" s="2"/>
      <c r="KSZ35" s="2"/>
      <c r="KTA35" s="2"/>
      <c r="KTB35" s="2"/>
      <c r="KTC35" s="2"/>
      <c r="KTD35" s="2"/>
      <c r="KTE35" s="2"/>
      <c r="KTF35" s="2"/>
      <c r="KTG35" s="2"/>
      <c r="KTH35" s="2"/>
      <c r="KTI35" s="2"/>
      <c r="KTJ35" s="2"/>
      <c r="KTK35" s="2"/>
      <c r="KTL35" s="2"/>
      <c r="KTM35" s="2"/>
      <c r="KTN35" s="2"/>
      <c r="KTO35" s="2"/>
      <c r="KTP35" s="2"/>
      <c r="KTQ35" s="2"/>
      <c r="KTR35" s="2"/>
      <c r="KTS35" s="2"/>
      <c r="KTT35" s="2"/>
      <c r="KTU35" s="2"/>
      <c r="KTV35" s="2"/>
      <c r="KTW35" s="2"/>
      <c r="KTX35" s="2"/>
      <c r="KTY35" s="2"/>
      <c r="KTZ35" s="2"/>
      <c r="KUA35" s="2"/>
      <c r="KUB35" s="2"/>
      <c r="KUC35" s="2"/>
      <c r="KUD35" s="2"/>
      <c r="KUE35" s="2"/>
      <c r="KUF35" s="2"/>
      <c r="KUG35" s="2"/>
      <c r="KUH35" s="2"/>
      <c r="KUI35" s="2"/>
      <c r="KUJ35" s="2"/>
      <c r="KUK35" s="2"/>
      <c r="KUL35" s="2"/>
      <c r="KUM35" s="2"/>
      <c r="KUN35" s="2"/>
      <c r="KUO35" s="2"/>
      <c r="KUP35" s="2"/>
      <c r="KUQ35" s="2"/>
      <c r="KUR35" s="2"/>
      <c r="KUS35" s="2"/>
      <c r="KUT35" s="2"/>
      <c r="KUU35" s="2"/>
      <c r="KUV35" s="2"/>
      <c r="KUW35" s="2"/>
      <c r="KUX35" s="2"/>
      <c r="KUY35" s="2"/>
      <c r="KUZ35" s="2"/>
      <c r="KVA35" s="2"/>
      <c r="KVB35" s="2"/>
      <c r="KVC35" s="2"/>
      <c r="KVD35" s="2"/>
      <c r="KVE35" s="2"/>
      <c r="KVF35" s="2"/>
      <c r="KVG35" s="2"/>
      <c r="KVH35" s="2"/>
      <c r="KVI35" s="2"/>
      <c r="KVJ35" s="2"/>
      <c r="KVK35" s="2"/>
      <c r="KVL35" s="2"/>
      <c r="KVM35" s="2"/>
      <c r="KVN35" s="2"/>
      <c r="KVO35" s="2"/>
      <c r="KVP35" s="2"/>
      <c r="KVQ35" s="2"/>
      <c r="KVR35" s="2"/>
      <c r="KVS35" s="2"/>
      <c r="KVT35" s="2"/>
      <c r="KVU35" s="2"/>
      <c r="KVV35" s="2"/>
      <c r="KVW35" s="2"/>
      <c r="KVX35" s="2"/>
      <c r="KVY35" s="2"/>
      <c r="KVZ35" s="2"/>
      <c r="KWA35" s="2"/>
      <c r="KWB35" s="2"/>
      <c r="KWC35" s="2"/>
      <c r="KWD35" s="2"/>
      <c r="KWE35" s="2"/>
      <c r="KWF35" s="2"/>
      <c r="KWG35" s="2"/>
      <c r="KWH35" s="2"/>
      <c r="KWI35" s="2"/>
      <c r="KWJ35" s="2"/>
      <c r="KWK35" s="2"/>
      <c r="KWL35" s="2"/>
      <c r="KWM35" s="2"/>
      <c r="KWN35" s="2"/>
      <c r="KWO35" s="2"/>
      <c r="KWP35" s="2"/>
      <c r="KWQ35" s="2"/>
      <c r="KWR35" s="2"/>
      <c r="KWS35" s="2"/>
      <c r="KWT35" s="2"/>
      <c r="KWU35" s="2"/>
      <c r="KWV35" s="2"/>
      <c r="KWW35" s="2"/>
      <c r="KWX35" s="2"/>
      <c r="KWY35" s="2"/>
      <c r="KWZ35" s="2"/>
      <c r="KXA35" s="2"/>
      <c r="KXB35" s="2"/>
      <c r="KXC35" s="2"/>
      <c r="KXD35" s="2"/>
      <c r="KXE35" s="2"/>
      <c r="KXF35" s="2"/>
      <c r="KXG35" s="2"/>
      <c r="KXH35" s="2"/>
      <c r="KXI35" s="2"/>
      <c r="KXJ35" s="2"/>
      <c r="KXK35" s="2"/>
      <c r="KXL35" s="2"/>
      <c r="KXM35" s="2"/>
      <c r="KXN35" s="2"/>
      <c r="KXO35" s="2"/>
      <c r="KXP35" s="2"/>
      <c r="KXQ35" s="2"/>
      <c r="KXR35" s="2"/>
      <c r="KXS35" s="2"/>
      <c r="KXT35" s="2"/>
      <c r="KXU35" s="2"/>
      <c r="KXV35" s="2"/>
      <c r="KXW35" s="2"/>
      <c r="KXX35" s="2"/>
      <c r="KXY35" s="2"/>
      <c r="KXZ35" s="2"/>
      <c r="KYA35" s="2"/>
      <c r="KYB35" s="2"/>
      <c r="KYC35" s="2"/>
      <c r="KYD35" s="2"/>
      <c r="KYE35" s="2"/>
      <c r="KYF35" s="2"/>
      <c r="KYG35" s="2"/>
      <c r="KYH35" s="2"/>
      <c r="KYI35" s="2"/>
      <c r="KYJ35" s="2"/>
      <c r="KYK35" s="2"/>
      <c r="KYL35" s="2"/>
      <c r="KYM35" s="2"/>
      <c r="KYN35" s="2"/>
      <c r="KYO35" s="2"/>
      <c r="KYP35" s="2"/>
      <c r="KYQ35" s="2"/>
      <c r="KYR35" s="2"/>
      <c r="KYS35" s="2"/>
      <c r="KYT35" s="2"/>
      <c r="KYU35" s="2"/>
      <c r="KYV35" s="2"/>
      <c r="KYW35" s="2"/>
      <c r="KYX35" s="2"/>
      <c r="KYY35" s="2"/>
      <c r="KYZ35" s="2"/>
      <c r="KZA35" s="2"/>
      <c r="KZB35" s="2"/>
      <c r="KZC35" s="2"/>
      <c r="KZD35" s="2"/>
      <c r="KZE35" s="2"/>
      <c r="KZF35" s="2"/>
      <c r="KZG35" s="2"/>
      <c r="KZH35" s="2"/>
      <c r="KZI35" s="2"/>
      <c r="KZJ35" s="2"/>
      <c r="KZK35" s="2"/>
      <c r="KZL35" s="2"/>
      <c r="KZM35" s="2"/>
      <c r="KZN35" s="2"/>
      <c r="KZO35" s="2"/>
      <c r="KZP35" s="2"/>
      <c r="KZQ35" s="2"/>
      <c r="KZR35" s="2"/>
      <c r="KZS35" s="2"/>
      <c r="KZT35" s="2"/>
      <c r="KZU35" s="2"/>
      <c r="KZV35" s="2"/>
      <c r="KZW35" s="2"/>
      <c r="KZX35" s="2"/>
      <c r="KZY35" s="2"/>
      <c r="KZZ35" s="2"/>
      <c r="LAA35" s="2"/>
      <c r="LAB35" s="2"/>
      <c r="LAC35" s="2"/>
      <c r="LAD35" s="2"/>
      <c r="LAE35" s="2"/>
      <c r="LAF35" s="2"/>
      <c r="LAG35" s="2"/>
      <c r="LAH35" s="2"/>
      <c r="LAI35" s="2"/>
      <c r="LAJ35" s="2"/>
      <c r="LAK35" s="2"/>
      <c r="LAL35" s="2"/>
      <c r="LAM35" s="2"/>
      <c r="LAN35" s="2"/>
      <c r="LAO35" s="2"/>
      <c r="LAP35" s="2"/>
      <c r="LAQ35" s="2"/>
      <c r="LAR35" s="2"/>
      <c r="LAS35" s="2"/>
      <c r="LAT35" s="2"/>
      <c r="LAU35" s="2"/>
      <c r="LAV35" s="2"/>
      <c r="LAW35" s="2"/>
      <c r="LAX35" s="2"/>
      <c r="LAY35" s="2"/>
      <c r="LAZ35" s="2"/>
      <c r="LBA35" s="2"/>
      <c r="LBB35" s="2"/>
      <c r="LBC35" s="2"/>
      <c r="LBD35" s="2"/>
      <c r="LBE35" s="2"/>
      <c r="LBF35" s="2"/>
      <c r="LBG35" s="2"/>
      <c r="LBH35" s="2"/>
      <c r="LBI35" s="2"/>
      <c r="LBJ35" s="2"/>
      <c r="LBK35" s="2"/>
      <c r="LBL35" s="2"/>
      <c r="LBM35" s="2"/>
      <c r="LBN35" s="2"/>
      <c r="LBO35" s="2"/>
      <c r="LBP35" s="2"/>
      <c r="LBQ35" s="2"/>
      <c r="LBR35" s="2"/>
      <c r="LBS35" s="2"/>
      <c r="LBT35" s="2"/>
      <c r="LBU35" s="2"/>
      <c r="LBV35" s="2"/>
      <c r="LBW35" s="2"/>
      <c r="LBX35" s="2"/>
      <c r="LBY35" s="2"/>
      <c r="LBZ35" s="2"/>
      <c r="LCA35" s="2"/>
      <c r="LCB35" s="2"/>
      <c r="LCC35" s="2"/>
      <c r="LCD35" s="2"/>
      <c r="LCE35" s="2"/>
      <c r="LCF35" s="2"/>
      <c r="LCG35" s="2"/>
      <c r="LCH35" s="2"/>
      <c r="LCI35" s="2"/>
      <c r="LCJ35" s="2"/>
      <c r="LCK35" s="2"/>
      <c r="LCL35" s="2"/>
      <c r="LCM35" s="2"/>
      <c r="LCN35" s="2"/>
      <c r="LCO35" s="2"/>
      <c r="LCP35" s="2"/>
      <c r="LCQ35" s="2"/>
      <c r="LCR35" s="2"/>
      <c r="LCS35" s="2"/>
      <c r="LCT35" s="2"/>
      <c r="LCU35" s="2"/>
      <c r="LCV35" s="2"/>
      <c r="LCW35" s="2"/>
      <c r="LCX35" s="2"/>
      <c r="LCY35" s="2"/>
      <c r="LCZ35" s="2"/>
      <c r="LDA35" s="2"/>
      <c r="LDB35" s="2"/>
      <c r="LDC35" s="2"/>
      <c r="LDD35" s="2"/>
      <c r="LDE35" s="2"/>
      <c r="LDF35" s="2"/>
      <c r="LDG35" s="2"/>
      <c r="LDH35" s="2"/>
      <c r="LDI35" s="2"/>
      <c r="LDJ35" s="2"/>
      <c r="LDK35" s="2"/>
      <c r="LDL35" s="2"/>
      <c r="LDM35" s="2"/>
      <c r="LDN35" s="2"/>
      <c r="LDO35" s="2"/>
      <c r="LDP35" s="2"/>
      <c r="LDQ35" s="2"/>
      <c r="LDR35" s="2"/>
      <c r="LDS35" s="2"/>
      <c r="LDT35" s="2"/>
      <c r="LDU35" s="2"/>
      <c r="LDV35" s="2"/>
      <c r="LDW35" s="2"/>
      <c r="LDX35" s="2"/>
      <c r="LDY35" s="2"/>
      <c r="LDZ35" s="2"/>
      <c r="LEA35" s="2"/>
      <c r="LEB35" s="2"/>
      <c r="LEC35" s="2"/>
      <c r="LED35" s="2"/>
      <c r="LEE35" s="2"/>
      <c r="LEF35" s="2"/>
      <c r="LEG35" s="2"/>
      <c r="LEH35" s="2"/>
      <c r="LEI35" s="2"/>
      <c r="LEJ35" s="2"/>
      <c r="LEK35" s="2"/>
      <c r="LEL35" s="2"/>
      <c r="LEM35" s="2"/>
      <c r="LEN35" s="2"/>
      <c r="LEO35" s="2"/>
      <c r="LEP35" s="2"/>
      <c r="LEQ35" s="2"/>
      <c r="LER35" s="2"/>
      <c r="LES35" s="2"/>
      <c r="LET35" s="2"/>
      <c r="LEU35" s="2"/>
      <c r="LEV35" s="2"/>
      <c r="LEW35" s="2"/>
      <c r="LEX35" s="2"/>
      <c r="LEY35" s="2"/>
      <c r="LEZ35" s="2"/>
      <c r="LFA35" s="2"/>
      <c r="LFB35" s="2"/>
      <c r="LFC35" s="2"/>
      <c r="LFD35" s="2"/>
      <c r="LFE35" s="2"/>
      <c r="LFF35" s="2"/>
      <c r="LFG35" s="2"/>
      <c r="LFH35" s="2"/>
      <c r="LFI35" s="2"/>
      <c r="LFJ35" s="2"/>
      <c r="LFK35" s="2"/>
      <c r="LFL35" s="2"/>
      <c r="LFM35" s="2"/>
      <c r="LFN35" s="2"/>
      <c r="LFO35" s="2"/>
      <c r="LFP35" s="2"/>
      <c r="LFQ35" s="2"/>
      <c r="LFR35" s="2"/>
      <c r="LFS35" s="2"/>
      <c r="LFT35" s="2"/>
      <c r="LFU35" s="2"/>
      <c r="LFV35" s="2"/>
      <c r="LFW35" s="2"/>
      <c r="LFX35" s="2"/>
      <c r="LFY35" s="2"/>
      <c r="LFZ35" s="2"/>
      <c r="LGA35" s="2"/>
      <c r="LGB35" s="2"/>
      <c r="LGC35" s="2"/>
      <c r="LGD35" s="2"/>
      <c r="LGE35" s="2"/>
      <c r="LGF35" s="2"/>
      <c r="LGG35" s="2"/>
      <c r="LGH35" s="2"/>
      <c r="LGI35" s="2"/>
      <c r="LGJ35" s="2"/>
      <c r="LGK35" s="2"/>
      <c r="LGL35" s="2"/>
      <c r="LGM35" s="2"/>
      <c r="LGN35" s="2"/>
      <c r="LGO35" s="2"/>
      <c r="LGP35" s="2"/>
      <c r="LGQ35" s="2"/>
      <c r="LGR35" s="2"/>
      <c r="LGS35" s="2"/>
      <c r="LGT35" s="2"/>
      <c r="LGU35" s="2"/>
      <c r="LGV35" s="2"/>
      <c r="LGW35" s="2"/>
      <c r="LGX35" s="2"/>
      <c r="LGY35" s="2"/>
      <c r="LGZ35" s="2"/>
      <c r="LHA35" s="2"/>
      <c r="LHB35" s="2"/>
      <c r="LHC35" s="2"/>
      <c r="LHD35" s="2"/>
      <c r="LHE35" s="2"/>
      <c r="LHF35" s="2"/>
      <c r="LHG35" s="2"/>
      <c r="LHH35" s="2"/>
      <c r="LHI35" s="2"/>
      <c r="LHJ35" s="2"/>
      <c r="LHK35" s="2"/>
      <c r="LHL35" s="2"/>
      <c r="LHM35" s="2"/>
      <c r="LHN35" s="2"/>
      <c r="LHO35" s="2"/>
      <c r="LHP35" s="2"/>
      <c r="LHQ35" s="2"/>
      <c r="LHR35" s="2"/>
      <c r="LHS35" s="2"/>
      <c r="LHT35" s="2"/>
      <c r="LHU35" s="2"/>
      <c r="LHV35" s="2"/>
      <c r="LHW35" s="2"/>
      <c r="LHX35" s="2"/>
      <c r="LHY35" s="2"/>
      <c r="LHZ35" s="2"/>
      <c r="LIA35" s="2"/>
      <c r="LIB35" s="2"/>
      <c r="LIC35" s="2"/>
      <c r="LID35" s="2"/>
      <c r="LIE35" s="2"/>
      <c r="LIF35" s="2"/>
      <c r="LIG35" s="2"/>
      <c r="LIH35" s="2"/>
      <c r="LII35" s="2"/>
      <c r="LIJ35" s="2"/>
      <c r="LIK35" s="2"/>
      <c r="LIL35" s="2"/>
      <c r="LIM35" s="2"/>
      <c r="LIN35" s="2"/>
      <c r="LIO35" s="2"/>
      <c r="LIP35" s="2"/>
      <c r="LIQ35" s="2"/>
      <c r="LIR35" s="2"/>
      <c r="LIS35" s="2"/>
      <c r="LIT35" s="2"/>
      <c r="LIU35" s="2"/>
      <c r="LIV35" s="2"/>
      <c r="LIW35" s="2"/>
      <c r="LIX35" s="2"/>
      <c r="LIY35" s="2"/>
      <c r="LIZ35" s="2"/>
      <c r="LJA35" s="2"/>
      <c r="LJB35" s="2"/>
      <c r="LJC35" s="2"/>
      <c r="LJD35" s="2"/>
      <c r="LJE35" s="2"/>
      <c r="LJF35" s="2"/>
      <c r="LJG35" s="2"/>
      <c r="LJH35" s="2"/>
      <c r="LJI35" s="2"/>
      <c r="LJJ35" s="2"/>
      <c r="LJK35" s="2"/>
      <c r="LJL35" s="2"/>
      <c r="LJM35" s="2"/>
      <c r="LJN35" s="2"/>
      <c r="LJO35" s="2"/>
      <c r="LJP35" s="2"/>
      <c r="LJQ35" s="2"/>
      <c r="LJR35" s="2"/>
      <c r="LJS35" s="2"/>
      <c r="LJT35" s="2"/>
      <c r="LJU35" s="2"/>
      <c r="LJV35" s="2"/>
      <c r="LJW35" s="2"/>
      <c r="LJX35" s="2"/>
      <c r="LJY35" s="2"/>
      <c r="LJZ35" s="2"/>
      <c r="LKA35" s="2"/>
      <c r="LKB35" s="2"/>
      <c r="LKC35" s="2"/>
      <c r="LKD35" s="2"/>
      <c r="LKE35" s="2"/>
      <c r="LKF35" s="2"/>
      <c r="LKG35" s="2"/>
      <c r="LKH35" s="2"/>
      <c r="LKI35" s="2"/>
      <c r="LKJ35" s="2"/>
      <c r="LKK35" s="2"/>
      <c r="LKL35" s="2"/>
      <c r="LKM35" s="2"/>
      <c r="LKN35" s="2"/>
      <c r="LKO35" s="2"/>
      <c r="LKP35" s="2"/>
      <c r="LKQ35" s="2"/>
      <c r="LKR35" s="2"/>
      <c r="LKS35" s="2"/>
      <c r="LKT35" s="2"/>
      <c r="LKU35" s="2"/>
      <c r="LKV35" s="2"/>
      <c r="LKW35" s="2"/>
      <c r="LKX35" s="2"/>
      <c r="LKY35" s="2"/>
      <c r="LKZ35" s="2"/>
      <c r="LLA35" s="2"/>
      <c r="LLB35" s="2"/>
      <c r="LLC35" s="2"/>
      <c r="LLD35" s="2"/>
      <c r="LLE35" s="2"/>
      <c r="LLF35" s="2"/>
      <c r="LLG35" s="2"/>
      <c r="LLH35" s="2"/>
      <c r="LLI35" s="2"/>
      <c r="LLJ35" s="2"/>
      <c r="LLK35" s="2"/>
      <c r="LLL35" s="2"/>
      <c r="LLM35" s="2"/>
      <c r="LLN35" s="2"/>
      <c r="LLO35" s="2"/>
      <c r="LLP35" s="2"/>
      <c r="LLQ35" s="2"/>
      <c r="LLR35" s="2"/>
      <c r="LLS35" s="2"/>
      <c r="LLT35" s="2"/>
      <c r="LLU35" s="2"/>
      <c r="LLV35" s="2"/>
      <c r="LLW35" s="2"/>
      <c r="LLX35" s="2"/>
      <c r="LLY35" s="2"/>
      <c r="LLZ35" s="2"/>
      <c r="LMA35" s="2"/>
      <c r="LMB35" s="2"/>
      <c r="LMC35" s="2"/>
      <c r="LMD35" s="2"/>
      <c r="LME35" s="2"/>
      <c r="LMF35" s="2"/>
      <c r="LMG35" s="2"/>
      <c r="LMH35" s="2"/>
      <c r="LMI35" s="2"/>
      <c r="LMJ35" s="2"/>
      <c r="LMK35" s="2"/>
      <c r="LML35" s="2"/>
      <c r="LMM35" s="2"/>
      <c r="LMN35" s="2"/>
      <c r="LMO35" s="2"/>
      <c r="LMP35" s="2"/>
      <c r="LMQ35" s="2"/>
      <c r="LMR35" s="2"/>
      <c r="LMS35" s="2"/>
      <c r="LMT35" s="2"/>
      <c r="LMU35" s="2"/>
      <c r="LMV35" s="2"/>
      <c r="LMW35" s="2"/>
      <c r="LMX35" s="2"/>
      <c r="LMY35" s="2"/>
      <c r="LMZ35" s="2"/>
      <c r="LNA35" s="2"/>
      <c r="LNB35" s="2"/>
      <c r="LNC35" s="2"/>
      <c r="LND35" s="2"/>
      <c r="LNE35" s="2"/>
      <c r="LNF35" s="2"/>
      <c r="LNG35" s="2"/>
      <c r="LNH35" s="2"/>
      <c r="LNI35" s="2"/>
      <c r="LNJ35" s="2"/>
      <c r="LNK35" s="2"/>
      <c r="LNL35" s="2"/>
      <c r="LNM35" s="2"/>
      <c r="LNN35" s="2"/>
      <c r="LNO35" s="2"/>
      <c r="LNP35" s="2"/>
      <c r="LNQ35" s="2"/>
      <c r="LNR35" s="2"/>
      <c r="LNS35" s="2"/>
      <c r="LNT35" s="2"/>
      <c r="LNU35" s="2"/>
      <c r="LNV35" s="2"/>
      <c r="LNW35" s="2"/>
      <c r="LNX35" s="2"/>
      <c r="LNY35" s="2"/>
      <c r="LNZ35" s="2"/>
      <c r="LOA35" s="2"/>
      <c r="LOB35" s="2"/>
      <c r="LOC35" s="2"/>
      <c r="LOD35" s="2"/>
      <c r="LOE35" s="2"/>
      <c r="LOF35" s="2"/>
      <c r="LOG35" s="2"/>
      <c r="LOH35" s="2"/>
      <c r="LOI35" s="2"/>
      <c r="LOJ35" s="2"/>
      <c r="LOK35" s="2"/>
      <c r="LOL35" s="2"/>
      <c r="LOM35" s="2"/>
      <c r="LON35" s="2"/>
      <c r="LOO35" s="2"/>
      <c r="LOP35" s="2"/>
      <c r="LOQ35" s="2"/>
      <c r="LOR35" s="2"/>
      <c r="LOS35" s="2"/>
      <c r="LOT35" s="2"/>
      <c r="LOU35" s="2"/>
      <c r="LOV35" s="2"/>
      <c r="LOW35" s="2"/>
      <c r="LOX35" s="2"/>
      <c r="LOY35" s="2"/>
      <c r="LOZ35" s="2"/>
      <c r="LPA35" s="2"/>
      <c r="LPB35" s="2"/>
      <c r="LPC35" s="2"/>
      <c r="LPD35" s="2"/>
      <c r="LPE35" s="2"/>
      <c r="LPF35" s="2"/>
      <c r="LPG35" s="2"/>
      <c r="LPH35" s="2"/>
      <c r="LPI35" s="2"/>
      <c r="LPJ35" s="2"/>
      <c r="LPK35" s="2"/>
      <c r="LPL35" s="2"/>
      <c r="LPM35" s="2"/>
      <c r="LPN35" s="2"/>
      <c r="LPO35" s="2"/>
      <c r="LPP35" s="2"/>
      <c r="LPQ35" s="2"/>
      <c r="LPR35" s="2"/>
      <c r="LPS35" s="2"/>
      <c r="LPT35" s="2"/>
      <c r="LPU35" s="2"/>
      <c r="LPV35" s="2"/>
      <c r="LPW35" s="2"/>
      <c r="LPX35" s="2"/>
      <c r="LPY35" s="2"/>
      <c r="LPZ35" s="2"/>
      <c r="LQA35" s="2"/>
      <c r="LQB35" s="2"/>
      <c r="LQC35" s="2"/>
      <c r="LQD35" s="2"/>
      <c r="LQE35" s="2"/>
      <c r="LQF35" s="2"/>
      <c r="LQG35" s="2"/>
      <c r="LQH35" s="2"/>
      <c r="LQI35" s="2"/>
      <c r="LQJ35" s="2"/>
      <c r="LQK35" s="2"/>
      <c r="LQL35" s="2"/>
      <c r="LQM35" s="2"/>
      <c r="LQN35" s="2"/>
      <c r="LQO35" s="2"/>
      <c r="LQP35" s="2"/>
      <c r="LQQ35" s="2"/>
      <c r="LQR35" s="2"/>
      <c r="LQS35" s="2"/>
      <c r="LQT35" s="2"/>
      <c r="LQU35" s="2"/>
      <c r="LQV35" s="2"/>
      <c r="LQW35" s="2"/>
      <c r="LQX35" s="2"/>
      <c r="LQY35" s="2"/>
      <c r="LQZ35" s="2"/>
      <c r="LRA35" s="2"/>
      <c r="LRB35" s="2"/>
      <c r="LRC35" s="2"/>
      <c r="LRD35" s="2"/>
      <c r="LRE35" s="2"/>
      <c r="LRF35" s="2"/>
      <c r="LRG35" s="2"/>
      <c r="LRH35" s="2"/>
      <c r="LRI35" s="2"/>
      <c r="LRJ35" s="2"/>
      <c r="LRK35" s="2"/>
      <c r="LRL35" s="2"/>
      <c r="LRM35" s="2"/>
      <c r="LRN35" s="2"/>
      <c r="LRO35" s="2"/>
      <c r="LRP35" s="2"/>
      <c r="LRQ35" s="2"/>
      <c r="LRR35" s="2"/>
      <c r="LRS35" s="2"/>
      <c r="LRT35" s="2"/>
      <c r="LRU35" s="2"/>
      <c r="LRV35" s="2"/>
      <c r="LRW35" s="2"/>
      <c r="LRX35" s="2"/>
      <c r="LRY35" s="2"/>
      <c r="LRZ35" s="2"/>
      <c r="LSA35" s="2"/>
      <c r="LSB35" s="2"/>
      <c r="LSC35" s="2"/>
      <c r="LSD35" s="2"/>
      <c r="LSE35" s="2"/>
      <c r="LSF35" s="2"/>
      <c r="LSG35" s="2"/>
      <c r="LSH35" s="2"/>
      <c r="LSI35" s="2"/>
      <c r="LSJ35" s="2"/>
      <c r="LSK35" s="2"/>
      <c r="LSL35" s="2"/>
      <c r="LSM35" s="2"/>
      <c r="LSN35" s="2"/>
      <c r="LSO35" s="2"/>
      <c r="LSP35" s="2"/>
      <c r="LSQ35" s="2"/>
      <c r="LSR35" s="2"/>
      <c r="LSS35" s="2"/>
      <c r="LST35" s="2"/>
      <c r="LSU35" s="2"/>
      <c r="LSV35" s="2"/>
      <c r="LSW35" s="2"/>
      <c r="LSX35" s="2"/>
      <c r="LSY35" s="2"/>
      <c r="LSZ35" s="2"/>
      <c r="LTA35" s="2"/>
      <c r="LTB35" s="2"/>
      <c r="LTC35" s="2"/>
      <c r="LTD35" s="2"/>
      <c r="LTE35" s="2"/>
      <c r="LTF35" s="2"/>
      <c r="LTG35" s="2"/>
      <c r="LTH35" s="2"/>
      <c r="LTI35" s="2"/>
      <c r="LTJ35" s="2"/>
      <c r="LTK35" s="2"/>
      <c r="LTL35" s="2"/>
      <c r="LTM35" s="2"/>
      <c r="LTN35" s="2"/>
      <c r="LTO35" s="2"/>
      <c r="LTP35" s="2"/>
      <c r="LTQ35" s="2"/>
      <c r="LTR35" s="2"/>
      <c r="LTS35" s="2"/>
      <c r="LTT35" s="2"/>
      <c r="LTU35" s="2"/>
      <c r="LTV35" s="2"/>
      <c r="LTW35" s="2"/>
      <c r="LTX35" s="2"/>
      <c r="LTY35" s="2"/>
      <c r="LTZ35" s="2"/>
      <c r="LUA35" s="2"/>
      <c r="LUB35" s="2"/>
      <c r="LUC35" s="2"/>
      <c r="LUD35" s="2"/>
      <c r="LUE35" s="2"/>
      <c r="LUF35" s="2"/>
      <c r="LUG35" s="2"/>
      <c r="LUH35" s="2"/>
      <c r="LUI35" s="2"/>
      <c r="LUJ35" s="2"/>
      <c r="LUK35" s="2"/>
      <c r="LUL35" s="2"/>
      <c r="LUM35" s="2"/>
      <c r="LUN35" s="2"/>
      <c r="LUO35" s="2"/>
      <c r="LUP35" s="2"/>
      <c r="LUQ35" s="2"/>
      <c r="LUR35" s="2"/>
      <c r="LUS35" s="2"/>
      <c r="LUT35" s="2"/>
      <c r="LUU35" s="2"/>
      <c r="LUV35" s="2"/>
      <c r="LUW35" s="2"/>
      <c r="LUX35" s="2"/>
      <c r="LUY35" s="2"/>
      <c r="LUZ35" s="2"/>
      <c r="LVA35" s="2"/>
      <c r="LVB35" s="2"/>
      <c r="LVC35" s="2"/>
      <c r="LVD35" s="2"/>
      <c r="LVE35" s="2"/>
      <c r="LVF35" s="2"/>
      <c r="LVG35" s="2"/>
      <c r="LVH35" s="2"/>
      <c r="LVI35" s="2"/>
      <c r="LVJ35" s="2"/>
      <c r="LVK35" s="2"/>
      <c r="LVL35" s="2"/>
      <c r="LVM35" s="2"/>
      <c r="LVN35" s="2"/>
      <c r="LVO35" s="2"/>
      <c r="LVP35" s="2"/>
      <c r="LVQ35" s="2"/>
      <c r="LVR35" s="2"/>
      <c r="LVS35" s="2"/>
      <c r="LVT35" s="2"/>
      <c r="LVU35" s="2"/>
      <c r="LVV35" s="2"/>
      <c r="LVW35" s="2"/>
      <c r="LVX35" s="2"/>
      <c r="LVY35" s="2"/>
      <c r="LVZ35" s="2"/>
      <c r="LWA35" s="2"/>
      <c r="LWB35" s="2"/>
      <c r="LWC35" s="2"/>
      <c r="LWD35" s="2"/>
      <c r="LWE35" s="2"/>
      <c r="LWF35" s="2"/>
      <c r="LWG35" s="2"/>
      <c r="LWH35" s="2"/>
      <c r="LWI35" s="2"/>
      <c r="LWJ35" s="2"/>
      <c r="LWK35" s="2"/>
      <c r="LWL35" s="2"/>
      <c r="LWM35" s="2"/>
      <c r="LWN35" s="2"/>
      <c r="LWO35" s="2"/>
      <c r="LWP35" s="2"/>
      <c r="LWQ35" s="2"/>
      <c r="LWR35" s="2"/>
      <c r="LWS35" s="2"/>
      <c r="LWT35" s="2"/>
      <c r="LWU35" s="2"/>
      <c r="LWV35" s="2"/>
      <c r="LWW35" s="2"/>
      <c r="LWX35" s="2"/>
      <c r="LWY35" s="2"/>
      <c r="LWZ35" s="2"/>
      <c r="LXA35" s="2"/>
      <c r="LXB35" s="2"/>
      <c r="LXC35" s="2"/>
      <c r="LXD35" s="2"/>
      <c r="LXE35" s="2"/>
      <c r="LXF35" s="2"/>
      <c r="LXG35" s="2"/>
      <c r="LXH35" s="2"/>
      <c r="LXI35" s="2"/>
      <c r="LXJ35" s="2"/>
      <c r="LXK35" s="2"/>
      <c r="LXL35" s="2"/>
      <c r="LXM35" s="2"/>
      <c r="LXN35" s="2"/>
      <c r="LXO35" s="2"/>
      <c r="LXP35" s="2"/>
      <c r="LXQ35" s="2"/>
      <c r="LXR35" s="2"/>
      <c r="LXS35" s="2"/>
      <c r="LXT35" s="2"/>
      <c r="LXU35" s="2"/>
      <c r="LXV35" s="2"/>
      <c r="LXW35" s="2"/>
      <c r="LXX35" s="2"/>
      <c r="LXY35" s="2"/>
      <c r="LXZ35" s="2"/>
      <c r="LYA35" s="2"/>
      <c r="LYB35" s="2"/>
      <c r="LYC35" s="2"/>
      <c r="LYD35" s="2"/>
      <c r="LYE35" s="2"/>
      <c r="LYF35" s="2"/>
      <c r="LYG35" s="2"/>
      <c r="LYH35" s="2"/>
      <c r="LYI35" s="2"/>
      <c r="LYJ35" s="2"/>
      <c r="LYK35" s="2"/>
      <c r="LYL35" s="2"/>
      <c r="LYM35" s="2"/>
      <c r="LYN35" s="2"/>
      <c r="LYO35" s="2"/>
      <c r="LYP35" s="2"/>
      <c r="LYQ35" s="2"/>
      <c r="LYR35" s="2"/>
      <c r="LYS35" s="2"/>
      <c r="LYT35" s="2"/>
      <c r="LYU35" s="2"/>
      <c r="LYV35" s="2"/>
      <c r="LYW35" s="2"/>
      <c r="LYX35" s="2"/>
      <c r="LYY35" s="2"/>
      <c r="LYZ35" s="2"/>
      <c r="LZA35" s="2"/>
      <c r="LZB35" s="2"/>
      <c r="LZC35" s="2"/>
      <c r="LZD35" s="2"/>
      <c r="LZE35" s="2"/>
      <c r="LZF35" s="2"/>
      <c r="LZG35" s="2"/>
      <c r="LZH35" s="2"/>
      <c r="LZI35" s="2"/>
      <c r="LZJ35" s="2"/>
      <c r="LZK35" s="2"/>
      <c r="LZL35" s="2"/>
      <c r="LZM35" s="2"/>
      <c r="LZN35" s="2"/>
      <c r="LZO35" s="2"/>
      <c r="LZP35" s="2"/>
      <c r="LZQ35" s="2"/>
      <c r="LZR35" s="2"/>
      <c r="LZS35" s="2"/>
      <c r="LZT35" s="2"/>
      <c r="LZU35" s="2"/>
      <c r="LZV35" s="2"/>
      <c r="LZW35" s="2"/>
      <c r="LZX35" s="2"/>
      <c r="LZY35" s="2"/>
      <c r="LZZ35" s="2"/>
      <c r="MAA35" s="2"/>
      <c r="MAB35" s="2"/>
      <c r="MAC35" s="2"/>
      <c r="MAD35" s="2"/>
      <c r="MAE35" s="2"/>
      <c r="MAF35" s="2"/>
      <c r="MAG35" s="2"/>
      <c r="MAH35" s="2"/>
      <c r="MAI35" s="2"/>
      <c r="MAJ35" s="2"/>
      <c r="MAK35" s="2"/>
      <c r="MAL35" s="2"/>
      <c r="MAM35" s="2"/>
      <c r="MAN35" s="2"/>
      <c r="MAO35" s="2"/>
      <c r="MAP35" s="2"/>
      <c r="MAQ35" s="2"/>
      <c r="MAR35" s="2"/>
      <c r="MAS35" s="2"/>
      <c r="MAT35" s="2"/>
      <c r="MAU35" s="2"/>
      <c r="MAV35" s="2"/>
      <c r="MAW35" s="2"/>
      <c r="MAX35" s="2"/>
      <c r="MAY35" s="2"/>
      <c r="MAZ35" s="2"/>
      <c r="MBA35" s="2"/>
      <c r="MBB35" s="2"/>
      <c r="MBC35" s="2"/>
      <c r="MBD35" s="2"/>
      <c r="MBE35" s="2"/>
      <c r="MBF35" s="2"/>
      <c r="MBG35" s="2"/>
      <c r="MBH35" s="2"/>
      <c r="MBI35" s="2"/>
      <c r="MBJ35" s="2"/>
      <c r="MBK35" s="2"/>
      <c r="MBL35" s="2"/>
      <c r="MBM35" s="2"/>
      <c r="MBN35" s="2"/>
      <c r="MBO35" s="2"/>
      <c r="MBP35" s="2"/>
      <c r="MBQ35" s="2"/>
      <c r="MBR35" s="2"/>
      <c r="MBS35" s="2"/>
      <c r="MBT35" s="2"/>
      <c r="MBU35" s="2"/>
      <c r="MBV35" s="2"/>
      <c r="MBW35" s="2"/>
      <c r="MBX35" s="2"/>
      <c r="MBY35" s="2"/>
      <c r="MBZ35" s="2"/>
      <c r="MCA35" s="2"/>
      <c r="MCB35" s="2"/>
      <c r="MCC35" s="2"/>
      <c r="MCD35" s="2"/>
      <c r="MCE35" s="2"/>
      <c r="MCF35" s="2"/>
      <c r="MCG35" s="2"/>
      <c r="MCH35" s="2"/>
      <c r="MCI35" s="2"/>
      <c r="MCJ35" s="2"/>
      <c r="MCK35" s="2"/>
      <c r="MCL35" s="2"/>
      <c r="MCM35" s="2"/>
      <c r="MCN35" s="2"/>
      <c r="MCO35" s="2"/>
      <c r="MCP35" s="2"/>
      <c r="MCQ35" s="2"/>
      <c r="MCR35" s="2"/>
      <c r="MCS35" s="2"/>
      <c r="MCT35" s="2"/>
      <c r="MCU35" s="2"/>
      <c r="MCV35" s="2"/>
      <c r="MCW35" s="2"/>
      <c r="MCX35" s="2"/>
      <c r="MCY35" s="2"/>
      <c r="MCZ35" s="2"/>
      <c r="MDA35" s="2"/>
      <c r="MDB35" s="2"/>
      <c r="MDC35" s="2"/>
      <c r="MDD35" s="2"/>
      <c r="MDE35" s="2"/>
      <c r="MDF35" s="2"/>
      <c r="MDG35" s="2"/>
      <c r="MDH35" s="2"/>
      <c r="MDI35" s="2"/>
      <c r="MDJ35" s="2"/>
      <c r="MDK35" s="2"/>
      <c r="MDL35" s="2"/>
      <c r="MDM35" s="2"/>
      <c r="MDN35" s="2"/>
      <c r="MDO35" s="2"/>
      <c r="MDP35" s="2"/>
      <c r="MDQ35" s="2"/>
      <c r="MDR35" s="2"/>
      <c r="MDS35" s="2"/>
      <c r="MDT35" s="2"/>
      <c r="MDU35" s="2"/>
      <c r="MDV35" s="2"/>
      <c r="MDW35" s="2"/>
      <c r="MDX35" s="2"/>
      <c r="MDY35" s="2"/>
      <c r="MDZ35" s="2"/>
      <c r="MEA35" s="2"/>
      <c r="MEB35" s="2"/>
      <c r="MEC35" s="2"/>
      <c r="MED35" s="2"/>
      <c r="MEE35" s="2"/>
      <c r="MEF35" s="2"/>
      <c r="MEG35" s="2"/>
      <c r="MEH35" s="2"/>
      <c r="MEI35" s="2"/>
      <c r="MEJ35" s="2"/>
      <c r="MEK35" s="2"/>
      <c r="MEL35" s="2"/>
      <c r="MEM35" s="2"/>
      <c r="MEN35" s="2"/>
      <c r="MEO35" s="2"/>
      <c r="MEP35" s="2"/>
      <c r="MEQ35" s="2"/>
      <c r="MER35" s="2"/>
      <c r="MES35" s="2"/>
      <c r="MET35" s="2"/>
      <c r="MEU35" s="2"/>
      <c r="MEV35" s="2"/>
      <c r="MEW35" s="2"/>
      <c r="MEX35" s="2"/>
      <c r="MEY35" s="2"/>
      <c r="MEZ35" s="2"/>
      <c r="MFA35" s="2"/>
      <c r="MFB35" s="2"/>
      <c r="MFC35" s="2"/>
      <c r="MFD35" s="2"/>
      <c r="MFE35" s="2"/>
      <c r="MFF35" s="2"/>
      <c r="MFG35" s="2"/>
      <c r="MFH35" s="2"/>
      <c r="MFI35" s="2"/>
      <c r="MFJ35" s="2"/>
      <c r="MFK35" s="2"/>
      <c r="MFL35" s="2"/>
      <c r="MFM35" s="2"/>
      <c r="MFN35" s="2"/>
      <c r="MFO35" s="2"/>
      <c r="MFP35" s="2"/>
      <c r="MFQ35" s="2"/>
      <c r="MFR35" s="2"/>
      <c r="MFS35" s="2"/>
      <c r="MFT35" s="2"/>
      <c r="MFU35" s="2"/>
      <c r="MFV35" s="2"/>
      <c r="MFW35" s="2"/>
      <c r="MFX35" s="2"/>
      <c r="MFY35" s="2"/>
      <c r="MFZ35" s="2"/>
      <c r="MGA35" s="2"/>
      <c r="MGB35" s="2"/>
      <c r="MGC35" s="2"/>
      <c r="MGD35" s="2"/>
      <c r="MGE35" s="2"/>
      <c r="MGF35" s="2"/>
      <c r="MGG35" s="2"/>
      <c r="MGH35" s="2"/>
      <c r="MGI35" s="2"/>
      <c r="MGJ35" s="2"/>
      <c r="MGK35" s="2"/>
      <c r="MGL35" s="2"/>
      <c r="MGM35" s="2"/>
      <c r="MGN35" s="2"/>
      <c r="MGO35" s="2"/>
      <c r="MGP35" s="2"/>
      <c r="MGQ35" s="2"/>
      <c r="MGR35" s="2"/>
      <c r="MGS35" s="2"/>
      <c r="MGT35" s="2"/>
      <c r="MGU35" s="2"/>
      <c r="MGV35" s="2"/>
      <c r="MGW35" s="2"/>
      <c r="MGX35" s="2"/>
      <c r="MGY35" s="2"/>
      <c r="MGZ35" s="2"/>
      <c r="MHA35" s="2"/>
      <c r="MHB35" s="2"/>
      <c r="MHC35" s="2"/>
      <c r="MHD35" s="2"/>
      <c r="MHE35" s="2"/>
      <c r="MHF35" s="2"/>
      <c r="MHG35" s="2"/>
      <c r="MHH35" s="2"/>
      <c r="MHI35" s="2"/>
      <c r="MHJ35" s="2"/>
      <c r="MHK35" s="2"/>
      <c r="MHL35" s="2"/>
      <c r="MHM35" s="2"/>
      <c r="MHN35" s="2"/>
      <c r="MHO35" s="2"/>
      <c r="MHP35" s="2"/>
      <c r="MHQ35" s="2"/>
      <c r="MHR35" s="2"/>
      <c r="MHS35" s="2"/>
      <c r="MHT35" s="2"/>
      <c r="MHU35" s="2"/>
      <c r="MHV35" s="2"/>
      <c r="MHW35" s="2"/>
      <c r="MHX35" s="2"/>
      <c r="MHY35" s="2"/>
      <c r="MHZ35" s="2"/>
      <c r="MIA35" s="2"/>
      <c r="MIB35" s="2"/>
      <c r="MIC35" s="2"/>
      <c r="MID35" s="2"/>
      <c r="MIE35" s="2"/>
      <c r="MIF35" s="2"/>
      <c r="MIG35" s="2"/>
      <c r="MIH35" s="2"/>
      <c r="MII35" s="2"/>
      <c r="MIJ35" s="2"/>
      <c r="MIK35" s="2"/>
      <c r="MIL35" s="2"/>
      <c r="MIM35" s="2"/>
      <c r="MIN35" s="2"/>
      <c r="MIO35" s="2"/>
      <c r="MIP35" s="2"/>
      <c r="MIQ35" s="2"/>
      <c r="MIR35" s="2"/>
      <c r="MIS35" s="2"/>
      <c r="MIT35" s="2"/>
      <c r="MIU35" s="2"/>
      <c r="MIV35" s="2"/>
      <c r="MIW35" s="2"/>
      <c r="MIX35" s="2"/>
      <c r="MIY35" s="2"/>
      <c r="MIZ35" s="2"/>
      <c r="MJA35" s="2"/>
      <c r="MJB35" s="2"/>
      <c r="MJC35" s="2"/>
      <c r="MJD35" s="2"/>
      <c r="MJE35" s="2"/>
      <c r="MJF35" s="2"/>
      <c r="MJG35" s="2"/>
      <c r="MJH35" s="2"/>
      <c r="MJI35" s="2"/>
      <c r="MJJ35" s="2"/>
      <c r="MJK35" s="2"/>
      <c r="MJL35" s="2"/>
      <c r="MJM35" s="2"/>
      <c r="MJN35" s="2"/>
      <c r="MJO35" s="2"/>
      <c r="MJP35" s="2"/>
      <c r="MJQ35" s="2"/>
      <c r="MJR35" s="2"/>
      <c r="MJS35" s="2"/>
      <c r="MJT35" s="2"/>
      <c r="MJU35" s="2"/>
      <c r="MJV35" s="2"/>
      <c r="MJW35" s="2"/>
      <c r="MJX35" s="2"/>
      <c r="MJY35" s="2"/>
      <c r="MJZ35" s="2"/>
      <c r="MKA35" s="2"/>
      <c r="MKB35" s="2"/>
      <c r="MKC35" s="2"/>
      <c r="MKD35" s="2"/>
      <c r="MKE35" s="2"/>
      <c r="MKF35" s="2"/>
      <c r="MKG35" s="2"/>
      <c r="MKH35" s="2"/>
      <c r="MKI35" s="2"/>
      <c r="MKJ35" s="2"/>
      <c r="MKK35" s="2"/>
      <c r="MKL35" s="2"/>
      <c r="MKM35" s="2"/>
      <c r="MKN35" s="2"/>
      <c r="MKO35" s="2"/>
      <c r="MKP35" s="2"/>
      <c r="MKQ35" s="2"/>
      <c r="MKR35" s="2"/>
      <c r="MKS35" s="2"/>
      <c r="MKT35" s="2"/>
      <c r="MKU35" s="2"/>
      <c r="MKV35" s="2"/>
      <c r="MKW35" s="2"/>
      <c r="MKX35" s="2"/>
      <c r="MKY35" s="2"/>
      <c r="MKZ35" s="2"/>
      <c r="MLA35" s="2"/>
      <c r="MLB35" s="2"/>
      <c r="MLC35" s="2"/>
      <c r="MLD35" s="2"/>
      <c r="MLE35" s="2"/>
      <c r="MLF35" s="2"/>
      <c r="MLG35" s="2"/>
      <c r="MLH35" s="2"/>
      <c r="MLI35" s="2"/>
      <c r="MLJ35" s="2"/>
      <c r="MLK35" s="2"/>
      <c r="MLL35" s="2"/>
      <c r="MLM35" s="2"/>
      <c r="MLN35" s="2"/>
      <c r="MLO35" s="2"/>
      <c r="MLP35" s="2"/>
      <c r="MLQ35" s="2"/>
      <c r="MLR35" s="2"/>
      <c r="MLS35" s="2"/>
      <c r="MLT35" s="2"/>
      <c r="MLU35" s="2"/>
      <c r="MLV35" s="2"/>
      <c r="MLW35" s="2"/>
      <c r="MLX35" s="2"/>
      <c r="MLY35" s="2"/>
      <c r="MLZ35" s="2"/>
      <c r="MMA35" s="2"/>
      <c r="MMB35" s="2"/>
      <c r="MMC35" s="2"/>
      <c r="MMD35" s="2"/>
      <c r="MME35" s="2"/>
      <c r="MMF35" s="2"/>
      <c r="MMG35" s="2"/>
      <c r="MMH35" s="2"/>
      <c r="MMI35" s="2"/>
      <c r="MMJ35" s="2"/>
      <c r="MMK35" s="2"/>
      <c r="MML35" s="2"/>
      <c r="MMM35" s="2"/>
      <c r="MMN35" s="2"/>
      <c r="MMO35" s="2"/>
      <c r="MMP35" s="2"/>
      <c r="MMQ35" s="2"/>
      <c r="MMR35" s="2"/>
      <c r="MMS35" s="2"/>
      <c r="MMT35" s="2"/>
      <c r="MMU35" s="2"/>
      <c r="MMV35" s="2"/>
      <c r="MMW35" s="2"/>
      <c r="MMX35" s="2"/>
      <c r="MMY35" s="2"/>
      <c r="MMZ35" s="2"/>
      <c r="MNA35" s="2"/>
      <c r="MNB35" s="2"/>
      <c r="MNC35" s="2"/>
      <c r="MND35" s="2"/>
      <c r="MNE35" s="2"/>
      <c r="MNF35" s="2"/>
      <c r="MNG35" s="2"/>
      <c r="MNH35" s="2"/>
      <c r="MNI35" s="2"/>
      <c r="MNJ35" s="2"/>
      <c r="MNK35" s="2"/>
      <c r="MNL35" s="2"/>
      <c r="MNM35" s="2"/>
      <c r="MNN35" s="2"/>
      <c r="MNO35" s="2"/>
      <c r="MNP35" s="2"/>
      <c r="MNQ35" s="2"/>
      <c r="MNR35" s="2"/>
      <c r="MNS35" s="2"/>
      <c r="MNT35" s="2"/>
      <c r="MNU35" s="2"/>
      <c r="MNV35" s="2"/>
      <c r="MNW35" s="2"/>
      <c r="MNX35" s="2"/>
      <c r="MNY35" s="2"/>
      <c r="MNZ35" s="2"/>
      <c r="MOA35" s="2"/>
      <c r="MOB35" s="2"/>
      <c r="MOC35" s="2"/>
      <c r="MOD35" s="2"/>
      <c r="MOE35" s="2"/>
      <c r="MOF35" s="2"/>
      <c r="MOG35" s="2"/>
      <c r="MOH35" s="2"/>
      <c r="MOI35" s="2"/>
      <c r="MOJ35" s="2"/>
      <c r="MOK35" s="2"/>
      <c r="MOL35" s="2"/>
      <c r="MOM35" s="2"/>
      <c r="MON35" s="2"/>
      <c r="MOO35" s="2"/>
      <c r="MOP35" s="2"/>
      <c r="MOQ35" s="2"/>
      <c r="MOR35" s="2"/>
      <c r="MOS35" s="2"/>
      <c r="MOT35" s="2"/>
      <c r="MOU35" s="2"/>
      <c r="MOV35" s="2"/>
      <c r="MOW35" s="2"/>
      <c r="MOX35" s="2"/>
      <c r="MOY35" s="2"/>
      <c r="MOZ35" s="2"/>
      <c r="MPA35" s="2"/>
      <c r="MPB35" s="2"/>
      <c r="MPC35" s="2"/>
      <c r="MPD35" s="2"/>
      <c r="MPE35" s="2"/>
      <c r="MPF35" s="2"/>
      <c r="MPG35" s="2"/>
      <c r="MPH35" s="2"/>
      <c r="MPI35" s="2"/>
      <c r="MPJ35" s="2"/>
      <c r="MPK35" s="2"/>
      <c r="MPL35" s="2"/>
      <c r="MPM35" s="2"/>
      <c r="MPN35" s="2"/>
      <c r="MPO35" s="2"/>
      <c r="MPP35" s="2"/>
      <c r="MPQ35" s="2"/>
      <c r="MPR35" s="2"/>
      <c r="MPS35" s="2"/>
      <c r="MPT35" s="2"/>
      <c r="MPU35" s="2"/>
      <c r="MPV35" s="2"/>
      <c r="MPW35" s="2"/>
      <c r="MPX35" s="2"/>
      <c r="MPY35" s="2"/>
      <c r="MPZ35" s="2"/>
      <c r="MQA35" s="2"/>
      <c r="MQB35" s="2"/>
      <c r="MQC35" s="2"/>
      <c r="MQD35" s="2"/>
      <c r="MQE35" s="2"/>
      <c r="MQF35" s="2"/>
      <c r="MQG35" s="2"/>
      <c r="MQH35" s="2"/>
      <c r="MQI35" s="2"/>
      <c r="MQJ35" s="2"/>
      <c r="MQK35" s="2"/>
      <c r="MQL35" s="2"/>
      <c r="MQM35" s="2"/>
      <c r="MQN35" s="2"/>
      <c r="MQO35" s="2"/>
      <c r="MQP35" s="2"/>
      <c r="MQQ35" s="2"/>
      <c r="MQR35" s="2"/>
      <c r="MQS35" s="2"/>
      <c r="MQT35" s="2"/>
      <c r="MQU35" s="2"/>
      <c r="MQV35" s="2"/>
      <c r="MQW35" s="2"/>
      <c r="MQX35" s="2"/>
      <c r="MQY35" s="2"/>
      <c r="MQZ35" s="2"/>
      <c r="MRA35" s="2"/>
      <c r="MRB35" s="2"/>
      <c r="MRC35" s="2"/>
      <c r="MRD35" s="2"/>
      <c r="MRE35" s="2"/>
      <c r="MRF35" s="2"/>
      <c r="MRG35" s="2"/>
      <c r="MRH35" s="2"/>
      <c r="MRI35" s="2"/>
      <c r="MRJ35" s="2"/>
      <c r="MRK35" s="2"/>
      <c r="MRL35" s="2"/>
      <c r="MRM35" s="2"/>
      <c r="MRN35" s="2"/>
      <c r="MRO35" s="2"/>
      <c r="MRP35" s="2"/>
      <c r="MRQ35" s="2"/>
      <c r="MRR35" s="2"/>
      <c r="MRS35" s="2"/>
      <c r="MRT35" s="2"/>
      <c r="MRU35" s="2"/>
      <c r="MRV35" s="2"/>
      <c r="MRW35" s="2"/>
      <c r="MRX35" s="2"/>
      <c r="MRY35" s="2"/>
      <c r="MRZ35" s="2"/>
      <c r="MSA35" s="2"/>
      <c r="MSB35" s="2"/>
      <c r="MSC35" s="2"/>
      <c r="MSD35" s="2"/>
      <c r="MSE35" s="2"/>
      <c r="MSF35" s="2"/>
      <c r="MSG35" s="2"/>
      <c r="MSH35" s="2"/>
      <c r="MSI35" s="2"/>
      <c r="MSJ35" s="2"/>
      <c r="MSK35" s="2"/>
      <c r="MSL35" s="2"/>
      <c r="MSM35" s="2"/>
      <c r="MSN35" s="2"/>
      <c r="MSO35" s="2"/>
      <c r="MSP35" s="2"/>
      <c r="MSQ35" s="2"/>
      <c r="MSR35" s="2"/>
      <c r="MSS35" s="2"/>
      <c r="MST35" s="2"/>
      <c r="MSU35" s="2"/>
      <c r="MSV35" s="2"/>
      <c r="MSW35" s="2"/>
      <c r="MSX35" s="2"/>
      <c r="MSY35" s="2"/>
      <c r="MSZ35" s="2"/>
      <c r="MTA35" s="2"/>
      <c r="MTB35" s="2"/>
      <c r="MTC35" s="2"/>
      <c r="MTD35" s="2"/>
      <c r="MTE35" s="2"/>
      <c r="MTF35" s="2"/>
      <c r="MTG35" s="2"/>
      <c r="MTH35" s="2"/>
      <c r="MTI35" s="2"/>
      <c r="MTJ35" s="2"/>
      <c r="MTK35" s="2"/>
      <c r="MTL35" s="2"/>
      <c r="MTM35" s="2"/>
      <c r="MTN35" s="2"/>
      <c r="MTO35" s="2"/>
      <c r="MTP35" s="2"/>
      <c r="MTQ35" s="2"/>
      <c r="MTR35" s="2"/>
      <c r="MTS35" s="2"/>
      <c r="MTT35" s="2"/>
      <c r="MTU35" s="2"/>
      <c r="MTV35" s="2"/>
      <c r="MTW35" s="2"/>
      <c r="MTX35" s="2"/>
      <c r="MTY35" s="2"/>
      <c r="MTZ35" s="2"/>
      <c r="MUA35" s="2"/>
      <c r="MUB35" s="2"/>
      <c r="MUC35" s="2"/>
      <c r="MUD35" s="2"/>
      <c r="MUE35" s="2"/>
      <c r="MUF35" s="2"/>
      <c r="MUG35" s="2"/>
      <c r="MUH35" s="2"/>
      <c r="MUI35" s="2"/>
      <c r="MUJ35" s="2"/>
      <c r="MUK35" s="2"/>
      <c r="MUL35" s="2"/>
      <c r="MUM35" s="2"/>
      <c r="MUN35" s="2"/>
      <c r="MUO35" s="2"/>
      <c r="MUP35" s="2"/>
      <c r="MUQ35" s="2"/>
      <c r="MUR35" s="2"/>
      <c r="MUS35" s="2"/>
      <c r="MUT35" s="2"/>
      <c r="MUU35" s="2"/>
      <c r="MUV35" s="2"/>
      <c r="MUW35" s="2"/>
      <c r="MUX35" s="2"/>
      <c r="MUY35" s="2"/>
      <c r="MUZ35" s="2"/>
      <c r="MVA35" s="2"/>
      <c r="MVB35" s="2"/>
      <c r="MVC35" s="2"/>
      <c r="MVD35" s="2"/>
      <c r="MVE35" s="2"/>
      <c r="MVF35" s="2"/>
      <c r="MVG35" s="2"/>
      <c r="MVH35" s="2"/>
      <c r="MVI35" s="2"/>
      <c r="MVJ35" s="2"/>
      <c r="MVK35" s="2"/>
      <c r="MVL35" s="2"/>
      <c r="MVM35" s="2"/>
      <c r="MVN35" s="2"/>
      <c r="MVO35" s="2"/>
      <c r="MVP35" s="2"/>
      <c r="MVQ35" s="2"/>
      <c r="MVR35" s="2"/>
      <c r="MVS35" s="2"/>
      <c r="MVT35" s="2"/>
      <c r="MVU35" s="2"/>
      <c r="MVV35" s="2"/>
      <c r="MVW35" s="2"/>
      <c r="MVX35" s="2"/>
      <c r="MVY35" s="2"/>
      <c r="MVZ35" s="2"/>
      <c r="MWA35" s="2"/>
      <c r="MWB35" s="2"/>
      <c r="MWC35" s="2"/>
      <c r="MWD35" s="2"/>
      <c r="MWE35" s="2"/>
      <c r="MWF35" s="2"/>
      <c r="MWG35" s="2"/>
      <c r="MWH35" s="2"/>
      <c r="MWI35" s="2"/>
      <c r="MWJ35" s="2"/>
      <c r="MWK35" s="2"/>
      <c r="MWL35" s="2"/>
      <c r="MWM35" s="2"/>
      <c r="MWN35" s="2"/>
      <c r="MWO35" s="2"/>
      <c r="MWP35" s="2"/>
      <c r="MWQ35" s="2"/>
      <c r="MWR35" s="2"/>
      <c r="MWS35" s="2"/>
      <c r="MWT35" s="2"/>
      <c r="MWU35" s="2"/>
      <c r="MWV35" s="2"/>
      <c r="MWW35" s="2"/>
      <c r="MWX35" s="2"/>
      <c r="MWY35" s="2"/>
      <c r="MWZ35" s="2"/>
      <c r="MXA35" s="2"/>
      <c r="MXB35" s="2"/>
      <c r="MXC35" s="2"/>
      <c r="MXD35" s="2"/>
      <c r="MXE35" s="2"/>
      <c r="MXF35" s="2"/>
      <c r="MXG35" s="2"/>
      <c r="MXH35" s="2"/>
      <c r="MXI35" s="2"/>
      <c r="MXJ35" s="2"/>
      <c r="MXK35" s="2"/>
      <c r="MXL35" s="2"/>
      <c r="MXM35" s="2"/>
      <c r="MXN35" s="2"/>
      <c r="MXO35" s="2"/>
      <c r="MXP35" s="2"/>
      <c r="MXQ35" s="2"/>
      <c r="MXR35" s="2"/>
      <c r="MXS35" s="2"/>
      <c r="MXT35" s="2"/>
      <c r="MXU35" s="2"/>
      <c r="MXV35" s="2"/>
      <c r="MXW35" s="2"/>
      <c r="MXX35" s="2"/>
      <c r="MXY35" s="2"/>
      <c r="MXZ35" s="2"/>
      <c r="MYA35" s="2"/>
      <c r="MYB35" s="2"/>
      <c r="MYC35" s="2"/>
      <c r="MYD35" s="2"/>
      <c r="MYE35" s="2"/>
      <c r="MYF35" s="2"/>
      <c r="MYG35" s="2"/>
      <c r="MYH35" s="2"/>
      <c r="MYI35" s="2"/>
      <c r="MYJ35" s="2"/>
      <c r="MYK35" s="2"/>
      <c r="MYL35" s="2"/>
      <c r="MYM35" s="2"/>
      <c r="MYN35" s="2"/>
      <c r="MYO35" s="2"/>
      <c r="MYP35" s="2"/>
      <c r="MYQ35" s="2"/>
      <c r="MYR35" s="2"/>
      <c r="MYS35" s="2"/>
      <c r="MYT35" s="2"/>
      <c r="MYU35" s="2"/>
      <c r="MYV35" s="2"/>
      <c r="MYW35" s="2"/>
      <c r="MYX35" s="2"/>
      <c r="MYY35" s="2"/>
      <c r="MYZ35" s="2"/>
      <c r="MZA35" s="2"/>
      <c r="MZB35" s="2"/>
      <c r="MZC35" s="2"/>
      <c r="MZD35" s="2"/>
      <c r="MZE35" s="2"/>
      <c r="MZF35" s="2"/>
      <c r="MZG35" s="2"/>
      <c r="MZH35" s="2"/>
      <c r="MZI35" s="2"/>
      <c r="MZJ35" s="2"/>
      <c r="MZK35" s="2"/>
      <c r="MZL35" s="2"/>
      <c r="MZM35" s="2"/>
      <c r="MZN35" s="2"/>
      <c r="MZO35" s="2"/>
      <c r="MZP35" s="2"/>
      <c r="MZQ35" s="2"/>
      <c r="MZR35" s="2"/>
      <c r="MZS35" s="2"/>
      <c r="MZT35" s="2"/>
      <c r="MZU35" s="2"/>
      <c r="MZV35" s="2"/>
      <c r="MZW35" s="2"/>
      <c r="MZX35" s="2"/>
      <c r="MZY35" s="2"/>
      <c r="MZZ35" s="2"/>
      <c r="NAA35" s="2"/>
      <c r="NAB35" s="2"/>
      <c r="NAC35" s="2"/>
      <c r="NAD35" s="2"/>
      <c r="NAE35" s="2"/>
      <c r="NAF35" s="2"/>
      <c r="NAG35" s="2"/>
      <c r="NAH35" s="2"/>
      <c r="NAI35" s="2"/>
      <c r="NAJ35" s="2"/>
      <c r="NAK35" s="2"/>
      <c r="NAL35" s="2"/>
      <c r="NAM35" s="2"/>
      <c r="NAN35" s="2"/>
      <c r="NAO35" s="2"/>
      <c r="NAP35" s="2"/>
      <c r="NAQ35" s="2"/>
      <c r="NAR35" s="2"/>
      <c r="NAS35" s="2"/>
      <c r="NAT35" s="2"/>
      <c r="NAU35" s="2"/>
      <c r="NAV35" s="2"/>
      <c r="NAW35" s="2"/>
      <c r="NAX35" s="2"/>
      <c r="NAY35" s="2"/>
      <c r="NAZ35" s="2"/>
      <c r="NBA35" s="2"/>
      <c r="NBB35" s="2"/>
      <c r="NBC35" s="2"/>
      <c r="NBD35" s="2"/>
      <c r="NBE35" s="2"/>
      <c r="NBF35" s="2"/>
      <c r="NBG35" s="2"/>
      <c r="NBH35" s="2"/>
      <c r="NBI35" s="2"/>
      <c r="NBJ35" s="2"/>
      <c r="NBK35" s="2"/>
      <c r="NBL35" s="2"/>
      <c r="NBM35" s="2"/>
      <c r="NBN35" s="2"/>
      <c r="NBO35" s="2"/>
      <c r="NBP35" s="2"/>
      <c r="NBQ35" s="2"/>
      <c r="NBR35" s="2"/>
      <c r="NBS35" s="2"/>
      <c r="NBT35" s="2"/>
      <c r="NBU35" s="2"/>
      <c r="NBV35" s="2"/>
      <c r="NBW35" s="2"/>
      <c r="NBX35" s="2"/>
      <c r="NBY35" s="2"/>
      <c r="NBZ35" s="2"/>
      <c r="NCA35" s="2"/>
      <c r="NCB35" s="2"/>
      <c r="NCC35" s="2"/>
      <c r="NCD35" s="2"/>
      <c r="NCE35" s="2"/>
      <c r="NCF35" s="2"/>
      <c r="NCG35" s="2"/>
      <c r="NCH35" s="2"/>
      <c r="NCI35" s="2"/>
      <c r="NCJ35" s="2"/>
      <c r="NCK35" s="2"/>
      <c r="NCL35" s="2"/>
      <c r="NCM35" s="2"/>
      <c r="NCN35" s="2"/>
      <c r="NCO35" s="2"/>
      <c r="NCP35" s="2"/>
      <c r="NCQ35" s="2"/>
      <c r="NCR35" s="2"/>
      <c r="NCS35" s="2"/>
      <c r="NCT35" s="2"/>
      <c r="NCU35" s="2"/>
      <c r="NCV35" s="2"/>
      <c r="NCW35" s="2"/>
      <c r="NCX35" s="2"/>
      <c r="NCY35" s="2"/>
      <c r="NCZ35" s="2"/>
      <c r="NDA35" s="2"/>
      <c r="NDB35" s="2"/>
      <c r="NDC35" s="2"/>
      <c r="NDD35" s="2"/>
      <c r="NDE35" s="2"/>
      <c r="NDF35" s="2"/>
      <c r="NDG35" s="2"/>
      <c r="NDH35" s="2"/>
      <c r="NDI35" s="2"/>
      <c r="NDJ35" s="2"/>
      <c r="NDK35" s="2"/>
      <c r="NDL35" s="2"/>
      <c r="NDM35" s="2"/>
      <c r="NDN35" s="2"/>
      <c r="NDO35" s="2"/>
      <c r="NDP35" s="2"/>
      <c r="NDQ35" s="2"/>
      <c r="NDR35" s="2"/>
      <c r="NDS35" s="2"/>
      <c r="NDT35" s="2"/>
      <c r="NDU35" s="2"/>
      <c r="NDV35" s="2"/>
      <c r="NDW35" s="2"/>
      <c r="NDX35" s="2"/>
      <c r="NDY35" s="2"/>
      <c r="NDZ35" s="2"/>
      <c r="NEA35" s="2"/>
      <c r="NEB35" s="2"/>
      <c r="NEC35" s="2"/>
      <c r="NED35" s="2"/>
      <c r="NEE35" s="2"/>
      <c r="NEF35" s="2"/>
      <c r="NEG35" s="2"/>
      <c r="NEH35" s="2"/>
      <c r="NEI35" s="2"/>
      <c r="NEJ35" s="2"/>
      <c r="NEK35" s="2"/>
      <c r="NEL35" s="2"/>
      <c r="NEM35" s="2"/>
      <c r="NEN35" s="2"/>
      <c r="NEO35" s="2"/>
      <c r="NEP35" s="2"/>
      <c r="NEQ35" s="2"/>
      <c r="NER35" s="2"/>
      <c r="NES35" s="2"/>
      <c r="NET35" s="2"/>
      <c r="NEU35" s="2"/>
      <c r="NEV35" s="2"/>
      <c r="NEW35" s="2"/>
      <c r="NEX35" s="2"/>
      <c r="NEY35" s="2"/>
      <c r="NEZ35" s="2"/>
      <c r="NFA35" s="2"/>
      <c r="NFB35" s="2"/>
      <c r="NFC35" s="2"/>
      <c r="NFD35" s="2"/>
      <c r="NFE35" s="2"/>
      <c r="NFF35" s="2"/>
      <c r="NFG35" s="2"/>
      <c r="NFH35" s="2"/>
      <c r="NFI35" s="2"/>
      <c r="NFJ35" s="2"/>
      <c r="NFK35" s="2"/>
      <c r="NFL35" s="2"/>
      <c r="NFM35" s="2"/>
      <c r="NFN35" s="2"/>
      <c r="NFO35" s="2"/>
      <c r="NFP35" s="2"/>
      <c r="NFQ35" s="2"/>
      <c r="NFR35" s="2"/>
      <c r="NFS35" s="2"/>
      <c r="NFT35" s="2"/>
      <c r="NFU35" s="2"/>
      <c r="NFV35" s="2"/>
      <c r="NFW35" s="2"/>
      <c r="NFX35" s="2"/>
      <c r="NFY35" s="2"/>
      <c r="NFZ35" s="2"/>
      <c r="NGA35" s="2"/>
      <c r="NGB35" s="2"/>
      <c r="NGC35" s="2"/>
      <c r="NGD35" s="2"/>
      <c r="NGE35" s="2"/>
      <c r="NGF35" s="2"/>
      <c r="NGG35" s="2"/>
      <c r="NGH35" s="2"/>
      <c r="NGI35" s="2"/>
      <c r="NGJ35" s="2"/>
      <c r="NGK35" s="2"/>
      <c r="NGL35" s="2"/>
      <c r="NGM35" s="2"/>
      <c r="NGN35" s="2"/>
      <c r="NGO35" s="2"/>
      <c r="NGP35" s="2"/>
      <c r="NGQ35" s="2"/>
      <c r="NGR35" s="2"/>
      <c r="NGS35" s="2"/>
      <c r="NGT35" s="2"/>
      <c r="NGU35" s="2"/>
      <c r="NGV35" s="2"/>
      <c r="NGW35" s="2"/>
      <c r="NGX35" s="2"/>
      <c r="NGY35" s="2"/>
      <c r="NGZ35" s="2"/>
      <c r="NHA35" s="2"/>
      <c r="NHB35" s="2"/>
      <c r="NHC35" s="2"/>
      <c r="NHD35" s="2"/>
      <c r="NHE35" s="2"/>
      <c r="NHF35" s="2"/>
      <c r="NHG35" s="2"/>
      <c r="NHH35" s="2"/>
      <c r="NHI35" s="2"/>
      <c r="NHJ35" s="2"/>
      <c r="NHK35" s="2"/>
      <c r="NHL35" s="2"/>
      <c r="NHM35" s="2"/>
      <c r="NHN35" s="2"/>
      <c r="NHO35" s="2"/>
      <c r="NHP35" s="2"/>
      <c r="NHQ35" s="2"/>
      <c r="NHR35" s="2"/>
      <c r="NHS35" s="2"/>
      <c r="NHT35" s="2"/>
      <c r="NHU35" s="2"/>
      <c r="NHV35" s="2"/>
      <c r="NHW35" s="2"/>
      <c r="NHX35" s="2"/>
      <c r="NHY35" s="2"/>
      <c r="NHZ35" s="2"/>
      <c r="NIA35" s="2"/>
      <c r="NIB35" s="2"/>
      <c r="NIC35" s="2"/>
      <c r="NID35" s="2"/>
      <c r="NIE35" s="2"/>
      <c r="NIF35" s="2"/>
      <c r="NIG35" s="2"/>
      <c r="NIH35" s="2"/>
      <c r="NII35" s="2"/>
      <c r="NIJ35" s="2"/>
      <c r="NIK35" s="2"/>
      <c r="NIL35" s="2"/>
      <c r="NIM35" s="2"/>
      <c r="NIN35" s="2"/>
      <c r="NIO35" s="2"/>
      <c r="NIP35" s="2"/>
      <c r="NIQ35" s="2"/>
      <c r="NIR35" s="2"/>
      <c r="NIS35" s="2"/>
      <c r="NIT35" s="2"/>
      <c r="NIU35" s="2"/>
      <c r="NIV35" s="2"/>
      <c r="NIW35" s="2"/>
      <c r="NIX35" s="2"/>
      <c r="NIY35" s="2"/>
      <c r="NIZ35" s="2"/>
      <c r="NJA35" s="2"/>
      <c r="NJB35" s="2"/>
      <c r="NJC35" s="2"/>
      <c r="NJD35" s="2"/>
      <c r="NJE35" s="2"/>
      <c r="NJF35" s="2"/>
      <c r="NJG35" s="2"/>
      <c r="NJH35" s="2"/>
      <c r="NJI35" s="2"/>
      <c r="NJJ35" s="2"/>
      <c r="NJK35" s="2"/>
      <c r="NJL35" s="2"/>
      <c r="NJM35" s="2"/>
      <c r="NJN35" s="2"/>
      <c r="NJO35" s="2"/>
      <c r="NJP35" s="2"/>
      <c r="NJQ35" s="2"/>
      <c r="NJR35" s="2"/>
      <c r="NJS35" s="2"/>
      <c r="NJT35" s="2"/>
      <c r="NJU35" s="2"/>
      <c r="NJV35" s="2"/>
      <c r="NJW35" s="2"/>
      <c r="NJX35" s="2"/>
      <c r="NJY35" s="2"/>
      <c r="NJZ35" s="2"/>
      <c r="NKA35" s="2"/>
      <c r="NKB35" s="2"/>
      <c r="NKC35" s="2"/>
      <c r="NKD35" s="2"/>
      <c r="NKE35" s="2"/>
      <c r="NKF35" s="2"/>
      <c r="NKG35" s="2"/>
      <c r="NKH35" s="2"/>
      <c r="NKI35" s="2"/>
      <c r="NKJ35" s="2"/>
      <c r="NKK35" s="2"/>
      <c r="NKL35" s="2"/>
      <c r="NKM35" s="2"/>
      <c r="NKN35" s="2"/>
      <c r="NKO35" s="2"/>
      <c r="NKP35" s="2"/>
      <c r="NKQ35" s="2"/>
      <c r="NKR35" s="2"/>
      <c r="NKS35" s="2"/>
      <c r="NKT35" s="2"/>
      <c r="NKU35" s="2"/>
      <c r="NKV35" s="2"/>
      <c r="NKW35" s="2"/>
      <c r="NKX35" s="2"/>
      <c r="NKY35" s="2"/>
      <c r="NKZ35" s="2"/>
      <c r="NLA35" s="2"/>
      <c r="NLB35" s="2"/>
      <c r="NLC35" s="2"/>
      <c r="NLD35" s="2"/>
      <c r="NLE35" s="2"/>
      <c r="NLF35" s="2"/>
      <c r="NLG35" s="2"/>
      <c r="NLH35" s="2"/>
      <c r="NLI35" s="2"/>
      <c r="NLJ35" s="2"/>
      <c r="NLK35" s="2"/>
      <c r="NLL35" s="2"/>
      <c r="NLM35" s="2"/>
      <c r="NLN35" s="2"/>
      <c r="NLO35" s="2"/>
      <c r="NLP35" s="2"/>
      <c r="NLQ35" s="2"/>
      <c r="NLR35" s="2"/>
      <c r="NLS35" s="2"/>
      <c r="NLT35" s="2"/>
      <c r="NLU35" s="2"/>
      <c r="NLV35" s="2"/>
      <c r="NLW35" s="2"/>
      <c r="NLX35" s="2"/>
      <c r="NLY35" s="2"/>
      <c r="NLZ35" s="2"/>
      <c r="NMA35" s="2"/>
      <c r="NMB35" s="2"/>
      <c r="NMC35" s="2"/>
      <c r="NMD35" s="2"/>
      <c r="NME35" s="2"/>
      <c r="NMF35" s="2"/>
      <c r="NMG35" s="2"/>
      <c r="NMH35" s="2"/>
      <c r="NMI35" s="2"/>
      <c r="NMJ35" s="2"/>
      <c r="NMK35" s="2"/>
      <c r="NML35" s="2"/>
      <c r="NMM35" s="2"/>
      <c r="NMN35" s="2"/>
      <c r="NMO35" s="2"/>
      <c r="NMP35" s="2"/>
      <c r="NMQ35" s="2"/>
      <c r="NMR35" s="2"/>
      <c r="NMS35" s="2"/>
      <c r="NMT35" s="2"/>
      <c r="NMU35" s="2"/>
      <c r="NMV35" s="2"/>
      <c r="NMW35" s="2"/>
      <c r="NMX35" s="2"/>
      <c r="NMY35" s="2"/>
      <c r="NMZ35" s="2"/>
      <c r="NNA35" s="2"/>
      <c r="NNB35" s="2"/>
      <c r="NNC35" s="2"/>
      <c r="NND35" s="2"/>
      <c r="NNE35" s="2"/>
      <c r="NNF35" s="2"/>
      <c r="NNG35" s="2"/>
      <c r="NNH35" s="2"/>
      <c r="NNI35" s="2"/>
      <c r="NNJ35" s="2"/>
      <c r="NNK35" s="2"/>
      <c r="NNL35" s="2"/>
      <c r="NNM35" s="2"/>
      <c r="NNN35" s="2"/>
      <c r="NNO35" s="2"/>
      <c r="NNP35" s="2"/>
      <c r="NNQ35" s="2"/>
      <c r="NNR35" s="2"/>
      <c r="NNS35" s="2"/>
      <c r="NNT35" s="2"/>
      <c r="NNU35" s="2"/>
      <c r="NNV35" s="2"/>
      <c r="NNW35" s="2"/>
      <c r="NNX35" s="2"/>
      <c r="NNY35" s="2"/>
      <c r="NNZ35" s="2"/>
      <c r="NOA35" s="2"/>
      <c r="NOB35" s="2"/>
      <c r="NOC35" s="2"/>
      <c r="NOD35" s="2"/>
      <c r="NOE35" s="2"/>
      <c r="NOF35" s="2"/>
      <c r="NOG35" s="2"/>
      <c r="NOH35" s="2"/>
      <c r="NOI35" s="2"/>
      <c r="NOJ35" s="2"/>
      <c r="NOK35" s="2"/>
      <c r="NOL35" s="2"/>
      <c r="NOM35" s="2"/>
      <c r="NON35" s="2"/>
      <c r="NOO35" s="2"/>
      <c r="NOP35" s="2"/>
      <c r="NOQ35" s="2"/>
      <c r="NOR35" s="2"/>
      <c r="NOS35" s="2"/>
      <c r="NOT35" s="2"/>
      <c r="NOU35" s="2"/>
      <c r="NOV35" s="2"/>
      <c r="NOW35" s="2"/>
      <c r="NOX35" s="2"/>
      <c r="NOY35" s="2"/>
      <c r="NOZ35" s="2"/>
      <c r="NPA35" s="2"/>
      <c r="NPB35" s="2"/>
      <c r="NPC35" s="2"/>
      <c r="NPD35" s="2"/>
      <c r="NPE35" s="2"/>
      <c r="NPF35" s="2"/>
      <c r="NPG35" s="2"/>
      <c r="NPH35" s="2"/>
      <c r="NPI35" s="2"/>
      <c r="NPJ35" s="2"/>
      <c r="NPK35" s="2"/>
      <c r="NPL35" s="2"/>
      <c r="NPM35" s="2"/>
      <c r="NPN35" s="2"/>
      <c r="NPO35" s="2"/>
      <c r="NPP35" s="2"/>
      <c r="NPQ35" s="2"/>
      <c r="NPR35" s="2"/>
      <c r="NPS35" s="2"/>
      <c r="NPT35" s="2"/>
      <c r="NPU35" s="2"/>
      <c r="NPV35" s="2"/>
      <c r="NPW35" s="2"/>
      <c r="NPX35" s="2"/>
      <c r="NPY35" s="2"/>
      <c r="NPZ35" s="2"/>
      <c r="NQA35" s="2"/>
      <c r="NQB35" s="2"/>
      <c r="NQC35" s="2"/>
      <c r="NQD35" s="2"/>
      <c r="NQE35" s="2"/>
      <c r="NQF35" s="2"/>
      <c r="NQG35" s="2"/>
      <c r="NQH35" s="2"/>
      <c r="NQI35" s="2"/>
      <c r="NQJ35" s="2"/>
      <c r="NQK35" s="2"/>
      <c r="NQL35" s="2"/>
      <c r="NQM35" s="2"/>
      <c r="NQN35" s="2"/>
      <c r="NQO35" s="2"/>
      <c r="NQP35" s="2"/>
      <c r="NQQ35" s="2"/>
      <c r="NQR35" s="2"/>
      <c r="NQS35" s="2"/>
      <c r="NQT35" s="2"/>
      <c r="NQU35" s="2"/>
      <c r="NQV35" s="2"/>
      <c r="NQW35" s="2"/>
      <c r="NQX35" s="2"/>
      <c r="NQY35" s="2"/>
      <c r="NQZ35" s="2"/>
      <c r="NRA35" s="2"/>
      <c r="NRB35" s="2"/>
      <c r="NRC35" s="2"/>
      <c r="NRD35" s="2"/>
      <c r="NRE35" s="2"/>
      <c r="NRF35" s="2"/>
      <c r="NRG35" s="2"/>
      <c r="NRH35" s="2"/>
      <c r="NRI35" s="2"/>
      <c r="NRJ35" s="2"/>
      <c r="NRK35" s="2"/>
      <c r="NRL35" s="2"/>
      <c r="NRM35" s="2"/>
      <c r="NRN35" s="2"/>
      <c r="NRO35" s="2"/>
      <c r="NRP35" s="2"/>
      <c r="NRQ35" s="2"/>
      <c r="NRR35" s="2"/>
      <c r="NRS35" s="2"/>
      <c r="NRT35" s="2"/>
      <c r="NRU35" s="2"/>
      <c r="NRV35" s="2"/>
      <c r="NRW35" s="2"/>
      <c r="NRX35" s="2"/>
      <c r="NRY35" s="2"/>
      <c r="NRZ35" s="2"/>
      <c r="NSA35" s="2"/>
      <c r="NSB35" s="2"/>
      <c r="NSC35" s="2"/>
      <c r="NSD35" s="2"/>
      <c r="NSE35" s="2"/>
      <c r="NSF35" s="2"/>
      <c r="NSG35" s="2"/>
      <c r="NSH35" s="2"/>
      <c r="NSI35" s="2"/>
      <c r="NSJ35" s="2"/>
      <c r="NSK35" s="2"/>
      <c r="NSL35" s="2"/>
      <c r="NSM35" s="2"/>
      <c r="NSN35" s="2"/>
      <c r="NSO35" s="2"/>
      <c r="NSP35" s="2"/>
      <c r="NSQ35" s="2"/>
      <c r="NSR35" s="2"/>
      <c r="NSS35" s="2"/>
      <c r="NST35" s="2"/>
      <c r="NSU35" s="2"/>
      <c r="NSV35" s="2"/>
      <c r="NSW35" s="2"/>
      <c r="NSX35" s="2"/>
      <c r="NSY35" s="2"/>
      <c r="NSZ35" s="2"/>
      <c r="NTA35" s="2"/>
      <c r="NTB35" s="2"/>
      <c r="NTC35" s="2"/>
      <c r="NTD35" s="2"/>
      <c r="NTE35" s="2"/>
      <c r="NTF35" s="2"/>
      <c r="NTG35" s="2"/>
      <c r="NTH35" s="2"/>
      <c r="NTI35" s="2"/>
      <c r="NTJ35" s="2"/>
      <c r="NTK35" s="2"/>
      <c r="NTL35" s="2"/>
      <c r="NTM35" s="2"/>
      <c r="NTN35" s="2"/>
      <c r="NTO35" s="2"/>
      <c r="NTP35" s="2"/>
      <c r="NTQ35" s="2"/>
      <c r="NTR35" s="2"/>
      <c r="NTS35" s="2"/>
      <c r="NTT35" s="2"/>
      <c r="NTU35" s="2"/>
      <c r="NTV35" s="2"/>
      <c r="NTW35" s="2"/>
      <c r="NTX35" s="2"/>
      <c r="NTY35" s="2"/>
      <c r="NTZ35" s="2"/>
      <c r="NUA35" s="2"/>
      <c r="NUB35" s="2"/>
      <c r="NUC35" s="2"/>
      <c r="NUD35" s="2"/>
      <c r="NUE35" s="2"/>
      <c r="NUF35" s="2"/>
      <c r="NUG35" s="2"/>
      <c r="NUH35" s="2"/>
      <c r="NUI35" s="2"/>
      <c r="NUJ35" s="2"/>
      <c r="NUK35" s="2"/>
      <c r="NUL35" s="2"/>
      <c r="NUM35" s="2"/>
      <c r="NUN35" s="2"/>
      <c r="NUO35" s="2"/>
      <c r="NUP35" s="2"/>
      <c r="NUQ35" s="2"/>
      <c r="NUR35" s="2"/>
      <c r="NUS35" s="2"/>
      <c r="NUT35" s="2"/>
      <c r="NUU35" s="2"/>
      <c r="NUV35" s="2"/>
      <c r="NUW35" s="2"/>
      <c r="NUX35" s="2"/>
      <c r="NUY35" s="2"/>
      <c r="NUZ35" s="2"/>
      <c r="NVA35" s="2"/>
      <c r="NVB35" s="2"/>
      <c r="NVC35" s="2"/>
      <c r="NVD35" s="2"/>
      <c r="NVE35" s="2"/>
      <c r="NVF35" s="2"/>
      <c r="NVG35" s="2"/>
      <c r="NVH35" s="2"/>
      <c r="NVI35" s="2"/>
      <c r="NVJ35" s="2"/>
      <c r="NVK35" s="2"/>
      <c r="NVL35" s="2"/>
      <c r="NVM35" s="2"/>
      <c r="NVN35" s="2"/>
      <c r="NVO35" s="2"/>
      <c r="NVP35" s="2"/>
      <c r="NVQ35" s="2"/>
      <c r="NVR35" s="2"/>
      <c r="NVS35" s="2"/>
      <c r="NVT35" s="2"/>
      <c r="NVU35" s="2"/>
      <c r="NVV35" s="2"/>
      <c r="NVW35" s="2"/>
      <c r="NVX35" s="2"/>
      <c r="NVY35" s="2"/>
      <c r="NVZ35" s="2"/>
      <c r="NWA35" s="2"/>
      <c r="NWB35" s="2"/>
      <c r="NWC35" s="2"/>
      <c r="NWD35" s="2"/>
      <c r="NWE35" s="2"/>
      <c r="NWF35" s="2"/>
      <c r="NWG35" s="2"/>
      <c r="NWH35" s="2"/>
      <c r="NWI35" s="2"/>
      <c r="NWJ35" s="2"/>
      <c r="NWK35" s="2"/>
      <c r="NWL35" s="2"/>
      <c r="NWM35" s="2"/>
      <c r="NWN35" s="2"/>
      <c r="NWO35" s="2"/>
      <c r="NWP35" s="2"/>
      <c r="NWQ35" s="2"/>
      <c r="NWR35" s="2"/>
      <c r="NWS35" s="2"/>
      <c r="NWT35" s="2"/>
      <c r="NWU35" s="2"/>
      <c r="NWV35" s="2"/>
      <c r="NWW35" s="2"/>
      <c r="NWX35" s="2"/>
      <c r="NWY35" s="2"/>
      <c r="NWZ35" s="2"/>
      <c r="NXA35" s="2"/>
      <c r="NXB35" s="2"/>
      <c r="NXC35" s="2"/>
      <c r="NXD35" s="2"/>
      <c r="NXE35" s="2"/>
      <c r="NXF35" s="2"/>
      <c r="NXG35" s="2"/>
      <c r="NXH35" s="2"/>
      <c r="NXI35" s="2"/>
      <c r="NXJ35" s="2"/>
      <c r="NXK35" s="2"/>
      <c r="NXL35" s="2"/>
      <c r="NXM35" s="2"/>
      <c r="NXN35" s="2"/>
      <c r="NXO35" s="2"/>
      <c r="NXP35" s="2"/>
      <c r="NXQ35" s="2"/>
      <c r="NXR35" s="2"/>
      <c r="NXS35" s="2"/>
      <c r="NXT35" s="2"/>
      <c r="NXU35" s="2"/>
      <c r="NXV35" s="2"/>
      <c r="NXW35" s="2"/>
      <c r="NXX35" s="2"/>
      <c r="NXY35" s="2"/>
      <c r="NXZ35" s="2"/>
      <c r="NYA35" s="2"/>
      <c r="NYB35" s="2"/>
      <c r="NYC35" s="2"/>
      <c r="NYD35" s="2"/>
      <c r="NYE35" s="2"/>
      <c r="NYF35" s="2"/>
      <c r="NYG35" s="2"/>
      <c r="NYH35" s="2"/>
      <c r="NYI35" s="2"/>
      <c r="NYJ35" s="2"/>
      <c r="NYK35" s="2"/>
      <c r="NYL35" s="2"/>
      <c r="NYM35" s="2"/>
      <c r="NYN35" s="2"/>
      <c r="NYO35" s="2"/>
      <c r="NYP35" s="2"/>
      <c r="NYQ35" s="2"/>
      <c r="NYR35" s="2"/>
      <c r="NYS35" s="2"/>
      <c r="NYT35" s="2"/>
      <c r="NYU35" s="2"/>
      <c r="NYV35" s="2"/>
      <c r="NYW35" s="2"/>
      <c r="NYX35" s="2"/>
      <c r="NYY35" s="2"/>
      <c r="NYZ35" s="2"/>
      <c r="NZA35" s="2"/>
      <c r="NZB35" s="2"/>
      <c r="NZC35" s="2"/>
      <c r="NZD35" s="2"/>
      <c r="NZE35" s="2"/>
      <c r="NZF35" s="2"/>
      <c r="NZG35" s="2"/>
      <c r="NZH35" s="2"/>
      <c r="NZI35" s="2"/>
      <c r="NZJ35" s="2"/>
      <c r="NZK35" s="2"/>
      <c r="NZL35" s="2"/>
      <c r="NZM35" s="2"/>
      <c r="NZN35" s="2"/>
      <c r="NZO35" s="2"/>
      <c r="NZP35" s="2"/>
      <c r="NZQ35" s="2"/>
      <c r="NZR35" s="2"/>
      <c r="NZS35" s="2"/>
      <c r="NZT35" s="2"/>
      <c r="NZU35" s="2"/>
      <c r="NZV35" s="2"/>
      <c r="NZW35" s="2"/>
      <c r="NZX35" s="2"/>
      <c r="NZY35" s="2"/>
      <c r="NZZ35" s="2"/>
      <c r="OAA35" s="2"/>
      <c r="OAB35" s="2"/>
      <c r="OAC35" s="2"/>
      <c r="OAD35" s="2"/>
      <c r="OAE35" s="2"/>
      <c r="OAF35" s="2"/>
      <c r="OAG35" s="2"/>
      <c r="OAH35" s="2"/>
      <c r="OAI35" s="2"/>
      <c r="OAJ35" s="2"/>
      <c r="OAK35" s="2"/>
      <c r="OAL35" s="2"/>
      <c r="OAM35" s="2"/>
      <c r="OAN35" s="2"/>
      <c r="OAO35" s="2"/>
      <c r="OAP35" s="2"/>
      <c r="OAQ35" s="2"/>
      <c r="OAR35" s="2"/>
      <c r="OAS35" s="2"/>
      <c r="OAT35" s="2"/>
      <c r="OAU35" s="2"/>
      <c r="OAV35" s="2"/>
      <c r="OAW35" s="2"/>
      <c r="OAX35" s="2"/>
      <c r="OAY35" s="2"/>
      <c r="OAZ35" s="2"/>
      <c r="OBA35" s="2"/>
      <c r="OBB35" s="2"/>
      <c r="OBC35" s="2"/>
      <c r="OBD35" s="2"/>
      <c r="OBE35" s="2"/>
      <c r="OBF35" s="2"/>
      <c r="OBG35" s="2"/>
      <c r="OBH35" s="2"/>
      <c r="OBI35" s="2"/>
      <c r="OBJ35" s="2"/>
      <c r="OBK35" s="2"/>
      <c r="OBL35" s="2"/>
      <c r="OBM35" s="2"/>
      <c r="OBN35" s="2"/>
      <c r="OBO35" s="2"/>
      <c r="OBP35" s="2"/>
      <c r="OBQ35" s="2"/>
      <c r="OBR35" s="2"/>
      <c r="OBS35" s="2"/>
      <c r="OBT35" s="2"/>
      <c r="OBU35" s="2"/>
      <c r="OBV35" s="2"/>
      <c r="OBW35" s="2"/>
      <c r="OBX35" s="2"/>
      <c r="OBY35" s="2"/>
      <c r="OBZ35" s="2"/>
      <c r="OCA35" s="2"/>
      <c r="OCB35" s="2"/>
      <c r="OCC35" s="2"/>
      <c r="OCD35" s="2"/>
      <c r="OCE35" s="2"/>
      <c r="OCF35" s="2"/>
      <c r="OCG35" s="2"/>
      <c r="OCH35" s="2"/>
      <c r="OCI35" s="2"/>
      <c r="OCJ35" s="2"/>
      <c r="OCK35" s="2"/>
      <c r="OCL35" s="2"/>
      <c r="OCM35" s="2"/>
      <c r="OCN35" s="2"/>
      <c r="OCO35" s="2"/>
      <c r="OCP35" s="2"/>
      <c r="OCQ35" s="2"/>
      <c r="OCR35" s="2"/>
      <c r="OCS35" s="2"/>
      <c r="OCT35" s="2"/>
      <c r="OCU35" s="2"/>
      <c r="OCV35" s="2"/>
      <c r="OCW35" s="2"/>
      <c r="OCX35" s="2"/>
      <c r="OCY35" s="2"/>
      <c r="OCZ35" s="2"/>
      <c r="ODA35" s="2"/>
      <c r="ODB35" s="2"/>
      <c r="ODC35" s="2"/>
      <c r="ODD35" s="2"/>
      <c r="ODE35" s="2"/>
      <c r="ODF35" s="2"/>
      <c r="ODG35" s="2"/>
      <c r="ODH35" s="2"/>
      <c r="ODI35" s="2"/>
      <c r="ODJ35" s="2"/>
      <c r="ODK35" s="2"/>
      <c r="ODL35" s="2"/>
      <c r="ODM35" s="2"/>
      <c r="ODN35" s="2"/>
      <c r="ODO35" s="2"/>
      <c r="ODP35" s="2"/>
      <c r="ODQ35" s="2"/>
      <c r="ODR35" s="2"/>
      <c r="ODS35" s="2"/>
      <c r="ODT35" s="2"/>
      <c r="ODU35" s="2"/>
      <c r="ODV35" s="2"/>
      <c r="ODW35" s="2"/>
      <c r="ODX35" s="2"/>
      <c r="ODY35" s="2"/>
      <c r="ODZ35" s="2"/>
      <c r="OEA35" s="2"/>
      <c r="OEB35" s="2"/>
      <c r="OEC35" s="2"/>
      <c r="OED35" s="2"/>
      <c r="OEE35" s="2"/>
      <c r="OEF35" s="2"/>
      <c r="OEG35" s="2"/>
      <c r="OEH35" s="2"/>
      <c r="OEI35" s="2"/>
      <c r="OEJ35" s="2"/>
      <c r="OEK35" s="2"/>
      <c r="OEL35" s="2"/>
      <c r="OEM35" s="2"/>
      <c r="OEN35" s="2"/>
      <c r="OEO35" s="2"/>
      <c r="OEP35" s="2"/>
      <c r="OEQ35" s="2"/>
      <c r="OER35" s="2"/>
      <c r="OES35" s="2"/>
      <c r="OET35" s="2"/>
      <c r="OEU35" s="2"/>
      <c r="OEV35" s="2"/>
      <c r="OEW35" s="2"/>
      <c r="OEX35" s="2"/>
      <c r="OEY35" s="2"/>
      <c r="OEZ35" s="2"/>
      <c r="OFA35" s="2"/>
      <c r="OFB35" s="2"/>
      <c r="OFC35" s="2"/>
      <c r="OFD35" s="2"/>
      <c r="OFE35" s="2"/>
      <c r="OFF35" s="2"/>
      <c r="OFG35" s="2"/>
      <c r="OFH35" s="2"/>
      <c r="OFI35" s="2"/>
      <c r="OFJ35" s="2"/>
      <c r="OFK35" s="2"/>
      <c r="OFL35" s="2"/>
      <c r="OFM35" s="2"/>
      <c r="OFN35" s="2"/>
      <c r="OFO35" s="2"/>
      <c r="OFP35" s="2"/>
      <c r="OFQ35" s="2"/>
      <c r="OFR35" s="2"/>
      <c r="OFS35" s="2"/>
      <c r="OFT35" s="2"/>
      <c r="OFU35" s="2"/>
      <c r="OFV35" s="2"/>
      <c r="OFW35" s="2"/>
      <c r="OFX35" s="2"/>
      <c r="OFY35" s="2"/>
      <c r="OFZ35" s="2"/>
      <c r="OGA35" s="2"/>
      <c r="OGB35" s="2"/>
      <c r="OGC35" s="2"/>
      <c r="OGD35" s="2"/>
      <c r="OGE35" s="2"/>
      <c r="OGF35" s="2"/>
      <c r="OGG35" s="2"/>
      <c r="OGH35" s="2"/>
      <c r="OGI35" s="2"/>
      <c r="OGJ35" s="2"/>
      <c r="OGK35" s="2"/>
      <c r="OGL35" s="2"/>
      <c r="OGM35" s="2"/>
      <c r="OGN35" s="2"/>
      <c r="OGO35" s="2"/>
      <c r="OGP35" s="2"/>
      <c r="OGQ35" s="2"/>
      <c r="OGR35" s="2"/>
      <c r="OGS35" s="2"/>
      <c r="OGT35" s="2"/>
      <c r="OGU35" s="2"/>
      <c r="OGV35" s="2"/>
      <c r="OGW35" s="2"/>
      <c r="OGX35" s="2"/>
      <c r="OGY35" s="2"/>
      <c r="OGZ35" s="2"/>
      <c r="OHA35" s="2"/>
      <c r="OHB35" s="2"/>
      <c r="OHC35" s="2"/>
      <c r="OHD35" s="2"/>
      <c r="OHE35" s="2"/>
      <c r="OHF35" s="2"/>
      <c r="OHG35" s="2"/>
      <c r="OHH35" s="2"/>
      <c r="OHI35" s="2"/>
      <c r="OHJ35" s="2"/>
      <c r="OHK35" s="2"/>
      <c r="OHL35" s="2"/>
      <c r="OHM35" s="2"/>
      <c r="OHN35" s="2"/>
      <c r="OHO35" s="2"/>
      <c r="OHP35" s="2"/>
      <c r="OHQ35" s="2"/>
      <c r="OHR35" s="2"/>
      <c r="OHS35" s="2"/>
      <c r="OHT35" s="2"/>
      <c r="OHU35" s="2"/>
      <c r="OHV35" s="2"/>
      <c r="OHW35" s="2"/>
      <c r="OHX35" s="2"/>
      <c r="OHY35" s="2"/>
      <c r="OHZ35" s="2"/>
      <c r="OIA35" s="2"/>
      <c r="OIB35" s="2"/>
      <c r="OIC35" s="2"/>
      <c r="OID35" s="2"/>
      <c r="OIE35" s="2"/>
      <c r="OIF35" s="2"/>
      <c r="OIG35" s="2"/>
      <c r="OIH35" s="2"/>
      <c r="OII35" s="2"/>
      <c r="OIJ35" s="2"/>
      <c r="OIK35" s="2"/>
      <c r="OIL35" s="2"/>
      <c r="OIM35" s="2"/>
      <c r="OIN35" s="2"/>
      <c r="OIO35" s="2"/>
      <c r="OIP35" s="2"/>
      <c r="OIQ35" s="2"/>
      <c r="OIR35" s="2"/>
      <c r="OIS35" s="2"/>
      <c r="OIT35" s="2"/>
      <c r="OIU35" s="2"/>
      <c r="OIV35" s="2"/>
      <c r="OIW35" s="2"/>
      <c r="OIX35" s="2"/>
      <c r="OIY35" s="2"/>
      <c r="OIZ35" s="2"/>
      <c r="OJA35" s="2"/>
      <c r="OJB35" s="2"/>
      <c r="OJC35" s="2"/>
      <c r="OJD35" s="2"/>
      <c r="OJE35" s="2"/>
      <c r="OJF35" s="2"/>
      <c r="OJG35" s="2"/>
      <c r="OJH35" s="2"/>
      <c r="OJI35" s="2"/>
      <c r="OJJ35" s="2"/>
      <c r="OJK35" s="2"/>
      <c r="OJL35" s="2"/>
      <c r="OJM35" s="2"/>
      <c r="OJN35" s="2"/>
      <c r="OJO35" s="2"/>
      <c r="OJP35" s="2"/>
      <c r="OJQ35" s="2"/>
      <c r="OJR35" s="2"/>
      <c r="OJS35" s="2"/>
      <c r="OJT35" s="2"/>
      <c r="OJU35" s="2"/>
      <c r="OJV35" s="2"/>
      <c r="OJW35" s="2"/>
      <c r="OJX35" s="2"/>
      <c r="OJY35" s="2"/>
      <c r="OJZ35" s="2"/>
      <c r="OKA35" s="2"/>
      <c r="OKB35" s="2"/>
      <c r="OKC35" s="2"/>
      <c r="OKD35" s="2"/>
      <c r="OKE35" s="2"/>
      <c r="OKF35" s="2"/>
      <c r="OKG35" s="2"/>
      <c r="OKH35" s="2"/>
      <c r="OKI35" s="2"/>
      <c r="OKJ35" s="2"/>
      <c r="OKK35" s="2"/>
      <c r="OKL35" s="2"/>
      <c r="OKM35" s="2"/>
      <c r="OKN35" s="2"/>
      <c r="OKO35" s="2"/>
      <c r="OKP35" s="2"/>
      <c r="OKQ35" s="2"/>
      <c r="OKR35" s="2"/>
      <c r="OKS35" s="2"/>
      <c r="OKT35" s="2"/>
      <c r="OKU35" s="2"/>
      <c r="OKV35" s="2"/>
      <c r="OKW35" s="2"/>
      <c r="OKX35" s="2"/>
      <c r="OKY35" s="2"/>
      <c r="OKZ35" s="2"/>
      <c r="OLA35" s="2"/>
      <c r="OLB35" s="2"/>
      <c r="OLC35" s="2"/>
      <c r="OLD35" s="2"/>
      <c r="OLE35" s="2"/>
      <c r="OLF35" s="2"/>
      <c r="OLG35" s="2"/>
      <c r="OLH35" s="2"/>
      <c r="OLI35" s="2"/>
      <c r="OLJ35" s="2"/>
      <c r="OLK35" s="2"/>
      <c r="OLL35" s="2"/>
      <c r="OLM35" s="2"/>
      <c r="OLN35" s="2"/>
      <c r="OLO35" s="2"/>
      <c r="OLP35" s="2"/>
      <c r="OLQ35" s="2"/>
      <c r="OLR35" s="2"/>
      <c r="OLS35" s="2"/>
      <c r="OLT35" s="2"/>
      <c r="OLU35" s="2"/>
      <c r="OLV35" s="2"/>
      <c r="OLW35" s="2"/>
      <c r="OLX35" s="2"/>
      <c r="OLY35" s="2"/>
      <c r="OLZ35" s="2"/>
      <c r="OMA35" s="2"/>
      <c r="OMB35" s="2"/>
      <c r="OMC35" s="2"/>
      <c r="OMD35" s="2"/>
      <c r="OME35" s="2"/>
      <c r="OMF35" s="2"/>
      <c r="OMG35" s="2"/>
      <c r="OMH35" s="2"/>
      <c r="OMI35" s="2"/>
      <c r="OMJ35" s="2"/>
      <c r="OMK35" s="2"/>
      <c r="OML35" s="2"/>
      <c r="OMM35" s="2"/>
      <c r="OMN35" s="2"/>
      <c r="OMO35" s="2"/>
      <c r="OMP35" s="2"/>
      <c r="OMQ35" s="2"/>
      <c r="OMR35" s="2"/>
      <c r="OMS35" s="2"/>
      <c r="OMT35" s="2"/>
      <c r="OMU35" s="2"/>
      <c r="OMV35" s="2"/>
      <c r="OMW35" s="2"/>
      <c r="OMX35" s="2"/>
      <c r="OMY35" s="2"/>
      <c r="OMZ35" s="2"/>
      <c r="ONA35" s="2"/>
      <c r="ONB35" s="2"/>
      <c r="ONC35" s="2"/>
      <c r="OND35" s="2"/>
      <c r="ONE35" s="2"/>
      <c r="ONF35" s="2"/>
      <c r="ONG35" s="2"/>
      <c r="ONH35" s="2"/>
      <c r="ONI35" s="2"/>
      <c r="ONJ35" s="2"/>
      <c r="ONK35" s="2"/>
      <c r="ONL35" s="2"/>
      <c r="ONM35" s="2"/>
      <c r="ONN35" s="2"/>
      <c r="ONO35" s="2"/>
      <c r="ONP35" s="2"/>
      <c r="ONQ35" s="2"/>
      <c r="ONR35" s="2"/>
      <c r="ONS35" s="2"/>
      <c r="ONT35" s="2"/>
      <c r="ONU35" s="2"/>
      <c r="ONV35" s="2"/>
      <c r="ONW35" s="2"/>
      <c r="ONX35" s="2"/>
      <c r="ONY35" s="2"/>
      <c r="ONZ35" s="2"/>
      <c r="OOA35" s="2"/>
      <c r="OOB35" s="2"/>
      <c r="OOC35" s="2"/>
      <c r="OOD35" s="2"/>
      <c r="OOE35" s="2"/>
      <c r="OOF35" s="2"/>
      <c r="OOG35" s="2"/>
      <c r="OOH35" s="2"/>
      <c r="OOI35" s="2"/>
      <c r="OOJ35" s="2"/>
      <c r="OOK35" s="2"/>
      <c r="OOL35" s="2"/>
      <c r="OOM35" s="2"/>
      <c r="OON35" s="2"/>
      <c r="OOO35" s="2"/>
      <c r="OOP35" s="2"/>
      <c r="OOQ35" s="2"/>
      <c r="OOR35" s="2"/>
      <c r="OOS35" s="2"/>
      <c r="OOT35" s="2"/>
      <c r="OOU35" s="2"/>
      <c r="OOV35" s="2"/>
      <c r="OOW35" s="2"/>
      <c r="OOX35" s="2"/>
      <c r="OOY35" s="2"/>
      <c r="OOZ35" s="2"/>
      <c r="OPA35" s="2"/>
      <c r="OPB35" s="2"/>
      <c r="OPC35" s="2"/>
      <c r="OPD35" s="2"/>
      <c r="OPE35" s="2"/>
      <c r="OPF35" s="2"/>
      <c r="OPG35" s="2"/>
      <c r="OPH35" s="2"/>
      <c r="OPI35" s="2"/>
      <c r="OPJ35" s="2"/>
      <c r="OPK35" s="2"/>
      <c r="OPL35" s="2"/>
      <c r="OPM35" s="2"/>
      <c r="OPN35" s="2"/>
      <c r="OPO35" s="2"/>
      <c r="OPP35" s="2"/>
      <c r="OPQ35" s="2"/>
      <c r="OPR35" s="2"/>
      <c r="OPS35" s="2"/>
      <c r="OPT35" s="2"/>
      <c r="OPU35" s="2"/>
      <c r="OPV35" s="2"/>
      <c r="OPW35" s="2"/>
      <c r="OPX35" s="2"/>
      <c r="OPY35" s="2"/>
      <c r="OPZ35" s="2"/>
      <c r="OQA35" s="2"/>
      <c r="OQB35" s="2"/>
      <c r="OQC35" s="2"/>
      <c r="OQD35" s="2"/>
      <c r="OQE35" s="2"/>
      <c r="OQF35" s="2"/>
      <c r="OQG35" s="2"/>
      <c r="OQH35" s="2"/>
      <c r="OQI35" s="2"/>
      <c r="OQJ35" s="2"/>
      <c r="OQK35" s="2"/>
      <c r="OQL35" s="2"/>
      <c r="OQM35" s="2"/>
      <c r="OQN35" s="2"/>
      <c r="OQO35" s="2"/>
      <c r="OQP35" s="2"/>
      <c r="OQQ35" s="2"/>
      <c r="OQR35" s="2"/>
      <c r="OQS35" s="2"/>
      <c r="OQT35" s="2"/>
      <c r="OQU35" s="2"/>
      <c r="OQV35" s="2"/>
      <c r="OQW35" s="2"/>
      <c r="OQX35" s="2"/>
      <c r="OQY35" s="2"/>
      <c r="OQZ35" s="2"/>
      <c r="ORA35" s="2"/>
      <c r="ORB35" s="2"/>
      <c r="ORC35" s="2"/>
      <c r="ORD35" s="2"/>
      <c r="ORE35" s="2"/>
      <c r="ORF35" s="2"/>
      <c r="ORG35" s="2"/>
      <c r="ORH35" s="2"/>
      <c r="ORI35" s="2"/>
      <c r="ORJ35" s="2"/>
      <c r="ORK35" s="2"/>
      <c r="ORL35" s="2"/>
      <c r="ORM35" s="2"/>
      <c r="ORN35" s="2"/>
      <c r="ORO35" s="2"/>
      <c r="ORP35" s="2"/>
      <c r="ORQ35" s="2"/>
      <c r="ORR35" s="2"/>
      <c r="ORS35" s="2"/>
      <c r="ORT35" s="2"/>
      <c r="ORU35" s="2"/>
      <c r="ORV35" s="2"/>
      <c r="ORW35" s="2"/>
      <c r="ORX35" s="2"/>
      <c r="ORY35" s="2"/>
      <c r="ORZ35" s="2"/>
      <c r="OSA35" s="2"/>
      <c r="OSB35" s="2"/>
      <c r="OSC35" s="2"/>
      <c r="OSD35" s="2"/>
      <c r="OSE35" s="2"/>
      <c r="OSF35" s="2"/>
      <c r="OSG35" s="2"/>
      <c r="OSH35" s="2"/>
      <c r="OSI35" s="2"/>
      <c r="OSJ35" s="2"/>
      <c r="OSK35" s="2"/>
      <c r="OSL35" s="2"/>
      <c r="OSM35" s="2"/>
      <c r="OSN35" s="2"/>
      <c r="OSO35" s="2"/>
      <c r="OSP35" s="2"/>
      <c r="OSQ35" s="2"/>
      <c r="OSR35" s="2"/>
      <c r="OSS35" s="2"/>
      <c r="OST35" s="2"/>
      <c r="OSU35" s="2"/>
      <c r="OSV35" s="2"/>
      <c r="OSW35" s="2"/>
      <c r="OSX35" s="2"/>
      <c r="OSY35" s="2"/>
      <c r="OSZ35" s="2"/>
      <c r="OTA35" s="2"/>
      <c r="OTB35" s="2"/>
      <c r="OTC35" s="2"/>
      <c r="OTD35" s="2"/>
      <c r="OTE35" s="2"/>
      <c r="OTF35" s="2"/>
      <c r="OTG35" s="2"/>
      <c r="OTH35" s="2"/>
      <c r="OTI35" s="2"/>
      <c r="OTJ35" s="2"/>
      <c r="OTK35" s="2"/>
      <c r="OTL35" s="2"/>
      <c r="OTM35" s="2"/>
      <c r="OTN35" s="2"/>
      <c r="OTO35" s="2"/>
      <c r="OTP35" s="2"/>
      <c r="OTQ35" s="2"/>
      <c r="OTR35" s="2"/>
      <c r="OTS35" s="2"/>
      <c r="OTT35" s="2"/>
      <c r="OTU35" s="2"/>
      <c r="OTV35" s="2"/>
      <c r="OTW35" s="2"/>
      <c r="OTX35" s="2"/>
      <c r="OTY35" s="2"/>
      <c r="OTZ35" s="2"/>
      <c r="OUA35" s="2"/>
      <c r="OUB35" s="2"/>
      <c r="OUC35" s="2"/>
      <c r="OUD35" s="2"/>
      <c r="OUE35" s="2"/>
      <c r="OUF35" s="2"/>
      <c r="OUG35" s="2"/>
      <c r="OUH35" s="2"/>
      <c r="OUI35" s="2"/>
      <c r="OUJ35" s="2"/>
      <c r="OUK35" s="2"/>
      <c r="OUL35" s="2"/>
      <c r="OUM35" s="2"/>
      <c r="OUN35" s="2"/>
      <c r="OUO35" s="2"/>
      <c r="OUP35" s="2"/>
      <c r="OUQ35" s="2"/>
      <c r="OUR35" s="2"/>
      <c r="OUS35" s="2"/>
      <c r="OUT35" s="2"/>
      <c r="OUU35" s="2"/>
      <c r="OUV35" s="2"/>
      <c r="OUW35" s="2"/>
      <c r="OUX35" s="2"/>
      <c r="OUY35" s="2"/>
      <c r="OUZ35" s="2"/>
      <c r="OVA35" s="2"/>
      <c r="OVB35" s="2"/>
      <c r="OVC35" s="2"/>
      <c r="OVD35" s="2"/>
      <c r="OVE35" s="2"/>
      <c r="OVF35" s="2"/>
      <c r="OVG35" s="2"/>
      <c r="OVH35" s="2"/>
      <c r="OVI35" s="2"/>
      <c r="OVJ35" s="2"/>
      <c r="OVK35" s="2"/>
      <c r="OVL35" s="2"/>
      <c r="OVM35" s="2"/>
      <c r="OVN35" s="2"/>
      <c r="OVO35" s="2"/>
      <c r="OVP35" s="2"/>
      <c r="OVQ35" s="2"/>
      <c r="OVR35" s="2"/>
      <c r="OVS35" s="2"/>
      <c r="OVT35" s="2"/>
      <c r="OVU35" s="2"/>
      <c r="OVV35" s="2"/>
      <c r="OVW35" s="2"/>
      <c r="OVX35" s="2"/>
      <c r="OVY35" s="2"/>
      <c r="OVZ35" s="2"/>
      <c r="OWA35" s="2"/>
      <c r="OWB35" s="2"/>
      <c r="OWC35" s="2"/>
      <c r="OWD35" s="2"/>
      <c r="OWE35" s="2"/>
      <c r="OWF35" s="2"/>
      <c r="OWG35" s="2"/>
      <c r="OWH35" s="2"/>
      <c r="OWI35" s="2"/>
      <c r="OWJ35" s="2"/>
      <c r="OWK35" s="2"/>
      <c r="OWL35" s="2"/>
      <c r="OWM35" s="2"/>
      <c r="OWN35" s="2"/>
      <c r="OWO35" s="2"/>
      <c r="OWP35" s="2"/>
      <c r="OWQ35" s="2"/>
      <c r="OWR35" s="2"/>
      <c r="OWS35" s="2"/>
      <c r="OWT35" s="2"/>
      <c r="OWU35" s="2"/>
      <c r="OWV35" s="2"/>
      <c r="OWW35" s="2"/>
      <c r="OWX35" s="2"/>
      <c r="OWY35" s="2"/>
      <c r="OWZ35" s="2"/>
      <c r="OXA35" s="2"/>
      <c r="OXB35" s="2"/>
      <c r="OXC35" s="2"/>
      <c r="OXD35" s="2"/>
      <c r="OXE35" s="2"/>
      <c r="OXF35" s="2"/>
      <c r="OXG35" s="2"/>
      <c r="OXH35" s="2"/>
      <c r="OXI35" s="2"/>
      <c r="OXJ35" s="2"/>
      <c r="OXK35" s="2"/>
      <c r="OXL35" s="2"/>
      <c r="OXM35" s="2"/>
      <c r="OXN35" s="2"/>
      <c r="OXO35" s="2"/>
      <c r="OXP35" s="2"/>
      <c r="OXQ35" s="2"/>
      <c r="OXR35" s="2"/>
      <c r="OXS35" s="2"/>
      <c r="OXT35" s="2"/>
      <c r="OXU35" s="2"/>
      <c r="OXV35" s="2"/>
      <c r="OXW35" s="2"/>
      <c r="OXX35" s="2"/>
      <c r="OXY35" s="2"/>
      <c r="OXZ35" s="2"/>
      <c r="OYA35" s="2"/>
      <c r="OYB35" s="2"/>
      <c r="OYC35" s="2"/>
      <c r="OYD35" s="2"/>
      <c r="OYE35" s="2"/>
      <c r="OYF35" s="2"/>
      <c r="OYG35" s="2"/>
      <c r="OYH35" s="2"/>
      <c r="OYI35" s="2"/>
      <c r="OYJ35" s="2"/>
      <c r="OYK35" s="2"/>
      <c r="OYL35" s="2"/>
      <c r="OYM35" s="2"/>
      <c r="OYN35" s="2"/>
      <c r="OYO35" s="2"/>
      <c r="OYP35" s="2"/>
      <c r="OYQ35" s="2"/>
      <c r="OYR35" s="2"/>
      <c r="OYS35" s="2"/>
      <c r="OYT35" s="2"/>
      <c r="OYU35" s="2"/>
      <c r="OYV35" s="2"/>
      <c r="OYW35" s="2"/>
      <c r="OYX35" s="2"/>
      <c r="OYY35" s="2"/>
      <c r="OYZ35" s="2"/>
      <c r="OZA35" s="2"/>
      <c r="OZB35" s="2"/>
      <c r="OZC35" s="2"/>
      <c r="OZD35" s="2"/>
      <c r="OZE35" s="2"/>
      <c r="OZF35" s="2"/>
      <c r="OZG35" s="2"/>
      <c r="OZH35" s="2"/>
      <c r="OZI35" s="2"/>
      <c r="OZJ35" s="2"/>
      <c r="OZK35" s="2"/>
      <c r="OZL35" s="2"/>
      <c r="OZM35" s="2"/>
      <c r="OZN35" s="2"/>
      <c r="OZO35" s="2"/>
      <c r="OZP35" s="2"/>
      <c r="OZQ35" s="2"/>
      <c r="OZR35" s="2"/>
      <c r="OZS35" s="2"/>
      <c r="OZT35" s="2"/>
      <c r="OZU35" s="2"/>
      <c r="OZV35" s="2"/>
      <c r="OZW35" s="2"/>
      <c r="OZX35" s="2"/>
      <c r="OZY35" s="2"/>
      <c r="OZZ35" s="2"/>
      <c r="PAA35" s="2"/>
      <c r="PAB35" s="2"/>
      <c r="PAC35" s="2"/>
      <c r="PAD35" s="2"/>
      <c r="PAE35" s="2"/>
      <c r="PAF35" s="2"/>
      <c r="PAG35" s="2"/>
      <c r="PAH35" s="2"/>
      <c r="PAI35" s="2"/>
      <c r="PAJ35" s="2"/>
      <c r="PAK35" s="2"/>
      <c r="PAL35" s="2"/>
      <c r="PAM35" s="2"/>
      <c r="PAN35" s="2"/>
      <c r="PAO35" s="2"/>
      <c r="PAP35" s="2"/>
      <c r="PAQ35" s="2"/>
      <c r="PAR35" s="2"/>
      <c r="PAS35" s="2"/>
      <c r="PAT35" s="2"/>
      <c r="PAU35" s="2"/>
      <c r="PAV35" s="2"/>
      <c r="PAW35" s="2"/>
      <c r="PAX35" s="2"/>
      <c r="PAY35" s="2"/>
      <c r="PAZ35" s="2"/>
      <c r="PBA35" s="2"/>
      <c r="PBB35" s="2"/>
      <c r="PBC35" s="2"/>
      <c r="PBD35" s="2"/>
      <c r="PBE35" s="2"/>
      <c r="PBF35" s="2"/>
      <c r="PBG35" s="2"/>
      <c r="PBH35" s="2"/>
      <c r="PBI35" s="2"/>
      <c r="PBJ35" s="2"/>
      <c r="PBK35" s="2"/>
      <c r="PBL35" s="2"/>
      <c r="PBM35" s="2"/>
      <c r="PBN35" s="2"/>
      <c r="PBO35" s="2"/>
      <c r="PBP35" s="2"/>
      <c r="PBQ35" s="2"/>
      <c r="PBR35" s="2"/>
      <c r="PBS35" s="2"/>
      <c r="PBT35" s="2"/>
      <c r="PBU35" s="2"/>
      <c r="PBV35" s="2"/>
      <c r="PBW35" s="2"/>
      <c r="PBX35" s="2"/>
      <c r="PBY35" s="2"/>
      <c r="PBZ35" s="2"/>
      <c r="PCA35" s="2"/>
      <c r="PCB35" s="2"/>
      <c r="PCC35" s="2"/>
      <c r="PCD35" s="2"/>
      <c r="PCE35" s="2"/>
      <c r="PCF35" s="2"/>
      <c r="PCG35" s="2"/>
      <c r="PCH35" s="2"/>
      <c r="PCI35" s="2"/>
      <c r="PCJ35" s="2"/>
      <c r="PCK35" s="2"/>
      <c r="PCL35" s="2"/>
      <c r="PCM35" s="2"/>
      <c r="PCN35" s="2"/>
      <c r="PCO35" s="2"/>
      <c r="PCP35" s="2"/>
      <c r="PCQ35" s="2"/>
      <c r="PCR35" s="2"/>
      <c r="PCS35" s="2"/>
      <c r="PCT35" s="2"/>
      <c r="PCU35" s="2"/>
      <c r="PCV35" s="2"/>
      <c r="PCW35" s="2"/>
      <c r="PCX35" s="2"/>
      <c r="PCY35" s="2"/>
      <c r="PCZ35" s="2"/>
      <c r="PDA35" s="2"/>
      <c r="PDB35" s="2"/>
      <c r="PDC35" s="2"/>
      <c r="PDD35" s="2"/>
      <c r="PDE35" s="2"/>
      <c r="PDF35" s="2"/>
      <c r="PDG35" s="2"/>
      <c r="PDH35" s="2"/>
      <c r="PDI35" s="2"/>
      <c r="PDJ35" s="2"/>
      <c r="PDK35" s="2"/>
      <c r="PDL35" s="2"/>
      <c r="PDM35" s="2"/>
      <c r="PDN35" s="2"/>
      <c r="PDO35" s="2"/>
      <c r="PDP35" s="2"/>
      <c r="PDQ35" s="2"/>
      <c r="PDR35" s="2"/>
      <c r="PDS35" s="2"/>
      <c r="PDT35" s="2"/>
      <c r="PDU35" s="2"/>
      <c r="PDV35" s="2"/>
      <c r="PDW35" s="2"/>
      <c r="PDX35" s="2"/>
      <c r="PDY35" s="2"/>
      <c r="PDZ35" s="2"/>
      <c r="PEA35" s="2"/>
      <c r="PEB35" s="2"/>
      <c r="PEC35" s="2"/>
      <c r="PED35" s="2"/>
      <c r="PEE35" s="2"/>
      <c r="PEF35" s="2"/>
      <c r="PEG35" s="2"/>
      <c r="PEH35" s="2"/>
      <c r="PEI35" s="2"/>
      <c r="PEJ35" s="2"/>
      <c r="PEK35" s="2"/>
      <c r="PEL35" s="2"/>
      <c r="PEM35" s="2"/>
      <c r="PEN35" s="2"/>
      <c r="PEO35" s="2"/>
      <c r="PEP35" s="2"/>
      <c r="PEQ35" s="2"/>
      <c r="PER35" s="2"/>
      <c r="PES35" s="2"/>
      <c r="PET35" s="2"/>
      <c r="PEU35" s="2"/>
      <c r="PEV35" s="2"/>
      <c r="PEW35" s="2"/>
      <c r="PEX35" s="2"/>
      <c r="PEY35" s="2"/>
      <c r="PEZ35" s="2"/>
      <c r="PFA35" s="2"/>
      <c r="PFB35" s="2"/>
      <c r="PFC35" s="2"/>
      <c r="PFD35" s="2"/>
      <c r="PFE35" s="2"/>
      <c r="PFF35" s="2"/>
      <c r="PFG35" s="2"/>
      <c r="PFH35" s="2"/>
      <c r="PFI35" s="2"/>
      <c r="PFJ35" s="2"/>
      <c r="PFK35" s="2"/>
      <c r="PFL35" s="2"/>
      <c r="PFM35" s="2"/>
      <c r="PFN35" s="2"/>
      <c r="PFO35" s="2"/>
      <c r="PFP35" s="2"/>
      <c r="PFQ35" s="2"/>
      <c r="PFR35" s="2"/>
      <c r="PFS35" s="2"/>
      <c r="PFT35" s="2"/>
      <c r="PFU35" s="2"/>
      <c r="PFV35" s="2"/>
      <c r="PFW35" s="2"/>
      <c r="PFX35" s="2"/>
      <c r="PFY35" s="2"/>
      <c r="PFZ35" s="2"/>
      <c r="PGA35" s="2"/>
      <c r="PGB35" s="2"/>
      <c r="PGC35" s="2"/>
      <c r="PGD35" s="2"/>
      <c r="PGE35" s="2"/>
      <c r="PGF35" s="2"/>
      <c r="PGG35" s="2"/>
      <c r="PGH35" s="2"/>
      <c r="PGI35" s="2"/>
      <c r="PGJ35" s="2"/>
      <c r="PGK35" s="2"/>
      <c r="PGL35" s="2"/>
      <c r="PGM35" s="2"/>
      <c r="PGN35" s="2"/>
      <c r="PGO35" s="2"/>
      <c r="PGP35" s="2"/>
      <c r="PGQ35" s="2"/>
      <c r="PGR35" s="2"/>
      <c r="PGS35" s="2"/>
      <c r="PGT35" s="2"/>
      <c r="PGU35" s="2"/>
      <c r="PGV35" s="2"/>
      <c r="PGW35" s="2"/>
      <c r="PGX35" s="2"/>
      <c r="PGY35" s="2"/>
      <c r="PGZ35" s="2"/>
      <c r="PHA35" s="2"/>
      <c r="PHB35" s="2"/>
      <c r="PHC35" s="2"/>
      <c r="PHD35" s="2"/>
      <c r="PHE35" s="2"/>
      <c r="PHF35" s="2"/>
      <c r="PHG35" s="2"/>
      <c r="PHH35" s="2"/>
      <c r="PHI35" s="2"/>
      <c r="PHJ35" s="2"/>
      <c r="PHK35" s="2"/>
      <c r="PHL35" s="2"/>
      <c r="PHM35" s="2"/>
      <c r="PHN35" s="2"/>
      <c r="PHO35" s="2"/>
      <c r="PHP35" s="2"/>
      <c r="PHQ35" s="2"/>
      <c r="PHR35" s="2"/>
      <c r="PHS35" s="2"/>
      <c r="PHT35" s="2"/>
      <c r="PHU35" s="2"/>
      <c r="PHV35" s="2"/>
      <c r="PHW35" s="2"/>
      <c r="PHX35" s="2"/>
      <c r="PHY35" s="2"/>
      <c r="PHZ35" s="2"/>
      <c r="PIA35" s="2"/>
      <c r="PIB35" s="2"/>
      <c r="PIC35" s="2"/>
      <c r="PID35" s="2"/>
      <c r="PIE35" s="2"/>
      <c r="PIF35" s="2"/>
      <c r="PIG35" s="2"/>
      <c r="PIH35" s="2"/>
      <c r="PII35" s="2"/>
      <c r="PIJ35" s="2"/>
      <c r="PIK35" s="2"/>
      <c r="PIL35" s="2"/>
      <c r="PIM35" s="2"/>
      <c r="PIN35" s="2"/>
      <c r="PIO35" s="2"/>
      <c r="PIP35" s="2"/>
      <c r="PIQ35" s="2"/>
      <c r="PIR35" s="2"/>
      <c r="PIS35" s="2"/>
      <c r="PIT35" s="2"/>
      <c r="PIU35" s="2"/>
      <c r="PIV35" s="2"/>
      <c r="PIW35" s="2"/>
      <c r="PIX35" s="2"/>
      <c r="PIY35" s="2"/>
      <c r="PIZ35" s="2"/>
      <c r="PJA35" s="2"/>
      <c r="PJB35" s="2"/>
      <c r="PJC35" s="2"/>
      <c r="PJD35" s="2"/>
      <c r="PJE35" s="2"/>
      <c r="PJF35" s="2"/>
      <c r="PJG35" s="2"/>
      <c r="PJH35" s="2"/>
      <c r="PJI35" s="2"/>
      <c r="PJJ35" s="2"/>
      <c r="PJK35" s="2"/>
      <c r="PJL35" s="2"/>
      <c r="PJM35" s="2"/>
      <c r="PJN35" s="2"/>
      <c r="PJO35" s="2"/>
      <c r="PJP35" s="2"/>
      <c r="PJQ35" s="2"/>
      <c r="PJR35" s="2"/>
      <c r="PJS35" s="2"/>
      <c r="PJT35" s="2"/>
      <c r="PJU35" s="2"/>
      <c r="PJV35" s="2"/>
      <c r="PJW35" s="2"/>
      <c r="PJX35" s="2"/>
      <c r="PJY35" s="2"/>
      <c r="PJZ35" s="2"/>
      <c r="PKA35" s="2"/>
      <c r="PKB35" s="2"/>
      <c r="PKC35" s="2"/>
      <c r="PKD35" s="2"/>
      <c r="PKE35" s="2"/>
      <c r="PKF35" s="2"/>
      <c r="PKG35" s="2"/>
      <c r="PKH35" s="2"/>
      <c r="PKI35" s="2"/>
      <c r="PKJ35" s="2"/>
      <c r="PKK35" s="2"/>
      <c r="PKL35" s="2"/>
      <c r="PKM35" s="2"/>
      <c r="PKN35" s="2"/>
      <c r="PKO35" s="2"/>
      <c r="PKP35" s="2"/>
      <c r="PKQ35" s="2"/>
      <c r="PKR35" s="2"/>
      <c r="PKS35" s="2"/>
      <c r="PKT35" s="2"/>
      <c r="PKU35" s="2"/>
      <c r="PKV35" s="2"/>
      <c r="PKW35" s="2"/>
      <c r="PKX35" s="2"/>
      <c r="PKY35" s="2"/>
      <c r="PKZ35" s="2"/>
      <c r="PLA35" s="2"/>
      <c r="PLB35" s="2"/>
      <c r="PLC35" s="2"/>
      <c r="PLD35" s="2"/>
      <c r="PLE35" s="2"/>
      <c r="PLF35" s="2"/>
      <c r="PLG35" s="2"/>
      <c r="PLH35" s="2"/>
      <c r="PLI35" s="2"/>
      <c r="PLJ35" s="2"/>
      <c r="PLK35" s="2"/>
      <c r="PLL35" s="2"/>
      <c r="PLM35" s="2"/>
      <c r="PLN35" s="2"/>
      <c r="PLO35" s="2"/>
      <c r="PLP35" s="2"/>
      <c r="PLQ35" s="2"/>
      <c r="PLR35" s="2"/>
      <c r="PLS35" s="2"/>
      <c r="PLT35" s="2"/>
      <c r="PLU35" s="2"/>
      <c r="PLV35" s="2"/>
      <c r="PLW35" s="2"/>
      <c r="PLX35" s="2"/>
      <c r="PLY35" s="2"/>
      <c r="PLZ35" s="2"/>
      <c r="PMA35" s="2"/>
      <c r="PMB35" s="2"/>
      <c r="PMC35" s="2"/>
      <c r="PMD35" s="2"/>
      <c r="PME35" s="2"/>
      <c r="PMF35" s="2"/>
      <c r="PMG35" s="2"/>
      <c r="PMH35" s="2"/>
      <c r="PMI35" s="2"/>
      <c r="PMJ35" s="2"/>
      <c r="PMK35" s="2"/>
      <c r="PML35" s="2"/>
      <c r="PMM35" s="2"/>
      <c r="PMN35" s="2"/>
      <c r="PMO35" s="2"/>
      <c r="PMP35" s="2"/>
      <c r="PMQ35" s="2"/>
      <c r="PMR35" s="2"/>
      <c r="PMS35" s="2"/>
      <c r="PMT35" s="2"/>
      <c r="PMU35" s="2"/>
      <c r="PMV35" s="2"/>
      <c r="PMW35" s="2"/>
      <c r="PMX35" s="2"/>
      <c r="PMY35" s="2"/>
      <c r="PMZ35" s="2"/>
      <c r="PNA35" s="2"/>
      <c r="PNB35" s="2"/>
      <c r="PNC35" s="2"/>
      <c r="PND35" s="2"/>
      <c r="PNE35" s="2"/>
      <c r="PNF35" s="2"/>
      <c r="PNG35" s="2"/>
      <c r="PNH35" s="2"/>
      <c r="PNI35" s="2"/>
      <c r="PNJ35" s="2"/>
      <c r="PNK35" s="2"/>
      <c r="PNL35" s="2"/>
      <c r="PNM35" s="2"/>
      <c r="PNN35" s="2"/>
      <c r="PNO35" s="2"/>
      <c r="PNP35" s="2"/>
      <c r="PNQ35" s="2"/>
      <c r="PNR35" s="2"/>
      <c r="PNS35" s="2"/>
      <c r="PNT35" s="2"/>
      <c r="PNU35" s="2"/>
      <c r="PNV35" s="2"/>
      <c r="PNW35" s="2"/>
      <c r="PNX35" s="2"/>
      <c r="PNY35" s="2"/>
      <c r="PNZ35" s="2"/>
      <c r="POA35" s="2"/>
      <c r="POB35" s="2"/>
      <c r="POC35" s="2"/>
      <c r="POD35" s="2"/>
      <c r="POE35" s="2"/>
      <c r="POF35" s="2"/>
      <c r="POG35" s="2"/>
      <c r="POH35" s="2"/>
      <c r="POI35" s="2"/>
      <c r="POJ35" s="2"/>
      <c r="POK35" s="2"/>
      <c r="POL35" s="2"/>
      <c r="POM35" s="2"/>
      <c r="PON35" s="2"/>
      <c r="POO35" s="2"/>
      <c r="POP35" s="2"/>
      <c r="POQ35" s="2"/>
      <c r="POR35" s="2"/>
      <c r="POS35" s="2"/>
      <c r="POT35" s="2"/>
      <c r="POU35" s="2"/>
      <c r="POV35" s="2"/>
      <c r="POW35" s="2"/>
      <c r="POX35" s="2"/>
      <c r="POY35" s="2"/>
      <c r="POZ35" s="2"/>
      <c r="PPA35" s="2"/>
      <c r="PPB35" s="2"/>
      <c r="PPC35" s="2"/>
      <c r="PPD35" s="2"/>
      <c r="PPE35" s="2"/>
      <c r="PPF35" s="2"/>
      <c r="PPG35" s="2"/>
      <c r="PPH35" s="2"/>
      <c r="PPI35" s="2"/>
      <c r="PPJ35" s="2"/>
      <c r="PPK35" s="2"/>
      <c r="PPL35" s="2"/>
      <c r="PPM35" s="2"/>
      <c r="PPN35" s="2"/>
      <c r="PPO35" s="2"/>
      <c r="PPP35" s="2"/>
      <c r="PPQ35" s="2"/>
      <c r="PPR35" s="2"/>
      <c r="PPS35" s="2"/>
      <c r="PPT35" s="2"/>
      <c r="PPU35" s="2"/>
      <c r="PPV35" s="2"/>
      <c r="PPW35" s="2"/>
      <c r="PPX35" s="2"/>
      <c r="PPY35" s="2"/>
      <c r="PPZ35" s="2"/>
      <c r="PQA35" s="2"/>
      <c r="PQB35" s="2"/>
      <c r="PQC35" s="2"/>
      <c r="PQD35" s="2"/>
      <c r="PQE35" s="2"/>
      <c r="PQF35" s="2"/>
      <c r="PQG35" s="2"/>
      <c r="PQH35" s="2"/>
      <c r="PQI35" s="2"/>
      <c r="PQJ35" s="2"/>
      <c r="PQK35" s="2"/>
      <c r="PQL35" s="2"/>
      <c r="PQM35" s="2"/>
      <c r="PQN35" s="2"/>
      <c r="PQO35" s="2"/>
      <c r="PQP35" s="2"/>
      <c r="PQQ35" s="2"/>
      <c r="PQR35" s="2"/>
      <c r="PQS35" s="2"/>
      <c r="PQT35" s="2"/>
      <c r="PQU35" s="2"/>
      <c r="PQV35" s="2"/>
      <c r="PQW35" s="2"/>
      <c r="PQX35" s="2"/>
      <c r="PQY35" s="2"/>
      <c r="PQZ35" s="2"/>
      <c r="PRA35" s="2"/>
      <c r="PRB35" s="2"/>
      <c r="PRC35" s="2"/>
      <c r="PRD35" s="2"/>
      <c r="PRE35" s="2"/>
      <c r="PRF35" s="2"/>
      <c r="PRG35" s="2"/>
      <c r="PRH35" s="2"/>
      <c r="PRI35" s="2"/>
      <c r="PRJ35" s="2"/>
      <c r="PRK35" s="2"/>
      <c r="PRL35" s="2"/>
      <c r="PRM35" s="2"/>
      <c r="PRN35" s="2"/>
      <c r="PRO35" s="2"/>
      <c r="PRP35" s="2"/>
      <c r="PRQ35" s="2"/>
      <c r="PRR35" s="2"/>
      <c r="PRS35" s="2"/>
      <c r="PRT35" s="2"/>
      <c r="PRU35" s="2"/>
      <c r="PRV35" s="2"/>
      <c r="PRW35" s="2"/>
      <c r="PRX35" s="2"/>
      <c r="PRY35" s="2"/>
      <c r="PRZ35" s="2"/>
      <c r="PSA35" s="2"/>
      <c r="PSB35" s="2"/>
      <c r="PSC35" s="2"/>
      <c r="PSD35" s="2"/>
      <c r="PSE35" s="2"/>
      <c r="PSF35" s="2"/>
      <c r="PSG35" s="2"/>
      <c r="PSH35" s="2"/>
      <c r="PSI35" s="2"/>
      <c r="PSJ35" s="2"/>
      <c r="PSK35" s="2"/>
      <c r="PSL35" s="2"/>
      <c r="PSM35" s="2"/>
      <c r="PSN35" s="2"/>
      <c r="PSO35" s="2"/>
      <c r="PSP35" s="2"/>
      <c r="PSQ35" s="2"/>
      <c r="PSR35" s="2"/>
      <c r="PSS35" s="2"/>
      <c r="PST35" s="2"/>
      <c r="PSU35" s="2"/>
      <c r="PSV35" s="2"/>
      <c r="PSW35" s="2"/>
      <c r="PSX35" s="2"/>
      <c r="PSY35" s="2"/>
      <c r="PSZ35" s="2"/>
      <c r="PTA35" s="2"/>
      <c r="PTB35" s="2"/>
      <c r="PTC35" s="2"/>
      <c r="PTD35" s="2"/>
      <c r="PTE35" s="2"/>
      <c r="PTF35" s="2"/>
      <c r="PTG35" s="2"/>
      <c r="PTH35" s="2"/>
      <c r="PTI35" s="2"/>
      <c r="PTJ35" s="2"/>
      <c r="PTK35" s="2"/>
      <c r="PTL35" s="2"/>
      <c r="PTM35" s="2"/>
      <c r="PTN35" s="2"/>
      <c r="PTO35" s="2"/>
      <c r="PTP35" s="2"/>
      <c r="PTQ35" s="2"/>
      <c r="PTR35" s="2"/>
      <c r="PTS35" s="2"/>
      <c r="PTT35" s="2"/>
      <c r="PTU35" s="2"/>
      <c r="PTV35" s="2"/>
      <c r="PTW35" s="2"/>
      <c r="PTX35" s="2"/>
      <c r="PTY35" s="2"/>
      <c r="PTZ35" s="2"/>
      <c r="PUA35" s="2"/>
      <c r="PUB35" s="2"/>
      <c r="PUC35" s="2"/>
      <c r="PUD35" s="2"/>
      <c r="PUE35" s="2"/>
      <c r="PUF35" s="2"/>
      <c r="PUG35" s="2"/>
      <c r="PUH35" s="2"/>
      <c r="PUI35" s="2"/>
      <c r="PUJ35" s="2"/>
      <c r="PUK35" s="2"/>
      <c r="PUL35" s="2"/>
      <c r="PUM35" s="2"/>
      <c r="PUN35" s="2"/>
      <c r="PUO35" s="2"/>
      <c r="PUP35" s="2"/>
      <c r="PUQ35" s="2"/>
      <c r="PUR35" s="2"/>
      <c r="PUS35" s="2"/>
      <c r="PUT35" s="2"/>
      <c r="PUU35" s="2"/>
      <c r="PUV35" s="2"/>
      <c r="PUW35" s="2"/>
      <c r="PUX35" s="2"/>
      <c r="PUY35" s="2"/>
      <c r="PUZ35" s="2"/>
      <c r="PVA35" s="2"/>
      <c r="PVB35" s="2"/>
      <c r="PVC35" s="2"/>
      <c r="PVD35" s="2"/>
      <c r="PVE35" s="2"/>
      <c r="PVF35" s="2"/>
      <c r="PVG35" s="2"/>
      <c r="PVH35" s="2"/>
      <c r="PVI35" s="2"/>
      <c r="PVJ35" s="2"/>
      <c r="PVK35" s="2"/>
      <c r="PVL35" s="2"/>
      <c r="PVM35" s="2"/>
      <c r="PVN35" s="2"/>
      <c r="PVO35" s="2"/>
      <c r="PVP35" s="2"/>
      <c r="PVQ35" s="2"/>
      <c r="PVR35" s="2"/>
      <c r="PVS35" s="2"/>
      <c r="PVT35" s="2"/>
      <c r="PVU35" s="2"/>
      <c r="PVV35" s="2"/>
      <c r="PVW35" s="2"/>
      <c r="PVX35" s="2"/>
      <c r="PVY35" s="2"/>
      <c r="PVZ35" s="2"/>
      <c r="PWA35" s="2"/>
      <c r="PWB35" s="2"/>
      <c r="PWC35" s="2"/>
      <c r="PWD35" s="2"/>
      <c r="PWE35" s="2"/>
      <c r="PWF35" s="2"/>
      <c r="PWG35" s="2"/>
      <c r="PWH35" s="2"/>
      <c r="PWI35" s="2"/>
      <c r="PWJ35" s="2"/>
      <c r="PWK35" s="2"/>
      <c r="PWL35" s="2"/>
      <c r="PWM35" s="2"/>
      <c r="PWN35" s="2"/>
      <c r="PWO35" s="2"/>
      <c r="PWP35" s="2"/>
      <c r="PWQ35" s="2"/>
      <c r="PWR35" s="2"/>
      <c r="PWS35" s="2"/>
      <c r="PWT35" s="2"/>
      <c r="PWU35" s="2"/>
      <c r="PWV35" s="2"/>
      <c r="PWW35" s="2"/>
      <c r="PWX35" s="2"/>
      <c r="PWY35" s="2"/>
      <c r="PWZ35" s="2"/>
      <c r="PXA35" s="2"/>
      <c r="PXB35" s="2"/>
      <c r="PXC35" s="2"/>
      <c r="PXD35" s="2"/>
      <c r="PXE35" s="2"/>
      <c r="PXF35" s="2"/>
      <c r="PXG35" s="2"/>
      <c r="PXH35" s="2"/>
      <c r="PXI35" s="2"/>
      <c r="PXJ35" s="2"/>
      <c r="PXK35" s="2"/>
      <c r="PXL35" s="2"/>
      <c r="PXM35" s="2"/>
      <c r="PXN35" s="2"/>
      <c r="PXO35" s="2"/>
      <c r="PXP35" s="2"/>
      <c r="PXQ35" s="2"/>
      <c r="PXR35" s="2"/>
      <c r="PXS35" s="2"/>
      <c r="PXT35" s="2"/>
      <c r="PXU35" s="2"/>
      <c r="PXV35" s="2"/>
      <c r="PXW35" s="2"/>
      <c r="PXX35" s="2"/>
      <c r="PXY35" s="2"/>
      <c r="PXZ35" s="2"/>
      <c r="PYA35" s="2"/>
      <c r="PYB35" s="2"/>
      <c r="PYC35" s="2"/>
      <c r="PYD35" s="2"/>
      <c r="PYE35" s="2"/>
      <c r="PYF35" s="2"/>
      <c r="PYG35" s="2"/>
      <c r="PYH35" s="2"/>
      <c r="PYI35" s="2"/>
      <c r="PYJ35" s="2"/>
      <c r="PYK35" s="2"/>
      <c r="PYL35" s="2"/>
      <c r="PYM35" s="2"/>
      <c r="PYN35" s="2"/>
      <c r="PYO35" s="2"/>
      <c r="PYP35" s="2"/>
      <c r="PYQ35" s="2"/>
      <c r="PYR35" s="2"/>
      <c r="PYS35" s="2"/>
      <c r="PYT35" s="2"/>
      <c r="PYU35" s="2"/>
      <c r="PYV35" s="2"/>
      <c r="PYW35" s="2"/>
      <c r="PYX35" s="2"/>
      <c r="PYY35" s="2"/>
      <c r="PYZ35" s="2"/>
      <c r="PZA35" s="2"/>
      <c r="PZB35" s="2"/>
      <c r="PZC35" s="2"/>
      <c r="PZD35" s="2"/>
      <c r="PZE35" s="2"/>
      <c r="PZF35" s="2"/>
      <c r="PZG35" s="2"/>
      <c r="PZH35" s="2"/>
      <c r="PZI35" s="2"/>
      <c r="PZJ35" s="2"/>
      <c r="PZK35" s="2"/>
      <c r="PZL35" s="2"/>
      <c r="PZM35" s="2"/>
      <c r="PZN35" s="2"/>
      <c r="PZO35" s="2"/>
      <c r="PZP35" s="2"/>
      <c r="PZQ35" s="2"/>
      <c r="PZR35" s="2"/>
      <c r="PZS35" s="2"/>
      <c r="PZT35" s="2"/>
      <c r="PZU35" s="2"/>
      <c r="PZV35" s="2"/>
      <c r="PZW35" s="2"/>
      <c r="PZX35" s="2"/>
      <c r="PZY35" s="2"/>
      <c r="PZZ35" s="2"/>
      <c r="QAA35" s="2"/>
      <c r="QAB35" s="2"/>
      <c r="QAC35" s="2"/>
      <c r="QAD35" s="2"/>
      <c r="QAE35" s="2"/>
      <c r="QAF35" s="2"/>
      <c r="QAG35" s="2"/>
      <c r="QAH35" s="2"/>
      <c r="QAI35" s="2"/>
      <c r="QAJ35" s="2"/>
      <c r="QAK35" s="2"/>
      <c r="QAL35" s="2"/>
      <c r="QAM35" s="2"/>
      <c r="QAN35" s="2"/>
      <c r="QAO35" s="2"/>
      <c r="QAP35" s="2"/>
      <c r="QAQ35" s="2"/>
      <c r="QAR35" s="2"/>
      <c r="QAS35" s="2"/>
      <c r="QAT35" s="2"/>
      <c r="QAU35" s="2"/>
      <c r="QAV35" s="2"/>
      <c r="QAW35" s="2"/>
      <c r="QAX35" s="2"/>
      <c r="QAY35" s="2"/>
      <c r="QAZ35" s="2"/>
      <c r="QBA35" s="2"/>
      <c r="QBB35" s="2"/>
      <c r="QBC35" s="2"/>
      <c r="QBD35" s="2"/>
      <c r="QBE35" s="2"/>
      <c r="QBF35" s="2"/>
      <c r="QBG35" s="2"/>
      <c r="QBH35" s="2"/>
      <c r="QBI35" s="2"/>
      <c r="QBJ35" s="2"/>
      <c r="QBK35" s="2"/>
      <c r="QBL35" s="2"/>
      <c r="QBM35" s="2"/>
      <c r="QBN35" s="2"/>
      <c r="QBO35" s="2"/>
      <c r="QBP35" s="2"/>
      <c r="QBQ35" s="2"/>
      <c r="QBR35" s="2"/>
      <c r="QBS35" s="2"/>
      <c r="QBT35" s="2"/>
      <c r="QBU35" s="2"/>
      <c r="QBV35" s="2"/>
      <c r="QBW35" s="2"/>
      <c r="QBX35" s="2"/>
      <c r="QBY35" s="2"/>
      <c r="QBZ35" s="2"/>
      <c r="QCA35" s="2"/>
      <c r="QCB35" s="2"/>
      <c r="QCC35" s="2"/>
      <c r="QCD35" s="2"/>
      <c r="QCE35" s="2"/>
      <c r="QCF35" s="2"/>
      <c r="QCG35" s="2"/>
      <c r="QCH35" s="2"/>
      <c r="QCI35" s="2"/>
      <c r="QCJ35" s="2"/>
      <c r="QCK35" s="2"/>
      <c r="QCL35" s="2"/>
      <c r="QCM35" s="2"/>
      <c r="QCN35" s="2"/>
      <c r="QCO35" s="2"/>
      <c r="QCP35" s="2"/>
      <c r="QCQ35" s="2"/>
      <c r="QCR35" s="2"/>
      <c r="QCS35" s="2"/>
      <c r="QCT35" s="2"/>
      <c r="QCU35" s="2"/>
      <c r="QCV35" s="2"/>
      <c r="QCW35" s="2"/>
      <c r="QCX35" s="2"/>
      <c r="QCY35" s="2"/>
      <c r="QCZ35" s="2"/>
      <c r="QDA35" s="2"/>
      <c r="QDB35" s="2"/>
      <c r="QDC35" s="2"/>
      <c r="QDD35" s="2"/>
      <c r="QDE35" s="2"/>
      <c r="QDF35" s="2"/>
      <c r="QDG35" s="2"/>
      <c r="QDH35" s="2"/>
      <c r="QDI35" s="2"/>
      <c r="QDJ35" s="2"/>
      <c r="QDK35" s="2"/>
      <c r="QDL35" s="2"/>
      <c r="QDM35" s="2"/>
      <c r="QDN35" s="2"/>
      <c r="QDO35" s="2"/>
      <c r="QDP35" s="2"/>
      <c r="QDQ35" s="2"/>
      <c r="QDR35" s="2"/>
      <c r="QDS35" s="2"/>
      <c r="QDT35" s="2"/>
      <c r="QDU35" s="2"/>
      <c r="QDV35" s="2"/>
      <c r="QDW35" s="2"/>
      <c r="QDX35" s="2"/>
      <c r="QDY35" s="2"/>
      <c r="QDZ35" s="2"/>
      <c r="QEA35" s="2"/>
      <c r="QEB35" s="2"/>
      <c r="QEC35" s="2"/>
      <c r="QED35" s="2"/>
      <c r="QEE35" s="2"/>
      <c r="QEF35" s="2"/>
      <c r="QEG35" s="2"/>
      <c r="QEH35" s="2"/>
      <c r="QEI35" s="2"/>
      <c r="QEJ35" s="2"/>
      <c r="QEK35" s="2"/>
      <c r="QEL35" s="2"/>
      <c r="QEM35" s="2"/>
      <c r="QEN35" s="2"/>
      <c r="QEO35" s="2"/>
      <c r="QEP35" s="2"/>
      <c r="QEQ35" s="2"/>
      <c r="QER35" s="2"/>
      <c r="QES35" s="2"/>
      <c r="QET35" s="2"/>
      <c r="QEU35" s="2"/>
      <c r="QEV35" s="2"/>
      <c r="QEW35" s="2"/>
      <c r="QEX35" s="2"/>
      <c r="QEY35" s="2"/>
      <c r="QEZ35" s="2"/>
      <c r="QFA35" s="2"/>
      <c r="QFB35" s="2"/>
      <c r="QFC35" s="2"/>
      <c r="QFD35" s="2"/>
      <c r="QFE35" s="2"/>
      <c r="QFF35" s="2"/>
      <c r="QFG35" s="2"/>
      <c r="QFH35" s="2"/>
      <c r="QFI35" s="2"/>
      <c r="QFJ35" s="2"/>
      <c r="QFK35" s="2"/>
      <c r="QFL35" s="2"/>
      <c r="QFM35" s="2"/>
      <c r="QFN35" s="2"/>
      <c r="QFO35" s="2"/>
      <c r="QFP35" s="2"/>
      <c r="QFQ35" s="2"/>
      <c r="QFR35" s="2"/>
      <c r="QFS35" s="2"/>
      <c r="QFT35" s="2"/>
      <c r="QFU35" s="2"/>
      <c r="QFV35" s="2"/>
      <c r="QFW35" s="2"/>
      <c r="QFX35" s="2"/>
      <c r="QFY35" s="2"/>
      <c r="QFZ35" s="2"/>
      <c r="QGA35" s="2"/>
      <c r="QGB35" s="2"/>
      <c r="QGC35" s="2"/>
      <c r="QGD35" s="2"/>
      <c r="QGE35" s="2"/>
      <c r="QGF35" s="2"/>
      <c r="QGG35" s="2"/>
      <c r="QGH35" s="2"/>
      <c r="QGI35" s="2"/>
      <c r="QGJ35" s="2"/>
      <c r="QGK35" s="2"/>
      <c r="QGL35" s="2"/>
      <c r="QGM35" s="2"/>
      <c r="QGN35" s="2"/>
      <c r="QGO35" s="2"/>
      <c r="QGP35" s="2"/>
      <c r="QGQ35" s="2"/>
      <c r="QGR35" s="2"/>
      <c r="QGS35" s="2"/>
      <c r="QGT35" s="2"/>
      <c r="QGU35" s="2"/>
      <c r="QGV35" s="2"/>
      <c r="QGW35" s="2"/>
      <c r="QGX35" s="2"/>
      <c r="QGY35" s="2"/>
      <c r="QGZ35" s="2"/>
      <c r="QHA35" s="2"/>
      <c r="QHB35" s="2"/>
      <c r="QHC35" s="2"/>
      <c r="QHD35" s="2"/>
      <c r="QHE35" s="2"/>
      <c r="QHF35" s="2"/>
      <c r="QHG35" s="2"/>
      <c r="QHH35" s="2"/>
      <c r="QHI35" s="2"/>
      <c r="QHJ35" s="2"/>
      <c r="QHK35" s="2"/>
      <c r="QHL35" s="2"/>
      <c r="QHM35" s="2"/>
      <c r="QHN35" s="2"/>
      <c r="QHO35" s="2"/>
      <c r="QHP35" s="2"/>
      <c r="QHQ35" s="2"/>
      <c r="QHR35" s="2"/>
      <c r="QHS35" s="2"/>
      <c r="QHT35" s="2"/>
      <c r="QHU35" s="2"/>
      <c r="QHV35" s="2"/>
      <c r="QHW35" s="2"/>
      <c r="QHX35" s="2"/>
      <c r="QHY35" s="2"/>
      <c r="QHZ35" s="2"/>
      <c r="QIA35" s="2"/>
      <c r="QIB35" s="2"/>
      <c r="QIC35" s="2"/>
      <c r="QID35" s="2"/>
      <c r="QIE35" s="2"/>
      <c r="QIF35" s="2"/>
      <c r="QIG35" s="2"/>
      <c r="QIH35" s="2"/>
      <c r="QII35" s="2"/>
      <c r="QIJ35" s="2"/>
      <c r="QIK35" s="2"/>
      <c r="QIL35" s="2"/>
      <c r="QIM35" s="2"/>
      <c r="QIN35" s="2"/>
      <c r="QIO35" s="2"/>
      <c r="QIP35" s="2"/>
      <c r="QIQ35" s="2"/>
      <c r="QIR35" s="2"/>
      <c r="QIS35" s="2"/>
      <c r="QIT35" s="2"/>
      <c r="QIU35" s="2"/>
      <c r="QIV35" s="2"/>
      <c r="QIW35" s="2"/>
      <c r="QIX35" s="2"/>
      <c r="QIY35" s="2"/>
      <c r="QIZ35" s="2"/>
      <c r="QJA35" s="2"/>
      <c r="QJB35" s="2"/>
      <c r="QJC35" s="2"/>
      <c r="QJD35" s="2"/>
      <c r="QJE35" s="2"/>
      <c r="QJF35" s="2"/>
      <c r="QJG35" s="2"/>
      <c r="QJH35" s="2"/>
      <c r="QJI35" s="2"/>
      <c r="QJJ35" s="2"/>
      <c r="QJK35" s="2"/>
      <c r="QJL35" s="2"/>
      <c r="QJM35" s="2"/>
      <c r="QJN35" s="2"/>
      <c r="QJO35" s="2"/>
      <c r="QJP35" s="2"/>
      <c r="QJQ35" s="2"/>
      <c r="QJR35" s="2"/>
      <c r="QJS35" s="2"/>
      <c r="QJT35" s="2"/>
      <c r="QJU35" s="2"/>
      <c r="QJV35" s="2"/>
      <c r="QJW35" s="2"/>
      <c r="QJX35" s="2"/>
      <c r="QJY35" s="2"/>
      <c r="QJZ35" s="2"/>
      <c r="QKA35" s="2"/>
      <c r="QKB35" s="2"/>
      <c r="QKC35" s="2"/>
      <c r="QKD35" s="2"/>
      <c r="QKE35" s="2"/>
      <c r="QKF35" s="2"/>
      <c r="QKG35" s="2"/>
      <c r="QKH35" s="2"/>
      <c r="QKI35" s="2"/>
      <c r="QKJ35" s="2"/>
      <c r="QKK35" s="2"/>
      <c r="QKL35" s="2"/>
      <c r="QKM35" s="2"/>
      <c r="QKN35" s="2"/>
      <c r="QKO35" s="2"/>
      <c r="QKP35" s="2"/>
      <c r="QKQ35" s="2"/>
      <c r="QKR35" s="2"/>
      <c r="QKS35" s="2"/>
      <c r="QKT35" s="2"/>
      <c r="QKU35" s="2"/>
      <c r="QKV35" s="2"/>
      <c r="QKW35" s="2"/>
      <c r="QKX35" s="2"/>
      <c r="QKY35" s="2"/>
      <c r="QKZ35" s="2"/>
      <c r="QLA35" s="2"/>
      <c r="QLB35" s="2"/>
      <c r="QLC35" s="2"/>
      <c r="QLD35" s="2"/>
      <c r="QLE35" s="2"/>
      <c r="QLF35" s="2"/>
      <c r="QLG35" s="2"/>
      <c r="QLH35" s="2"/>
      <c r="QLI35" s="2"/>
      <c r="QLJ35" s="2"/>
      <c r="QLK35" s="2"/>
      <c r="QLL35" s="2"/>
      <c r="QLM35" s="2"/>
      <c r="QLN35" s="2"/>
      <c r="QLO35" s="2"/>
      <c r="QLP35" s="2"/>
      <c r="QLQ35" s="2"/>
      <c r="QLR35" s="2"/>
      <c r="QLS35" s="2"/>
      <c r="QLT35" s="2"/>
      <c r="QLU35" s="2"/>
      <c r="QLV35" s="2"/>
      <c r="QLW35" s="2"/>
      <c r="QLX35" s="2"/>
      <c r="QLY35" s="2"/>
      <c r="QLZ35" s="2"/>
      <c r="QMA35" s="2"/>
      <c r="QMB35" s="2"/>
      <c r="QMC35" s="2"/>
      <c r="QMD35" s="2"/>
      <c r="QME35" s="2"/>
      <c r="QMF35" s="2"/>
      <c r="QMG35" s="2"/>
      <c r="QMH35" s="2"/>
      <c r="QMI35" s="2"/>
      <c r="QMJ35" s="2"/>
      <c r="QMK35" s="2"/>
      <c r="QML35" s="2"/>
      <c r="QMM35" s="2"/>
      <c r="QMN35" s="2"/>
      <c r="QMO35" s="2"/>
      <c r="QMP35" s="2"/>
      <c r="QMQ35" s="2"/>
      <c r="QMR35" s="2"/>
      <c r="QMS35" s="2"/>
      <c r="QMT35" s="2"/>
      <c r="QMU35" s="2"/>
      <c r="QMV35" s="2"/>
      <c r="QMW35" s="2"/>
      <c r="QMX35" s="2"/>
      <c r="QMY35" s="2"/>
      <c r="QMZ35" s="2"/>
      <c r="QNA35" s="2"/>
      <c r="QNB35" s="2"/>
      <c r="QNC35" s="2"/>
      <c r="QND35" s="2"/>
      <c r="QNE35" s="2"/>
      <c r="QNF35" s="2"/>
      <c r="QNG35" s="2"/>
      <c r="QNH35" s="2"/>
      <c r="QNI35" s="2"/>
      <c r="QNJ35" s="2"/>
      <c r="QNK35" s="2"/>
      <c r="QNL35" s="2"/>
      <c r="QNM35" s="2"/>
      <c r="QNN35" s="2"/>
      <c r="QNO35" s="2"/>
      <c r="QNP35" s="2"/>
      <c r="QNQ35" s="2"/>
      <c r="QNR35" s="2"/>
      <c r="QNS35" s="2"/>
      <c r="QNT35" s="2"/>
      <c r="QNU35" s="2"/>
      <c r="QNV35" s="2"/>
      <c r="QNW35" s="2"/>
      <c r="QNX35" s="2"/>
      <c r="QNY35" s="2"/>
      <c r="QNZ35" s="2"/>
      <c r="QOA35" s="2"/>
      <c r="QOB35" s="2"/>
      <c r="QOC35" s="2"/>
      <c r="QOD35" s="2"/>
      <c r="QOE35" s="2"/>
      <c r="QOF35" s="2"/>
      <c r="QOG35" s="2"/>
      <c r="QOH35" s="2"/>
      <c r="QOI35" s="2"/>
      <c r="QOJ35" s="2"/>
      <c r="QOK35" s="2"/>
      <c r="QOL35" s="2"/>
      <c r="QOM35" s="2"/>
      <c r="QON35" s="2"/>
      <c r="QOO35" s="2"/>
      <c r="QOP35" s="2"/>
      <c r="QOQ35" s="2"/>
      <c r="QOR35" s="2"/>
      <c r="QOS35" s="2"/>
      <c r="QOT35" s="2"/>
      <c r="QOU35" s="2"/>
      <c r="QOV35" s="2"/>
      <c r="QOW35" s="2"/>
      <c r="QOX35" s="2"/>
      <c r="QOY35" s="2"/>
      <c r="QOZ35" s="2"/>
      <c r="QPA35" s="2"/>
      <c r="QPB35" s="2"/>
      <c r="QPC35" s="2"/>
      <c r="QPD35" s="2"/>
      <c r="QPE35" s="2"/>
      <c r="QPF35" s="2"/>
      <c r="QPG35" s="2"/>
      <c r="QPH35" s="2"/>
      <c r="QPI35" s="2"/>
      <c r="QPJ35" s="2"/>
      <c r="QPK35" s="2"/>
      <c r="QPL35" s="2"/>
      <c r="QPM35" s="2"/>
      <c r="QPN35" s="2"/>
      <c r="QPO35" s="2"/>
      <c r="QPP35" s="2"/>
      <c r="QPQ35" s="2"/>
      <c r="QPR35" s="2"/>
      <c r="QPS35" s="2"/>
      <c r="QPT35" s="2"/>
      <c r="QPU35" s="2"/>
      <c r="QPV35" s="2"/>
      <c r="QPW35" s="2"/>
      <c r="QPX35" s="2"/>
      <c r="QPY35" s="2"/>
      <c r="QPZ35" s="2"/>
      <c r="QQA35" s="2"/>
      <c r="QQB35" s="2"/>
      <c r="QQC35" s="2"/>
      <c r="QQD35" s="2"/>
      <c r="QQE35" s="2"/>
      <c r="QQF35" s="2"/>
      <c r="QQG35" s="2"/>
      <c r="QQH35" s="2"/>
      <c r="QQI35" s="2"/>
      <c r="QQJ35" s="2"/>
      <c r="QQK35" s="2"/>
      <c r="QQL35" s="2"/>
      <c r="QQM35" s="2"/>
      <c r="QQN35" s="2"/>
      <c r="QQO35" s="2"/>
      <c r="QQP35" s="2"/>
      <c r="QQQ35" s="2"/>
      <c r="QQR35" s="2"/>
      <c r="QQS35" s="2"/>
      <c r="QQT35" s="2"/>
      <c r="QQU35" s="2"/>
      <c r="QQV35" s="2"/>
      <c r="QQW35" s="2"/>
      <c r="QQX35" s="2"/>
      <c r="QQY35" s="2"/>
      <c r="QQZ35" s="2"/>
      <c r="QRA35" s="2"/>
      <c r="QRB35" s="2"/>
      <c r="QRC35" s="2"/>
      <c r="QRD35" s="2"/>
      <c r="QRE35" s="2"/>
      <c r="QRF35" s="2"/>
      <c r="QRG35" s="2"/>
      <c r="QRH35" s="2"/>
      <c r="QRI35" s="2"/>
      <c r="QRJ35" s="2"/>
      <c r="QRK35" s="2"/>
      <c r="QRL35" s="2"/>
      <c r="QRM35" s="2"/>
      <c r="QRN35" s="2"/>
      <c r="QRO35" s="2"/>
      <c r="QRP35" s="2"/>
      <c r="QRQ35" s="2"/>
      <c r="QRR35" s="2"/>
      <c r="QRS35" s="2"/>
      <c r="QRT35" s="2"/>
      <c r="QRU35" s="2"/>
      <c r="QRV35" s="2"/>
      <c r="QRW35" s="2"/>
      <c r="QRX35" s="2"/>
      <c r="QRY35" s="2"/>
      <c r="QRZ35" s="2"/>
      <c r="QSA35" s="2"/>
      <c r="QSB35" s="2"/>
      <c r="QSC35" s="2"/>
      <c r="QSD35" s="2"/>
      <c r="QSE35" s="2"/>
      <c r="QSF35" s="2"/>
      <c r="QSG35" s="2"/>
      <c r="QSH35" s="2"/>
      <c r="QSI35" s="2"/>
      <c r="QSJ35" s="2"/>
      <c r="QSK35" s="2"/>
      <c r="QSL35" s="2"/>
      <c r="QSM35" s="2"/>
      <c r="QSN35" s="2"/>
      <c r="QSO35" s="2"/>
      <c r="QSP35" s="2"/>
      <c r="QSQ35" s="2"/>
      <c r="QSR35" s="2"/>
      <c r="QSS35" s="2"/>
      <c r="QST35" s="2"/>
      <c r="QSU35" s="2"/>
      <c r="QSV35" s="2"/>
      <c r="QSW35" s="2"/>
      <c r="QSX35" s="2"/>
      <c r="QSY35" s="2"/>
      <c r="QSZ35" s="2"/>
      <c r="QTA35" s="2"/>
      <c r="QTB35" s="2"/>
      <c r="QTC35" s="2"/>
      <c r="QTD35" s="2"/>
      <c r="QTE35" s="2"/>
      <c r="QTF35" s="2"/>
      <c r="QTG35" s="2"/>
      <c r="QTH35" s="2"/>
      <c r="QTI35" s="2"/>
      <c r="QTJ35" s="2"/>
      <c r="QTK35" s="2"/>
      <c r="QTL35" s="2"/>
      <c r="QTM35" s="2"/>
      <c r="QTN35" s="2"/>
      <c r="QTO35" s="2"/>
      <c r="QTP35" s="2"/>
      <c r="QTQ35" s="2"/>
      <c r="QTR35" s="2"/>
      <c r="QTS35" s="2"/>
      <c r="QTT35" s="2"/>
      <c r="QTU35" s="2"/>
      <c r="QTV35" s="2"/>
      <c r="QTW35" s="2"/>
      <c r="QTX35" s="2"/>
      <c r="QTY35" s="2"/>
      <c r="QTZ35" s="2"/>
      <c r="QUA35" s="2"/>
      <c r="QUB35" s="2"/>
      <c r="QUC35" s="2"/>
      <c r="QUD35" s="2"/>
      <c r="QUE35" s="2"/>
      <c r="QUF35" s="2"/>
      <c r="QUG35" s="2"/>
      <c r="QUH35" s="2"/>
      <c r="QUI35" s="2"/>
      <c r="QUJ35" s="2"/>
      <c r="QUK35" s="2"/>
      <c r="QUL35" s="2"/>
      <c r="QUM35" s="2"/>
      <c r="QUN35" s="2"/>
      <c r="QUO35" s="2"/>
      <c r="QUP35" s="2"/>
      <c r="QUQ35" s="2"/>
      <c r="QUR35" s="2"/>
      <c r="QUS35" s="2"/>
      <c r="QUT35" s="2"/>
      <c r="QUU35" s="2"/>
      <c r="QUV35" s="2"/>
      <c r="QUW35" s="2"/>
      <c r="QUX35" s="2"/>
      <c r="QUY35" s="2"/>
      <c r="QUZ35" s="2"/>
      <c r="QVA35" s="2"/>
      <c r="QVB35" s="2"/>
      <c r="QVC35" s="2"/>
      <c r="QVD35" s="2"/>
      <c r="QVE35" s="2"/>
      <c r="QVF35" s="2"/>
      <c r="QVG35" s="2"/>
      <c r="QVH35" s="2"/>
      <c r="QVI35" s="2"/>
      <c r="QVJ35" s="2"/>
      <c r="QVK35" s="2"/>
      <c r="QVL35" s="2"/>
      <c r="QVM35" s="2"/>
      <c r="QVN35" s="2"/>
      <c r="QVO35" s="2"/>
      <c r="QVP35" s="2"/>
      <c r="QVQ35" s="2"/>
      <c r="QVR35" s="2"/>
      <c r="QVS35" s="2"/>
      <c r="QVT35" s="2"/>
      <c r="QVU35" s="2"/>
      <c r="QVV35" s="2"/>
      <c r="QVW35" s="2"/>
      <c r="QVX35" s="2"/>
      <c r="QVY35" s="2"/>
      <c r="QVZ35" s="2"/>
      <c r="QWA35" s="2"/>
      <c r="QWB35" s="2"/>
      <c r="QWC35" s="2"/>
      <c r="QWD35" s="2"/>
      <c r="QWE35" s="2"/>
      <c r="QWF35" s="2"/>
      <c r="QWG35" s="2"/>
      <c r="QWH35" s="2"/>
      <c r="QWI35" s="2"/>
      <c r="QWJ35" s="2"/>
      <c r="QWK35" s="2"/>
      <c r="QWL35" s="2"/>
      <c r="QWM35" s="2"/>
      <c r="QWN35" s="2"/>
      <c r="QWO35" s="2"/>
      <c r="QWP35" s="2"/>
      <c r="QWQ35" s="2"/>
      <c r="QWR35" s="2"/>
      <c r="QWS35" s="2"/>
      <c r="QWT35" s="2"/>
      <c r="QWU35" s="2"/>
      <c r="QWV35" s="2"/>
      <c r="QWW35" s="2"/>
      <c r="QWX35" s="2"/>
      <c r="QWY35" s="2"/>
      <c r="QWZ35" s="2"/>
      <c r="QXA35" s="2"/>
      <c r="QXB35" s="2"/>
      <c r="QXC35" s="2"/>
      <c r="QXD35" s="2"/>
      <c r="QXE35" s="2"/>
      <c r="QXF35" s="2"/>
      <c r="QXG35" s="2"/>
      <c r="QXH35" s="2"/>
      <c r="QXI35" s="2"/>
      <c r="QXJ35" s="2"/>
      <c r="QXK35" s="2"/>
      <c r="QXL35" s="2"/>
      <c r="QXM35" s="2"/>
      <c r="QXN35" s="2"/>
      <c r="QXO35" s="2"/>
      <c r="QXP35" s="2"/>
      <c r="QXQ35" s="2"/>
      <c r="QXR35" s="2"/>
      <c r="QXS35" s="2"/>
      <c r="QXT35" s="2"/>
      <c r="QXU35" s="2"/>
      <c r="QXV35" s="2"/>
      <c r="QXW35" s="2"/>
      <c r="QXX35" s="2"/>
      <c r="QXY35" s="2"/>
      <c r="QXZ35" s="2"/>
      <c r="QYA35" s="2"/>
      <c r="QYB35" s="2"/>
      <c r="QYC35" s="2"/>
      <c r="QYD35" s="2"/>
      <c r="QYE35" s="2"/>
      <c r="QYF35" s="2"/>
      <c r="QYG35" s="2"/>
      <c r="QYH35" s="2"/>
      <c r="QYI35" s="2"/>
      <c r="QYJ35" s="2"/>
      <c r="QYK35" s="2"/>
      <c r="QYL35" s="2"/>
      <c r="QYM35" s="2"/>
      <c r="QYN35" s="2"/>
      <c r="QYO35" s="2"/>
      <c r="QYP35" s="2"/>
      <c r="QYQ35" s="2"/>
      <c r="QYR35" s="2"/>
      <c r="QYS35" s="2"/>
      <c r="QYT35" s="2"/>
      <c r="QYU35" s="2"/>
      <c r="QYV35" s="2"/>
      <c r="QYW35" s="2"/>
      <c r="QYX35" s="2"/>
      <c r="QYY35" s="2"/>
      <c r="QYZ35" s="2"/>
      <c r="QZA35" s="2"/>
      <c r="QZB35" s="2"/>
      <c r="QZC35" s="2"/>
      <c r="QZD35" s="2"/>
      <c r="QZE35" s="2"/>
      <c r="QZF35" s="2"/>
      <c r="QZG35" s="2"/>
      <c r="QZH35" s="2"/>
      <c r="QZI35" s="2"/>
      <c r="QZJ35" s="2"/>
      <c r="QZK35" s="2"/>
      <c r="QZL35" s="2"/>
      <c r="QZM35" s="2"/>
      <c r="QZN35" s="2"/>
      <c r="QZO35" s="2"/>
      <c r="QZP35" s="2"/>
      <c r="QZQ35" s="2"/>
      <c r="QZR35" s="2"/>
      <c r="QZS35" s="2"/>
      <c r="QZT35" s="2"/>
      <c r="QZU35" s="2"/>
      <c r="QZV35" s="2"/>
      <c r="QZW35" s="2"/>
      <c r="QZX35" s="2"/>
      <c r="QZY35" s="2"/>
      <c r="QZZ35" s="2"/>
      <c r="RAA35" s="2"/>
      <c r="RAB35" s="2"/>
      <c r="RAC35" s="2"/>
      <c r="RAD35" s="2"/>
      <c r="RAE35" s="2"/>
      <c r="RAF35" s="2"/>
      <c r="RAG35" s="2"/>
      <c r="RAH35" s="2"/>
      <c r="RAI35" s="2"/>
      <c r="RAJ35" s="2"/>
      <c r="RAK35" s="2"/>
      <c r="RAL35" s="2"/>
      <c r="RAM35" s="2"/>
      <c r="RAN35" s="2"/>
      <c r="RAO35" s="2"/>
      <c r="RAP35" s="2"/>
      <c r="RAQ35" s="2"/>
      <c r="RAR35" s="2"/>
      <c r="RAS35" s="2"/>
      <c r="RAT35" s="2"/>
      <c r="RAU35" s="2"/>
      <c r="RAV35" s="2"/>
      <c r="RAW35" s="2"/>
      <c r="RAX35" s="2"/>
      <c r="RAY35" s="2"/>
      <c r="RAZ35" s="2"/>
      <c r="RBA35" s="2"/>
      <c r="RBB35" s="2"/>
      <c r="RBC35" s="2"/>
      <c r="RBD35" s="2"/>
      <c r="RBE35" s="2"/>
      <c r="RBF35" s="2"/>
      <c r="RBG35" s="2"/>
      <c r="RBH35" s="2"/>
      <c r="RBI35" s="2"/>
      <c r="RBJ35" s="2"/>
      <c r="RBK35" s="2"/>
      <c r="RBL35" s="2"/>
      <c r="RBM35" s="2"/>
      <c r="RBN35" s="2"/>
      <c r="RBO35" s="2"/>
      <c r="RBP35" s="2"/>
      <c r="RBQ35" s="2"/>
      <c r="RBR35" s="2"/>
      <c r="RBS35" s="2"/>
      <c r="RBT35" s="2"/>
      <c r="RBU35" s="2"/>
      <c r="RBV35" s="2"/>
      <c r="RBW35" s="2"/>
      <c r="RBX35" s="2"/>
      <c r="RBY35" s="2"/>
      <c r="RBZ35" s="2"/>
      <c r="RCA35" s="2"/>
      <c r="RCB35" s="2"/>
      <c r="RCC35" s="2"/>
      <c r="RCD35" s="2"/>
      <c r="RCE35" s="2"/>
      <c r="RCF35" s="2"/>
      <c r="RCG35" s="2"/>
      <c r="RCH35" s="2"/>
      <c r="RCI35" s="2"/>
      <c r="RCJ35" s="2"/>
      <c r="RCK35" s="2"/>
      <c r="RCL35" s="2"/>
      <c r="RCM35" s="2"/>
      <c r="RCN35" s="2"/>
      <c r="RCO35" s="2"/>
      <c r="RCP35" s="2"/>
      <c r="RCQ35" s="2"/>
      <c r="RCR35" s="2"/>
      <c r="RCS35" s="2"/>
      <c r="RCT35" s="2"/>
      <c r="RCU35" s="2"/>
      <c r="RCV35" s="2"/>
      <c r="RCW35" s="2"/>
      <c r="RCX35" s="2"/>
      <c r="RCY35" s="2"/>
      <c r="RCZ35" s="2"/>
      <c r="RDA35" s="2"/>
      <c r="RDB35" s="2"/>
      <c r="RDC35" s="2"/>
      <c r="RDD35" s="2"/>
      <c r="RDE35" s="2"/>
      <c r="RDF35" s="2"/>
      <c r="RDG35" s="2"/>
      <c r="RDH35" s="2"/>
      <c r="RDI35" s="2"/>
      <c r="RDJ35" s="2"/>
      <c r="RDK35" s="2"/>
      <c r="RDL35" s="2"/>
      <c r="RDM35" s="2"/>
      <c r="RDN35" s="2"/>
      <c r="RDO35" s="2"/>
      <c r="RDP35" s="2"/>
      <c r="RDQ35" s="2"/>
      <c r="RDR35" s="2"/>
      <c r="RDS35" s="2"/>
      <c r="RDT35" s="2"/>
      <c r="RDU35" s="2"/>
      <c r="RDV35" s="2"/>
      <c r="RDW35" s="2"/>
      <c r="RDX35" s="2"/>
      <c r="RDY35" s="2"/>
      <c r="RDZ35" s="2"/>
      <c r="REA35" s="2"/>
      <c r="REB35" s="2"/>
      <c r="REC35" s="2"/>
      <c r="RED35" s="2"/>
      <c r="REE35" s="2"/>
      <c r="REF35" s="2"/>
      <c r="REG35" s="2"/>
      <c r="REH35" s="2"/>
      <c r="REI35" s="2"/>
      <c r="REJ35" s="2"/>
      <c r="REK35" s="2"/>
      <c r="REL35" s="2"/>
      <c r="REM35" s="2"/>
      <c r="REN35" s="2"/>
      <c r="REO35" s="2"/>
      <c r="REP35" s="2"/>
      <c r="REQ35" s="2"/>
      <c r="RER35" s="2"/>
      <c r="RES35" s="2"/>
      <c r="RET35" s="2"/>
      <c r="REU35" s="2"/>
      <c r="REV35" s="2"/>
      <c r="REW35" s="2"/>
      <c r="REX35" s="2"/>
      <c r="REY35" s="2"/>
      <c r="REZ35" s="2"/>
      <c r="RFA35" s="2"/>
      <c r="RFB35" s="2"/>
      <c r="RFC35" s="2"/>
      <c r="RFD35" s="2"/>
      <c r="RFE35" s="2"/>
      <c r="RFF35" s="2"/>
      <c r="RFG35" s="2"/>
      <c r="RFH35" s="2"/>
      <c r="RFI35" s="2"/>
      <c r="RFJ35" s="2"/>
      <c r="RFK35" s="2"/>
      <c r="RFL35" s="2"/>
      <c r="RFM35" s="2"/>
      <c r="RFN35" s="2"/>
      <c r="RFO35" s="2"/>
      <c r="RFP35" s="2"/>
      <c r="RFQ35" s="2"/>
      <c r="RFR35" s="2"/>
      <c r="RFS35" s="2"/>
      <c r="RFT35" s="2"/>
      <c r="RFU35" s="2"/>
      <c r="RFV35" s="2"/>
      <c r="RFW35" s="2"/>
      <c r="RFX35" s="2"/>
      <c r="RFY35" s="2"/>
      <c r="RFZ35" s="2"/>
      <c r="RGA35" s="2"/>
      <c r="RGB35" s="2"/>
      <c r="RGC35" s="2"/>
      <c r="RGD35" s="2"/>
      <c r="RGE35" s="2"/>
      <c r="RGF35" s="2"/>
      <c r="RGG35" s="2"/>
      <c r="RGH35" s="2"/>
      <c r="RGI35" s="2"/>
      <c r="RGJ35" s="2"/>
      <c r="RGK35" s="2"/>
      <c r="RGL35" s="2"/>
      <c r="RGM35" s="2"/>
      <c r="RGN35" s="2"/>
      <c r="RGO35" s="2"/>
      <c r="RGP35" s="2"/>
      <c r="RGQ35" s="2"/>
      <c r="RGR35" s="2"/>
      <c r="RGS35" s="2"/>
      <c r="RGT35" s="2"/>
      <c r="RGU35" s="2"/>
      <c r="RGV35" s="2"/>
      <c r="RGW35" s="2"/>
      <c r="RGX35" s="2"/>
      <c r="RGY35" s="2"/>
      <c r="RGZ35" s="2"/>
      <c r="RHA35" s="2"/>
      <c r="RHB35" s="2"/>
      <c r="RHC35" s="2"/>
      <c r="RHD35" s="2"/>
      <c r="RHE35" s="2"/>
      <c r="RHF35" s="2"/>
      <c r="RHG35" s="2"/>
      <c r="RHH35" s="2"/>
      <c r="RHI35" s="2"/>
      <c r="RHJ35" s="2"/>
      <c r="RHK35" s="2"/>
      <c r="RHL35" s="2"/>
      <c r="RHM35" s="2"/>
      <c r="RHN35" s="2"/>
      <c r="RHO35" s="2"/>
      <c r="RHP35" s="2"/>
      <c r="RHQ35" s="2"/>
      <c r="RHR35" s="2"/>
      <c r="RHS35" s="2"/>
      <c r="RHT35" s="2"/>
      <c r="RHU35" s="2"/>
      <c r="RHV35" s="2"/>
      <c r="RHW35" s="2"/>
      <c r="RHX35" s="2"/>
      <c r="RHY35" s="2"/>
      <c r="RHZ35" s="2"/>
      <c r="RIA35" s="2"/>
      <c r="RIB35" s="2"/>
      <c r="RIC35" s="2"/>
      <c r="RID35" s="2"/>
      <c r="RIE35" s="2"/>
      <c r="RIF35" s="2"/>
      <c r="RIG35" s="2"/>
      <c r="RIH35" s="2"/>
      <c r="RII35" s="2"/>
      <c r="RIJ35" s="2"/>
      <c r="RIK35" s="2"/>
      <c r="RIL35" s="2"/>
      <c r="RIM35" s="2"/>
      <c r="RIN35" s="2"/>
      <c r="RIO35" s="2"/>
      <c r="RIP35" s="2"/>
      <c r="RIQ35" s="2"/>
      <c r="RIR35" s="2"/>
      <c r="RIS35" s="2"/>
      <c r="RIT35" s="2"/>
      <c r="RIU35" s="2"/>
      <c r="RIV35" s="2"/>
      <c r="RIW35" s="2"/>
      <c r="RIX35" s="2"/>
      <c r="RIY35" s="2"/>
      <c r="RIZ35" s="2"/>
      <c r="RJA35" s="2"/>
      <c r="RJB35" s="2"/>
      <c r="RJC35" s="2"/>
      <c r="RJD35" s="2"/>
      <c r="RJE35" s="2"/>
      <c r="RJF35" s="2"/>
      <c r="RJG35" s="2"/>
      <c r="RJH35" s="2"/>
      <c r="RJI35" s="2"/>
      <c r="RJJ35" s="2"/>
      <c r="RJK35" s="2"/>
      <c r="RJL35" s="2"/>
      <c r="RJM35" s="2"/>
      <c r="RJN35" s="2"/>
      <c r="RJO35" s="2"/>
      <c r="RJP35" s="2"/>
      <c r="RJQ35" s="2"/>
      <c r="RJR35" s="2"/>
      <c r="RJS35" s="2"/>
      <c r="RJT35" s="2"/>
      <c r="RJU35" s="2"/>
      <c r="RJV35" s="2"/>
      <c r="RJW35" s="2"/>
      <c r="RJX35" s="2"/>
      <c r="RJY35" s="2"/>
      <c r="RJZ35" s="2"/>
      <c r="RKA35" s="2"/>
      <c r="RKB35" s="2"/>
      <c r="RKC35" s="2"/>
      <c r="RKD35" s="2"/>
      <c r="RKE35" s="2"/>
      <c r="RKF35" s="2"/>
      <c r="RKG35" s="2"/>
      <c r="RKH35" s="2"/>
      <c r="RKI35" s="2"/>
      <c r="RKJ35" s="2"/>
      <c r="RKK35" s="2"/>
      <c r="RKL35" s="2"/>
      <c r="RKM35" s="2"/>
      <c r="RKN35" s="2"/>
      <c r="RKO35" s="2"/>
      <c r="RKP35" s="2"/>
      <c r="RKQ35" s="2"/>
      <c r="RKR35" s="2"/>
      <c r="RKS35" s="2"/>
      <c r="RKT35" s="2"/>
      <c r="RKU35" s="2"/>
      <c r="RKV35" s="2"/>
      <c r="RKW35" s="2"/>
      <c r="RKX35" s="2"/>
      <c r="RKY35" s="2"/>
      <c r="RKZ35" s="2"/>
      <c r="RLA35" s="2"/>
      <c r="RLB35" s="2"/>
      <c r="RLC35" s="2"/>
      <c r="RLD35" s="2"/>
      <c r="RLE35" s="2"/>
      <c r="RLF35" s="2"/>
      <c r="RLG35" s="2"/>
      <c r="RLH35" s="2"/>
      <c r="RLI35" s="2"/>
      <c r="RLJ35" s="2"/>
      <c r="RLK35" s="2"/>
      <c r="RLL35" s="2"/>
      <c r="RLM35" s="2"/>
      <c r="RLN35" s="2"/>
      <c r="RLO35" s="2"/>
      <c r="RLP35" s="2"/>
      <c r="RLQ35" s="2"/>
      <c r="RLR35" s="2"/>
      <c r="RLS35" s="2"/>
      <c r="RLT35" s="2"/>
      <c r="RLU35" s="2"/>
      <c r="RLV35" s="2"/>
      <c r="RLW35" s="2"/>
      <c r="RLX35" s="2"/>
      <c r="RLY35" s="2"/>
      <c r="RLZ35" s="2"/>
      <c r="RMA35" s="2"/>
      <c r="RMB35" s="2"/>
      <c r="RMC35" s="2"/>
      <c r="RMD35" s="2"/>
      <c r="RME35" s="2"/>
      <c r="RMF35" s="2"/>
      <c r="RMG35" s="2"/>
      <c r="RMH35" s="2"/>
      <c r="RMI35" s="2"/>
      <c r="RMJ35" s="2"/>
      <c r="RMK35" s="2"/>
      <c r="RML35" s="2"/>
      <c r="RMM35" s="2"/>
      <c r="RMN35" s="2"/>
      <c r="RMO35" s="2"/>
      <c r="RMP35" s="2"/>
      <c r="RMQ35" s="2"/>
      <c r="RMR35" s="2"/>
      <c r="RMS35" s="2"/>
      <c r="RMT35" s="2"/>
      <c r="RMU35" s="2"/>
      <c r="RMV35" s="2"/>
      <c r="RMW35" s="2"/>
      <c r="RMX35" s="2"/>
      <c r="RMY35" s="2"/>
      <c r="RMZ35" s="2"/>
      <c r="RNA35" s="2"/>
      <c r="RNB35" s="2"/>
      <c r="RNC35" s="2"/>
      <c r="RND35" s="2"/>
      <c r="RNE35" s="2"/>
      <c r="RNF35" s="2"/>
      <c r="RNG35" s="2"/>
      <c r="RNH35" s="2"/>
      <c r="RNI35" s="2"/>
      <c r="RNJ35" s="2"/>
      <c r="RNK35" s="2"/>
      <c r="RNL35" s="2"/>
      <c r="RNM35" s="2"/>
      <c r="RNN35" s="2"/>
      <c r="RNO35" s="2"/>
      <c r="RNP35" s="2"/>
      <c r="RNQ35" s="2"/>
      <c r="RNR35" s="2"/>
      <c r="RNS35" s="2"/>
      <c r="RNT35" s="2"/>
      <c r="RNU35" s="2"/>
      <c r="RNV35" s="2"/>
      <c r="RNW35" s="2"/>
      <c r="RNX35" s="2"/>
      <c r="RNY35" s="2"/>
      <c r="RNZ35" s="2"/>
      <c r="ROA35" s="2"/>
      <c r="ROB35" s="2"/>
      <c r="ROC35" s="2"/>
      <c r="ROD35" s="2"/>
      <c r="ROE35" s="2"/>
      <c r="ROF35" s="2"/>
      <c r="ROG35" s="2"/>
      <c r="ROH35" s="2"/>
      <c r="ROI35" s="2"/>
      <c r="ROJ35" s="2"/>
      <c r="ROK35" s="2"/>
      <c r="ROL35" s="2"/>
      <c r="ROM35" s="2"/>
      <c r="RON35" s="2"/>
      <c r="ROO35" s="2"/>
      <c r="ROP35" s="2"/>
      <c r="ROQ35" s="2"/>
      <c r="ROR35" s="2"/>
      <c r="ROS35" s="2"/>
      <c r="ROT35" s="2"/>
      <c r="ROU35" s="2"/>
      <c r="ROV35" s="2"/>
      <c r="ROW35" s="2"/>
      <c r="ROX35" s="2"/>
      <c r="ROY35" s="2"/>
      <c r="ROZ35" s="2"/>
      <c r="RPA35" s="2"/>
      <c r="RPB35" s="2"/>
      <c r="RPC35" s="2"/>
      <c r="RPD35" s="2"/>
      <c r="RPE35" s="2"/>
      <c r="RPF35" s="2"/>
      <c r="RPG35" s="2"/>
      <c r="RPH35" s="2"/>
      <c r="RPI35" s="2"/>
      <c r="RPJ35" s="2"/>
      <c r="RPK35" s="2"/>
      <c r="RPL35" s="2"/>
      <c r="RPM35" s="2"/>
      <c r="RPN35" s="2"/>
      <c r="RPO35" s="2"/>
      <c r="RPP35" s="2"/>
      <c r="RPQ35" s="2"/>
      <c r="RPR35" s="2"/>
      <c r="RPS35" s="2"/>
      <c r="RPT35" s="2"/>
      <c r="RPU35" s="2"/>
      <c r="RPV35" s="2"/>
      <c r="RPW35" s="2"/>
      <c r="RPX35" s="2"/>
      <c r="RPY35" s="2"/>
      <c r="RPZ35" s="2"/>
      <c r="RQA35" s="2"/>
      <c r="RQB35" s="2"/>
      <c r="RQC35" s="2"/>
      <c r="RQD35" s="2"/>
      <c r="RQE35" s="2"/>
      <c r="RQF35" s="2"/>
      <c r="RQG35" s="2"/>
      <c r="RQH35" s="2"/>
      <c r="RQI35" s="2"/>
      <c r="RQJ35" s="2"/>
      <c r="RQK35" s="2"/>
      <c r="RQL35" s="2"/>
      <c r="RQM35" s="2"/>
      <c r="RQN35" s="2"/>
      <c r="RQO35" s="2"/>
      <c r="RQP35" s="2"/>
      <c r="RQQ35" s="2"/>
      <c r="RQR35" s="2"/>
      <c r="RQS35" s="2"/>
      <c r="RQT35" s="2"/>
      <c r="RQU35" s="2"/>
      <c r="RQV35" s="2"/>
      <c r="RQW35" s="2"/>
      <c r="RQX35" s="2"/>
      <c r="RQY35" s="2"/>
      <c r="RQZ35" s="2"/>
      <c r="RRA35" s="2"/>
      <c r="RRB35" s="2"/>
      <c r="RRC35" s="2"/>
      <c r="RRD35" s="2"/>
      <c r="RRE35" s="2"/>
      <c r="RRF35" s="2"/>
      <c r="RRG35" s="2"/>
      <c r="RRH35" s="2"/>
      <c r="RRI35" s="2"/>
      <c r="RRJ35" s="2"/>
      <c r="RRK35" s="2"/>
      <c r="RRL35" s="2"/>
      <c r="RRM35" s="2"/>
      <c r="RRN35" s="2"/>
      <c r="RRO35" s="2"/>
      <c r="RRP35" s="2"/>
      <c r="RRQ35" s="2"/>
      <c r="RRR35" s="2"/>
      <c r="RRS35" s="2"/>
      <c r="RRT35" s="2"/>
      <c r="RRU35" s="2"/>
      <c r="RRV35" s="2"/>
      <c r="RRW35" s="2"/>
      <c r="RRX35" s="2"/>
      <c r="RRY35" s="2"/>
      <c r="RRZ35" s="2"/>
      <c r="RSA35" s="2"/>
      <c r="RSB35" s="2"/>
      <c r="RSC35" s="2"/>
      <c r="RSD35" s="2"/>
      <c r="RSE35" s="2"/>
      <c r="RSF35" s="2"/>
      <c r="RSG35" s="2"/>
      <c r="RSH35" s="2"/>
      <c r="RSI35" s="2"/>
      <c r="RSJ35" s="2"/>
      <c r="RSK35" s="2"/>
      <c r="RSL35" s="2"/>
      <c r="RSM35" s="2"/>
      <c r="RSN35" s="2"/>
      <c r="RSO35" s="2"/>
      <c r="RSP35" s="2"/>
      <c r="RSQ35" s="2"/>
      <c r="RSR35" s="2"/>
      <c r="RSS35" s="2"/>
      <c r="RST35" s="2"/>
      <c r="RSU35" s="2"/>
      <c r="RSV35" s="2"/>
      <c r="RSW35" s="2"/>
      <c r="RSX35" s="2"/>
      <c r="RSY35" s="2"/>
      <c r="RSZ35" s="2"/>
      <c r="RTA35" s="2"/>
      <c r="RTB35" s="2"/>
      <c r="RTC35" s="2"/>
      <c r="RTD35" s="2"/>
      <c r="RTE35" s="2"/>
      <c r="RTF35" s="2"/>
      <c r="RTG35" s="2"/>
      <c r="RTH35" s="2"/>
      <c r="RTI35" s="2"/>
      <c r="RTJ35" s="2"/>
      <c r="RTK35" s="2"/>
      <c r="RTL35" s="2"/>
      <c r="RTM35" s="2"/>
      <c r="RTN35" s="2"/>
      <c r="RTO35" s="2"/>
      <c r="RTP35" s="2"/>
      <c r="RTQ35" s="2"/>
      <c r="RTR35" s="2"/>
      <c r="RTS35" s="2"/>
      <c r="RTT35" s="2"/>
      <c r="RTU35" s="2"/>
      <c r="RTV35" s="2"/>
      <c r="RTW35" s="2"/>
      <c r="RTX35" s="2"/>
      <c r="RTY35" s="2"/>
      <c r="RTZ35" s="2"/>
      <c r="RUA35" s="2"/>
      <c r="RUB35" s="2"/>
      <c r="RUC35" s="2"/>
      <c r="RUD35" s="2"/>
      <c r="RUE35" s="2"/>
      <c r="RUF35" s="2"/>
      <c r="RUG35" s="2"/>
      <c r="RUH35" s="2"/>
      <c r="RUI35" s="2"/>
      <c r="RUJ35" s="2"/>
      <c r="RUK35" s="2"/>
      <c r="RUL35" s="2"/>
      <c r="RUM35" s="2"/>
      <c r="RUN35" s="2"/>
      <c r="RUO35" s="2"/>
      <c r="RUP35" s="2"/>
      <c r="RUQ35" s="2"/>
      <c r="RUR35" s="2"/>
      <c r="RUS35" s="2"/>
      <c r="RUT35" s="2"/>
      <c r="RUU35" s="2"/>
      <c r="RUV35" s="2"/>
      <c r="RUW35" s="2"/>
      <c r="RUX35" s="2"/>
      <c r="RUY35" s="2"/>
      <c r="RUZ35" s="2"/>
      <c r="RVA35" s="2"/>
      <c r="RVB35" s="2"/>
      <c r="RVC35" s="2"/>
      <c r="RVD35" s="2"/>
      <c r="RVE35" s="2"/>
      <c r="RVF35" s="2"/>
      <c r="RVG35" s="2"/>
      <c r="RVH35" s="2"/>
      <c r="RVI35" s="2"/>
      <c r="RVJ35" s="2"/>
      <c r="RVK35" s="2"/>
      <c r="RVL35" s="2"/>
      <c r="RVM35" s="2"/>
      <c r="RVN35" s="2"/>
      <c r="RVO35" s="2"/>
      <c r="RVP35" s="2"/>
      <c r="RVQ35" s="2"/>
      <c r="RVR35" s="2"/>
      <c r="RVS35" s="2"/>
      <c r="RVT35" s="2"/>
      <c r="RVU35" s="2"/>
      <c r="RVV35" s="2"/>
      <c r="RVW35" s="2"/>
      <c r="RVX35" s="2"/>
      <c r="RVY35" s="2"/>
      <c r="RVZ35" s="2"/>
      <c r="RWA35" s="2"/>
      <c r="RWB35" s="2"/>
      <c r="RWC35" s="2"/>
      <c r="RWD35" s="2"/>
      <c r="RWE35" s="2"/>
      <c r="RWF35" s="2"/>
      <c r="RWG35" s="2"/>
      <c r="RWH35" s="2"/>
      <c r="RWI35" s="2"/>
      <c r="RWJ35" s="2"/>
      <c r="RWK35" s="2"/>
      <c r="RWL35" s="2"/>
      <c r="RWM35" s="2"/>
      <c r="RWN35" s="2"/>
      <c r="RWO35" s="2"/>
      <c r="RWP35" s="2"/>
      <c r="RWQ35" s="2"/>
      <c r="RWR35" s="2"/>
      <c r="RWS35" s="2"/>
      <c r="RWT35" s="2"/>
      <c r="RWU35" s="2"/>
      <c r="RWV35" s="2"/>
      <c r="RWW35" s="2"/>
      <c r="RWX35" s="2"/>
      <c r="RWY35" s="2"/>
      <c r="RWZ35" s="2"/>
      <c r="RXA35" s="2"/>
      <c r="RXB35" s="2"/>
      <c r="RXC35" s="2"/>
      <c r="RXD35" s="2"/>
      <c r="RXE35" s="2"/>
      <c r="RXF35" s="2"/>
      <c r="RXG35" s="2"/>
      <c r="RXH35" s="2"/>
      <c r="RXI35" s="2"/>
      <c r="RXJ35" s="2"/>
      <c r="RXK35" s="2"/>
      <c r="RXL35" s="2"/>
      <c r="RXM35" s="2"/>
      <c r="RXN35" s="2"/>
      <c r="RXO35" s="2"/>
      <c r="RXP35" s="2"/>
      <c r="RXQ35" s="2"/>
      <c r="RXR35" s="2"/>
      <c r="RXS35" s="2"/>
      <c r="RXT35" s="2"/>
      <c r="RXU35" s="2"/>
      <c r="RXV35" s="2"/>
      <c r="RXW35" s="2"/>
      <c r="RXX35" s="2"/>
      <c r="RXY35" s="2"/>
      <c r="RXZ35" s="2"/>
      <c r="RYA35" s="2"/>
      <c r="RYB35" s="2"/>
      <c r="RYC35" s="2"/>
      <c r="RYD35" s="2"/>
      <c r="RYE35" s="2"/>
      <c r="RYF35" s="2"/>
      <c r="RYG35" s="2"/>
      <c r="RYH35" s="2"/>
      <c r="RYI35" s="2"/>
      <c r="RYJ35" s="2"/>
      <c r="RYK35" s="2"/>
      <c r="RYL35" s="2"/>
      <c r="RYM35" s="2"/>
      <c r="RYN35" s="2"/>
      <c r="RYO35" s="2"/>
      <c r="RYP35" s="2"/>
      <c r="RYQ35" s="2"/>
      <c r="RYR35" s="2"/>
      <c r="RYS35" s="2"/>
      <c r="RYT35" s="2"/>
      <c r="RYU35" s="2"/>
      <c r="RYV35" s="2"/>
      <c r="RYW35" s="2"/>
      <c r="RYX35" s="2"/>
      <c r="RYY35" s="2"/>
      <c r="RYZ35" s="2"/>
      <c r="RZA35" s="2"/>
      <c r="RZB35" s="2"/>
      <c r="RZC35" s="2"/>
      <c r="RZD35" s="2"/>
      <c r="RZE35" s="2"/>
      <c r="RZF35" s="2"/>
      <c r="RZG35" s="2"/>
      <c r="RZH35" s="2"/>
      <c r="RZI35" s="2"/>
      <c r="RZJ35" s="2"/>
      <c r="RZK35" s="2"/>
      <c r="RZL35" s="2"/>
      <c r="RZM35" s="2"/>
      <c r="RZN35" s="2"/>
      <c r="RZO35" s="2"/>
      <c r="RZP35" s="2"/>
      <c r="RZQ35" s="2"/>
      <c r="RZR35" s="2"/>
      <c r="RZS35" s="2"/>
      <c r="RZT35" s="2"/>
      <c r="RZU35" s="2"/>
      <c r="RZV35" s="2"/>
      <c r="RZW35" s="2"/>
      <c r="RZX35" s="2"/>
      <c r="RZY35" s="2"/>
      <c r="RZZ35" s="2"/>
      <c r="SAA35" s="2"/>
      <c r="SAB35" s="2"/>
      <c r="SAC35" s="2"/>
      <c r="SAD35" s="2"/>
      <c r="SAE35" s="2"/>
      <c r="SAF35" s="2"/>
      <c r="SAG35" s="2"/>
      <c r="SAH35" s="2"/>
      <c r="SAI35" s="2"/>
      <c r="SAJ35" s="2"/>
      <c r="SAK35" s="2"/>
      <c r="SAL35" s="2"/>
      <c r="SAM35" s="2"/>
      <c r="SAN35" s="2"/>
      <c r="SAO35" s="2"/>
      <c r="SAP35" s="2"/>
      <c r="SAQ35" s="2"/>
      <c r="SAR35" s="2"/>
      <c r="SAS35" s="2"/>
      <c r="SAT35" s="2"/>
      <c r="SAU35" s="2"/>
      <c r="SAV35" s="2"/>
      <c r="SAW35" s="2"/>
      <c r="SAX35" s="2"/>
      <c r="SAY35" s="2"/>
      <c r="SAZ35" s="2"/>
      <c r="SBA35" s="2"/>
      <c r="SBB35" s="2"/>
      <c r="SBC35" s="2"/>
      <c r="SBD35" s="2"/>
      <c r="SBE35" s="2"/>
      <c r="SBF35" s="2"/>
      <c r="SBG35" s="2"/>
      <c r="SBH35" s="2"/>
      <c r="SBI35" s="2"/>
      <c r="SBJ35" s="2"/>
      <c r="SBK35" s="2"/>
      <c r="SBL35" s="2"/>
      <c r="SBM35" s="2"/>
      <c r="SBN35" s="2"/>
      <c r="SBO35" s="2"/>
      <c r="SBP35" s="2"/>
      <c r="SBQ35" s="2"/>
      <c r="SBR35" s="2"/>
      <c r="SBS35" s="2"/>
      <c r="SBT35" s="2"/>
      <c r="SBU35" s="2"/>
      <c r="SBV35" s="2"/>
      <c r="SBW35" s="2"/>
      <c r="SBX35" s="2"/>
      <c r="SBY35" s="2"/>
      <c r="SBZ35" s="2"/>
      <c r="SCA35" s="2"/>
      <c r="SCB35" s="2"/>
      <c r="SCC35" s="2"/>
      <c r="SCD35" s="2"/>
      <c r="SCE35" s="2"/>
      <c r="SCF35" s="2"/>
      <c r="SCG35" s="2"/>
      <c r="SCH35" s="2"/>
      <c r="SCI35" s="2"/>
      <c r="SCJ35" s="2"/>
      <c r="SCK35" s="2"/>
      <c r="SCL35" s="2"/>
      <c r="SCM35" s="2"/>
      <c r="SCN35" s="2"/>
      <c r="SCO35" s="2"/>
      <c r="SCP35" s="2"/>
      <c r="SCQ35" s="2"/>
      <c r="SCR35" s="2"/>
      <c r="SCS35" s="2"/>
      <c r="SCT35" s="2"/>
      <c r="SCU35" s="2"/>
      <c r="SCV35" s="2"/>
      <c r="SCW35" s="2"/>
      <c r="SCX35" s="2"/>
      <c r="SCY35" s="2"/>
      <c r="SCZ35" s="2"/>
      <c r="SDA35" s="2"/>
      <c r="SDB35" s="2"/>
      <c r="SDC35" s="2"/>
      <c r="SDD35" s="2"/>
      <c r="SDE35" s="2"/>
      <c r="SDF35" s="2"/>
      <c r="SDG35" s="2"/>
      <c r="SDH35" s="2"/>
      <c r="SDI35" s="2"/>
      <c r="SDJ35" s="2"/>
      <c r="SDK35" s="2"/>
      <c r="SDL35" s="2"/>
      <c r="SDM35" s="2"/>
      <c r="SDN35" s="2"/>
      <c r="SDO35" s="2"/>
      <c r="SDP35" s="2"/>
      <c r="SDQ35" s="2"/>
      <c r="SDR35" s="2"/>
      <c r="SDS35" s="2"/>
      <c r="SDT35" s="2"/>
      <c r="SDU35" s="2"/>
      <c r="SDV35" s="2"/>
      <c r="SDW35" s="2"/>
      <c r="SDX35" s="2"/>
      <c r="SDY35" s="2"/>
      <c r="SDZ35" s="2"/>
      <c r="SEA35" s="2"/>
      <c r="SEB35" s="2"/>
      <c r="SEC35" s="2"/>
      <c r="SED35" s="2"/>
      <c r="SEE35" s="2"/>
      <c r="SEF35" s="2"/>
      <c r="SEG35" s="2"/>
      <c r="SEH35" s="2"/>
      <c r="SEI35" s="2"/>
      <c r="SEJ35" s="2"/>
      <c r="SEK35" s="2"/>
      <c r="SEL35" s="2"/>
      <c r="SEM35" s="2"/>
      <c r="SEN35" s="2"/>
      <c r="SEO35" s="2"/>
      <c r="SEP35" s="2"/>
      <c r="SEQ35" s="2"/>
      <c r="SER35" s="2"/>
      <c r="SES35" s="2"/>
      <c r="SET35" s="2"/>
      <c r="SEU35" s="2"/>
      <c r="SEV35" s="2"/>
      <c r="SEW35" s="2"/>
      <c r="SEX35" s="2"/>
      <c r="SEY35" s="2"/>
      <c r="SEZ35" s="2"/>
      <c r="SFA35" s="2"/>
      <c r="SFB35" s="2"/>
      <c r="SFC35" s="2"/>
      <c r="SFD35" s="2"/>
      <c r="SFE35" s="2"/>
      <c r="SFF35" s="2"/>
      <c r="SFG35" s="2"/>
      <c r="SFH35" s="2"/>
      <c r="SFI35" s="2"/>
      <c r="SFJ35" s="2"/>
      <c r="SFK35" s="2"/>
      <c r="SFL35" s="2"/>
      <c r="SFM35" s="2"/>
      <c r="SFN35" s="2"/>
      <c r="SFO35" s="2"/>
      <c r="SFP35" s="2"/>
      <c r="SFQ35" s="2"/>
      <c r="SFR35" s="2"/>
      <c r="SFS35" s="2"/>
      <c r="SFT35" s="2"/>
      <c r="SFU35" s="2"/>
      <c r="SFV35" s="2"/>
      <c r="SFW35" s="2"/>
      <c r="SFX35" s="2"/>
      <c r="SFY35" s="2"/>
      <c r="SFZ35" s="2"/>
      <c r="SGA35" s="2"/>
      <c r="SGB35" s="2"/>
      <c r="SGC35" s="2"/>
      <c r="SGD35" s="2"/>
      <c r="SGE35" s="2"/>
      <c r="SGF35" s="2"/>
      <c r="SGG35" s="2"/>
      <c r="SGH35" s="2"/>
      <c r="SGI35" s="2"/>
      <c r="SGJ35" s="2"/>
      <c r="SGK35" s="2"/>
      <c r="SGL35" s="2"/>
      <c r="SGM35" s="2"/>
      <c r="SGN35" s="2"/>
      <c r="SGO35" s="2"/>
      <c r="SGP35" s="2"/>
      <c r="SGQ35" s="2"/>
      <c r="SGR35" s="2"/>
      <c r="SGS35" s="2"/>
      <c r="SGT35" s="2"/>
      <c r="SGU35" s="2"/>
      <c r="SGV35" s="2"/>
      <c r="SGW35" s="2"/>
      <c r="SGX35" s="2"/>
      <c r="SGY35" s="2"/>
      <c r="SGZ35" s="2"/>
      <c r="SHA35" s="2"/>
      <c r="SHB35" s="2"/>
      <c r="SHC35" s="2"/>
      <c r="SHD35" s="2"/>
      <c r="SHE35" s="2"/>
      <c r="SHF35" s="2"/>
      <c r="SHG35" s="2"/>
      <c r="SHH35" s="2"/>
      <c r="SHI35" s="2"/>
      <c r="SHJ35" s="2"/>
      <c r="SHK35" s="2"/>
      <c r="SHL35" s="2"/>
      <c r="SHM35" s="2"/>
      <c r="SHN35" s="2"/>
      <c r="SHO35" s="2"/>
      <c r="SHP35" s="2"/>
      <c r="SHQ35" s="2"/>
      <c r="SHR35" s="2"/>
      <c r="SHS35" s="2"/>
      <c r="SHT35" s="2"/>
      <c r="SHU35" s="2"/>
      <c r="SHV35" s="2"/>
      <c r="SHW35" s="2"/>
      <c r="SHX35" s="2"/>
      <c r="SHY35" s="2"/>
      <c r="SHZ35" s="2"/>
      <c r="SIA35" s="2"/>
      <c r="SIB35" s="2"/>
      <c r="SIC35" s="2"/>
      <c r="SID35" s="2"/>
      <c r="SIE35" s="2"/>
      <c r="SIF35" s="2"/>
      <c r="SIG35" s="2"/>
      <c r="SIH35" s="2"/>
      <c r="SII35" s="2"/>
      <c r="SIJ35" s="2"/>
      <c r="SIK35" s="2"/>
      <c r="SIL35" s="2"/>
      <c r="SIM35" s="2"/>
      <c r="SIN35" s="2"/>
      <c r="SIO35" s="2"/>
      <c r="SIP35" s="2"/>
      <c r="SIQ35" s="2"/>
      <c r="SIR35" s="2"/>
      <c r="SIS35" s="2"/>
      <c r="SIT35" s="2"/>
      <c r="SIU35" s="2"/>
      <c r="SIV35" s="2"/>
      <c r="SIW35" s="2"/>
      <c r="SIX35" s="2"/>
      <c r="SIY35" s="2"/>
      <c r="SIZ35" s="2"/>
      <c r="SJA35" s="2"/>
      <c r="SJB35" s="2"/>
      <c r="SJC35" s="2"/>
      <c r="SJD35" s="2"/>
      <c r="SJE35" s="2"/>
      <c r="SJF35" s="2"/>
      <c r="SJG35" s="2"/>
      <c r="SJH35" s="2"/>
      <c r="SJI35" s="2"/>
      <c r="SJJ35" s="2"/>
      <c r="SJK35" s="2"/>
      <c r="SJL35" s="2"/>
      <c r="SJM35" s="2"/>
      <c r="SJN35" s="2"/>
      <c r="SJO35" s="2"/>
      <c r="SJP35" s="2"/>
      <c r="SJQ35" s="2"/>
      <c r="SJR35" s="2"/>
      <c r="SJS35" s="2"/>
      <c r="SJT35" s="2"/>
      <c r="SJU35" s="2"/>
      <c r="SJV35" s="2"/>
      <c r="SJW35" s="2"/>
      <c r="SJX35" s="2"/>
      <c r="SJY35" s="2"/>
      <c r="SJZ35" s="2"/>
      <c r="SKA35" s="2"/>
      <c r="SKB35" s="2"/>
      <c r="SKC35" s="2"/>
      <c r="SKD35" s="2"/>
      <c r="SKE35" s="2"/>
      <c r="SKF35" s="2"/>
      <c r="SKG35" s="2"/>
      <c r="SKH35" s="2"/>
      <c r="SKI35" s="2"/>
      <c r="SKJ35" s="2"/>
      <c r="SKK35" s="2"/>
      <c r="SKL35" s="2"/>
      <c r="SKM35" s="2"/>
      <c r="SKN35" s="2"/>
      <c r="SKO35" s="2"/>
      <c r="SKP35" s="2"/>
      <c r="SKQ35" s="2"/>
      <c r="SKR35" s="2"/>
      <c r="SKS35" s="2"/>
      <c r="SKT35" s="2"/>
      <c r="SKU35" s="2"/>
      <c r="SKV35" s="2"/>
      <c r="SKW35" s="2"/>
      <c r="SKX35" s="2"/>
      <c r="SKY35" s="2"/>
      <c r="SKZ35" s="2"/>
      <c r="SLA35" s="2"/>
      <c r="SLB35" s="2"/>
      <c r="SLC35" s="2"/>
      <c r="SLD35" s="2"/>
      <c r="SLE35" s="2"/>
      <c r="SLF35" s="2"/>
      <c r="SLG35" s="2"/>
      <c r="SLH35" s="2"/>
      <c r="SLI35" s="2"/>
      <c r="SLJ35" s="2"/>
      <c r="SLK35" s="2"/>
      <c r="SLL35" s="2"/>
      <c r="SLM35" s="2"/>
      <c r="SLN35" s="2"/>
      <c r="SLO35" s="2"/>
      <c r="SLP35" s="2"/>
      <c r="SLQ35" s="2"/>
      <c r="SLR35" s="2"/>
      <c r="SLS35" s="2"/>
      <c r="SLT35" s="2"/>
      <c r="SLU35" s="2"/>
      <c r="SLV35" s="2"/>
      <c r="SLW35" s="2"/>
      <c r="SLX35" s="2"/>
      <c r="SLY35" s="2"/>
      <c r="SLZ35" s="2"/>
      <c r="SMA35" s="2"/>
      <c r="SMB35" s="2"/>
      <c r="SMC35" s="2"/>
      <c r="SMD35" s="2"/>
      <c r="SME35" s="2"/>
      <c r="SMF35" s="2"/>
      <c r="SMG35" s="2"/>
      <c r="SMH35" s="2"/>
      <c r="SMI35" s="2"/>
      <c r="SMJ35" s="2"/>
      <c r="SMK35" s="2"/>
      <c r="SML35" s="2"/>
      <c r="SMM35" s="2"/>
      <c r="SMN35" s="2"/>
      <c r="SMO35" s="2"/>
      <c r="SMP35" s="2"/>
      <c r="SMQ35" s="2"/>
      <c r="SMR35" s="2"/>
      <c r="SMS35" s="2"/>
      <c r="SMT35" s="2"/>
      <c r="SMU35" s="2"/>
      <c r="SMV35" s="2"/>
      <c r="SMW35" s="2"/>
      <c r="SMX35" s="2"/>
      <c r="SMY35" s="2"/>
      <c r="SMZ35" s="2"/>
      <c r="SNA35" s="2"/>
      <c r="SNB35" s="2"/>
      <c r="SNC35" s="2"/>
      <c r="SND35" s="2"/>
      <c r="SNE35" s="2"/>
      <c r="SNF35" s="2"/>
      <c r="SNG35" s="2"/>
      <c r="SNH35" s="2"/>
      <c r="SNI35" s="2"/>
      <c r="SNJ35" s="2"/>
      <c r="SNK35" s="2"/>
      <c r="SNL35" s="2"/>
      <c r="SNM35" s="2"/>
      <c r="SNN35" s="2"/>
      <c r="SNO35" s="2"/>
      <c r="SNP35" s="2"/>
      <c r="SNQ35" s="2"/>
      <c r="SNR35" s="2"/>
      <c r="SNS35" s="2"/>
      <c r="SNT35" s="2"/>
      <c r="SNU35" s="2"/>
      <c r="SNV35" s="2"/>
      <c r="SNW35" s="2"/>
      <c r="SNX35" s="2"/>
      <c r="SNY35" s="2"/>
      <c r="SNZ35" s="2"/>
      <c r="SOA35" s="2"/>
      <c r="SOB35" s="2"/>
      <c r="SOC35" s="2"/>
      <c r="SOD35" s="2"/>
      <c r="SOE35" s="2"/>
      <c r="SOF35" s="2"/>
      <c r="SOG35" s="2"/>
      <c r="SOH35" s="2"/>
      <c r="SOI35" s="2"/>
      <c r="SOJ35" s="2"/>
      <c r="SOK35" s="2"/>
      <c r="SOL35" s="2"/>
      <c r="SOM35" s="2"/>
      <c r="SON35" s="2"/>
      <c r="SOO35" s="2"/>
      <c r="SOP35" s="2"/>
      <c r="SOQ35" s="2"/>
      <c r="SOR35" s="2"/>
      <c r="SOS35" s="2"/>
      <c r="SOT35" s="2"/>
      <c r="SOU35" s="2"/>
      <c r="SOV35" s="2"/>
      <c r="SOW35" s="2"/>
      <c r="SOX35" s="2"/>
      <c r="SOY35" s="2"/>
      <c r="SOZ35" s="2"/>
      <c r="SPA35" s="2"/>
      <c r="SPB35" s="2"/>
      <c r="SPC35" s="2"/>
      <c r="SPD35" s="2"/>
      <c r="SPE35" s="2"/>
      <c r="SPF35" s="2"/>
      <c r="SPG35" s="2"/>
      <c r="SPH35" s="2"/>
      <c r="SPI35" s="2"/>
      <c r="SPJ35" s="2"/>
      <c r="SPK35" s="2"/>
      <c r="SPL35" s="2"/>
      <c r="SPM35" s="2"/>
      <c r="SPN35" s="2"/>
      <c r="SPO35" s="2"/>
      <c r="SPP35" s="2"/>
      <c r="SPQ35" s="2"/>
      <c r="SPR35" s="2"/>
      <c r="SPS35" s="2"/>
      <c r="SPT35" s="2"/>
      <c r="SPU35" s="2"/>
      <c r="SPV35" s="2"/>
      <c r="SPW35" s="2"/>
      <c r="SPX35" s="2"/>
      <c r="SPY35" s="2"/>
      <c r="SPZ35" s="2"/>
      <c r="SQA35" s="2"/>
      <c r="SQB35" s="2"/>
      <c r="SQC35" s="2"/>
      <c r="SQD35" s="2"/>
      <c r="SQE35" s="2"/>
      <c r="SQF35" s="2"/>
      <c r="SQG35" s="2"/>
      <c r="SQH35" s="2"/>
      <c r="SQI35" s="2"/>
      <c r="SQJ35" s="2"/>
      <c r="SQK35" s="2"/>
      <c r="SQL35" s="2"/>
      <c r="SQM35" s="2"/>
      <c r="SQN35" s="2"/>
      <c r="SQO35" s="2"/>
      <c r="SQP35" s="2"/>
      <c r="SQQ35" s="2"/>
      <c r="SQR35" s="2"/>
      <c r="SQS35" s="2"/>
      <c r="SQT35" s="2"/>
      <c r="SQU35" s="2"/>
      <c r="SQV35" s="2"/>
      <c r="SQW35" s="2"/>
      <c r="SQX35" s="2"/>
      <c r="SQY35" s="2"/>
      <c r="SQZ35" s="2"/>
      <c r="SRA35" s="2"/>
      <c r="SRB35" s="2"/>
      <c r="SRC35" s="2"/>
      <c r="SRD35" s="2"/>
      <c r="SRE35" s="2"/>
      <c r="SRF35" s="2"/>
      <c r="SRG35" s="2"/>
      <c r="SRH35" s="2"/>
      <c r="SRI35" s="2"/>
      <c r="SRJ35" s="2"/>
      <c r="SRK35" s="2"/>
      <c r="SRL35" s="2"/>
      <c r="SRM35" s="2"/>
      <c r="SRN35" s="2"/>
      <c r="SRO35" s="2"/>
      <c r="SRP35" s="2"/>
      <c r="SRQ35" s="2"/>
      <c r="SRR35" s="2"/>
      <c r="SRS35" s="2"/>
      <c r="SRT35" s="2"/>
      <c r="SRU35" s="2"/>
      <c r="SRV35" s="2"/>
      <c r="SRW35" s="2"/>
      <c r="SRX35" s="2"/>
      <c r="SRY35" s="2"/>
      <c r="SRZ35" s="2"/>
      <c r="SSA35" s="2"/>
      <c r="SSB35" s="2"/>
      <c r="SSC35" s="2"/>
      <c r="SSD35" s="2"/>
      <c r="SSE35" s="2"/>
      <c r="SSF35" s="2"/>
      <c r="SSG35" s="2"/>
      <c r="SSH35" s="2"/>
      <c r="SSI35" s="2"/>
      <c r="SSJ35" s="2"/>
      <c r="SSK35" s="2"/>
      <c r="SSL35" s="2"/>
      <c r="SSM35" s="2"/>
      <c r="SSN35" s="2"/>
      <c r="SSO35" s="2"/>
      <c r="SSP35" s="2"/>
      <c r="SSQ35" s="2"/>
      <c r="SSR35" s="2"/>
      <c r="SSS35" s="2"/>
      <c r="SST35" s="2"/>
      <c r="SSU35" s="2"/>
      <c r="SSV35" s="2"/>
      <c r="SSW35" s="2"/>
      <c r="SSX35" s="2"/>
      <c r="SSY35" s="2"/>
      <c r="SSZ35" s="2"/>
      <c r="STA35" s="2"/>
      <c r="STB35" s="2"/>
      <c r="STC35" s="2"/>
      <c r="STD35" s="2"/>
      <c r="STE35" s="2"/>
      <c r="STF35" s="2"/>
      <c r="STG35" s="2"/>
      <c r="STH35" s="2"/>
      <c r="STI35" s="2"/>
      <c r="STJ35" s="2"/>
      <c r="STK35" s="2"/>
      <c r="STL35" s="2"/>
      <c r="STM35" s="2"/>
      <c r="STN35" s="2"/>
      <c r="STO35" s="2"/>
      <c r="STP35" s="2"/>
      <c r="STQ35" s="2"/>
      <c r="STR35" s="2"/>
      <c r="STS35" s="2"/>
      <c r="STT35" s="2"/>
      <c r="STU35" s="2"/>
      <c r="STV35" s="2"/>
      <c r="STW35" s="2"/>
      <c r="STX35" s="2"/>
      <c r="STY35" s="2"/>
      <c r="STZ35" s="2"/>
      <c r="SUA35" s="2"/>
      <c r="SUB35" s="2"/>
      <c r="SUC35" s="2"/>
      <c r="SUD35" s="2"/>
      <c r="SUE35" s="2"/>
      <c r="SUF35" s="2"/>
      <c r="SUG35" s="2"/>
      <c r="SUH35" s="2"/>
      <c r="SUI35" s="2"/>
      <c r="SUJ35" s="2"/>
      <c r="SUK35" s="2"/>
      <c r="SUL35" s="2"/>
      <c r="SUM35" s="2"/>
      <c r="SUN35" s="2"/>
      <c r="SUO35" s="2"/>
      <c r="SUP35" s="2"/>
      <c r="SUQ35" s="2"/>
      <c r="SUR35" s="2"/>
      <c r="SUS35" s="2"/>
      <c r="SUT35" s="2"/>
      <c r="SUU35" s="2"/>
      <c r="SUV35" s="2"/>
      <c r="SUW35" s="2"/>
      <c r="SUX35" s="2"/>
      <c r="SUY35" s="2"/>
      <c r="SUZ35" s="2"/>
      <c r="SVA35" s="2"/>
      <c r="SVB35" s="2"/>
      <c r="SVC35" s="2"/>
      <c r="SVD35" s="2"/>
      <c r="SVE35" s="2"/>
      <c r="SVF35" s="2"/>
      <c r="SVG35" s="2"/>
      <c r="SVH35" s="2"/>
      <c r="SVI35" s="2"/>
      <c r="SVJ35" s="2"/>
      <c r="SVK35" s="2"/>
      <c r="SVL35" s="2"/>
      <c r="SVM35" s="2"/>
      <c r="SVN35" s="2"/>
      <c r="SVO35" s="2"/>
      <c r="SVP35" s="2"/>
      <c r="SVQ35" s="2"/>
      <c r="SVR35" s="2"/>
      <c r="SVS35" s="2"/>
      <c r="SVT35" s="2"/>
      <c r="SVU35" s="2"/>
      <c r="SVV35" s="2"/>
      <c r="SVW35" s="2"/>
      <c r="SVX35" s="2"/>
      <c r="SVY35" s="2"/>
      <c r="SVZ35" s="2"/>
      <c r="SWA35" s="2"/>
      <c r="SWB35" s="2"/>
      <c r="SWC35" s="2"/>
      <c r="SWD35" s="2"/>
      <c r="SWE35" s="2"/>
      <c r="SWF35" s="2"/>
      <c r="SWG35" s="2"/>
      <c r="SWH35" s="2"/>
      <c r="SWI35" s="2"/>
      <c r="SWJ35" s="2"/>
      <c r="SWK35" s="2"/>
      <c r="SWL35" s="2"/>
      <c r="SWM35" s="2"/>
      <c r="SWN35" s="2"/>
      <c r="SWO35" s="2"/>
      <c r="SWP35" s="2"/>
      <c r="SWQ35" s="2"/>
      <c r="SWR35" s="2"/>
      <c r="SWS35" s="2"/>
      <c r="SWT35" s="2"/>
      <c r="SWU35" s="2"/>
      <c r="SWV35" s="2"/>
      <c r="SWW35" s="2"/>
      <c r="SWX35" s="2"/>
      <c r="SWY35" s="2"/>
      <c r="SWZ35" s="2"/>
      <c r="SXA35" s="2"/>
      <c r="SXB35" s="2"/>
      <c r="SXC35" s="2"/>
      <c r="SXD35" s="2"/>
      <c r="SXE35" s="2"/>
      <c r="SXF35" s="2"/>
      <c r="SXG35" s="2"/>
      <c r="SXH35" s="2"/>
      <c r="SXI35" s="2"/>
      <c r="SXJ35" s="2"/>
      <c r="SXK35" s="2"/>
      <c r="SXL35" s="2"/>
      <c r="SXM35" s="2"/>
      <c r="SXN35" s="2"/>
      <c r="SXO35" s="2"/>
      <c r="SXP35" s="2"/>
      <c r="SXQ35" s="2"/>
      <c r="SXR35" s="2"/>
      <c r="SXS35" s="2"/>
      <c r="SXT35" s="2"/>
      <c r="SXU35" s="2"/>
      <c r="SXV35" s="2"/>
      <c r="SXW35" s="2"/>
      <c r="SXX35" s="2"/>
      <c r="SXY35" s="2"/>
      <c r="SXZ35" s="2"/>
      <c r="SYA35" s="2"/>
      <c r="SYB35" s="2"/>
      <c r="SYC35" s="2"/>
      <c r="SYD35" s="2"/>
      <c r="SYE35" s="2"/>
      <c r="SYF35" s="2"/>
      <c r="SYG35" s="2"/>
      <c r="SYH35" s="2"/>
      <c r="SYI35" s="2"/>
      <c r="SYJ35" s="2"/>
      <c r="SYK35" s="2"/>
      <c r="SYL35" s="2"/>
      <c r="SYM35" s="2"/>
      <c r="SYN35" s="2"/>
      <c r="SYO35" s="2"/>
      <c r="SYP35" s="2"/>
      <c r="SYQ35" s="2"/>
      <c r="SYR35" s="2"/>
      <c r="SYS35" s="2"/>
      <c r="SYT35" s="2"/>
      <c r="SYU35" s="2"/>
      <c r="SYV35" s="2"/>
      <c r="SYW35" s="2"/>
      <c r="SYX35" s="2"/>
      <c r="SYY35" s="2"/>
      <c r="SYZ35" s="2"/>
      <c r="SZA35" s="2"/>
      <c r="SZB35" s="2"/>
      <c r="SZC35" s="2"/>
      <c r="SZD35" s="2"/>
      <c r="SZE35" s="2"/>
      <c r="SZF35" s="2"/>
      <c r="SZG35" s="2"/>
      <c r="SZH35" s="2"/>
      <c r="SZI35" s="2"/>
      <c r="SZJ35" s="2"/>
      <c r="SZK35" s="2"/>
      <c r="SZL35" s="2"/>
      <c r="SZM35" s="2"/>
      <c r="SZN35" s="2"/>
      <c r="SZO35" s="2"/>
      <c r="SZP35" s="2"/>
      <c r="SZQ35" s="2"/>
      <c r="SZR35" s="2"/>
      <c r="SZS35" s="2"/>
      <c r="SZT35" s="2"/>
      <c r="SZU35" s="2"/>
      <c r="SZV35" s="2"/>
      <c r="SZW35" s="2"/>
      <c r="SZX35" s="2"/>
      <c r="SZY35" s="2"/>
      <c r="SZZ35" s="2"/>
      <c r="TAA35" s="2"/>
      <c r="TAB35" s="2"/>
      <c r="TAC35" s="2"/>
      <c r="TAD35" s="2"/>
      <c r="TAE35" s="2"/>
      <c r="TAF35" s="2"/>
      <c r="TAG35" s="2"/>
      <c r="TAH35" s="2"/>
      <c r="TAI35" s="2"/>
      <c r="TAJ35" s="2"/>
      <c r="TAK35" s="2"/>
      <c r="TAL35" s="2"/>
      <c r="TAM35" s="2"/>
      <c r="TAN35" s="2"/>
      <c r="TAO35" s="2"/>
      <c r="TAP35" s="2"/>
      <c r="TAQ35" s="2"/>
      <c r="TAR35" s="2"/>
      <c r="TAS35" s="2"/>
      <c r="TAT35" s="2"/>
      <c r="TAU35" s="2"/>
      <c r="TAV35" s="2"/>
      <c r="TAW35" s="2"/>
      <c r="TAX35" s="2"/>
      <c r="TAY35" s="2"/>
      <c r="TAZ35" s="2"/>
      <c r="TBA35" s="2"/>
      <c r="TBB35" s="2"/>
      <c r="TBC35" s="2"/>
      <c r="TBD35" s="2"/>
      <c r="TBE35" s="2"/>
      <c r="TBF35" s="2"/>
      <c r="TBG35" s="2"/>
      <c r="TBH35" s="2"/>
      <c r="TBI35" s="2"/>
      <c r="TBJ35" s="2"/>
      <c r="TBK35" s="2"/>
      <c r="TBL35" s="2"/>
      <c r="TBM35" s="2"/>
      <c r="TBN35" s="2"/>
      <c r="TBO35" s="2"/>
      <c r="TBP35" s="2"/>
      <c r="TBQ35" s="2"/>
      <c r="TBR35" s="2"/>
      <c r="TBS35" s="2"/>
      <c r="TBT35" s="2"/>
      <c r="TBU35" s="2"/>
      <c r="TBV35" s="2"/>
      <c r="TBW35" s="2"/>
      <c r="TBX35" s="2"/>
      <c r="TBY35" s="2"/>
      <c r="TBZ35" s="2"/>
      <c r="TCA35" s="2"/>
      <c r="TCB35" s="2"/>
      <c r="TCC35" s="2"/>
      <c r="TCD35" s="2"/>
      <c r="TCE35" s="2"/>
      <c r="TCF35" s="2"/>
      <c r="TCG35" s="2"/>
      <c r="TCH35" s="2"/>
      <c r="TCI35" s="2"/>
      <c r="TCJ35" s="2"/>
      <c r="TCK35" s="2"/>
      <c r="TCL35" s="2"/>
      <c r="TCM35" s="2"/>
      <c r="TCN35" s="2"/>
      <c r="TCO35" s="2"/>
      <c r="TCP35" s="2"/>
      <c r="TCQ35" s="2"/>
      <c r="TCR35" s="2"/>
      <c r="TCS35" s="2"/>
      <c r="TCT35" s="2"/>
      <c r="TCU35" s="2"/>
      <c r="TCV35" s="2"/>
      <c r="TCW35" s="2"/>
      <c r="TCX35" s="2"/>
      <c r="TCY35" s="2"/>
      <c r="TCZ35" s="2"/>
      <c r="TDA35" s="2"/>
      <c r="TDB35" s="2"/>
      <c r="TDC35" s="2"/>
      <c r="TDD35" s="2"/>
      <c r="TDE35" s="2"/>
      <c r="TDF35" s="2"/>
      <c r="TDG35" s="2"/>
      <c r="TDH35" s="2"/>
      <c r="TDI35" s="2"/>
      <c r="TDJ35" s="2"/>
      <c r="TDK35" s="2"/>
      <c r="TDL35" s="2"/>
      <c r="TDM35" s="2"/>
      <c r="TDN35" s="2"/>
      <c r="TDO35" s="2"/>
      <c r="TDP35" s="2"/>
      <c r="TDQ35" s="2"/>
      <c r="TDR35" s="2"/>
      <c r="TDS35" s="2"/>
      <c r="TDT35" s="2"/>
      <c r="TDU35" s="2"/>
      <c r="TDV35" s="2"/>
      <c r="TDW35" s="2"/>
      <c r="TDX35" s="2"/>
      <c r="TDY35" s="2"/>
      <c r="TDZ35" s="2"/>
      <c r="TEA35" s="2"/>
      <c r="TEB35" s="2"/>
      <c r="TEC35" s="2"/>
      <c r="TED35" s="2"/>
      <c r="TEE35" s="2"/>
      <c r="TEF35" s="2"/>
      <c r="TEG35" s="2"/>
      <c r="TEH35" s="2"/>
      <c r="TEI35" s="2"/>
      <c r="TEJ35" s="2"/>
      <c r="TEK35" s="2"/>
      <c r="TEL35" s="2"/>
      <c r="TEM35" s="2"/>
      <c r="TEN35" s="2"/>
      <c r="TEO35" s="2"/>
      <c r="TEP35" s="2"/>
      <c r="TEQ35" s="2"/>
      <c r="TER35" s="2"/>
      <c r="TES35" s="2"/>
      <c r="TET35" s="2"/>
      <c r="TEU35" s="2"/>
      <c r="TEV35" s="2"/>
      <c r="TEW35" s="2"/>
      <c r="TEX35" s="2"/>
      <c r="TEY35" s="2"/>
      <c r="TEZ35" s="2"/>
      <c r="TFA35" s="2"/>
      <c r="TFB35" s="2"/>
      <c r="TFC35" s="2"/>
      <c r="TFD35" s="2"/>
      <c r="TFE35" s="2"/>
      <c r="TFF35" s="2"/>
      <c r="TFG35" s="2"/>
      <c r="TFH35" s="2"/>
      <c r="TFI35" s="2"/>
      <c r="TFJ35" s="2"/>
      <c r="TFK35" s="2"/>
      <c r="TFL35" s="2"/>
      <c r="TFM35" s="2"/>
      <c r="TFN35" s="2"/>
      <c r="TFO35" s="2"/>
      <c r="TFP35" s="2"/>
      <c r="TFQ35" s="2"/>
      <c r="TFR35" s="2"/>
      <c r="TFS35" s="2"/>
      <c r="TFT35" s="2"/>
      <c r="TFU35" s="2"/>
      <c r="TFV35" s="2"/>
      <c r="TFW35" s="2"/>
      <c r="TFX35" s="2"/>
      <c r="TFY35" s="2"/>
      <c r="TFZ35" s="2"/>
      <c r="TGA35" s="2"/>
      <c r="TGB35" s="2"/>
      <c r="TGC35" s="2"/>
      <c r="TGD35" s="2"/>
      <c r="TGE35" s="2"/>
      <c r="TGF35" s="2"/>
      <c r="TGG35" s="2"/>
      <c r="TGH35" s="2"/>
      <c r="TGI35" s="2"/>
      <c r="TGJ35" s="2"/>
      <c r="TGK35" s="2"/>
      <c r="TGL35" s="2"/>
      <c r="TGM35" s="2"/>
      <c r="TGN35" s="2"/>
      <c r="TGO35" s="2"/>
      <c r="TGP35" s="2"/>
      <c r="TGQ35" s="2"/>
      <c r="TGR35" s="2"/>
      <c r="TGS35" s="2"/>
      <c r="TGT35" s="2"/>
      <c r="TGU35" s="2"/>
      <c r="TGV35" s="2"/>
      <c r="TGW35" s="2"/>
      <c r="TGX35" s="2"/>
      <c r="TGY35" s="2"/>
      <c r="TGZ35" s="2"/>
      <c r="THA35" s="2"/>
      <c r="THB35" s="2"/>
      <c r="THC35" s="2"/>
      <c r="THD35" s="2"/>
      <c r="THE35" s="2"/>
      <c r="THF35" s="2"/>
      <c r="THG35" s="2"/>
      <c r="THH35" s="2"/>
      <c r="THI35" s="2"/>
      <c r="THJ35" s="2"/>
      <c r="THK35" s="2"/>
      <c r="THL35" s="2"/>
      <c r="THM35" s="2"/>
      <c r="THN35" s="2"/>
      <c r="THO35" s="2"/>
      <c r="THP35" s="2"/>
      <c r="THQ35" s="2"/>
      <c r="THR35" s="2"/>
      <c r="THS35" s="2"/>
      <c r="THT35" s="2"/>
      <c r="THU35" s="2"/>
      <c r="THV35" s="2"/>
      <c r="THW35" s="2"/>
      <c r="THX35" s="2"/>
      <c r="THY35" s="2"/>
      <c r="THZ35" s="2"/>
      <c r="TIA35" s="2"/>
      <c r="TIB35" s="2"/>
      <c r="TIC35" s="2"/>
      <c r="TID35" s="2"/>
      <c r="TIE35" s="2"/>
      <c r="TIF35" s="2"/>
      <c r="TIG35" s="2"/>
      <c r="TIH35" s="2"/>
      <c r="TII35" s="2"/>
      <c r="TIJ35" s="2"/>
      <c r="TIK35" s="2"/>
      <c r="TIL35" s="2"/>
      <c r="TIM35" s="2"/>
      <c r="TIN35" s="2"/>
      <c r="TIO35" s="2"/>
      <c r="TIP35" s="2"/>
      <c r="TIQ35" s="2"/>
      <c r="TIR35" s="2"/>
      <c r="TIS35" s="2"/>
      <c r="TIT35" s="2"/>
      <c r="TIU35" s="2"/>
      <c r="TIV35" s="2"/>
      <c r="TIW35" s="2"/>
      <c r="TIX35" s="2"/>
      <c r="TIY35" s="2"/>
      <c r="TIZ35" s="2"/>
      <c r="TJA35" s="2"/>
      <c r="TJB35" s="2"/>
      <c r="TJC35" s="2"/>
      <c r="TJD35" s="2"/>
      <c r="TJE35" s="2"/>
      <c r="TJF35" s="2"/>
      <c r="TJG35" s="2"/>
      <c r="TJH35" s="2"/>
      <c r="TJI35" s="2"/>
      <c r="TJJ35" s="2"/>
      <c r="TJK35" s="2"/>
      <c r="TJL35" s="2"/>
      <c r="TJM35" s="2"/>
      <c r="TJN35" s="2"/>
      <c r="TJO35" s="2"/>
      <c r="TJP35" s="2"/>
      <c r="TJQ35" s="2"/>
      <c r="TJR35" s="2"/>
      <c r="TJS35" s="2"/>
      <c r="TJT35" s="2"/>
      <c r="TJU35" s="2"/>
      <c r="TJV35" s="2"/>
      <c r="TJW35" s="2"/>
      <c r="TJX35" s="2"/>
      <c r="TJY35" s="2"/>
      <c r="TJZ35" s="2"/>
      <c r="TKA35" s="2"/>
      <c r="TKB35" s="2"/>
      <c r="TKC35" s="2"/>
      <c r="TKD35" s="2"/>
      <c r="TKE35" s="2"/>
      <c r="TKF35" s="2"/>
      <c r="TKG35" s="2"/>
      <c r="TKH35" s="2"/>
      <c r="TKI35" s="2"/>
      <c r="TKJ35" s="2"/>
      <c r="TKK35" s="2"/>
      <c r="TKL35" s="2"/>
      <c r="TKM35" s="2"/>
      <c r="TKN35" s="2"/>
      <c r="TKO35" s="2"/>
      <c r="TKP35" s="2"/>
      <c r="TKQ35" s="2"/>
      <c r="TKR35" s="2"/>
      <c r="TKS35" s="2"/>
      <c r="TKT35" s="2"/>
      <c r="TKU35" s="2"/>
      <c r="TKV35" s="2"/>
      <c r="TKW35" s="2"/>
      <c r="TKX35" s="2"/>
      <c r="TKY35" s="2"/>
      <c r="TKZ35" s="2"/>
      <c r="TLA35" s="2"/>
      <c r="TLB35" s="2"/>
      <c r="TLC35" s="2"/>
      <c r="TLD35" s="2"/>
      <c r="TLE35" s="2"/>
      <c r="TLF35" s="2"/>
      <c r="TLG35" s="2"/>
      <c r="TLH35" s="2"/>
      <c r="TLI35" s="2"/>
      <c r="TLJ35" s="2"/>
      <c r="TLK35" s="2"/>
      <c r="TLL35" s="2"/>
      <c r="TLM35" s="2"/>
      <c r="TLN35" s="2"/>
      <c r="TLO35" s="2"/>
      <c r="TLP35" s="2"/>
      <c r="TLQ35" s="2"/>
      <c r="TLR35" s="2"/>
      <c r="TLS35" s="2"/>
      <c r="TLT35" s="2"/>
      <c r="TLU35" s="2"/>
      <c r="TLV35" s="2"/>
      <c r="TLW35" s="2"/>
      <c r="TLX35" s="2"/>
      <c r="TLY35" s="2"/>
      <c r="TLZ35" s="2"/>
      <c r="TMA35" s="2"/>
      <c r="TMB35" s="2"/>
      <c r="TMC35" s="2"/>
      <c r="TMD35" s="2"/>
      <c r="TME35" s="2"/>
      <c r="TMF35" s="2"/>
      <c r="TMG35" s="2"/>
      <c r="TMH35" s="2"/>
      <c r="TMI35" s="2"/>
      <c r="TMJ35" s="2"/>
      <c r="TMK35" s="2"/>
      <c r="TML35" s="2"/>
      <c r="TMM35" s="2"/>
      <c r="TMN35" s="2"/>
      <c r="TMO35" s="2"/>
      <c r="TMP35" s="2"/>
      <c r="TMQ35" s="2"/>
      <c r="TMR35" s="2"/>
      <c r="TMS35" s="2"/>
      <c r="TMT35" s="2"/>
      <c r="TMU35" s="2"/>
      <c r="TMV35" s="2"/>
      <c r="TMW35" s="2"/>
      <c r="TMX35" s="2"/>
      <c r="TMY35" s="2"/>
      <c r="TMZ35" s="2"/>
      <c r="TNA35" s="2"/>
      <c r="TNB35" s="2"/>
      <c r="TNC35" s="2"/>
      <c r="TND35" s="2"/>
      <c r="TNE35" s="2"/>
      <c r="TNF35" s="2"/>
      <c r="TNG35" s="2"/>
      <c r="TNH35" s="2"/>
      <c r="TNI35" s="2"/>
      <c r="TNJ35" s="2"/>
      <c r="TNK35" s="2"/>
      <c r="TNL35" s="2"/>
      <c r="TNM35" s="2"/>
      <c r="TNN35" s="2"/>
      <c r="TNO35" s="2"/>
      <c r="TNP35" s="2"/>
      <c r="TNQ35" s="2"/>
      <c r="TNR35" s="2"/>
      <c r="TNS35" s="2"/>
      <c r="TNT35" s="2"/>
      <c r="TNU35" s="2"/>
      <c r="TNV35" s="2"/>
      <c r="TNW35" s="2"/>
      <c r="TNX35" s="2"/>
      <c r="TNY35" s="2"/>
      <c r="TNZ35" s="2"/>
      <c r="TOA35" s="2"/>
      <c r="TOB35" s="2"/>
      <c r="TOC35" s="2"/>
      <c r="TOD35" s="2"/>
      <c r="TOE35" s="2"/>
      <c r="TOF35" s="2"/>
      <c r="TOG35" s="2"/>
      <c r="TOH35" s="2"/>
      <c r="TOI35" s="2"/>
      <c r="TOJ35" s="2"/>
      <c r="TOK35" s="2"/>
      <c r="TOL35" s="2"/>
      <c r="TOM35" s="2"/>
      <c r="TON35" s="2"/>
      <c r="TOO35" s="2"/>
      <c r="TOP35" s="2"/>
      <c r="TOQ35" s="2"/>
      <c r="TOR35" s="2"/>
      <c r="TOS35" s="2"/>
      <c r="TOT35" s="2"/>
      <c r="TOU35" s="2"/>
      <c r="TOV35" s="2"/>
      <c r="TOW35" s="2"/>
      <c r="TOX35" s="2"/>
      <c r="TOY35" s="2"/>
      <c r="TOZ35" s="2"/>
      <c r="TPA35" s="2"/>
      <c r="TPB35" s="2"/>
      <c r="TPC35" s="2"/>
      <c r="TPD35" s="2"/>
      <c r="TPE35" s="2"/>
      <c r="TPF35" s="2"/>
      <c r="TPG35" s="2"/>
      <c r="TPH35" s="2"/>
      <c r="TPI35" s="2"/>
      <c r="TPJ35" s="2"/>
      <c r="TPK35" s="2"/>
      <c r="TPL35" s="2"/>
      <c r="TPM35" s="2"/>
      <c r="TPN35" s="2"/>
      <c r="TPO35" s="2"/>
      <c r="TPP35" s="2"/>
      <c r="TPQ35" s="2"/>
      <c r="TPR35" s="2"/>
      <c r="TPS35" s="2"/>
      <c r="TPT35" s="2"/>
      <c r="TPU35" s="2"/>
      <c r="TPV35" s="2"/>
      <c r="TPW35" s="2"/>
      <c r="TPX35" s="2"/>
      <c r="TPY35" s="2"/>
      <c r="TPZ35" s="2"/>
      <c r="TQA35" s="2"/>
      <c r="TQB35" s="2"/>
      <c r="TQC35" s="2"/>
      <c r="TQD35" s="2"/>
      <c r="TQE35" s="2"/>
      <c r="TQF35" s="2"/>
      <c r="TQG35" s="2"/>
      <c r="TQH35" s="2"/>
      <c r="TQI35" s="2"/>
      <c r="TQJ35" s="2"/>
      <c r="TQK35" s="2"/>
      <c r="TQL35" s="2"/>
      <c r="TQM35" s="2"/>
      <c r="TQN35" s="2"/>
      <c r="TQO35" s="2"/>
      <c r="TQP35" s="2"/>
      <c r="TQQ35" s="2"/>
      <c r="TQR35" s="2"/>
      <c r="TQS35" s="2"/>
      <c r="TQT35" s="2"/>
      <c r="TQU35" s="2"/>
      <c r="TQV35" s="2"/>
      <c r="TQW35" s="2"/>
      <c r="TQX35" s="2"/>
      <c r="TQY35" s="2"/>
      <c r="TQZ35" s="2"/>
      <c r="TRA35" s="2"/>
      <c r="TRB35" s="2"/>
      <c r="TRC35" s="2"/>
      <c r="TRD35" s="2"/>
      <c r="TRE35" s="2"/>
      <c r="TRF35" s="2"/>
      <c r="TRG35" s="2"/>
      <c r="TRH35" s="2"/>
      <c r="TRI35" s="2"/>
      <c r="TRJ35" s="2"/>
      <c r="TRK35" s="2"/>
      <c r="TRL35" s="2"/>
      <c r="TRM35" s="2"/>
      <c r="TRN35" s="2"/>
      <c r="TRO35" s="2"/>
      <c r="TRP35" s="2"/>
      <c r="TRQ35" s="2"/>
      <c r="TRR35" s="2"/>
      <c r="TRS35" s="2"/>
      <c r="TRT35" s="2"/>
      <c r="TRU35" s="2"/>
      <c r="TRV35" s="2"/>
      <c r="TRW35" s="2"/>
      <c r="TRX35" s="2"/>
      <c r="TRY35" s="2"/>
      <c r="TRZ35" s="2"/>
      <c r="TSA35" s="2"/>
      <c r="TSB35" s="2"/>
      <c r="TSC35" s="2"/>
      <c r="TSD35" s="2"/>
      <c r="TSE35" s="2"/>
      <c r="TSF35" s="2"/>
      <c r="TSG35" s="2"/>
      <c r="TSH35" s="2"/>
      <c r="TSI35" s="2"/>
      <c r="TSJ35" s="2"/>
      <c r="TSK35" s="2"/>
      <c r="TSL35" s="2"/>
      <c r="TSM35" s="2"/>
      <c r="TSN35" s="2"/>
      <c r="TSO35" s="2"/>
      <c r="TSP35" s="2"/>
      <c r="TSQ35" s="2"/>
      <c r="TSR35" s="2"/>
      <c r="TSS35" s="2"/>
      <c r="TST35" s="2"/>
      <c r="TSU35" s="2"/>
      <c r="TSV35" s="2"/>
      <c r="TSW35" s="2"/>
      <c r="TSX35" s="2"/>
      <c r="TSY35" s="2"/>
      <c r="TSZ35" s="2"/>
      <c r="TTA35" s="2"/>
      <c r="TTB35" s="2"/>
      <c r="TTC35" s="2"/>
      <c r="TTD35" s="2"/>
      <c r="TTE35" s="2"/>
      <c r="TTF35" s="2"/>
      <c r="TTG35" s="2"/>
      <c r="TTH35" s="2"/>
      <c r="TTI35" s="2"/>
      <c r="TTJ35" s="2"/>
      <c r="TTK35" s="2"/>
      <c r="TTL35" s="2"/>
      <c r="TTM35" s="2"/>
      <c r="TTN35" s="2"/>
      <c r="TTO35" s="2"/>
      <c r="TTP35" s="2"/>
      <c r="TTQ35" s="2"/>
      <c r="TTR35" s="2"/>
      <c r="TTS35" s="2"/>
      <c r="TTT35" s="2"/>
      <c r="TTU35" s="2"/>
      <c r="TTV35" s="2"/>
      <c r="TTW35" s="2"/>
      <c r="TTX35" s="2"/>
      <c r="TTY35" s="2"/>
      <c r="TTZ35" s="2"/>
      <c r="TUA35" s="2"/>
      <c r="TUB35" s="2"/>
      <c r="TUC35" s="2"/>
      <c r="TUD35" s="2"/>
      <c r="TUE35" s="2"/>
      <c r="TUF35" s="2"/>
      <c r="TUG35" s="2"/>
      <c r="TUH35" s="2"/>
      <c r="TUI35" s="2"/>
      <c r="TUJ35" s="2"/>
      <c r="TUK35" s="2"/>
      <c r="TUL35" s="2"/>
      <c r="TUM35" s="2"/>
      <c r="TUN35" s="2"/>
      <c r="TUO35" s="2"/>
      <c r="TUP35" s="2"/>
      <c r="TUQ35" s="2"/>
      <c r="TUR35" s="2"/>
      <c r="TUS35" s="2"/>
      <c r="TUT35" s="2"/>
      <c r="TUU35" s="2"/>
      <c r="TUV35" s="2"/>
      <c r="TUW35" s="2"/>
      <c r="TUX35" s="2"/>
      <c r="TUY35" s="2"/>
      <c r="TUZ35" s="2"/>
      <c r="TVA35" s="2"/>
      <c r="TVB35" s="2"/>
      <c r="TVC35" s="2"/>
      <c r="TVD35" s="2"/>
      <c r="TVE35" s="2"/>
      <c r="TVF35" s="2"/>
      <c r="TVG35" s="2"/>
      <c r="TVH35" s="2"/>
      <c r="TVI35" s="2"/>
      <c r="TVJ35" s="2"/>
      <c r="TVK35" s="2"/>
      <c r="TVL35" s="2"/>
      <c r="TVM35" s="2"/>
      <c r="TVN35" s="2"/>
      <c r="TVO35" s="2"/>
      <c r="TVP35" s="2"/>
      <c r="TVQ35" s="2"/>
      <c r="TVR35" s="2"/>
      <c r="TVS35" s="2"/>
      <c r="TVT35" s="2"/>
      <c r="TVU35" s="2"/>
      <c r="TVV35" s="2"/>
      <c r="TVW35" s="2"/>
      <c r="TVX35" s="2"/>
      <c r="TVY35" s="2"/>
      <c r="TVZ35" s="2"/>
      <c r="TWA35" s="2"/>
      <c r="TWB35" s="2"/>
      <c r="TWC35" s="2"/>
      <c r="TWD35" s="2"/>
      <c r="TWE35" s="2"/>
      <c r="TWF35" s="2"/>
      <c r="TWG35" s="2"/>
      <c r="TWH35" s="2"/>
      <c r="TWI35" s="2"/>
      <c r="TWJ35" s="2"/>
      <c r="TWK35" s="2"/>
      <c r="TWL35" s="2"/>
      <c r="TWM35" s="2"/>
      <c r="TWN35" s="2"/>
      <c r="TWO35" s="2"/>
      <c r="TWP35" s="2"/>
      <c r="TWQ35" s="2"/>
      <c r="TWR35" s="2"/>
      <c r="TWS35" s="2"/>
      <c r="TWT35" s="2"/>
      <c r="TWU35" s="2"/>
      <c r="TWV35" s="2"/>
      <c r="TWW35" s="2"/>
      <c r="TWX35" s="2"/>
      <c r="TWY35" s="2"/>
      <c r="TWZ35" s="2"/>
      <c r="TXA35" s="2"/>
      <c r="TXB35" s="2"/>
      <c r="TXC35" s="2"/>
      <c r="TXD35" s="2"/>
      <c r="TXE35" s="2"/>
      <c r="TXF35" s="2"/>
      <c r="TXG35" s="2"/>
      <c r="TXH35" s="2"/>
      <c r="TXI35" s="2"/>
      <c r="TXJ35" s="2"/>
      <c r="TXK35" s="2"/>
      <c r="TXL35" s="2"/>
      <c r="TXM35" s="2"/>
      <c r="TXN35" s="2"/>
      <c r="TXO35" s="2"/>
      <c r="TXP35" s="2"/>
      <c r="TXQ35" s="2"/>
      <c r="TXR35" s="2"/>
      <c r="TXS35" s="2"/>
      <c r="TXT35" s="2"/>
      <c r="TXU35" s="2"/>
      <c r="TXV35" s="2"/>
      <c r="TXW35" s="2"/>
      <c r="TXX35" s="2"/>
      <c r="TXY35" s="2"/>
      <c r="TXZ35" s="2"/>
      <c r="TYA35" s="2"/>
      <c r="TYB35" s="2"/>
      <c r="TYC35" s="2"/>
      <c r="TYD35" s="2"/>
      <c r="TYE35" s="2"/>
      <c r="TYF35" s="2"/>
      <c r="TYG35" s="2"/>
      <c r="TYH35" s="2"/>
      <c r="TYI35" s="2"/>
      <c r="TYJ35" s="2"/>
      <c r="TYK35" s="2"/>
      <c r="TYL35" s="2"/>
      <c r="TYM35" s="2"/>
      <c r="TYN35" s="2"/>
      <c r="TYO35" s="2"/>
      <c r="TYP35" s="2"/>
      <c r="TYQ35" s="2"/>
      <c r="TYR35" s="2"/>
      <c r="TYS35" s="2"/>
      <c r="TYT35" s="2"/>
      <c r="TYU35" s="2"/>
      <c r="TYV35" s="2"/>
      <c r="TYW35" s="2"/>
      <c r="TYX35" s="2"/>
      <c r="TYY35" s="2"/>
      <c r="TYZ35" s="2"/>
      <c r="TZA35" s="2"/>
      <c r="TZB35" s="2"/>
      <c r="TZC35" s="2"/>
      <c r="TZD35" s="2"/>
      <c r="TZE35" s="2"/>
      <c r="TZF35" s="2"/>
      <c r="TZG35" s="2"/>
      <c r="TZH35" s="2"/>
      <c r="TZI35" s="2"/>
      <c r="TZJ35" s="2"/>
      <c r="TZK35" s="2"/>
      <c r="TZL35" s="2"/>
      <c r="TZM35" s="2"/>
      <c r="TZN35" s="2"/>
      <c r="TZO35" s="2"/>
      <c r="TZP35" s="2"/>
      <c r="TZQ35" s="2"/>
      <c r="TZR35" s="2"/>
      <c r="TZS35" s="2"/>
      <c r="TZT35" s="2"/>
      <c r="TZU35" s="2"/>
      <c r="TZV35" s="2"/>
      <c r="TZW35" s="2"/>
      <c r="TZX35" s="2"/>
      <c r="TZY35" s="2"/>
      <c r="TZZ35" s="2"/>
      <c r="UAA35" s="2"/>
      <c r="UAB35" s="2"/>
      <c r="UAC35" s="2"/>
      <c r="UAD35" s="2"/>
      <c r="UAE35" s="2"/>
      <c r="UAF35" s="2"/>
      <c r="UAG35" s="2"/>
      <c r="UAH35" s="2"/>
      <c r="UAI35" s="2"/>
      <c r="UAJ35" s="2"/>
      <c r="UAK35" s="2"/>
      <c r="UAL35" s="2"/>
      <c r="UAM35" s="2"/>
      <c r="UAN35" s="2"/>
      <c r="UAO35" s="2"/>
      <c r="UAP35" s="2"/>
      <c r="UAQ35" s="2"/>
      <c r="UAR35" s="2"/>
      <c r="UAS35" s="2"/>
      <c r="UAT35" s="2"/>
      <c r="UAU35" s="2"/>
      <c r="UAV35" s="2"/>
      <c r="UAW35" s="2"/>
      <c r="UAX35" s="2"/>
      <c r="UAY35" s="2"/>
      <c r="UAZ35" s="2"/>
      <c r="UBA35" s="2"/>
      <c r="UBB35" s="2"/>
      <c r="UBC35" s="2"/>
      <c r="UBD35" s="2"/>
      <c r="UBE35" s="2"/>
      <c r="UBF35" s="2"/>
      <c r="UBG35" s="2"/>
      <c r="UBH35" s="2"/>
      <c r="UBI35" s="2"/>
      <c r="UBJ35" s="2"/>
      <c r="UBK35" s="2"/>
      <c r="UBL35" s="2"/>
      <c r="UBM35" s="2"/>
      <c r="UBN35" s="2"/>
      <c r="UBO35" s="2"/>
      <c r="UBP35" s="2"/>
      <c r="UBQ35" s="2"/>
      <c r="UBR35" s="2"/>
      <c r="UBS35" s="2"/>
      <c r="UBT35" s="2"/>
      <c r="UBU35" s="2"/>
      <c r="UBV35" s="2"/>
      <c r="UBW35" s="2"/>
      <c r="UBX35" s="2"/>
      <c r="UBY35" s="2"/>
      <c r="UBZ35" s="2"/>
      <c r="UCA35" s="2"/>
      <c r="UCB35" s="2"/>
      <c r="UCC35" s="2"/>
      <c r="UCD35" s="2"/>
      <c r="UCE35" s="2"/>
      <c r="UCF35" s="2"/>
      <c r="UCG35" s="2"/>
      <c r="UCH35" s="2"/>
      <c r="UCI35" s="2"/>
      <c r="UCJ35" s="2"/>
      <c r="UCK35" s="2"/>
      <c r="UCL35" s="2"/>
      <c r="UCM35" s="2"/>
      <c r="UCN35" s="2"/>
      <c r="UCO35" s="2"/>
      <c r="UCP35" s="2"/>
      <c r="UCQ35" s="2"/>
      <c r="UCR35" s="2"/>
      <c r="UCS35" s="2"/>
      <c r="UCT35" s="2"/>
      <c r="UCU35" s="2"/>
      <c r="UCV35" s="2"/>
      <c r="UCW35" s="2"/>
      <c r="UCX35" s="2"/>
      <c r="UCY35" s="2"/>
      <c r="UCZ35" s="2"/>
      <c r="UDA35" s="2"/>
      <c r="UDB35" s="2"/>
      <c r="UDC35" s="2"/>
      <c r="UDD35" s="2"/>
      <c r="UDE35" s="2"/>
      <c r="UDF35" s="2"/>
      <c r="UDG35" s="2"/>
      <c r="UDH35" s="2"/>
      <c r="UDI35" s="2"/>
      <c r="UDJ35" s="2"/>
      <c r="UDK35" s="2"/>
      <c r="UDL35" s="2"/>
      <c r="UDM35" s="2"/>
      <c r="UDN35" s="2"/>
      <c r="UDO35" s="2"/>
      <c r="UDP35" s="2"/>
      <c r="UDQ35" s="2"/>
      <c r="UDR35" s="2"/>
      <c r="UDS35" s="2"/>
      <c r="UDT35" s="2"/>
      <c r="UDU35" s="2"/>
      <c r="UDV35" s="2"/>
      <c r="UDW35" s="2"/>
      <c r="UDX35" s="2"/>
      <c r="UDY35" s="2"/>
      <c r="UDZ35" s="2"/>
      <c r="UEA35" s="2"/>
      <c r="UEB35" s="2"/>
      <c r="UEC35" s="2"/>
      <c r="UED35" s="2"/>
      <c r="UEE35" s="2"/>
      <c r="UEF35" s="2"/>
      <c r="UEG35" s="2"/>
      <c r="UEH35" s="2"/>
      <c r="UEI35" s="2"/>
      <c r="UEJ35" s="2"/>
      <c r="UEK35" s="2"/>
      <c r="UEL35" s="2"/>
      <c r="UEM35" s="2"/>
      <c r="UEN35" s="2"/>
      <c r="UEO35" s="2"/>
      <c r="UEP35" s="2"/>
      <c r="UEQ35" s="2"/>
      <c r="UER35" s="2"/>
      <c r="UES35" s="2"/>
      <c r="UET35" s="2"/>
      <c r="UEU35" s="2"/>
      <c r="UEV35" s="2"/>
      <c r="UEW35" s="2"/>
      <c r="UEX35" s="2"/>
      <c r="UEY35" s="2"/>
      <c r="UEZ35" s="2"/>
      <c r="UFA35" s="2"/>
      <c r="UFB35" s="2"/>
      <c r="UFC35" s="2"/>
      <c r="UFD35" s="2"/>
      <c r="UFE35" s="2"/>
      <c r="UFF35" s="2"/>
      <c r="UFG35" s="2"/>
      <c r="UFH35" s="2"/>
      <c r="UFI35" s="2"/>
      <c r="UFJ35" s="2"/>
      <c r="UFK35" s="2"/>
      <c r="UFL35" s="2"/>
      <c r="UFM35" s="2"/>
      <c r="UFN35" s="2"/>
      <c r="UFO35" s="2"/>
      <c r="UFP35" s="2"/>
      <c r="UFQ35" s="2"/>
      <c r="UFR35" s="2"/>
      <c r="UFS35" s="2"/>
      <c r="UFT35" s="2"/>
      <c r="UFU35" s="2"/>
      <c r="UFV35" s="2"/>
      <c r="UFW35" s="2"/>
      <c r="UFX35" s="2"/>
      <c r="UFY35" s="2"/>
      <c r="UFZ35" s="2"/>
      <c r="UGA35" s="2"/>
      <c r="UGB35" s="2"/>
      <c r="UGC35" s="2"/>
      <c r="UGD35" s="2"/>
      <c r="UGE35" s="2"/>
      <c r="UGF35" s="2"/>
      <c r="UGG35" s="2"/>
      <c r="UGH35" s="2"/>
      <c r="UGI35" s="2"/>
      <c r="UGJ35" s="2"/>
      <c r="UGK35" s="2"/>
      <c r="UGL35" s="2"/>
      <c r="UGM35" s="2"/>
      <c r="UGN35" s="2"/>
      <c r="UGO35" s="2"/>
      <c r="UGP35" s="2"/>
      <c r="UGQ35" s="2"/>
      <c r="UGR35" s="2"/>
      <c r="UGS35" s="2"/>
      <c r="UGT35" s="2"/>
      <c r="UGU35" s="2"/>
      <c r="UGV35" s="2"/>
      <c r="UGW35" s="2"/>
      <c r="UGX35" s="2"/>
      <c r="UGY35" s="2"/>
      <c r="UGZ35" s="2"/>
      <c r="UHA35" s="2"/>
      <c r="UHB35" s="2"/>
      <c r="UHC35" s="2"/>
      <c r="UHD35" s="2"/>
      <c r="UHE35" s="2"/>
      <c r="UHF35" s="2"/>
      <c r="UHG35" s="2"/>
      <c r="UHH35" s="2"/>
      <c r="UHI35" s="2"/>
      <c r="UHJ35" s="2"/>
      <c r="UHK35" s="2"/>
      <c r="UHL35" s="2"/>
      <c r="UHM35" s="2"/>
      <c r="UHN35" s="2"/>
      <c r="UHO35" s="2"/>
      <c r="UHP35" s="2"/>
      <c r="UHQ35" s="2"/>
      <c r="UHR35" s="2"/>
      <c r="UHS35" s="2"/>
      <c r="UHT35" s="2"/>
      <c r="UHU35" s="2"/>
      <c r="UHV35" s="2"/>
      <c r="UHW35" s="2"/>
      <c r="UHX35" s="2"/>
      <c r="UHY35" s="2"/>
      <c r="UHZ35" s="2"/>
      <c r="UIA35" s="2"/>
      <c r="UIB35" s="2"/>
      <c r="UIC35" s="2"/>
      <c r="UID35" s="2"/>
      <c r="UIE35" s="2"/>
      <c r="UIF35" s="2"/>
      <c r="UIG35" s="2"/>
      <c r="UIH35" s="2"/>
      <c r="UII35" s="2"/>
      <c r="UIJ35" s="2"/>
      <c r="UIK35" s="2"/>
      <c r="UIL35" s="2"/>
      <c r="UIM35" s="2"/>
      <c r="UIN35" s="2"/>
      <c r="UIO35" s="2"/>
      <c r="UIP35" s="2"/>
      <c r="UIQ35" s="2"/>
      <c r="UIR35" s="2"/>
      <c r="UIS35" s="2"/>
      <c r="UIT35" s="2"/>
      <c r="UIU35" s="2"/>
      <c r="UIV35" s="2"/>
      <c r="UIW35" s="2"/>
      <c r="UIX35" s="2"/>
      <c r="UIY35" s="2"/>
      <c r="UIZ35" s="2"/>
      <c r="UJA35" s="2"/>
      <c r="UJB35" s="2"/>
      <c r="UJC35" s="2"/>
      <c r="UJD35" s="2"/>
      <c r="UJE35" s="2"/>
      <c r="UJF35" s="2"/>
      <c r="UJG35" s="2"/>
      <c r="UJH35" s="2"/>
      <c r="UJI35" s="2"/>
      <c r="UJJ35" s="2"/>
      <c r="UJK35" s="2"/>
      <c r="UJL35" s="2"/>
      <c r="UJM35" s="2"/>
      <c r="UJN35" s="2"/>
      <c r="UJO35" s="2"/>
      <c r="UJP35" s="2"/>
      <c r="UJQ35" s="2"/>
      <c r="UJR35" s="2"/>
      <c r="UJS35" s="2"/>
      <c r="UJT35" s="2"/>
      <c r="UJU35" s="2"/>
      <c r="UJV35" s="2"/>
      <c r="UJW35" s="2"/>
      <c r="UJX35" s="2"/>
      <c r="UJY35" s="2"/>
      <c r="UJZ35" s="2"/>
      <c r="UKA35" s="2"/>
      <c r="UKB35" s="2"/>
      <c r="UKC35" s="2"/>
      <c r="UKD35" s="2"/>
      <c r="UKE35" s="2"/>
      <c r="UKF35" s="2"/>
      <c r="UKG35" s="2"/>
      <c r="UKH35" s="2"/>
      <c r="UKI35" s="2"/>
      <c r="UKJ35" s="2"/>
      <c r="UKK35" s="2"/>
      <c r="UKL35" s="2"/>
      <c r="UKM35" s="2"/>
      <c r="UKN35" s="2"/>
      <c r="UKO35" s="2"/>
      <c r="UKP35" s="2"/>
      <c r="UKQ35" s="2"/>
      <c r="UKR35" s="2"/>
      <c r="UKS35" s="2"/>
      <c r="UKT35" s="2"/>
      <c r="UKU35" s="2"/>
      <c r="UKV35" s="2"/>
      <c r="UKW35" s="2"/>
      <c r="UKX35" s="2"/>
      <c r="UKY35" s="2"/>
      <c r="UKZ35" s="2"/>
      <c r="ULA35" s="2"/>
      <c r="ULB35" s="2"/>
      <c r="ULC35" s="2"/>
      <c r="ULD35" s="2"/>
      <c r="ULE35" s="2"/>
      <c r="ULF35" s="2"/>
      <c r="ULG35" s="2"/>
      <c r="ULH35" s="2"/>
      <c r="ULI35" s="2"/>
      <c r="ULJ35" s="2"/>
      <c r="ULK35" s="2"/>
      <c r="ULL35" s="2"/>
      <c r="ULM35" s="2"/>
      <c r="ULN35" s="2"/>
      <c r="ULO35" s="2"/>
      <c r="ULP35" s="2"/>
      <c r="ULQ35" s="2"/>
      <c r="ULR35" s="2"/>
      <c r="ULS35" s="2"/>
      <c r="ULT35" s="2"/>
      <c r="ULU35" s="2"/>
      <c r="ULV35" s="2"/>
      <c r="ULW35" s="2"/>
      <c r="ULX35" s="2"/>
      <c r="ULY35" s="2"/>
      <c r="ULZ35" s="2"/>
      <c r="UMA35" s="2"/>
      <c r="UMB35" s="2"/>
      <c r="UMC35" s="2"/>
      <c r="UMD35" s="2"/>
      <c r="UME35" s="2"/>
      <c r="UMF35" s="2"/>
      <c r="UMG35" s="2"/>
      <c r="UMH35" s="2"/>
      <c r="UMI35" s="2"/>
      <c r="UMJ35" s="2"/>
      <c r="UMK35" s="2"/>
      <c r="UML35" s="2"/>
      <c r="UMM35" s="2"/>
      <c r="UMN35" s="2"/>
      <c r="UMO35" s="2"/>
      <c r="UMP35" s="2"/>
      <c r="UMQ35" s="2"/>
      <c r="UMR35" s="2"/>
      <c r="UMS35" s="2"/>
      <c r="UMT35" s="2"/>
      <c r="UMU35" s="2"/>
      <c r="UMV35" s="2"/>
      <c r="UMW35" s="2"/>
      <c r="UMX35" s="2"/>
      <c r="UMY35" s="2"/>
      <c r="UMZ35" s="2"/>
      <c r="UNA35" s="2"/>
      <c r="UNB35" s="2"/>
      <c r="UNC35" s="2"/>
      <c r="UND35" s="2"/>
      <c r="UNE35" s="2"/>
      <c r="UNF35" s="2"/>
      <c r="UNG35" s="2"/>
      <c r="UNH35" s="2"/>
      <c r="UNI35" s="2"/>
      <c r="UNJ35" s="2"/>
      <c r="UNK35" s="2"/>
      <c r="UNL35" s="2"/>
      <c r="UNM35" s="2"/>
      <c r="UNN35" s="2"/>
      <c r="UNO35" s="2"/>
      <c r="UNP35" s="2"/>
      <c r="UNQ35" s="2"/>
      <c r="UNR35" s="2"/>
      <c r="UNS35" s="2"/>
      <c r="UNT35" s="2"/>
      <c r="UNU35" s="2"/>
      <c r="UNV35" s="2"/>
      <c r="UNW35" s="2"/>
      <c r="UNX35" s="2"/>
      <c r="UNY35" s="2"/>
      <c r="UNZ35" s="2"/>
      <c r="UOA35" s="2"/>
      <c r="UOB35" s="2"/>
      <c r="UOC35" s="2"/>
      <c r="UOD35" s="2"/>
      <c r="UOE35" s="2"/>
      <c r="UOF35" s="2"/>
      <c r="UOG35" s="2"/>
      <c r="UOH35" s="2"/>
      <c r="UOI35" s="2"/>
      <c r="UOJ35" s="2"/>
      <c r="UOK35" s="2"/>
      <c r="UOL35" s="2"/>
      <c r="UOM35" s="2"/>
      <c r="UON35" s="2"/>
      <c r="UOO35" s="2"/>
      <c r="UOP35" s="2"/>
      <c r="UOQ35" s="2"/>
      <c r="UOR35" s="2"/>
      <c r="UOS35" s="2"/>
      <c r="UOT35" s="2"/>
      <c r="UOU35" s="2"/>
      <c r="UOV35" s="2"/>
      <c r="UOW35" s="2"/>
      <c r="UOX35" s="2"/>
      <c r="UOY35" s="2"/>
      <c r="UOZ35" s="2"/>
      <c r="UPA35" s="2"/>
      <c r="UPB35" s="2"/>
      <c r="UPC35" s="2"/>
      <c r="UPD35" s="2"/>
      <c r="UPE35" s="2"/>
      <c r="UPF35" s="2"/>
      <c r="UPG35" s="2"/>
      <c r="UPH35" s="2"/>
      <c r="UPI35" s="2"/>
      <c r="UPJ35" s="2"/>
      <c r="UPK35" s="2"/>
      <c r="UPL35" s="2"/>
      <c r="UPM35" s="2"/>
      <c r="UPN35" s="2"/>
      <c r="UPO35" s="2"/>
      <c r="UPP35" s="2"/>
      <c r="UPQ35" s="2"/>
      <c r="UPR35" s="2"/>
      <c r="UPS35" s="2"/>
      <c r="UPT35" s="2"/>
      <c r="UPU35" s="2"/>
      <c r="UPV35" s="2"/>
      <c r="UPW35" s="2"/>
      <c r="UPX35" s="2"/>
      <c r="UPY35" s="2"/>
      <c r="UPZ35" s="2"/>
      <c r="UQA35" s="2"/>
      <c r="UQB35" s="2"/>
      <c r="UQC35" s="2"/>
      <c r="UQD35" s="2"/>
      <c r="UQE35" s="2"/>
      <c r="UQF35" s="2"/>
      <c r="UQG35" s="2"/>
      <c r="UQH35" s="2"/>
      <c r="UQI35" s="2"/>
      <c r="UQJ35" s="2"/>
      <c r="UQK35" s="2"/>
      <c r="UQL35" s="2"/>
      <c r="UQM35" s="2"/>
      <c r="UQN35" s="2"/>
      <c r="UQO35" s="2"/>
      <c r="UQP35" s="2"/>
      <c r="UQQ35" s="2"/>
      <c r="UQR35" s="2"/>
      <c r="UQS35" s="2"/>
      <c r="UQT35" s="2"/>
      <c r="UQU35" s="2"/>
      <c r="UQV35" s="2"/>
      <c r="UQW35" s="2"/>
      <c r="UQX35" s="2"/>
      <c r="UQY35" s="2"/>
      <c r="UQZ35" s="2"/>
      <c r="URA35" s="2"/>
      <c r="URB35" s="2"/>
      <c r="URC35" s="2"/>
      <c r="URD35" s="2"/>
      <c r="URE35" s="2"/>
      <c r="URF35" s="2"/>
      <c r="URG35" s="2"/>
      <c r="URH35" s="2"/>
      <c r="URI35" s="2"/>
      <c r="URJ35" s="2"/>
      <c r="URK35" s="2"/>
      <c r="URL35" s="2"/>
      <c r="URM35" s="2"/>
      <c r="URN35" s="2"/>
      <c r="URO35" s="2"/>
      <c r="URP35" s="2"/>
      <c r="URQ35" s="2"/>
      <c r="URR35" s="2"/>
      <c r="URS35" s="2"/>
      <c r="URT35" s="2"/>
      <c r="URU35" s="2"/>
      <c r="URV35" s="2"/>
      <c r="URW35" s="2"/>
      <c r="URX35" s="2"/>
      <c r="URY35" s="2"/>
      <c r="URZ35" s="2"/>
      <c r="USA35" s="2"/>
      <c r="USB35" s="2"/>
      <c r="USC35" s="2"/>
      <c r="USD35" s="2"/>
      <c r="USE35" s="2"/>
      <c r="USF35" s="2"/>
      <c r="USG35" s="2"/>
      <c r="USH35" s="2"/>
      <c r="USI35" s="2"/>
      <c r="USJ35" s="2"/>
      <c r="USK35" s="2"/>
      <c r="USL35" s="2"/>
      <c r="USM35" s="2"/>
      <c r="USN35" s="2"/>
      <c r="USO35" s="2"/>
      <c r="USP35" s="2"/>
      <c r="USQ35" s="2"/>
      <c r="USR35" s="2"/>
      <c r="USS35" s="2"/>
      <c r="UST35" s="2"/>
      <c r="USU35" s="2"/>
      <c r="USV35" s="2"/>
      <c r="USW35" s="2"/>
      <c r="USX35" s="2"/>
      <c r="USY35" s="2"/>
      <c r="USZ35" s="2"/>
      <c r="UTA35" s="2"/>
      <c r="UTB35" s="2"/>
      <c r="UTC35" s="2"/>
      <c r="UTD35" s="2"/>
      <c r="UTE35" s="2"/>
      <c r="UTF35" s="2"/>
      <c r="UTG35" s="2"/>
      <c r="UTH35" s="2"/>
      <c r="UTI35" s="2"/>
      <c r="UTJ35" s="2"/>
      <c r="UTK35" s="2"/>
      <c r="UTL35" s="2"/>
      <c r="UTM35" s="2"/>
      <c r="UTN35" s="2"/>
      <c r="UTO35" s="2"/>
      <c r="UTP35" s="2"/>
      <c r="UTQ35" s="2"/>
      <c r="UTR35" s="2"/>
      <c r="UTS35" s="2"/>
      <c r="UTT35" s="2"/>
      <c r="UTU35" s="2"/>
      <c r="UTV35" s="2"/>
      <c r="UTW35" s="2"/>
      <c r="UTX35" s="2"/>
      <c r="UTY35" s="2"/>
      <c r="UTZ35" s="2"/>
      <c r="UUA35" s="2"/>
      <c r="UUB35" s="2"/>
      <c r="UUC35" s="2"/>
      <c r="UUD35" s="2"/>
      <c r="UUE35" s="2"/>
      <c r="UUF35" s="2"/>
      <c r="UUG35" s="2"/>
      <c r="UUH35" s="2"/>
      <c r="UUI35" s="2"/>
      <c r="UUJ35" s="2"/>
      <c r="UUK35" s="2"/>
      <c r="UUL35" s="2"/>
      <c r="UUM35" s="2"/>
      <c r="UUN35" s="2"/>
      <c r="UUO35" s="2"/>
      <c r="UUP35" s="2"/>
      <c r="UUQ35" s="2"/>
      <c r="UUR35" s="2"/>
      <c r="UUS35" s="2"/>
      <c r="UUT35" s="2"/>
      <c r="UUU35" s="2"/>
      <c r="UUV35" s="2"/>
      <c r="UUW35" s="2"/>
      <c r="UUX35" s="2"/>
      <c r="UUY35" s="2"/>
      <c r="UUZ35" s="2"/>
      <c r="UVA35" s="2"/>
      <c r="UVB35" s="2"/>
      <c r="UVC35" s="2"/>
      <c r="UVD35" s="2"/>
      <c r="UVE35" s="2"/>
      <c r="UVF35" s="2"/>
      <c r="UVG35" s="2"/>
      <c r="UVH35" s="2"/>
      <c r="UVI35" s="2"/>
      <c r="UVJ35" s="2"/>
      <c r="UVK35" s="2"/>
      <c r="UVL35" s="2"/>
      <c r="UVM35" s="2"/>
      <c r="UVN35" s="2"/>
      <c r="UVO35" s="2"/>
      <c r="UVP35" s="2"/>
      <c r="UVQ35" s="2"/>
      <c r="UVR35" s="2"/>
      <c r="UVS35" s="2"/>
      <c r="UVT35" s="2"/>
      <c r="UVU35" s="2"/>
      <c r="UVV35" s="2"/>
      <c r="UVW35" s="2"/>
      <c r="UVX35" s="2"/>
      <c r="UVY35" s="2"/>
      <c r="UVZ35" s="2"/>
      <c r="UWA35" s="2"/>
      <c r="UWB35" s="2"/>
      <c r="UWC35" s="2"/>
      <c r="UWD35" s="2"/>
      <c r="UWE35" s="2"/>
      <c r="UWF35" s="2"/>
      <c r="UWG35" s="2"/>
      <c r="UWH35" s="2"/>
      <c r="UWI35" s="2"/>
      <c r="UWJ35" s="2"/>
      <c r="UWK35" s="2"/>
      <c r="UWL35" s="2"/>
      <c r="UWM35" s="2"/>
      <c r="UWN35" s="2"/>
      <c r="UWO35" s="2"/>
      <c r="UWP35" s="2"/>
      <c r="UWQ35" s="2"/>
      <c r="UWR35" s="2"/>
      <c r="UWS35" s="2"/>
      <c r="UWT35" s="2"/>
      <c r="UWU35" s="2"/>
      <c r="UWV35" s="2"/>
      <c r="UWW35" s="2"/>
      <c r="UWX35" s="2"/>
      <c r="UWY35" s="2"/>
      <c r="UWZ35" s="2"/>
      <c r="UXA35" s="2"/>
      <c r="UXB35" s="2"/>
      <c r="UXC35" s="2"/>
      <c r="UXD35" s="2"/>
      <c r="UXE35" s="2"/>
      <c r="UXF35" s="2"/>
      <c r="UXG35" s="2"/>
      <c r="UXH35" s="2"/>
      <c r="UXI35" s="2"/>
      <c r="UXJ35" s="2"/>
      <c r="UXK35" s="2"/>
      <c r="UXL35" s="2"/>
      <c r="UXM35" s="2"/>
      <c r="UXN35" s="2"/>
      <c r="UXO35" s="2"/>
      <c r="UXP35" s="2"/>
      <c r="UXQ35" s="2"/>
      <c r="UXR35" s="2"/>
      <c r="UXS35" s="2"/>
      <c r="UXT35" s="2"/>
      <c r="UXU35" s="2"/>
      <c r="UXV35" s="2"/>
      <c r="UXW35" s="2"/>
      <c r="UXX35" s="2"/>
      <c r="UXY35" s="2"/>
      <c r="UXZ35" s="2"/>
      <c r="UYA35" s="2"/>
      <c r="UYB35" s="2"/>
      <c r="UYC35" s="2"/>
      <c r="UYD35" s="2"/>
      <c r="UYE35" s="2"/>
      <c r="UYF35" s="2"/>
      <c r="UYG35" s="2"/>
      <c r="UYH35" s="2"/>
      <c r="UYI35" s="2"/>
      <c r="UYJ35" s="2"/>
      <c r="UYK35" s="2"/>
      <c r="UYL35" s="2"/>
      <c r="UYM35" s="2"/>
      <c r="UYN35" s="2"/>
      <c r="UYO35" s="2"/>
      <c r="UYP35" s="2"/>
      <c r="UYQ35" s="2"/>
      <c r="UYR35" s="2"/>
      <c r="UYS35" s="2"/>
      <c r="UYT35" s="2"/>
      <c r="UYU35" s="2"/>
      <c r="UYV35" s="2"/>
      <c r="UYW35" s="2"/>
      <c r="UYX35" s="2"/>
      <c r="UYY35" s="2"/>
      <c r="UYZ35" s="2"/>
      <c r="UZA35" s="2"/>
      <c r="UZB35" s="2"/>
      <c r="UZC35" s="2"/>
      <c r="UZD35" s="2"/>
      <c r="UZE35" s="2"/>
      <c r="UZF35" s="2"/>
      <c r="UZG35" s="2"/>
      <c r="UZH35" s="2"/>
      <c r="UZI35" s="2"/>
      <c r="UZJ35" s="2"/>
      <c r="UZK35" s="2"/>
      <c r="UZL35" s="2"/>
      <c r="UZM35" s="2"/>
      <c r="UZN35" s="2"/>
      <c r="UZO35" s="2"/>
      <c r="UZP35" s="2"/>
      <c r="UZQ35" s="2"/>
      <c r="UZR35" s="2"/>
      <c r="UZS35" s="2"/>
      <c r="UZT35" s="2"/>
      <c r="UZU35" s="2"/>
      <c r="UZV35" s="2"/>
      <c r="UZW35" s="2"/>
      <c r="UZX35" s="2"/>
      <c r="UZY35" s="2"/>
      <c r="UZZ35" s="2"/>
      <c r="VAA35" s="2"/>
      <c r="VAB35" s="2"/>
      <c r="VAC35" s="2"/>
      <c r="VAD35" s="2"/>
      <c r="VAE35" s="2"/>
      <c r="VAF35" s="2"/>
      <c r="VAG35" s="2"/>
      <c r="VAH35" s="2"/>
      <c r="VAI35" s="2"/>
      <c r="VAJ35" s="2"/>
      <c r="VAK35" s="2"/>
      <c r="VAL35" s="2"/>
      <c r="VAM35" s="2"/>
      <c r="VAN35" s="2"/>
      <c r="VAO35" s="2"/>
      <c r="VAP35" s="2"/>
      <c r="VAQ35" s="2"/>
      <c r="VAR35" s="2"/>
      <c r="VAS35" s="2"/>
      <c r="VAT35" s="2"/>
      <c r="VAU35" s="2"/>
      <c r="VAV35" s="2"/>
      <c r="VAW35" s="2"/>
      <c r="VAX35" s="2"/>
      <c r="VAY35" s="2"/>
      <c r="VAZ35" s="2"/>
      <c r="VBA35" s="2"/>
      <c r="VBB35" s="2"/>
      <c r="VBC35" s="2"/>
      <c r="VBD35" s="2"/>
      <c r="VBE35" s="2"/>
      <c r="VBF35" s="2"/>
      <c r="VBG35" s="2"/>
      <c r="VBH35" s="2"/>
      <c r="VBI35" s="2"/>
      <c r="VBJ35" s="2"/>
      <c r="VBK35" s="2"/>
      <c r="VBL35" s="2"/>
      <c r="VBM35" s="2"/>
      <c r="VBN35" s="2"/>
      <c r="VBO35" s="2"/>
      <c r="VBP35" s="2"/>
      <c r="VBQ35" s="2"/>
      <c r="VBR35" s="2"/>
      <c r="VBS35" s="2"/>
      <c r="VBT35" s="2"/>
      <c r="VBU35" s="2"/>
      <c r="VBV35" s="2"/>
      <c r="VBW35" s="2"/>
      <c r="VBX35" s="2"/>
      <c r="VBY35" s="2"/>
      <c r="VBZ35" s="2"/>
      <c r="VCA35" s="2"/>
      <c r="VCB35" s="2"/>
      <c r="VCC35" s="2"/>
      <c r="VCD35" s="2"/>
      <c r="VCE35" s="2"/>
      <c r="VCF35" s="2"/>
      <c r="VCG35" s="2"/>
      <c r="VCH35" s="2"/>
      <c r="VCI35" s="2"/>
      <c r="VCJ35" s="2"/>
      <c r="VCK35" s="2"/>
      <c r="VCL35" s="2"/>
      <c r="VCM35" s="2"/>
      <c r="VCN35" s="2"/>
      <c r="VCO35" s="2"/>
      <c r="VCP35" s="2"/>
      <c r="VCQ35" s="2"/>
      <c r="VCR35" s="2"/>
      <c r="VCS35" s="2"/>
      <c r="VCT35" s="2"/>
      <c r="VCU35" s="2"/>
      <c r="VCV35" s="2"/>
      <c r="VCW35" s="2"/>
      <c r="VCX35" s="2"/>
      <c r="VCY35" s="2"/>
      <c r="VCZ35" s="2"/>
      <c r="VDA35" s="2"/>
      <c r="VDB35" s="2"/>
      <c r="VDC35" s="2"/>
      <c r="VDD35" s="2"/>
      <c r="VDE35" s="2"/>
      <c r="VDF35" s="2"/>
      <c r="VDG35" s="2"/>
      <c r="VDH35" s="2"/>
      <c r="VDI35" s="2"/>
      <c r="VDJ35" s="2"/>
      <c r="VDK35" s="2"/>
      <c r="VDL35" s="2"/>
      <c r="VDM35" s="2"/>
      <c r="VDN35" s="2"/>
      <c r="VDO35" s="2"/>
      <c r="VDP35" s="2"/>
      <c r="VDQ35" s="2"/>
      <c r="VDR35" s="2"/>
      <c r="VDS35" s="2"/>
      <c r="VDT35" s="2"/>
      <c r="VDU35" s="2"/>
      <c r="VDV35" s="2"/>
      <c r="VDW35" s="2"/>
      <c r="VDX35" s="2"/>
      <c r="VDY35" s="2"/>
      <c r="VDZ35" s="2"/>
      <c r="VEA35" s="2"/>
      <c r="VEB35" s="2"/>
      <c r="VEC35" s="2"/>
      <c r="VED35" s="2"/>
      <c r="VEE35" s="2"/>
      <c r="VEF35" s="2"/>
      <c r="VEG35" s="2"/>
      <c r="VEH35" s="2"/>
      <c r="VEI35" s="2"/>
      <c r="VEJ35" s="2"/>
      <c r="VEK35" s="2"/>
      <c r="VEL35" s="2"/>
      <c r="VEM35" s="2"/>
      <c r="VEN35" s="2"/>
      <c r="VEO35" s="2"/>
      <c r="VEP35" s="2"/>
      <c r="VEQ35" s="2"/>
      <c r="VER35" s="2"/>
      <c r="VES35" s="2"/>
      <c r="VET35" s="2"/>
      <c r="VEU35" s="2"/>
      <c r="VEV35" s="2"/>
      <c r="VEW35" s="2"/>
      <c r="VEX35" s="2"/>
      <c r="VEY35" s="2"/>
      <c r="VEZ35" s="2"/>
      <c r="VFA35" s="2"/>
      <c r="VFB35" s="2"/>
      <c r="VFC35" s="2"/>
      <c r="VFD35" s="2"/>
      <c r="VFE35" s="2"/>
      <c r="VFF35" s="2"/>
      <c r="VFG35" s="2"/>
      <c r="VFH35" s="2"/>
      <c r="VFI35" s="2"/>
      <c r="VFJ35" s="2"/>
      <c r="VFK35" s="2"/>
      <c r="VFL35" s="2"/>
      <c r="VFM35" s="2"/>
      <c r="VFN35" s="2"/>
      <c r="VFO35" s="2"/>
      <c r="VFP35" s="2"/>
      <c r="VFQ35" s="2"/>
      <c r="VFR35" s="2"/>
      <c r="VFS35" s="2"/>
      <c r="VFT35" s="2"/>
      <c r="VFU35" s="2"/>
      <c r="VFV35" s="2"/>
      <c r="VFW35" s="2"/>
      <c r="VFX35" s="2"/>
      <c r="VFY35" s="2"/>
      <c r="VFZ35" s="2"/>
      <c r="VGA35" s="2"/>
      <c r="VGB35" s="2"/>
      <c r="VGC35" s="2"/>
      <c r="VGD35" s="2"/>
      <c r="VGE35" s="2"/>
      <c r="VGF35" s="2"/>
      <c r="VGG35" s="2"/>
      <c r="VGH35" s="2"/>
      <c r="VGI35" s="2"/>
      <c r="VGJ35" s="2"/>
      <c r="VGK35" s="2"/>
      <c r="VGL35" s="2"/>
      <c r="VGM35" s="2"/>
      <c r="VGN35" s="2"/>
      <c r="VGO35" s="2"/>
      <c r="VGP35" s="2"/>
      <c r="VGQ35" s="2"/>
      <c r="VGR35" s="2"/>
      <c r="VGS35" s="2"/>
      <c r="VGT35" s="2"/>
      <c r="VGU35" s="2"/>
      <c r="VGV35" s="2"/>
      <c r="VGW35" s="2"/>
      <c r="VGX35" s="2"/>
      <c r="VGY35" s="2"/>
      <c r="VGZ35" s="2"/>
      <c r="VHA35" s="2"/>
      <c r="VHB35" s="2"/>
      <c r="VHC35" s="2"/>
      <c r="VHD35" s="2"/>
      <c r="VHE35" s="2"/>
      <c r="VHF35" s="2"/>
      <c r="VHG35" s="2"/>
      <c r="VHH35" s="2"/>
      <c r="VHI35" s="2"/>
      <c r="VHJ35" s="2"/>
      <c r="VHK35" s="2"/>
      <c r="VHL35" s="2"/>
      <c r="VHM35" s="2"/>
      <c r="VHN35" s="2"/>
      <c r="VHO35" s="2"/>
      <c r="VHP35" s="2"/>
      <c r="VHQ35" s="2"/>
      <c r="VHR35" s="2"/>
      <c r="VHS35" s="2"/>
      <c r="VHT35" s="2"/>
      <c r="VHU35" s="2"/>
      <c r="VHV35" s="2"/>
      <c r="VHW35" s="2"/>
      <c r="VHX35" s="2"/>
      <c r="VHY35" s="2"/>
      <c r="VHZ35" s="2"/>
      <c r="VIA35" s="2"/>
      <c r="VIB35" s="2"/>
      <c r="VIC35" s="2"/>
      <c r="VID35" s="2"/>
      <c r="VIE35" s="2"/>
      <c r="VIF35" s="2"/>
      <c r="VIG35" s="2"/>
      <c r="VIH35" s="2"/>
      <c r="VII35" s="2"/>
      <c r="VIJ35" s="2"/>
      <c r="VIK35" s="2"/>
      <c r="VIL35" s="2"/>
      <c r="VIM35" s="2"/>
      <c r="VIN35" s="2"/>
      <c r="VIO35" s="2"/>
      <c r="VIP35" s="2"/>
      <c r="VIQ35" s="2"/>
      <c r="VIR35" s="2"/>
      <c r="VIS35" s="2"/>
      <c r="VIT35" s="2"/>
      <c r="VIU35" s="2"/>
      <c r="VIV35" s="2"/>
      <c r="VIW35" s="2"/>
      <c r="VIX35" s="2"/>
      <c r="VIY35" s="2"/>
      <c r="VIZ35" s="2"/>
      <c r="VJA35" s="2"/>
      <c r="VJB35" s="2"/>
      <c r="VJC35" s="2"/>
      <c r="VJD35" s="2"/>
      <c r="VJE35" s="2"/>
      <c r="VJF35" s="2"/>
      <c r="VJG35" s="2"/>
      <c r="VJH35" s="2"/>
      <c r="VJI35" s="2"/>
      <c r="VJJ35" s="2"/>
      <c r="VJK35" s="2"/>
      <c r="VJL35" s="2"/>
      <c r="VJM35" s="2"/>
      <c r="VJN35" s="2"/>
      <c r="VJO35" s="2"/>
      <c r="VJP35" s="2"/>
      <c r="VJQ35" s="2"/>
      <c r="VJR35" s="2"/>
      <c r="VJS35" s="2"/>
      <c r="VJT35" s="2"/>
      <c r="VJU35" s="2"/>
      <c r="VJV35" s="2"/>
      <c r="VJW35" s="2"/>
      <c r="VJX35" s="2"/>
      <c r="VJY35" s="2"/>
      <c r="VJZ35" s="2"/>
      <c r="VKA35" s="2"/>
      <c r="VKB35" s="2"/>
      <c r="VKC35" s="2"/>
      <c r="VKD35" s="2"/>
      <c r="VKE35" s="2"/>
      <c r="VKF35" s="2"/>
      <c r="VKG35" s="2"/>
      <c r="VKH35" s="2"/>
      <c r="VKI35" s="2"/>
      <c r="VKJ35" s="2"/>
      <c r="VKK35" s="2"/>
      <c r="VKL35" s="2"/>
      <c r="VKM35" s="2"/>
      <c r="VKN35" s="2"/>
      <c r="VKO35" s="2"/>
      <c r="VKP35" s="2"/>
      <c r="VKQ35" s="2"/>
      <c r="VKR35" s="2"/>
      <c r="VKS35" s="2"/>
      <c r="VKT35" s="2"/>
      <c r="VKU35" s="2"/>
      <c r="VKV35" s="2"/>
      <c r="VKW35" s="2"/>
      <c r="VKX35" s="2"/>
      <c r="VKY35" s="2"/>
      <c r="VKZ35" s="2"/>
      <c r="VLA35" s="2"/>
      <c r="VLB35" s="2"/>
      <c r="VLC35" s="2"/>
      <c r="VLD35" s="2"/>
      <c r="VLE35" s="2"/>
      <c r="VLF35" s="2"/>
      <c r="VLG35" s="2"/>
      <c r="VLH35" s="2"/>
      <c r="VLI35" s="2"/>
      <c r="VLJ35" s="2"/>
      <c r="VLK35" s="2"/>
      <c r="VLL35" s="2"/>
      <c r="VLM35" s="2"/>
      <c r="VLN35" s="2"/>
      <c r="VLO35" s="2"/>
      <c r="VLP35" s="2"/>
      <c r="VLQ35" s="2"/>
      <c r="VLR35" s="2"/>
      <c r="VLS35" s="2"/>
      <c r="VLT35" s="2"/>
      <c r="VLU35" s="2"/>
      <c r="VLV35" s="2"/>
      <c r="VLW35" s="2"/>
      <c r="VLX35" s="2"/>
      <c r="VLY35" s="2"/>
      <c r="VLZ35" s="2"/>
      <c r="VMA35" s="2"/>
      <c r="VMB35" s="2"/>
      <c r="VMC35" s="2"/>
      <c r="VMD35" s="2"/>
      <c r="VME35" s="2"/>
      <c r="VMF35" s="2"/>
      <c r="VMG35" s="2"/>
      <c r="VMH35" s="2"/>
      <c r="VMI35" s="2"/>
      <c r="VMJ35" s="2"/>
      <c r="VMK35" s="2"/>
      <c r="VML35" s="2"/>
      <c r="VMM35" s="2"/>
      <c r="VMN35" s="2"/>
      <c r="VMO35" s="2"/>
      <c r="VMP35" s="2"/>
      <c r="VMQ35" s="2"/>
      <c r="VMR35" s="2"/>
      <c r="VMS35" s="2"/>
      <c r="VMT35" s="2"/>
      <c r="VMU35" s="2"/>
      <c r="VMV35" s="2"/>
      <c r="VMW35" s="2"/>
      <c r="VMX35" s="2"/>
      <c r="VMY35" s="2"/>
      <c r="VMZ35" s="2"/>
      <c r="VNA35" s="2"/>
      <c r="VNB35" s="2"/>
      <c r="VNC35" s="2"/>
      <c r="VND35" s="2"/>
      <c r="VNE35" s="2"/>
      <c r="VNF35" s="2"/>
      <c r="VNG35" s="2"/>
      <c r="VNH35" s="2"/>
      <c r="VNI35" s="2"/>
      <c r="VNJ35" s="2"/>
      <c r="VNK35" s="2"/>
      <c r="VNL35" s="2"/>
      <c r="VNM35" s="2"/>
      <c r="VNN35" s="2"/>
      <c r="VNO35" s="2"/>
      <c r="VNP35" s="2"/>
      <c r="VNQ35" s="2"/>
      <c r="VNR35" s="2"/>
      <c r="VNS35" s="2"/>
      <c r="VNT35" s="2"/>
      <c r="VNU35" s="2"/>
      <c r="VNV35" s="2"/>
      <c r="VNW35" s="2"/>
      <c r="VNX35" s="2"/>
      <c r="VNY35" s="2"/>
      <c r="VNZ35" s="2"/>
      <c r="VOA35" s="2"/>
      <c r="VOB35" s="2"/>
      <c r="VOC35" s="2"/>
      <c r="VOD35" s="2"/>
      <c r="VOE35" s="2"/>
      <c r="VOF35" s="2"/>
      <c r="VOG35" s="2"/>
      <c r="VOH35" s="2"/>
      <c r="VOI35" s="2"/>
      <c r="VOJ35" s="2"/>
      <c r="VOK35" s="2"/>
      <c r="VOL35" s="2"/>
      <c r="VOM35" s="2"/>
      <c r="VON35" s="2"/>
      <c r="VOO35" s="2"/>
      <c r="VOP35" s="2"/>
      <c r="VOQ35" s="2"/>
      <c r="VOR35" s="2"/>
      <c r="VOS35" s="2"/>
      <c r="VOT35" s="2"/>
      <c r="VOU35" s="2"/>
      <c r="VOV35" s="2"/>
      <c r="VOW35" s="2"/>
      <c r="VOX35" s="2"/>
      <c r="VOY35" s="2"/>
      <c r="VOZ35" s="2"/>
      <c r="VPA35" s="2"/>
      <c r="VPB35" s="2"/>
      <c r="VPC35" s="2"/>
      <c r="VPD35" s="2"/>
      <c r="VPE35" s="2"/>
      <c r="VPF35" s="2"/>
      <c r="VPG35" s="2"/>
      <c r="VPH35" s="2"/>
      <c r="VPI35" s="2"/>
      <c r="VPJ35" s="2"/>
      <c r="VPK35" s="2"/>
      <c r="VPL35" s="2"/>
      <c r="VPM35" s="2"/>
      <c r="VPN35" s="2"/>
      <c r="VPO35" s="2"/>
      <c r="VPP35" s="2"/>
      <c r="VPQ35" s="2"/>
      <c r="VPR35" s="2"/>
      <c r="VPS35" s="2"/>
      <c r="VPT35" s="2"/>
      <c r="VPU35" s="2"/>
      <c r="VPV35" s="2"/>
      <c r="VPW35" s="2"/>
      <c r="VPX35" s="2"/>
      <c r="VPY35" s="2"/>
      <c r="VPZ35" s="2"/>
      <c r="VQA35" s="2"/>
      <c r="VQB35" s="2"/>
      <c r="VQC35" s="2"/>
      <c r="VQD35" s="2"/>
      <c r="VQE35" s="2"/>
      <c r="VQF35" s="2"/>
      <c r="VQG35" s="2"/>
      <c r="VQH35" s="2"/>
      <c r="VQI35" s="2"/>
      <c r="VQJ35" s="2"/>
      <c r="VQK35" s="2"/>
      <c r="VQL35" s="2"/>
      <c r="VQM35" s="2"/>
      <c r="VQN35" s="2"/>
      <c r="VQO35" s="2"/>
      <c r="VQP35" s="2"/>
      <c r="VQQ35" s="2"/>
      <c r="VQR35" s="2"/>
      <c r="VQS35" s="2"/>
      <c r="VQT35" s="2"/>
      <c r="VQU35" s="2"/>
      <c r="VQV35" s="2"/>
      <c r="VQW35" s="2"/>
      <c r="VQX35" s="2"/>
      <c r="VQY35" s="2"/>
      <c r="VQZ35" s="2"/>
      <c r="VRA35" s="2"/>
      <c r="VRB35" s="2"/>
      <c r="VRC35" s="2"/>
      <c r="VRD35" s="2"/>
      <c r="VRE35" s="2"/>
      <c r="VRF35" s="2"/>
      <c r="VRG35" s="2"/>
      <c r="VRH35" s="2"/>
      <c r="VRI35" s="2"/>
      <c r="VRJ35" s="2"/>
      <c r="VRK35" s="2"/>
      <c r="VRL35" s="2"/>
      <c r="VRM35" s="2"/>
      <c r="VRN35" s="2"/>
      <c r="VRO35" s="2"/>
      <c r="VRP35" s="2"/>
      <c r="VRQ35" s="2"/>
      <c r="VRR35" s="2"/>
      <c r="VRS35" s="2"/>
      <c r="VRT35" s="2"/>
      <c r="VRU35" s="2"/>
      <c r="VRV35" s="2"/>
      <c r="VRW35" s="2"/>
      <c r="VRX35" s="2"/>
      <c r="VRY35" s="2"/>
      <c r="VRZ35" s="2"/>
      <c r="VSA35" s="2"/>
      <c r="VSB35" s="2"/>
      <c r="VSC35" s="2"/>
      <c r="VSD35" s="2"/>
      <c r="VSE35" s="2"/>
      <c r="VSF35" s="2"/>
      <c r="VSG35" s="2"/>
      <c r="VSH35" s="2"/>
      <c r="VSI35" s="2"/>
      <c r="VSJ35" s="2"/>
      <c r="VSK35" s="2"/>
      <c r="VSL35" s="2"/>
      <c r="VSM35" s="2"/>
      <c r="VSN35" s="2"/>
      <c r="VSO35" s="2"/>
      <c r="VSP35" s="2"/>
      <c r="VSQ35" s="2"/>
      <c r="VSR35" s="2"/>
      <c r="VSS35" s="2"/>
      <c r="VST35" s="2"/>
      <c r="VSU35" s="2"/>
      <c r="VSV35" s="2"/>
      <c r="VSW35" s="2"/>
      <c r="VSX35" s="2"/>
      <c r="VSY35" s="2"/>
      <c r="VSZ35" s="2"/>
      <c r="VTA35" s="2"/>
      <c r="VTB35" s="2"/>
      <c r="VTC35" s="2"/>
      <c r="VTD35" s="2"/>
      <c r="VTE35" s="2"/>
      <c r="VTF35" s="2"/>
      <c r="VTG35" s="2"/>
      <c r="VTH35" s="2"/>
      <c r="VTI35" s="2"/>
      <c r="VTJ35" s="2"/>
      <c r="VTK35" s="2"/>
      <c r="VTL35" s="2"/>
      <c r="VTM35" s="2"/>
      <c r="VTN35" s="2"/>
      <c r="VTO35" s="2"/>
      <c r="VTP35" s="2"/>
      <c r="VTQ35" s="2"/>
      <c r="VTR35" s="2"/>
      <c r="VTS35" s="2"/>
      <c r="VTT35" s="2"/>
      <c r="VTU35" s="2"/>
      <c r="VTV35" s="2"/>
      <c r="VTW35" s="2"/>
      <c r="VTX35" s="2"/>
      <c r="VTY35" s="2"/>
      <c r="VTZ35" s="2"/>
      <c r="VUA35" s="2"/>
      <c r="VUB35" s="2"/>
      <c r="VUC35" s="2"/>
      <c r="VUD35" s="2"/>
      <c r="VUE35" s="2"/>
      <c r="VUF35" s="2"/>
      <c r="VUG35" s="2"/>
      <c r="VUH35" s="2"/>
      <c r="VUI35" s="2"/>
      <c r="VUJ35" s="2"/>
      <c r="VUK35" s="2"/>
      <c r="VUL35" s="2"/>
      <c r="VUM35" s="2"/>
      <c r="VUN35" s="2"/>
      <c r="VUO35" s="2"/>
      <c r="VUP35" s="2"/>
      <c r="VUQ35" s="2"/>
      <c r="VUR35" s="2"/>
      <c r="VUS35" s="2"/>
      <c r="VUT35" s="2"/>
      <c r="VUU35" s="2"/>
      <c r="VUV35" s="2"/>
      <c r="VUW35" s="2"/>
      <c r="VUX35" s="2"/>
      <c r="VUY35" s="2"/>
      <c r="VUZ35" s="2"/>
      <c r="VVA35" s="2"/>
      <c r="VVB35" s="2"/>
      <c r="VVC35" s="2"/>
      <c r="VVD35" s="2"/>
      <c r="VVE35" s="2"/>
      <c r="VVF35" s="2"/>
      <c r="VVG35" s="2"/>
      <c r="VVH35" s="2"/>
      <c r="VVI35" s="2"/>
      <c r="VVJ35" s="2"/>
      <c r="VVK35" s="2"/>
      <c r="VVL35" s="2"/>
      <c r="VVM35" s="2"/>
      <c r="VVN35" s="2"/>
      <c r="VVO35" s="2"/>
      <c r="VVP35" s="2"/>
      <c r="VVQ35" s="2"/>
      <c r="VVR35" s="2"/>
      <c r="VVS35" s="2"/>
      <c r="VVT35" s="2"/>
      <c r="VVU35" s="2"/>
      <c r="VVV35" s="2"/>
      <c r="VVW35" s="2"/>
      <c r="VVX35" s="2"/>
      <c r="VVY35" s="2"/>
      <c r="VVZ35" s="2"/>
      <c r="VWA35" s="2"/>
      <c r="VWB35" s="2"/>
      <c r="VWC35" s="2"/>
      <c r="VWD35" s="2"/>
      <c r="VWE35" s="2"/>
      <c r="VWF35" s="2"/>
      <c r="VWG35" s="2"/>
      <c r="VWH35" s="2"/>
      <c r="VWI35" s="2"/>
      <c r="VWJ35" s="2"/>
      <c r="VWK35" s="2"/>
      <c r="VWL35" s="2"/>
      <c r="VWM35" s="2"/>
      <c r="VWN35" s="2"/>
      <c r="VWO35" s="2"/>
      <c r="VWP35" s="2"/>
      <c r="VWQ35" s="2"/>
      <c r="VWR35" s="2"/>
      <c r="VWS35" s="2"/>
      <c r="VWT35" s="2"/>
      <c r="VWU35" s="2"/>
      <c r="VWV35" s="2"/>
      <c r="VWW35" s="2"/>
      <c r="VWX35" s="2"/>
      <c r="VWY35" s="2"/>
      <c r="VWZ35" s="2"/>
      <c r="VXA35" s="2"/>
      <c r="VXB35" s="2"/>
      <c r="VXC35" s="2"/>
      <c r="VXD35" s="2"/>
      <c r="VXE35" s="2"/>
      <c r="VXF35" s="2"/>
      <c r="VXG35" s="2"/>
      <c r="VXH35" s="2"/>
      <c r="VXI35" s="2"/>
      <c r="VXJ35" s="2"/>
      <c r="VXK35" s="2"/>
      <c r="VXL35" s="2"/>
      <c r="VXM35" s="2"/>
      <c r="VXN35" s="2"/>
      <c r="VXO35" s="2"/>
      <c r="VXP35" s="2"/>
      <c r="VXQ35" s="2"/>
      <c r="VXR35" s="2"/>
      <c r="VXS35" s="2"/>
      <c r="VXT35" s="2"/>
      <c r="VXU35" s="2"/>
      <c r="VXV35" s="2"/>
      <c r="VXW35" s="2"/>
      <c r="VXX35" s="2"/>
      <c r="VXY35" s="2"/>
      <c r="VXZ35" s="2"/>
      <c r="VYA35" s="2"/>
      <c r="VYB35" s="2"/>
      <c r="VYC35" s="2"/>
      <c r="VYD35" s="2"/>
      <c r="VYE35" s="2"/>
      <c r="VYF35" s="2"/>
      <c r="VYG35" s="2"/>
      <c r="VYH35" s="2"/>
      <c r="VYI35" s="2"/>
      <c r="VYJ35" s="2"/>
      <c r="VYK35" s="2"/>
      <c r="VYL35" s="2"/>
      <c r="VYM35" s="2"/>
      <c r="VYN35" s="2"/>
      <c r="VYO35" s="2"/>
      <c r="VYP35" s="2"/>
      <c r="VYQ35" s="2"/>
      <c r="VYR35" s="2"/>
      <c r="VYS35" s="2"/>
      <c r="VYT35" s="2"/>
      <c r="VYU35" s="2"/>
      <c r="VYV35" s="2"/>
      <c r="VYW35" s="2"/>
      <c r="VYX35" s="2"/>
      <c r="VYY35" s="2"/>
      <c r="VYZ35" s="2"/>
      <c r="VZA35" s="2"/>
      <c r="VZB35" s="2"/>
      <c r="VZC35" s="2"/>
      <c r="VZD35" s="2"/>
      <c r="VZE35" s="2"/>
      <c r="VZF35" s="2"/>
      <c r="VZG35" s="2"/>
      <c r="VZH35" s="2"/>
      <c r="VZI35" s="2"/>
      <c r="VZJ35" s="2"/>
      <c r="VZK35" s="2"/>
      <c r="VZL35" s="2"/>
      <c r="VZM35" s="2"/>
      <c r="VZN35" s="2"/>
      <c r="VZO35" s="2"/>
      <c r="VZP35" s="2"/>
      <c r="VZQ35" s="2"/>
      <c r="VZR35" s="2"/>
      <c r="VZS35" s="2"/>
      <c r="VZT35" s="2"/>
      <c r="VZU35" s="2"/>
      <c r="VZV35" s="2"/>
      <c r="VZW35" s="2"/>
      <c r="VZX35" s="2"/>
      <c r="VZY35" s="2"/>
      <c r="VZZ35" s="2"/>
      <c r="WAA35" s="2"/>
      <c r="WAB35" s="2"/>
      <c r="WAC35" s="2"/>
      <c r="WAD35" s="2"/>
      <c r="WAE35" s="2"/>
      <c r="WAF35" s="2"/>
      <c r="WAG35" s="2"/>
      <c r="WAH35" s="2"/>
      <c r="WAI35" s="2"/>
      <c r="WAJ35" s="2"/>
      <c r="WAK35" s="2"/>
      <c r="WAL35" s="2"/>
      <c r="WAM35" s="2"/>
      <c r="WAN35" s="2"/>
      <c r="WAO35" s="2"/>
      <c r="WAP35" s="2"/>
      <c r="WAQ35" s="2"/>
      <c r="WAR35" s="2"/>
      <c r="WAS35" s="2"/>
      <c r="WAT35" s="2"/>
      <c r="WAU35" s="2"/>
      <c r="WAV35" s="2"/>
      <c r="WAW35" s="2"/>
      <c r="WAX35" s="2"/>
      <c r="WAY35" s="2"/>
      <c r="WAZ35" s="2"/>
      <c r="WBA35" s="2"/>
      <c r="WBB35" s="2"/>
      <c r="WBC35" s="2"/>
      <c r="WBD35" s="2"/>
      <c r="WBE35" s="2"/>
      <c r="WBF35" s="2"/>
      <c r="WBG35" s="2"/>
      <c r="WBH35" s="2"/>
      <c r="WBI35" s="2"/>
      <c r="WBJ35" s="2"/>
      <c r="WBK35" s="2"/>
      <c r="WBL35" s="2"/>
      <c r="WBM35" s="2"/>
      <c r="WBN35" s="2"/>
      <c r="WBO35" s="2"/>
      <c r="WBP35" s="2"/>
      <c r="WBQ35" s="2"/>
      <c r="WBR35" s="2"/>
      <c r="WBS35" s="2"/>
      <c r="WBT35" s="2"/>
      <c r="WBU35" s="2"/>
      <c r="WBV35" s="2"/>
      <c r="WBW35" s="2"/>
      <c r="WBX35" s="2"/>
      <c r="WBY35" s="2"/>
      <c r="WBZ35" s="2"/>
      <c r="WCA35" s="2"/>
      <c r="WCB35" s="2"/>
      <c r="WCC35" s="2"/>
      <c r="WCD35" s="2"/>
      <c r="WCE35" s="2"/>
      <c r="WCF35" s="2"/>
      <c r="WCG35" s="2"/>
      <c r="WCH35" s="2"/>
      <c r="WCI35" s="2"/>
      <c r="WCJ35" s="2"/>
      <c r="WCK35" s="2"/>
      <c r="WCL35" s="2"/>
      <c r="WCM35" s="2"/>
      <c r="WCN35" s="2"/>
      <c r="WCO35" s="2"/>
      <c r="WCP35" s="2"/>
      <c r="WCQ35" s="2"/>
      <c r="WCR35" s="2"/>
      <c r="WCS35" s="2"/>
      <c r="WCT35" s="2"/>
      <c r="WCU35" s="2"/>
      <c r="WCV35" s="2"/>
      <c r="WCW35" s="2"/>
      <c r="WCX35" s="2"/>
      <c r="WCY35" s="2"/>
      <c r="WCZ35" s="2"/>
      <c r="WDA35" s="2"/>
      <c r="WDB35" s="2"/>
      <c r="WDC35" s="2"/>
      <c r="WDD35" s="2"/>
      <c r="WDE35" s="2"/>
      <c r="WDF35" s="2"/>
      <c r="WDG35" s="2"/>
      <c r="WDH35" s="2"/>
      <c r="WDI35" s="2"/>
      <c r="WDJ35" s="2"/>
      <c r="WDK35" s="2"/>
      <c r="WDL35" s="2"/>
      <c r="WDM35" s="2"/>
      <c r="WDN35" s="2"/>
      <c r="WDO35" s="2"/>
      <c r="WDP35" s="2"/>
      <c r="WDQ35" s="2"/>
      <c r="WDR35" s="2"/>
      <c r="WDS35" s="2"/>
      <c r="WDT35" s="2"/>
      <c r="WDU35" s="2"/>
      <c r="WDV35" s="2"/>
      <c r="WDW35" s="2"/>
      <c r="WDX35" s="2"/>
      <c r="WDY35" s="2"/>
      <c r="WDZ35" s="2"/>
      <c r="WEA35" s="2"/>
      <c r="WEB35" s="2"/>
      <c r="WEC35" s="2"/>
      <c r="WED35" s="2"/>
      <c r="WEE35" s="2"/>
      <c r="WEF35" s="2"/>
      <c r="WEG35" s="2"/>
      <c r="WEH35" s="2"/>
      <c r="WEI35" s="2"/>
      <c r="WEJ35" s="2"/>
      <c r="WEK35" s="2"/>
      <c r="WEL35" s="2"/>
      <c r="WEM35" s="2"/>
      <c r="WEN35" s="2"/>
      <c r="WEO35" s="2"/>
      <c r="WEP35" s="2"/>
      <c r="WEQ35" s="2"/>
      <c r="WER35" s="2"/>
      <c r="WES35" s="2"/>
      <c r="WET35" s="2"/>
      <c r="WEU35" s="2"/>
      <c r="WEV35" s="2"/>
      <c r="WEW35" s="2"/>
      <c r="WEX35" s="2"/>
      <c r="WEY35" s="2"/>
      <c r="WEZ35" s="2"/>
      <c r="WFA35" s="2"/>
      <c r="WFB35" s="2"/>
      <c r="WFC35" s="2"/>
      <c r="WFD35" s="2"/>
      <c r="WFE35" s="2"/>
      <c r="WFF35" s="2"/>
      <c r="WFG35" s="2"/>
      <c r="WFH35" s="2"/>
      <c r="WFI35" s="2"/>
      <c r="WFJ35" s="2"/>
      <c r="WFK35" s="2"/>
      <c r="WFL35" s="2"/>
      <c r="WFM35" s="2"/>
      <c r="WFN35" s="2"/>
      <c r="WFO35" s="2"/>
      <c r="WFP35" s="2"/>
      <c r="WFQ35" s="2"/>
      <c r="WFR35" s="2"/>
      <c r="WFS35" s="2"/>
      <c r="WFT35" s="2"/>
      <c r="WFU35" s="2"/>
      <c r="WFV35" s="2"/>
      <c r="WFW35" s="2"/>
      <c r="WFX35" s="2"/>
      <c r="WFY35" s="2"/>
      <c r="WFZ35" s="2"/>
      <c r="WGA35" s="2"/>
      <c r="WGB35" s="2"/>
      <c r="WGC35" s="2"/>
      <c r="WGD35" s="2"/>
      <c r="WGE35" s="2"/>
      <c r="WGF35" s="2"/>
      <c r="WGG35" s="2"/>
      <c r="WGH35" s="2"/>
      <c r="WGI35" s="2"/>
      <c r="WGJ35" s="2"/>
      <c r="WGK35" s="2"/>
      <c r="WGL35" s="2"/>
      <c r="WGM35" s="2"/>
      <c r="WGN35" s="2"/>
      <c r="WGO35" s="2"/>
      <c r="WGP35" s="2"/>
      <c r="WGQ35" s="2"/>
      <c r="WGR35" s="2"/>
      <c r="WGS35" s="2"/>
      <c r="WGT35" s="2"/>
      <c r="WGU35" s="2"/>
      <c r="WGV35" s="2"/>
      <c r="WGW35" s="2"/>
      <c r="WGX35" s="2"/>
      <c r="WGY35" s="2"/>
      <c r="WGZ35" s="2"/>
      <c r="WHA35" s="2"/>
      <c r="WHB35" s="2"/>
      <c r="WHC35" s="2"/>
      <c r="WHD35" s="2"/>
      <c r="WHE35" s="2"/>
      <c r="WHF35" s="2"/>
      <c r="WHG35" s="2"/>
      <c r="WHH35" s="2"/>
      <c r="WHI35" s="2"/>
      <c r="WHJ35" s="2"/>
      <c r="WHK35" s="2"/>
      <c r="WHL35" s="2"/>
      <c r="WHM35" s="2"/>
      <c r="WHN35" s="2"/>
      <c r="WHO35" s="2"/>
      <c r="WHP35" s="2"/>
      <c r="WHQ35" s="2"/>
      <c r="WHR35" s="2"/>
      <c r="WHS35" s="2"/>
      <c r="WHT35" s="2"/>
      <c r="WHU35" s="2"/>
      <c r="WHV35" s="2"/>
      <c r="WHW35" s="2"/>
      <c r="WHX35" s="2"/>
      <c r="WHY35" s="2"/>
      <c r="WHZ35" s="2"/>
      <c r="WIA35" s="2"/>
      <c r="WIB35" s="2"/>
      <c r="WIC35" s="2"/>
      <c r="WID35" s="2"/>
      <c r="WIE35" s="2"/>
      <c r="WIF35" s="2"/>
      <c r="WIG35" s="2"/>
      <c r="WIH35" s="2"/>
      <c r="WII35" s="2"/>
      <c r="WIJ35" s="2"/>
      <c r="WIK35" s="2"/>
      <c r="WIL35" s="2"/>
      <c r="WIM35" s="2"/>
      <c r="WIN35" s="2"/>
      <c r="WIO35" s="2"/>
      <c r="WIP35" s="2"/>
      <c r="WIQ35" s="2"/>
      <c r="WIR35" s="2"/>
      <c r="WIS35" s="2"/>
      <c r="WIT35" s="2"/>
      <c r="WIU35" s="2"/>
      <c r="WIV35" s="2"/>
      <c r="WIW35" s="2"/>
      <c r="WIX35" s="2"/>
      <c r="WIY35" s="2"/>
      <c r="WIZ35" s="2"/>
      <c r="WJA35" s="2"/>
      <c r="WJB35" s="2"/>
      <c r="WJC35" s="2"/>
      <c r="WJD35" s="2"/>
      <c r="WJE35" s="2"/>
      <c r="WJF35" s="2"/>
      <c r="WJG35" s="2"/>
      <c r="WJH35" s="2"/>
      <c r="WJI35" s="2"/>
      <c r="WJJ35" s="2"/>
      <c r="WJK35" s="2"/>
      <c r="WJL35" s="2"/>
      <c r="WJM35" s="2"/>
      <c r="WJN35" s="2"/>
      <c r="WJO35" s="2"/>
      <c r="WJP35" s="2"/>
      <c r="WJQ35" s="2"/>
      <c r="WJR35" s="2"/>
      <c r="WJS35" s="2"/>
      <c r="WJT35" s="2"/>
      <c r="WJU35" s="2"/>
      <c r="WJV35" s="2"/>
      <c r="WJW35" s="2"/>
      <c r="WJX35" s="2"/>
      <c r="WJY35" s="2"/>
      <c r="WJZ35" s="2"/>
      <c r="WKA35" s="2"/>
      <c r="WKB35" s="2"/>
      <c r="WKC35" s="2"/>
      <c r="WKD35" s="2"/>
      <c r="WKE35" s="2"/>
      <c r="WKF35" s="2"/>
      <c r="WKG35" s="2"/>
      <c r="WKH35" s="2"/>
      <c r="WKI35" s="2"/>
      <c r="WKJ35" s="2"/>
      <c r="WKK35" s="2"/>
      <c r="WKL35" s="2"/>
      <c r="WKM35" s="2"/>
      <c r="WKN35" s="2"/>
      <c r="WKO35" s="2"/>
      <c r="WKP35" s="2"/>
      <c r="WKQ35" s="2"/>
      <c r="WKR35" s="2"/>
      <c r="WKS35" s="2"/>
      <c r="WKT35" s="2"/>
      <c r="WKU35" s="2"/>
      <c r="WKV35" s="2"/>
      <c r="WKW35" s="2"/>
      <c r="WKX35" s="2"/>
      <c r="WKY35" s="2"/>
      <c r="WKZ35" s="2"/>
      <c r="WLA35" s="2"/>
      <c r="WLB35" s="2"/>
      <c r="WLC35" s="2"/>
      <c r="WLD35" s="2"/>
      <c r="WLE35" s="2"/>
      <c r="WLF35" s="2"/>
      <c r="WLG35" s="2"/>
      <c r="WLH35" s="2"/>
      <c r="WLI35" s="2"/>
      <c r="WLJ35" s="2"/>
      <c r="WLK35" s="2"/>
      <c r="WLL35" s="2"/>
      <c r="WLM35" s="2"/>
      <c r="WLN35" s="2"/>
      <c r="WLO35" s="2"/>
      <c r="WLP35" s="2"/>
      <c r="WLQ35" s="2"/>
      <c r="WLR35" s="2"/>
      <c r="WLS35" s="2"/>
      <c r="WLT35" s="2"/>
      <c r="WLU35" s="2"/>
      <c r="WLV35" s="2"/>
      <c r="WLW35" s="2"/>
      <c r="WLX35" s="2"/>
      <c r="WLY35" s="2"/>
      <c r="WLZ35" s="2"/>
      <c r="WMA35" s="2"/>
      <c r="WMB35" s="2"/>
      <c r="WMC35" s="2"/>
      <c r="WMD35" s="2"/>
      <c r="WME35" s="2"/>
      <c r="WMF35" s="2"/>
      <c r="WMG35" s="2"/>
      <c r="WMH35" s="2"/>
      <c r="WMI35" s="2"/>
      <c r="WMJ35" s="2"/>
      <c r="WMK35" s="2"/>
      <c r="WML35" s="2"/>
      <c r="WMM35" s="2"/>
      <c r="WMN35" s="2"/>
      <c r="WMO35" s="2"/>
      <c r="WMP35" s="2"/>
      <c r="WMQ35" s="2"/>
      <c r="WMR35" s="2"/>
      <c r="WMS35" s="2"/>
      <c r="WMT35" s="2"/>
      <c r="WMU35" s="2"/>
      <c r="WMV35" s="2"/>
      <c r="WMW35" s="2"/>
      <c r="WMX35" s="2"/>
      <c r="WMY35" s="2"/>
      <c r="WMZ35" s="2"/>
      <c r="WNA35" s="2"/>
      <c r="WNB35" s="2"/>
      <c r="WNC35" s="2"/>
      <c r="WND35" s="2"/>
      <c r="WNE35" s="2"/>
      <c r="WNF35" s="2"/>
      <c r="WNG35" s="2"/>
      <c r="WNH35" s="2"/>
      <c r="WNI35" s="2"/>
      <c r="WNJ35" s="2"/>
      <c r="WNK35" s="2"/>
      <c r="WNL35" s="2"/>
      <c r="WNM35" s="2"/>
      <c r="WNN35" s="2"/>
      <c r="WNO35" s="2"/>
      <c r="WNP35" s="2"/>
      <c r="WNQ35" s="2"/>
      <c r="WNR35" s="2"/>
      <c r="WNS35" s="2"/>
      <c r="WNT35" s="2"/>
      <c r="WNU35" s="2"/>
      <c r="WNV35" s="2"/>
      <c r="WNW35" s="2"/>
      <c r="WNX35" s="2"/>
      <c r="WNY35" s="2"/>
      <c r="WNZ35" s="2"/>
      <c r="WOA35" s="2"/>
      <c r="WOB35" s="2"/>
      <c r="WOC35" s="2"/>
      <c r="WOD35" s="2"/>
      <c r="WOE35" s="2"/>
      <c r="WOF35" s="2"/>
      <c r="WOG35" s="2"/>
      <c r="WOH35" s="2"/>
      <c r="WOI35" s="2"/>
      <c r="WOJ35" s="2"/>
      <c r="WOK35" s="2"/>
      <c r="WOL35" s="2"/>
      <c r="WOM35" s="2"/>
      <c r="WON35" s="2"/>
      <c r="WOO35" s="2"/>
      <c r="WOP35" s="2"/>
      <c r="WOQ35" s="2"/>
      <c r="WOR35" s="2"/>
      <c r="WOS35" s="2"/>
      <c r="WOT35" s="2"/>
      <c r="WOU35" s="2"/>
      <c r="WOV35" s="2"/>
      <c r="WOW35" s="2"/>
      <c r="WOX35" s="2"/>
      <c r="WOY35" s="2"/>
      <c r="WOZ35" s="2"/>
      <c r="WPA35" s="2"/>
      <c r="WPB35" s="2"/>
      <c r="WPC35" s="2"/>
      <c r="WPD35" s="2"/>
      <c r="WPE35" s="2"/>
      <c r="WPF35" s="2"/>
      <c r="WPG35" s="2"/>
      <c r="WPH35" s="2"/>
      <c r="WPI35" s="2"/>
      <c r="WPJ35" s="2"/>
      <c r="WPK35" s="2"/>
      <c r="WPL35" s="2"/>
      <c r="WPM35" s="2"/>
      <c r="WPN35" s="2"/>
      <c r="WPO35" s="2"/>
      <c r="WPP35" s="2"/>
      <c r="WPQ35" s="2"/>
      <c r="WPR35" s="2"/>
      <c r="WPS35" s="2"/>
      <c r="WPT35" s="2"/>
      <c r="WPU35" s="2"/>
      <c r="WPV35" s="2"/>
      <c r="WPW35" s="2"/>
      <c r="WPX35" s="2"/>
      <c r="WPY35" s="2"/>
      <c r="WPZ35" s="2"/>
      <c r="WQA35" s="2"/>
      <c r="WQB35" s="2"/>
      <c r="WQC35" s="2"/>
      <c r="WQD35" s="2"/>
      <c r="WQE35" s="2"/>
      <c r="WQF35" s="2"/>
      <c r="WQG35" s="2"/>
      <c r="WQH35" s="2"/>
      <c r="WQI35" s="2"/>
      <c r="WQJ35" s="2"/>
      <c r="WQK35" s="2"/>
      <c r="WQL35" s="2"/>
      <c r="WQM35" s="2"/>
      <c r="WQN35" s="2"/>
      <c r="WQO35" s="2"/>
      <c r="WQP35" s="2"/>
      <c r="WQQ35" s="2"/>
      <c r="WQR35" s="2"/>
      <c r="WQS35" s="2"/>
      <c r="WQT35" s="2"/>
      <c r="WQU35" s="2"/>
      <c r="WQV35" s="2"/>
      <c r="WQW35" s="2"/>
      <c r="WQX35" s="2"/>
      <c r="WQY35" s="2"/>
      <c r="WQZ35" s="2"/>
      <c r="WRA35" s="2"/>
      <c r="WRB35" s="2"/>
      <c r="WRC35" s="2"/>
      <c r="WRD35" s="2"/>
      <c r="WRE35" s="2"/>
      <c r="WRF35" s="2"/>
      <c r="WRG35" s="2"/>
      <c r="WRH35" s="2"/>
      <c r="WRI35" s="2"/>
      <c r="WRJ35" s="2"/>
      <c r="WRK35" s="2"/>
      <c r="WRL35" s="2"/>
      <c r="WRM35" s="2"/>
      <c r="WRN35" s="2"/>
      <c r="WRO35" s="2"/>
      <c r="WRP35" s="2"/>
      <c r="WRQ35" s="2"/>
      <c r="WRR35" s="2"/>
      <c r="WRS35" s="2"/>
      <c r="WRT35" s="2"/>
      <c r="WRU35" s="2"/>
      <c r="WRV35" s="2"/>
      <c r="WRW35" s="2"/>
      <c r="WRX35" s="2"/>
      <c r="WRY35" s="2"/>
      <c r="WRZ35" s="2"/>
      <c r="WSA35" s="2"/>
      <c r="WSB35" s="2"/>
      <c r="WSC35" s="2"/>
      <c r="WSD35" s="2"/>
      <c r="WSE35" s="2"/>
      <c r="WSF35" s="2"/>
      <c r="WSG35" s="2"/>
      <c r="WSH35" s="2"/>
      <c r="WSI35" s="2"/>
      <c r="WSJ35" s="2"/>
      <c r="WSK35" s="2"/>
      <c r="WSL35" s="2"/>
      <c r="WSM35" s="2"/>
      <c r="WSN35" s="2"/>
      <c r="WSO35" s="2"/>
      <c r="WSP35" s="2"/>
      <c r="WSQ35" s="2"/>
      <c r="WSR35" s="2"/>
      <c r="WSS35" s="2"/>
      <c r="WST35" s="2"/>
      <c r="WSU35" s="2"/>
      <c r="WSV35" s="2"/>
      <c r="WSW35" s="2"/>
      <c r="WSX35" s="2"/>
      <c r="WSY35" s="2"/>
      <c r="WSZ35" s="2"/>
      <c r="WTA35" s="2"/>
      <c r="WTB35" s="2"/>
      <c r="WTC35" s="2"/>
      <c r="WTD35" s="2"/>
      <c r="WTE35" s="2"/>
      <c r="WTF35" s="2"/>
      <c r="WTG35" s="2"/>
      <c r="WTH35" s="2"/>
      <c r="WTI35" s="2"/>
      <c r="WTJ35" s="2"/>
      <c r="WTK35" s="2"/>
      <c r="WTL35" s="2"/>
      <c r="WTM35" s="2"/>
      <c r="WTN35" s="2"/>
      <c r="WTO35" s="2"/>
      <c r="WTP35" s="2"/>
      <c r="WTQ35" s="2"/>
      <c r="WTR35" s="2"/>
      <c r="WTS35" s="2"/>
      <c r="WTT35" s="2"/>
      <c r="WTU35" s="2"/>
      <c r="WTV35" s="2"/>
      <c r="WTW35" s="2"/>
      <c r="WTX35" s="2"/>
      <c r="WTY35" s="2"/>
      <c r="WTZ35" s="2"/>
      <c r="WUA35" s="2"/>
      <c r="WUB35" s="2"/>
      <c r="WUC35" s="2"/>
      <c r="WUD35" s="2"/>
      <c r="WUE35" s="2"/>
      <c r="WUF35" s="2"/>
      <c r="WUG35" s="2"/>
      <c r="WUH35" s="2"/>
      <c r="WUI35" s="2"/>
      <c r="WUJ35" s="2"/>
      <c r="WUK35" s="2"/>
      <c r="WUL35" s="2"/>
      <c r="WUM35" s="2"/>
      <c r="WUN35" s="2"/>
      <c r="WUO35" s="2"/>
      <c r="WUP35" s="2"/>
      <c r="WUQ35" s="2"/>
      <c r="WUR35" s="2"/>
      <c r="WUS35" s="2"/>
      <c r="WUT35" s="2"/>
      <c r="WUU35" s="2"/>
      <c r="WUV35" s="2"/>
      <c r="WUW35" s="2"/>
      <c r="WUX35" s="2"/>
      <c r="WUY35" s="2"/>
      <c r="WUZ35" s="2"/>
      <c r="WVA35" s="2"/>
      <c r="WVB35" s="2"/>
      <c r="WVC35" s="2"/>
      <c r="WVD35" s="2"/>
      <c r="WVE35" s="2"/>
      <c r="WVF35" s="2"/>
      <c r="WVG35" s="2"/>
      <c r="WVH35" s="2"/>
      <c r="WVI35" s="2"/>
      <c r="WVJ35" s="2"/>
      <c r="WVK35" s="2"/>
      <c r="WVL35" s="2"/>
      <c r="WVM35" s="2"/>
      <c r="WVN35" s="2"/>
      <c r="WVO35" s="2"/>
      <c r="WVP35" s="2"/>
      <c r="WVQ35" s="2"/>
      <c r="WVR35" s="2"/>
      <c r="WVS35" s="2"/>
      <c r="WVT35" s="2"/>
      <c r="WVU35" s="2"/>
      <c r="WVV35" s="2"/>
      <c r="WVW35" s="2"/>
      <c r="WVX35" s="2"/>
      <c r="WVY35" s="2"/>
      <c r="WVZ35" s="2"/>
      <c r="WWA35" s="2"/>
      <c r="WWB35" s="2"/>
      <c r="WWC35" s="2"/>
      <c r="WWD35" s="2"/>
      <c r="WWE35" s="2"/>
      <c r="WWF35" s="2"/>
      <c r="WWG35" s="2"/>
      <c r="WWH35" s="2"/>
      <c r="WWI35" s="2"/>
      <c r="WWJ35" s="2"/>
      <c r="WWK35" s="2"/>
      <c r="WWL35" s="2"/>
      <c r="WWM35" s="2"/>
      <c r="WWN35" s="2"/>
      <c r="WWO35" s="2"/>
      <c r="WWP35" s="2"/>
      <c r="WWQ35" s="2"/>
      <c r="WWR35" s="2"/>
      <c r="WWS35" s="2"/>
      <c r="WWT35" s="2"/>
      <c r="WWU35" s="2"/>
      <c r="WWV35" s="2"/>
      <c r="WWW35" s="2"/>
      <c r="WWX35" s="2"/>
      <c r="WWY35" s="2"/>
      <c r="WWZ35" s="2"/>
      <c r="WXA35" s="2"/>
      <c r="WXB35" s="2"/>
      <c r="WXC35" s="2"/>
      <c r="WXD35" s="2"/>
      <c r="WXE35" s="2"/>
      <c r="WXF35" s="2"/>
      <c r="WXG35" s="2"/>
      <c r="WXH35" s="2"/>
      <c r="WXI35" s="2"/>
      <c r="WXJ35" s="2"/>
      <c r="WXK35" s="2"/>
      <c r="WXL35" s="2"/>
      <c r="WXM35" s="2"/>
      <c r="WXN35" s="2"/>
      <c r="WXO35" s="2"/>
      <c r="WXP35" s="2"/>
      <c r="WXQ35" s="2"/>
      <c r="WXR35" s="2"/>
      <c r="WXS35" s="2"/>
      <c r="WXT35" s="2"/>
      <c r="WXU35" s="2"/>
      <c r="WXV35" s="2"/>
      <c r="WXW35" s="2"/>
      <c r="WXX35" s="2"/>
      <c r="WXY35" s="2"/>
      <c r="WXZ35" s="2"/>
      <c r="WYA35" s="2"/>
      <c r="WYB35" s="2"/>
      <c r="WYC35" s="2"/>
      <c r="WYD35" s="2"/>
      <c r="WYE35" s="2"/>
      <c r="WYF35" s="2"/>
      <c r="WYG35" s="2"/>
      <c r="WYH35" s="2"/>
      <c r="WYI35" s="2"/>
      <c r="WYJ35" s="2"/>
      <c r="WYK35" s="2"/>
      <c r="WYL35" s="2"/>
      <c r="WYM35" s="2"/>
      <c r="WYN35" s="2"/>
      <c r="WYO35" s="2"/>
      <c r="WYP35" s="2"/>
      <c r="WYQ35" s="2"/>
      <c r="WYR35" s="2"/>
      <c r="WYS35" s="2"/>
      <c r="WYT35" s="2"/>
      <c r="WYU35" s="2"/>
      <c r="WYV35" s="2"/>
      <c r="WYW35" s="2"/>
      <c r="WYX35" s="2"/>
      <c r="WYY35" s="2"/>
      <c r="WYZ35" s="2"/>
      <c r="WZA35" s="2"/>
      <c r="WZB35" s="2"/>
      <c r="WZC35" s="2"/>
      <c r="WZD35" s="2"/>
      <c r="WZE35" s="2"/>
      <c r="WZF35" s="2"/>
      <c r="WZG35" s="2"/>
      <c r="WZH35" s="2"/>
      <c r="WZI35" s="2"/>
      <c r="WZJ35" s="2"/>
      <c r="WZK35" s="2"/>
      <c r="WZL35" s="2"/>
      <c r="WZM35" s="2"/>
      <c r="WZN35" s="2"/>
      <c r="WZO35" s="2"/>
      <c r="WZP35" s="2"/>
      <c r="WZQ35" s="2"/>
      <c r="WZR35" s="2"/>
      <c r="WZS35" s="2"/>
      <c r="WZT35" s="2"/>
      <c r="WZU35" s="2"/>
      <c r="WZV35" s="2"/>
      <c r="WZW35" s="2"/>
      <c r="WZX35" s="2"/>
      <c r="WZY35" s="2"/>
      <c r="WZZ35" s="2"/>
      <c r="XAA35" s="2"/>
      <c r="XAB35" s="2"/>
      <c r="XAC35" s="2"/>
      <c r="XAD35" s="2"/>
      <c r="XAE35" s="2"/>
      <c r="XAF35" s="2"/>
      <c r="XAG35" s="2"/>
      <c r="XAH35" s="2"/>
      <c r="XAI35" s="2"/>
      <c r="XAJ35" s="2"/>
      <c r="XAK35" s="2"/>
      <c r="XAL35" s="2"/>
      <c r="XAM35" s="2"/>
      <c r="XAN35" s="2"/>
      <c r="XAO35" s="2"/>
      <c r="XAP35" s="2"/>
      <c r="XAQ35" s="2"/>
      <c r="XAR35" s="2"/>
      <c r="XAS35" s="2"/>
      <c r="XAT35" s="2"/>
      <c r="XAU35" s="2"/>
      <c r="XAV35" s="2"/>
      <c r="XAW35" s="2"/>
      <c r="XAX35" s="2"/>
      <c r="XAY35" s="2"/>
      <c r="XAZ35" s="2"/>
      <c r="XBA35" s="2"/>
      <c r="XBB35" s="2"/>
      <c r="XBC35" s="2"/>
      <c r="XBD35" s="2"/>
      <c r="XBE35" s="2"/>
      <c r="XBF35" s="2"/>
      <c r="XBG35" s="2"/>
      <c r="XBH35" s="2"/>
      <c r="XBI35" s="2"/>
      <c r="XBJ35" s="2"/>
      <c r="XBK35" s="2"/>
      <c r="XBL35" s="2"/>
      <c r="XBM35" s="2"/>
      <c r="XBN35" s="2"/>
      <c r="XBO35" s="2"/>
      <c r="XBP35" s="2"/>
      <c r="XBQ35" s="2"/>
      <c r="XBR35" s="2"/>
      <c r="XBS35" s="2"/>
      <c r="XBT35" s="2"/>
      <c r="XBU35" s="2"/>
      <c r="XBV35" s="2"/>
      <c r="XBW35" s="2"/>
      <c r="XBX35" s="2"/>
      <c r="XBY35" s="2"/>
      <c r="XBZ35" s="2"/>
      <c r="XCA35" s="2"/>
      <c r="XCB35" s="2"/>
      <c r="XCC35" s="2"/>
      <c r="XCD35" s="2"/>
      <c r="XCE35" s="2"/>
      <c r="XCF35" s="2"/>
      <c r="XCG35" s="2"/>
      <c r="XCH35" s="2"/>
      <c r="XCI35" s="2"/>
      <c r="XCJ35" s="2"/>
      <c r="XCK35" s="2"/>
      <c r="XCL35" s="2"/>
      <c r="XCM35" s="2"/>
      <c r="XCN35" s="2"/>
      <c r="XCO35" s="2"/>
      <c r="XCP35" s="2"/>
      <c r="XCQ35" s="2"/>
      <c r="XCR35" s="2"/>
      <c r="XCS35" s="2"/>
      <c r="XCT35" s="2"/>
      <c r="XCU35" s="2"/>
      <c r="XCV35" s="2"/>
      <c r="XCW35" s="2"/>
      <c r="XCX35" s="2"/>
      <c r="XCY35" s="2"/>
      <c r="XCZ35" s="2"/>
      <c r="XDA35" s="2"/>
      <c r="XDB35" s="2"/>
      <c r="XDC35" s="2"/>
      <c r="XDD35" s="2"/>
      <c r="XDE35" s="2"/>
      <c r="XDF35" s="2"/>
      <c r="XDG35" s="2"/>
      <c r="XDH35" s="2"/>
      <c r="XDI35" s="2"/>
      <c r="XDJ35" s="2"/>
      <c r="XDK35" s="2"/>
      <c r="XDL35" s="2"/>
      <c r="XDM35" s="2"/>
      <c r="XDN35" s="2"/>
      <c r="XDO35" s="2"/>
      <c r="XDP35" s="2"/>
      <c r="XDQ35" s="2"/>
      <c r="XDR35" s="2"/>
      <c r="XDS35" s="2"/>
      <c r="XDT35" s="2"/>
      <c r="XDU35" s="2"/>
      <c r="XDV35" s="2"/>
      <c r="XDW35" s="2"/>
      <c r="XDX35" s="2"/>
      <c r="XDY35" s="2"/>
      <c r="XDZ35" s="2"/>
      <c r="XEA35" s="2"/>
      <c r="XEB35" s="2"/>
      <c r="XEC35" s="2"/>
      <c r="XED35" s="2"/>
      <c r="XEE35" s="2"/>
      <c r="XEF35" s="2"/>
      <c r="XEG35" s="2"/>
      <c r="XEH35" s="2"/>
      <c r="XEI35" s="2"/>
      <c r="XEJ35" s="2"/>
      <c r="XEK35" s="2"/>
      <c r="XEL35" s="2"/>
      <c r="XEM35" s="2"/>
      <c r="XEN35" s="2"/>
      <c r="XEO35" s="2"/>
      <c r="XEP35" s="2"/>
      <c r="XEQ35" s="2"/>
      <c r="XER35" s="2"/>
      <c r="XES35" s="2"/>
      <c r="XET35" s="2"/>
      <c r="XEU35" s="2"/>
      <c r="XEV35" s="2"/>
      <c r="XEW35" s="2"/>
      <c r="XEX35" s="2"/>
      <c r="XEY35" s="2"/>
      <c r="XEZ35" s="2"/>
      <c r="XFA35" s="2"/>
    </row>
    <row r="36" s="78" customFormat="1" ht="24" customHeight="1" spans="1:16381">
      <c r="A36" s="2"/>
      <c r="B36" s="2"/>
      <c r="C36" s="86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  <c r="ALM36" s="2"/>
      <c r="ALN36" s="2"/>
      <c r="ALO36" s="2"/>
      <c r="ALP36" s="2"/>
      <c r="ALQ36" s="2"/>
      <c r="ALR36" s="2"/>
      <c r="ALS36" s="2"/>
      <c r="ALT36" s="2"/>
      <c r="ALU36" s="2"/>
      <c r="ALV36" s="2"/>
      <c r="ALW36" s="2"/>
      <c r="ALX36" s="2"/>
      <c r="ALY36" s="2"/>
      <c r="ALZ36" s="2"/>
      <c r="AMA36" s="2"/>
      <c r="AMB36" s="2"/>
      <c r="AMC36" s="2"/>
      <c r="AMD36" s="2"/>
      <c r="AME36" s="2"/>
      <c r="AMF36" s="2"/>
      <c r="AMG36" s="2"/>
      <c r="AMH36" s="2"/>
      <c r="AMI36" s="2"/>
      <c r="AMJ36" s="2"/>
      <c r="AMK36" s="2"/>
      <c r="AML36" s="2"/>
      <c r="AMM36" s="2"/>
      <c r="AMN36" s="2"/>
      <c r="AMO36" s="2"/>
      <c r="AMP36" s="2"/>
      <c r="AMQ36" s="2"/>
      <c r="AMR36" s="2"/>
      <c r="AMS36" s="2"/>
      <c r="AMT36" s="2"/>
      <c r="AMU36" s="2"/>
      <c r="AMV36" s="2"/>
      <c r="AMW36" s="2"/>
      <c r="AMX36" s="2"/>
      <c r="AMY36" s="2"/>
      <c r="AMZ36" s="2"/>
      <c r="ANA36" s="2"/>
      <c r="ANB36" s="2"/>
      <c r="ANC36" s="2"/>
      <c r="AND36" s="2"/>
      <c r="ANE36" s="2"/>
      <c r="ANF36" s="2"/>
      <c r="ANG36" s="2"/>
      <c r="ANH36" s="2"/>
      <c r="ANI36" s="2"/>
      <c r="ANJ36" s="2"/>
      <c r="ANK36" s="2"/>
      <c r="ANL36" s="2"/>
      <c r="ANM36" s="2"/>
      <c r="ANN36" s="2"/>
      <c r="ANO36" s="2"/>
      <c r="ANP36" s="2"/>
      <c r="ANQ36" s="2"/>
      <c r="ANR36" s="2"/>
      <c r="ANS36" s="2"/>
      <c r="ANT36" s="2"/>
      <c r="ANU36" s="2"/>
      <c r="ANV36" s="2"/>
      <c r="ANW36" s="2"/>
      <c r="ANX36" s="2"/>
      <c r="ANY36" s="2"/>
      <c r="ANZ36" s="2"/>
      <c r="AOA36" s="2"/>
      <c r="AOB36" s="2"/>
      <c r="AOC36" s="2"/>
      <c r="AOD36" s="2"/>
      <c r="AOE36" s="2"/>
      <c r="AOF36" s="2"/>
      <c r="AOG36" s="2"/>
      <c r="AOH36" s="2"/>
      <c r="AOI36" s="2"/>
      <c r="AOJ36" s="2"/>
      <c r="AOK36" s="2"/>
      <c r="AOL36" s="2"/>
      <c r="AOM36" s="2"/>
      <c r="AON36" s="2"/>
      <c r="AOO36" s="2"/>
      <c r="AOP36" s="2"/>
      <c r="AOQ36" s="2"/>
      <c r="AOR36" s="2"/>
      <c r="AOS36" s="2"/>
      <c r="AOT36" s="2"/>
      <c r="AOU36" s="2"/>
      <c r="AOV36" s="2"/>
      <c r="AOW36" s="2"/>
      <c r="AOX36" s="2"/>
      <c r="AOY36" s="2"/>
      <c r="AOZ36" s="2"/>
      <c r="APA36" s="2"/>
      <c r="APB36" s="2"/>
      <c r="APC36" s="2"/>
      <c r="APD36" s="2"/>
      <c r="APE36" s="2"/>
      <c r="APF36" s="2"/>
      <c r="APG36" s="2"/>
      <c r="APH36" s="2"/>
      <c r="API36" s="2"/>
      <c r="APJ36" s="2"/>
      <c r="APK36" s="2"/>
      <c r="APL36" s="2"/>
      <c r="APM36" s="2"/>
      <c r="APN36" s="2"/>
      <c r="APO36" s="2"/>
      <c r="APP36" s="2"/>
      <c r="APQ36" s="2"/>
      <c r="APR36" s="2"/>
      <c r="APS36" s="2"/>
      <c r="APT36" s="2"/>
      <c r="APU36" s="2"/>
      <c r="APV36" s="2"/>
      <c r="APW36" s="2"/>
      <c r="APX36" s="2"/>
      <c r="APY36" s="2"/>
      <c r="APZ36" s="2"/>
      <c r="AQA36" s="2"/>
      <c r="AQB36" s="2"/>
      <c r="AQC36" s="2"/>
      <c r="AQD36" s="2"/>
      <c r="AQE36" s="2"/>
      <c r="AQF36" s="2"/>
      <c r="AQG36" s="2"/>
      <c r="AQH36" s="2"/>
      <c r="AQI36" s="2"/>
      <c r="AQJ36" s="2"/>
      <c r="AQK36" s="2"/>
      <c r="AQL36" s="2"/>
      <c r="AQM36" s="2"/>
      <c r="AQN36" s="2"/>
      <c r="AQO36" s="2"/>
      <c r="AQP36" s="2"/>
      <c r="AQQ36" s="2"/>
      <c r="AQR36" s="2"/>
      <c r="AQS36" s="2"/>
      <c r="AQT36" s="2"/>
      <c r="AQU36" s="2"/>
      <c r="AQV36" s="2"/>
      <c r="AQW36" s="2"/>
      <c r="AQX36" s="2"/>
      <c r="AQY36" s="2"/>
      <c r="AQZ36" s="2"/>
      <c r="ARA36" s="2"/>
      <c r="ARB36" s="2"/>
      <c r="ARC36" s="2"/>
      <c r="ARD36" s="2"/>
      <c r="ARE36" s="2"/>
      <c r="ARF36" s="2"/>
      <c r="ARG36" s="2"/>
      <c r="ARH36" s="2"/>
      <c r="ARI36" s="2"/>
      <c r="ARJ36" s="2"/>
      <c r="ARK36" s="2"/>
      <c r="ARL36" s="2"/>
      <c r="ARM36" s="2"/>
      <c r="ARN36" s="2"/>
      <c r="ARO36" s="2"/>
      <c r="ARP36" s="2"/>
      <c r="ARQ36" s="2"/>
      <c r="ARR36" s="2"/>
      <c r="ARS36" s="2"/>
      <c r="ART36" s="2"/>
      <c r="ARU36" s="2"/>
      <c r="ARV36" s="2"/>
      <c r="ARW36" s="2"/>
      <c r="ARX36" s="2"/>
      <c r="ARY36" s="2"/>
      <c r="ARZ36" s="2"/>
      <c r="ASA36" s="2"/>
      <c r="ASB36" s="2"/>
      <c r="ASC36" s="2"/>
      <c r="ASD36" s="2"/>
      <c r="ASE36" s="2"/>
      <c r="ASF36" s="2"/>
      <c r="ASG36" s="2"/>
      <c r="ASH36" s="2"/>
      <c r="ASI36" s="2"/>
      <c r="ASJ36" s="2"/>
      <c r="ASK36" s="2"/>
      <c r="ASL36" s="2"/>
      <c r="ASM36" s="2"/>
      <c r="ASN36" s="2"/>
      <c r="ASO36" s="2"/>
      <c r="ASP36" s="2"/>
      <c r="ASQ36" s="2"/>
      <c r="ASR36" s="2"/>
      <c r="ASS36" s="2"/>
      <c r="AST36" s="2"/>
      <c r="ASU36" s="2"/>
      <c r="ASV36" s="2"/>
      <c r="ASW36" s="2"/>
      <c r="ASX36" s="2"/>
      <c r="ASY36" s="2"/>
      <c r="ASZ36" s="2"/>
      <c r="ATA36" s="2"/>
      <c r="ATB36" s="2"/>
      <c r="ATC36" s="2"/>
      <c r="ATD36" s="2"/>
      <c r="ATE36" s="2"/>
      <c r="ATF36" s="2"/>
      <c r="ATG36" s="2"/>
      <c r="ATH36" s="2"/>
      <c r="ATI36" s="2"/>
      <c r="ATJ36" s="2"/>
      <c r="ATK36" s="2"/>
      <c r="ATL36" s="2"/>
      <c r="ATM36" s="2"/>
      <c r="ATN36" s="2"/>
      <c r="ATO36" s="2"/>
      <c r="ATP36" s="2"/>
      <c r="ATQ36" s="2"/>
      <c r="ATR36" s="2"/>
      <c r="ATS36" s="2"/>
      <c r="ATT36" s="2"/>
      <c r="ATU36" s="2"/>
      <c r="ATV36" s="2"/>
      <c r="ATW36" s="2"/>
      <c r="ATX36" s="2"/>
      <c r="ATY36" s="2"/>
      <c r="ATZ36" s="2"/>
      <c r="AUA36" s="2"/>
      <c r="AUB36" s="2"/>
      <c r="AUC36" s="2"/>
      <c r="AUD36" s="2"/>
      <c r="AUE36" s="2"/>
      <c r="AUF36" s="2"/>
      <c r="AUG36" s="2"/>
      <c r="AUH36" s="2"/>
      <c r="AUI36" s="2"/>
      <c r="AUJ36" s="2"/>
      <c r="AUK36" s="2"/>
      <c r="AUL36" s="2"/>
      <c r="AUM36" s="2"/>
      <c r="AUN36" s="2"/>
      <c r="AUO36" s="2"/>
      <c r="AUP36" s="2"/>
      <c r="AUQ36" s="2"/>
      <c r="AUR36" s="2"/>
      <c r="AUS36" s="2"/>
      <c r="AUT36" s="2"/>
      <c r="AUU36" s="2"/>
      <c r="AUV36" s="2"/>
      <c r="AUW36" s="2"/>
      <c r="AUX36" s="2"/>
      <c r="AUY36" s="2"/>
      <c r="AUZ36" s="2"/>
      <c r="AVA36" s="2"/>
      <c r="AVB36" s="2"/>
      <c r="AVC36" s="2"/>
      <c r="AVD36" s="2"/>
      <c r="AVE36" s="2"/>
      <c r="AVF36" s="2"/>
      <c r="AVG36" s="2"/>
      <c r="AVH36" s="2"/>
      <c r="AVI36" s="2"/>
      <c r="AVJ36" s="2"/>
      <c r="AVK36" s="2"/>
      <c r="AVL36" s="2"/>
      <c r="AVM36" s="2"/>
      <c r="AVN36" s="2"/>
      <c r="AVO36" s="2"/>
      <c r="AVP36" s="2"/>
      <c r="AVQ36" s="2"/>
      <c r="AVR36" s="2"/>
      <c r="AVS36" s="2"/>
      <c r="AVT36" s="2"/>
      <c r="AVU36" s="2"/>
      <c r="AVV36" s="2"/>
      <c r="AVW36" s="2"/>
      <c r="AVX36" s="2"/>
      <c r="AVY36" s="2"/>
      <c r="AVZ36" s="2"/>
      <c r="AWA36" s="2"/>
      <c r="AWB36" s="2"/>
      <c r="AWC36" s="2"/>
      <c r="AWD36" s="2"/>
      <c r="AWE36" s="2"/>
      <c r="AWF36" s="2"/>
      <c r="AWG36" s="2"/>
      <c r="AWH36" s="2"/>
      <c r="AWI36" s="2"/>
      <c r="AWJ36" s="2"/>
      <c r="AWK36" s="2"/>
      <c r="AWL36" s="2"/>
      <c r="AWM36" s="2"/>
      <c r="AWN36" s="2"/>
      <c r="AWO36" s="2"/>
      <c r="AWP36" s="2"/>
      <c r="AWQ36" s="2"/>
      <c r="AWR36" s="2"/>
      <c r="AWS36" s="2"/>
      <c r="AWT36" s="2"/>
      <c r="AWU36" s="2"/>
      <c r="AWV36" s="2"/>
      <c r="AWW36" s="2"/>
      <c r="AWX36" s="2"/>
      <c r="AWY36" s="2"/>
      <c r="AWZ36" s="2"/>
      <c r="AXA36" s="2"/>
      <c r="AXB36" s="2"/>
      <c r="AXC36" s="2"/>
      <c r="AXD36" s="2"/>
      <c r="AXE36" s="2"/>
      <c r="AXF36" s="2"/>
      <c r="AXG36" s="2"/>
      <c r="AXH36" s="2"/>
      <c r="AXI36" s="2"/>
      <c r="AXJ36" s="2"/>
      <c r="AXK36" s="2"/>
      <c r="AXL36" s="2"/>
      <c r="AXM36" s="2"/>
      <c r="AXN36" s="2"/>
      <c r="AXO36" s="2"/>
      <c r="AXP36" s="2"/>
      <c r="AXQ36" s="2"/>
      <c r="AXR36" s="2"/>
      <c r="AXS36" s="2"/>
      <c r="AXT36" s="2"/>
      <c r="AXU36" s="2"/>
      <c r="AXV36" s="2"/>
      <c r="AXW36" s="2"/>
      <c r="AXX36" s="2"/>
      <c r="AXY36" s="2"/>
      <c r="AXZ36" s="2"/>
      <c r="AYA36" s="2"/>
      <c r="AYB36" s="2"/>
      <c r="AYC36" s="2"/>
      <c r="AYD36" s="2"/>
      <c r="AYE36" s="2"/>
      <c r="AYF36" s="2"/>
      <c r="AYG36" s="2"/>
      <c r="AYH36" s="2"/>
      <c r="AYI36" s="2"/>
      <c r="AYJ36" s="2"/>
      <c r="AYK36" s="2"/>
      <c r="AYL36" s="2"/>
      <c r="AYM36" s="2"/>
      <c r="AYN36" s="2"/>
      <c r="AYO36" s="2"/>
      <c r="AYP36" s="2"/>
      <c r="AYQ36" s="2"/>
      <c r="AYR36" s="2"/>
      <c r="AYS36" s="2"/>
      <c r="AYT36" s="2"/>
      <c r="AYU36" s="2"/>
      <c r="AYV36" s="2"/>
      <c r="AYW36" s="2"/>
      <c r="AYX36" s="2"/>
      <c r="AYY36" s="2"/>
      <c r="AYZ36" s="2"/>
      <c r="AZA36" s="2"/>
      <c r="AZB36" s="2"/>
      <c r="AZC36" s="2"/>
      <c r="AZD36" s="2"/>
      <c r="AZE36" s="2"/>
      <c r="AZF36" s="2"/>
      <c r="AZG36" s="2"/>
      <c r="AZH36" s="2"/>
      <c r="AZI36" s="2"/>
      <c r="AZJ36" s="2"/>
      <c r="AZK36" s="2"/>
      <c r="AZL36" s="2"/>
      <c r="AZM36" s="2"/>
      <c r="AZN36" s="2"/>
      <c r="AZO36" s="2"/>
      <c r="AZP36" s="2"/>
      <c r="AZQ36" s="2"/>
      <c r="AZR36" s="2"/>
      <c r="AZS36" s="2"/>
      <c r="AZT36" s="2"/>
      <c r="AZU36" s="2"/>
      <c r="AZV36" s="2"/>
      <c r="AZW36" s="2"/>
      <c r="AZX36" s="2"/>
      <c r="AZY36" s="2"/>
      <c r="AZZ36" s="2"/>
      <c r="BAA36" s="2"/>
      <c r="BAB36" s="2"/>
      <c r="BAC36" s="2"/>
      <c r="BAD36" s="2"/>
      <c r="BAE36" s="2"/>
      <c r="BAF36" s="2"/>
      <c r="BAG36" s="2"/>
      <c r="BAH36" s="2"/>
      <c r="BAI36" s="2"/>
      <c r="BAJ36" s="2"/>
      <c r="BAK36" s="2"/>
      <c r="BAL36" s="2"/>
      <c r="BAM36" s="2"/>
      <c r="BAN36" s="2"/>
      <c r="BAO36" s="2"/>
      <c r="BAP36" s="2"/>
      <c r="BAQ36" s="2"/>
      <c r="BAR36" s="2"/>
      <c r="BAS36" s="2"/>
      <c r="BAT36" s="2"/>
      <c r="BAU36" s="2"/>
      <c r="BAV36" s="2"/>
      <c r="BAW36" s="2"/>
      <c r="BAX36" s="2"/>
      <c r="BAY36" s="2"/>
      <c r="BAZ36" s="2"/>
      <c r="BBA36" s="2"/>
      <c r="BBB36" s="2"/>
      <c r="BBC36" s="2"/>
      <c r="BBD36" s="2"/>
      <c r="BBE36" s="2"/>
      <c r="BBF36" s="2"/>
      <c r="BBG36" s="2"/>
      <c r="BBH36" s="2"/>
      <c r="BBI36" s="2"/>
      <c r="BBJ36" s="2"/>
      <c r="BBK36" s="2"/>
      <c r="BBL36" s="2"/>
      <c r="BBM36" s="2"/>
      <c r="BBN36" s="2"/>
      <c r="BBO36" s="2"/>
      <c r="BBP36" s="2"/>
      <c r="BBQ36" s="2"/>
      <c r="BBR36" s="2"/>
      <c r="BBS36" s="2"/>
      <c r="BBT36" s="2"/>
      <c r="BBU36" s="2"/>
      <c r="BBV36" s="2"/>
      <c r="BBW36" s="2"/>
      <c r="BBX36" s="2"/>
      <c r="BBY36" s="2"/>
      <c r="BBZ36" s="2"/>
      <c r="BCA36" s="2"/>
      <c r="BCB36" s="2"/>
      <c r="BCC36" s="2"/>
      <c r="BCD36" s="2"/>
      <c r="BCE36" s="2"/>
      <c r="BCF36" s="2"/>
      <c r="BCG36" s="2"/>
      <c r="BCH36" s="2"/>
      <c r="BCI36" s="2"/>
      <c r="BCJ36" s="2"/>
      <c r="BCK36" s="2"/>
      <c r="BCL36" s="2"/>
      <c r="BCM36" s="2"/>
      <c r="BCN36" s="2"/>
      <c r="BCO36" s="2"/>
      <c r="BCP36" s="2"/>
      <c r="BCQ36" s="2"/>
      <c r="BCR36" s="2"/>
      <c r="BCS36" s="2"/>
      <c r="BCT36" s="2"/>
      <c r="BCU36" s="2"/>
      <c r="BCV36" s="2"/>
      <c r="BCW36" s="2"/>
      <c r="BCX36" s="2"/>
      <c r="BCY36" s="2"/>
      <c r="BCZ36" s="2"/>
      <c r="BDA36" s="2"/>
      <c r="BDB36" s="2"/>
      <c r="BDC36" s="2"/>
      <c r="BDD36" s="2"/>
      <c r="BDE36" s="2"/>
      <c r="BDF36" s="2"/>
      <c r="BDG36" s="2"/>
      <c r="BDH36" s="2"/>
      <c r="BDI36" s="2"/>
      <c r="BDJ36" s="2"/>
      <c r="BDK36" s="2"/>
      <c r="BDL36" s="2"/>
      <c r="BDM36" s="2"/>
      <c r="BDN36" s="2"/>
      <c r="BDO36" s="2"/>
      <c r="BDP36" s="2"/>
      <c r="BDQ36" s="2"/>
      <c r="BDR36" s="2"/>
      <c r="BDS36" s="2"/>
      <c r="BDT36" s="2"/>
      <c r="BDU36" s="2"/>
      <c r="BDV36" s="2"/>
      <c r="BDW36" s="2"/>
      <c r="BDX36" s="2"/>
      <c r="BDY36" s="2"/>
      <c r="BDZ36" s="2"/>
      <c r="BEA36" s="2"/>
      <c r="BEB36" s="2"/>
      <c r="BEC36" s="2"/>
      <c r="BED36" s="2"/>
      <c r="BEE36" s="2"/>
      <c r="BEF36" s="2"/>
      <c r="BEG36" s="2"/>
      <c r="BEH36" s="2"/>
      <c r="BEI36" s="2"/>
      <c r="BEJ36" s="2"/>
      <c r="BEK36" s="2"/>
      <c r="BEL36" s="2"/>
      <c r="BEM36" s="2"/>
      <c r="BEN36" s="2"/>
      <c r="BEO36" s="2"/>
      <c r="BEP36" s="2"/>
      <c r="BEQ36" s="2"/>
      <c r="BER36" s="2"/>
      <c r="BES36" s="2"/>
      <c r="BET36" s="2"/>
      <c r="BEU36" s="2"/>
      <c r="BEV36" s="2"/>
      <c r="BEW36" s="2"/>
      <c r="BEX36" s="2"/>
      <c r="BEY36" s="2"/>
      <c r="BEZ36" s="2"/>
      <c r="BFA36" s="2"/>
      <c r="BFB36" s="2"/>
      <c r="BFC36" s="2"/>
      <c r="BFD36" s="2"/>
      <c r="BFE36" s="2"/>
      <c r="BFF36" s="2"/>
      <c r="BFG36" s="2"/>
      <c r="BFH36" s="2"/>
      <c r="BFI36" s="2"/>
      <c r="BFJ36" s="2"/>
      <c r="BFK36" s="2"/>
      <c r="BFL36" s="2"/>
      <c r="BFM36" s="2"/>
      <c r="BFN36" s="2"/>
      <c r="BFO36" s="2"/>
      <c r="BFP36" s="2"/>
      <c r="BFQ36" s="2"/>
      <c r="BFR36" s="2"/>
      <c r="BFS36" s="2"/>
      <c r="BFT36" s="2"/>
      <c r="BFU36" s="2"/>
      <c r="BFV36" s="2"/>
      <c r="BFW36" s="2"/>
      <c r="BFX36" s="2"/>
      <c r="BFY36" s="2"/>
      <c r="BFZ36" s="2"/>
      <c r="BGA36" s="2"/>
      <c r="BGB36" s="2"/>
      <c r="BGC36" s="2"/>
      <c r="BGD36" s="2"/>
      <c r="BGE36" s="2"/>
      <c r="BGF36" s="2"/>
      <c r="BGG36" s="2"/>
      <c r="BGH36" s="2"/>
      <c r="BGI36" s="2"/>
      <c r="BGJ36" s="2"/>
      <c r="BGK36" s="2"/>
      <c r="BGL36" s="2"/>
      <c r="BGM36" s="2"/>
      <c r="BGN36" s="2"/>
      <c r="BGO36" s="2"/>
      <c r="BGP36" s="2"/>
      <c r="BGQ36" s="2"/>
      <c r="BGR36" s="2"/>
      <c r="BGS36" s="2"/>
      <c r="BGT36" s="2"/>
      <c r="BGU36" s="2"/>
      <c r="BGV36" s="2"/>
      <c r="BGW36" s="2"/>
      <c r="BGX36" s="2"/>
      <c r="BGY36" s="2"/>
      <c r="BGZ36" s="2"/>
      <c r="BHA36" s="2"/>
      <c r="BHB36" s="2"/>
      <c r="BHC36" s="2"/>
      <c r="BHD36" s="2"/>
      <c r="BHE36" s="2"/>
      <c r="BHF36" s="2"/>
      <c r="BHG36" s="2"/>
      <c r="BHH36" s="2"/>
      <c r="BHI36" s="2"/>
      <c r="BHJ36" s="2"/>
      <c r="BHK36" s="2"/>
      <c r="BHL36" s="2"/>
      <c r="BHM36" s="2"/>
      <c r="BHN36" s="2"/>
      <c r="BHO36" s="2"/>
      <c r="BHP36" s="2"/>
      <c r="BHQ36" s="2"/>
      <c r="BHR36" s="2"/>
      <c r="BHS36" s="2"/>
      <c r="BHT36" s="2"/>
      <c r="BHU36" s="2"/>
      <c r="BHV36" s="2"/>
      <c r="BHW36" s="2"/>
      <c r="BHX36" s="2"/>
      <c r="BHY36" s="2"/>
      <c r="BHZ36" s="2"/>
      <c r="BIA36" s="2"/>
      <c r="BIB36" s="2"/>
      <c r="BIC36" s="2"/>
      <c r="BID36" s="2"/>
      <c r="BIE36" s="2"/>
      <c r="BIF36" s="2"/>
      <c r="BIG36" s="2"/>
      <c r="BIH36" s="2"/>
      <c r="BII36" s="2"/>
      <c r="BIJ36" s="2"/>
      <c r="BIK36" s="2"/>
      <c r="BIL36" s="2"/>
      <c r="BIM36" s="2"/>
      <c r="BIN36" s="2"/>
      <c r="BIO36" s="2"/>
      <c r="BIP36" s="2"/>
      <c r="BIQ36" s="2"/>
      <c r="BIR36" s="2"/>
      <c r="BIS36" s="2"/>
      <c r="BIT36" s="2"/>
      <c r="BIU36" s="2"/>
      <c r="BIV36" s="2"/>
      <c r="BIW36" s="2"/>
      <c r="BIX36" s="2"/>
      <c r="BIY36" s="2"/>
      <c r="BIZ36" s="2"/>
      <c r="BJA36" s="2"/>
      <c r="BJB36" s="2"/>
      <c r="BJC36" s="2"/>
      <c r="BJD36" s="2"/>
      <c r="BJE36" s="2"/>
      <c r="BJF36" s="2"/>
      <c r="BJG36" s="2"/>
      <c r="BJH36" s="2"/>
      <c r="BJI36" s="2"/>
      <c r="BJJ36" s="2"/>
      <c r="BJK36" s="2"/>
      <c r="BJL36" s="2"/>
      <c r="BJM36" s="2"/>
      <c r="BJN36" s="2"/>
      <c r="BJO36" s="2"/>
      <c r="BJP36" s="2"/>
      <c r="BJQ36" s="2"/>
      <c r="BJR36" s="2"/>
      <c r="BJS36" s="2"/>
      <c r="BJT36" s="2"/>
      <c r="BJU36" s="2"/>
      <c r="BJV36" s="2"/>
      <c r="BJW36" s="2"/>
      <c r="BJX36" s="2"/>
      <c r="BJY36" s="2"/>
      <c r="BJZ36" s="2"/>
      <c r="BKA36" s="2"/>
      <c r="BKB36" s="2"/>
      <c r="BKC36" s="2"/>
      <c r="BKD36" s="2"/>
      <c r="BKE36" s="2"/>
      <c r="BKF36" s="2"/>
      <c r="BKG36" s="2"/>
      <c r="BKH36" s="2"/>
      <c r="BKI36" s="2"/>
      <c r="BKJ36" s="2"/>
      <c r="BKK36" s="2"/>
      <c r="BKL36" s="2"/>
      <c r="BKM36" s="2"/>
      <c r="BKN36" s="2"/>
      <c r="BKO36" s="2"/>
      <c r="BKP36" s="2"/>
      <c r="BKQ36" s="2"/>
      <c r="BKR36" s="2"/>
      <c r="BKS36" s="2"/>
      <c r="BKT36" s="2"/>
      <c r="BKU36" s="2"/>
      <c r="BKV36" s="2"/>
      <c r="BKW36" s="2"/>
      <c r="BKX36" s="2"/>
      <c r="BKY36" s="2"/>
      <c r="BKZ36" s="2"/>
      <c r="BLA36" s="2"/>
      <c r="BLB36" s="2"/>
      <c r="BLC36" s="2"/>
      <c r="BLD36" s="2"/>
      <c r="BLE36" s="2"/>
      <c r="BLF36" s="2"/>
      <c r="BLG36" s="2"/>
      <c r="BLH36" s="2"/>
      <c r="BLI36" s="2"/>
      <c r="BLJ36" s="2"/>
      <c r="BLK36" s="2"/>
      <c r="BLL36" s="2"/>
      <c r="BLM36" s="2"/>
      <c r="BLN36" s="2"/>
      <c r="BLO36" s="2"/>
      <c r="BLP36" s="2"/>
      <c r="BLQ36" s="2"/>
      <c r="BLR36" s="2"/>
      <c r="BLS36" s="2"/>
      <c r="BLT36" s="2"/>
      <c r="BLU36" s="2"/>
      <c r="BLV36" s="2"/>
      <c r="BLW36" s="2"/>
      <c r="BLX36" s="2"/>
      <c r="BLY36" s="2"/>
      <c r="BLZ36" s="2"/>
      <c r="BMA36" s="2"/>
      <c r="BMB36" s="2"/>
      <c r="BMC36" s="2"/>
      <c r="BMD36" s="2"/>
      <c r="BME36" s="2"/>
      <c r="BMF36" s="2"/>
      <c r="BMG36" s="2"/>
      <c r="BMH36" s="2"/>
      <c r="BMI36" s="2"/>
      <c r="BMJ36" s="2"/>
      <c r="BMK36" s="2"/>
      <c r="BML36" s="2"/>
      <c r="BMM36" s="2"/>
      <c r="BMN36" s="2"/>
      <c r="BMO36" s="2"/>
      <c r="BMP36" s="2"/>
      <c r="BMQ36" s="2"/>
      <c r="BMR36" s="2"/>
      <c r="BMS36" s="2"/>
      <c r="BMT36" s="2"/>
      <c r="BMU36" s="2"/>
      <c r="BMV36" s="2"/>
      <c r="BMW36" s="2"/>
      <c r="BMX36" s="2"/>
      <c r="BMY36" s="2"/>
      <c r="BMZ36" s="2"/>
      <c r="BNA36" s="2"/>
      <c r="BNB36" s="2"/>
      <c r="BNC36" s="2"/>
      <c r="BND36" s="2"/>
      <c r="BNE36" s="2"/>
      <c r="BNF36" s="2"/>
      <c r="BNG36" s="2"/>
      <c r="BNH36" s="2"/>
      <c r="BNI36" s="2"/>
      <c r="BNJ36" s="2"/>
      <c r="BNK36" s="2"/>
      <c r="BNL36" s="2"/>
      <c r="BNM36" s="2"/>
      <c r="BNN36" s="2"/>
      <c r="BNO36" s="2"/>
      <c r="BNP36" s="2"/>
      <c r="BNQ36" s="2"/>
      <c r="BNR36" s="2"/>
      <c r="BNS36" s="2"/>
      <c r="BNT36" s="2"/>
      <c r="BNU36" s="2"/>
      <c r="BNV36" s="2"/>
      <c r="BNW36" s="2"/>
      <c r="BNX36" s="2"/>
      <c r="BNY36" s="2"/>
      <c r="BNZ36" s="2"/>
      <c r="BOA36" s="2"/>
      <c r="BOB36" s="2"/>
      <c r="BOC36" s="2"/>
      <c r="BOD36" s="2"/>
      <c r="BOE36" s="2"/>
      <c r="BOF36" s="2"/>
      <c r="BOG36" s="2"/>
      <c r="BOH36" s="2"/>
      <c r="BOI36" s="2"/>
      <c r="BOJ36" s="2"/>
      <c r="BOK36" s="2"/>
      <c r="BOL36" s="2"/>
      <c r="BOM36" s="2"/>
      <c r="BON36" s="2"/>
      <c r="BOO36" s="2"/>
      <c r="BOP36" s="2"/>
      <c r="BOQ36" s="2"/>
      <c r="BOR36" s="2"/>
      <c r="BOS36" s="2"/>
      <c r="BOT36" s="2"/>
      <c r="BOU36" s="2"/>
      <c r="BOV36" s="2"/>
      <c r="BOW36" s="2"/>
      <c r="BOX36" s="2"/>
      <c r="BOY36" s="2"/>
      <c r="BOZ36" s="2"/>
      <c r="BPA36" s="2"/>
      <c r="BPB36" s="2"/>
      <c r="BPC36" s="2"/>
      <c r="BPD36" s="2"/>
      <c r="BPE36" s="2"/>
      <c r="BPF36" s="2"/>
      <c r="BPG36" s="2"/>
      <c r="BPH36" s="2"/>
      <c r="BPI36" s="2"/>
      <c r="BPJ36" s="2"/>
      <c r="BPK36" s="2"/>
      <c r="BPL36" s="2"/>
      <c r="BPM36" s="2"/>
      <c r="BPN36" s="2"/>
      <c r="BPO36" s="2"/>
      <c r="BPP36" s="2"/>
      <c r="BPQ36" s="2"/>
      <c r="BPR36" s="2"/>
      <c r="BPS36" s="2"/>
      <c r="BPT36" s="2"/>
      <c r="BPU36" s="2"/>
      <c r="BPV36" s="2"/>
      <c r="BPW36" s="2"/>
      <c r="BPX36" s="2"/>
      <c r="BPY36" s="2"/>
      <c r="BPZ36" s="2"/>
      <c r="BQA36" s="2"/>
      <c r="BQB36" s="2"/>
      <c r="BQC36" s="2"/>
      <c r="BQD36" s="2"/>
      <c r="BQE36" s="2"/>
      <c r="BQF36" s="2"/>
      <c r="BQG36" s="2"/>
      <c r="BQH36" s="2"/>
      <c r="BQI36" s="2"/>
      <c r="BQJ36" s="2"/>
      <c r="BQK36" s="2"/>
      <c r="BQL36" s="2"/>
      <c r="BQM36" s="2"/>
      <c r="BQN36" s="2"/>
      <c r="BQO36" s="2"/>
      <c r="BQP36" s="2"/>
      <c r="BQQ36" s="2"/>
      <c r="BQR36" s="2"/>
      <c r="BQS36" s="2"/>
      <c r="BQT36" s="2"/>
      <c r="BQU36" s="2"/>
      <c r="BQV36" s="2"/>
      <c r="BQW36" s="2"/>
      <c r="BQX36" s="2"/>
      <c r="BQY36" s="2"/>
      <c r="BQZ36" s="2"/>
      <c r="BRA36" s="2"/>
      <c r="BRB36" s="2"/>
      <c r="BRC36" s="2"/>
      <c r="BRD36" s="2"/>
      <c r="BRE36" s="2"/>
      <c r="BRF36" s="2"/>
      <c r="BRG36" s="2"/>
      <c r="BRH36" s="2"/>
      <c r="BRI36" s="2"/>
      <c r="BRJ36" s="2"/>
      <c r="BRK36" s="2"/>
      <c r="BRL36" s="2"/>
      <c r="BRM36" s="2"/>
      <c r="BRN36" s="2"/>
      <c r="BRO36" s="2"/>
      <c r="BRP36" s="2"/>
      <c r="BRQ36" s="2"/>
      <c r="BRR36" s="2"/>
      <c r="BRS36" s="2"/>
      <c r="BRT36" s="2"/>
      <c r="BRU36" s="2"/>
      <c r="BRV36" s="2"/>
      <c r="BRW36" s="2"/>
      <c r="BRX36" s="2"/>
      <c r="BRY36" s="2"/>
      <c r="BRZ36" s="2"/>
      <c r="BSA36" s="2"/>
      <c r="BSB36" s="2"/>
      <c r="BSC36" s="2"/>
      <c r="BSD36" s="2"/>
      <c r="BSE36" s="2"/>
      <c r="BSF36" s="2"/>
      <c r="BSG36" s="2"/>
      <c r="BSH36" s="2"/>
      <c r="BSI36" s="2"/>
      <c r="BSJ36" s="2"/>
      <c r="BSK36" s="2"/>
      <c r="BSL36" s="2"/>
      <c r="BSM36" s="2"/>
      <c r="BSN36" s="2"/>
      <c r="BSO36" s="2"/>
      <c r="BSP36" s="2"/>
      <c r="BSQ36" s="2"/>
      <c r="BSR36" s="2"/>
      <c r="BSS36" s="2"/>
      <c r="BST36" s="2"/>
      <c r="BSU36" s="2"/>
      <c r="BSV36" s="2"/>
      <c r="BSW36" s="2"/>
      <c r="BSX36" s="2"/>
      <c r="BSY36" s="2"/>
      <c r="BSZ36" s="2"/>
      <c r="BTA36" s="2"/>
      <c r="BTB36" s="2"/>
      <c r="BTC36" s="2"/>
      <c r="BTD36" s="2"/>
      <c r="BTE36" s="2"/>
      <c r="BTF36" s="2"/>
      <c r="BTG36" s="2"/>
      <c r="BTH36" s="2"/>
      <c r="BTI36" s="2"/>
      <c r="BTJ36" s="2"/>
      <c r="BTK36" s="2"/>
      <c r="BTL36" s="2"/>
      <c r="BTM36" s="2"/>
      <c r="BTN36" s="2"/>
      <c r="BTO36" s="2"/>
      <c r="BTP36" s="2"/>
      <c r="BTQ36" s="2"/>
      <c r="BTR36" s="2"/>
      <c r="BTS36" s="2"/>
      <c r="BTT36" s="2"/>
      <c r="BTU36" s="2"/>
      <c r="BTV36" s="2"/>
      <c r="BTW36" s="2"/>
      <c r="BTX36" s="2"/>
      <c r="BTY36" s="2"/>
      <c r="BTZ36" s="2"/>
      <c r="BUA36" s="2"/>
      <c r="BUB36" s="2"/>
      <c r="BUC36" s="2"/>
      <c r="BUD36" s="2"/>
      <c r="BUE36" s="2"/>
      <c r="BUF36" s="2"/>
      <c r="BUG36" s="2"/>
      <c r="BUH36" s="2"/>
      <c r="BUI36" s="2"/>
      <c r="BUJ36" s="2"/>
      <c r="BUK36" s="2"/>
      <c r="BUL36" s="2"/>
      <c r="BUM36" s="2"/>
      <c r="BUN36" s="2"/>
      <c r="BUO36" s="2"/>
      <c r="BUP36" s="2"/>
      <c r="BUQ36" s="2"/>
      <c r="BUR36" s="2"/>
      <c r="BUS36" s="2"/>
      <c r="BUT36" s="2"/>
      <c r="BUU36" s="2"/>
      <c r="BUV36" s="2"/>
      <c r="BUW36" s="2"/>
      <c r="BUX36" s="2"/>
      <c r="BUY36" s="2"/>
      <c r="BUZ36" s="2"/>
      <c r="BVA36" s="2"/>
      <c r="BVB36" s="2"/>
      <c r="BVC36" s="2"/>
      <c r="BVD36" s="2"/>
      <c r="BVE36" s="2"/>
      <c r="BVF36" s="2"/>
      <c r="BVG36" s="2"/>
      <c r="BVH36" s="2"/>
      <c r="BVI36" s="2"/>
      <c r="BVJ36" s="2"/>
      <c r="BVK36" s="2"/>
      <c r="BVL36" s="2"/>
      <c r="BVM36" s="2"/>
      <c r="BVN36" s="2"/>
      <c r="BVO36" s="2"/>
      <c r="BVP36" s="2"/>
      <c r="BVQ36" s="2"/>
      <c r="BVR36" s="2"/>
      <c r="BVS36" s="2"/>
      <c r="BVT36" s="2"/>
      <c r="BVU36" s="2"/>
      <c r="BVV36" s="2"/>
      <c r="BVW36" s="2"/>
      <c r="BVX36" s="2"/>
      <c r="BVY36" s="2"/>
      <c r="BVZ36" s="2"/>
      <c r="BWA36" s="2"/>
      <c r="BWB36" s="2"/>
      <c r="BWC36" s="2"/>
      <c r="BWD36" s="2"/>
      <c r="BWE36" s="2"/>
      <c r="BWF36" s="2"/>
      <c r="BWG36" s="2"/>
      <c r="BWH36" s="2"/>
      <c r="BWI36" s="2"/>
      <c r="BWJ36" s="2"/>
      <c r="BWK36" s="2"/>
      <c r="BWL36" s="2"/>
      <c r="BWM36" s="2"/>
      <c r="BWN36" s="2"/>
      <c r="BWO36" s="2"/>
      <c r="BWP36" s="2"/>
      <c r="BWQ36" s="2"/>
      <c r="BWR36" s="2"/>
      <c r="BWS36" s="2"/>
      <c r="BWT36" s="2"/>
      <c r="BWU36" s="2"/>
      <c r="BWV36" s="2"/>
      <c r="BWW36" s="2"/>
      <c r="BWX36" s="2"/>
      <c r="BWY36" s="2"/>
      <c r="BWZ36" s="2"/>
      <c r="BXA36" s="2"/>
      <c r="BXB36" s="2"/>
      <c r="BXC36" s="2"/>
      <c r="BXD36" s="2"/>
      <c r="BXE36" s="2"/>
      <c r="BXF36" s="2"/>
      <c r="BXG36" s="2"/>
      <c r="BXH36" s="2"/>
      <c r="BXI36" s="2"/>
      <c r="BXJ36" s="2"/>
      <c r="BXK36" s="2"/>
      <c r="BXL36" s="2"/>
      <c r="BXM36" s="2"/>
      <c r="BXN36" s="2"/>
      <c r="BXO36" s="2"/>
      <c r="BXP36" s="2"/>
      <c r="BXQ36" s="2"/>
      <c r="BXR36" s="2"/>
      <c r="BXS36" s="2"/>
      <c r="BXT36" s="2"/>
      <c r="BXU36" s="2"/>
      <c r="BXV36" s="2"/>
      <c r="BXW36" s="2"/>
      <c r="BXX36" s="2"/>
      <c r="BXY36" s="2"/>
      <c r="BXZ36" s="2"/>
      <c r="BYA36" s="2"/>
      <c r="BYB36" s="2"/>
      <c r="BYC36" s="2"/>
      <c r="BYD36" s="2"/>
      <c r="BYE36" s="2"/>
      <c r="BYF36" s="2"/>
      <c r="BYG36" s="2"/>
      <c r="BYH36" s="2"/>
      <c r="BYI36" s="2"/>
      <c r="BYJ36" s="2"/>
      <c r="BYK36" s="2"/>
      <c r="BYL36" s="2"/>
      <c r="BYM36" s="2"/>
      <c r="BYN36" s="2"/>
      <c r="BYO36" s="2"/>
      <c r="BYP36" s="2"/>
      <c r="BYQ36" s="2"/>
      <c r="BYR36" s="2"/>
      <c r="BYS36" s="2"/>
      <c r="BYT36" s="2"/>
      <c r="BYU36" s="2"/>
      <c r="BYV36" s="2"/>
      <c r="BYW36" s="2"/>
      <c r="BYX36" s="2"/>
      <c r="BYY36" s="2"/>
      <c r="BYZ36" s="2"/>
      <c r="BZA36" s="2"/>
      <c r="BZB36" s="2"/>
      <c r="BZC36" s="2"/>
      <c r="BZD36" s="2"/>
      <c r="BZE36" s="2"/>
      <c r="BZF36" s="2"/>
      <c r="BZG36" s="2"/>
      <c r="BZH36" s="2"/>
      <c r="BZI36" s="2"/>
      <c r="BZJ36" s="2"/>
      <c r="BZK36" s="2"/>
      <c r="BZL36" s="2"/>
      <c r="BZM36" s="2"/>
      <c r="BZN36" s="2"/>
      <c r="BZO36" s="2"/>
      <c r="BZP36" s="2"/>
      <c r="BZQ36" s="2"/>
      <c r="BZR36" s="2"/>
      <c r="BZS36" s="2"/>
      <c r="BZT36" s="2"/>
      <c r="BZU36" s="2"/>
      <c r="BZV36" s="2"/>
      <c r="BZW36" s="2"/>
      <c r="BZX36" s="2"/>
      <c r="BZY36" s="2"/>
      <c r="BZZ36" s="2"/>
      <c r="CAA36" s="2"/>
      <c r="CAB36" s="2"/>
      <c r="CAC36" s="2"/>
      <c r="CAD36" s="2"/>
      <c r="CAE36" s="2"/>
      <c r="CAF36" s="2"/>
      <c r="CAG36" s="2"/>
      <c r="CAH36" s="2"/>
      <c r="CAI36" s="2"/>
      <c r="CAJ36" s="2"/>
      <c r="CAK36" s="2"/>
      <c r="CAL36" s="2"/>
      <c r="CAM36" s="2"/>
      <c r="CAN36" s="2"/>
      <c r="CAO36" s="2"/>
      <c r="CAP36" s="2"/>
      <c r="CAQ36" s="2"/>
      <c r="CAR36" s="2"/>
      <c r="CAS36" s="2"/>
      <c r="CAT36" s="2"/>
      <c r="CAU36" s="2"/>
      <c r="CAV36" s="2"/>
      <c r="CAW36" s="2"/>
      <c r="CAX36" s="2"/>
      <c r="CAY36" s="2"/>
      <c r="CAZ36" s="2"/>
      <c r="CBA36" s="2"/>
      <c r="CBB36" s="2"/>
      <c r="CBC36" s="2"/>
      <c r="CBD36" s="2"/>
      <c r="CBE36" s="2"/>
      <c r="CBF36" s="2"/>
      <c r="CBG36" s="2"/>
      <c r="CBH36" s="2"/>
      <c r="CBI36" s="2"/>
      <c r="CBJ36" s="2"/>
      <c r="CBK36" s="2"/>
      <c r="CBL36" s="2"/>
      <c r="CBM36" s="2"/>
      <c r="CBN36" s="2"/>
      <c r="CBO36" s="2"/>
      <c r="CBP36" s="2"/>
      <c r="CBQ36" s="2"/>
      <c r="CBR36" s="2"/>
      <c r="CBS36" s="2"/>
      <c r="CBT36" s="2"/>
      <c r="CBU36" s="2"/>
      <c r="CBV36" s="2"/>
      <c r="CBW36" s="2"/>
      <c r="CBX36" s="2"/>
      <c r="CBY36" s="2"/>
      <c r="CBZ36" s="2"/>
      <c r="CCA36" s="2"/>
      <c r="CCB36" s="2"/>
      <c r="CCC36" s="2"/>
      <c r="CCD36" s="2"/>
      <c r="CCE36" s="2"/>
      <c r="CCF36" s="2"/>
      <c r="CCG36" s="2"/>
      <c r="CCH36" s="2"/>
      <c r="CCI36" s="2"/>
      <c r="CCJ36" s="2"/>
      <c r="CCK36" s="2"/>
      <c r="CCL36" s="2"/>
      <c r="CCM36" s="2"/>
      <c r="CCN36" s="2"/>
      <c r="CCO36" s="2"/>
      <c r="CCP36" s="2"/>
      <c r="CCQ36" s="2"/>
      <c r="CCR36" s="2"/>
      <c r="CCS36" s="2"/>
      <c r="CCT36" s="2"/>
      <c r="CCU36" s="2"/>
      <c r="CCV36" s="2"/>
      <c r="CCW36" s="2"/>
      <c r="CCX36" s="2"/>
      <c r="CCY36" s="2"/>
      <c r="CCZ36" s="2"/>
      <c r="CDA36" s="2"/>
      <c r="CDB36" s="2"/>
      <c r="CDC36" s="2"/>
      <c r="CDD36" s="2"/>
      <c r="CDE36" s="2"/>
      <c r="CDF36" s="2"/>
      <c r="CDG36" s="2"/>
      <c r="CDH36" s="2"/>
      <c r="CDI36" s="2"/>
      <c r="CDJ36" s="2"/>
      <c r="CDK36" s="2"/>
      <c r="CDL36" s="2"/>
      <c r="CDM36" s="2"/>
      <c r="CDN36" s="2"/>
      <c r="CDO36" s="2"/>
      <c r="CDP36" s="2"/>
      <c r="CDQ36" s="2"/>
      <c r="CDR36" s="2"/>
      <c r="CDS36" s="2"/>
      <c r="CDT36" s="2"/>
      <c r="CDU36" s="2"/>
      <c r="CDV36" s="2"/>
      <c r="CDW36" s="2"/>
      <c r="CDX36" s="2"/>
      <c r="CDY36" s="2"/>
      <c r="CDZ36" s="2"/>
      <c r="CEA36" s="2"/>
      <c r="CEB36" s="2"/>
      <c r="CEC36" s="2"/>
      <c r="CED36" s="2"/>
      <c r="CEE36" s="2"/>
      <c r="CEF36" s="2"/>
      <c r="CEG36" s="2"/>
      <c r="CEH36" s="2"/>
      <c r="CEI36" s="2"/>
      <c r="CEJ36" s="2"/>
      <c r="CEK36" s="2"/>
      <c r="CEL36" s="2"/>
      <c r="CEM36" s="2"/>
      <c r="CEN36" s="2"/>
      <c r="CEO36" s="2"/>
      <c r="CEP36" s="2"/>
      <c r="CEQ36" s="2"/>
      <c r="CER36" s="2"/>
      <c r="CES36" s="2"/>
      <c r="CET36" s="2"/>
      <c r="CEU36" s="2"/>
      <c r="CEV36" s="2"/>
      <c r="CEW36" s="2"/>
      <c r="CEX36" s="2"/>
      <c r="CEY36" s="2"/>
      <c r="CEZ36" s="2"/>
      <c r="CFA36" s="2"/>
      <c r="CFB36" s="2"/>
      <c r="CFC36" s="2"/>
      <c r="CFD36" s="2"/>
      <c r="CFE36" s="2"/>
      <c r="CFF36" s="2"/>
      <c r="CFG36" s="2"/>
      <c r="CFH36" s="2"/>
      <c r="CFI36" s="2"/>
      <c r="CFJ36" s="2"/>
      <c r="CFK36" s="2"/>
      <c r="CFL36" s="2"/>
      <c r="CFM36" s="2"/>
      <c r="CFN36" s="2"/>
      <c r="CFO36" s="2"/>
      <c r="CFP36" s="2"/>
      <c r="CFQ36" s="2"/>
      <c r="CFR36" s="2"/>
      <c r="CFS36" s="2"/>
      <c r="CFT36" s="2"/>
      <c r="CFU36" s="2"/>
      <c r="CFV36" s="2"/>
      <c r="CFW36" s="2"/>
      <c r="CFX36" s="2"/>
      <c r="CFY36" s="2"/>
      <c r="CFZ36" s="2"/>
      <c r="CGA36" s="2"/>
      <c r="CGB36" s="2"/>
      <c r="CGC36" s="2"/>
      <c r="CGD36" s="2"/>
      <c r="CGE36" s="2"/>
      <c r="CGF36" s="2"/>
      <c r="CGG36" s="2"/>
      <c r="CGH36" s="2"/>
      <c r="CGI36" s="2"/>
      <c r="CGJ36" s="2"/>
      <c r="CGK36" s="2"/>
      <c r="CGL36" s="2"/>
      <c r="CGM36" s="2"/>
      <c r="CGN36" s="2"/>
      <c r="CGO36" s="2"/>
      <c r="CGP36" s="2"/>
      <c r="CGQ36" s="2"/>
      <c r="CGR36" s="2"/>
      <c r="CGS36" s="2"/>
      <c r="CGT36" s="2"/>
      <c r="CGU36" s="2"/>
      <c r="CGV36" s="2"/>
      <c r="CGW36" s="2"/>
      <c r="CGX36" s="2"/>
      <c r="CGY36" s="2"/>
      <c r="CGZ36" s="2"/>
      <c r="CHA36" s="2"/>
      <c r="CHB36" s="2"/>
      <c r="CHC36" s="2"/>
      <c r="CHD36" s="2"/>
      <c r="CHE36" s="2"/>
      <c r="CHF36" s="2"/>
      <c r="CHG36" s="2"/>
      <c r="CHH36" s="2"/>
      <c r="CHI36" s="2"/>
      <c r="CHJ36" s="2"/>
      <c r="CHK36" s="2"/>
      <c r="CHL36" s="2"/>
      <c r="CHM36" s="2"/>
      <c r="CHN36" s="2"/>
      <c r="CHO36" s="2"/>
      <c r="CHP36" s="2"/>
      <c r="CHQ36" s="2"/>
      <c r="CHR36" s="2"/>
      <c r="CHS36" s="2"/>
      <c r="CHT36" s="2"/>
      <c r="CHU36" s="2"/>
      <c r="CHV36" s="2"/>
      <c r="CHW36" s="2"/>
      <c r="CHX36" s="2"/>
      <c r="CHY36" s="2"/>
      <c r="CHZ36" s="2"/>
      <c r="CIA36" s="2"/>
      <c r="CIB36" s="2"/>
      <c r="CIC36" s="2"/>
      <c r="CID36" s="2"/>
      <c r="CIE36" s="2"/>
      <c r="CIF36" s="2"/>
      <c r="CIG36" s="2"/>
      <c r="CIH36" s="2"/>
      <c r="CII36" s="2"/>
      <c r="CIJ36" s="2"/>
      <c r="CIK36" s="2"/>
      <c r="CIL36" s="2"/>
      <c r="CIM36" s="2"/>
      <c r="CIN36" s="2"/>
      <c r="CIO36" s="2"/>
      <c r="CIP36" s="2"/>
      <c r="CIQ36" s="2"/>
      <c r="CIR36" s="2"/>
      <c r="CIS36" s="2"/>
      <c r="CIT36" s="2"/>
      <c r="CIU36" s="2"/>
      <c r="CIV36" s="2"/>
      <c r="CIW36" s="2"/>
      <c r="CIX36" s="2"/>
      <c r="CIY36" s="2"/>
      <c r="CIZ36" s="2"/>
      <c r="CJA36" s="2"/>
      <c r="CJB36" s="2"/>
      <c r="CJC36" s="2"/>
      <c r="CJD36" s="2"/>
      <c r="CJE36" s="2"/>
      <c r="CJF36" s="2"/>
      <c r="CJG36" s="2"/>
      <c r="CJH36" s="2"/>
      <c r="CJI36" s="2"/>
      <c r="CJJ36" s="2"/>
      <c r="CJK36" s="2"/>
      <c r="CJL36" s="2"/>
      <c r="CJM36" s="2"/>
      <c r="CJN36" s="2"/>
      <c r="CJO36" s="2"/>
      <c r="CJP36" s="2"/>
      <c r="CJQ36" s="2"/>
      <c r="CJR36" s="2"/>
      <c r="CJS36" s="2"/>
      <c r="CJT36" s="2"/>
      <c r="CJU36" s="2"/>
      <c r="CJV36" s="2"/>
      <c r="CJW36" s="2"/>
      <c r="CJX36" s="2"/>
      <c r="CJY36" s="2"/>
      <c r="CJZ36" s="2"/>
      <c r="CKA36" s="2"/>
      <c r="CKB36" s="2"/>
      <c r="CKC36" s="2"/>
      <c r="CKD36" s="2"/>
      <c r="CKE36" s="2"/>
      <c r="CKF36" s="2"/>
      <c r="CKG36" s="2"/>
      <c r="CKH36" s="2"/>
      <c r="CKI36" s="2"/>
      <c r="CKJ36" s="2"/>
      <c r="CKK36" s="2"/>
      <c r="CKL36" s="2"/>
      <c r="CKM36" s="2"/>
      <c r="CKN36" s="2"/>
      <c r="CKO36" s="2"/>
      <c r="CKP36" s="2"/>
      <c r="CKQ36" s="2"/>
      <c r="CKR36" s="2"/>
      <c r="CKS36" s="2"/>
      <c r="CKT36" s="2"/>
      <c r="CKU36" s="2"/>
      <c r="CKV36" s="2"/>
      <c r="CKW36" s="2"/>
      <c r="CKX36" s="2"/>
      <c r="CKY36" s="2"/>
      <c r="CKZ36" s="2"/>
      <c r="CLA36" s="2"/>
      <c r="CLB36" s="2"/>
      <c r="CLC36" s="2"/>
      <c r="CLD36" s="2"/>
      <c r="CLE36" s="2"/>
      <c r="CLF36" s="2"/>
      <c r="CLG36" s="2"/>
      <c r="CLH36" s="2"/>
      <c r="CLI36" s="2"/>
      <c r="CLJ36" s="2"/>
      <c r="CLK36" s="2"/>
      <c r="CLL36" s="2"/>
      <c r="CLM36" s="2"/>
      <c r="CLN36" s="2"/>
      <c r="CLO36" s="2"/>
      <c r="CLP36" s="2"/>
      <c r="CLQ36" s="2"/>
      <c r="CLR36" s="2"/>
      <c r="CLS36" s="2"/>
      <c r="CLT36" s="2"/>
      <c r="CLU36" s="2"/>
      <c r="CLV36" s="2"/>
      <c r="CLW36" s="2"/>
      <c r="CLX36" s="2"/>
      <c r="CLY36" s="2"/>
      <c r="CLZ36" s="2"/>
      <c r="CMA36" s="2"/>
      <c r="CMB36" s="2"/>
      <c r="CMC36" s="2"/>
      <c r="CMD36" s="2"/>
      <c r="CME36" s="2"/>
      <c r="CMF36" s="2"/>
      <c r="CMG36" s="2"/>
      <c r="CMH36" s="2"/>
      <c r="CMI36" s="2"/>
      <c r="CMJ36" s="2"/>
      <c r="CMK36" s="2"/>
      <c r="CML36" s="2"/>
      <c r="CMM36" s="2"/>
      <c r="CMN36" s="2"/>
      <c r="CMO36" s="2"/>
      <c r="CMP36" s="2"/>
      <c r="CMQ36" s="2"/>
      <c r="CMR36" s="2"/>
      <c r="CMS36" s="2"/>
      <c r="CMT36" s="2"/>
      <c r="CMU36" s="2"/>
      <c r="CMV36" s="2"/>
      <c r="CMW36" s="2"/>
      <c r="CMX36" s="2"/>
      <c r="CMY36" s="2"/>
      <c r="CMZ36" s="2"/>
      <c r="CNA36" s="2"/>
      <c r="CNB36" s="2"/>
      <c r="CNC36" s="2"/>
      <c r="CND36" s="2"/>
      <c r="CNE36" s="2"/>
      <c r="CNF36" s="2"/>
      <c r="CNG36" s="2"/>
      <c r="CNH36" s="2"/>
      <c r="CNI36" s="2"/>
      <c r="CNJ36" s="2"/>
      <c r="CNK36" s="2"/>
      <c r="CNL36" s="2"/>
      <c r="CNM36" s="2"/>
      <c r="CNN36" s="2"/>
      <c r="CNO36" s="2"/>
      <c r="CNP36" s="2"/>
      <c r="CNQ36" s="2"/>
      <c r="CNR36" s="2"/>
      <c r="CNS36" s="2"/>
      <c r="CNT36" s="2"/>
      <c r="CNU36" s="2"/>
      <c r="CNV36" s="2"/>
      <c r="CNW36" s="2"/>
      <c r="CNX36" s="2"/>
      <c r="CNY36" s="2"/>
      <c r="CNZ36" s="2"/>
      <c r="COA36" s="2"/>
      <c r="COB36" s="2"/>
      <c r="COC36" s="2"/>
      <c r="COD36" s="2"/>
      <c r="COE36" s="2"/>
      <c r="COF36" s="2"/>
      <c r="COG36" s="2"/>
      <c r="COH36" s="2"/>
      <c r="COI36" s="2"/>
      <c r="COJ36" s="2"/>
      <c r="COK36" s="2"/>
      <c r="COL36" s="2"/>
      <c r="COM36" s="2"/>
      <c r="CON36" s="2"/>
      <c r="COO36" s="2"/>
      <c r="COP36" s="2"/>
      <c r="COQ36" s="2"/>
      <c r="COR36" s="2"/>
      <c r="COS36" s="2"/>
      <c r="COT36" s="2"/>
      <c r="COU36" s="2"/>
      <c r="COV36" s="2"/>
      <c r="COW36" s="2"/>
      <c r="COX36" s="2"/>
      <c r="COY36" s="2"/>
      <c r="COZ36" s="2"/>
      <c r="CPA36" s="2"/>
      <c r="CPB36" s="2"/>
      <c r="CPC36" s="2"/>
      <c r="CPD36" s="2"/>
      <c r="CPE36" s="2"/>
      <c r="CPF36" s="2"/>
      <c r="CPG36" s="2"/>
      <c r="CPH36" s="2"/>
      <c r="CPI36" s="2"/>
      <c r="CPJ36" s="2"/>
      <c r="CPK36" s="2"/>
      <c r="CPL36" s="2"/>
      <c r="CPM36" s="2"/>
      <c r="CPN36" s="2"/>
      <c r="CPO36" s="2"/>
      <c r="CPP36" s="2"/>
      <c r="CPQ36" s="2"/>
      <c r="CPR36" s="2"/>
      <c r="CPS36" s="2"/>
      <c r="CPT36" s="2"/>
      <c r="CPU36" s="2"/>
      <c r="CPV36" s="2"/>
      <c r="CPW36" s="2"/>
      <c r="CPX36" s="2"/>
      <c r="CPY36" s="2"/>
      <c r="CPZ36" s="2"/>
      <c r="CQA36" s="2"/>
      <c r="CQB36" s="2"/>
      <c r="CQC36" s="2"/>
      <c r="CQD36" s="2"/>
      <c r="CQE36" s="2"/>
      <c r="CQF36" s="2"/>
      <c r="CQG36" s="2"/>
      <c r="CQH36" s="2"/>
      <c r="CQI36" s="2"/>
      <c r="CQJ36" s="2"/>
      <c r="CQK36" s="2"/>
      <c r="CQL36" s="2"/>
      <c r="CQM36" s="2"/>
      <c r="CQN36" s="2"/>
      <c r="CQO36" s="2"/>
      <c r="CQP36" s="2"/>
      <c r="CQQ36" s="2"/>
      <c r="CQR36" s="2"/>
      <c r="CQS36" s="2"/>
      <c r="CQT36" s="2"/>
      <c r="CQU36" s="2"/>
      <c r="CQV36" s="2"/>
      <c r="CQW36" s="2"/>
      <c r="CQX36" s="2"/>
      <c r="CQY36" s="2"/>
      <c r="CQZ36" s="2"/>
      <c r="CRA36" s="2"/>
      <c r="CRB36" s="2"/>
      <c r="CRC36" s="2"/>
      <c r="CRD36" s="2"/>
      <c r="CRE36" s="2"/>
      <c r="CRF36" s="2"/>
      <c r="CRG36" s="2"/>
      <c r="CRH36" s="2"/>
      <c r="CRI36" s="2"/>
      <c r="CRJ36" s="2"/>
      <c r="CRK36" s="2"/>
      <c r="CRL36" s="2"/>
      <c r="CRM36" s="2"/>
      <c r="CRN36" s="2"/>
      <c r="CRO36" s="2"/>
      <c r="CRP36" s="2"/>
      <c r="CRQ36" s="2"/>
      <c r="CRR36" s="2"/>
      <c r="CRS36" s="2"/>
      <c r="CRT36" s="2"/>
      <c r="CRU36" s="2"/>
      <c r="CRV36" s="2"/>
      <c r="CRW36" s="2"/>
      <c r="CRX36" s="2"/>
      <c r="CRY36" s="2"/>
      <c r="CRZ36" s="2"/>
      <c r="CSA36" s="2"/>
      <c r="CSB36" s="2"/>
      <c r="CSC36" s="2"/>
      <c r="CSD36" s="2"/>
      <c r="CSE36" s="2"/>
      <c r="CSF36" s="2"/>
      <c r="CSG36" s="2"/>
      <c r="CSH36" s="2"/>
      <c r="CSI36" s="2"/>
      <c r="CSJ36" s="2"/>
      <c r="CSK36" s="2"/>
      <c r="CSL36" s="2"/>
      <c r="CSM36" s="2"/>
      <c r="CSN36" s="2"/>
      <c r="CSO36" s="2"/>
      <c r="CSP36" s="2"/>
      <c r="CSQ36" s="2"/>
      <c r="CSR36" s="2"/>
      <c r="CSS36" s="2"/>
      <c r="CST36" s="2"/>
      <c r="CSU36" s="2"/>
      <c r="CSV36" s="2"/>
      <c r="CSW36" s="2"/>
      <c r="CSX36" s="2"/>
      <c r="CSY36" s="2"/>
      <c r="CSZ36" s="2"/>
      <c r="CTA36" s="2"/>
      <c r="CTB36" s="2"/>
      <c r="CTC36" s="2"/>
      <c r="CTD36" s="2"/>
      <c r="CTE36" s="2"/>
      <c r="CTF36" s="2"/>
      <c r="CTG36" s="2"/>
      <c r="CTH36" s="2"/>
      <c r="CTI36" s="2"/>
      <c r="CTJ36" s="2"/>
      <c r="CTK36" s="2"/>
      <c r="CTL36" s="2"/>
      <c r="CTM36" s="2"/>
      <c r="CTN36" s="2"/>
      <c r="CTO36" s="2"/>
      <c r="CTP36" s="2"/>
      <c r="CTQ36" s="2"/>
      <c r="CTR36" s="2"/>
      <c r="CTS36" s="2"/>
      <c r="CTT36" s="2"/>
      <c r="CTU36" s="2"/>
      <c r="CTV36" s="2"/>
      <c r="CTW36" s="2"/>
      <c r="CTX36" s="2"/>
      <c r="CTY36" s="2"/>
      <c r="CTZ36" s="2"/>
      <c r="CUA36" s="2"/>
      <c r="CUB36" s="2"/>
      <c r="CUC36" s="2"/>
      <c r="CUD36" s="2"/>
      <c r="CUE36" s="2"/>
      <c r="CUF36" s="2"/>
      <c r="CUG36" s="2"/>
      <c r="CUH36" s="2"/>
      <c r="CUI36" s="2"/>
      <c r="CUJ36" s="2"/>
      <c r="CUK36" s="2"/>
      <c r="CUL36" s="2"/>
      <c r="CUM36" s="2"/>
      <c r="CUN36" s="2"/>
      <c r="CUO36" s="2"/>
      <c r="CUP36" s="2"/>
      <c r="CUQ36" s="2"/>
      <c r="CUR36" s="2"/>
      <c r="CUS36" s="2"/>
      <c r="CUT36" s="2"/>
      <c r="CUU36" s="2"/>
      <c r="CUV36" s="2"/>
      <c r="CUW36" s="2"/>
      <c r="CUX36" s="2"/>
      <c r="CUY36" s="2"/>
      <c r="CUZ36" s="2"/>
      <c r="CVA36" s="2"/>
      <c r="CVB36" s="2"/>
      <c r="CVC36" s="2"/>
      <c r="CVD36" s="2"/>
      <c r="CVE36" s="2"/>
      <c r="CVF36" s="2"/>
      <c r="CVG36" s="2"/>
      <c r="CVH36" s="2"/>
      <c r="CVI36" s="2"/>
      <c r="CVJ36" s="2"/>
      <c r="CVK36" s="2"/>
      <c r="CVL36" s="2"/>
      <c r="CVM36" s="2"/>
      <c r="CVN36" s="2"/>
      <c r="CVO36" s="2"/>
      <c r="CVP36" s="2"/>
      <c r="CVQ36" s="2"/>
      <c r="CVR36" s="2"/>
      <c r="CVS36" s="2"/>
      <c r="CVT36" s="2"/>
      <c r="CVU36" s="2"/>
      <c r="CVV36" s="2"/>
      <c r="CVW36" s="2"/>
      <c r="CVX36" s="2"/>
      <c r="CVY36" s="2"/>
      <c r="CVZ36" s="2"/>
      <c r="CWA36" s="2"/>
      <c r="CWB36" s="2"/>
      <c r="CWC36" s="2"/>
      <c r="CWD36" s="2"/>
      <c r="CWE36" s="2"/>
      <c r="CWF36" s="2"/>
      <c r="CWG36" s="2"/>
      <c r="CWH36" s="2"/>
      <c r="CWI36" s="2"/>
      <c r="CWJ36" s="2"/>
      <c r="CWK36" s="2"/>
      <c r="CWL36" s="2"/>
      <c r="CWM36" s="2"/>
      <c r="CWN36" s="2"/>
      <c r="CWO36" s="2"/>
      <c r="CWP36" s="2"/>
      <c r="CWQ36" s="2"/>
      <c r="CWR36" s="2"/>
      <c r="CWS36" s="2"/>
      <c r="CWT36" s="2"/>
      <c r="CWU36" s="2"/>
      <c r="CWV36" s="2"/>
      <c r="CWW36" s="2"/>
      <c r="CWX36" s="2"/>
      <c r="CWY36" s="2"/>
      <c r="CWZ36" s="2"/>
      <c r="CXA36" s="2"/>
      <c r="CXB36" s="2"/>
      <c r="CXC36" s="2"/>
      <c r="CXD36" s="2"/>
      <c r="CXE36" s="2"/>
      <c r="CXF36" s="2"/>
      <c r="CXG36" s="2"/>
      <c r="CXH36" s="2"/>
      <c r="CXI36" s="2"/>
      <c r="CXJ36" s="2"/>
      <c r="CXK36" s="2"/>
      <c r="CXL36" s="2"/>
      <c r="CXM36" s="2"/>
      <c r="CXN36" s="2"/>
      <c r="CXO36" s="2"/>
      <c r="CXP36" s="2"/>
      <c r="CXQ36" s="2"/>
      <c r="CXR36" s="2"/>
      <c r="CXS36" s="2"/>
      <c r="CXT36" s="2"/>
      <c r="CXU36" s="2"/>
      <c r="CXV36" s="2"/>
      <c r="CXW36" s="2"/>
      <c r="CXX36" s="2"/>
      <c r="CXY36" s="2"/>
      <c r="CXZ36" s="2"/>
      <c r="CYA36" s="2"/>
      <c r="CYB36" s="2"/>
      <c r="CYC36" s="2"/>
      <c r="CYD36" s="2"/>
      <c r="CYE36" s="2"/>
      <c r="CYF36" s="2"/>
      <c r="CYG36" s="2"/>
      <c r="CYH36" s="2"/>
      <c r="CYI36" s="2"/>
      <c r="CYJ36" s="2"/>
      <c r="CYK36" s="2"/>
      <c r="CYL36" s="2"/>
      <c r="CYM36" s="2"/>
      <c r="CYN36" s="2"/>
      <c r="CYO36" s="2"/>
      <c r="CYP36" s="2"/>
      <c r="CYQ36" s="2"/>
      <c r="CYR36" s="2"/>
      <c r="CYS36" s="2"/>
      <c r="CYT36" s="2"/>
      <c r="CYU36" s="2"/>
      <c r="CYV36" s="2"/>
      <c r="CYW36" s="2"/>
      <c r="CYX36" s="2"/>
      <c r="CYY36" s="2"/>
      <c r="CYZ36" s="2"/>
      <c r="CZA36" s="2"/>
      <c r="CZB36" s="2"/>
      <c r="CZC36" s="2"/>
      <c r="CZD36" s="2"/>
      <c r="CZE36" s="2"/>
      <c r="CZF36" s="2"/>
      <c r="CZG36" s="2"/>
      <c r="CZH36" s="2"/>
      <c r="CZI36" s="2"/>
      <c r="CZJ36" s="2"/>
      <c r="CZK36" s="2"/>
      <c r="CZL36" s="2"/>
      <c r="CZM36" s="2"/>
      <c r="CZN36" s="2"/>
      <c r="CZO36" s="2"/>
      <c r="CZP36" s="2"/>
      <c r="CZQ36" s="2"/>
      <c r="CZR36" s="2"/>
      <c r="CZS36" s="2"/>
      <c r="CZT36" s="2"/>
      <c r="CZU36" s="2"/>
      <c r="CZV36" s="2"/>
      <c r="CZW36" s="2"/>
      <c r="CZX36" s="2"/>
      <c r="CZY36" s="2"/>
      <c r="CZZ36" s="2"/>
      <c r="DAA36" s="2"/>
      <c r="DAB36" s="2"/>
      <c r="DAC36" s="2"/>
      <c r="DAD36" s="2"/>
      <c r="DAE36" s="2"/>
      <c r="DAF36" s="2"/>
      <c r="DAG36" s="2"/>
      <c r="DAH36" s="2"/>
      <c r="DAI36" s="2"/>
      <c r="DAJ36" s="2"/>
      <c r="DAK36" s="2"/>
      <c r="DAL36" s="2"/>
      <c r="DAM36" s="2"/>
      <c r="DAN36" s="2"/>
      <c r="DAO36" s="2"/>
      <c r="DAP36" s="2"/>
      <c r="DAQ36" s="2"/>
      <c r="DAR36" s="2"/>
      <c r="DAS36" s="2"/>
      <c r="DAT36" s="2"/>
      <c r="DAU36" s="2"/>
      <c r="DAV36" s="2"/>
      <c r="DAW36" s="2"/>
      <c r="DAX36" s="2"/>
      <c r="DAY36" s="2"/>
      <c r="DAZ36" s="2"/>
      <c r="DBA36" s="2"/>
      <c r="DBB36" s="2"/>
      <c r="DBC36" s="2"/>
      <c r="DBD36" s="2"/>
      <c r="DBE36" s="2"/>
      <c r="DBF36" s="2"/>
      <c r="DBG36" s="2"/>
      <c r="DBH36" s="2"/>
      <c r="DBI36" s="2"/>
      <c r="DBJ36" s="2"/>
      <c r="DBK36" s="2"/>
      <c r="DBL36" s="2"/>
      <c r="DBM36" s="2"/>
      <c r="DBN36" s="2"/>
      <c r="DBO36" s="2"/>
      <c r="DBP36" s="2"/>
      <c r="DBQ36" s="2"/>
      <c r="DBR36" s="2"/>
      <c r="DBS36" s="2"/>
      <c r="DBT36" s="2"/>
      <c r="DBU36" s="2"/>
      <c r="DBV36" s="2"/>
      <c r="DBW36" s="2"/>
      <c r="DBX36" s="2"/>
      <c r="DBY36" s="2"/>
      <c r="DBZ36" s="2"/>
      <c r="DCA36" s="2"/>
      <c r="DCB36" s="2"/>
      <c r="DCC36" s="2"/>
      <c r="DCD36" s="2"/>
      <c r="DCE36" s="2"/>
      <c r="DCF36" s="2"/>
      <c r="DCG36" s="2"/>
      <c r="DCH36" s="2"/>
      <c r="DCI36" s="2"/>
      <c r="DCJ36" s="2"/>
      <c r="DCK36" s="2"/>
      <c r="DCL36" s="2"/>
      <c r="DCM36" s="2"/>
      <c r="DCN36" s="2"/>
      <c r="DCO36" s="2"/>
      <c r="DCP36" s="2"/>
      <c r="DCQ36" s="2"/>
      <c r="DCR36" s="2"/>
      <c r="DCS36" s="2"/>
      <c r="DCT36" s="2"/>
      <c r="DCU36" s="2"/>
      <c r="DCV36" s="2"/>
      <c r="DCW36" s="2"/>
      <c r="DCX36" s="2"/>
      <c r="DCY36" s="2"/>
      <c r="DCZ36" s="2"/>
      <c r="DDA36" s="2"/>
      <c r="DDB36" s="2"/>
      <c r="DDC36" s="2"/>
      <c r="DDD36" s="2"/>
      <c r="DDE36" s="2"/>
      <c r="DDF36" s="2"/>
      <c r="DDG36" s="2"/>
      <c r="DDH36" s="2"/>
      <c r="DDI36" s="2"/>
      <c r="DDJ36" s="2"/>
      <c r="DDK36" s="2"/>
      <c r="DDL36" s="2"/>
      <c r="DDM36" s="2"/>
      <c r="DDN36" s="2"/>
      <c r="DDO36" s="2"/>
      <c r="DDP36" s="2"/>
      <c r="DDQ36" s="2"/>
      <c r="DDR36" s="2"/>
      <c r="DDS36" s="2"/>
      <c r="DDT36" s="2"/>
      <c r="DDU36" s="2"/>
      <c r="DDV36" s="2"/>
      <c r="DDW36" s="2"/>
      <c r="DDX36" s="2"/>
      <c r="DDY36" s="2"/>
      <c r="DDZ36" s="2"/>
      <c r="DEA36" s="2"/>
      <c r="DEB36" s="2"/>
      <c r="DEC36" s="2"/>
      <c r="DED36" s="2"/>
      <c r="DEE36" s="2"/>
      <c r="DEF36" s="2"/>
      <c r="DEG36" s="2"/>
      <c r="DEH36" s="2"/>
      <c r="DEI36" s="2"/>
      <c r="DEJ36" s="2"/>
      <c r="DEK36" s="2"/>
      <c r="DEL36" s="2"/>
      <c r="DEM36" s="2"/>
      <c r="DEN36" s="2"/>
      <c r="DEO36" s="2"/>
      <c r="DEP36" s="2"/>
      <c r="DEQ36" s="2"/>
      <c r="DER36" s="2"/>
      <c r="DES36" s="2"/>
      <c r="DET36" s="2"/>
      <c r="DEU36" s="2"/>
      <c r="DEV36" s="2"/>
      <c r="DEW36" s="2"/>
      <c r="DEX36" s="2"/>
      <c r="DEY36" s="2"/>
      <c r="DEZ36" s="2"/>
      <c r="DFA36" s="2"/>
      <c r="DFB36" s="2"/>
      <c r="DFC36" s="2"/>
      <c r="DFD36" s="2"/>
      <c r="DFE36" s="2"/>
      <c r="DFF36" s="2"/>
      <c r="DFG36" s="2"/>
      <c r="DFH36" s="2"/>
      <c r="DFI36" s="2"/>
      <c r="DFJ36" s="2"/>
      <c r="DFK36" s="2"/>
      <c r="DFL36" s="2"/>
      <c r="DFM36" s="2"/>
      <c r="DFN36" s="2"/>
      <c r="DFO36" s="2"/>
      <c r="DFP36" s="2"/>
      <c r="DFQ36" s="2"/>
      <c r="DFR36" s="2"/>
      <c r="DFS36" s="2"/>
      <c r="DFT36" s="2"/>
      <c r="DFU36" s="2"/>
      <c r="DFV36" s="2"/>
      <c r="DFW36" s="2"/>
      <c r="DFX36" s="2"/>
      <c r="DFY36" s="2"/>
      <c r="DFZ36" s="2"/>
      <c r="DGA36" s="2"/>
      <c r="DGB36" s="2"/>
      <c r="DGC36" s="2"/>
      <c r="DGD36" s="2"/>
      <c r="DGE36" s="2"/>
      <c r="DGF36" s="2"/>
      <c r="DGG36" s="2"/>
      <c r="DGH36" s="2"/>
      <c r="DGI36" s="2"/>
      <c r="DGJ36" s="2"/>
      <c r="DGK36" s="2"/>
      <c r="DGL36" s="2"/>
      <c r="DGM36" s="2"/>
      <c r="DGN36" s="2"/>
      <c r="DGO36" s="2"/>
      <c r="DGP36" s="2"/>
      <c r="DGQ36" s="2"/>
      <c r="DGR36" s="2"/>
      <c r="DGS36" s="2"/>
      <c r="DGT36" s="2"/>
      <c r="DGU36" s="2"/>
      <c r="DGV36" s="2"/>
      <c r="DGW36" s="2"/>
      <c r="DGX36" s="2"/>
      <c r="DGY36" s="2"/>
      <c r="DGZ36" s="2"/>
      <c r="DHA36" s="2"/>
      <c r="DHB36" s="2"/>
      <c r="DHC36" s="2"/>
      <c r="DHD36" s="2"/>
      <c r="DHE36" s="2"/>
      <c r="DHF36" s="2"/>
      <c r="DHG36" s="2"/>
      <c r="DHH36" s="2"/>
      <c r="DHI36" s="2"/>
      <c r="DHJ36" s="2"/>
      <c r="DHK36" s="2"/>
      <c r="DHL36" s="2"/>
      <c r="DHM36" s="2"/>
      <c r="DHN36" s="2"/>
      <c r="DHO36" s="2"/>
      <c r="DHP36" s="2"/>
      <c r="DHQ36" s="2"/>
      <c r="DHR36" s="2"/>
      <c r="DHS36" s="2"/>
      <c r="DHT36" s="2"/>
      <c r="DHU36" s="2"/>
      <c r="DHV36" s="2"/>
      <c r="DHW36" s="2"/>
      <c r="DHX36" s="2"/>
      <c r="DHY36" s="2"/>
      <c r="DHZ36" s="2"/>
      <c r="DIA36" s="2"/>
      <c r="DIB36" s="2"/>
      <c r="DIC36" s="2"/>
      <c r="DID36" s="2"/>
      <c r="DIE36" s="2"/>
      <c r="DIF36" s="2"/>
      <c r="DIG36" s="2"/>
      <c r="DIH36" s="2"/>
      <c r="DII36" s="2"/>
      <c r="DIJ36" s="2"/>
      <c r="DIK36" s="2"/>
      <c r="DIL36" s="2"/>
      <c r="DIM36" s="2"/>
      <c r="DIN36" s="2"/>
      <c r="DIO36" s="2"/>
      <c r="DIP36" s="2"/>
      <c r="DIQ36" s="2"/>
      <c r="DIR36" s="2"/>
      <c r="DIS36" s="2"/>
      <c r="DIT36" s="2"/>
      <c r="DIU36" s="2"/>
      <c r="DIV36" s="2"/>
      <c r="DIW36" s="2"/>
      <c r="DIX36" s="2"/>
      <c r="DIY36" s="2"/>
      <c r="DIZ36" s="2"/>
      <c r="DJA36" s="2"/>
      <c r="DJB36" s="2"/>
      <c r="DJC36" s="2"/>
      <c r="DJD36" s="2"/>
      <c r="DJE36" s="2"/>
      <c r="DJF36" s="2"/>
      <c r="DJG36" s="2"/>
      <c r="DJH36" s="2"/>
      <c r="DJI36" s="2"/>
      <c r="DJJ36" s="2"/>
      <c r="DJK36" s="2"/>
      <c r="DJL36" s="2"/>
      <c r="DJM36" s="2"/>
      <c r="DJN36" s="2"/>
      <c r="DJO36" s="2"/>
      <c r="DJP36" s="2"/>
      <c r="DJQ36" s="2"/>
      <c r="DJR36" s="2"/>
      <c r="DJS36" s="2"/>
      <c r="DJT36" s="2"/>
      <c r="DJU36" s="2"/>
      <c r="DJV36" s="2"/>
      <c r="DJW36" s="2"/>
      <c r="DJX36" s="2"/>
      <c r="DJY36" s="2"/>
      <c r="DJZ36" s="2"/>
      <c r="DKA36" s="2"/>
      <c r="DKB36" s="2"/>
      <c r="DKC36" s="2"/>
      <c r="DKD36" s="2"/>
      <c r="DKE36" s="2"/>
      <c r="DKF36" s="2"/>
      <c r="DKG36" s="2"/>
      <c r="DKH36" s="2"/>
      <c r="DKI36" s="2"/>
      <c r="DKJ36" s="2"/>
      <c r="DKK36" s="2"/>
      <c r="DKL36" s="2"/>
      <c r="DKM36" s="2"/>
      <c r="DKN36" s="2"/>
      <c r="DKO36" s="2"/>
      <c r="DKP36" s="2"/>
      <c r="DKQ36" s="2"/>
      <c r="DKR36" s="2"/>
      <c r="DKS36" s="2"/>
      <c r="DKT36" s="2"/>
      <c r="DKU36" s="2"/>
      <c r="DKV36" s="2"/>
      <c r="DKW36" s="2"/>
      <c r="DKX36" s="2"/>
      <c r="DKY36" s="2"/>
      <c r="DKZ36" s="2"/>
      <c r="DLA36" s="2"/>
      <c r="DLB36" s="2"/>
      <c r="DLC36" s="2"/>
      <c r="DLD36" s="2"/>
      <c r="DLE36" s="2"/>
      <c r="DLF36" s="2"/>
      <c r="DLG36" s="2"/>
      <c r="DLH36" s="2"/>
      <c r="DLI36" s="2"/>
      <c r="DLJ36" s="2"/>
      <c r="DLK36" s="2"/>
      <c r="DLL36" s="2"/>
      <c r="DLM36" s="2"/>
      <c r="DLN36" s="2"/>
      <c r="DLO36" s="2"/>
      <c r="DLP36" s="2"/>
      <c r="DLQ36" s="2"/>
      <c r="DLR36" s="2"/>
      <c r="DLS36" s="2"/>
      <c r="DLT36" s="2"/>
      <c r="DLU36" s="2"/>
      <c r="DLV36" s="2"/>
      <c r="DLW36" s="2"/>
      <c r="DLX36" s="2"/>
      <c r="DLY36" s="2"/>
      <c r="DLZ36" s="2"/>
      <c r="DMA36" s="2"/>
      <c r="DMB36" s="2"/>
      <c r="DMC36" s="2"/>
      <c r="DMD36" s="2"/>
      <c r="DME36" s="2"/>
      <c r="DMF36" s="2"/>
      <c r="DMG36" s="2"/>
      <c r="DMH36" s="2"/>
      <c r="DMI36" s="2"/>
      <c r="DMJ36" s="2"/>
      <c r="DMK36" s="2"/>
      <c r="DML36" s="2"/>
      <c r="DMM36" s="2"/>
      <c r="DMN36" s="2"/>
      <c r="DMO36" s="2"/>
      <c r="DMP36" s="2"/>
      <c r="DMQ36" s="2"/>
      <c r="DMR36" s="2"/>
      <c r="DMS36" s="2"/>
      <c r="DMT36" s="2"/>
      <c r="DMU36" s="2"/>
      <c r="DMV36" s="2"/>
      <c r="DMW36" s="2"/>
      <c r="DMX36" s="2"/>
      <c r="DMY36" s="2"/>
      <c r="DMZ36" s="2"/>
      <c r="DNA36" s="2"/>
      <c r="DNB36" s="2"/>
      <c r="DNC36" s="2"/>
      <c r="DND36" s="2"/>
      <c r="DNE36" s="2"/>
      <c r="DNF36" s="2"/>
      <c r="DNG36" s="2"/>
      <c r="DNH36" s="2"/>
      <c r="DNI36" s="2"/>
      <c r="DNJ36" s="2"/>
      <c r="DNK36" s="2"/>
      <c r="DNL36" s="2"/>
      <c r="DNM36" s="2"/>
      <c r="DNN36" s="2"/>
      <c r="DNO36" s="2"/>
      <c r="DNP36" s="2"/>
      <c r="DNQ36" s="2"/>
      <c r="DNR36" s="2"/>
      <c r="DNS36" s="2"/>
      <c r="DNT36" s="2"/>
      <c r="DNU36" s="2"/>
      <c r="DNV36" s="2"/>
      <c r="DNW36" s="2"/>
      <c r="DNX36" s="2"/>
      <c r="DNY36" s="2"/>
      <c r="DNZ36" s="2"/>
      <c r="DOA36" s="2"/>
      <c r="DOB36" s="2"/>
      <c r="DOC36" s="2"/>
      <c r="DOD36" s="2"/>
      <c r="DOE36" s="2"/>
      <c r="DOF36" s="2"/>
      <c r="DOG36" s="2"/>
      <c r="DOH36" s="2"/>
      <c r="DOI36" s="2"/>
      <c r="DOJ36" s="2"/>
      <c r="DOK36" s="2"/>
      <c r="DOL36" s="2"/>
      <c r="DOM36" s="2"/>
      <c r="DON36" s="2"/>
      <c r="DOO36" s="2"/>
      <c r="DOP36" s="2"/>
      <c r="DOQ36" s="2"/>
      <c r="DOR36" s="2"/>
      <c r="DOS36" s="2"/>
      <c r="DOT36" s="2"/>
      <c r="DOU36" s="2"/>
      <c r="DOV36" s="2"/>
      <c r="DOW36" s="2"/>
      <c r="DOX36" s="2"/>
      <c r="DOY36" s="2"/>
      <c r="DOZ36" s="2"/>
      <c r="DPA36" s="2"/>
      <c r="DPB36" s="2"/>
      <c r="DPC36" s="2"/>
      <c r="DPD36" s="2"/>
      <c r="DPE36" s="2"/>
      <c r="DPF36" s="2"/>
      <c r="DPG36" s="2"/>
      <c r="DPH36" s="2"/>
      <c r="DPI36" s="2"/>
      <c r="DPJ36" s="2"/>
      <c r="DPK36" s="2"/>
      <c r="DPL36" s="2"/>
      <c r="DPM36" s="2"/>
      <c r="DPN36" s="2"/>
      <c r="DPO36" s="2"/>
      <c r="DPP36" s="2"/>
      <c r="DPQ36" s="2"/>
      <c r="DPR36" s="2"/>
      <c r="DPS36" s="2"/>
      <c r="DPT36" s="2"/>
      <c r="DPU36" s="2"/>
      <c r="DPV36" s="2"/>
      <c r="DPW36" s="2"/>
      <c r="DPX36" s="2"/>
      <c r="DPY36" s="2"/>
      <c r="DPZ36" s="2"/>
      <c r="DQA36" s="2"/>
      <c r="DQB36" s="2"/>
      <c r="DQC36" s="2"/>
      <c r="DQD36" s="2"/>
      <c r="DQE36" s="2"/>
      <c r="DQF36" s="2"/>
      <c r="DQG36" s="2"/>
      <c r="DQH36" s="2"/>
      <c r="DQI36" s="2"/>
      <c r="DQJ36" s="2"/>
      <c r="DQK36" s="2"/>
      <c r="DQL36" s="2"/>
      <c r="DQM36" s="2"/>
      <c r="DQN36" s="2"/>
      <c r="DQO36" s="2"/>
      <c r="DQP36" s="2"/>
      <c r="DQQ36" s="2"/>
      <c r="DQR36" s="2"/>
      <c r="DQS36" s="2"/>
      <c r="DQT36" s="2"/>
      <c r="DQU36" s="2"/>
      <c r="DQV36" s="2"/>
      <c r="DQW36" s="2"/>
      <c r="DQX36" s="2"/>
      <c r="DQY36" s="2"/>
      <c r="DQZ36" s="2"/>
      <c r="DRA36" s="2"/>
      <c r="DRB36" s="2"/>
      <c r="DRC36" s="2"/>
      <c r="DRD36" s="2"/>
      <c r="DRE36" s="2"/>
      <c r="DRF36" s="2"/>
      <c r="DRG36" s="2"/>
      <c r="DRH36" s="2"/>
      <c r="DRI36" s="2"/>
      <c r="DRJ36" s="2"/>
      <c r="DRK36" s="2"/>
      <c r="DRL36" s="2"/>
      <c r="DRM36" s="2"/>
      <c r="DRN36" s="2"/>
      <c r="DRO36" s="2"/>
      <c r="DRP36" s="2"/>
      <c r="DRQ36" s="2"/>
      <c r="DRR36" s="2"/>
      <c r="DRS36" s="2"/>
      <c r="DRT36" s="2"/>
      <c r="DRU36" s="2"/>
      <c r="DRV36" s="2"/>
      <c r="DRW36" s="2"/>
      <c r="DRX36" s="2"/>
      <c r="DRY36" s="2"/>
      <c r="DRZ36" s="2"/>
      <c r="DSA36" s="2"/>
      <c r="DSB36" s="2"/>
      <c r="DSC36" s="2"/>
      <c r="DSD36" s="2"/>
      <c r="DSE36" s="2"/>
      <c r="DSF36" s="2"/>
      <c r="DSG36" s="2"/>
      <c r="DSH36" s="2"/>
      <c r="DSI36" s="2"/>
      <c r="DSJ36" s="2"/>
      <c r="DSK36" s="2"/>
      <c r="DSL36" s="2"/>
      <c r="DSM36" s="2"/>
      <c r="DSN36" s="2"/>
      <c r="DSO36" s="2"/>
      <c r="DSP36" s="2"/>
      <c r="DSQ36" s="2"/>
      <c r="DSR36" s="2"/>
      <c r="DSS36" s="2"/>
      <c r="DST36" s="2"/>
      <c r="DSU36" s="2"/>
      <c r="DSV36" s="2"/>
      <c r="DSW36" s="2"/>
      <c r="DSX36" s="2"/>
      <c r="DSY36" s="2"/>
      <c r="DSZ36" s="2"/>
      <c r="DTA36" s="2"/>
      <c r="DTB36" s="2"/>
      <c r="DTC36" s="2"/>
      <c r="DTD36" s="2"/>
      <c r="DTE36" s="2"/>
      <c r="DTF36" s="2"/>
      <c r="DTG36" s="2"/>
      <c r="DTH36" s="2"/>
      <c r="DTI36" s="2"/>
      <c r="DTJ36" s="2"/>
      <c r="DTK36" s="2"/>
      <c r="DTL36" s="2"/>
      <c r="DTM36" s="2"/>
      <c r="DTN36" s="2"/>
      <c r="DTO36" s="2"/>
      <c r="DTP36" s="2"/>
      <c r="DTQ36" s="2"/>
      <c r="DTR36" s="2"/>
      <c r="DTS36" s="2"/>
      <c r="DTT36" s="2"/>
      <c r="DTU36" s="2"/>
      <c r="DTV36" s="2"/>
      <c r="DTW36" s="2"/>
      <c r="DTX36" s="2"/>
      <c r="DTY36" s="2"/>
      <c r="DTZ36" s="2"/>
      <c r="DUA36" s="2"/>
      <c r="DUB36" s="2"/>
      <c r="DUC36" s="2"/>
      <c r="DUD36" s="2"/>
      <c r="DUE36" s="2"/>
      <c r="DUF36" s="2"/>
      <c r="DUG36" s="2"/>
      <c r="DUH36" s="2"/>
      <c r="DUI36" s="2"/>
      <c r="DUJ36" s="2"/>
      <c r="DUK36" s="2"/>
      <c r="DUL36" s="2"/>
      <c r="DUM36" s="2"/>
      <c r="DUN36" s="2"/>
      <c r="DUO36" s="2"/>
      <c r="DUP36" s="2"/>
      <c r="DUQ36" s="2"/>
      <c r="DUR36" s="2"/>
      <c r="DUS36" s="2"/>
      <c r="DUT36" s="2"/>
      <c r="DUU36" s="2"/>
      <c r="DUV36" s="2"/>
      <c r="DUW36" s="2"/>
      <c r="DUX36" s="2"/>
      <c r="DUY36" s="2"/>
      <c r="DUZ36" s="2"/>
      <c r="DVA36" s="2"/>
      <c r="DVB36" s="2"/>
      <c r="DVC36" s="2"/>
      <c r="DVD36" s="2"/>
      <c r="DVE36" s="2"/>
      <c r="DVF36" s="2"/>
      <c r="DVG36" s="2"/>
      <c r="DVH36" s="2"/>
      <c r="DVI36" s="2"/>
      <c r="DVJ36" s="2"/>
      <c r="DVK36" s="2"/>
      <c r="DVL36" s="2"/>
      <c r="DVM36" s="2"/>
      <c r="DVN36" s="2"/>
      <c r="DVO36" s="2"/>
      <c r="DVP36" s="2"/>
      <c r="DVQ36" s="2"/>
      <c r="DVR36" s="2"/>
      <c r="DVS36" s="2"/>
      <c r="DVT36" s="2"/>
      <c r="DVU36" s="2"/>
      <c r="DVV36" s="2"/>
      <c r="DVW36" s="2"/>
      <c r="DVX36" s="2"/>
      <c r="DVY36" s="2"/>
      <c r="DVZ36" s="2"/>
      <c r="DWA36" s="2"/>
      <c r="DWB36" s="2"/>
      <c r="DWC36" s="2"/>
      <c r="DWD36" s="2"/>
      <c r="DWE36" s="2"/>
      <c r="DWF36" s="2"/>
      <c r="DWG36" s="2"/>
      <c r="DWH36" s="2"/>
      <c r="DWI36" s="2"/>
      <c r="DWJ36" s="2"/>
      <c r="DWK36" s="2"/>
      <c r="DWL36" s="2"/>
      <c r="DWM36" s="2"/>
      <c r="DWN36" s="2"/>
      <c r="DWO36" s="2"/>
      <c r="DWP36" s="2"/>
      <c r="DWQ36" s="2"/>
      <c r="DWR36" s="2"/>
      <c r="DWS36" s="2"/>
      <c r="DWT36" s="2"/>
      <c r="DWU36" s="2"/>
      <c r="DWV36" s="2"/>
      <c r="DWW36" s="2"/>
      <c r="DWX36" s="2"/>
      <c r="DWY36" s="2"/>
      <c r="DWZ36" s="2"/>
      <c r="DXA36" s="2"/>
      <c r="DXB36" s="2"/>
      <c r="DXC36" s="2"/>
      <c r="DXD36" s="2"/>
      <c r="DXE36" s="2"/>
      <c r="DXF36" s="2"/>
      <c r="DXG36" s="2"/>
      <c r="DXH36" s="2"/>
      <c r="DXI36" s="2"/>
      <c r="DXJ36" s="2"/>
      <c r="DXK36" s="2"/>
      <c r="DXL36" s="2"/>
      <c r="DXM36" s="2"/>
      <c r="DXN36" s="2"/>
      <c r="DXO36" s="2"/>
      <c r="DXP36" s="2"/>
      <c r="DXQ36" s="2"/>
      <c r="DXR36" s="2"/>
      <c r="DXS36" s="2"/>
      <c r="DXT36" s="2"/>
      <c r="DXU36" s="2"/>
      <c r="DXV36" s="2"/>
      <c r="DXW36" s="2"/>
      <c r="DXX36" s="2"/>
      <c r="DXY36" s="2"/>
      <c r="DXZ36" s="2"/>
      <c r="DYA36" s="2"/>
      <c r="DYB36" s="2"/>
      <c r="DYC36" s="2"/>
      <c r="DYD36" s="2"/>
      <c r="DYE36" s="2"/>
      <c r="DYF36" s="2"/>
      <c r="DYG36" s="2"/>
      <c r="DYH36" s="2"/>
      <c r="DYI36" s="2"/>
      <c r="DYJ36" s="2"/>
      <c r="DYK36" s="2"/>
      <c r="DYL36" s="2"/>
      <c r="DYM36" s="2"/>
      <c r="DYN36" s="2"/>
      <c r="DYO36" s="2"/>
      <c r="DYP36" s="2"/>
      <c r="DYQ36" s="2"/>
      <c r="DYR36" s="2"/>
      <c r="DYS36" s="2"/>
      <c r="DYT36" s="2"/>
      <c r="DYU36" s="2"/>
      <c r="DYV36" s="2"/>
      <c r="DYW36" s="2"/>
      <c r="DYX36" s="2"/>
      <c r="DYY36" s="2"/>
      <c r="DYZ36" s="2"/>
      <c r="DZA36" s="2"/>
      <c r="DZB36" s="2"/>
      <c r="DZC36" s="2"/>
      <c r="DZD36" s="2"/>
      <c r="DZE36" s="2"/>
      <c r="DZF36" s="2"/>
      <c r="DZG36" s="2"/>
      <c r="DZH36" s="2"/>
      <c r="DZI36" s="2"/>
      <c r="DZJ36" s="2"/>
      <c r="DZK36" s="2"/>
      <c r="DZL36" s="2"/>
      <c r="DZM36" s="2"/>
      <c r="DZN36" s="2"/>
      <c r="DZO36" s="2"/>
      <c r="DZP36" s="2"/>
      <c r="DZQ36" s="2"/>
      <c r="DZR36" s="2"/>
      <c r="DZS36" s="2"/>
      <c r="DZT36" s="2"/>
      <c r="DZU36" s="2"/>
      <c r="DZV36" s="2"/>
      <c r="DZW36" s="2"/>
      <c r="DZX36" s="2"/>
      <c r="DZY36" s="2"/>
      <c r="DZZ36" s="2"/>
      <c r="EAA36" s="2"/>
      <c r="EAB36" s="2"/>
      <c r="EAC36" s="2"/>
      <c r="EAD36" s="2"/>
      <c r="EAE36" s="2"/>
      <c r="EAF36" s="2"/>
      <c r="EAG36" s="2"/>
      <c r="EAH36" s="2"/>
      <c r="EAI36" s="2"/>
      <c r="EAJ36" s="2"/>
      <c r="EAK36" s="2"/>
      <c r="EAL36" s="2"/>
      <c r="EAM36" s="2"/>
      <c r="EAN36" s="2"/>
      <c r="EAO36" s="2"/>
      <c r="EAP36" s="2"/>
      <c r="EAQ36" s="2"/>
      <c r="EAR36" s="2"/>
      <c r="EAS36" s="2"/>
      <c r="EAT36" s="2"/>
      <c r="EAU36" s="2"/>
      <c r="EAV36" s="2"/>
      <c r="EAW36" s="2"/>
      <c r="EAX36" s="2"/>
      <c r="EAY36" s="2"/>
      <c r="EAZ36" s="2"/>
      <c r="EBA36" s="2"/>
      <c r="EBB36" s="2"/>
      <c r="EBC36" s="2"/>
      <c r="EBD36" s="2"/>
      <c r="EBE36" s="2"/>
      <c r="EBF36" s="2"/>
      <c r="EBG36" s="2"/>
      <c r="EBH36" s="2"/>
      <c r="EBI36" s="2"/>
      <c r="EBJ36" s="2"/>
      <c r="EBK36" s="2"/>
      <c r="EBL36" s="2"/>
      <c r="EBM36" s="2"/>
      <c r="EBN36" s="2"/>
      <c r="EBO36" s="2"/>
      <c r="EBP36" s="2"/>
      <c r="EBQ36" s="2"/>
      <c r="EBR36" s="2"/>
      <c r="EBS36" s="2"/>
      <c r="EBT36" s="2"/>
      <c r="EBU36" s="2"/>
      <c r="EBV36" s="2"/>
      <c r="EBW36" s="2"/>
      <c r="EBX36" s="2"/>
      <c r="EBY36" s="2"/>
      <c r="EBZ36" s="2"/>
      <c r="ECA36" s="2"/>
      <c r="ECB36" s="2"/>
      <c r="ECC36" s="2"/>
      <c r="ECD36" s="2"/>
      <c r="ECE36" s="2"/>
      <c r="ECF36" s="2"/>
      <c r="ECG36" s="2"/>
      <c r="ECH36" s="2"/>
      <c r="ECI36" s="2"/>
      <c r="ECJ36" s="2"/>
      <c r="ECK36" s="2"/>
      <c r="ECL36" s="2"/>
      <c r="ECM36" s="2"/>
      <c r="ECN36" s="2"/>
      <c r="ECO36" s="2"/>
      <c r="ECP36" s="2"/>
      <c r="ECQ36" s="2"/>
      <c r="ECR36" s="2"/>
      <c r="ECS36" s="2"/>
      <c r="ECT36" s="2"/>
      <c r="ECU36" s="2"/>
      <c r="ECV36" s="2"/>
      <c r="ECW36" s="2"/>
      <c r="ECX36" s="2"/>
      <c r="ECY36" s="2"/>
      <c r="ECZ36" s="2"/>
      <c r="EDA36" s="2"/>
      <c r="EDB36" s="2"/>
      <c r="EDC36" s="2"/>
      <c r="EDD36" s="2"/>
      <c r="EDE36" s="2"/>
      <c r="EDF36" s="2"/>
      <c r="EDG36" s="2"/>
      <c r="EDH36" s="2"/>
      <c r="EDI36" s="2"/>
      <c r="EDJ36" s="2"/>
      <c r="EDK36" s="2"/>
      <c r="EDL36" s="2"/>
      <c r="EDM36" s="2"/>
      <c r="EDN36" s="2"/>
      <c r="EDO36" s="2"/>
      <c r="EDP36" s="2"/>
      <c r="EDQ36" s="2"/>
      <c r="EDR36" s="2"/>
      <c r="EDS36" s="2"/>
      <c r="EDT36" s="2"/>
      <c r="EDU36" s="2"/>
      <c r="EDV36" s="2"/>
      <c r="EDW36" s="2"/>
      <c r="EDX36" s="2"/>
      <c r="EDY36" s="2"/>
      <c r="EDZ36" s="2"/>
      <c r="EEA36" s="2"/>
      <c r="EEB36" s="2"/>
      <c r="EEC36" s="2"/>
      <c r="EED36" s="2"/>
      <c r="EEE36" s="2"/>
      <c r="EEF36" s="2"/>
      <c r="EEG36" s="2"/>
      <c r="EEH36" s="2"/>
      <c r="EEI36" s="2"/>
      <c r="EEJ36" s="2"/>
      <c r="EEK36" s="2"/>
      <c r="EEL36" s="2"/>
      <c r="EEM36" s="2"/>
      <c r="EEN36" s="2"/>
      <c r="EEO36" s="2"/>
      <c r="EEP36" s="2"/>
      <c r="EEQ36" s="2"/>
      <c r="EER36" s="2"/>
      <c r="EES36" s="2"/>
      <c r="EET36" s="2"/>
      <c r="EEU36" s="2"/>
      <c r="EEV36" s="2"/>
      <c r="EEW36" s="2"/>
      <c r="EEX36" s="2"/>
      <c r="EEY36" s="2"/>
      <c r="EEZ36" s="2"/>
      <c r="EFA36" s="2"/>
      <c r="EFB36" s="2"/>
      <c r="EFC36" s="2"/>
      <c r="EFD36" s="2"/>
      <c r="EFE36" s="2"/>
      <c r="EFF36" s="2"/>
      <c r="EFG36" s="2"/>
      <c r="EFH36" s="2"/>
      <c r="EFI36" s="2"/>
      <c r="EFJ36" s="2"/>
      <c r="EFK36" s="2"/>
      <c r="EFL36" s="2"/>
      <c r="EFM36" s="2"/>
      <c r="EFN36" s="2"/>
      <c r="EFO36" s="2"/>
      <c r="EFP36" s="2"/>
      <c r="EFQ36" s="2"/>
      <c r="EFR36" s="2"/>
      <c r="EFS36" s="2"/>
      <c r="EFT36" s="2"/>
      <c r="EFU36" s="2"/>
      <c r="EFV36" s="2"/>
      <c r="EFW36" s="2"/>
      <c r="EFX36" s="2"/>
      <c r="EFY36" s="2"/>
      <c r="EFZ36" s="2"/>
      <c r="EGA36" s="2"/>
      <c r="EGB36" s="2"/>
      <c r="EGC36" s="2"/>
      <c r="EGD36" s="2"/>
      <c r="EGE36" s="2"/>
      <c r="EGF36" s="2"/>
      <c r="EGG36" s="2"/>
      <c r="EGH36" s="2"/>
      <c r="EGI36" s="2"/>
      <c r="EGJ36" s="2"/>
      <c r="EGK36" s="2"/>
      <c r="EGL36" s="2"/>
      <c r="EGM36" s="2"/>
      <c r="EGN36" s="2"/>
      <c r="EGO36" s="2"/>
      <c r="EGP36" s="2"/>
      <c r="EGQ36" s="2"/>
      <c r="EGR36" s="2"/>
      <c r="EGS36" s="2"/>
      <c r="EGT36" s="2"/>
      <c r="EGU36" s="2"/>
      <c r="EGV36" s="2"/>
      <c r="EGW36" s="2"/>
      <c r="EGX36" s="2"/>
      <c r="EGY36" s="2"/>
      <c r="EGZ36" s="2"/>
      <c r="EHA36" s="2"/>
      <c r="EHB36" s="2"/>
      <c r="EHC36" s="2"/>
      <c r="EHD36" s="2"/>
      <c r="EHE36" s="2"/>
      <c r="EHF36" s="2"/>
      <c r="EHG36" s="2"/>
      <c r="EHH36" s="2"/>
      <c r="EHI36" s="2"/>
      <c r="EHJ36" s="2"/>
      <c r="EHK36" s="2"/>
      <c r="EHL36" s="2"/>
      <c r="EHM36" s="2"/>
      <c r="EHN36" s="2"/>
      <c r="EHO36" s="2"/>
      <c r="EHP36" s="2"/>
      <c r="EHQ36" s="2"/>
      <c r="EHR36" s="2"/>
      <c r="EHS36" s="2"/>
      <c r="EHT36" s="2"/>
      <c r="EHU36" s="2"/>
      <c r="EHV36" s="2"/>
      <c r="EHW36" s="2"/>
      <c r="EHX36" s="2"/>
      <c r="EHY36" s="2"/>
      <c r="EHZ36" s="2"/>
      <c r="EIA36" s="2"/>
      <c r="EIB36" s="2"/>
      <c r="EIC36" s="2"/>
      <c r="EID36" s="2"/>
      <c r="EIE36" s="2"/>
      <c r="EIF36" s="2"/>
      <c r="EIG36" s="2"/>
      <c r="EIH36" s="2"/>
      <c r="EII36" s="2"/>
      <c r="EIJ36" s="2"/>
      <c r="EIK36" s="2"/>
      <c r="EIL36" s="2"/>
      <c r="EIM36" s="2"/>
      <c r="EIN36" s="2"/>
      <c r="EIO36" s="2"/>
      <c r="EIP36" s="2"/>
      <c r="EIQ36" s="2"/>
      <c r="EIR36" s="2"/>
      <c r="EIS36" s="2"/>
      <c r="EIT36" s="2"/>
      <c r="EIU36" s="2"/>
      <c r="EIV36" s="2"/>
      <c r="EIW36" s="2"/>
      <c r="EIX36" s="2"/>
      <c r="EIY36" s="2"/>
      <c r="EIZ36" s="2"/>
      <c r="EJA36" s="2"/>
      <c r="EJB36" s="2"/>
      <c r="EJC36" s="2"/>
      <c r="EJD36" s="2"/>
      <c r="EJE36" s="2"/>
      <c r="EJF36" s="2"/>
      <c r="EJG36" s="2"/>
      <c r="EJH36" s="2"/>
      <c r="EJI36" s="2"/>
      <c r="EJJ36" s="2"/>
      <c r="EJK36" s="2"/>
      <c r="EJL36" s="2"/>
      <c r="EJM36" s="2"/>
      <c r="EJN36" s="2"/>
      <c r="EJO36" s="2"/>
      <c r="EJP36" s="2"/>
      <c r="EJQ36" s="2"/>
      <c r="EJR36" s="2"/>
      <c r="EJS36" s="2"/>
      <c r="EJT36" s="2"/>
      <c r="EJU36" s="2"/>
      <c r="EJV36" s="2"/>
      <c r="EJW36" s="2"/>
      <c r="EJX36" s="2"/>
      <c r="EJY36" s="2"/>
      <c r="EJZ36" s="2"/>
      <c r="EKA36" s="2"/>
      <c r="EKB36" s="2"/>
      <c r="EKC36" s="2"/>
      <c r="EKD36" s="2"/>
      <c r="EKE36" s="2"/>
      <c r="EKF36" s="2"/>
      <c r="EKG36" s="2"/>
      <c r="EKH36" s="2"/>
      <c r="EKI36" s="2"/>
      <c r="EKJ36" s="2"/>
      <c r="EKK36" s="2"/>
      <c r="EKL36" s="2"/>
      <c r="EKM36" s="2"/>
      <c r="EKN36" s="2"/>
      <c r="EKO36" s="2"/>
      <c r="EKP36" s="2"/>
      <c r="EKQ36" s="2"/>
      <c r="EKR36" s="2"/>
      <c r="EKS36" s="2"/>
      <c r="EKT36" s="2"/>
      <c r="EKU36" s="2"/>
      <c r="EKV36" s="2"/>
      <c r="EKW36" s="2"/>
      <c r="EKX36" s="2"/>
      <c r="EKY36" s="2"/>
      <c r="EKZ36" s="2"/>
      <c r="ELA36" s="2"/>
      <c r="ELB36" s="2"/>
      <c r="ELC36" s="2"/>
      <c r="ELD36" s="2"/>
      <c r="ELE36" s="2"/>
      <c r="ELF36" s="2"/>
      <c r="ELG36" s="2"/>
      <c r="ELH36" s="2"/>
      <c r="ELI36" s="2"/>
      <c r="ELJ36" s="2"/>
      <c r="ELK36" s="2"/>
      <c r="ELL36" s="2"/>
      <c r="ELM36" s="2"/>
      <c r="ELN36" s="2"/>
      <c r="ELO36" s="2"/>
      <c r="ELP36" s="2"/>
      <c r="ELQ36" s="2"/>
      <c r="ELR36" s="2"/>
      <c r="ELS36" s="2"/>
      <c r="ELT36" s="2"/>
      <c r="ELU36" s="2"/>
      <c r="ELV36" s="2"/>
      <c r="ELW36" s="2"/>
      <c r="ELX36" s="2"/>
      <c r="ELY36" s="2"/>
      <c r="ELZ36" s="2"/>
      <c r="EMA36" s="2"/>
      <c r="EMB36" s="2"/>
      <c r="EMC36" s="2"/>
      <c r="EMD36" s="2"/>
      <c r="EME36" s="2"/>
      <c r="EMF36" s="2"/>
      <c r="EMG36" s="2"/>
      <c r="EMH36" s="2"/>
      <c r="EMI36" s="2"/>
      <c r="EMJ36" s="2"/>
      <c r="EMK36" s="2"/>
      <c r="EML36" s="2"/>
      <c r="EMM36" s="2"/>
      <c r="EMN36" s="2"/>
      <c r="EMO36" s="2"/>
      <c r="EMP36" s="2"/>
      <c r="EMQ36" s="2"/>
      <c r="EMR36" s="2"/>
      <c r="EMS36" s="2"/>
      <c r="EMT36" s="2"/>
      <c r="EMU36" s="2"/>
      <c r="EMV36" s="2"/>
      <c r="EMW36" s="2"/>
      <c r="EMX36" s="2"/>
      <c r="EMY36" s="2"/>
      <c r="EMZ36" s="2"/>
      <c r="ENA36" s="2"/>
      <c r="ENB36" s="2"/>
      <c r="ENC36" s="2"/>
      <c r="END36" s="2"/>
      <c r="ENE36" s="2"/>
      <c r="ENF36" s="2"/>
      <c r="ENG36" s="2"/>
      <c r="ENH36" s="2"/>
      <c r="ENI36" s="2"/>
      <c r="ENJ36" s="2"/>
      <c r="ENK36" s="2"/>
      <c r="ENL36" s="2"/>
      <c r="ENM36" s="2"/>
      <c r="ENN36" s="2"/>
      <c r="ENO36" s="2"/>
      <c r="ENP36" s="2"/>
      <c r="ENQ36" s="2"/>
      <c r="ENR36" s="2"/>
      <c r="ENS36" s="2"/>
      <c r="ENT36" s="2"/>
      <c r="ENU36" s="2"/>
      <c r="ENV36" s="2"/>
      <c r="ENW36" s="2"/>
      <c r="ENX36" s="2"/>
      <c r="ENY36" s="2"/>
      <c r="ENZ36" s="2"/>
      <c r="EOA36" s="2"/>
      <c r="EOB36" s="2"/>
      <c r="EOC36" s="2"/>
      <c r="EOD36" s="2"/>
      <c r="EOE36" s="2"/>
      <c r="EOF36" s="2"/>
      <c r="EOG36" s="2"/>
      <c r="EOH36" s="2"/>
      <c r="EOI36" s="2"/>
      <c r="EOJ36" s="2"/>
      <c r="EOK36" s="2"/>
      <c r="EOL36" s="2"/>
      <c r="EOM36" s="2"/>
      <c r="EON36" s="2"/>
      <c r="EOO36" s="2"/>
      <c r="EOP36" s="2"/>
      <c r="EOQ36" s="2"/>
      <c r="EOR36" s="2"/>
      <c r="EOS36" s="2"/>
      <c r="EOT36" s="2"/>
      <c r="EOU36" s="2"/>
      <c r="EOV36" s="2"/>
      <c r="EOW36" s="2"/>
      <c r="EOX36" s="2"/>
      <c r="EOY36" s="2"/>
      <c r="EOZ36" s="2"/>
      <c r="EPA36" s="2"/>
      <c r="EPB36" s="2"/>
      <c r="EPC36" s="2"/>
      <c r="EPD36" s="2"/>
      <c r="EPE36" s="2"/>
      <c r="EPF36" s="2"/>
      <c r="EPG36" s="2"/>
      <c r="EPH36" s="2"/>
      <c r="EPI36" s="2"/>
      <c r="EPJ36" s="2"/>
      <c r="EPK36" s="2"/>
      <c r="EPL36" s="2"/>
      <c r="EPM36" s="2"/>
      <c r="EPN36" s="2"/>
      <c r="EPO36" s="2"/>
      <c r="EPP36" s="2"/>
      <c r="EPQ36" s="2"/>
      <c r="EPR36" s="2"/>
      <c r="EPS36" s="2"/>
      <c r="EPT36" s="2"/>
      <c r="EPU36" s="2"/>
      <c r="EPV36" s="2"/>
      <c r="EPW36" s="2"/>
      <c r="EPX36" s="2"/>
      <c r="EPY36" s="2"/>
      <c r="EPZ36" s="2"/>
      <c r="EQA36" s="2"/>
      <c r="EQB36" s="2"/>
      <c r="EQC36" s="2"/>
      <c r="EQD36" s="2"/>
      <c r="EQE36" s="2"/>
      <c r="EQF36" s="2"/>
      <c r="EQG36" s="2"/>
      <c r="EQH36" s="2"/>
      <c r="EQI36" s="2"/>
      <c r="EQJ36" s="2"/>
      <c r="EQK36" s="2"/>
      <c r="EQL36" s="2"/>
      <c r="EQM36" s="2"/>
      <c r="EQN36" s="2"/>
      <c r="EQO36" s="2"/>
      <c r="EQP36" s="2"/>
      <c r="EQQ36" s="2"/>
      <c r="EQR36" s="2"/>
      <c r="EQS36" s="2"/>
      <c r="EQT36" s="2"/>
      <c r="EQU36" s="2"/>
      <c r="EQV36" s="2"/>
      <c r="EQW36" s="2"/>
      <c r="EQX36" s="2"/>
      <c r="EQY36" s="2"/>
      <c r="EQZ36" s="2"/>
      <c r="ERA36" s="2"/>
      <c r="ERB36" s="2"/>
      <c r="ERC36" s="2"/>
      <c r="ERD36" s="2"/>
      <c r="ERE36" s="2"/>
      <c r="ERF36" s="2"/>
      <c r="ERG36" s="2"/>
      <c r="ERH36" s="2"/>
      <c r="ERI36" s="2"/>
      <c r="ERJ36" s="2"/>
      <c r="ERK36" s="2"/>
      <c r="ERL36" s="2"/>
      <c r="ERM36" s="2"/>
      <c r="ERN36" s="2"/>
      <c r="ERO36" s="2"/>
      <c r="ERP36" s="2"/>
      <c r="ERQ36" s="2"/>
      <c r="ERR36" s="2"/>
      <c r="ERS36" s="2"/>
      <c r="ERT36" s="2"/>
      <c r="ERU36" s="2"/>
      <c r="ERV36" s="2"/>
      <c r="ERW36" s="2"/>
      <c r="ERX36" s="2"/>
      <c r="ERY36" s="2"/>
      <c r="ERZ36" s="2"/>
      <c r="ESA36" s="2"/>
      <c r="ESB36" s="2"/>
      <c r="ESC36" s="2"/>
      <c r="ESD36" s="2"/>
      <c r="ESE36" s="2"/>
      <c r="ESF36" s="2"/>
      <c r="ESG36" s="2"/>
      <c r="ESH36" s="2"/>
      <c r="ESI36" s="2"/>
      <c r="ESJ36" s="2"/>
      <c r="ESK36" s="2"/>
      <c r="ESL36" s="2"/>
      <c r="ESM36" s="2"/>
      <c r="ESN36" s="2"/>
      <c r="ESO36" s="2"/>
      <c r="ESP36" s="2"/>
      <c r="ESQ36" s="2"/>
      <c r="ESR36" s="2"/>
      <c r="ESS36" s="2"/>
      <c r="EST36" s="2"/>
      <c r="ESU36" s="2"/>
      <c r="ESV36" s="2"/>
      <c r="ESW36" s="2"/>
      <c r="ESX36" s="2"/>
      <c r="ESY36" s="2"/>
      <c r="ESZ36" s="2"/>
      <c r="ETA36" s="2"/>
      <c r="ETB36" s="2"/>
      <c r="ETC36" s="2"/>
      <c r="ETD36" s="2"/>
      <c r="ETE36" s="2"/>
      <c r="ETF36" s="2"/>
      <c r="ETG36" s="2"/>
      <c r="ETH36" s="2"/>
      <c r="ETI36" s="2"/>
      <c r="ETJ36" s="2"/>
      <c r="ETK36" s="2"/>
      <c r="ETL36" s="2"/>
      <c r="ETM36" s="2"/>
      <c r="ETN36" s="2"/>
      <c r="ETO36" s="2"/>
      <c r="ETP36" s="2"/>
      <c r="ETQ36" s="2"/>
      <c r="ETR36" s="2"/>
      <c r="ETS36" s="2"/>
      <c r="ETT36" s="2"/>
      <c r="ETU36" s="2"/>
      <c r="ETV36" s="2"/>
      <c r="ETW36" s="2"/>
      <c r="ETX36" s="2"/>
      <c r="ETY36" s="2"/>
      <c r="ETZ36" s="2"/>
      <c r="EUA36" s="2"/>
      <c r="EUB36" s="2"/>
      <c r="EUC36" s="2"/>
      <c r="EUD36" s="2"/>
      <c r="EUE36" s="2"/>
      <c r="EUF36" s="2"/>
      <c r="EUG36" s="2"/>
      <c r="EUH36" s="2"/>
      <c r="EUI36" s="2"/>
      <c r="EUJ36" s="2"/>
      <c r="EUK36" s="2"/>
      <c r="EUL36" s="2"/>
      <c r="EUM36" s="2"/>
      <c r="EUN36" s="2"/>
      <c r="EUO36" s="2"/>
      <c r="EUP36" s="2"/>
      <c r="EUQ36" s="2"/>
      <c r="EUR36" s="2"/>
      <c r="EUS36" s="2"/>
      <c r="EUT36" s="2"/>
      <c r="EUU36" s="2"/>
      <c r="EUV36" s="2"/>
      <c r="EUW36" s="2"/>
      <c r="EUX36" s="2"/>
      <c r="EUY36" s="2"/>
      <c r="EUZ36" s="2"/>
      <c r="EVA36" s="2"/>
      <c r="EVB36" s="2"/>
      <c r="EVC36" s="2"/>
      <c r="EVD36" s="2"/>
      <c r="EVE36" s="2"/>
      <c r="EVF36" s="2"/>
      <c r="EVG36" s="2"/>
      <c r="EVH36" s="2"/>
      <c r="EVI36" s="2"/>
      <c r="EVJ36" s="2"/>
      <c r="EVK36" s="2"/>
      <c r="EVL36" s="2"/>
      <c r="EVM36" s="2"/>
      <c r="EVN36" s="2"/>
      <c r="EVO36" s="2"/>
      <c r="EVP36" s="2"/>
      <c r="EVQ36" s="2"/>
      <c r="EVR36" s="2"/>
      <c r="EVS36" s="2"/>
      <c r="EVT36" s="2"/>
      <c r="EVU36" s="2"/>
      <c r="EVV36" s="2"/>
      <c r="EVW36" s="2"/>
      <c r="EVX36" s="2"/>
      <c r="EVY36" s="2"/>
      <c r="EVZ36" s="2"/>
      <c r="EWA36" s="2"/>
      <c r="EWB36" s="2"/>
      <c r="EWC36" s="2"/>
      <c r="EWD36" s="2"/>
      <c r="EWE36" s="2"/>
      <c r="EWF36" s="2"/>
      <c r="EWG36" s="2"/>
      <c r="EWH36" s="2"/>
      <c r="EWI36" s="2"/>
      <c r="EWJ36" s="2"/>
      <c r="EWK36" s="2"/>
      <c r="EWL36" s="2"/>
      <c r="EWM36" s="2"/>
      <c r="EWN36" s="2"/>
      <c r="EWO36" s="2"/>
      <c r="EWP36" s="2"/>
      <c r="EWQ36" s="2"/>
      <c r="EWR36" s="2"/>
      <c r="EWS36" s="2"/>
      <c r="EWT36" s="2"/>
      <c r="EWU36" s="2"/>
      <c r="EWV36" s="2"/>
      <c r="EWW36" s="2"/>
      <c r="EWX36" s="2"/>
      <c r="EWY36" s="2"/>
      <c r="EWZ36" s="2"/>
      <c r="EXA36" s="2"/>
      <c r="EXB36" s="2"/>
      <c r="EXC36" s="2"/>
      <c r="EXD36" s="2"/>
      <c r="EXE36" s="2"/>
      <c r="EXF36" s="2"/>
      <c r="EXG36" s="2"/>
      <c r="EXH36" s="2"/>
      <c r="EXI36" s="2"/>
      <c r="EXJ36" s="2"/>
      <c r="EXK36" s="2"/>
      <c r="EXL36" s="2"/>
      <c r="EXM36" s="2"/>
      <c r="EXN36" s="2"/>
      <c r="EXO36" s="2"/>
      <c r="EXP36" s="2"/>
      <c r="EXQ36" s="2"/>
      <c r="EXR36" s="2"/>
      <c r="EXS36" s="2"/>
      <c r="EXT36" s="2"/>
      <c r="EXU36" s="2"/>
      <c r="EXV36" s="2"/>
      <c r="EXW36" s="2"/>
      <c r="EXX36" s="2"/>
      <c r="EXY36" s="2"/>
      <c r="EXZ36" s="2"/>
      <c r="EYA36" s="2"/>
      <c r="EYB36" s="2"/>
      <c r="EYC36" s="2"/>
      <c r="EYD36" s="2"/>
      <c r="EYE36" s="2"/>
      <c r="EYF36" s="2"/>
      <c r="EYG36" s="2"/>
      <c r="EYH36" s="2"/>
      <c r="EYI36" s="2"/>
      <c r="EYJ36" s="2"/>
      <c r="EYK36" s="2"/>
      <c r="EYL36" s="2"/>
      <c r="EYM36" s="2"/>
      <c r="EYN36" s="2"/>
      <c r="EYO36" s="2"/>
      <c r="EYP36" s="2"/>
      <c r="EYQ36" s="2"/>
      <c r="EYR36" s="2"/>
      <c r="EYS36" s="2"/>
      <c r="EYT36" s="2"/>
      <c r="EYU36" s="2"/>
      <c r="EYV36" s="2"/>
      <c r="EYW36" s="2"/>
      <c r="EYX36" s="2"/>
      <c r="EYY36" s="2"/>
      <c r="EYZ36" s="2"/>
      <c r="EZA36" s="2"/>
      <c r="EZB36" s="2"/>
      <c r="EZC36" s="2"/>
      <c r="EZD36" s="2"/>
      <c r="EZE36" s="2"/>
      <c r="EZF36" s="2"/>
      <c r="EZG36" s="2"/>
      <c r="EZH36" s="2"/>
      <c r="EZI36" s="2"/>
      <c r="EZJ36" s="2"/>
      <c r="EZK36" s="2"/>
      <c r="EZL36" s="2"/>
      <c r="EZM36" s="2"/>
      <c r="EZN36" s="2"/>
      <c r="EZO36" s="2"/>
      <c r="EZP36" s="2"/>
      <c r="EZQ36" s="2"/>
      <c r="EZR36" s="2"/>
      <c r="EZS36" s="2"/>
      <c r="EZT36" s="2"/>
      <c r="EZU36" s="2"/>
      <c r="EZV36" s="2"/>
      <c r="EZW36" s="2"/>
      <c r="EZX36" s="2"/>
      <c r="EZY36" s="2"/>
      <c r="EZZ36" s="2"/>
      <c r="FAA36" s="2"/>
      <c r="FAB36" s="2"/>
      <c r="FAC36" s="2"/>
      <c r="FAD36" s="2"/>
      <c r="FAE36" s="2"/>
      <c r="FAF36" s="2"/>
      <c r="FAG36" s="2"/>
      <c r="FAH36" s="2"/>
      <c r="FAI36" s="2"/>
      <c r="FAJ36" s="2"/>
      <c r="FAK36" s="2"/>
      <c r="FAL36" s="2"/>
      <c r="FAM36" s="2"/>
      <c r="FAN36" s="2"/>
      <c r="FAO36" s="2"/>
      <c r="FAP36" s="2"/>
      <c r="FAQ36" s="2"/>
      <c r="FAR36" s="2"/>
      <c r="FAS36" s="2"/>
      <c r="FAT36" s="2"/>
      <c r="FAU36" s="2"/>
      <c r="FAV36" s="2"/>
      <c r="FAW36" s="2"/>
      <c r="FAX36" s="2"/>
      <c r="FAY36" s="2"/>
      <c r="FAZ36" s="2"/>
      <c r="FBA36" s="2"/>
      <c r="FBB36" s="2"/>
      <c r="FBC36" s="2"/>
      <c r="FBD36" s="2"/>
      <c r="FBE36" s="2"/>
      <c r="FBF36" s="2"/>
      <c r="FBG36" s="2"/>
      <c r="FBH36" s="2"/>
      <c r="FBI36" s="2"/>
      <c r="FBJ36" s="2"/>
      <c r="FBK36" s="2"/>
      <c r="FBL36" s="2"/>
      <c r="FBM36" s="2"/>
      <c r="FBN36" s="2"/>
      <c r="FBO36" s="2"/>
      <c r="FBP36" s="2"/>
      <c r="FBQ36" s="2"/>
      <c r="FBR36" s="2"/>
      <c r="FBS36" s="2"/>
      <c r="FBT36" s="2"/>
      <c r="FBU36" s="2"/>
      <c r="FBV36" s="2"/>
      <c r="FBW36" s="2"/>
      <c r="FBX36" s="2"/>
      <c r="FBY36" s="2"/>
      <c r="FBZ36" s="2"/>
      <c r="FCA36" s="2"/>
      <c r="FCB36" s="2"/>
      <c r="FCC36" s="2"/>
      <c r="FCD36" s="2"/>
      <c r="FCE36" s="2"/>
      <c r="FCF36" s="2"/>
      <c r="FCG36" s="2"/>
      <c r="FCH36" s="2"/>
      <c r="FCI36" s="2"/>
      <c r="FCJ36" s="2"/>
      <c r="FCK36" s="2"/>
      <c r="FCL36" s="2"/>
      <c r="FCM36" s="2"/>
      <c r="FCN36" s="2"/>
      <c r="FCO36" s="2"/>
      <c r="FCP36" s="2"/>
      <c r="FCQ36" s="2"/>
      <c r="FCR36" s="2"/>
      <c r="FCS36" s="2"/>
      <c r="FCT36" s="2"/>
      <c r="FCU36" s="2"/>
      <c r="FCV36" s="2"/>
      <c r="FCW36" s="2"/>
      <c r="FCX36" s="2"/>
      <c r="FCY36" s="2"/>
      <c r="FCZ36" s="2"/>
      <c r="FDA36" s="2"/>
      <c r="FDB36" s="2"/>
      <c r="FDC36" s="2"/>
      <c r="FDD36" s="2"/>
      <c r="FDE36" s="2"/>
      <c r="FDF36" s="2"/>
      <c r="FDG36" s="2"/>
      <c r="FDH36" s="2"/>
      <c r="FDI36" s="2"/>
      <c r="FDJ36" s="2"/>
      <c r="FDK36" s="2"/>
      <c r="FDL36" s="2"/>
      <c r="FDM36" s="2"/>
      <c r="FDN36" s="2"/>
      <c r="FDO36" s="2"/>
      <c r="FDP36" s="2"/>
      <c r="FDQ36" s="2"/>
      <c r="FDR36" s="2"/>
      <c r="FDS36" s="2"/>
      <c r="FDT36" s="2"/>
      <c r="FDU36" s="2"/>
      <c r="FDV36" s="2"/>
      <c r="FDW36" s="2"/>
      <c r="FDX36" s="2"/>
      <c r="FDY36" s="2"/>
      <c r="FDZ36" s="2"/>
      <c r="FEA36" s="2"/>
      <c r="FEB36" s="2"/>
      <c r="FEC36" s="2"/>
      <c r="FED36" s="2"/>
      <c r="FEE36" s="2"/>
      <c r="FEF36" s="2"/>
      <c r="FEG36" s="2"/>
      <c r="FEH36" s="2"/>
      <c r="FEI36" s="2"/>
      <c r="FEJ36" s="2"/>
      <c r="FEK36" s="2"/>
      <c r="FEL36" s="2"/>
      <c r="FEM36" s="2"/>
      <c r="FEN36" s="2"/>
      <c r="FEO36" s="2"/>
      <c r="FEP36" s="2"/>
      <c r="FEQ36" s="2"/>
      <c r="FER36" s="2"/>
      <c r="FES36" s="2"/>
      <c r="FET36" s="2"/>
      <c r="FEU36" s="2"/>
      <c r="FEV36" s="2"/>
      <c r="FEW36" s="2"/>
      <c r="FEX36" s="2"/>
      <c r="FEY36" s="2"/>
      <c r="FEZ36" s="2"/>
      <c r="FFA36" s="2"/>
      <c r="FFB36" s="2"/>
      <c r="FFC36" s="2"/>
      <c r="FFD36" s="2"/>
      <c r="FFE36" s="2"/>
      <c r="FFF36" s="2"/>
      <c r="FFG36" s="2"/>
      <c r="FFH36" s="2"/>
      <c r="FFI36" s="2"/>
      <c r="FFJ36" s="2"/>
      <c r="FFK36" s="2"/>
      <c r="FFL36" s="2"/>
      <c r="FFM36" s="2"/>
      <c r="FFN36" s="2"/>
      <c r="FFO36" s="2"/>
      <c r="FFP36" s="2"/>
      <c r="FFQ36" s="2"/>
      <c r="FFR36" s="2"/>
      <c r="FFS36" s="2"/>
      <c r="FFT36" s="2"/>
      <c r="FFU36" s="2"/>
      <c r="FFV36" s="2"/>
      <c r="FFW36" s="2"/>
      <c r="FFX36" s="2"/>
      <c r="FFY36" s="2"/>
      <c r="FFZ36" s="2"/>
      <c r="FGA36" s="2"/>
      <c r="FGB36" s="2"/>
      <c r="FGC36" s="2"/>
      <c r="FGD36" s="2"/>
      <c r="FGE36" s="2"/>
      <c r="FGF36" s="2"/>
      <c r="FGG36" s="2"/>
      <c r="FGH36" s="2"/>
      <c r="FGI36" s="2"/>
      <c r="FGJ36" s="2"/>
      <c r="FGK36" s="2"/>
      <c r="FGL36" s="2"/>
      <c r="FGM36" s="2"/>
      <c r="FGN36" s="2"/>
      <c r="FGO36" s="2"/>
      <c r="FGP36" s="2"/>
      <c r="FGQ36" s="2"/>
      <c r="FGR36" s="2"/>
      <c r="FGS36" s="2"/>
      <c r="FGT36" s="2"/>
      <c r="FGU36" s="2"/>
      <c r="FGV36" s="2"/>
      <c r="FGW36" s="2"/>
      <c r="FGX36" s="2"/>
      <c r="FGY36" s="2"/>
      <c r="FGZ36" s="2"/>
      <c r="FHA36" s="2"/>
      <c r="FHB36" s="2"/>
      <c r="FHC36" s="2"/>
      <c r="FHD36" s="2"/>
      <c r="FHE36" s="2"/>
      <c r="FHF36" s="2"/>
      <c r="FHG36" s="2"/>
      <c r="FHH36" s="2"/>
      <c r="FHI36" s="2"/>
      <c r="FHJ36" s="2"/>
      <c r="FHK36" s="2"/>
      <c r="FHL36" s="2"/>
      <c r="FHM36" s="2"/>
      <c r="FHN36" s="2"/>
      <c r="FHO36" s="2"/>
      <c r="FHP36" s="2"/>
      <c r="FHQ36" s="2"/>
      <c r="FHR36" s="2"/>
      <c r="FHS36" s="2"/>
      <c r="FHT36" s="2"/>
      <c r="FHU36" s="2"/>
      <c r="FHV36" s="2"/>
      <c r="FHW36" s="2"/>
      <c r="FHX36" s="2"/>
      <c r="FHY36" s="2"/>
      <c r="FHZ36" s="2"/>
      <c r="FIA36" s="2"/>
      <c r="FIB36" s="2"/>
      <c r="FIC36" s="2"/>
      <c r="FID36" s="2"/>
      <c r="FIE36" s="2"/>
      <c r="FIF36" s="2"/>
      <c r="FIG36" s="2"/>
      <c r="FIH36" s="2"/>
      <c r="FII36" s="2"/>
      <c r="FIJ36" s="2"/>
      <c r="FIK36" s="2"/>
      <c r="FIL36" s="2"/>
      <c r="FIM36" s="2"/>
      <c r="FIN36" s="2"/>
      <c r="FIO36" s="2"/>
      <c r="FIP36" s="2"/>
      <c r="FIQ36" s="2"/>
      <c r="FIR36" s="2"/>
      <c r="FIS36" s="2"/>
      <c r="FIT36" s="2"/>
      <c r="FIU36" s="2"/>
      <c r="FIV36" s="2"/>
      <c r="FIW36" s="2"/>
      <c r="FIX36" s="2"/>
      <c r="FIY36" s="2"/>
      <c r="FIZ36" s="2"/>
      <c r="FJA36" s="2"/>
      <c r="FJB36" s="2"/>
      <c r="FJC36" s="2"/>
      <c r="FJD36" s="2"/>
      <c r="FJE36" s="2"/>
      <c r="FJF36" s="2"/>
      <c r="FJG36" s="2"/>
      <c r="FJH36" s="2"/>
      <c r="FJI36" s="2"/>
      <c r="FJJ36" s="2"/>
      <c r="FJK36" s="2"/>
      <c r="FJL36" s="2"/>
      <c r="FJM36" s="2"/>
      <c r="FJN36" s="2"/>
      <c r="FJO36" s="2"/>
      <c r="FJP36" s="2"/>
      <c r="FJQ36" s="2"/>
      <c r="FJR36" s="2"/>
      <c r="FJS36" s="2"/>
      <c r="FJT36" s="2"/>
      <c r="FJU36" s="2"/>
      <c r="FJV36" s="2"/>
      <c r="FJW36" s="2"/>
      <c r="FJX36" s="2"/>
      <c r="FJY36" s="2"/>
      <c r="FJZ36" s="2"/>
      <c r="FKA36" s="2"/>
      <c r="FKB36" s="2"/>
      <c r="FKC36" s="2"/>
      <c r="FKD36" s="2"/>
      <c r="FKE36" s="2"/>
      <c r="FKF36" s="2"/>
      <c r="FKG36" s="2"/>
      <c r="FKH36" s="2"/>
      <c r="FKI36" s="2"/>
      <c r="FKJ36" s="2"/>
      <c r="FKK36" s="2"/>
      <c r="FKL36" s="2"/>
      <c r="FKM36" s="2"/>
      <c r="FKN36" s="2"/>
      <c r="FKO36" s="2"/>
      <c r="FKP36" s="2"/>
      <c r="FKQ36" s="2"/>
      <c r="FKR36" s="2"/>
      <c r="FKS36" s="2"/>
      <c r="FKT36" s="2"/>
      <c r="FKU36" s="2"/>
      <c r="FKV36" s="2"/>
      <c r="FKW36" s="2"/>
      <c r="FKX36" s="2"/>
      <c r="FKY36" s="2"/>
      <c r="FKZ36" s="2"/>
      <c r="FLA36" s="2"/>
      <c r="FLB36" s="2"/>
      <c r="FLC36" s="2"/>
      <c r="FLD36" s="2"/>
      <c r="FLE36" s="2"/>
      <c r="FLF36" s="2"/>
      <c r="FLG36" s="2"/>
      <c r="FLH36" s="2"/>
      <c r="FLI36" s="2"/>
      <c r="FLJ36" s="2"/>
      <c r="FLK36" s="2"/>
      <c r="FLL36" s="2"/>
      <c r="FLM36" s="2"/>
      <c r="FLN36" s="2"/>
      <c r="FLO36" s="2"/>
      <c r="FLP36" s="2"/>
      <c r="FLQ36" s="2"/>
      <c r="FLR36" s="2"/>
      <c r="FLS36" s="2"/>
      <c r="FLT36" s="2"/>
      <c r="FLU36" s="2"/>
      <c r="FLV36" s="2"/>
      <c r="FLW36" s="2"/>
      <c r="FLX36" s="2"/>
      <c r="FLY36" s="2"/>
      <c r="FLZ36" s="2"/>
      <c r="FMA36" s="2"/>
      <c r="FMB36" s="2"/>
      <c r="FMC36" s="2"/>
      <c r="FMD36" s="2"/>
      <c r="FME36" s="2"/>
      <c r="FMF36" s="2"/>
      <c r="FMG36" s="2"/>
      <c r="FMH36" s="2"/>
      <c r="FMI36" s="2"/>
      <c r="FMJ36" s="2"/>
      <c r="FMK36" s="2"/>
      <c r="FML36" s="2"/>
      <c r="FMM36" s="2"/>
      <c r="FMN36" s="2"/>
      <c r="FMO36" s="2"/>
      <c r="FMP36" s="2"/>
      <c r="FMQ36" s="2"/>
      <c r="FMR36" s="2"/>
      <c r="FMS36" s="2"/>
      <c r="FMT36" s="2"/>
      <c r="FMU36" s="2"/>
      <c r="FMV36" s="2"/>
      <c r="FMW36" s="2"/>
      <c r="FMX36" s="2"/>
      <c r="FMY36" s="2"/>
      <c r="FMZ36" s="2"/>
      <c r="FNA36" s="2"/>
      <c r="FNB36" s="2"/>
      <c r="FNC36" s="2"/>
      <c r="FND36" s="2"/>
      <c r="FNE36" s="2"/>
      <c r="FNF36" s="2"/>
      <c r="FNG36" s="2"/>
      <c r="FNH36" s="2"/>
      <c r="FNI36" s="2"/>
      <c r="FNJ36" s="2"/>
      <c r="FNK36" s="2"/>
      <c r="FNL36" s="2"/>
      <c r="FNM36" s="2"/>
      <c r="FNN36" s="2"/>
      <c r="FNO36" s="2"/>
      <c r="FNP36" s="2"/>
      <c r="FNQ36" s="2"/>
      <c r="FNR36" s="2"/>
      <c r="FNS36" s="2"/>
      <c r="FNT36" s="2"/>
      <c r="FNU36" s="2"/>
      <c r="FNV36" s="2"/>
      <c r="FNW36" s="2"/>
      <c r="FNX36" s="2"/>
      <c r="FNY36" s="2"/>
      <c r="FNZ36" s="2"/>
      <c r="FOA36" s="2"/>
      <c r="FOB36" s="2"/>
      <c r="FOC36" s="2"/>
      <c r="FOD36" s="2"/>
      <c r="FOE36" s="2"/>
      <c r="FOF36" s="2"/>
      <c r="FOG36" s="2"/>
      <c r="FOH36" s="2"/>
      <c r="FOI36" s="2"/>
      <c r="FOJ36" s="2"/>
      <c r="FOK36" s="2"/>
      <c r="FOL36" s="2"/>
      <c r="FOM36" s="2"/>
      <c r="FON36" s="2"/>
      <c r="FOO36" s="2"/>
      <c r="FOP36" s="2"/>
      <c r="FOQ36" s="2"/>
      <c r="FOR36" s="2"/>
      <c r="FOS36" s="2"/>
      <c r="FOT36" s="2"/>
      <c r="FOU36" s="2"/>
      <c r="FOV36" s="2"/>
      <c r="FOW36" s="2"/>
      <c r="FOX36" s="2"/>
      <c r="FOY36" s="2"/>
      <c r="FOZ36" s="2"/>
      <c r="FPA36" s="2"/>
      <c r="FPB36" s="2"/>
      <c r="FPC36" s="2"/>
      <c r="FPD36" s="2"/>
      <c r="FPE36" s="2"/>
      <c r="FPF36" s="2"/>
      <c r="FPG36" s="2"/>
      <c r="FPH36" s="2"/>
      <c r="FPI36" s="2"/>
      <c r="FPJ36" s="2"/>
      <c r="FPK36" s="2"/>
      <c r="FPL36" s="2"/>
      <c r="FPM36" s="2"/>
      <c r="FPN36" s="2"/>
      <c r="FPO36" s="2"/>
      <c r="FPP36" s="2"/>
      <c r="FPQ36" s="2"/>
      <c r="FPR36" s="2"/>
      <c r="FPS36" s="2"/>
      <c r="FPT36" s="2"/>
      <c r="FPU36" s="2"/>
      <c r="FPV36" s="2"/>
      <c r="FPW36" s="2"/>
      <c r="FPX36" s="2"/>
      <c r="FPY36" s="2"/>
      <c r="FPZ36" s="2"/>
      <c r="FQA36" s="2"/>
      <c r="FQB36" s="2"/>
      <c r="FQC36" s="2"/>
      <c r="FQD36" s="2"/>
      <c r="FQE36" s="2"/>
      <c r="FQF36" s="2"/>
      <c r="FQG36" s="2"/>
      <c r="FQH36" s="2"/>
      <c r="FQI36" s="2"/>
      <c r="FQJ36" s="2"/>
      <c r="FQK36" s="2"/>
      <c r="FQL36" s="2"/>
      <c r="FQM36" s="2"/>
      <c r="FQN36" s="2"/>
      <c r="FQO36" s="2"/>
      <c r="FQP36" s="2"/>
      <c r="FQQ36" s="2"/>
      <c r="FQR36" s="2"/>
      <c r="FQS36" s="2"/>
      <c r="FQT36" s="2"/>
      <c r="FQU36" s="2"/>
      <c r="FQV36" s="2"/>
      <c r="FQW36" s="2"/>
      <c r="FQX36" s="2"/>
      <c r="FQY36" s="2"/>
      <c r="FQZ36" s="2"/>
      <c r="FRA36" s="2"/>
      <c r="FRB36" s="2"/>
      <c r="FRC36" s="2"/>
      <c r="FRD36" s="2"/>
      <c r="FRE36" s="2"/>
      <c r="FRF36" s="2"/>
      <c r="FRG36" s="2"/>
      <c r="FRH36" s="2"/>
      <c r="FRI36" s="2"/>
      <c r="FRJ36" s="2"/>
      <c r="FRK36" s="2"/>
      <c r="FRL36" s="2"/>
      <c r="FRM36" s="2"/>
      <c r="FRN36" s="2"/>
      <c r="FRO36" s="2"/>
      <c r="FRP36" s="2"/>
      <c r="FRQ36" s="2"/>
      <c r="FRR36" s="2"/>
      <c r="FRS36" s="2"/>
      <c r="FRT36" s="2"/>
      <c r="FRU36" s="2"/>
      <c r="FRV36" s="2"/>
      <c r="FRW36" s="2"/>
      <c r="FRX36" s="2"/>
      <c r="FRY36" s="2"/>
      <c r="FRZ36" s="2"/>
      <c r="FSA36" s="2"/>
      <c r="FSB36" s="2"/>
      <c r="FSC36" s="2"/>
      <c r="FSD36" s="2"/>
      <c r="FSE36" s="2"/>
      <c r="FSF36" s="2"/>
      <c r="FSG36" s="2"/>
      <c r="FSH36" s="2"/>
      <c r="FSI36" s="2"/>
      <c r="FSJ36" s="2"/>
      <c r="FSK36" s="2"/>
      <c r="FSL36" s="2"/>
      <c r="FSM36" s="2"/>
      <c r="FSN36" s="2"/>
      <c r="FSO36" s="2"/>
      <c r="FSP36" s="2"/>
      <c r="FSQ36" s="2"/>
      <c r="FSR36" s="2"/>
      <c r="FSS36" s="2"/>
      <c r="FST36" s="2"/>
      <c r="FSU36" s="2"/>
      <c r="FSV36" s="2"/>
      <c r="FSW36" s="2"/>
      <c r="FSX36" s="2"/>
      <c r="FSY36" s="2"/>
      <c r="FSZ36" s="2"/>
      <c r="FTA36" s="2"/>
      <c r="FTB36" s="2"/>
      <c r="FTC36" s="2"/>
      <c r="FTD36" s="2"/>
      <c r="FTE36" s="2"/>
      <c r="FTF36" s="2"/>
      <c r="FTG36" s="2"/>
      <c r="FTH36" s="2"/>
      <c r="FTI36" s="2"/>
      <c r="FTJ36" s="2"/>
      <c r="FTK36" s="2"/>
      <c r="FTL36" s="2"/>
      <c r="FTM36" s="2"/>
      <c r="FTN36" s="2"/>
      <c r="FTO36" s="2"/>
      <c r="FTP36" s="2"/>
      <c r="FTQ36" s="2"/>
      <c r="FTR36" s="2"/>
      <c r="FTS36" s="2"/>
      <c r="FTT36" s="2"/>
      <c r="FTU36" s="2"/>
      <c r="FTV36" s="2"/>
      <c r="FTW36" s="2"/>
      <c r="FTX36" s="2"/>
      <c r="FTY36" s="2"/>
      <c r="FTZ36" s="2"/>
      <c r="FUA36" s="2"/>
      <c r="FUB36" s="2"/>
      <c r="FUC36" s="2"/>
      <c r="FUD36" s="2"/>
      <c r="FUE36" s="2"/>
      <c r="FUF36" s="2"/>
      <c r="FUG36" s="2"/>
      <c r="FUH36" s="2"/>
      <c r="FUI36" s="2"/>
      <c r="FUJ36" s="2"/>
      <c r="FUK36" s="2"/>
      <c r="FUL36" s="2"/>
      <c r="FUM36" s="2"/>
      <c r="FUN36" s="2"/>
      <c r="FUO36" s="2"/>
      <c r="FUP36" s="2"/>
      <c r="FUQ36" s="2"/>
      <c r="FUR36" s="2"/>
      <c r="FUS36" s="2"/>
      <c r="FUT36" s="2"/>
      <c r="FUU36" s="2"/>
      <c r="FUV36" s="2"/>
      <c r="FUW36" s="2"/>
      <c r="FUX36" s="2"/>
      <c r="FUY36" s="2"/>
      <c r="FUZ36" s="2"/>
      <c r="FVA36" s="2"/>
      <c r="FVB36" s="2"/>
      <c r="FVC36" s="2"/>
      <c r="FVD36" s="2"/>
      <c r="FVE36" s="2"/>
      <c r="FVF36" s="2"/>
      <c r="FVG36" s="2"/>
      <c r="FVH36" s="2"/>
      <c r="FVI36" s="2"/>
      <c r="FVJ36" s="2"/>
      <c r="FVK36" s="2"/>
      <c r="FVL36" s="2"/>
      <c r="FVM36" s="2"/>
      <c r="FVN36" s="2"/>
      <c r="FVO36" s="2"/>
      <c r="FVP36" s="2"/>
      <c r="FVQ36" s="2"/>
      <c r="FVR36" s="2"/>
      <c r="FVS36" s="2"/>
      <c r="FVT36" s="2"/>
      <c r="FVU36" s="2"/>
      <c r="FVV36" s="2"/>
      <c r="FVW36" s="2"/>
      <c r="FVX36" s="2"/>
      <c r="FVY36" s="2"/>
      <c r="FVZ36" s="2"/>
      <c r="FWA36" s="2"/>
      <c r="FWB36" s="2"/>
      <c r="FWC36" s="2"/>
      <c r="FWD36" s="2"/>
      <c r="FWE36" s="2"/>
      <c r="FWF36" s="2"/>
      <c r="FWG36" s="2"/>
      <c r="FWH36" s="2"/>
      <c r="FWI36" s="2"/>
      <c r="FWJ36" s="2"/>
      <c r="FWK36" s="2"/>
      <c r="FWL36" s="2"/>
      <c r="FWM36" s="2"/>
      <c r="FWN36" s="2"/>
      <c r="FWO36" s="2"/>
      <c r="FWP36" s="2"/>
      <c r="FWQ36" s="2"/>
      <c r="FWR36" s="2"/>
      <c r="FWS36" s="2"/>
      <c r="FWT36" s="2"/>
      <c r="FWU36" s="2"/>
      <c r="FWV36" s="2"/>
      <c r="FWW36" s="2"/>
      <c r="FWX36" s="2"/>
      <c r="FWY36" s="2"/>
      <c r="FWZ36" s="2"/>
      <c r="FXA36" s="2"/>
      <c r="FXB36" s="2"/>
      <c r="FXC36" s="2"/>
      <c r="FXD36" s="2"/>
      <c r="FXE36" s="2"/>
      <c r="FXF36" s="2"/>
      <c r="FXG36" s="2"/>
      <c r="FXH36" s="2"/>
      <c r="FXI36" s="2"/>
      <c r="FXJ36" s="2"/>
      <c r="FXK36" s="2"/>
      <c r="FXL36" s="2"/>
      <c r="FXM36" s="2"/>
      <c r="FXN36" s="2"/>
      <c r="FXO36" s="2"/>
      <c r="FXP36" s="2"/>
      <c r="FXQ36" s="2"/>
      <c r="FXR36" s="2"/>
      <c r="FXS36" s="2"/>
      <c r="FXT36" s="2"/>
      <c r="FXU36" s="2"/>
      <c r="FXV36" s="2"/>
      <c r="FXW36" s="2"/>
      <c r="FXX36" s="2"/>
      <c r="FXY36" s="2"/>
      <c r="FXZ36" s="2"/>
      <c r="FYA36" s="2"/>
      <c r="FYB36" s="2"/>
      <c r="FYC36" s="2"/>
      <c r="FYD36" s="2"/>
      <c r="FYE36" s="2"/>
      <c r="FYF36" s="2"/>
      <c r="FYG36" s="2"/>
      <c r="FYH36" s="2"/>
      <c r="FYI36" s="2"/>
      <c r="FYJ36" s="2"/>
      <c r="FYK36" s="2"/>
      <c r="FYL36" s="2"/>
      <c r="FYM36" s="2"/>
      <c r="FYN36" s="2"/>
      <c r="FYO36" s="2"/>
      <c r="FYP36" s="2"/>
      <c r="FYQ36" s="2"/>
      <c r="FYR36" s="2"/>
      <c r="FYS36" s="2"/>
      <c r="FYT36" s="2"/>
      <c r="FYU36" s="2"/>
      <c r="FYV36" s="2"/>
      <c r="FYW36" s="2"/>
      <c r="FYX36" s="2"/>
      <c r="FYY36" s="2"/>
      <c r="FYZ36" s="2"/>
      <c r="FZA36" s="2"/>
      <c r="FZB36" s="2"/>
      <c r="FZC36" s="2"/>
      <c r="FZD36" s="2"/>
      <c r="FZE36" s="2"/>
      <c r="FZF36" s="2"/>
      <c r="FZG36" s="2"/>
      <c r="FZH36" s="2"/>
      <c r="FZI36" s="2"/>
      <c r="FZJ36" s="2"/>
      <c r="FZK36" s="2"/>
      <c r="FZL36" s="2"/>
      <c r="FZM36" s="2"/>
      <c r="FZN36" s="2"/>
      <c r="FZO36" s="2"/>
      <c r="FZP36" s="2"/>
      <c r="FZQ36" s="2"/>
      <c r="FZR36" s="2"/>
      <c r="FZS36" s="2"/>
      <c r="FZT36" s="2"/>
      <c r="FZU36" s="2"/>
      <c r="FZV36" s="2"/>
      <c r="FZW36" s="2"/>
      <c r="FZX36" s="2"/>
      <c r="FZY36" s="2"/>
      <c r="FZZ36" s="2"/>
      <c r="GAA36" s="2"/>
      <c r="GAB36" s="2"/>
      <c r="GAC36" s="2"/>
      <c r="GAD36" s="2"/>
      <c r="GAE36" s="2"/>
      <c r="GAF36" s="2"/>
      <c r="GAG36" s="2"/>
      <c r="GAH36" s="2"/>
      <c r="GAI36" s="2"/>
      <c r="GAJ36" s="2"/>
      <c r="GAK36" s="2"/>
      <c r="GAL36" s="2"/>
      <c r="GAM36" s="2"/>
      <c r="GAN36" s="2"/>
      <c r="GAO36" s="2"/>
      <c r="GAP36" s="2"/>
      <c r="GAQ36" s="2"/>
      <c r="GAR36" s="2"/>
      <c r="GAS36" s="2"/>
      <c r="GAT36" s="2"/>
      <c r="GAU36" s="2"/>
      <c r="GAV36" s="2"/>
      <c r="GAW36" s="2"/>
      <c r="GAX36" s="2"/>
      <c r="GAY36" s="2"/>
      <c r="GAZ36" s="2"/>
      <c r="GBA36" s="2"/>
      <c r="GBB36" s="2"/>
      <c r="GBC36" s="2"/>
      <c r="GBD36" s="2"/>
      <c r="GBE36" s="2"/>
      <c r="GBF36" s="2"/>
      <c r="GBG36" s="2"/>
      <c r="GBH36" s="2"/>
      <c r="GBI36" s="2"/>
      <c r="GBJ36" s="2"/>
      <c r="GBK36" s="2"/>
      <c r="GBL36" s="2"/>
      <c r="GBM36" s="2"/>
      <c r="GBN36" s="2"/>
      <c r="GBO36" s="2"/>
      <c r="GBP36" s="2"/>
      <c r="GBQ36" s="2"/>
      <c r="GBR36" s="2"/>
      <c r="GBS36" s="2"/>
      <c r="GBT36" s="2"/>
      <c r="GBU36" s="2"/>
      <c r="GBV36" s="2"/>
      <c r="GBW36" s="2"/>
      <c r="GBX36" s="2"/>
      <c r="GBY36" s="2"/>
      <c r="GBZ36" s="2"/>
      <c r="GCA36" s="2"/>
      <c r="GCB36" s="2"/>
      <c r="GCC36" s="2"/>
      <c r="GCD36" s="2"/>
      <c r="GCE36" s="2"/>
      <c r="GCF36" s="2"/>
      <c r="GCG36" s="2"/>
      <c r="GCH36" s="2"/>
      <c r="GCI36" s="2"/>
      <c r="GCJ36" s="2"/>
      <c r="GCK36" s="2"/>
      <c r="GCL36" s="2"/>
      <c r="GCM36" s="2"/>
      <c r="GCN36" s="2"/>
      <c r="GCO36" s="2"/>
      <c r="GCP36" s="2"/>
      <c r="GCQ36" s="2"/>
      <c r="GCR36" s="2"/>
      <c r="GCS36" s="2"/>
      <c r="GCT36" s="2"/>
      <c r="GCU36" s="2"/>
      <c r="GCV36" s="2"/>
      <c r="GCW36" s="2"/>
      <c r="GCX36" s="2"/>
      <c r="GCY36" s="2"/>
      <c r="GCZ36" s="2"/>
      <c r="GDA36" s="2"/>
      <c r="GDB36" s="2"/>
      <c r="GDC36" s="2"/>
      <c r="GDD36" s="2"/>
      <c r="GDE36" s="2"/>
      <c r="GDF36" s="2"/>
      <c r="GDG36" s="2"/>
      <c r="GDH36" s="2"/>
      <c r="GDI36" s="2"/>
      <c r="GDJ36" s="2"/>
      <c r="GDK36" s="2"/>
      <c r="GDL36" s="2"/>
      <c r="GDM36" s="2"/>
      <c r="GDN36" s="2"/>
      <c r="GDO36" s="2"/>
      <c r="GDP36" s="2"/>
      <c r="GDQ36" s="2"/>
      <c r="GDR36" s="2"/>
      <c r="GDS36" s="2"/>
      <c r="GDT36" s="2"/>
      <c r="GDU36" s="2"/>
      <c r="GDV36" s="2"/>
      <c r="GDW36" s="2"/>
      <c r="GDX36" s="2"/>
      <c r="GDY36" s="2"/>
      <c r="GDZ36" s="2"/>
      <c r="GEA36" s="2"/>
      <c r="GEB36" s="2"/>
      <c r="GEC36" s="2"/>
      <c r="GED36" s="2"/>
      <c r="GEE36" s="2"/>
      <c r="GEF36" s="2"/>
      <c r="GEG36" s="2"/>
      <c r="GEH36" s="2"/>
      <c r="GEI36" s="2"/>
      <c r="GEJ36" s="2"/>
      <c r="GEK36" s="2"/>
      <c r="GEL36" s="2"/>
      <c r="GEM36" s="2"/>
      <c r="GEN36" s="2"/>
      <c r="GEO36" s="2"/>
      <c r="GEP36" s="2"/>
      <c r="GEQ36" s="2"/>
      <c r="GER36" s="2"/>
      <c r="GES36" s="2"/>
      <c r="GET36" s="2"/>
      <c r="GEU36" s="2"/>
      <c r="GEV36" s="2"/>
      <c r="GEW36" s="2"/>
      <c r="GEX36" s="2"/>
      <c r="GEY36" s="2"/>
      <c r="GEZ36" s="2"/>
      <c r="GFA36" s="2"/>
      <c r="GFB36" s="2"/>
      <c r="GFC36" s="2"/>
      <c r="GFD36" s="2"/>
      <c r="GFE36" s="2"/>
      <c r="GFF36" s="2"/>
      <c r="GFG36" s="2"/>
      <c r="GFH36" s="2"/>
      <c r="GFI36" s="2"/>
      <c r="GFJ36" s="2"/>
      <c r="GFK36" s="2"/>
      <c r="GFL36" s="2"/>
      <c r="GFM36" s="2"/>
      <c r="GFN36" s="2"/>
      <c r="GFO36" s="2"/>
      <c r="GFP36" s="2"/>
      <c r="GFQ36" s="2"/>
      <c r="GFR36" s="2"/>
      <c r="GFS36" s="2"/>
      <c r="GFT36" s="2"/>
      <c r="GFU36" s="2"/>
      <c r="GFV36" s="2"/>
      <c r="GFW36" s="2"/>
      <c r="GFX36" s="2"/>
      <c r="GFY36" s="2"/>
      <c r="GFZ36" s="2"/>
      <c r="GGA36" s="2"/>
      <c r="GGB36" s="2"/>
      <c r="GGC36" s="2"/>
      <c r="GGD36" s="2"/>
      <c r="GGE36" s="2"/>
      <c r="GGF36" s="2"/>
      <c r="GGG36" s="2"/>
      <c r="GGH36" s="2"/>
      <c r="GGI36" s="2"/>
      <c r="GGJ36" s="2"/>
      <c r="GGK36" s="2"/>
      <c r="GGL36" s="2"/>
      <c r="GGM36" s="2"/>
      <c r="GGN36" s="2"/>
      <c r="GGO36" s="2"/>
      <c r="GGP36" s="2"/>
      <c r="GGQ36" s="2"/>
      <c r="GGR36" s="2"/>
      <c r="GGS36" s="2"/>
      <c r="GGT36" s="2"/>
      <c r="GGU36" s="2"/>
      <c r="GGV36" s="2"/>
      <c r="GGW36" s="2"/>
      <c r="GGX36" s="2"/>
      <c r="GGY36" s="2"/>
      <c r="GGZ36" s="2"/>
      <c r="GHA36" s="2"/>
      <c r="GHB36" s="2"/>
      <c r="GHC36" s="2"/>
      <c r="GHD36" s="2"/>
      <c r="GHE36" s="2"/>
      <c r="GHF36" s="2"/>
      <c r="GHG36" s="2"/>
      <c r="GHH36" s="2"/>
      <c r="GHI36" s="2"/>
      <c r="GHJ36" s="2"/>
      <c r="GHK36" s="2"/>
      <c r="GHL36" s="2"/>
      <c r="GHM36" s="2"/>
      <c r="GHN36" s="2"/>
      <c r="GHO36" s="2"/>
      <c r="GHP36" s="2"/>
      <c r="GHQ36" s="2"/>
      <c r="GHR36" s="2"/>
      <c r="GHS36" s="2"/>
      <c r="GHT36" s="2"/>
      <c r="GHU36" s="2"/>
      <c r="GHV36" s="2"/>
      <c r="GHW36" s="2"/>
      <c r="GHX36" s="2"/>
      <c r="GHY36" s="2"/>
      <c r="GHZ36" s="2"/>
      <c r="GIA36" s="2"/>
      <c r="GIB36" s="2"/>
      <c r="GIC36" s="2"/>
      <c r="GID36" s="2"/>
      <c r="GIE36" s="2"/>
      <c r="GIF36" s="2"/>
      <c r="GIG36" s="2"/>
      <c r="GIH36" s="2"/>
      <c r="GII36" s="2"/>
      <c r="GIJ36" s="2"/>
      <c r="GIK36" s="2"/>
      <c r="GIL36" s="2"/>
      <c r="GIM36" s="2"/>
      <c r="GIN36" s="2"/>
      <c r="GIO36" s="2"/>
      <c r="GIP36" s="2"/>
      <c r="GIQ36" s="2"/>
      <c r="GIR36" s="2"/>
      <c r="GIS36" s="2"/>
      <c r="GIT36" s="2"/>
      <c r="GIU36" s="2"/>
      <c r="GIV36" s="2"/>
      <c r="GIW36" s="2"/>
      <c r="GIX36" s="2"/>
      <c r="GIY36" s="2"/>
      <c r="GIZ36" s="2"/>
      <c r="GJA36" s="2"/>
      <c r="GJB36" s="2"/>
      <c r="GJC36" s="2"/>
      <c r="GJD36" s="2"/>
      <c r="GJE36" s="2"/>
      <c r="GJF36" s="2"/>
      <c r="GJG36" s="2"/>
      <c r="GJH36" s="2"/>
      <c r="GJI36" s="2"/>
      <c r="GJJ36" s="2"/>
      <c r="GJK36" s="2"/>
      <c r="GJL36" s="2"/>
      <c r="GJM36" s="2"/>
      <c r="GJN36" s="2"/>
      <c r="GJO36" s="2"/>
      <c r="GJP36" s="2"/>
      <c r="GJQ36" s="2"/>
      <c r="GJR36" s="2"/>
      <c r="GJS36" s="2"/>
      <c r="GJT36" s="2"/>
      <c r="GJU36" s="2"/>
      <c r="GJV36" s="2"/>
      <c r="GJW36" s="2"/>
      <c r="GJX36" s="2"/>
      <c r="GJY36" s="2"/>
      <c r="GJZ36" s="2"/>
      <c r="GKA36" s="2"/>
      <c r="GKB36" s="2"/>
      <c r="GKC36" s="2"/>
      <c r="GKD36" s="2"/>
      <c r="GKE36" s="2"/>
      <c r="GKF36" s="2"/>
      <c r="GKG36" s="2"/>
      <c r="GKH36" s="2"/>
      <c r="GKI36" s="2"/>
      <c r="GKJ36" s="2"/>
      <c r="GKK36" s="2"/>
      <c r="GKL36" s="2"/>
      <c r="GKM36" s="2"/>
      <c r="GKN36" s="2"/>
      <c r="GKO36" s="2"/>
      <c r="GKP36" s="2"/>
      <c r="GKQ36" s="2"/>
      <c r="GKR36" s="2"/>
      <c r="GKS36" s="2"/>
      <c r="GKT36" s="2"/>
      <c r="GKU36" s="2"/>
      <c r="GKV36" s="2"/>
      <c r="GKW36" s="2"/>
      <c r="GKX36" s="2"/>
      <c r="GKY36" s="2"/>
      <c r="GKZ36" s="2"/>
      <c r="GLA36" s="2"/>
      <c r="GLB36" s="2"/>
      <c r="GLC36" s="2"/>
      <c r="GLD36" s="2"/>
      <c r="GLE36" s="2"/>
      <c r="GLF36" s="2"/>
      <c r="GLG36" s="2"/>
      <c r="GLH36" s="2"/>
      <c r="GLI36" s="2"/>
      <c r="GLJ36" s="2"/>
      <c r="GLK36" s="2"/>
      <c r="GLL36" s="2"/>
      <c r="GLM36" s="2"/>
      <c r="GLN36" s="2"/>
      <c r="GLO36" s="2"/>
      <c r="GLP36" s="2"/>
      <c r="GLQ36" s="2"/>
      <c r="GLR36" s="2"/>
      <c r="GLS36" s="2"/>
      <c r="GLT36" s="2"/>
      <c r="GLU36" s="2"/>
      <c r="GLV36" s="2"/>
      <c r="GLW36" s="2"/>
      <c r="GLX36" s="2"/>
      <c r="GLY36" s="2"/>
      <c r="GLZ36" s="2"/>
      <c r="GMA36" s="2"/>
      <c r="GMB36" s="2"/>
      <c r="GMC36" s="2"/>
      <c r="GMD36" s="2"/>
      <c r="GME36" s="2"/>
      <c r="GMF36" s="2"/>
      <c r="GMG36" s="2"/>
      <c r="GMH36" s="2"/>
      <c r="GMI36" s="2"/>
      <c r="GMJ36" s="2"/>
      <c r="GMK36" s="2"/>
      <c r="GML36" s="2"/>
      <c r="GMM36" s="2"/>
      <c r="GMN36" s="2"/>
      <c r="GMO36" s="2"/>
      <c r="GMP36" s="2"/>
      <c r="GMQ36" s="2"/>
      <c r="GMR36" s="2"/>
      <c r="GMS36" s="2"/>
      <c r="GMT36" s="2"/>
      <c r="GMU36" s="2"/>
      <c r="GMV36" s="2"/>
      <c r="GMW36" s="2"/>
      <c r="GMX36" s="2"/>
      <c r="GMY36" s="2"/>
      <c r="GMZ36" s="2"/>
      <c r="GNA36" s="2"/>
      <c r="GNB36" s="2"/>
      <c r="GNC36" s="2"/>
      <c r="GND36" s="2"/>
      <c r="GNE36" s="2"/>
      <c r="GNF36" s="2"/>
      <c r="GNG36" s="2"/>
      <c r="GNH36" s="2"/>
      <c r="GNI36" s="2"/>
      <c r="GNJ36" s="2"/>
      <c r="GNK36" s="2"/>
      <c r="GNL36" s="2"/>
      <c r="GNM36" s="2"/>
      <c r="GNN36" s="2"/>
      <c r="GNO36" s="2"/>
      <c r="GNP36" s="2"/>
      <c r="GNQ36" s="2"/>
      <c r="GNR36" s="2"/>
      <c r="GNS36" s="2"/>
      <c r="GNT36" s="2"/>
      <c r="GNU36" s="2"/>
      <c r="GNV36" s="2"/>
      <c r="GNW36" s="2"/>
      <c r="GNX36" s="2"/>
      <c r="GNY36" s="2"/>
      <c r="GNZ36" s="2"/>
      <c r="GOA36" s="2"/>
      <c r="GOB36" s="2"/>
      <c r="GOC36" s="2"/>
      <c r="GOD36" s="2"/>
      <c r="GOE36" s="2"/>
      <c r="GOF36" s="2"/>
      <c r="GOG36" s="2"/>
      <c r="GOH36" s="2"/>
      <c r="GOI36" s="2"/>
      <c r="GOJ36" s="2"/>
      <c r="GOK36" s="2"/>
      <c r="GOL36" s="2"/>
      <c r="GOM36" s="2"/>
      <c r="GON36" s="2"/>
      <c r="GOO36" s="2"/>
      <c r="GOP36" s="2"/>
      <c r="GOQ36" s="2"/>
      <c r="GOR36" s="2"/>
      <c r="GOS36" s="2"/>
      <c r="GOT36" s="2"/>
      <c r="GOU36" s="2"/>
      <c r="GOV36" s="2"/>
      <c r="GOW36" s="2"/>
      <c r="GOX36" s="2"/>
      <c r="GOY36" s="2"/>
      <c r="GOZ36" s="2"/>
      <c r="GPA36" s="2"/>
      <c r="GPB36" s="2"/>
      <c r="GPC36" s="2"/>
      <c r="GPD36" s="2"/>
      <c r="GPE36" s="2"/>
      <c r="GPF36" s="2"/>
      <c r="GPG36" s="2"/>
      <c r="GPH36" s="2"/>
      <c r="GPI36" s="2"/>
      <c r="GPJ36" s="2"/>
      <c r="GPK36" s="2"/>
      <c r="GPL36" s="2"/>
      <c r="GPM36" s="2"/>
      <c r="GPN36" s="2"/>
      <c r="GPO36" s="2"/>
      <c r="GPP36" s="2"/>
      <c r="GPQ36" s="2"/>
      <c r="GPR36" s="2"/>
      <c r="GPS36" s="2"/>
      <c r="GPT36" s="2"/>
      <c r="GPU36" s="2"/>
      <c r="GPV36" s="2"/>
      <c r="GPW36" s="2"/>
      <c r="GPX36" s="2"/>
      <c r="GPY36" s="2"/>
      <c r="GPZ36" s="2"/>
      <c r="GQA36" s="2"/>
      <c r="GQB36" s="2"/>
      <c r="GQC36" s="2"/>
      <c r="GQD36" s="2"/>
      <c r="GQE36" s="2"/>
      <c r="GQF36" s="2"/>
      <c r="GQG36" s="2"/>
      <c r="GQH36" s="2"/>
      <c r="GQI36" s="2"/>
      <c r="GQJ36" s="2"/>
      <c r="GQK36" s="2"/>
      <c r="GQL36" s="2"/>
      <c r="GQM36" s="2"/>
      <c r="GQN36" s="2"/>
      <c r="GQO36" s="2"/>
      <c r="GQP36" s="2"/>
      <c r="GQQ36" s="2"/>
      <c r="GQR36" s="2"/>
      <c r="GQS36" s="2"/>
      <c r="GQT36" s="2"/>
      <c r="GQU36" s="2"/>
      <c r="GQV36" s="2"/>
      <c r="GQW36" s="2"/>
      <c r="GQX36" s="2"/>
      <c r="GQY36" s="2"/>
      <c r="GQZ36" s="2"/>
      <c r="GRA36" s="2"/>
      <c r="GRB36" s="2"/>
      <c r="GRC36" s="2"/>
      <c r="GRD36" s="2"/>
      <c r="GRE36" s="2"/>
      <c r="GRF36" s="2"/>
      <c r="GRG36" s="2"/>
      <c r="GRH36" s="2"/>
      <c r="GRI36" s="2"/>
      <c r="GRJ36" s="2"/>
      <c r="GRK36" s="2"/>
      <c r="GRL36" s="2"/>
      <c r="GRM36" s="2"/>
      <c r="GRN36" s="2"/>
      <c r="GRO36" s="2"/>
      <c r="GRP36" s="2"/>
      <c r="GRQ36" s="2"/>
      <c r="GRR36" s="2"/>
      <c r="GRS36" s="2"/>
      <c r="GRT36" s="2"/>
      <c r="GRU36" s="2"/>
      <c r="GRV36" s="2"/>
      <c r="GRW36" s="2"/>
      <c r="GRX36" s="2"/>
      <c r="GRY36" s="2"/>
      <c r="GRZ36" s="2"/>
      <c r="GSA36" s="2"/>
      <c r="GSB36" s="2"/>
      <c r="GSC36" s="2"/>
      <c r="GSD36" s="2"/>
      <c r="GSE36" s="2"/>
      <c r="GSF36" s="2"/>
      <c r="GSG36" s="2"/>
      <c r="GSH36" s="2"/>
      <c r="GSI36" s="2"/>
      <c r="GSJ36" s="2"/>
      <c r="GSK36" s="2"/>
      <c r="GSL36" s="2"/>
      <c r="GSM36" s="2"/>
      <c r="GSN36" s="2"/>
      <c r="GSO36" s="2"/>
      <c r="GSP36" s="2"/>
      <c r="GSQ36" s="2"/>
      <c r="GSR36" s="2"/>
      <c r="GSS36" s="2"/>
      <c r="GST36" s="2"/>
      <c r="GSU36" s="2"/>
      <c r="GSV36" s="2"/>
      <c r="GSW36" s="2"/>
      <c r="GSX36" s="2"/>
      <c r="GSY36" s="2"/>
      <c r="GSZ36" s="2"/>
      <c r="GTA36" s="2"/>
      <c r="GTB36" s="2"/>
      <c r="GTC36" s="2"/>
      <c r="GTD36" s="2"/>
      <c r="GTE36" s="2"/>
      <c r="GTF36" s="2"/>
      <c r="GTG36" s="2"/>
      <c r="GTH36" s="2"/>
      <c r="GTI36" s="2"/>
      <c r="GTJ36" s="2"/>
      <c r="GTK36" s="2"/>
      <c r="GTL36" s="2"/>
      <c r="GTM36" s="2"/>
      <c r="GTN36" s="2"/>
      <c r="GTO36" s="2"/>
      <c r="GTP36" s="2"/>
      <c r="GTQ36" s="2"/>
      <c r="GTR36" s="2"/>
      <c r="GTS36" s="2"/>
      <c r="GTT36" s="2"/>
      <c r="GTU36" s="2"/>
      <c r="GTV36" s="2"/>
      <c r="GTW36" s="2"/>
      <c r="GTX36" s="2"/>
      <c r="GTY36" s="2"/>
      <c r="GTZ36" s="2"/>
      <c r="GUA36" s="2"/>
      <c r="GUB36" s="2"/>
      <c r="GUC36" s="2"/>
      <c r="GUD36" s="2"/>
      <c r="GUE36" s="2"/>
      <c r="GUF36" s="2"/>
      <c r="GUG36" s="2"/>
      <c r="GUH36" s="2"/>
      <c r="GUI36" s="2"/>
      <c r="GUJ36" s="2"/>
      <c r="GUK36" s="2"/>
      <c r="GUL36" s="2"/>
      <c r="GUM36" s="2"/>
      <c r="GUN36" s="2"/>
      <c r="GUO36" s="2"/>
      <c r="GUP36" s="2"/>
      <c r="GUQ36" s="2"/>
      <c r="GUR36" s="2"/>
      <c r="GUS36" s="2"/>
      <c r="GUT36" s="2"/>
      <c r="GUU36" s="2"/>
      <c r="GUV36" s="2"/>
      <c r="GUW36" s="2"/>
      <c r="GUX36" s="2"/>
      <c r="GUY36" s="2"/>
      <c r="GUZ36" s="2"/>
      <c r="GVA36" s="2"/>
      <c r="GVB36" s="2"/>
      <c r="GVC36" s="2"/>
      <c r="GVD36" s="2"/>
      <c r="GVE36" s="2"/>
      <c r="GVF36" s="2"/>
      <c r="GVG36" s="2"/>
      <c r="GVH36" s="2"/>
      <c r="GVI36" s="2"/>
      <c r="GVJ36" s="2"/>
      <c r="GVK36" s="2"/>
      <c r="GVL36" s="2"/>
      <c r="GVM36" s="2"/>
      <c r="GVN36" s="2"/>
      <c r="GVO36" s="2"/>
      <c r="GVP36" s="2"/>
      <c r="GVQ36" s="2"/>
      <c r="GVR36" s="2"/>
      <c r="GVS36" s="2"/>
      <c r="GVT36" s="2"/>
      <c r="GVU36" s="2"/>
      <c r="GVV36" s="2"/>
      <c r="GVW36" s="2"/>
      <c r="GVX36" s="2"/>
      <c r="GVY36" s="2"/>
      <c r="GVZ36" s="2"/>
      <c r="GWA36" s="2"/>
      <c r="GWB36" s="2"/>
      <c r="GWC36" s="2"/>
      <c r="GWD36" s="2"/>
      <c r="GWE36" s="2"/>
      <c r="GWF36" s="2"/>
      <c r="GWG36" s="2"/>
      <c r="GWH36" s="2"/>
      <c r="GWI36" s="2"/>
      <c r="GWJ36" s="2"/>
      <c r="GWK36" s="2"/>
      <c r="GWL36" s="2"/>
      <c r="GWM36" s="2"/>
      <c r="GWN36" s="2"/>
      <c r="GWO36" s="2"/>
      <c r="GWP36" s="2"/>
      <c r="GWQ36" s="2"/>
      <c r="GWR36" s="2"/>
      <c r="GWS36" s="2"/>
      <c r="GWT36" s="2"/>
      <c r="GWU36" s="2"/>
      <c r="GWV36" s="2"/>
      <c r="GWW36" s="2"/>
      <c r="GWX36" s="2"/>
      <c r="GWY36" s="2"/>
      <c r="GWZ36" s="2"/>
      <c r="GXA36" s="2"/>
      <c r="GXB36" s="2"/>
      <c r="GXC36" s="2"/>
      <c r="GXD36" s="2"/>
      <c r="GXE36" s="2"/>
      <c r="GXF36" s="2"/>
      <c r="GXG36" s="2"/>
      <c r="GXH36" s="2"/>
      <c r="GXI36" s="2"/>
      <c r="GXJ36" s="2"/>
      <c r="GXK36" s="2"/>
      <c r="GXL36" s="2"/>
      <c r="GXM36" s="2"/>
      <c r="GXN36" s="2"/>
      <c r="GXO36" s="2"/>
      <c r="GXP36" s="2"/>
      <c r="GXQ36" s="2"/>
      <c r="GXR36" s="2"/>
      <c r="GXS36" s="2"/>
      <c r="GXT36" s="2"/>
      <c r="GXU36" s="2"/>
      <c r="GXV36" s="2"/>
      <c r="GXW36" s="2"/>
      <c r="GXX36" s="2"/>
      <c r="GXY36" s="2"/>
      <c r="GXZ36" s="2"/>
      <c r="GYA36" s="2"/>
      <c r="GYB36" s="2"/>
      <c r="GYC36" s="2"/>
      <c r="GYD36" s="2"/>
      <c r="GYE36" s="2"/>
      <c r="GYF36" s="2"/>
      <c r="GYG36" s="2"/>
      <c r="GYH36" s="2"/>
      <c r="GYI36" s="2"/>
      <c r="GYJ36" s="2"/>
      <c r="GYK36" s="2"/>
      <c r="GYL36" s="2"/>
      <c r="GYM36" s="2"/>
      <c r="GYN36" s="2"/>
      <c r="GYO36" s="2"/>
      <c r="GYP36" s="2"/>
      <c r="GYQ36" s="2"/>
      <c r="GYR36" s="2"/>
      <c r="GYS36" s="2"/>
      <c r="GYT36" s="2"/>
      <c r="GYU36" s="2"/>
      <c r="GYV36" s="2"/>
      <c r="GYW36" s="2"/>
      <c r="GYX36" s="2"/>
      <c r="GYY36" s="2"/>
      <c r="GYZ36" s="2"/>
      <c r="GZA36" s="2"/>
      <c r="GZB36" s="2"/>
      <c r="GZC36" s="2"/>
      <c r="GZD36" s="2"/>
      <c r="GZE36" s="2"/>
      <c r="GZF36" s="2"/>
      <c r="GZG36" s="2"/>
      <c r="GZH36" s="2"/>
      <c r="GZI36" s="2"/>
      <c r="GZJ36" s="2"/>
      <c r="GZK36" s="2"/>
      <c r="GZL36" s="2"/>
      <c r="GZM36" s="2"/>
      <c r="GZN36" s="2"/>
      <c r="GZO36" s="2"/>
      <c r="GZP36" s="2"/>
      <c r="GZQ36" s="2"/>
      <c r="GZR36" s="2"/>
      <c r="GZS36" s="2"/>
      <c r="GZT36" s="2"/>
      <c r="GZU36" s="2"/>
      <c r="GZV36" s="2"/>
      <c r="GZW36" s="2"/>
      <c r="GZX36" s="2"/>
      <c r="GZY36" s="2"/>
      <c r="GZZ36" s="2"/>
      <c r="HAA36" s="2"/>
      <c r="HAB36" s="2"/>
      <c r="HAC36" s="2"/>
      <c r="HAD36" s="2"/>
      <c r="HAE36" s="2"/>
      <c r="HAF36" s="2"/>
      <c r="HAG36" s="2"/>
      <c r="HAH36" s="2"/>
      <c r="HAI36" s="2"/>
      <c r="HAJ36" s="2"/>
      <c r="HAK36" s="2"/>
      <c r="HAL36" s="2"/>
      <c r="HAM36" s="2"/>
      <c r="HAN36" s="2"/>
      <c r="HAO36" s="2"/>
      <c r="HAP36" s="2"/>
      <c r="HAQ36" s="2"/>
      <c r="HAR36" s="2"/>
      <c r="HAS36" s="2"/>
      <c r="HAT36" s="2"/>
      <c r="HAU36" s="2"/>
      <c r="HAV36" s="2"/>
      <c r="HAW36" s="2"/>
      <c r="HAX36" s="2"/>
      <c r="HAY36" s="2"/>
      <c r="HAZ36" s="2"/>
      <c r="HBA36" s="2"/>
      <c r="HBB36" s="2"/>
      <c r="HBC36" s="2"/>
      <c r="HBD36" s="2"/>
      <c r="HBE36" s="2"/>
      <c r="HBF36" s="2"/>
      <c r="HBG36" s="2"/>
      <c r="HBH36" s="2"/>
      <c r="HBI36" s="2"/>
      <c r="HBJ36" s="2"/>
      <c r="HBK36" s="2"/>
      <c r="HBL36" s="2"/>
      <c r="HBM36" s="2"/>
      <c r="HBN36" s="2"/>
      <c r="HBO36" s="2"/>
      <c r="HBP36" s="2"/>
      <c r="HBQ36" s="2"/>
      <c r="HBR36" s="2"/>
      <c r="HBS36" s="2"/>
      <c r="HBT36" s="2"/>
      <c r="HBU36" s="2"/>
      <c r="HBV36" s="2"/>
      <c r="HBW36" s="2"/>
      <c r="HBX36" s="2"/>
      <c r="HBY36" s="2"/>
      <c r="HBZ36" s="2"/>
      <c r="HCA36" s="2"/>
      <c r="HCB36" s="2"/>
      <c r="HCC36" s="2"/>
      <c r="HCD36" s="2"/>
      <c r="HCE36" s="2"/>
      <c r="HCF36" s="2"/>
      <c r="HCG36" s="2"/>
      <c r="HCH36" s="2"/>
      <c r="HCI36" s="2"/>
      <c r="HCJ36" s="2"/>
      <c r="HCK36" s="2"/>
      <c r="HCL36" s="2"/>
      <c r="HCM36" s="2"/>
      <c r="HCN36" s="2"/>
      <c r="HCO36" s="2"/>
      <c r="HCP36" s="2"/>
      <c r="HCQ36" s="2"/>
      <c r="HCR36" s="2"/>
      <c r="HCS36" s="2"/>
      <c r="HCT36" s="2"/>
      <c r="HCU36" s="2"/>
      <c r="HCV36" s="2"/>
      <c r="HCW36" s="2"/>
      <c r="HCX36" s="2"/>
      <c r="HCY36" s="2"/>
      <c r="HCZ36" s="2"/>
      <c r="HDA36" s="2"/>
      <c r="HDB36" s="2"/>
      <c r="HDC36" s="2"/>
      <c r="HDD36" s="2"/>
      <c r="HDE36" s="2"/>
      <c r="HDF36" s="2"/>
      <c r="HDG36" s="2"/>
      <c r="HDH36" s="2"/>
      <c r="HDI36" s="2"/>
      <c r="HDJ36" s="2"/>
      <c r="HDK36" s="2"/>
      <c r="HDL36" s="2"/>
      <c r="HDM36" s="2"/>
      <c r="HDN36" s="2"/>
      <c r="HDO36" s="2"/>
      <c r="HDP36" s="2"/>
      <c r="HDQ36" s="2"/>
      <c r="HDR36" s="2"/>
      <c r="HDS36" s="2"/>
      <c r="HDT36" s="2"/>
      <c r="HDU36" s="2"/>
      <c r="HDV36" s="2"/>
      <c r="HDW36" s="2"/>
      <c r="HDX36" s="2"/>
      <c r="HDY36" s="2"/>
      <c r="HDZ36" s="2"/>
      <c r="HEA36" s="2"/>
      <c r="HEB36" s="2"/>
      <c r="HEC36" s="2"/>
      <c r="HED36" s="2"/>
      <c r="HEE36" s="2"/>
      <c r="HEF36" s="2"/>
      <c r="HEG36" s="2"/>
      <c r="HEH36" s="2"/>
      <c r="HEI36" s="2"/>
      <c r="HEJ36" s="2"/>
      <c r="HEK36" s="2"/>
      <c r="HEL36" s="2"/>
      <c r="HEM36" s="2"/>
      <c r="HEN36" s="2"/>
      <c r="HEO36" s="2"/>
      <c r="HEP36" s="2"/>
      <c r="HEQ36" s="2"/>
      <c r="HER36" s="2"/>
      <c r="HES36" s="2"/>
      <c r="HET36" s="2"/>
      <c r="HEU36" s="2"/>
      <c r="HEV36" s="2"/>
      <c r="HEW36" s="2"/>
      <c r="HEX36" s="2"/>
      <c r="HEY36" s="2"/>
      <c r="HEZ36" s="2"/>
      <c r="HFA36" s="2"/>
      <c r="HFB36" s="2"/>
      <c r="HFC36" s="2"/>
      <c r="HFD36" s="2"/>
      <c r="HFE36" s="2"/>
      <c r="HFF36" s="2"/>
      <c r="HFG36" s="2"/>
      <c r="HFH36" s="2"/>
      <c r="HFI36" s="2"/>
      <c r="HFJ36" s="2"/>
      <c r="HFK36" s="2"/>
      <c r="HFL36" s="2"/>
      <c r="HFM36" s="2"/>
      <c r="HFN36" s="2"/>
      <c r="HFO36" s="2"/>
      <c r="HFP36" s="2"/>
      <c r="HFQ36" s="2"/>
      <c r="HFR36" s="2"/>
      <c r="HFS36" s="2"/>
      <c r="HFT36" s="2"/>
      <c r="HFU36" s="2"/>
      <c r="HFV36" s="2"/>
      <c r="HFW36" s="2"/>
      <c r="HFX36" s="2"/>
      <c r="HFY36" s="2"/>
      <c r="HFZ36" s="2"/>
      <c r="HGA36" s="2"/>
      <c r="HGB36" s="2"/>
      <c r="HGC36" s="2"/>
      <c r="HGD36" s="2"/>
      <c r="HGE36" s="2"/>
      <c r="HGF36" s="2"/>
      <c r="HGG36" s="2"/>
      <c r="HGH36" s="2"/>
      <c r="HGI36" s="2"/>
      <c r="HGJ36" s="2"/>
      <c r="HGK36" s="2"/>
      <c r="HGL36" s="2"/>
      <c r="HGM36" s="2"/>
      <c r="HGN36" s="2"/>
      <c r="HGO36" s="2"/>
      <c r="HGP36" s="2"/>
      <c r="HGQ36" s="2"/>
      <c r="HGR36" s="2"/>
      <c r="HGS36" s="2"/>
      <c r="HGT36" s="2"/>
      <c r="HGU36" s="2"/>
      <c r="HGV36" s="2"/>
      <c r="HGW36" s="2"/>
      <c r="HGX36" s="2"/>
      <c r="HGY36" s="2"/>
      <c r="HGZ36" s="2"/>
      <c r="HHA36" s="2"/>
      <c r="HHB36" s="2"/>
      <c r="HHC36" s="2"/>
      <c r="HHD36" s="2"/>
      <c r="HHE36" s="2"/>
      <c r="HHF36" s="2"/>
      <c r="HHG36" s="2"/>
      <c r="HHH36" s="2"/>
      <c r="HHI36" s="2"/>
      <c r="HHJ36" s="2"/>
      <c r="HHK36" s="2"/>
      <c r="HHL36" s="2"/>
      <c r="HHM36" s="2"/>
      <c r="HHN36" s="2"/>
      <c r="HHO36" s="2"/>
      <c r="HHP36" s="2"/>
      <c r="HHQ36" s="2"/>
      <c r="HHR36" s="2"/>
      <c r="HHS36" s="2"/>
      <c r="HHT36" s="2"/>
      <c r="HHU36" s="2"/>
      <c r="HHV36" s="2"/>
      <c r="HHW36" s="2"/>
      <c r="HHX36" s="2"/>
      <c r="HHY36" s="2"/>
      <c r="HHZ36" s="2"/>
      <c r="HIA36" s="2"/>
      <c r="HIB36" s="2"/>
      <c r="HIC36" s="2"/>
      <c r="HID36" s="2"/>
      <c r="HIE36" s="2"/>
      <c r="HIF36" s="2"/>
      <c r="HIG36" s="2"/>
      <c r="HIH36" s="2"/>
      <c r="HII36" s="2"/>
      <c r="HIJ36" s="2"/>
      <c r="HIK36" s="2"/>
      <c r="HIL36" s="2"/>
      <c r="HIM36" s="2"/>
      <c r="HIN36" s="2"/>
      <c r="HIO36" s="2"/>
      <c r="HIP36" s="2"/>
      <c r="HIQ36" s="2"/>
      <c r="HIR36" s="2"/>
      <c r="HIS36" s="2"/>
      <c r="HIT36" s="2"/>
      <c r="HIU36" s="2"/>
      <c r="HIV36" s="2"/>
      <c r="HIW36" s="2"/>
      <c r="HIX36" s="2"/>
      <c r="HIY36" s="2"/>
      <c r="HIZ36" s="2"/>
      <c r="HJA36" s="2"/>
      <c r="HJB36" s="2"/>
      <c r="HJC36" s="2"/>
      <c r="HJD36" s="2"/>
      <c r="HJE36" s="2"/>
      <c r="HJF36" s="2"/>
      <c r="HJG36" s="2"/>
      <c r="HJH36" s="2"/>
      <c r="HJI36" s="2"/>
      <c r="HJJ36" s="2"/>
      <c r="HJK36" s="2"/>
      <c r="HJL36" s="2"/>
      <c r="HJM36" s="2"/>
      <c r="HJN36" s="2"/>
      <c r="HJO36" s="2"/>
      <c r="HJP36" s="2"/>
      <c r="HJQ36" s="2"/>
      <c r="HJR36" s="2"/>
      <c r="HJS36" s="2"/>
      <c r="HJT36" s="2"/>
      <c r="HJU36" s="2"/>
      <c r="HJV36" s="2"/>
      <c r="HJW36" s="2"/>
      <c r="HJX36" s="2"/>
      <c r="HJY36" s="2"/>
      <c r="HJZ36" s="2"/>
      <c r="HKA36" s="2"/>
      <c r="HKB36" s="2"/>
      <c r="HKC36" s="2"/>
      <c r="HKD36" s="2"/>
      <c r="HKE36" s="2"/>
      <c r="HKF36" s="2"/>
      <c r="HKG36" s="2"/>
      <c r="HKH36" s="2"/>
      <c r="HKI36" s="2"/>
      <c r="HKJ36" s="2"/>
      <c r="HKK36" s="2"/>
      <c r="HKL36" s="2"/>
      <c r="HKM36" s="2"/>
      <c r="HKN36" s="2"/>
      <c r="HKO36" s="2"/>
      <c r="HKP36" s="2"/>
      <c r="HKQ36" s="2"/>
      <c r="HKR36" s="2"/>
      <c r="HKS36" s="2"/>
      <c r="HKT36" s="2"/>
      <c r="HKU36" s="2"/>
      <c r="HKV36" s="2"/>
      <c r="HKW36" s="2"/>
      <c r="HKX36" s="2"/>
      <c r="HKY36" s="2"/>
      <c r="HKZ36" s="2"/>
      <c r="HLA36" s="2"/>
      <c r="HLB36" s="2"/>
      <c r="HLC36" s="2"/>
      <c r="HLD36" s="2"/>
      <c r="HLE36" s="2"/>
      <c r="HLF36" s="2"/>
      <c r="HLG36" s="2"/>
      <c r="HLH36" s="2"/>
      <c r="HLI36" s="2"/>
      <c r="HLJ36" s="2"/>
      <c r="HLK36" s="2"/>
      <c r="HLL36" s="2"/>
      <c r="HLM36" s="2"/>
      <c r="HLN36" s="2"/>
      <c r="HLO36" s="2"/>
      <c r="HLP36" s="2"/>
      <c r="HLQ36" s="2"/>
      <c r="HLR36" s="2"/>
      <c r="HLS36" s="2"/>
      <c r="HLT36" s="2"/>
      <c r="HLU36" s="2"/>
      <c r="HLV36" s="2"/>
      <c r="HLW36" s="2"/>
      <c r="HLX36" s="2"/>
      <c r="HLY36" s="2"/>
      <c r="HLZ36" s="2"/>
      <c r="HMA36" s="2"/>
      <c r="HMB36" s="2"/>
      <c r="HMC36" s="2"/>
      <c r="HMD36" s="2"/>
      <c r="HME36" s="2"/>
      <c r="HMF36" s="2"/>
      <c r="HMG36" s="2"/>
      <c r="HMH36" s="2"/>
      <c r="HMI36" s="2"/>
      <c r="HMJ36" s="2"/>
      <c r="HMK36" s="2"/>
      <c r="HML36" s="2"/>
      <c r="HMM36" s="2"/>
      <c r="HMN36" s="2"/>
      <c r="HMO36" s="2"/>
      <c r="HMP36" s="2"/>
      <c r="HMQ36" s="2"/>
      <c r="HMR36" s="2"/>
      <c r="HMS36" s="2"/>
      <c r="HMT36" s="2"/>
      <c r="HMU36" s="2"/>
      <c r="HMV36" s="2"/>
      <c r="HMW36" s="2"/>
      <c r="HMX36" s="2"/>
      <c r="HMY36" s="2"/>
      <c r="HMZ36" s="2"/>
      <c r="HNA36" s="2"/>
      <c r="HNB36" s="2"/>
      <c r="HNC36" s="2"/>
      <c r="HND36" s="2"/>
      <c r="HNE36" s="2"/>
      <c r="HNF36" s="2"/>
      <c r="HNG36" s="2"/>
      <c r="HNH36" s="2"/>
      <c r="HNI36" s="2"/>
      <c r="HNJ36" s="2"/>
      <c r="HNK36" s="2"/>
      <c r="HNL36" s="2"/>
      <c r="HNM36" s="2"/>
      <c r="HNN36" s="2"/>
      <c r="HNO36" s="2"/>
      <c r="HNP36" s="2"/>
      <c r="HNQ36" s="2"/>
      <c r="HNR36" s="2"/>
      <c r="HNS36" s="2"/>
      <c r="HNT36" s="2"/>
      <c r="HNU36" s="2"/>
      <c r="HNV36" s="2"/>
      <c r="HNW36" s="2"/>
      <c r="HNX36" s="2"/>
      <c r="HNY36" s="2"/>
      <c r="HNZ36" s="2"/>
      <c r="HOA36" s="2"/>
      <c r="HOB36" s="2"/>
      <c r="HOC36" s="2"/>
      <c r="HOD36" s="2"/>
      <c r="HOE36" s="2"/>
      <c r="HOF36" s="2"/>
      <c r="HOG36" s="2"/>
      <c r="HOH36" s="2"/>
      <c r="HOI36" s="2"/>
      <c r="HOJ36" s="2"/>
      <c r="HOK36" s="2"/>
      <c r="HOL36" s="2"/>
      <c r="HOM36" s="2"/>
      <c r="HON36" s="2"/>
      <c r="HOO36" s="2"/>
      <c r="HOP36" s="2"/>
      <c r="HOQ36" s="2"/>
      <c r="HOR36" s="2"/>
      <c r="HOS36" s="2"/>
      <c r="HOT36" s="2"/>
      <c r="HOU36" s="2"/>
      <c r="HOV36" s="2"/>
      <c r="HOW36" s="2"/>
      <c r="HOX36" s="2"/>
      <c r="HOY36" s="2"/>
      <c r="HOZ36" s="2"/>
      <c r="HPA36" s="2"/>
      <c r="HPB36" s="2"/>
      <c r="HPC36" s="2"/>
      <c r="HPD36" s="2"/>
      <c r="HPE36" s="2"/>
      <c r="HPF36" s="2"/>
      <c r="HPG36" s="2"/>
      <c r="HPH36" s="2"/>
      <c r="HPI36" s="2"/>
      <c r="HPJ36" s="2"/>
      <c r="HPK36" s="2"/>
      <c r="HPL36" s="2"/>
      <c r="HPM36" s="2"/>
      <c r="HPN36" s="2"/>
      <c r="HPO36" s="2"/>
      <c r="HPP36" s="2"/>
      <c r="HPQ36" s="2"/>
      <c r="HPR36" s="2"/>
      <c r="HPS36" s="2"/>
      <c r="HPT36" s="2"/>
      <c r="HPU36" s="2"/>
      <c r="HPV36" s="2"/>
      <c r="HPW36" s="2"/>
      <c r="HPX36" s="2"/>
      <c r="HPY36" s="2"/>
      <c r="HPZ36" s="2"/>
      <c r="HQA36" s="2"/>
      <c r="HQB36" s="2"/>
      <c r="HQC36" s="2"/>
      <c r="HQD36" s="2"/>
      <c r="HQE36" s="2"/>
      <c r="HQF36" s="2"/>
      <c r="HQG36" s="2"/>
      <c r="HQH36" s="2"/>
      <c r="HQI36" s="2"/>
      <c r="HQJ36" s="2"/>
      <c r="HQK36" s="2"/>
      <c r="HQL36" s="2"/>
      <c r="HQM36" s="2"/>
      <c r="HQN36" s="2"/>
      <c r="HQO36" s="2"/>
      <c r="HQP36" s="2"/>
      <c r="HQQ36" s="2"/>
      <c r="HQR36" s="2"/>
      <c r="HQS36" s="2"/>
      <c r="HQT36" s="2"/>
      <c r="HQU36" s="2"/>
      <c r="HQV36" s="2"/>
      <c r="HQW36" s="2"/>
      <c r="HQX36" s="2"/>
      <c r="HQY36" s="2"/>
      <c r="HQZ36" s="2"/>
      <c r="HRA36" s="2"/>
      <c r="HRB36" s="2"/>
      <c r="HRC36" s="2"/>
      <c r="HRD36" s="2"/>
      <c r="HRE36" s="2"/>
      <c r="HRF36" s="2"/>
      <c r="HRG36" s="2"/>
      <c r="HRH36" s="2"/>
      <c r="HRI36" s="2"/>
      <c r="HRJ36" s="2"/>
      <c r="HRK36" s="2"/>
      <c r="HRL36" s="2"/>
      <c r="HRM36" s="2"/>
      <c r="HRN36" s="2"/>
      <c r="HRO36" s="2"/>
      <c r="HRP36" s="2"/>
      <c r="HRQ36" s="2"/>
      <c r="HRR36" s="2"/>
      <c r="HRS36" s="2"/>
      <c r="HRT36" s="2"/>
      <c r="HRU36" s="2"/>
      <c r="HRV36" s="2"/>
      <c r="HRW36" s="2"/>
      <c r="HRX36" s="2"/>
      <c r="HRY36" s="2"/>
      <c r="HRZ36" s="2"/>
      <c r="HSA36" s="2"/>
      <c r="HSB36" s="2"/>
      <c r="HSC36" s="2"/>
      <c r="HSD36" s="2"/>
      <c r="HSE36" s="2"/>
      <c r="HSF36" s="2"/>
      <c r="HSG36" s="2"/>
      <c r="HSH36" s="2"/>
      <c r="HSI36" s="2"/>
      <c r="HSJ36" s="2"/>
      <c r="HSK36" s="2"/>
      <c r="HSL36" s="2"/>
      <c r="HSM36" s="2"/>
      <c r="HSN36" s="2"/>
      <c r="HSO36" s="2"/>
      <c r="HSP36" s="2"/>
      <c r="HSQ36" s="2"/>
      <c r="HSR36" s="2"/>
      <c r="HSS36" s="2"/>
      <c r="HST36" s="2"/>
      <c r="HSU36" s="2"/>
      <c r="HSV36" s="2"/>
      <c r="HSW36" s="2"/>
      <c r="HSX36" s="2"/>
      <c r="HSY36" s="2"/>
      <c r="HSZ36" s="2"/>
      <c r="HTA36" s="2"/>
      <c r="HTB36" s="2"/>
      <c r="HTC36" s="2"/>
      <c r="HTD36" s="2"/>
      <c r="HTE36" s="2"/>
      <c r="HTF36" s="2"/>
      <c r="HTG36" s="2"/>
      <c r="HTH36" s="2"/>
      <c r="HTI36" s="2"/>
      <c r="HTJ36" s="2"/>
      <c r="HTK36" s="2"/>
      <c r="HTL36" s="2"/>
      <c r="HTM36" s="2"/>
      <c r="HTN36" s="2"/>
      <c r="HTO36" s="2"/>
      <c r="HTP36" s="2"/>
      <c r="HTQ36" s="2"/>
      <c r="HTR36" s="2"/>
      <c r="HTS36" s="2"/>
      <c r="HTT36" s="2"/>
      <c r="HTU36" s="2"/>
      <c r="HTV36" s="2"/>
      <c r="HTW36" s="2"/>
      <c r="HTX36" s="2"/>
      <c r="HTY36" s="2"/>
      <c r="HTZ36" s="2"/>
      <c r="HUA36" s="2"/>
      <c r="HUB36" s="2"/>
      <c r="HUC36" s="2"/>
      <c r="HUD36" s="2"/>
      <c r="HUE36" s="2"/>
      <c r="HUF36" s="2"/>
      <c r="HUG36" s="2"/>
      <c r="HUH36" s="2"/>
      <c r="HUI36" s="2"/>
      <c r="HUJ36" s="2"/>
      <c r="HUK36" s="2"/>
      <c r="HUL36" s="2"/>
      <c r="HUM36" s="2"/>
      <c r="HUN36" s="2"/>
      <c r="HUO36" s="2"/>
      <c r="HUP36" s="2"/>
      <c r="HUQ36" s="2"/>
      <c r="HUR36" s="2"/>
      <c r="HUS36" s="2"/>
      <c r="HUT36" s="2"/>
      <c r="HUU36" s="2"/>
      <c r="HUV36" s="2"/>
      <c r="HUW36" s="2"/>
      <c r="HUX36" s="2"/>
      <c r="HUY36" s="2"/>
      <c r="HUZ36" s="2"/>
      <c r="HVA36" s="2"/>
      <c r="HVB36" s="2"/>
      <c r="HVC36" s="2"/>
      <c r="HVD36" s="2"/>
      <c r="HVE36" s="2"/>
      <c r="HVF36" s="2"/>
      <c r="HVG36" s="2"/>
      <c r="HVH36" s="2"/>
      <c r="HVI36" s="2"/>
      <c r="HVJ36" s="2"/>
      <c r="HVK36" s="2"/>
      <c r="HVL36" s="2"/>
      <c r="HVM36" s="2"/>
      <c r="HVN36" s="2"/>
      <c r="HVO36" s="2"/>
      <c r="HVP36" s="2"/>
      <c r="HVQ36" s="2"/>
      <c r="HVR36" s="2"/>
      <c r="HVS36" s="2"/>
      <c r="HVT36" s="2"/>
      <c r="HVU36" s="2"/>
      <c r="HVV36" s="2"/>
      <c r="HVW36" s="2"/>
      <c r="HVX36" s="2"/>
      <c r="HVY36" s="2"/>
      <c r="HVZ36" s="2"/>
      <c r="HWA36" s="2"/>
      <c r="HWB36" s="2"/>
      <c r="HWC36" s="2"/>
      <c r="HWD36" s="2"/>
      <c r="HWE36" s="2"/>
      <c r="HWF36" s="2"/>
      <c r="HWG36" s="2"/>
      <c r="HWH36" s="2"/>
      <c r="HWI36" s="2"/>
      <c r="HWJ36" s="2"/>
      <c r="HWK36" s="2"/>
      <c r="HWL36" s="2"/>
      <c r="HWM36" s="2"/>
      <c r="HWN36" s="2"/>
      <c r="HWO36" s="2"/>
      <c r="HWP36" s="2"/>
      <c r="HWQ36" s="2"/>
      <c r="HWR36" s="2"/>
      <c r="HWS36" s="2"/>
      <c r="HWT36" s="2"/>
      <c r="HWU36" s="2"/>
      <c r="HWV36" s="2"/>
      <c r="HWW36" s="2"/>
      <c r="HWX36" s="2"/>
      <c r="HWY36" s="2"/>
      <c r="HWZ36" s="2"/>
      <c r="HXA36" s="2"/>
      <c r="HXB36" s="2"/>
      <c r="HXC36" s="2"/>
      <c r="HXD36" s="2"/>
      <c r="HXE36" s="2"/>
      <c r="HXF36" s="2"/>
      <c r="HXG36" s="2"/>
      <c r="HXH36" s="2"/>
      <c r="HXI36" s="2"/>
      <c r="HXJ36" s="2"/>
      <c r="HXK36" s="2"/>
      <c r="HXL36" s="2"/>
      <c r="HXM36" s="2"/>
      <c r="HXN36" s="2"/>
      <c r="HXO36" s="2"/>
      <c r="HXP36" s="2"/>
      <c r="HXQ36" s="2"/>
      <c r="HXR36" s="2"/>
      <c r="HXS36" s="2"/>
      <c r="HXT36" s="2"/>
      <c r="HXU36" s="2"/>
      <c r="HXV36" s="2"/>
      <c r="HXW36" s="2"/>
      <c r="HXX36" s="2"/>
      <c r="HXY36" s="2"/>
      <c r="HXZ36" s="2"/>
      <c r="HYA36" s="2"/>
      <c r="HYB36" s="2"/>
      <c r="HYC36" s="2"/>
      <c r="HYD36" s="2"/>
      <c r="HYE36" s="2"/>
      <c r="HYF36" s="2"/>
      <c r="HYG36" s="2"/>
      <c r="HYH36" s="2"/>
      <c r="HYI36" s="2"/>
      <c r="HYJ36" s="2"/>
      <c r="HYK36" s="2"/>
      <c r="HYL36" s="2"/>
      <c r="HYM36" s="2"/>
      <c r="HYN36" s="2"/>
      <c r="HYO36" s="2"/>
      <c r="HYP36" s="2"/>
      <c r="HYQ36" s="2"/>
      <c r="HYR36" s="2"/>
      <c r="HYS36" s="2"/>
      <c r="HYT36" s="2"/>
      <c r="HYU36" s="2"/>
      <c r="HYV36" s="2"/>
      <c r="HYW36" s="2"/>
      <c r="HYX36" s="2"/>
      <c r="HYY36" s="2"/>
      <c r="HYZ36" s="2"/>
      <c r="HZA36" s="2"/>
      <c r="HZB36" s="2"/>
      <c r="HZC36" s="2"/>
      <c r="HZD36" s="2"/>
      <c r="HZE36" s="2"/>
      <c r="HZF36" s="2"/>
      <c r="HZG36" s="2"/>
      <c r="HZH36" s="2"/>
      <c r="HZI36" s="2"/>
      <c r="HZJ36" s="2"/>
      <c r="HZK36" s="2"/>
      <c r="HZL36" s="2"/>
      <c r="HZM36" s="2"/>
      <c r="HZN36" s="2"/>
      <c r="HZO36" s="2"/>
      <c r="HZP36" s="2"/>
      <c r="HZQ36" s="2"/>
      <c r="HZR36" s="2"/>
      <c r="HZS36" s="2"/>
      <c r="HZT36" s="2"/>
      <c r="HZU36" s="2"/>
      <c r="HZV36" s="2"/>
      <c r="HZW36" s="2"/>
      <c r="HZX36" s="2"/>
      <c r="HZY36" s="2"/>
      <c r="HZZ36" s="2"/>
      <c r="IAA36" s="2"/>
      <c r="IAB36" s="2"/>
      <c r="IAC36" s="2"/>
      <c r="IAD36" s="2"/>
      <c r="IAE36" s="2"/>
      <c r="IAF36" s="2"/>
      <c r="IAG36" s="2"/>
      <c r="IAH36" s="2"/>
      <c r="IAI36" s="2"/>
      <c r="IAJ36" s="2"/>
      <c r="IAK36" s="2"/>
      <c r="IAL36" s="2"/>
      <c r="IAM36" s="2"/>
      <c r="IAN36" s="2"/>
      <c r="IAO36" s="2"/>
      <c r="IAP36" s="2"/>
      <c r="IAQ36" s="2"/>
      <c r="IAR36" s="2"/>
      <c r="IAS36" s="2"/>
      <c r="IAT36" s="2"/>
      <c r="IAU36" s="2"/>
      <c r="IAV36" s="2"/>
      <c r="IAW36" s="2"/>
      <c r="IAX36" s="2"/>
      <c r="IAY36" s="2"/>
      <c r="IAZ36" s="2"/>
      <c r="IBA36" s="2"/>
      <c r="IBB36" s="2"/>
      <c r="IBC36" s="2"/>
      <c r="IBD36" s="2"/>
      <c r="IBE36" s="2"/>
      <c r="IBF36" s="2"/>
      <c r="IBG36" s="2"/>
      <c r="IBH36" s="2"/>
      <c r="IBI36" s="2"/>
      <c r="IBJ36" s="2"/>
      <c r="IBK36" s="2"/>
      <c r="IBL36" s="2"/>
      <c r="IBM36" s="2"/>
      <c r="IBN36" s="2"/>
      <c r="IBO36" s="2"/>
      <c r="IBP36" s="2"/>
      <c r="IBQ36" s="2"/>
      <c r="IBR36" s="2"/>
      <c r="IBS36" s="2"/>
      <c r="IBT36" s="2"/>
      <c r="IBU36" s="2"/>
      <c r="IBV36" s="2"/>
      <c r="IBW36" s="2"/>
      <c r="IBX36" s="2"/>
      <c r="IBY36" s="2"/>
      <c r="IBZ36" s="2"/>
      <c r="ICA36" s="2"/>
      <c r="ICB36" s="2"/>
      <c r="ICC36" s="2"/>
      <c r="ICD36" s="2"/>
      <c r="ICE36" s="2"/>
      <c r="ICF36" s="2"/>
      <c r="ICG36" s="2"/>
      <c r="ICH36" s="2"/>
      <c r="ICI36" s="2"/>
      <c r="ICJ36" s="2"/>
      <c r="ICK36" s="2"/>
      <c r="ICL36" s="2"/>
      <c r="ICM36" s="2"/>
      <c r="ICN36" s="2"/>
      <c r="ICO36" s="2"/>
      <c r="ICP36" s="2"/>
      <c r="ICQ36" s="2"/>
      <c r="ICR36" s="2"/>
      <c r="ICS36" s="2"/>
      <c r="ICT36" s="2"/>
      <c r="ICU36" s="2"/>
      <c r="ICV36" s="2"/>
      <c r="ICW36" s="2"/>
      <c r="ICX36" s="2"/>
      <c r="ICY36" s="2"/>
      <c r="ICZ36" s="2"/>
      <c r="IDA36" s="2"/>
      <c r="IDB36" s="2"/>
      <c r="IDC36" s="2"/>
      <c r="IDD36" s="2"/>
      <c r="IDE36" s="2"/>
      <c r="IDF36" s="2"/>
      <c r="IDG36" s="2"/>
      <c r="IDH36" s="2"/>
      <c r="IDI36" s="2"/>
      <c r="IDJ36" s="2"/>
      <c r="IDK36" s="2"/>
      <c r="IDL36" s="2"/>
      <c r="IDM36" s="2"/>
      <c r="IDN36" s="2"/>
      <c r="IDO36" s="2"/>
      <c r="IDP36" s="2"/>
      <c r="IDQ36" s="2"/>
      <c r="IDR36" s="2"/>
      <c r="IDS36" s="2"/>
      <c r="IDT36" s="2"/>
      <c r="IDU36" s="2"/>
      <c r="IDV36" s="2"/>
      <c r="IDW36" s="2"/>
      <c r="IDX36" s="2"/>
      <c r="IDY36" s="2"/>
      <c r="IDZ36" s="2"/>
      <c r="IEA36" s="2"/>
      <c r="IEB36" s="2"/>
      <c r="IEC36" s="2"/>
      <c r="IED36" s="2"/>
      <c r="IEE36" s="2"/>
      <c r="IEF36" s="2"/>
      <c r="IEG36" s="2"/>
      <c r="IEH36" s="2"/>
      <c r="IEI36" s="2"/>
      <c r="IEJ36" s="2"/>
      <c r="IEK36" s="2"/>
      <c r="IEL36" s="2"/>
      <c r="IEM36" s="2"/>
      <c r="IEN36" s="2"/>
      <c r="IEO36" s="2"/>
      <c r="IEP36" s="2"/>
      <c r="IEQ36" s="2"/>
      <c r="IER36" s="2"/>
      <c r="IES36" s="2"/>
      <c r="IET36" s="2"/>
      <c r="IEU36" s="2"/>
      <c r="IEV36" s="2"/>
      <c r="IEW36" s="2"/>
      <c r="IEX36" s="2"/>
      <c r="IEY36" s="2"/>
      <c r="IEZ36" s="2"/>
      <c r="IFA36" s="2"/>
      <c r="IFB36" s="2"/>
      <c r="IFC36" s="2"/>
      <c r="IFD36" s="2"/>
      <c r="IFE36" s="2"/>
      <c r="IFF36" s="2"/>
      <c r="IFG36" s="2"/>
      <c r="IFH36" s="2"/>
      <c r="IFI36" s="2"/>
      <c r="IFJ36" s="2"/>
      <c r="IFK36" s="2"/>
      <c r="IFL36" s="2"/>
      <c r="IFM36" s="2"/>
      <c r="IFN36" s="2"/>
      <c r="IFO36" s="2"/>
      <c r="IFP36" s="2"/>
      <c r="IFQ36" s="2"/>
      <c r="IFR36" s="2"/>
      <c r="IFS36" s="2"/>
      <c r="IFT36" s="2"/>
      <c r="IFU36" s="2"/>
      <c r="IFV36" s="2"/>
      <c r="IFW36" s="2"/>
      <c r="IFX36" s="2"/>
      <c r="IFY36" s="2"/>
      <c r="IFZ36" s="2"/>
      <c r="IGA36" s="2"/>
      <c r="IGB36" s="2"/>
      <c r="IGC36" s="2"/>
      <c r="IGD36" s="2"/>
      <c r="IGE36" s="2"/>
      <c r="IGF36" s="2"/>
      <c r="IGG36" s="2"/>
      <c r="IGH36" s="2"/>
      <c r="IGI36" s="2"/>
      <c r="IGJ36" s="2"/>
      <c r="IGK36" s="2"/>
      <c r="IGL36" s="2"/>
      <c r="IGM36" s="2"/>
      <c r="IGN36" s="2"/>
      <c r="IGO36" s="2"/>
      <c r="IGP36" s="2"/>
      <c r="IGQ36" s="2"/>
      <c r="IGR36" s="2"/>
      <c r="IGS36" s="2"/>
      <c r="IGT36" s="2"/>
      <c r="IGU36" s="2"/>
      <c r="IGV36" s="2"/>
      <c r="IGW36" s="2"/>
      <c r="IGX36" s="2"/>
      <c r="IGY36" s="2"/>
      <c r="IGZ36" s="2"/>
      <c r="IHA36" s="2"/>
      <c r="IHB36" s="2"/>
      <c r="IHC36" s="2"/>
      <c r="IHD36" s="2"/>
      <c r="IHE36" s="2"/>
      <c r="IHF36" s="2"/>
      <c r="IHG36" s="2"/>
      <c r="IHH36" s="2"/>
      <c r="IHI36" s="2"/>
      <c r="IHJ36" s="2"/>
      <c r="IHK36" s="2"/>
      <c r="IHL36" s="2"/>
      <c r="IHM36" s="2"/>
      <c r="IHN36" s="2"/>
      <c r="IHO36" s="2"/>
      <c r="IHP36" s="2"/>
      <c r="IHQ36" s="2"/>
      <c r="IHR36" s="2"/>
      <c r="IHS36" s="2"/>
      <c r="IHT36" s="2"/>
      <c r="IHU36" s="2"/>
      <c r="IHV36" s="2"/>
      <c r="IHW36" s="2"/>
      <c r="IHX36" s="2"/>
      <c r="IHY36" s="2"/>
      <c r="IHZ36" s="2"/>
      <c r="IIA36" s="2"/>
      <c r="IIB36" s="2"/>
      <c r="IIC36" s="2"/>
      <c r="IID36" s="2"/>
      <c r="IIE36" s="2"/>
      <c r="IIF36" s="2"/>
      <c r="IIG36" s="2"/>
      <c r="IIH36" s="2"/>
      <c r="III36" s="2"/>
      <c r="IIJ36" s="2"/>
      <c r="IIK36" s="2"/>
      <c r="IIL36" s="2"/>
      <c r="IIM36" s="2"/>
      <c r="IIN36" s="2"/>
      <c r="IIO36" s="2"/>
      <c r="IIP36" s="2"/>
      <c r="IIQ36" s="2"/>
      <c r="IIR36" s="2"/>
      <c r="IIS36" s="2"/>
      <c r="IIT36" s="2"/>
      <c r="IIU36" s="2"/>
      <c r="IIV36" s="2"/>
      <c r="IIW36" s="2"/>
      <c r="IIX36" s="2"/>
      <c r="IIY36" s="2"/>
      <c r="IIZ36" s="2"/>
      <c r="IJA36" s="2"/>
      <c r="IJB36" s="2"/>
      <c r="IJC36" s="2"/>
      <c r="IJD36" s="2"/>
      <c r="IJE36" s="2"/>
      <c r="IJF36" s="2"/>
      <c r="IJG36" s="2"/>
      <c r="IJH36" s="2"/>
      <c r="IJI36" s="2"/>
      <c r="IJJ36" s="2"/>
      <c r="IJK36" s="2"/>
      <c r="IJL36" s="2"/>
      <c r="IJM36" s="2"/>
      <c r="IJN36" s="2"/>
      <c r="IJO36" s="2"/>
      <c r="IJP36" s="2"/>
      <c r="IJQ36" s="2"/>
      <c r="IJR36" s="2"/>
      <c r="IJS36" s="2"/>
      <c r="IJT36" s="2"/>
      <c r="IJU36" s="2"/>
      <c r="IJV36" s="2"/>
      <c r="IJW36" s="2"/>
      <c r="IJX36" s="2"/>
      <c r="IJY36" s="2"/>
      <c r="IJZ36" s="2"/>
      <c r="IKA36" s="2"/>
      <c r="IKB36" s="2"/>
      <c r="IKC36" s="2"/>
      <c r="IKD36" s="2"/>
      <c r="IKE36" s="2"/>
      <c r="IKF36" s="2"/>
      <c r="IKG36" s="2"/>
      <c r="IKH36" s="2"/>
      <c r="IKI36" s="2"/>
      <c r="IKJ36" s="2"/>
      <c r="IKK36" s="2"/>
      <c r="IKL36" s="2"/>
      <c r="IKM36" s="2"/>
      <c r="IKN36" s="2"/>
      <c r="IKO36" s="2"/>
      <c r="IKP36" s="2"/>
      <c r="IKQ36" s="2"/>
      <c r="IKR36" s="2"/>
      <c r="IKS36" s="2"/>
      <c r="IKT36" s="2"/>
      <c r="IKU36" s="2"/>
      <c r="IKV36" s="2"/>
      <c r="IKW36" s="2"/>
      <c r="IKX36" s="2"/>
      <c r="IKY36" s="2"/>
      <c r="IKZ36" s="2"/>
      <c r="ILA36" s="2"/>
      <c r="ILB36" s="2"/>
      <c r="ILC36" s="2"/>
      <c r="ILD36" s="2"/>
      <c r="ILE36" s="2"/>
      <c r="ILF36" s="2"/>
      <c r="ILG36" s="2"/>
      <c r="ILH36" s="2"/>
      <c r="ILI36" s="2"/>
      <c r="ILJ36" s="2"/>
      <c r="ILK36" s="2"/>
      <c r="ILL36" s="2"/>
      <c r="ILM36" s="2"/>
      <c r="ILN36" s="2"/>
      <c r="ILO36" s="2"/>
      <c r="ILP36" s="2"/>
      <c r="ILQ36" s="2"/>
      <c r="ILR36" s="2"/>
      <c r="ILS36" s="2"/>
      <c r="ILT36" s="2"/>
      <c r="ILU36" s="2"/>
      <c r="ILV36" s="2"/>
      <c r="ILW36" s="2"/>
      <c r="ILX36" s="2"/>
      <c r="ILY36" s="2"/>
      <c r="ILZ36" s="2"/>
      <c r="IMA36" s="2"/>
      <c r="IMB36" s="2"/>
      <c r="IMC36" s="2"/>
      <c r="IMD36" s="2"/>
      <c r="IME36" s="2"/>
      <c r="IMF36" s="2"/>
      <c r="IMG36" s="2"/>
      <c r="IMH36" s="2"/>
      <c r="IMI36" s="2"/>
      <c r="IMJ36" s="2"/>
      <c r="IMK36" s="2"/>
      <c r="IML36" s="2"/>
      <c r="IMM36" s="2"/>
      <c r="IMN36" s="2"/>
      <c r="IMO36" s="2"/>
      <c r="IMP36" s="2"/>
      <c r="IMQ36" s="2"/>
      <c r="IMR36" s="2"/>
      <c r="IMS36" s="2"/>
      <c r="IMT36" s="2"/>
      <c r="IMU36" s="2"/>
      <c r="IMV36" s="2"/>
      <c r="IMW36" s="2"/>
      <c r="IMX36" s="2"/>
      <c r="IMY36" s="2"/>
      <c r="IMZ36" s="2"/>
      <c r="INA36" s="2"/>
      <c r="INB36" s="2"/>
      <c r="INC36" s="2"/>
      <c r="IND36" s="2"/>
      <c r="INE36" s="2"/>
      <c r="INF36" s="2"/>
      <c r="ING36" s="2"/>
      <c r="INH36" s="2"/>
      <c r="INI36" s="2"/>
      <c r="INJ36" s="2"/>
      <c r="INK36" s="2"/>
      <c r="INL36" s="2"/>
      <c r="INM36" s="2"/>
      <c r="INN36" s="2"/>
      <c r="INO36" s="2"/>
      <c r="INP36" s="2"/>
      <c r="INQ36" s="2"/>
      <c r="INR36" s="2"/>
      <c r="INS36" s="2"/>
      <c r="INT36" s="2"/>
      <c r="INU36" s="2"/>
      <c r="INV36" s="2"/>
      <c r="INW36" s="2"/>
      <c r="INX36" s="2"/>
      <c r="INY36" s="2"/>
      <c r="INZ36" s="2"/>
      <c r="IOA36" s="2"/>
      <c r="IOB36" s="2"/>
      <c r="IOC36" s="2"/>
      <c r="IOD36" s="2"/>
      <c r="IOE36" s="2"/>
      <c r="IOF36" s="2"/>
      <c r="IOG36" s="2"/>
      <c r="IOH36" s="2"/>
      <c r="IOI36" s="2"/>
      <c r="IOJ36" s="2"/>
      <c r="IOK36" s="2"/>
      <c r="IOL36" s="2"/>
      <c r="IOM36" s="2"/>
      <c r="ION36" s="2"/>
      <c r="IOO36" s="2"/>
      <c r="IOP36" s="2"/>
      <c r="IOQ36" s="2"/>
      <c r="IOR36" s="2"/>
      <c r="IOS36" s="2"/>
      <c r="IOT36" s="2"/>
      <c r="IOU36" s="2"/>
      <c r="IOV36" s="2"/>
      <c r="IOW36" s="2"/>
      <c r="IOX36" s="2"/>
      <c r="IOY36" s="2"/>
      <c r="IOZ36" s="2"/>
      <c r="IPA36" s="2"/>
      <c r="IPB36" s="2"/>
      <c r="IPC36" s="2"/>
      <c r="IPD36" s="2"/>
      <c r="IPE36" s="2"/>
      <c r="IPF36" s="2"/>
      <c r="IPG36" s="2"/>
      <c r="IPH36" s="2"/>
      <c r="IPI36" s="2"/>
      <c r="IPJ36" s="2"/>
      <c r="IPK36" s="2"/>
      <c r="IPL36" s="2"/>
      <c r="IPM36" s="2"/>
      <c r="IPN36" s="2"/>
      <c r="IPO36" s="2"/>
      <c r="IPP36" s="2"/>
      <c r="IPQ36" s="2"/>
      <c r="IPR36" s="2"/>
      <c r="IPS36" s="2"/>
      <c r="IPT36" s="2"/>
      <c r="IPU36" s="2"/>
      <c r="IPV36" s="2"/>
      <c r="IPW36" s="2"/>
      <c r="IPX36" s="2"/>
      <c r="IPY36" s="2"/>
      <c r="IPZ36" s="2"/>
      <c r="IQA36" s="2"/>
      <c r="IQB36" s="2"/>
      <c r="IQC36" s="2"/>
      <c r="IQD36" s="2"/>
      <c r="IQE36" s="2"/>
      <c r="IQF36" s="2"/>
      <c r="IQG36" s="2"/>
      <c r="IQH36" s="2"/>
      <c r="IQI36" s="2"/>
      <c r="IQJ36" s="2"/>
      <c r="IQK36" s="2"/>
      <c r="IQL36" s="2"/>
      <c r="IQM36" s="2"/>
      <c r="IQN36" s="2"/>
      <c r="IQO36" s="2"/>
      <c r="IQP36" s="2"/>
      <c r="IQQ36" s="2"/>
      <c r="IQR36" s="2"/>
      <c r="IQS36" s="2"/>
      <c r="IQT36" s="2"/>
      <c r="IQU36" s="2"/>
      <c r="IQV36" s="2"/>
      <c r="IQW36" s="2"/>
      <c r="IQX36" s="2"/>
      <c r="IQY36" s="2"/>
      <c r="IQZ36" s="2"/>
      <c r="IRA36" s="2"/>
      <c r="IRB36" s="2"/>
      <c r="IRC36" s="2"/>
      <c r="IRD36" s="2"/>
      <c r="IRE36" s="2"/>
      <c r="IRF36" s="2"/>
      <c r="IRG36" s="2"/>
      <c r="IRH36" s="2"/>
      <c r="IRI36" s="2"/>
      <c r="IRJ36" s="2"/>
      <c r="IRK36" s="2"/>
      <c r="IRL36" s="2"/>
      <c r="IRM36" s="2"/>
      <c r="IRN36" s="2"/>
      <c r="IRO36" s="2"/>
      <c r="IRP36" s="2"/>
      <c r="IRQ36" s="2"/>
      <c r="IRR36" s="2"/>
      <c r="IRS36" s="2"/>
      <c r="IRT36" s="2"/>
      <c r="IRU36" s="2"/>
      <c r="IRV36" s="2"/>
      <c r="IRW36" s="2"/>
      <c r="IRX36" s="2"/>
      <c r="IRY36" s="2"/>
      <c r="IRZ36" s="2"/>
      <c r="ISA36" s="2"/>
      <c r="ISB36" s="2"/>
      <c r="ISC36" s="2"/>
      <c r="ISD36" s="2"/>
      <c r="ISE36" s="2"/>
      <c r="ISF36" s="2"/>
      <c r="ISG36" s="2"/>
      <c r="ISH36" s="2"/>
      <c r="ISI36" s="2"/>
      <c r="ISJ36" s="2"/>
      <c r="ISK36" s="2"/>
      <c r="ISL36" s="2"/>
      <c r="ISM36" s="2"/>
      <c r="ISN36" s="2"/>
      <c r="ISO36" s="2"/>
      <c r="ISP36" s="2"/>
      <c r="ISQ36" s="2"/>
      <c r="ISR36" s="2"/>
      <c r="ISS36" s="2"/>
      <c r="IST36" s="2"/>
      <c r="ISU36" s="2"/>
      <c r="ISV36" s="2"/>
      <c r="ISW36" s="2"/>
      <c r="ISX36" s="2"/>
      <c r="ISY36" s="2"/>
      <c r="ISZ36" s="2"/>
      <c r="ITA36" s="2"/>
      <c r="ITB36" s="2"/>
      <c r="ITC36" s="2"/>
      <c r="ITD36" s="2"/>
      <c r="ITE36" s="2"/>
      <c r="ITF36" s="2"/>
      <c r="ITG36" s="2"/>
      <c r="ITH36" s="2"/>
      <c r="ITI36" s="2"/>
      <c r="ITJ36" s="2"/>
      <c r="ITK36" s="2"/>
      <c r="ITL36" s="2"/>
      <c r="ITM36" s="2"/>
      <c r="ITN36" s="2"/>
      <c r="ITO36" s="2"/>
      <c r="ITP36" s="2"/>
      <c r="ITQ36" s="2"/>
      <c r="ITR36" s="2"/>
      <c r="ITS36" s="2"/>
      <c r="ITT36" s="2"/>
      <c r="ITU36" s="2"/>
      <c r="ITV36" s="2"/>
      <c r="ITW36" s="2"/>
      <c r="ITX36" s="2"/>
      <c r="ITY36" s="2"/>
      <c r="ITZ36" s="2"/>
      <c r="IUA36" s="2"/>
      <c r="IUB36" s="2"/>
      <c r="IUC36" s="2"/>
      <c r="IUD36" s="2"/>
      <c r="IUE36" s="2"/>
      <c r="IUF36" s="2"/>
      <c r="IUG36" s="2"/>
      <c r="IUH36" s="2"/>
      <c r="IUI36" s="2"/>
      <c r="IUJ36" s="2"/>
      <c r="IUK36" s="2"/>
      <c r="IUL36" s="2"/>
      <c r="IUM36" s="2"/>
      <c r="IUN36" s="2"/>
      <c r="IUO36" s="2"/>
      <c r="IUP36" s="2"/>
      <c r="IUQ36" s="2"/>
      <c r="IUR36" s="2"/>
      <c r="IUS36" s="2"/>
      <c r="IUT36" s="2"/>
      <c r="IUU36" s="2"/>
      <c r="IUV36" s="2"/>
      <c r="IUW36" s="2"/>
      <c r="IUX36" s="2"/>
      <c r="IUY36" s="2"/>
      <c r="IUZ36" s="2"/>
      <c r="IVA36" s="2"/>
      <c r="IVB36" s="2"/>
      <c r="IVC36" s="2"/>
      <c r="IVD36" s="2"/>
      <c r="IVE36" s="2"/>
      <c r="IVF36" s="2"/>
      <c r="IVG36" s="2"/>
      <c r="IVH36" s="2"/>
      <c r="IVI36" s="2"/>
      <c r="IVJ36" s="2"/>
      <c r="IVK36" s="2"/>
      <c r="IVL36" s="2"/>
      <c r="IVM36" s="2"/>
      <c r="IVN36" s="2"/>
      <c r="IVO36" s="2"/>
      <c r="IVP36" s="2"/>
      <c r="IVQ36" s="2"/>
      <c r="IVR36" s="2"/>
      <c r="IVS36" s="2"/>
      <c r="IVT36" s="2"/>
      <c r="IVU36" s="2"/>
      <c r="IVV36" s="2"/>
      <c r="IVW36" s="2"/>
      <c r="IVX36" s="2"/>
      <c r="IVY36" s="2"/>
      <c r="IVZ36" s="2"/>
      <c r="IWA36" s="2"/>
      <c r="IWB36" s="2"/>
      <c r="IWC36" s="2"/>
      <c r="IWD36" s="2"/>
      <c r="IWE36" s="2"/>
      <c r="IWF36" s="2"/>
      <c r="IWG36" s="2"/>
      <c r="IWH36" s="2"/>
      <c r="IWI36" s="2"/>
      <c r="IWJ36" s="2"/>
      <c r="IWK36" s="2"/>
      <c r="IWL36" s="2"/>
      <c r="IWM36" s="2"/>
      <c r="IWN36" s="2"/>
      <c r="IWO36" s="2"/>
      <c r="IWP36" s="2"/>
      <c r="IWQ36" s="2"/>
      <c r="IWR36" s="2"/>
      <c r="IWS36" s="2"/>
      <c r="IWT36" s="2"/>
      <c r="IWU36" s="2"/>
      <c r="IWV36" s="2"/>
      <c r="IWW36" s="2"/>
      <c r="IWX36" s="2"/>
      <c r="IWY36" s="2"/>
      <c r="IWZ36" s="2"/>
      <c r="IXA36" s="2"/>
      <c r="IXB36" s="2"/>
      <c r="IXC36" s="2"/>
      <c r="IXD36" s="2"/>
      <c r="IXE36" s="2"/>
      <c r="IXF36" s="2"/>
      <c r="IXG36" s="2"/>
      <c r="IXH36" s="2"/>
      <c r="IXI36" s="2"/>
      <c r="IXJ36" s="2"/>
      <c r="IXK36" s="2"/>
      <c r="IXL36" s="2"/>
      <c r="IXM36" s="2"/>
      <c r="IXN36" s="2"/>
      <c r="IXO36" s="2"/>
      <c r="IXP36" s="2"/>
      <c r="IXQ36" s="2"/>
      <c r="IXR36" s="2"/>
      <c r="IXS36" s="2"/>
      <c r="IXT36" s="2"/>
      <c r="IXU36" s="2"/>
      <c r="IXV36" s="2"/>
      <c r="IXW36" s="2"/>
      <c r="IXX36" s="2"/>
      <c r="IXY36" s="2"/>
      <c r="IXZ36" s="2"/>
      <c r="IYA36" s="2"/>
      <c r="IYB36" s="2"/>
      <c r="IYC36" s="2"/>
      <c r="IYD36" s="2"/>
      <c r="IYE36" s="2"/>
      <c r="IYF36" s="2"/>
      <c r="IYG36" s="2"/>
      <c r="IYH36" s="2"/>
      <c r="IYI36" s="2"/>
      <c r="IYJ36" s="2"/>
      <c r="IYK36" s="2"/>
      <c r="IYL36" s="2"/>
      <c r="IYM36" s="2"/>
      <c r="IYN36" s="2"/>
      <c r="IYO36" s="2"/>
      <c r="IYP36" s="2"/>
      <c r="IYQ36" s="2"/>
      <c r="IYR36" s="2"/>
      <c r="IYS36" s="2"/>
      <c r="IYT36" s="2"/>
      <c r="IYU36" s="2"/>
      <c r="IYV36" s="2"/>
      <c r="IYW36" s="2"/>
      <c r="IYX36" s="2"/>
      <c r="IYY36" s="2"/>
      <c r="IYZ36" s="2"/>
      <c r="IZA36" s="2"/>
      <c r="IZB36" s="2"/>
      <c r="IZC36" s="2"/>
      <c r="IZD36" s="2"/>
      <c r="IZE36" s="2"/>
      <c r="IZF36" s="2"/>
      <c r="IZG36" s="2"/>
      <c r="IZH36" s="2"/>
      <c r="IZI36" s="2"/>
      <c r="IZJ36" s="2"/>
      <c r="IZK36" s="2"/>
      <c r="IZL36" s="2"/>
      <c r="IZM36" s="2"/>
      <c r="IZN36" s="2"/>
      <c r="IZO36" s="2"/>
      <c r="IZP36" s="2"/>
      <c r="IZQ36" s="2"/>
      <c r="IZR36" s="2"/>
      <c r="IZS36" s="2"/>
      <c r="IZT36" s="2"/>
      <c r="IZU36" s="2"/>
      <c r="IZV36" s="2"/>
      <c r="IZW36" s="2"/>
      <c r="IZX36" s="2"/>
      <c r="IZY36" s="2"/>
      <c r="IZZ36" s="2"/>
      <c r="JAA36" s="2"/>
      <c r="JAB36" s="2"/>
      <c r="JAC36" s="2"/>
      <c r="JAD36" s="2"/>
      <c r="JAE36" s="2"/>
      <c r="JAF36" s="2"/>
      <c r="JAG36" s="2"/>
      <c r="JAH36" s="2"/>
      <c r="JAI36" s="2"/>
      <c r="JAJ36" s="2"/>
      <c r="JAK36" s="2"/>
      <c r="JAL36" s="2"/>
      <c r="JAM36" s="2"/>
      <c r="JAN36" s="2"/>
      <c r="JAO36" s="2"/>
      <c r="JAP36" s="2"/>
      <c r="JAQ36" s="2"/>
      <c r="JAR36" s="2"/>
      <c r="JAS36" s="2"/>
      <c r="JAT36" s="2"/>
      <c r="JAU36" s="2"/>
      <c r="JAV36" s="2"/>
      <c r="JAW36" s="2"/>
      <c r="JAX36" s="2"/>
      <c r="JAY36" s="2"/>
      <c r="JAZ36" s="2"/>
      <c r="JBA36" s="2"/>
      <c r="JBB36" s="2"/>
      <c r="JBC36" s="2"/>
      <c r="JBD36" s="2"/>
      <c r="JBE36" s="2"/>
      <c r="JBF36" s="2"/>
      <c r="JBG36" s="2"/>
      <c r="JBH36" s="2"/>
      <c r="JBI36" s="2"/>
      <c r="JBJ36" s="2"/>
      <c r="JBK36" s="2"/>
      <c r="JBL36" s="2"/>
      <c r="JBM36" s="2"/>
      <c r="JBN36" s="2"/>
      <c r="JBO36" s="2"/>
      <c r="JBP36" s="2"/>
      <c r="JBQ36" s="2"/>
      <c r="JBR36" s="2"/>
      <c r="JBS36" s="2"/>
      <c r="JBT36" s="2"/>
      <c r="JBU36" s="2"/>
      <c r="JBV36" s="2"/>
      <c r="JBW36" s="2"/>
      <c r="JBX36" s="2"/>
      <c r="JBY36" s="2"/>
      <c r="JBZ36" s="2"/>
      <c r="JCA36" s="2"/>
      <c r="JCB36" s="2"/>
      <c r="JCC36" s="2"/>
      <c r="JCD36" s="2"/>
      <c r="JCE36" s="2"/>
      <c r="JCF36" s="2"/>
      <c r="JCG36" s="2"/>
      <c r="JCH36" s="2"/>
      <c r="JCI36" s="2"/>
      <c r="JCJ36" s="2"/>
      <c r="JCK36" s="2"/>
      <c r="JCL36" s="2"/>
      <c r="JCM36" s="2"/>
      <c r="JCN36" s="2"/>
      <c r="JCO36" s="2"/>
      <c r="JCP36" s="2"/>
      <c r="JCQ36" s="2"/>
      <c r="JCR36" s="2"/>
      <c r="JCS36" s="2"/>
      <c r="JCT36" s="2"/>
      <c r="JCU36" s="2"/>
      <c r="JCV36" s="2"/>
      <c r="JCW36" s="2"/>
      <c r="JCX36" s="2"/>
      <c r="JCY36" s="2"/>
      <c r="JCZ36" s="2"/>
      <c r="JDA36" s="2"/>
      <c r="JDB36" s="2"/>
      <c r="JDC36" s="2"/>
      <c r="JDD36" s="2"/>
      <c r="JDE36" s="2"/>
      <c r="JDF36" s="2"/>
      <c r="JDG36" s="2"/>
      <c r="JDH36" s="2"/>
      <c r="JDI36" s="2"/>
      <c r="JDJ36" s="2"/>
      <c r="JDK36" s="2"/>
      <c r="JDL36" s="2"/>
      <c r="JDM36" s="2"/>
      <c r="JDN36" s="2"/>
      <c r="JDO36" s="2"/>
      <c r="JDP36" s="2"/>
      <c r="JDQ36" s="2"/>
      <c r="JDR36" s="2"/>
      <c r="JDS36" s="2"/>
      <c r="JDT36" s="2"/>
      <c r="JDU36" s="2"/>
      <c r="JDV36" s="2"/>
      <c r="JDW36" s="2"/>
      <c r="JDX36" s="2"/>
      <c r="JDY36" s="2"/>
      <c r="JDZ36" s="2"/>
      <c r="JEA36" s="2"/>
      <c r="JEB36" s="2"/>
      <c r="JEC36" s="2"/>
      <c r="JED36" s="2"/>
      <c r="JEE36" s="2"/>
      <c r="JEF36" s="2"/>
      <c r="JEG36" s="2"/>
      <c r="JEH36" s="2"/>
      <c r="JEI36" s="2"/>
      <c r="JEJ36" s="2"/>
      <c r="JEK36" s="2"/>
      <c r="JEL36" s="2"/>
      <c r="JEM36" s="2"/>
      <c r="JEN36" s="2"/>
      <c r="JEO36" s="2"/>
      <c r="JEP36" s="2"/>
      <c r="JEQ36" s="2"/>
      <c r="JER36" s="2"/>
      <c r="JES36" s="2"/>
      <c r="JET36" s="2"/>
      <c r="JEU36" s="2"/>
      <c r="JEV36" s="2"/>
      <c r="JEW36" s="2"/>
      <c r="JEX36" s="2"/>
      <c r="JEY36" s="2"/>
      <c r="JEZ36" s="2"/>
      <c r="JFA36" s="2"/>
      <c r="JFB36" s="2"/>
      <c r="JFC36" s="2"/>
      <c r="JFD36" s="2"/>
      <c r="JFE36" s="2"/>
      <c r="JFF36" s="2"/>
      <c r="JFG36" s="2"/>
      <c r="JFH36" s="2"/>
      <c r="JFI36" s="2"/>
      <c r="JFJ36" s="2"/>
      <c r="JFK36" s="2"/>
      <c r="JFL36" s="2"/>
      <c r="JFM36" s="2"/>
      <c r="JFN36" s="2"/>
      <c r="JFO36" s="2"/>
      <c r="JFP36" s="2"/>
      <c r="JFQ36" s="2"/>
      <c r="JFR36" s="2"/>
      <c r="JFS36" s="2"/>
      <c r="JFT36" s="2"/>
      <c r="JFU36" s="2"/>
      <c r="JFV36" s="2"/>
      <c r="JFW36" s="2"/>
      <c r="JFX36" s="2"/>
      <c r="JFY36" s="2"/>
      <c r="JFZ36" s="2"/>
      <c r="JGA36" s="2"/>
      <c r="JGB36" s="2"/>
      <c r="JGC36" s="2"/>
      <c r="JGD36" s="2"/>
      <c r="JGE36" s="2"/>
      <c r="JGF36" s="2"/>
      <c r="JGG36" s="2"/>
      <c r="JGH36" s="2"/>
      <c r="JGI36" s="2"/>
      <c r="JGJ36" s="2"/>
      <c r="JGK36" s="2"/>
      <c r="JGL36" s="2"/>
      <c r="JGM36" s="2"/>
      <c r="JGN36" s="2"/>
      <c r="JGO36" s="2"/>
      <c r="JGP36" s="2"/>
      <c r="JGQ36" s="2"/>
      <c r="JGR36" s="2"/>
      <c r="JGS36" s="2"/>
      <c r="JGT36" s="2"/>
      <c r="JGU36" s="2"/>
      <c r="JGV36" s="2"/>
      <c r="JGW36" s="2"/>
      <c r="JGX36" s="2"/>
      <c r="JGY36" s="2"/>
      <c r="JGZ36" s="2"/>
      <c r="JHA36" s="2"/>
      <c r="JHB36" s="2"/>
      <c r="JHC36" s="2"/>
      <c r="JHD36" s="2"/>
      <c r="JHE36" s="2"/>
      <c r="JHF36" s="2"/>
      <c r="JHG36" s="2"/>
      <c r="JHH36" s="2"/>
      <c r="JHI36" s="2"/>
      <c r="JHJ36" s="2"/>
      <c r="JHK36" s="2"/>
      <c r="JHL36" s="2"/>
      <c r="JHM36" s="2"/>
      <c r="JHN36" s="2"/>
      <c r="JHO36" s="2"/>
      <c r="JHP36" s="2"/>
      <c r="JHQ36" s="2"/>
      <c r="JHR36" s="2"/>
      <c r="JHS36" s="2"/>
      <c r="JHT36" s="2"/>
      <c r="JHU36" s="2"/>
      <c r="JHV36" s="2"/>
      <c r="JHW36" s="2"/>
      <c r="JHX36" s="2"/>
      <c r="JHY36" s="2"/>
      <c r="JHZ36" s="2"/>
      <c r="JIA36" s="2"/>
      <c r="JIB36" s="2"/>
      <c r="JIC36" s="2"/>
      <c r="JID36" s="2"/>
      <c r="JIE36" s="2"/>
      <c r="JIF36" s="2"/>
      <c r="JIG36" s="2"/>
      <c r="JIH36" s="2"/>
      <c r="JII36" s="2"/>
      <c r="JIJ36" s="2"/>
      <c r="JIK36" s="2"/>
      <c r="JIL36" s="2"/>
      <c r="JIM36" s="2"/>
      <c r="JIN36" s="2"/>
      <c r="JIO36" s="2"/>
      <c r="JIP36" s="2"/>
      <c r="JIQ36" s="2"/>
      <c r="JIR36" s="2"/>
      <c r="JIS36" s="2"/>
      <c r="JIT36" s="2"/>
      <c r="JIU36" s="2"/>
      <c r="JIV36" s="2"/>
      <c r="JIW36" s="2"/>
      <c r="JIX36" s="2"/>
      <c r="JIY36" s="2"/>
      <c r="JIZ36" s="2"/>
      <c r="JJA36" s="2"/>
      <c r="JJB36" s="2"/>
      <c r="JJC36" s="2"/>
      <c r="JJD36" s="2"/>
      <c r="JJE36" s="2"/>
      <c r="JJF36" s="2"/>
      <c r="JJG36" s="2"/>
      <c r="JJH36" s="2"/>
      <c r="JJI36" s="2"/>
      <c r="JJJ36" s="2"/>
      <c r="JJK36" s="2"/>
      <c r="JJL36" s="2"/>
      <c r="JJM36" s="2"/>
      <c r="JJN36" s="2"/>
      <c r="JJO36" s="2"/>
      <c r="JJP36" s="2"/>
      <c r="JJQ36" s="2"/>
      <c r="JJR36" s="2"/>
      <c r="JJS36" s="2"/>
      <c r="JJT36" s="2"/>
      <c r="JJU36" s="2"/>
      <c r="JJV36" s="2"/>
      <c r="JJW36" s="2"/>
      <c r="JJX36" s="2"/>
      <c r="JJY36" s="2"/>
      <c r="JJZ36" s="2"/>
      <c r="JKA36" s="2"/>
      <c r="JKB36" s="2"/>
      <c r="JKC36" s="2"/>
      <c r="JKD36" s="2"/>
      <c r="JKE36" s="2"/>
      <c r="JKF36" s="2"/>
      <c r="JKG36" s="2"/>
      <c r="JKH36" s="2"/>
      <c r="JKI36" s="2"/>
      <c r="JKJ36" s="2"/>
      <c r="JKK36" s="2"/>
      <c r="JKL36" s="2"/>
      <c r="JKM36" s="2"/>
      <c r="JKN36" s="2"/>
      <c r="JKO36" s="2"/>
      <c r="JKP36" s="2"/>
      <c r="JKQ36" s="2"/>
      <c r="JKR36" s="2"/>
      <c r="JKS36" s="2"/>
      <c r="JKT36" s="2"/>
      <c r="JKU36" s="2"/>
      <c r="JKV36" s="2"/>
      <c r="JKW36" s="2"/>
      <c r="JKX36" s="2"/>
      <c r="JKY36" s="2"/>
      <c r="JKZ36" s="2"/>
      <c r="JLA36" s="2"/>
      <c r="JLB36" s="2"/>
      <c r="JLC36" s="2"/>
      <c r="JLD36" s="2"/>
      <c r="JLE36" s="2"/>
      <c r="JLF36" s="2"/>
      <c r="JLG36" s="2"/>
      <c r="JLH36" s="2"/>
      <c r="JLI36" s="2"/>
      <c r="JLJ36" s="2"/>
      <c r="JLK36" s="2"/>
      <c r="JLL36" s="2"/>
      <c r="JLM36" s="2"/>
      <c r="JLN36" s="2"/>
      <c r="JLO36" s="2"/>
      <c r="JLP36" s="2"/>
      <c r="JLQ36" s="2"/>
      <c r="JLR36" s="2"/>
      <c r="JLS36" s="2"/>
      <c r="JLT36" s="2"/>
      <c r="JLU36" s="2"/>
      <c r="JLV36" s="2"/>
      <c r="JLW36" s="2"/>
      <c r="JLX36" s="2"/>
      <c r="JLY36" s="2"/>
      <c r="JLZ36" s="2"/>
      <c r="JMA36" s="2"/>
      <c r="JMB36" s="2"/>
      <c r="JMC36" s="2"/>
      <c r="JMD36" s="2"/>
      <c r="JME36" s="2"/>
      <c r="JMF36" s="2"/>
      <c r="JMG36" s="2"/>
      <c r="JMH36" s="2"/>
      <c r="JMI36" s="2"/>
      <c r="JMJ36" s="2"/>
      <c r="JMK36" s="2"/>
      <c r="JML36" s="2"/>
      <c r="JMM36" s="2"/>
      <c r="JMN36" s="2"/>
      <c r="JMO36" s="2"/>
      <c r="JMP36" s="2"/>
      <c r="JMQ36" s="2"/>
      <c r="JMR36" s="2"/>
      <c r="JMS36" s="2"/>
      <c r="JMT36" s="2"/>
      <c r="JMU36" s="2"/>
      <c r="JMV36" s="2"/>
      <c r="JMW36" s="2"/>
      <c r="JMX36" s="2"/>
      <c r="JMY36" s="2"/>
      <c r="JMZ36" s="2"/>
      <c r="JNA36" s="2"/>
      <c r="JNB36" s="2"/>
      <c r="JNC36" s="2"/>
      <c r="JND36" s="2"/>
      <c r="JNE36" s="2"/>
      <c r="JNF36" s="2"/>
      <c r="JNG36" s="2"/>
      <c r="JNH36" s="2"/>
      <c r="JNI36" s="2"/>
      <c r="JNJ36" s="2"/>
      <c r="JNK36" s="2"/>
      <c r="JNL36" s="2"/>
      <c r="JNM36" s="2"/>
      <c r="JNN36" s="2"/>
      <c r="JNO36" s="2"/>
      <c r="JNP36" s="2"/>
      <c r="JNQ36" s="2"/>
      <c r="JNR36" s="2"/>
      <c r="JNS36" s="2"/>
      <c r="JNT36" s="2"/>
      <c r="JNU36" s="2"/>
      <c r="JNV36" s="2"/>
      <c r="JNW36" s="2"/>
      <c r="JNX36" s="2"/>
      <c r="JNY36" s="2"/>
      <c r="JNZ36" s="2"/>
      <c r="JOA36" s="2"/>
      <c r="JOB36" s="2"/>
      <c r="JOC36" s="2"/>
      <c r="JOD36" s="2"/>
      <c r="JOE36" s="2"/>
      <c r="JOF36" s="2"/>
      <c r="JOG36" s="2"/>
      <c r="JOH36" s="2"/>
      <c r="JOI36" s="2"/>
      <c r="JOJ36" s="2"/>
      <c r="JOK36" s="2"/>
      <c r="JOL36" s="2"/>
      <c r="JOM36" s="2"/>
      <c r="JON36" s="2"/>
      <c r="JOO36" s="2"/>
      <c r="JOP36" s="2"/>
      <c r="JOQ36" s="2"/>
      <c r="JOR36" s="2"/>
      <c r="JOS36" s="2"/>
      <c r="JOT36" s="2"/>
      <c r="JOU36" s="2"/>
      <c r="JOV36" s="2"/>
      <c r="JOW36" s="2"/>
      <c r="JOX36" s="2"/>
      <c r="JOY36" s="2"/>
      <c r="JOZ36" s="2"/>
      <c r="JPA36" s="2"/>
      <c r="JPB36" s="2"/>
      <c r="JPC36" s="2"/>
      <c r="JPD36" s="2"/>
      <c r="JPE36" s="2"/>
      <c r="JPF36" s="2"/>
      <c r="JPG36" s="2"/>
      <c r="JPH36" s="2"/>
      <c r="JPI36" s="2"/>
      <c r="JPJ36" s="2"/>
      <c r="JPK36" s="2"/>
      <c r="JPL36" s="2"/>
      <c r="JPM36" s="2"/>
      <c r="JPN36" s="2"/>
      <c r="JPO36" s="2"/>
      <c r="JPP36" s="2"/>
      <c r="JPQ36" s="2"/>
      <c r="JPR36" s="2"/>
      <c r="JPS36" s="2"/>
      <c r="JPT36" s="2"/>
      <c r="JPU36" s="2"/>
      <c r="JPV36" s="2"/>
      <c r="JPW36" s="2"/>
      <c r="JPX36" s="2"/>
      <c r="JPY36" s="2"/>
      <c r="JPZ36" s="2"/>
      <c r="JQA36" s="2"/>
      <c r="JQB36" s="2"/>
      <c r="JQC36" s="2"/>
      <c r="JQD36" s="2"/>
      <c r="JQE36" s="2"/>
      <c r="JQF36" s="2"/>
      <c r="JQG36" s="2"/>
      <c r="JQH36" s="2"/>
      <c r="JQI36" s="2"/>
      <c r="JQJ36" s="2"/>
      <c r="JQK36" s="2"/>
      <c r="JQL36" s="2"/>
      <c r="JQM36" s="2"/>
      <c r="JQN36" s="2"/>
      <c r="JQO36" s="2"/>
      <c r="JQP36" s="2"/>
      <c r="JQQ36" s="2"/>
      <c r="JQR36" s="2"/>
      <c r="JQS36" s="2"/>
      <c r="JQT36" s="2"/>
      <c r="JQU36" s="2"/>
      <c r="JQV36" s="2"/>
      <c r="JQW36" s="2"/>
      <c r="JQX36" s="2"/>
      <c r="JQY36" s="2"/>
      <c r="JQZ36" s="2"/>
      <c r="JRA36" s="2"/>
      <c r="JRB36" s="2"/>
      <c r="JRC36" s="2"/>
      <c r="JRD36" s="2"/>
      <c r="JRE36" s="2"/>
      <c r="JRF36" s="2"/>
      <c r="JRG36" s="2"/>
      <c r="JRH36" s="2"/>
      <c r="JRI36" s="2"/>
      <c r="JRJ36" s="2"/>
      <c r="JRK36" s="2"/>
      <c r="JRL36" s="2"/>
      <c r="JRM36" s="2"/>
      <c r="JRN36" s="2"/>
      <c r="JRO36" s="2"/>
      <c r="JRP36" s="2"/>
      <c r="JRQ36" s="2"/>
      <c r="JRR36" s="2"/>
      <c r="JRS36" s="2"/>
      <c r="JRT36" s="2"/>
      <c r="JRU36" s="2"/>
      <c r="JRV36" s="2"/>
      <c r="JRW36" s="2"/>
      <c r="JRX36" s="2"/>
      <c r="JRY36" s="2"/>
      <c r="JRZ36" s="2"/>
      <c r="JSA36" s="2"/>
      <c r="JSB36" s="2"/>
      <c r="JSC36" s="2"/>
      <c r="JSD36" s="2"/>
      <c r="JSE36" s="2"/>
      <c r="JSF36" s="2"/>
      <c r="JSG36" s="2"/>
      <c r="JSH36" s="2"/>
      <c r="JSI36" s="2"/>
      <c r="JSJ36" s="2"/>
      <c r="JSK36" s="2"/>
      <c r="JSL36" s="2"/>
      <c r="JSM36" s="2"/>
      <c r="JSN36" s="2"/>
      <c r="JSO36" s="2"/>
      <c r="JSP36" s="2"/>
      <c r="JSQ36" s="2"/>
      <c r="JSR36" s="2"/>
      <c r="JSS36" s="2"/>
      <c r="JST36" s="2"/>
      <c r="JSU36" s="2"/>
      <c r="JSV36" s="2"/>
      <c r="JSW36" s="2"/>
      <c r="JSX36" s="2"/>
      <c r="JSY36" s="2"/>
      <c r="JSZ36" s="2"/>
      <c r="JTA36" s="2"/>
      <c r="JTB36" s="2"/>
      <c r="JTC36" s="2"/>
      <c r="JTD36" s="2"/>
      <c r="JTE36" s="2"/>
      <c r="JTF36" s="2"/>
      <c r="JTG36" s="2"/>
      <c r="JTH36" s="2"/>
      <c r="JTI36" s="2"/>
      <c r="JTJ36" s="2"/>
      <c r="JTK36" s="2"/>
      <c r="JTL36" s="2"/>
      <c r="JTM36" s="2"/>
      <c r="JTN36" s="2"/>
      <c r="JTO36" s="2"/>
      <c r="JTP36" s="2"/>
      <c r="JTQ36" s="2"/>
      <c r="JTR36" s="2"/>
      <c r="JTS36" s="2"/>
      <c r="JTT36" s="2"/>
      <c r="JTU36" s="2"/>
      <c r="JTV36" s="2"/>
      <c r="JTW36" s="2"/>
      <c r="JTX36" s="2"/>
      <c r="JTY36" s="2"/>
      <c r="JTZ36" s="2"/>
      <c r="JUA36" s="2"/>
      <c r="JUB36" s="2"/>
      <c r="JUC36" s="2"/>
      <c r="JUD36" s="2"/>
      <c r="JUE36" s="2"/>
      <c r="JUF36" s="2"/>
      <c r="JUG36" s="2"/>
      <c r="JUH36" s="2"/>
      <c r="JUI36" s="2"/>
      <c r="JUJ36" s="2"/>
      <c r="JUK36" s="2"/>
      <c r="JUL36" s="2"/>
      <c r="JUM36" s="2"/>
      <c r="JUN36" s="2"/>
      <c r="JUO36" s="2"/>
      <c r="JUP36" s="2"/>
      <c r="JUQ36" s="2"/>
      <c r="JUR36" s="2"/>
      <c r="JUS36" s="2"/>
      <c r="JUT36" s="2"/>
      <c r="JUU36" s="2"/>
      <c r="JUV36" s="2"/>
      <c r="JUW36" s="2"/>
      <c r="JUX36" s="2"/>
      <c r="JUY36" s="2"/>
      <c r="JUZ36" s="2"/>
      <c r="JVA36" s="2"/>
      <c r="JVB36" s="2"/>
      <c r="JVC36" s="2"/>
      <c r="JVD36" s="2"/>
      <c r="JVE36" s="2"/>
      <c r="JVF36" s="2"/>
      <c r="JVG36" s="2"/>
      <c r="JVH36" s="2"/>
      <c r="JVI36" s="2"/>
      <c r="JVJ36" s="2"/>
      <c r="JVK36" s="2"/>
      <c r="JVL36" s="2"/>
      <c r="JVM36" s="2"/>
      <c r="JVN36" s="2"/>
      <c r="JVO36" s="2"/>
      <c r="JVP36" s="2"/>
      <c r="JVQ36" s="2"/>
      <c r="JVR36" s="2"/>
      <c r="JVS36" s="2"/>
      <c r="JVT36" s="2"/>
      <c r="JVU36" s="2"/>
      <c r="JVV36" s="2"/>
      <c r="JVW36" s="2"/>
      <c r="JVX36" s="2"/>
      <c r="JVY36" s="2"/>
      <c r="JVZ36" s="2"/>
      <c r="JWA36" s="2"/>
      <c r="JWB36" s="2"/>
      <c r="JWC36" s="2"/>
      <c r="JWD36" s="2"/>
      <c r="JWE36" s="2"/>
      <c r="JWF36" s="2"/>
      <c r="JWG36" s="2"/>
      <c r="JWH36" s="2"/>
      <c r="JWI36" s="2"/>
      <c r="JWJ36" s="2"/>
      <c r="JWK36" s="2"/>
      <c r="JWL36" s="2"/>
      <c r="JWM36" s="2"/>
      <c r="JWN36" s="2"/>
      <c r="JWO36" s="2"/>
      <c r="JWP36" s="2"/>
      <c r="JWQ36" s="2"/>
      <c r="JWR36" s="2"/>
      <c r="JWS36" s="2"/>
      <c r="JWT36" s="2"/>
      <c r="JWU36" s="2"/>
      <c r="JWV36" s="2"/>
      <c r="JWW36" s="2"/>
      <c r="JWX36" s="2"/>
      <c r="JWY36" s="2"/>
      <c r="JWZ36" s="2"/>
      <c r="JXA36" s="2"/>
      <c r="JXB36" s="2"/>
      <c r="JXC36" s="2"/>
      <c r="JXD36" s="2"/>
      <c r="JXE36" s="2"/>
      <c r="JXF36" s="2"/>
      <c r="JXG36" s="2"/>
      <c r="JXH36" s="2"/>
      <c r="JXI36" s="2"/>
      <c r="JXJ36" s="2"/>
      <c r="JXK36" s="2"/>
      <c r="JXL36" s="2"/>
      <c r="JXM36" s="2"/>
      <c r="JXN36" s="2"/>
      <c r="JXO36" s="2"/>
      <c r="JXP36" s="2"/>
      <c r="JXQ36" s="2"/>
      <c r="JXR36" s="2"/>
      <c r="JXS36" s="2"/>
      <c r="JXT36" s="2"/>
      <c r="JXU36" s="2"/>
      <c r="JXV36" s="2"/>
      <c r="JXW36" s="2"/>
      <c r="JXX36" s="2"/>
      <c r="JXY36" s="2"/>
      <c r="JXZ36" s="2"/>
      <c r="JYA36" s="2"/>
      <c r="JYB36" s="2"/>
      <c r="JYC36" s="2"/>
      <c r="JYD36" s="2"/>
      <c r="JYE36" s="2"/>
      <c r="JYF36" s="2"/>
      <c r="JYG36" s="2"/>
      <c r="JYH36" s="2"/>
      <c r="JYI36" s="2"/>
      <c r="JYJ36" s="2"/>
      <c r="JYK36" s="2"/>
      <c r="JYL36" s="2"/>
      <c r="JYM36" s="2"/>
      <c r="JYN36" s="2"/>
      <c r="JYO36" s="2"/>
      <c r="JYP36" s="2"/>
      <c r="JYQ36" s="2"/>
      <c r="JYR36" s="2"/>
      <c r="JYS36" s="2"/>
      <c r="JYT36" s="2"/>
      <c r="JYU36" s="2"/>
      <c r="JYV36" s="2"/>
      <c r="JYW36" s="2"/>
      <c r="JYX36" s="2"/>
      <c r="JYY36" s="2"/>
      <c r="JYZ36" s="2"/>
      <c r="JZA36" s="2"/>
      <c r="JZB36" s="2"/>
      <c r="JZC36" s="2"/>
      <c r="JZD36" s="2"/>
      <c r="JZE36" s="2"/>
      <c r="JZF36" s="2"/>
      <c r="JZG36" s="2"/>
      <c r="JZH36" s="2"/>
      <c r="JZI36" s="2"/>
      <c r="JZJ36" s="2"/>
      <c r="JZK36" s="2"/>
      <c r="JZL36" s="2"/>
      <c r="JZM36" s="2"/>
      <c r="JZN36" s="2"/>
      <c r="JZO36" s="2"/>
      <c r="JZP36" s="2"/>
      <c r="JZQ36" s="2"/>
      <c r="JZR36" s="2"/>
      <c r="JZS36" s="2"/>
      <c r="JZT36" s="2"/>
      <c r="JZU36" s="2"/>
      <c r="JZV36" s="2"/>
      <c r="JZW36" s="2"/>
      <c r="JZX36" s="2"/>
      <c r="JZY36" s="2"/>
      <c r="JZZ36" s="2"/>
      <c r="KAA36" s="2"/>
      <c r="KAB36" s="2"/>
      <c r="KAC36" s="2"/>
      <c r="KAD36" s="2"/>
      <c r="KAE36" s="2"/>
      <c r="KAF36" s="2"/>
      <c r="KAG36" s="2"/>
      <c r="KAH36" s="2"/>
      <c r="KAI36" s="2"/>
      <c r="KAJ36" s="2"/>
      <c r="KAK36" s="2"/>
      <c r="KAL36" s="2"/>
      <c r="KAM36" s="2"/>
      <c r="KAN36" s="2"/>
      <c r="KAO36" s="2"/>
      <c r="KAP36" s="2"/>
      <c r="KAQ36" s="2"/>
      <c r="KAR36" s="2"/>
      <c r="KAS36" s="2"/>
      <c r="KAT36" s="2"/>
      <c r="KAU36" s="2"/>
      <c r="KAV36" s="2"/>
      <c r="KAW36" s="2"/>
      <c r="KAX36" s="2"/>
      <c r="KAY36" s="2"/>
      <c r="KAZ36" s="2"/>
      <c r="KBA36" s="2"/>
      <c r="KBB36" s="2"/>
      <c r="KBC36" s="2"/>
      <c r="KBD36" s="2"/>
      <c r="KBE36" s="2"/>
      <c r="KBF36" s="2"/>
      <c r="KBG36" s="2"/>
      <c r="KBH36" s="2"/>
      <c r="KBI36" s="2"/>
      <c r="KBJ36" s="2"/>
      <c r="KBK36" s="2"/>
      <c r="KBL36" s="2"/>
      <c r="KBM36" s="2"/>
      <c r="KBN36" s="2"/>
      <c r="KBO36" s="2"/>
      <c r="KBP36" s="2"/>
      <c r="KBQ36" s="2"/>
      <c r="KBR36" s="2"/>
      <c r="KBS36" s="2"/>
      <c r="KBT36" s="2"/>
      <c r="KBU36" s="2"/>
      <c r="KBV36" s="2"/>
      <c r="KBW36" s="2"/>
      <c r="KBX36" s="2"/>
      <c r="KBY36" s="2"/>
      <c r="KBZ36" s="2"/>
      <c r="KCA36" s="2"/>
      <c r="KCB36" s="2"/>
      <c r="KCC36" s="2"/>
      <c r="KCD36" s="2"/>
      <c r="KCE36" s="2"/>
      <c r="KCF36" s="2"/>
      <c r="KCG36" s="2"/>
      <c r="KCH36" s="2"/>
      <c r="KCI36" s="2"/>
      <c r="KCJ36" s="2"/>
      <c r="KCK36" s="2"/>
      <c r="KCL36" s="2"/>
      <c r="KCM36" s="2"/>
      <c r="KCN36" s="2"/>
      <c r="KCO36" s="2"/>
      <c r="KCP36" s="2"/>
      <c r="KCQ36" s="2"/>
      <c r="KCR36" s="2"/>
      <c r="KCS36" s="2"/>
      <c r="KCT36" s="2"/>
      <c r="KCU36" s="2"/>
      <c r="KCV36" s="2"/>
      <c r="KCW36" s="2"/>
      <c r="KCX36" s="2"/>
      <c r="KCY36" s="2"/>
      <c r="KCZ36" s="2"/>
      <c r="KDA36" s="2"/>
      <c r="KDB36" s="2"/>
      <c r="KDC36" s="2"/>
      <c r="KDD36" s="2"/>
      <c r="KDE36" s="2"/>
      <c r="KDF36" s="2"/>
      <c r="KDG36" s="2"/>
      <c r="KDH36" s="2"/>
      <c r="KDI36" s="2"/>
      <c r="KDJ36" s="2"/>
      <c r="KDK36" s="2"/>
      <c r="KDL36" s="2"/>
      <c r="KDM36" s="2"/>
      <c r="KDN36" s="2"/>
      <c r="KDO36" s="2"/>
      <c r="KDP36" s="2"/>
      <c r="KDQ36" s="2"/>
      <c r="KDR36" s="2"/>
      <c r="KDS36" s="2"/>
      <c r="KDT36" s="2"/>
      <c r="KDU36" s="2"/>
      <c r="KDV36" s="2"/>
      <c r="KDW36" s="2"/>
      <c r="KDX36" s="2"/>
      <c r="KDY36" s="2"/>
      <c r="KDZ36" s="2"/>
      <c r="KEA36" s="2"/>
      <c r="KEB36" s="2"/>
      <c r="KEC36" s="2"/>
      <c r="KED36" s="2"/>
      <c r="KEE36" s="2"/>
      <c r="KEF36" s="2"/>
      <c r="KEG36" s="2"/>
      <c r="KEH36" s="2"/>
      <c r="KEI36" s="2"/>
      <c r="KEJ36" s="2"/>
      <c r="KEK36" s="2"/>
      <c r="KEL36" s="2"/>
      <c r="KEM36" s="2"/>
      <c r="KEN36" s="2"/>
      <c r="KEO36" s="2"/>
      <c r="KEP36" s="2"/>
      <c r="KEQ36" s="2"/>
      <c r="KER36" s="2"/>
      <c r="KES36" s="2"/>
      <c r="KET36" s="2"/>
      <c r="KEU36" s="2"/>
      <c r="KEV36" s="2"/>
      <c r="KEW36" s="2"/>
      <c r="KEX36" s="2"/>
      <c r="KEY36" s="2"/>
      <c r="KEZ36" s="2"/>
      <c r="KFA36" s="2"/>
      <c r="KFB36" s="2"/>
      <c r="KFC36" s="2"/>
      <c r="KFD36" s="2"/>
      <c r="KFE36" s="2"/>
      <c r="KFF36" s="2"/>
      <c r="KFG36" s="2"/>
      <c r="KFH36" s="2"/>
      <c r="KFI36" s="2"/>
      <c r="KFJ36" s="2"/>
      <c r="KFK36" s="2"/>
      <c r="KFL36" s="2"/>
      <c r="KFM36" s="2"/>
      <c r="KFN36" s="2"/>
      <c r="KFO36" s="2"/>
      <c r="KFP36" s="2"/>
      <c r="KFQ36" s="2"/>
      <c r="KFR36" s="2"/>
      <c r="KFS36" s="2"/>
      <c r="KFT36" s="2"/>
      <c r="KFU36" s="2"/>
      <c r="KFV36" s="2"/>
      <c r="KFW36" s="2"/>
      <c r="KFX36" s="2"/>
      <c r="KFY36" s="2"/>
      <c r="KFZ36" s="2"/>
      <c r="KGA36" s="2"/>
      <c r="KGB36" s="2"/>
      <c r="KGC36" s="2"/>
      <c r="KGD36" s="2"/>
      <c r="KGE36" s="2"/>
      <c r="KGF36" s="2"/>
      <c r="KGG36" s="2"/>
      <c r="KGH36" s="2"/>
      <c r="KGI36" s="2"/>
      <c r="KGJ36" s="2"/>
      <c r="KGK36" s="2"/>
      <c r="KGL36" s="2"/>
      <c r="KGM36" s="2"/>
      <c r="KGN36" s="2"/>
      <c r="KGO36" s="2"/>
      <c r="KGP36" s="2"/>
      <c r="KGQ36" s="2"/>
      <c r="KGR36" s="2"/>
      <c r="KGS36" s="2"/>
      <c r="KGT36" s="2"/>
      <c r="KGU36" s="2"/>
      <c r="KGV36" s="2"/>
      <c r="KGW36" s="2"/>
      <c r="KGX36" s="2"/>
      <c r="KGY36" s="2"/>
      <c r="KGZ36" s="2"/>
      <c r="KHA36" s="2"/>
      <c r="KHB36" s="2"/>
      <c r="KHC36" s="2"/>
      <c r="KHD36" s="2"/>
      <c r="KHE36" s="2"/>
      <c r="KHF36" s="2"/>
      <c r="KHG36" s="2"/>
      <c r="KHH36" s="2"/>
      <c r="KHI36" s="2"/>
      <c r="KHJ36" s="2"/>
      <c r="KHK36" s="2"/>
      <c r="KHL36" s="2"/>
      <c r="KHM36" s="2"/>
      <c r="KHN36" s="2"/>
      <c r="KHO36" s="2"/>
      <c r="KHP36" s="2"/>
      <c r="KHQ36" s="2"/>
      <c r="KHR36" s="2"/>
      <c r="KHS36" s="2"/>
      <c r="KHT36" s="2"/>
      <c r="KHU36" s="2"/>
      <c r="KHV36" s="2"/>
      <c r="KHW36" s="2"/>
      <c r="KHX36" s="2"/>
      <c r="KHY36" s="2"/>
      <c r="KHZ36" s="2"/>
      <c r="KIA36" s="2"/>
      <c r="KIB36" s="2"/>
      <c r="KIC36" s="2"/>
      <c r="KID36" s="2"/>
      <c r="KIE36" s="2"/>
      <c r="KIF36" s="2"/>
      <c r="KIG36" s="2"/>
      <c r="KIH36" s="2"/>
      <c r="KII36" s="2"/>
      <c r="KIJ36" s="2"/>
      <c r="KIK36" s="2"/>
      <c r="KIL36" s="2"/>
      <c r="KIM36" s="2"/>
      <c r="KIN36" s="2"/>
      <c r="KIO36" s="2"/>
      <c r="KIP36" s="2"/>
      <c r="KIQ36" s="2"/>
      <c r="KIR36" s="2"/>
      <c r="KIS36" s="2"/>
      <c r="KIT36" s="2"/>
      <c r="KIU36" s="2"/>
      <c r="KIV36" s="2"/>
      <c r="KIW36" s="2"/>
      <c r="KIX36" s="2"/>
      <c r="KIY36" s="2"/>
      <c r="KIZ36" s="2"/>
      <c r="KJA36" s="2"/>
      <c r="KJB36" s="2"/>
      <c r="KJC36" s="2"/>
      <c r="KJD36" s="2"/>
      <c r="KJE36" s="2"/>
      <c r="KJF36" s="2"/>
      <c r="KJG36" s="2"/>
      <c r="KJH36" s="2"/>
      <c r="KJI36" s="2"/>
      <c r="KJJ36" s="2"/>
      <c r="KJK36" s="2"/>
      <c r="KJL36" s="2"/>
      <c r="KJM36" s="2"/>
      <c r="KJN36" s="2"/>
      <c r="KJO36" s="2"/>
      <c r="KJP36" s="2"/>
      <c r="KJQ36" s="2"/>
      <c r="KJR36" s="2"/>
      <c r="KJS36" s="2"/>
      <c r="KJT36" s="2"/>
      <c r="KJU36" s="2"/>
      <c r="KJV36" s="2"/>
      <c r="KJW36" s="2"/>
      <c r="KJX36" s="2"/>
      <c r="KJY36" s="2"/>
      <c r="KJZ36" s="2"/>
      <c r="KKA36" s="2"/>
      <c r="KKB36" s="2"/>
      <c r="KKC36" s="2"/>
      <c r="KKD36" s="2"/>
      <c r="KKE36" s="2"/>
      <c r="KKF36" s="2"/>
      <c r="KKG36" s="2"/>
      <c r="KKH36" s="2"/>
      <c r="KKI36" s="2"/>
      <c r="KKJ36" s="2"/>
      <c r="KKK36" s="2"/>
      <c r="KKL36" s="2"/>
      <c r="KKM36" s="2"/>
      <c r="KKN36" s="2"/>
      <c r="KKO36" s="2"/>
      <c r="KKP36" s="2"/>
      <c r="KKQ36" s="2"/>
      <c r="KKR36" s="2"/>
      <c r="KKS36" s="2"/>
      <c r="KKT36" s="2"/>
      <c r="KKU36" s="2"/>
      <c r="KKV36" s="2"/>
      <c r="KKW36" s="2"/>
      <c r="KKX36" s="2"/>
      <c r="KKY36" s="2"/>
      <c r="KKZ36" s="2"/>
      <c r="KLA36" s="2"/>
      <c r="KLB36" s="2"/>
      <c r="KLC36" s="2"/>
      <c r="KLD36" s="2"/>
      <c r="KLE36" s="2"/>
      <c r="KLF36" s="2"/>
      <c r="KLG36" s="2"/>
      <c r="KLH36" s="2"/>
      <c r="KLI36" s="2"/>
      <c r="KLJ36" s="2"/>
      <c r="KLK36" s="2"/>
      <c r="KLL36" s="2"/>
      <c r="KLM36" s="2"/>
      <c r="KLN36" s="2"/>
      <c r="KLO36" s="2"/>
      <c r="KLP36" s="2"/>
      <c r="KLQ36" s="2"/>
      <c r="KLR36" s="2"/>
      <c r="KLS36" s="2"/>
      <c r="KLT36" s="2"/>
      <c r="KLU36" s="2"/>
      <c r="KLV36" s="2"/>
      <c r="KLW36" s="2"/>
      <c r="KLX36" s="2"/>
      <c r="KLY36" s="2"/>
      <c r="KLZ36" s="2"/>
      <c r="KMA36" s="2"/>
      <c r="KMB36" s="2"/>
      <c r="KMC36" s="2"/>
      <c r="KMD36" s="2"/>
      <c r="KME36" s="2"/>
      <c r="KMF36" s="2"/>
      <c r="KMG36" s="2"/>
      <c r="KMH36" s="2"/>
      <c r="KMI36" s="2"/>
      <c r="KMJ36" s="2"/>
      <c r="KMK36" s="2"/>
      <c r="KML36" s="2"/>
      <c r="KMM36" s="2"/>
      <c r="KMN36" s="2"/>
      <c r="KMO36" s="2"/>
      <c r="KMP36" s="2"/>
      <c r="KMQ36" s="2"/>
      <c r="KMR36" s="2"/>
      <c r="KMS36" s="2"/>
      <c r="KMT36" s="2"/>
      <c r="KMU36" s="2"/>
      <c r="KMV36" s="2"/>
      <c r="KMW36" s="2"/>
      <c r="KMX36" s="2"/>
      <c r="KMY36" s="2"/>
      <c r="KMZ36" s="2"/>
      <c r="KNA36" s="2"/>
      <c r="KNB36" s="2"/>
      <c r="KNC36" s="2"/>
      <c r="KND36" s="2"/>
      <c r="KNE36" s="2"/>
      <c r="KNF36" s="2"/>
      <c r="KNG36" s="2"/>
      <c r="KNH36" s="2"/>
      <c r="KNI36" s="2"/>
      <c r="KNJ36" s="2"/>
      <c r="KNK36" s="2"/>
      <c r="KNL36" s="2"/>
      <c r="KNM36" s="2"/>
      <c r="KNN36" s="2"/>
      <c r="KNO36" s="2"/>
      <c r="KNP36" s="2"/>
      <c r="KNQ36" s="2"/>
      <c r="KNR36" s="2"/>
      <c r="KNS36" s="2"/>
      <c r="KNT36" s="2"/>
      <c r="KNU36" s="2"/>
      <c r="KNV36" s="2"/>
      <c r="KNW36" s="2"/>
      <c r="KNX36" s="2"/>
      <c r="KNY36" s="2"/>
      <c r="KNZ36" s="2"/>
      <c r="KOA36" s="2"/>
      <c r="KOB36" s="2"/>
      <c r="KOC36" s="2"/>
      <c r="KOD36" s="2"/>
      <c r="KOE36" s="2"/>
      <c r="KOF36" s="2"/>
      <c r="KOG36" s="2"/>
      <c r="KOH36" s="2"/>
      <c r="KOI36" s="2"/>
      <c r="KOJ36" s="2"/>
      <c r="KOK36" s="2"/>
      <c r="KOL36" s="2"/>
      <c r="KOM36" s="2"/>
      <c r="KON36" s="2"/>
      <c r="KOO36" s="2"/>
      <c r="KOP36" s="2"/>
      <c r="KOQ36" s="2"/>
      <c r="KOR36" s="2"/>
      <c r="KOS36" s="2"/>
      <c r="KOT36" s="2"/>
      <c r="KOU36" s="2"/>
      <c r="KOV36" s="2"/>
      <c r="KOW36" s="2"/>
      <c r="KOX36" s="2"/>
      <c r="KOY36" s="2"/>
      <c r="KOZ36" s="2"/>
      <c r="KPA36" s="2"/>
      <c r="KPB36" s="2"/>
      <c r="KPC36" s="2"/>
      <c r="KPD36" s="2"/>
      <c r="KPE36" s="2"/>
      <c r="KPF36" s="2"/>
      <c r="KPG36" s="2"/>
      <c r="KPH36" s="2"/>
      <c r="KPI36" s="2"/>
      <c r="KPJ36" s="2"/>
      <c r="KPK36" s="2"/>
      <c r="KPL36" s="2"/>
      <c r="KPM36" s="2"/>
      <c r="KPN36" s="2"/>
      <c r="KPO36" s="2"/>
      <c r="KPP36" s="2"/>
      <c r="KPQ36" s="2"/>
      <c r="KPR36" s="2"/>
      <c r="KPS36" s="2"/>
      <c r="KPT36" s="2"/>
      <c r="KPU36" s="2"/>
      <c r="KPV36" s="2"/>
      <c r="KPW36" s="2"/>
      <c r="KPX36" s="2"/>
      <c r="KPY36" s="2"/>
      <c r="KPZ36" s="2"/>
      <c r="KQA36" s="2"/>
      <c r="KQB36" s="2"/>
      <c r="KQC36" s="2"/>
      <c r="KQD36" s="2"/>
      <c r="KQE36" s="2"/>
      <c r="KQF36" s="2"/>
      <c r="KQG36" s="2"/>
      <c r="KQH36" s="2"/>
      <c r="KQI36" s="2"/>
      <c r="KQJ36" s="2"/>
      <c r="KQK36" s="2"/>
      <c r="KQL36" s="2"/>
      <c r="KQM36" s="2"/>
      <c r="KQN36" s="2"/>
      <c r="KQO36" s="2"/>
      <c r="KQP36" s="2"/>
      <c r="KQQ36" s="2"/>
      <c r="KQR36" s="2"/>
      <c r="KQS36" s="2"/>
      <c r="KQT36" s="2"/>
      <c r="KQU36" s="2"/>
      <c r="KQV36" s="2"/>
      <c r="KQW36" s="2"/>
      <c r="KQX36" s="2"/>
      <c r="KQY36" s="2"/>
      <c r="KQZ36" s="2"/>
      <c r="KRA36" s="2"/>
      <c r="KRB36" s="2"/>
      <c r="KRC36" s="2"/>
      <c r="KRD36" s="2"/>
      <c r="KRE36" s="2"/>
      <c r="KRF36" s="2"/>
      <c r="KRG36" s="2"/>
      <c r="KRH36" s="2"/>
      <c r="KRI36" s="2"/>
      <c r="KRJ36" s="2"/>
      <c r="KRK36" s="2"/>
      <c r="KRL36" s="2"/>
      <c r="KRM36" s="2"/>
      <c r="KRN36" s="2"/>
      <c r="KRO36" s="2"/>
      <c r="KRP36" s="2"/>
      <c r="KRQ36" s="2"/>
      <c r="KRR36" s="2"/>
      <c r="KRS36" s="2"/>
      <c r="KRT36" s="2"/>
      <c r="KRU36" s="2"/>
      <c r="KRV36" s="2"/>
      <c r="KRW36" s="2"/>
      <c r="KRX36" s="2"/>
      <c r="KRY36" s="2"/>
      <c r="KRZ36" s="2"/>
      <c r="KSA36" s="2"/>
      <c r="KSB36" s="2"/>
      <c r="KSC36" s="2"/>
      <c r="KSD36" s="2"/>
      <c r="KSE36" s="2"/>
      <c r="KSF36" s="2"/>
      <c r="KSG36" s="2"/>
      <c r="KSH36" s="2"/>
      <c r="KSI36" s="2"/>
      <c r="KSJ36" s="2"/>
      <c r="KSK36" s="2"/>
      <c r="KSL36" s="2"/>
      <c r="KSM36" s="2"/>
      <c r="KSN36" s="2"/>
      <c r="KSO36" s="2"/>
      <c r="KSP36" s="2"/>
      <c r="KSQ36" s="2"/>
      <c r="KSR36" s="2"/>
      <c r="KSS36" s="2"/>
      <c r="KST36" s="2"/>
      <c r="KSU36" s="2"/>
      <c r="KSV36" s="2"/>
      <c r="KSW36" s="2"/>
      <c r="KSX36" s="2"/>
      <c r="KSY36" s="2"/>
      <c r="KSZ36" s="2"/>
      <c r="KTA36" s="2"/>
      <c r="KTB36" s="2"/>
      <c r="KTC36" s="2"/>
      <c r="KTD36" s="2"/>
      <c r="KTE36" s="2"/>
      <c r="KTF36" s="2"/>
      <c r="KTG36" s="2"/>
      <c r="KTH36" s="2"/>
      <c r="KTI36" s="2"/>
      <c r="KTJ36" s="2"/>
      <c r="KTK36" s="2"/>
      <c r="KTL36" s="2"/>
      <c r="KTM36" s="2"/>
      <c r="KTN36" s="2"/>
      <c r="KTO36" s="2"/>
      <c r="KTP36" s="2"/>
      <c r="KTQ36" s="2"/>
      <c r="KTR36" s="2"/>
      <c r="KTS36" s="2"/>
      <c r="KTT36" s="2"/>
      <c r="KTU36" s="2"/>
      <c r="KTV36" s="2"/>
      <c r="KTW36" s="2"/>
      <c r="KTX36" s="2"/>
      <c r="KTY36" s="2"/>
      <c r="KTZ36" s="2"/>
      <c r="KUA36" s="2"/>
      <c r="KUB36" s="2"/>
      <c r="KUC36" s="2"/>
      <c r="KUD36" s="2"/>
      <c r="KUE36" s="2"/>
      <c r="KUF36" s="2"/>
      <c r="KUG36" s="2"/>
      <c r="KUH36" s="2"/>
      <c r="KUI36" s="2"/>
      <c r="KUJ36" s="2"/>
      <c r="KUK36" s="2"/>
      <c r="KUL36" s="2"/>
      <c r="KUM36" s="2"/>
      <c r="KUN36" s="2"/>
      <c r="KUO36" s="2"/>
      <c r="KUP36" s="2"/>
      <c r="KUQ36" s="2"/>
      <c r="KUR36" s="2"/>
      <c r="KUS36" s="2"/>
      <c r="KUT36" s="2"/>
      <c r="KUU36" s="2"/>
      <c r="KUV36" s="2"/>
      <c r="KUW36" s="2"/>
      <c r="KUX36" s="2"/>
      <c r="KUY36" s="2"/>
      <c r="KUZ36" s="2"/>
      <c r="KVA36" s="2"/>
      <c r="KVB36" s="2"/>
      <c r="KVC36" s="2"/>
      <c r="KVD36" s="2"/>
      <c r="KVE36" s="2"/>
      <c r="KVF36" s="2"/>
      <c r="KVG36" s="2"/>
      <c r="KVH36" s="2"/>
      <c r="KVI36" s="2"/>
      <c r="KVJ36" s="2"/>
      <c r="KVK36" s="2"/>
      <c r="KVL36" s="2"/>
      <c r="KVM36" s="2"/>
      <c r="KVN36" s="2"/>
      <c r="KVO36" s="2"/>
      <c r="KVP36" s="2"/>
      <c r="KVQ36" s="2"/>
      <c r="KVR36" s="2"/>
      <c r="KVS36" s="2"/>
      <c r="KVT36" s="2"/>
      <c r="KVU36" s="2"/>
      <c r="KVV36" s="2"/>
      <c r="KVW36" s="2"/>
      <c r="KVX36" s="2"/>
      <c r="KVY36" s="2"/>
      <c r="KVZ36" s="2"/>
      <c r="KWA36" s="2"/>
      <c r="KWB36" s="2"/>
      <c r="KWC36" s="2"/>
      <c r="KWD36" s="2"/>
      <c r="KWE36" s="2"/>
      <c r="KWF36" s="2"/>
      <c r="KWG36" s="2"/>
      <c r="KWH36" s="2"/>
      <c r="KWI36" s="2"/>
      <c r="KWJ36" s="2"/>
      <c r="KWK36" s="2"/>
      <c r="KWL36" s="2"/>
      <c r="KWM36" s="2"/>
      <c r="KWN36" s="2"/>
      <c r="KWO36" s="2"/>
      <c r="KWP36" s="2"/>
      <c r="KWQ36" s="2"/>
      <c r="KWR36" s="2"/>
      <c r="KWS36" s="2"/>
      <c r="KWT36" s="2"/>
      <c r="KWU36" s="2"/>
      <c r="KWV36" s="2"/>
      <c r="KWW36" s="2"/>
      <c r="KWX36" s="2"/>
      <c r="KWY36" s="2"/>
      <c r="KWZ36" s="2"/>
      <c r="KXA36" s="2"/>
      <c r="KXB36" s="2"/>
      <c r="KXC36" s="2"/>
      <c r="KXD36" s="2"/>
      <c r="KXE36" s="2"/>
      <c r="KXF36" s="2"/>
      <c r="KXG36" s="2"/>
      <c r="KXH36" s="2"/>
      <c r="KXI36" s="2"/>
      <c r="KXJ36" s="2"/>
      <c r="KXK36" s="2"/>
      <c r="KXL36" s="2"/>
      <c r="KXM36" s="2"/>
      <c r="KXN36" s="2"/>
      <c r="KXO36" s="2"/>
      <c r="KXP36" s="2"/>
      <c r="KXQ36" s="2"/>
      <c r="KXR36" s="2"/>
      <c r="KXS36" s="2"/>
      <c r="KXT36" s="2"/>
      <c r="KXU36" s="2"/>
      <c r="KXV36" s="2"/>
      <c r="KXW36" s="2"/>
      <c r="KXX36" s="2"/>
      <c r="KXY36" s="2"/>
      <c r="KXZ36" s="2"/>
      <c r="KYA36" s="2"/>
      <c r="KYB36" s="2"/>
      <c r="KYC36" s="2"/>
      <c r="KYD36" s="2"/>
      <c r="KYE36" s="2"/>
      <c r="KYF36" s="2"/>
      <c r="KYG36" s="2"/>
      <c r="KYH36" s="2"/>
      <c r="KYI36" s="2"/>
      <c r="KYJ36" s="2"/>
      <c r="KYK36" s="2"/>
      <c r="KYL36" s="2"/>
      <c r="KYM36" s="2"/>
      <c r="KYN36" s="2"/>
      <c r="KYO36" s="2"/>
      <c r="KYP36" s="2"/>
      <c r="KYQ36" s="2"/>
      <c r="KYR36" s="2"/>
      <c r="KYS36" s="2"/>
      <c r="KYT36" s="2"/>
      <c r="KYU36" s="2"/>
      <c r="KYV36" s="2"/>
      <c r="KYW36" s="2"/>
      <c r="KYX36" s="2"/>
      <c r="KYY36" s="2"/>
      <c r="KYZ36" s="2"/>
      <c r="KZA36" s="2"/>
      <c r="KZB36" s="2"/>
      <c r="KZC36" s="2"/>
      <c r="KZD36" s="2"/>
      <c r="KZE36" s="2"/>
      <c r="KZF36" s="2"/>
      <c r="KZG36" s="2"/>
      <c r="KZH36" s="2"/>
      <c r="KZI36" s="2"/>
      <c r="KZJ36" s="2"/>
      <c r="KZK36" s="2"/>
      <c r="KZL36" s="2"/>
      <c r="KZM36" s="2"/>
      <c r="KZN36" s="2"/>
      <c r="KZO36" s="2"/>
      <c r="KZP36" s="2"/>
      <c r="KZQ36" s="2"/>
      <c r="KZR36" s="2"/>
      <c r="KZS36" s="2"/>
      <c r="KZT36" s="2"/>
      <c r="KZU36" s="2"/>
      <c r="KZV36" s="2"/>
      <c r="KZW36" s="2"/>
      <c r="KZX36" s="2"/>
      <c r="KZY36" s="2"/>
      <c r="KZZ36" s="2"/>
      <c r="LAA36" s="2"/>
      <c r="LAB36" s="2"/>
      <c r="LAC36" s="2"/>
      <c r="LAD36" s="2"/>
      <c r="LAE36" s="2"/>
      <c r="LAF36" s="2"/>
      <c r="LAG36" s="2"/>
      <c r="LAH36" s="2"/>
      <c r="LAI36" s="2"/>
      <c r="LAJ36" s="2"/>
      <c r="LAK36" s="2"/>
      <c r="LAL36" s="2"/>
      <c r="LAM36" s="2"/>
      <c r="LAN36" s="2"/>
      <c r="LAO36" s="2"/>
      <c r="LAP36" s="2"/>
      <c r="LAQ36" s="2"/>
      <c r="LAR36" s="2"/>
      <c r="LAS36" s="2"/>
      <c r="LAT36" s="2"/>
      <c r="LAU36" s="2"/>
      <c r="LAV36" s="2"/>
      <c r="LAW36" s="2"/>
      <c r="LAX36" s="2"/>
      <c r="LAY36" s="2"/>
      <c r="LAZ36" s="2"/>
      <c r="LBA36" s="2"/>
      <c r="LBB36" s="2"/>
      <c r="LBC36" s="2"/>
      <c r="LBD36" s="2"/>
      <c r="LBE36" s="2"/>
      <c r="LBF36" s="2"/>
      <c r="LBG36" s="2"/>
      <c r="LBH36" s="2"/>
      <c r="LBI36" s="2"/>
      <c r="LBJ36" s="2"/>
      <c r="LBK36" s="2"/>
      <c r="LBL36" s="2"/>
      <c r="LBM36" s="2"/>
      <c r="LBN36" s="2"/>
      <c r="LBO36" s="2"/>
      <c r="LBP36" s="2"/>
      <c r="LBQ36" s="2"/>
      <c r="LBR36" s="2"/>
      <c r="LBS36" s="2"/>
      <c r="LBT36" s="2"/>
      <c r="LBU36" s="2"/>
      <c r="LBV36" s="2"/>
      <c r="LBW36" s="2"/>
      <c r="LBX36" s="2"/>
      <c r="LBY36" s="2"/>
      <c r="LBZ36" s="2"/>
      <c r="LCA36" s="2"/>
      <c r="LCB36" s="2"/>
      <c r="LCC36" s="2"/>
      <c r="LCD36" s="2"/>
      <c r="LCE36" s="2"/>
      <c r="LCF36" s="2"/>
      <c r="LCG36" s="2"/>
      <c r="LCH36" s="2"/>
      <c r="LCI36" s="2"/>
      <c r="LCJ36" s="2"/>
      <c r="LCK36" s="2"/>
      <c r="LCL36" s="2"/>
      <c r="LCM36" s="2"/>
      <c r="LCN36" s="2"/>
      <c r="LCO36" s="2"/>
      <c r="LCP36" s="2"/>
      <c r="LCQ36" s="2"/>
      <c r="LCR36" s="2"/>
      <c r="LCS36" s="2"/>
      <c r="LCT36" s="2"/>
      <c r="LCU36" s="2"/>
      <c r="LCV36" s="2"/>
      <c r="LCW36" s="2"/>
      <c r="LCX36" s="2"/>
      <c r="LCY36" s="2"/>
      <c r="LCZ36" s="2"/>
      <c r="LDA36" s="2"/>
      <c r="LDB36" s="2"/>
      <c r="LDC36" s="2"/>
      <c r="LDD36" s="2"/>
      <c r="LDE36" s="2"/>
      <c r="LDF36" s="2"/>
      <c r="LDG36" s="2"/>
      <c r="LDH36" s="2"/>
      <c r="LDI36" s="2"/>
      <c r="LDJ36" s="2"/>
      <c r="LDK36" s="2"/>
      <c r="LDL36" s="2"/>
      <c r="LDM36" s="2"/>
      <c r="LDN36" s="2"/>
      <c r="LDO36" s="2"/>
      <c r="LDP36" s="2"/>
      <c r="LDQ36" s="2"/>
      <c r="LDR36" s="2"/>
      <c r="LDS36" s="2"/>
      <c r="LDT36" s="2"/>
      <c r="LDU36" s="2"/>
      <c r="LDV36" s="2"/>
      <c r="LDW36" s="2"/>
      <c r="LDX36" s="2"/>
      <c r="LDY36" s="2"/>
      <c r="LDZ36" s="2"/>
      <c r="LEA36" s="2"/>
      <c r="LEB36" s="2"/>
      <c r="LEC36" s="2"/>
      <c r="LED36" s="2"/>
      <c r="LEE36" s="2"/>
      <c r="LEF36" s="2"/>
      <c r="LEG36" s="2"/>
      <c r="LEH36" s="2"/>
      <c r="LEI36" s="2"/>
      <c r="LEJ36" s="2"/>
      <c r="LEK36" s="2"/>
      <c r="LEL36" s="2"/>
      <c r="LEM36" s="2"/>
      <c r="LEN36" s="2"/>
      <c r="LEO36" s="2"/>
      <c r="LEP36" s="2"/>
      <c r="LEQ36" s="2"/>
      <c r="LER36" s="2"/>
      <c r="LES36" s="2"/>
      <c r="LET36" s="2"/>
      <c r="LEU36" s="2"/>
      <c r="LEV36" s="2"/>
      <c r="LEW36" s="2"/>
      <c r="LEX36" s="2"/>
      <c r="LEY36" s="2"/>
      <c r="LEZ36" s="2"/>
      <c r="LFA36" s="2"/>
      <c r="LFB36" s="2"/>
      <c r="LFC36" s="2"/>
      <c r="LFD36" s="2"/>
      <c r="LFE36" s="2"/>
      <c r="LFF36" s="2"/>
      <c r="LFG36" s="2"/>
      <c r="LFH36" s="2"/>
      <c r="LFI36" s="2"/>
      <c r="LFJ36" s="2"/>
      <c r="LFK36" s="2"/>
      <c r="LFL36" s="2"/>
      <c r="LFM36" s="2"/>
      <c r="LFN36" s="2"/>
      <c r="LFO36" s="2"/>
      <c r="LFP36" s="2"/>
      <c r="LFQ36" s="2"/>
      <c r="LFR36" s="2"/>
      <c r="LFS36" s="2"/>
      <c r="LFT36" s="2"/>
      <c r="LFU36" s="2"/>
      <c r="LFV36" s="2"/>
      <c r="LFW36" s="2"/>
      <c r="LFX36" s="2"/>
      <c r="LFY36" s="2"/>
      <c r="LFZ36" s="2"/>
      <c r="LGA36" s="2"/>
      <c r="LGB36" s="2"/>
      <c r="LGC36" s="2"/>
      <c r="LGD36" s="2"/>
      <c r="LGE36" s="2"/>
      <c r="LGF36" s="2"/>
      <c r="LGG36" s="2"/>
      <c r="LGH36" s="2"/>
      <c r="LGI36" s="2"/>
      <c r="LGJ36" s="2"/>
      <c r="LGK36" s="2"/>
      <c r="LGL36" s="2"/>
      <c r="LGM36" s="2"/>
      <c r="LGN36" s="2"/>
      <c r="LGO36" s="2"/>
      <c r="LGP36" s="2"/>
      <c r="LGQ36" s="2"/>
      <c r="LGR36" s="2"/>
      <c r="LGS36" s="2"/>
      <c r="LGT36" s="2"/>
      <c r="LGU36" s="2"/>
      <c r="LGV36" s="2"/>
      <c r="LGW36" s="2"/>
      <c r="LGX36" s="2"/>
      <c r="LGY36" s="2"/>
      <c r="LGZ36" s="2"/>
      <c r="LHA36" s="2"/>
      <c r="LHB36" s="2"/>
      <c r="LHC36" s="2"/>
      <c r="LHD36" s="2"/>
      <c r="LHE36" s="2"/>
      <c r="LHF36" s="2"/>
      <c r="LHG36" s="2"/>
      <c r="LHH36" s="2"/>
      <c r="LHI36" s="2"/>
      <c r="LHJ36" s="2"/>
      <c r="LHK36" s="2"/>
      <c r="LHL36" s="2"/>
      <c r="LHM36" s="2"/>
      <c r="LHN36" s="2"/>
      <c r="LHO36" s="2"/>
      <c r="LHP36" s="2"/>
      <c r="LHQ36" s="2"/>
      <c r="LHR36" s="2"/>
      <c r="LHS36" s="2"/>
      <c r="LHT36" s="2"/>
      <c r="LHU36" s="2"/>
      <c r="LHV36" s="2"/>
      <c r="LHW36" s="2"/>
      <c r="LHX36" s="2"/>
      <c r="LHY36" s="2"/>
      <c r="LHZ36" s="2"/>
      <c r="LIA36" s="2"/>
      <c r="LIB36" s="2"/>
      <c r="LIC36" s="2"/>
      <c r="LID36" s="2"/>
      <c r="LIE36" s="2"/>
      <c r="LIF36" s="2"/>
      <c r="LIG36" s="2"/>
      <c r="LIH36" s="2"/>
      <c r="LII36" s="2"/>
      <c r="LIJ36" s="2"/>
      <c r="LIK36" s="2"/>
      <c r="LIL36" s="2"/>
      <c r="LIM36" s="2"/>
      <c r="LIN36" s="2"/>
      <c r="LIO36" s="2"/>
      <c r="LIP36" s="2"/>
      <c r="LIQ36" s="2"/>
      <c r="LIR36" s="2"/>
      <c r="LIS36" s="2"/>
      <c r="LIT36" s="2"/>
      <c r="LIU36" s="2"/>
      <c r="LIV36" s="2"/>
      <c r="LIW36" s="2"/>
      <c r="LIX36" s="2"/>
      <c r="LIY36" s="2"/>
      <c r="LIZ36" s="2"/>
      <c r="LJA36" s="2"/>
      <c r="LJB36" s="2"/>
      <c r="LJC36" s="2"/>
      <c r="LJD36" s="2"/>
      <c r="LJE36" s="2"/>
      <c r="LJF36" s="2"/>
      <c r="LJG36" s="2"/>
      <c r="LJH36" s="2"/>
      <c r="LJI36" s="2"/>
      <c r="LJJ36" s="2"/>
      <c r="LJK36" s="2"/>
      <c r="LJL36" s="2"/>
      <c r="LJM36" s="2"/>
      <c r="LJN36" s="2"/>
      <c r="LJO36" s="2"/>
      <c r="LJP36" s="2"/>
      <c r="LJQ36" s="2"/>
      <c r="LJR36" s="2"/>
      <c r="LJS36" s="2"/>
      <c r="LJT36" s="2"/>
      <c r="LJU36" s="2"/>
      <c r="LJV36" s="2"/>
      <c r="LJW36" s="2"/>
      <c r="LJX36" s="2"/>
      <c r="LJY36" s="2"/>
      <c r="LJZ36" s="2"/>
      <c r="LKA36" s="2"/>
      <c r="LKB36" s="2"/>
      <c r="LKC36" s="2"/>
      <c r="LKD36" s="2"/>
      <c r="LKE36" s="2"/>
      <c r="LKF36" s="2"/>
      <c r="LKG36" s="2"/>
      <c r="LKH36" s="2"/>
      <c r="LKI36" s="2"/>
      <c r="LKJ36" s="2"/>
      <c r="LKK36" s="2"/>
      <c r="LKL36" s="2"/>
      <c r="LKM36" s="2"/>
      <c r="LKN36" s="2"/>
      <c r="LKO36" s="2"/>
      <c r="LKP36" s="2"/>
      <c r="LKQ36" s="2"/>
      <c r="LKR36" s="2"/>
      <c r="LKS36" s="2"/>
      <c r="LKT36" s="2"/>
      <c r="LKU36" s="2"/>
      <c r="LKV36" s="2"/>
      <c r="LKW36" s="2"/>
      <c r="LKX36" s="2"/>
      <c r="LKY36" s="2"/>
      <c r="LKZ36" s="2"/>
      <c r="LLA36" s="2"/>
      <c r="LLB36" s="2"/>
      <c r="LLC36" s="2"/>
      <c r="LLD36" s="2"/>
      <c r="LLE36" s="2"/>
      <c r="LLF36" s="2"/>
      <c r="LLG36" s="2"/>
      <c r="LLH36" s="2"/>
      <c r="LLI36" s="2"/>
      <c r="LLJ36" s="2"/>
      <c r="LLK36" s="2"/>
      <c r="LLL36" s="2"/>
      <c r="LLM36" s="2"/>
      <c r="LLN36" s="2"/>
      <c r="LLO36" s="2"/>
      <c r="LLP36" s="2"/>
      <c r="LLQ36" s="2"/>
      <c r="LLR36" s="2"/>
      <c r="LLS36" s="2"/>
      <c r="LLT36" s="2"/>
      <c r="LLU36" s="2"/>
      <c r="LLV36" s="2"/>
      <c r="LLW36" s="2"/>
      <c r="LLX36" s="2"/>
      <c r="LLY36" s="2"/>
      <c r="LLZ36" s="2"/>
      <c r="LMA36" s="2"/>
      <c r="LMB36" s="2"/>
      <c r="LMC36" s="2"/>
      <c r="LMD36" s="2"/>
      <c r="LME36" s="2"/>
      <c r="LMF36" s="2"/>
      <c r="LMG36" s="2"/>
      <c r="LMH36" s="2"/>
      <c r="LMI36" s="2"/>
      <c r="LMJ36" s="2"/>
      <c r="LMK36" s="2"/>
      <c r="LML36" s="2"/>
      <c r="LMM36" s="2"/>
      <c r="LMN36" s="2"/>
      <c r="LMO36" s="2"/>
      <c r="LMP36" s="2"/>
      <c r="LMQ36" s="2"/>
      <c r="LMR36" s="2"/>
      <c r="LMS36" s="2"/>
      <c r="LMT36" s="2"/>
      <c r="LMU36" s="2"/>
      <c r="LMV36" s="2"/>
      <c r="LMW36" s="2"/>
      <c r="LMX36" s="2"/>
      <c r="LMY36" s="2"/>
      <c r="LMZ36" s="2"/>
      <c r="LNA36" s="2"/>
      <c r="LNB36" s="2"/>
      <c r="LNC36" s="2"/>
      <c r="LND36" s="2"/>
      <c r="LNE36" s="2"/>
      <c r="LNF36" s="2"/>
      <c r="LNG36" s="2"/>
      <c r="LNH36" s="2"/>
      <c r="LNI36" s="2"/>
      <c r="LNJ36" s="2"/>
      <c r="LNK36" s="2"/>
      <c r="LNL36" s="2"/>
      <c r="LNM36" s="2"/>
      <c r="LNN36" s="2"/>
      <c r="LNO36" s="2"/>
      <c r="LNP36" s="2"/>
      <c r="LNQ36" s="2"/>
      <c r="LNR36" s="2"/>
      <c r="LNS36" s="2"/>
      <c r="LNT36" s="2"/>
      <c r="LNU36" s="2"/>
      <c r="LNV36" s="2"/>
      <c r="LNW36" s="2"/>
      <c r="LNX36" s="2"/>
      <c r="LNY36" s="2"/>
      <c r="LNZ36" s="2"/>
      <c r="LOA36" s="2"/>
      <c r="LOB36" s="2"/>
      <c r="LOC36" s="2"/>
      <c r="LOD36" s="2"/>
      <c r="LOE36" s="2"/>
      <c r="LOF36" s="2"/>
      <c r="LOG36" s="2"/>
      <c r="LOH36" s="2"/>
      <c r="LOI36" s="2"/>
      <c r="LOJ36" s="2"/>
      <c r="LOK36" s="2"/>
      <c r="LOL36" s="2"/>
      <c r="LOM36" s="2"/>
      <c r="LON36" s="2"/>
      <c r="LOO36" s="2"/>
      <c r="LOP36" s="2"/>
      <c r="LOQ36" s="2"/>
      <c r="LOR36" s="2"/>
      <c r="LOS36" s="2"/>
      <c r="LOT36" s="2"/>
      <c r="LOU36" s="2"/>
      <c r="LOV36" s="2"/>
      <c r="LOW36" s="2"/>
      <c r="LOX36" s="2"/>
      <c r="LOY36" s="2"/>
      <c r="LOZ36" s="2"/>
      <c r="LPA36" s="2"/>
      <c r="LPB36" s="2"/>
      <c r="LPC36" s="2"/>
      <c r="LPD36" s="2"/>
      <c r="LPE36" s="2"/>
      <c r="LPF36" s="2"/>
      <c r="LPG36" s="2"/>
      <c r="LPH36" s="2"/>
      <c r="LPI36" s="2"/>
      <c r="LPJ36" s="2"/>
      <c r="LPK36" s="2"/>
      <c r="LPL36" s="2"/>
      <c r="LPM36" s="2"/>
      <c r="LPN36" s="2"/>
      <c r="LPO36" s="2"/>
      <c r="LPP36" s="2"/>
      <c r="LPQ36" s="2"/>
      <c r="LPR36" s="2"/>
      <c r="LPS36" s="2"/>
      <c r="LPT36" s="2"/>
      <c r="LPU36" s="2"/>
      <c r="LPV36" s="2"/>
      <c r="LPW36" s="2"/>
      <c r="LPX36" s="2"/>
      <c r="LPY36" s="2"/>
      <c r="LPZ36" s="2"/>
      <c r="LQA36" s="2"/>
      <c r="LQB36" s="2"/>
      <c r="LQC36" s="2"/>
      <c r="LQD36" s="2"/>
      <c r="LQE36" s="2"/>
      <c r="LQF36" s="2"/>
      <c r="LQG36" s="2"/>
      <c r="LQH36" s="2"/>
      <c r="LQI36" s="2"/>
      <c r="LQJ36" s="2"/>
      <c r="LQK36" s="2"/>
      <c r="LQL36" s="2"/>
      <c r="LQM36" s="2"/>
      <c r="LQN36" s="2"/>
      <c r="LQO36" s="2"/>
      <c r="LQP36" s="2"/>
      <c r="LQQ36" s="2"/>
      <c r="LQR36" s="2"/>
      <c r="LQS36" s="2"/>
      <c r="LQT36" s="2"/>
      <c r="LQU36" s="2"/>
      <c r="LQV36" s="2"/>
      <c r="LQW36" s="2"/>
      <c r="LQX36" s="2"/>
      <c r="LQY36" s="2"/>
      <c r="LQZ36" s="2"/>
      <c r="LRA36" s="2"/>
      <c r="LRB36" s="2"/>
      <c r="LRC36" s="2"/>
      <c r="LRD36" s="2"/>
      <c r="LRE36" s="2"/>
      <c r="LRF36" s="2"/>
      <c r="LRG36" s="2"/>
      <c r="LRH36" s="2"/>
      <c r="LRI36" s="2"/>
      <c r="LRJ36" s="2"/>
      <c r="LRK36" s="2"/>
      <c r="LRL36" s="2"/>
      <c r="LRM36" s="2"/>
      <c r="LRN36" s="2"/>
      <c r="LRO36" s="2"/>
      <c r="LRP36" s="2"/>
      <c r="LRQ36" s="2"/>
      <c r="LRR36" s="2"/>
      <c r="LRS36" s="2"/>
      <c r="LRT36" s="2"/>
      <c r="LRU36" s="2"/>
      <c r="LRV36" s="2"/>
      <c r="LRW36" s="2"/>
      <c r="LRX36" s="2"/>
      <c r="LRY36" s="2"/>
      <c r="LRZ36" s="2"/>
      <c r="LSA36" s="2"/>
      <c r="LSB36" s="2"/>
      <c r="LSC36" s="2"/>
      <c r="LSD36" s="2"/>
      <c r="LSE36" s="2"/>
      <c r="LSF36" s="2"/>
      <c r="LSG36" s="2"/>
      <c r="LSH36" s="2"/>
      <c r="LSI36" s="2"/>
      <c r="LSJ36" s="2"/>
      <c r="LSK36" s="2"/>
      <c r="LSL36" s="2"/>
      <c r="LSM36" s="2"/>
      <c r="LSN36" s="2"/>
      <c r="LSO36" s="2"/>
      <c r="LSP36" s="2"/>
      <c r="LSQ36" s="2"/>
      <c r="LSR36" s="2"/>
      <c r="LSS36" s="2"/>
      <c r="LST36" s="2"/>
      <c r="LSU36" s="2"/>
      <c r="LSV36" s="2"/>
      <c r="LSW36" s="2"/>
      <c r="LSX36" s="2"/>
      <c r="LSY36" s="2"/>
      <c r="LSZ36" s="2"/>
      <c r="LTA36" s="2"/>
      <c r="LTB36" s="2"/>
      <c r="LTC36" s="2"/>
      <c r="LTD36" s="2"/>
      <c r="LTE36" s="2"/>
      <c r="LTF36" s="2"/>
      <c r="LTG36" s="2"/>
      <c r="LTH36" s="2"/>
      <c r="LTI36" s="2"/>
      <c r="LTJ36" s="2"/>
      <c r="LTK36" s="2"/>
      <c r="LTL36" s="2"/>
      <c r="LTM36" s="2"/>
      <c r="LTN36" s="2"/>
      <c r="LTO36" s="2"/>
      <c r="LTP36" s="2"/>
      <c r="LTQ36" s="2"/>
      <c r="LTR36" s="2"/>
      <c r="LTS36" s="2"/>
      <c r="LTT36" s="2"/>
      <c r="LTU36" s="2"/>
      <c r="LTV36" s="2"/>
      <c r="LTW36" s="2"/>
      <c r="LTX36" s="2"/>
      <c r="LTY36" s="2"/>
      <c r="LTZ36" s="2"/>
      <c r="LUA36" s="2"/>
      <c r="LUB36" s="2"/>
      <c r="LUC36" s="2"/>
      <c r="LUD36" s="2"/>
      <c r="LUE36" s="2"/>
      <c r="LUF36" s="2"/>
      <c r="LUG36" s="2"/>
      <c r="LUH36" s="2"/>
      <c r="LUI36" s="2"/>
      <c r="LUJ36" s="2"/>
      <c r="LUK36" s="2"/>
      <c r="LUL36" s="2"/>
      <c r="LUM36" s="2"/>
      <c r="LUN36" s="2"/>
      <c r="LUO36" s="2"/>
      <c r="LUP36" s="2"/>
      <c r="LUQ36" s="2"/>
      <c r="LUR36" s="2"/>
      <c r="LUS36" s="2"/>
      <c r="LUT36" s="2"/>
      <c r="LUU36" s="2"/>
      <c r="LUV36" s="2"/>
      <c r="LUW36" s="2"/>
      <c r="LUX36" s="2"/>
      <c r="LUY36" s="2"/>
      <c r="LUZ36" s="2"/>
      <c r="LVA36" s="2"/>
      <c r="LVB36" s="2"/>
      <c r="LVC36" s="2"/>
      <c r="LVD36" s="2"/>
      <c r="LVE36" s="2"/>
      <c r="LVF36" s="2"/>
      <c r="LVG36" s="2"/>
      <c r="LVH36" s="2"/>
      <c r="LVI36" s="2"/>
      <c r="LVJ36" s="2"/>
      <c r="LVK36" s="2"/>
      <c r="LVL36" s="2"/>
      <c r="LVM36" s="2"/>
      <c r="LVN36" s="2"/>
      <c r="LVO36" s="2"/>
      <c r="LVP36" s="2"/>
      <c r="LVQ36" s="2"/>
      <c r="LVR36" s="2"/>
      <c r="LVS36" s="2"/>
      <c r="LVT36" s="2"/>
      <c r="LVU36" s="2"/>
      <c r="LVV36" s="2"/>
      <c r="LVW36" s="2"/>
      <c r="LVX36" s="2"/>
      <c r="LVY36" s="2"/>
      <c r="LVZ36" s="2"/>
      <c r="LWA36" s="2"/>
      <c r="LWB36" s="2"/>
      <c r="LWC36" s="2"/>
      <c r="LWD36" s="2"/>
      <c r="LWE36" s="2"/>
      <c r="LWF36" s="2"/>
      <c r="LWG36" s="2"/>
      <c r="LWH36" s="2"/>
      <c r="LWI36" s="2"/>
      <c r="LWJ36" s="2"/>
      <c r="LWK36" s="2"/>
      <c r="LWL36" s="2"/>
      <c r="LWM36" s="2"/>
      <c r="LWN36" s="2"/>
      <c r="LWO36" s="2"/>
      <c r="LWP36" s="2"/>
      <c r="LWQ36" s="2"/>
      <c r="LWR36" s="2"/>
      <c r="LWS36" s="2"/>
      <c r="LWT36" s="2"/>
      <c r="LWU36" s="2"/>
      <c r="LWV36" s="2"/>
      <c r="LWW36" s="2"/>
      <c r="LWX36" s="2"/>
      <c r="LWY36" s="2"/>
      <c r="LWZ36" s="2"/>
      <c r="LXA36" s="2"/>
      <c r="LXB36" s="2"/>
      <c r="LXC36" s="2"/>
      <c r="LXD36" s="2"/>
      <c r="LXE36" s="2"/>
      <c r="LXF36" s="2"/>
      <c r="LXG36" s="2"/>
      <c r="LXH36" s="2"/>
      <c r="LXI36" s="2"/>
      <c r="LXJ36" s="2"/>
      <c r="LXK36" s="2"/>
      <c r="LXL36" s="2"/>
      <c r="LXM36" s="2"/>
      <c r="LXN36" s="2"/>
      <c r="LXO36" s="2"/>
      <c r="LXP36" s="2"/>
      <c r="LXQ36" s="2"/>
      <c r="LXR36" s="2"/>
      <c r="LXS36" s="2"/>
      <c r="LXT36" s="2"/>
      <c r="LXU36" s="2"/>
      <c r="LXV36" s="2"/>
      <c r="LXW36" s="2"/>
      <c r="LXX36" s="2"/>
      <c r="LXY36" s="2"/>
      <c r="LXZ36" s="2"/>
      <c r="LYA36" s="2"/>
      <c r="LYB36" s="2"/>
      <c r="LYC36" s="2"/>
      <c r="LYD36" s="2"/>
      <c r="LYE36" s="2"/>
      <c r="LYF36" s="2"/>
      <c r="LYG36" s="2"/>
      <c r="LYH36" s="2"/>
      <c r="LYI36" s="2"/>
      <c r="LYJ36" s="2"/>
      <c r="LYK36" s="2"/>
      <c r="LYL36" s="2"/>
      <c r="LYM36" s="2"/>
      <c r="LYN36" s="2"/>
      <c r="LYO36" s="2"/>
      <c r="LYP36" s="2"/>
      <c r="LYQ36" s="2"/>
      <c r="LYR36" s="2"/>
      <c r="LYS36" s="2"/>
      <c r="LYT36" s="2"/>
      <c r="LYU36" s="2"/>
      <c r="LYV36" s="2"/>
      <c r="LYW36" s="2"/>
      <c r="LYX36" s="2"/>
      <c r="LYY36" s="2"/>
      <c r="LYZ36" s="2"/>
      <c r="LZA36" s="2"/>
      <c r="LZB36" s="2"/>
      <c r="LZC36" s="2"/>
      <c r="LZD36" s="2"/>
      <c r="LZE36" s="2"/>
      <c r="LZF36" s="2"/>
      <c r="LZG36" s="2"/>
      <c r="LZH36" s="2"/>
      <c r="LZI36" s="2"/>
      <c r="LZJ36" s="2"/>
      <c r="LZK36" s="2"/>
      <c r="LZL36" s="2"/>
      <c r="LZM36" s="2"/>
      <c r="LZN36" s="2"/>
      <c r="LZO36" s="2"/>
      <c r="LZP36" s="2"/>
      <c r="LZQ36" s="2"/>
      <c r="LZR36" s="2"/>
      <c r="LZS36" s="2"/>
      <c r="LZT36" s="2"/>
      <c r="LZU36" s="2"/>
      <c r="LZV36" s="2"/>
      <c r="LZW36" s="2"/>
      <c r="LZX36" s="2"/>
      <c r="LZY36" s="2"/>
      <c r="LZZ36" s="2"/>
      <c r="MAA36" s="2"/>
      <c r="MAB36" s="2"/>
      <c r="MAC36" s="2"/>
      <c r="MAD36" s="2"/>
      <c r="MAE36" s="2"/>
      <c r="MAF36" s="2"/>
      <c r="MAG36" s="2"/>
      <c r="MAH36" s="2"/>
      <c r="MAI36" s="2"/>
      <c r="MAJ36" s="2"/>
      <c r="MAK36" s="2"/>
      <c r="MAL36" s="2"/>
      <c r="MAM36" s="2"/>
      <c r="MAN36" s="2"/>
      <c r="MAO36" s="2"/>
      <c r="MAP36" s="2"/>
      <c r="MAQ36" s="2"/>
      <c r="MAR36" s="2"/>
      <c r="MAS36" s="2"/>
      <c r="MAT36" s="2"/>
      <c r="MAU36" s="2"/>
      <c r="MAV36" s="2"/>
      <c r="MAW36" s="2"/>
      <c r="MAX36" s="2"/>
      <c r="MAY36" s="2"/>
      <c r="MAZ36" s="2"/>
      <c r="MBA36" s="2"/>
      <c r="MBB36" s="2"/>
      <c r="MBC36" s="2"/>
      <c r="MBD36" s="2"/>
      <c r="MBE36" s="2"/>
      <c r="MBF36" s="2"/>
      <c r="MBG36" s="2"/>
      <c r="MBH36" s="2"/>
      <c r="MBI36" s="2"/>
      <c r="MBJ36" s="2"/>
      <c r="MBK36" s="2"/>
      <c r="MBL36" s="2"/>
      <c r="MBM36" s="2"/>
      <c r="MBN36" s="2"/>
      <c r="MBO36" s="2"/>
      <c r="MBP36" s="2"/>
      <c r="MBQ36" s="2"/>
      <c r="MBR36" s="2"/>
      <c r="MBS36" s="2"/>
      <c r="MBT36" s="2"/>
      <c r="MBU36" s="2"/>
      <c r="MBV36" s="2"/>
      <c r="MBW36" s="2"/>
      <c r="MBX36" s="2"/>
      <c r="MBY36" s="2"/>
      <c r="MBZ36" s="2"/>
      <c r="MCA36" s="2"/>
      <c r="MCB36" s="2"/>
      <c r="MCC36" s="2"/>
      <c r="MCD36" s="2"/>
      <c r="MCE36" s="2"/>
      <c r="MCF36" s="2"/>
      <c r="MCG36" s="2"/>
      <c r="MCH36" s="2"/>
      <c r="MCI36" s="2"/>
      <c r="MCJ36" s="2"/>
      <c r="MCK36" s="2"/>
      <c r="MCL36" s="2"/>
      <c r="MCM36" s="2"/>
      <c r="MCN36" s="2"/>
      <c r="MCO36" s="2"/>
      <c r="MCP36" s="2"/>
      <c r="MCQ36" s="2"/>
      <c r="MCR36" s="2"/>
      <c r="MCS36" s="2"/>
      <c r="MCT36" s="2"/>
      <c r="MCU36" s="2"/>
      <c r="MCV36" s="2"/>
      <c r="MCW36" s="2"/>
      <c r="MCX36" s="2"/>
      <c r="MCY36" s="2"/>
      <c r="MCZ36" s="2"/>
      <c r="MDA36" s="2"/>
      <c r="MDB36" s="2"/>
      <c r="MDC36" s="2"/>
      <c r="MDD36" s="2"/>
      <c r="MDE36" s="2"/>
      <c r="MDF36" s="2"/>
      <c r="MDG36" s="2"/>
      <c r="MDH36" s="2"/>
      <c r="MDI36" s="2"/>
      <c r="MDJ36" s="2"/>
      <c r="MDK36" s="2"/>
      <c r="MDL36" s="2"/>
      <c r="MDM36" s="2"/>
      <c r="MDN36" s="2"/>
      <c r="MDO36" s="2"/>
      <c r="MDP36" s="2"/>
      <c r="MDQ36" s="2"/>
      <c r="MDR36" s="2"/>
      <c r="MDS36" s="2"/>
      <c r="MDT36" s="2"/>
      <c r="MDU36" s="2"/>
      <c r="MDV36" s="2"/>
      <c r="MDW36" s="2"/>
      <c r="MDX36" s="2"/>
      <c r="MDY36" s="2"/>
      <c r="MDZ36" s="2"/>
      <c r="MEA36" s="2"/>
      <c r="MEB36" s="2"/>
      <c r="MEC36" s="2"/>
      <c r="MED36" s="2"/>
      <c r="MEE36" s="2"/>
      <c r="MEF36" s="2"/>
      <c r="MEG36" s="2"/>
      <c r="MEH36" s="2"/>
      <c r="MEI36" s="2"/>
      <c r="MEJ36" s="2"/>
      <c r="MEK36" s="2"/>
      <c r="MEL36" s="2"/>
      <c r="MEM36" s="2"/>
      <c r="MEN36" s="2"/>
      <c r="MEO36" s="2"/>
      <c r="MEP36" s="2"/>
      <c r="MEQ36" s="2"/>
      <c r="MER36" s="2"/>
      <c r="MES36" s="2"/>
      <c r="MET36" s="2"/>
      <c r="MEU36" s="2"/>
      <c r="MEV36" s="2"/>
      <c r="MEW36" s="2"/>
      <c r="MEX36" s="2"/>
      <c r="MEY36" s="2"/>
      <c r="MEZ36" s="2"/>
      <c r="MFA36" s="2"/>
      <c r="MFB36" s="2"/>
      <c r="MFC36" s="2"/>
      <c r="MFD36" s="2"/>
      <c r="MFE36" s="2"/>
      <c r="MFF36" s="2"/>
      <c r="MFG36" s="2"/>
      <c r="MFH36" s="2"/>
      <c r="MFI36" s="2"/>
      <c r="MFJ36" s="2"/>
      <c r="MFK36" s="2"/>
      <c r="MFL36" s="2"/>
      <c r="MFM36" s="2"/>
      <c r="MFN36" s="2"/>
      <c r="MFO36" s="2"/>
      <c r="MFP36" s="2"/>
      <c r="MFQ36" s="2"/>
      <c r="MFR36" s="2"/>
      <c r="MFS36" s="2"/>
      <c r="MFT36" s="2"/>
      <c r="MFU36" s="2"/>
      <c r="MFV36" s="2"/>
      <c r="MFW36" s="2"/>
      <c r="MFX36" s="2"/>
      <c r="MFY36" s="2"/>
      <c r="MFZ36" s="2"/>
      <c r="MGA36" s="2"/>
      <c r="MGB36" s="2"/>
      <c r="MGC36" s="2"/>
      <c r="MGD36" s="2"/>
      <c r="MGE36" s="2"/>
      <c r="MGF36" s="2"/>
      <c r="MGG36" s="2"/>
      <c r="MGH36" s="2"/>
      <c r="MGI36" s="2"/>
      <c r="MGJ36" s="2"/>
      <c r="MGK36" s="2"/>
      <c r="MGL36" s="2"/>
      <c r="MGM36" s="2"/>
      <c r="MGN36" s="2"/>
      <c r="MGO36" s="2"/>
      <c r="MGP36" s="2"/>
      <c r="MGQ36" s="2"/>
      <c r="MGR36" s="2"/>
      <c r="MGS36" s="2"/>
      <c r="MGT36" s="2"/>
      <c r="MGU36" s="2"/>
      <c r="MGV36" s="2"/>
      <c r="MGW36" s="2"/>
      <c r="MGX36" s="2"/>
      <c r="MGY36" s="2"/>
      <c r="MGZ36" s="2"/>
      <c r="MHA36" s="2"/>
      <c r="MHB36" s="2"/>
      <c r="MHC36" s="2"/>
      <c r="MHD36" s="2"/>
      <c r="MHE36" s="2"/>
      <c r="MHF36" s="2"/>
      <c r="MHG36" s="2"/>
      <c r="MHH36" s="2"/>
      <c r="MHI36" s="2"/>
      <c r="MHJ36" s="2"/>
      <c r="MHK36" s="2"/>
      <c r="MHL36" s="2"/>
      <c r="MHM36" s="2"/>
      <c r="MHN36" s="2"/>
      <c r="MHO36" s="2"/>
      <c r="MHP36" s="2"/>
      <c r="MHQ36" s="2"/>
      <c r="MHR36" s="2"/>
      <c r="MHS36" s="2"/>
      <c r="MHT36" s="2"/>
      <c r="MHU36" s="2"/>
      <c r="MHV36" s="2"/>
      <c r="MHW36" s="2"/>
      <c r="MHX36" s="2"/>
      <c r="MHY36" s="2"/>
      <c r="MHZ36" s="2"/>
      <c r="MIA36" s="2"/>
      <c r="MIB36" s="2"/>
      <c r="MIC36" s="2"/>
      <c r="MID36" s="2"/>
      <c r="MIE36" s="2"/>
      <c r="MIF36" s="2"/>
      <c r="MIG36" s="2"/>
      <c r="MIH36" s="2"/>
      <c r="MII36" s="2"/>
      <c r="MIJ36" s="2"/>
      <c r="MIK36" s="2"/>
      <c r="MIL36" s="2"/>
      <c r="MIM36" s="2"/>
      <c r="MIN36" s="2"/>
      <c r="MIO36" s="2"/>
      <c r="MIP36" s="2"/>
      <c r="MIQ36" s="2"/>
      <c r="MIR36" s="2"/>
      <c r="MIS36" s="2"/>
      <c r="MIT36" s="2"/>
      <c r="MIU36" s="2"/>
      <c r="MIV36" s="2"/>
      <c r="MIW36" s="2"/>
      <c r="MIX36" s="2"/>
      <c r="MIY36" s="2"/>
      <c r="MIZ36" s="2"/>
      <c r="MJA36" s="2"/>
      <c r="MJB36" s="2"/>
      <c r="MJC36" s="2"/>
      <c r="MJD36" s="2"/>
      <c r="MJE36" s="2"/>
      <c r="MJF36" s="2"/>
      <c r="MJG36" s="2"/>
      <c r="MJH36" s="2"/>
      <c r="MJI36" s="2"/>
      <c r="MJJ36" s="2"/>
      <c r="MJK36" s="2"/>
      <c r="MJL36" s="2"/>
      <c r="MJM36" s="2"/>
      <c r="MJN36" s="2"/>
      <c r="MJO36" s="2"/>
      <c r="MJP36" s="2"/>
      <c r="MJQ36" s="2"/>
      <c r="MJR36" s="2"/>
      <c r="MJS36" s="2"/>
      <c r="MJT36" s="2"/>
      <c r="MJU36" s="2"/>
      <c r="MJV36" s="2"/>
      <c r="MJW36" s="2"/>
      <c r="MJX36" s="2"/>
      <c r="MJY36" s="2"/>
      <c r="MJZ36" s="2"/>
      <c r="MKA36" s="2"/>
      <c r="MKB36" s="2"/>
      <c r="MKC36" s="2"/>
      <c r="MKD36" s="2"/>
      <c r="MKE36" s="2"/>
      <c r="MKF36" s="2"/>
      <c r="MKG36" s="2"/>
      <c r="MKH36" s="2"/>
      <c r="MKI36" s="2"/>
      <c r="MKJ36" s="2"/>
      <c r="MKK36" s="2"/>
      <c r="MKL36" s="2"/>
      <c r="MKM36" s="2"/>
      <c r="MKN36" s="2"/>
      <c r="MKO36" s="2"/>
      <c r="MKP36" s="2"/>
      <c r="MKQ36" s="2"/>
      <c r="MKR36" s="2"/>
      <c r="MKS36" s="2"/>
      <c r="MKT36" s="2"/>
      <c r="MKU36" s="2"/>
      <c r="MKV36" s="2"/>
      <c r="MKW36" s="2"/>
      <c r="MKX36" s="2"/>
      <c r="MKY36" s="2"/>
      <c r="MKZ36" s="2"/>
      <c r="MLA36" s="2"/>
      <c r="MLB36" s="2"/>
      <c r="MLC36" s="2"/>
      <c r="MLD36" s="2"/>
      <c r="MLE36" s="2"/>
      <c r="MLF36" s="2"/>
      <c r="MLG36" s="2"/>
      <c r="MLH36" s="2"/>
      <c r="MLI36" s="2"/>
      <c r="MLJ36" s="2"/>
      <c r="MLK36" s="2"/>
      <c r="MLL36" s="2"/>
      <c r="MLM36" s="2"/>
      <c r="MLN36" s="2"/>
      <c r="MLO36" s="2"/>
      <c r="MLP36" s="2"/>
      <c r="MLQ36" s="2"/>
      <c r="MLR36" s="2"/>
      <c r="MLS36" s="2"/>
      <c r="MLT36" s="2"/>
      <c r="MLU36" s="2"/>
      <c r="MLV36" s="2"/>
      <c r="MLW36" s="2"/>
      <c r="MLX36" s="2"/>
      <c r="MLY36" s="2"/>
      <c r="MLZ36" s="2"/>
      <c r="MMA36" s="2"/>
      <c r="MMB36" s="2"/>
      <c r="MMC36" s="2"/>
      <c r="MMD36" s="2"/>
      <c r="MME36" s="2"/>
      <c r="MMF36" s="2"/>
      <c r="MMG36" s="2"/>
      <c r="MMH36" s="2"/>
      <c r="MMI36" s="2"/>
      <c r="MMJ36" s="2"/>
      <c r="MMK36" s="2"/>
      <c r="MML36" s="2"/>
      <c r="MMM36" s="2"/>
      <c r="MMN36" s="2"/>
      <c r="MMO36" s="2"/>
      <c r="MMP36" s="2"/>
      <c r="MMQ36" s="2"/>
      <c r="MMR36" s="2"/>
      <c r="MMS36" s="2"/>
      <c r="MMT36" s="2"/>
      <c r="MMU36" s="2"/>
      <c r="MMV36" s="2"/>
      <c r="MMW36" s="2"/>
      <c r="MMX36" s="2"/>
      <c r="MMY36" s="2"/>
      <c r="MMZ36" s="2"/>
      <c r="MNA36" s="2"/>
      <c r="MNB36" s="2"/>
      <c r="MNC36" s="2"/>
      <c r="MND36" s="2"/>
      <c r="MNE36" s="2"/>
      <c r="MNF36" s="2"/>
      <c r="MNG36" s="2"/>
      <c r="MNH36" s="2"/>
      <c r="MNI36" s="2"/>
      <c r="MNJ36" s="2"/>
      <c r="MNK36" s="2"/>
      <c r="MNL36" s="2"/>
      <c r="MNM36" s="2"/>
      <c r="MNN36" s="2"/>
      <c r="MNO36" s="2"/>
      <c r="MNP36" s="2"/>
      <c r="MNQ36" s="2"/>
      <c r="MNR36" s="2"/>
      <c r="MNS36" s="2"/>
      <c r="MNT36" s="2"/>
      <c r="MNU36" s="2"/>
      <c r="MNV36" s="2"/>
      <c r="MNW36" s="2"/>
      <c r="MNX36" s="2"/>
      <c r="MNY36" s="2"/>
      <c r="MNZ36" s="2"/>
      <c r="MOA36" s="2"/>
      <c r="MOB36" s="2"/>
      <c r="MOC36" s="2"/>
      <c r="MOD36" s="2"/>
      <c r="MOE36" s="2"/>
      <c r="MOF36" s="2"/>
      <c r="MOG36" s="2"/>
      <c r="MOH36" s="2"/>
      <c r="MOI36" s="2"/>
      <c r="MOJ36" s="2"/>
      <c r="MOK36" s="2"/>
      <c r="MOL36" s="2"/>
      <c r="MOM36" s="2"/>
      <c r="MON36" s="2"/>
      <c r="MOO36" s="2"/>
      <c r="MOP36" s="2"/>
      <c r="MOQ36" s="2"/>
      <c r="MOR36" s="2"/>
      <c r="MOS36" s="2"/>
      <c r="MOT36" s="2"/>
      <c r="MOU36" s="2"/>
      <c r="MOV36" s="2"/>
      <c r="MOW36" s="2"/>
      <c r="MOX36" s="2"/>
      <c r="MOY36" s="2"/>
      <c r="MOZ36" s="2"/>
      <c r="MPA36" s="2"/>
      <c r="MPB36" s="2"/>
      <c r="MPC36" s="2"/>
      <c r="MPD36" s="2"/>
      <c r="MPE36" s="2"/>
      <c r="MPF36" s="2"/>
      <c r="MPG36" s="2"/>
      <c r="MPH36" s="2"/>
      <c r="MPI36" s="2"/>
      <c r="MPJ36" s="2"/>
      <c r="MPK36" s="2"/>
      <c r="MPL36" s="2"/>
      <c r="MPM36" s="2"/>
      <c r="MPN36" s="2"/>
      <c r="MPO36" s="2"/>
      <c r="MPP36" s="2"/>
      <c r="MPQ36" s="2"/>
      <c r="MPR36" s="2"/>
      <c r="MPS36" s="2"/>
      <c r="MPT36" s="2"/>
      <c r="MPU36" s="2"/>
      <c r="MPV36" s="2"/>
      <c r="MPW36" s="2"/>
      <c r="MPX36" s="2"/>
      <c r="MPY36" s="2"/>
      <c r="MPZ36" s="2"/>
      <c r="MQA36" s="2"/>
      <c r="MQB36" s="2"/>
      <c r="MQC36" s="2"/>
      <c r="MQD36" s="2"/>
      <c r="MQE36" s="2"/>
      <c r="MQF36" s="2"/>
      <c r="MQG36" s="2"/>
      <c r="MQH36" s="2"/>
      <c r="MQI36" s="2"/>
      <c r="MQJ36" s="2"/>
      <c r="MQK36" s="2"/>
      <c r="MQL36" s="2"/>
      <c r="MQM36" s="2"/>
      <c r="MQN36" s="2"/>
      <c r="MQO36" s="2"/>
      <c r="MQP36" s="2"/>
      <c r="MQQ36" s="2"/>
      <c r="MQR36" s="2"/>
      <c r="MQS36" s="2"/>
      <c r="MQT36" s="2"/>
      <c r="MQU36" s="2"/>
      <c r="MQV36" s="2"/>
      <c r="MQW36" s="2"/>
      <c r="MQX36" s="2"/>
      <c r="MQY36" s="2"/>
      <c r="MQZ36" s="2"/>
      <c r="MRA36" s="2"/>
      <c r="MRB36" s="2"/>
      <c r="MRC36" s="2"/>
      <c r="MRD36" s="2"/>
      <c r="MRE36" s="2"/>
      <c r="MRF36" s="2"/>
      <c r="MRG36" s="2"/>
      <c r="MRH36" s="2"/>
      <c r="MRI36" s="2"/>
      <c r="MRJ36" s="2"/>
      <c r="MRK36" s="2"/>
      <c r="MRL36" s="2"/>
      <c r="MRM36" s="2"/>
      <c r="MRN36" s="2"/>
      <c r="MRO36" s="2"/>
      <c r="MRP36" s="2"/>
      <c r="MRQ36" s="2"/>
      <c r="MRR36" s="2"/>
      <c r="MRS36" s="2"/>
      <c r="MRT36" s="2"/>
      <c r="MRU36" s="2"/>
      <c r="MRV36" s="2"/>
      <c r="MRW36" s="2"/>
      <c r="MRX36" s="2"/>
      <c r="MRY36" s="2"/>
      <c r="MRZ36" s="2"/>
      <c r="MSA36" s="2"/>
      <c r="MSB36" s="2"/>
      <c r="MSC36" s="2"/>
      <c r="MSD36" s="2"/>
      <c r="MSE36" s="2"/>
      <c r="MSF36" s="2"/>
      <c r="MSG36" s="2"/>
      <c r="MSH36" s="2"/>
      <c r="MSI36" s="2"/>
      <c r="MSJ36" s="2"/>
      <c r="MSK36" s="2"/>
      <c r="MSL36" s="2"/>
      <c r="MSM36" s="2"/>
      <c r="MSN36" s="2"/>
      <c r="MSO36" s="2"/>
      <c r="MSP36" s="2"/>
      <c r="MSQ36" s="2"/>
      <c r="MSR36" s="2"/>
      <c r="MSS36" s="2"/>
      <c r="MST36" s="2"/>
      <c r="MSU36" s="2"/>
      <c r="MSV36" s="2"/>
      <c r="MSW36" s="2"/>
      <c r="MSX36" s="2"/>
      <c r="MSY36" s="2"/>
      <c r="MSZ36" s="2"/>
      <c r="MTA36" s="2"/>
      <c r="MTB36" s="2"/>
      <c r="MTC36" s="2"/>
      <c r="MTD36" s="2"/>
      <c r="MTE36" s="2"/>
      <c r="MTF36" s="2"/>
      <c r="MTG36" s="2"/>
      <c r="MTH36" s="2"/>
      <c r="MTI36" s="2"/>
      <c r="MTJ36" s="2"/>
      <c r="MTK36" s="2"/>
      <c r="MTL36" s="2"/>
      <c r="MTM36" s="2"/>
      <c r="MTN36" s="2"/>
      <c r="MTO36" s="2"/>
      <c r="MTP36" s="2"/>
      <c r="MTQ36" s="2"/>
      <c r="MTR36" s="2"/>
      <c r="MTS36" s="2"/>
      <c r="MTT36" s="2"/>
      <c r="MTU36" s="2"/>
      <c r="MTV36" s="2"/>
      <c r="MTW36" s="2"/>
      <c r="MTX36" s="2"/>
      <c r="MTY36" s="2"/>
      <c r="MTZ36" s="2"/>
      <c r="MUA36" s="2"/>
      <c r="MUB36" s="2"/>
      <c r="MUC36" s="2"/>
      <c r="MUD36" s="2"/>
      <c r="MUE36" s="2"/>
      <c r="MUF36" s="2"/>
      <c r="MUG36" s="2"/>
      <c r="MUH36" s="2"/>
      <c r="MUI36" s="2"/>
      <c r="MUJ36" s="2"/>
      <c r="MUK36" s="2"/>
      <c r="MUL36" s="2"/>
      <c r="MUM36" s="2"/>
      <c r="MUN36" s="2"/>
      <c r="MUO36" s="2"/>
      <c r="MUP36" s="2"/>
      <c r="MUQ36" s="2"/>
      <c r="MUR36" s="2"/>
      <c r="MUS36" s="2"/>
      <c r="MUT36" s="2"/>
      <c r="MUU36" s="2"/>
      <c r="MUV36" s="2"/>
      <c r="MUW36" s="2"/>
      <c r="MUX36" s="2"/>
      <c r="MUY36" s="2"/>
      <c r="MUZ36" s="2"/>
      <c r="MVA36" s="2"/>
      <c r="MVB36" s="2"/>
      <c r="MVC36" s="2"/>
      <c r="MVD36" s="2"/>
      <c r="MVE36" s="2"/>
      <c r="MVF36" s="2"/>
      <c r="MVG36" s="2"/>
      <c r="MVH36" s="2"/>
      <c r="MVI36" s="2"/>
      <c r="MVJ36" s="2"/>
      <c r="MVK36" s="2"/>
      <c r="MVL36" s="2"/>
      <c r="MVM36" s="2"/>
      <c r="MVN36" s="2"/>
      <c r="MVO36" s="2"/>
      <c r="MVP36" s="2"/>
      <c r="MVQ36" s="2"/>
      <c r="MVR36" s="2"/>
      <c r="MVS36" s="2"/>
      <c r="MVT36" s="2"/>
      <c r="MVU36" s="2"/>
      <c r="MVV36" s="2"/>
      <c r="MVW36" s="2"/>
      <c r="MVX36" s="2"/>
      <c r="MVY36" s="2"/>
      <c r="MVZ36" s="2"/>
      <c r="MWA36" s="2"/>
      <c r="MWB36" s="2"/>
      <c r="MWC36" s="2"/>
      <c r="MWD36" s="2"/>
      <c r="MWE36" s="2"/>
      <c r="MWF36" s="2"/>
      <c r="MWG36" s="2"/>
      <c r="MWH36" s="2"/>
      <c r="MWI36" s="2"/>
      <c r="MWJ36" s="2"/>
      <c r="MWK36" s="2"/>
      <c r="MWL36" s="2"/>
      <c r="MWM36" s="2"/>
      <c r="MWN36" s="2"/>
      <c r="MWO36" s="2"/>
      <c r="MWP36" s="2"/>
      <c r="MWQ36" s="2"/>
      <c r="MWR36" s="2"/>
      <c r="MWS36" s="2"/>
      <c r="MWT36" s="2"/>
      <c r="MWU36" s="2"/>
      <c r="MWV36" s="2"/>
      <c r="MWW36" s="2"/>
      <c r="MWX36" s="2"/>
      <c r="MWY36" s="2"/>
      <c r="MWZ36" s="2"/>
      <c r="MXA36" s="2"/>
      <c r="MXB36" s="2"/>
      <c r="MXC36" s="2"/>
      <c r="MXD36" s="2"/>
      <c r="MXE36" s="2"/>
      <c r="MXF36" s="2"/>
      <c r="MXG36" s="2"/>
      <c r="MXH36" s="2"/>
      <c r="MXI36" s="2"/>
      <c r="MXJ36" s="2"/>
      <c r="MXK36" s="2"/>
      <c r="MXL36" s="2"/>
      <c r="MXM36" s="2"/>
      <c r="MXN36" s="2"/>
      <c r="MXO36" s="2"/>
      <c r="MXP36" s="2"/>
      <c r="MXQ36" s="2"/>
      <c r="MXR36" s="2"/>
      <c r="MXS36" s="2"/>
      <c r="MXT36" s="2"/>
      <c r="MXU36" s="2"/>
      <c r="MXV36" s="2"/>
      <c r="MXW36" s="2"/>
      <c r="MXX36" s="2"/>
      <c r="MXY36" s="2"/>
      <c r="MXZ36" s="2"/>
      <c r="MYA36" s="2"/>
      <c r="MYB36" s="2"/>
      <c r="MYC36" s="2"/>
      <c r="MYD36" s="2"/>
      <c r="MYE36" s="2"/>
      <c r="MYF36" s="2"/>
      <c r="MYG36" s="2"/>
      <c r="MYH36" s="2"/>
      <c r="MYI36" s="2"/>
      <c r="MYJ36" s="2"/>
      <c r="MYK36" s="2"/>
      <c r="MYL36" s="2"/>
      <c r="MYM36" s="2"/>
      <c r="MYN36" s="2"/>
      <c r="MYO36" s="2"/>
      <c r="MYP36" s="2"/>
      <c r="MYQ36" s="2"/>
      <c r="MYR36" s="2"/>
      <c r="MYS36" s="2"/>
      <c r="MYT36" s="2"/>
      <c r="MYU36" s="2"/>
      <c r="MYV36" s="2"/>
      <c r="MYW36" s="2"/>
      <c r="MYX36" s="2"/>
      <c r="MYY36" s="2"/>
      <c r="MYZ36" s="2"/>
      <c r="MZA36" s="2"/>
      <c r="MZB36" s="2"/>
      <c r="MZC36" s="2"/>
      <c r="MZD36" s="2"/>
      <c r="MZE36" s="2"/>
      <c r="MZF36" s="2"/>
      <c r="MZG36" s="2"/>
      <c r="MZH36" s="2"/>
      <c r="MZI36" s="2"/>
      <c r="MZJ36" s="2"/>
      <c r="MZK36" s="2"/>
      <c r="MZL36" s="2"/>
      <c r="MZM36" s="2"/>
      <c r="MZN36" s="2"/>
      <c r="MZO36" s="2"/>
      <c r="MZP36" s="2"/>
      <c r="MZQ36" s="2"/>
      <c r="MZR36" s="2"/>
      <c r="MZS36" s="2"/>
      <c r="MZT36" s="2"/>
      <c r="MZU36" s="2"/>
      <c r="MZV36" s="2"/>
      <c r="MZW36" s="2"/>
      <c r="MZX36" s="2"/>
      <c r="MZY36" s="2"/>
      <c r="MZZ36" s="2"/>
      <c r="NAA36" s="2"/>
      <c r="NAB36" s="2"/>
      <c r="NAC36" s="2"/>
      <c r="NAD36" s="2"/>
      <c r="NAE36" s="2"/>
      <c r="NAF36" s="2"/>
      <c r="NAG36" s="2"/>
      <c r="NAH36" s="2"/>
      <c r="NAI36" s="2"/>
      <c r="NAJ36" s="2"/>
      <c r="NAK36" s="2"/>
      <c r="NAL36" s="2"/>
      <c r="NAM36" s="2"/>
      <c r="NAN36" s="2"/>
      <c r="NAO36" s="2"/>
      <c r="NAP36" s="2"/>
      <c r="NAQ36" s="2"/>
      <c r="NAR36" s="2"/>
      <c r="NAS36" s="2"/>
      <c r="NAT36" s="2"/>
      <c r="NAU36" s="2"/>
      <c r="NAV36" s="2"/>
      <c r="NAW36" s="2"/>
      <c r="NAX36" s="2"/>
      <c r="NAY36" s="2"/>
      <c r="NAZ36" s="2"/>
      <c r="NBA36" s="2"/>
      <c r="NBB36" s="2"/>
      <c r="NBC36" s="2"/>
      <c r="NBD36" s="2"/>
      <c r="NBE36" s="2"/>
      <c r="NBF36" s="2"/>
      <c r="NBG36" s="2"/>
      <c r="NBH36" s="2"/>
      <c r="NBI36" s="2"/>
      <c r="NBJ36" s="2"/>
      <c r="NBK36" s="2"/>
      <c r="NBL36" s="2"/>
      <c r="NBM36" s="2"/>
      <c r="NBN36" s="2"/>
      <c r="NBO36" s="2"/>
      <c r="NBP36" s="2"/>
      <c r="NBQ36" s="2"/>
      <c r="NBR36" s="2"/>
      <c r="NBS36" s="2"/>
      <c r="NBT36" s="2"/>
      <c r="NBU36" s="2"/>
      <c r="NBV36" s="2"/>
      <c r="NBW36" s="2"/>
      <c r="NBX36" s="2"/>
      <c r="NBY36" s="2"/>
      <c r="NBZ36" s="2"/>
      <c r="NCA36" s="2"/>
      <c r="NCB36" s="2"/>
      <c r="NCC36" s="2"/>
      <c r="NCD36" s="2"/>
      <c r="NCE36" s="2"/>
      <c r="NCF36" s="2"/>
      <c r="NCG36" s="2"/>
      <c r="NCH36" s="2"/>
      <c r="NCI36" s="2"/>
      <c r="NCJ36" s="2"/>
      <c r="NCK36" s="2"/>
      <c r="NCL36" s="2"/>
      <c r="NCM36" s="2"/>
      <c r="NCN36" s="2"/>
      <c r="NCO36" s="2"/>
      <c r="NCP36" s="2"/>
      <c r="NCQ36" s="2"/>
      <c r="NCR36" s="2"/>
      <c r="NCS36" s="2"/>
      <c r="NCT36" s="2"/>
      <c r="NCU36" s="2"/>
      <c r="NCV36" s="2"/>
      <c r="NCW36" s="2"/>
      <c r="NCX36" s="2"/>
      <c r="NCY36" s="2"/>
      <c r="NCZ36" s="2"/>
      <c r="NDA36" s="2"/>
      <c r="NDB36" s="2"/>
      <c r="NDC36" s="2"/>
      <c r="NDD36" s="2"/>
      <c r="NDE36" s="2"/>
      <c r="NDF36" s="2"/>
      <c r="NDG36" s="2"/>
      <c r="NDH36" s="2"/>
      <c r="NDI36" s="2"/>
      <c r="NDJ36" s="2"/>
      <c r="NDK36" s="2"/>
      <c r="NDL36" s="2"/>
      <c r="NDM36" s="2"/>
      <c r="NDN36" s="2"/>
      <c r="NDO36" s="2"/>
      <c r="NDP36" s="2"/>
      <c r="NDQ36" s="2"/>
      <c r="NDR36" s="2"/>
      <c r="NDS36" s="2"/>
      <c r="NDT36" s="2"/>
      <c r="NDU36" s="2"/>
      <c r="NDV36" s="2"/>
      <c r="NDW36" s="2"/>
      <c r="NDX36" s="2"/>
      <c r="NDY36" s="2"/>
      <c r="NDZ36" s="2"/>
      <c r="NEA36" s="2"/>
      <c r="NEB36" s="2"/>
      <c r="NEC36" s="2"/>
      <c r="NED36" s="2"/>
      <c r="NEE36" s="2"/>
      <c r="NEF36" s="2"/>
      <c r="NEG36" s="2"/>
      <c r="NEH36" s="2"/>
      <c r="NEI36" s="2"/>
      <c r="NEJ36" s="2"/>
      <c r="NEK36" s="2"/>
      <c r="NEL36" s="2"/>
      <c r="NEM36" s="2"/>
      <c r="NEN36" s="2"/>
      <c r="NEO36" s="2"/>
      <c r="NEP36" s="2"/>
      <c r="NEQ36" s="2"/>
      <c r="NER36" s="2"/>
      <c r="NES36" s="2"/>
      <c r="NET36" s="2"/>
      <c r="NEU36" s="2"/>
      <c r="NEV36" s="2"/>
      <c r="NEW36" s="2"/>
      <c r="NEX36" s="2"/>
      <c r="NEY36" s="2"/>
      <c r="NEZ36" s="2"/>
      <c r="NFA36" s="2"/>
      <c r="NFB36" s="2"/>
      <c r="NFC36" s="2"/>
      <c r="NFD36" s="2"/>
      <c r="NFE36" s="2"/>
      <c r="NFF36" s="2"/>
      <c r="NFG36" s="2"/>
      <c r="NFH36" s="2"/>
      <c r="NFI36" s="2"/>
      <c r="NFJ36" s="2"/>
      <c r="NFK36" s="2"/>
      <c r="NFL36" s="2"/>
      <c r="NFM36" s="2"/>
      <c r="NFN36" s="2"/>
      <c r="NFO36" s="2"/>
      <c r="NFP36" s="2"/>
      <c r="NFQ36" s="2"/>
      <c r="NFR36" s="2"/>
      <c r="NFS36" s="2"/>
      <c r="NFT36" s="2"/>
      <c r="NFU36" s="2"/>
      <c r="NFV36" s="2"/>
      <c r="NFW36" s="2"/>
      <c r="NFX36" s="2"/>
      <c r="NFY36" s="2"/>
      <c r="NFZ36" s="2"/>
      <c r="NGA36" s="2"/>
      <c r="NGB36" s="2"/>
      <c r="NGC36" s="2"/>
      <c r="NGD36" s="2"/>
      <c r="NGE36" s="2"/>
      <c r="NGF36" s="2"/>
      <c r="NGG36" s="2"/>
      <c r="NGH36" s="2"/>
      <c r="NGI36" s="2"/>
      <c r="NGJ36" s="2"/>
      <c r="NGK36" s="2"/>
      <c r="NGL36" s="2"/>
      <c r="NGM36" s="2"/>
      <c r="NGN36" s="2"/>
      <c r="NGO36" s="2"/>
      <c r="NGP36" s="2"/>
      <c r="NGQ36" s="2"/>
      <c r="NGR36" s="2"/>
      <c r="NGS36" s="2"/>
      <c r="NGT36" s="2"/>
      <c r="NGU36" s="2"/>
      <c r="NGV36" s="2"/>
      <c r="NGW36" s="2"/>
      <c r="NGX36" s="2"/>
      <c r="NGY36" s="2"/>
      <c r="NGZ36" s="2"/>
      <c r="NHA36" s="2"/>
      <c r="NHB36" s="2"/>
      <c r="NHC36" s="2"/>
      <c r="NHD36" s="2"/>
      <c r="NHE36" s="2"/>
      <c r="NHF36" s="2"/>
      <c r="NHG36" s="2"/>
      <c r="NHH36" s="2"/>
      <c r="NHI36" s="2"/>
      <c r="NHJ36" s="2"/>
      <c r="NHK36" s="2"/>
      <c r="NHL36" s="2"/>
      <c r="NHM36" s="2"/>
      <c r="NHN36" s="2"/>
      <c r="NHO36" s="2"/>
      <c r="NHP36" s="2"/>
      <c r="NHQ36" s="2"/>
      <c r="NHR36" s="2"/>
      <c r="NHS36" s="2"/>
      <c r="NHT36" s="2"/>
      <c r="NHU36" s="2"/>
      <c r="NHV36" s="2"/>
      <c r="NHW36" s="2"/>
      <c r="NHX36" s="2"/>
      <c r="NHY36" s="2"/>
      <c r="NHZ36" s="2"/>
      <c r="NIA36" s="2"/>
      <c r="NIB36" s="2"/>
      <c r="NIC36" s="2"/>
      <c r="NID36" s="2"/>
      <c r="NIE36" s="2"/>
      <c r="NIF36" s="2"/>
      <c r="NIG36" s="2"/>
      <c r="NIH36" s="2"/>
      <c r="NII36" s="2"/>
      <c r="NIJ36" s="2"/>
      <c r="NIK36" s="2"/>
      <c r="NIL36" s="2"/>
      <c r="NIM36" s="2"/>
      <c r="NIN36" s="2"/>
      <c r="NIO36" s="2"/>
      <c r="NIP36" s="2"/>
      <c r="NIQ36" s="2"/>
      <c r="NIR36" s="2"/>
      <c r="NIS36" s="2"/>
      <c r="NIT36" s="2"/>
      <c r="NIU36" s="2"/>
      <c r="NIV36" s="2"/>
      <c r="NIW36" s="2"/>
      <c r="NIX36" s="2"/>
      <c r="NIY36" s="2"/>
      <c r="NIZ36" s="2"/>
      <c r="NJA36" s="2"/>
      <c r="NJB36" s="2"/>
      <c r="NJC36" s="2"/>
      <c r="NJD36" s="2"/>
      <c r="NJE36" s="2"/>
      <c r="NJF36" s="2"/>
      <c r="NJG36" s="2"/>
      <c r="NJH36" s="2"/>
      <c r="NJI36" s="2"/>
      <c r="NJJ36" s="2"/>
      <c r="NJK36" s="2"/>
      <c r="NJL36" s="2"/>
      <c r="NJM36" s="2"/>
      <c r="NJN36" s="2"/>
      <c r="NJO36" s="2"/>
      <c r="NJP36" s="2"/>
      <c r="NJQ36" s="2"/>
      <c r="NJR36" s="2"/>
      <c r="NJS36" s="2"/>
      <c r="NJT36" s="2"/>
      <c r="NJU36" s="2"/>
      <c r="NJV36" s="2"/>
      <c r="NJW36" s="2"/>
      <c r="NJX36" s="2"/>
      <c r="NJY36" s="2"/>
      <c r="NJZ36" s="2"/>
      <c r="NKA36" s="2"/>
      <c r="NKB36" s="2"/>
      <c r="NKC36" s="2"/>
      <c r="NKD36" s="2"/>
      <c r="NKE36" s="2"/>
      <c r="NKF36" s="2"/>
      <c r="NKG36" s="2"/>
      <c r="NKH36" s="2"/>
      <c r="NKI36" s="2"/>
      <c r="NKJ36" s="2"/>
      <c r="NKK36" s="2"/>
      <c r="NKL36" s="2"/>
      <c r="NKM36" s="2"/>
      <c r="NKN36" s="2"/>
      <c r="NKO36" s="2"/>
      <c r="NKP36" s="2"/>
      <c r="NKQ36" s="2"/>
      <c r="NKR36" s="2"/>
      <c r="NKS36" s="2"/>
      <c r="NKT36" s="2"/>
      <c r="NKU36" s="2"/>
      <c r="NKV36" s="2"/>
      <c r="NKW36" s="2"/>
      <c r="NKX36" s="2"/>
      <c r="NKY36" s="2"/>
      <c r="NKZ36" s="2"/>
      <c r="NLA36" s="2"/>
      <c r="NLB36" s="2"/>
      <c r="NLC36" s="2"/>
      <c r="NLD36" s="2"/>
      <c r="NLE36" s="2"/>
      <c r="NLF36" s="2"/>
      <c r="NLG36" s="2"/>
      <c r="NLH36" s="2"/>
      <c r="NLI36" s="2"/>
      <c r="NLJ36" s="2"/>
      <c r="NLK36" s="2"/>
      <c r="NLL36" s="2"/>
      <c r="NLM36" s="2"/>
      <c r="NLN36" s="2"/>
      <c r="NLO36" s="2"/>
      <c r="NLP36" s="2"/>
      <c r="NLQ36" s="2"/>
      <c r="NLR36" s="2"/>
      <c r="NLS36" s="2"/>
      <c r="NLT36" s="2"/>
      <c r="NLU36" s="2"/>
      <c r="NLV36" s="2"/>
      <c r="NLW36" s="2"/>
      <c r="NLX36" s="2"/>
      <c r="NLY36" s="2"/>
      <c r="NLZ36" s="2"/>
      <c r="NMA36" s="2"/>
      <c r="NMB36" s="2"/>
      <c r="NMC36" s="2"/>
      <c r="NMD36" s="2"/>
      <c r="NME36" s="2"/>
      <c r="NMF36" s="2"/>
      <c r="NMG36" s="2"/>
      <c r="NMH36" s="2"/>
      <c r="NMI36" s="2"/>
      <c r="NMJ36" s="2"/>
      <c r="NMK36" s="2"/>
      <c r="NML36" s="2"/>
      <c r="NMM36" s="2"/>
      <c r="NMN36" s="2"/>
      <c r="NMO36" s="2"/>
      <c r="NMP36" s="2"/>
      <c r="NMQ36" s="2"/>
      <c r="NMR36" s="2"/>
      <c r="NMS36" s="2"/>
      <c r="NMT36" s="2"/>
      <c r="NMU36" s="2"/>
      <c r="NMV36" s="2"/>
      <c r="NMW36" s="2"/>
      <c r="NMX36" s="2"/>
      <c r="NMY36" s="2"/>
      <c r="NMZ36" s="2"/>
      <c r="NNA36" s="2"/>
      <c r="NNB36" s="2"/>
      <c r="NNC36" s="2"/>
      <c r="NND36" s="2"/>
      <c r="NNE36" s="2"/>
      <c r="NNF36" s="2"/>
      <c r="NNG36" s="2"/>
      <c r="NNH36" s="2"/>
      <c r="NNI36" s="2"/>
      <c r="NNJ36" s="2"/>
      <c r="NNK36" s="2"/>
      <c r="NNL36" s="2"/>
      <c r="NNM36" s="2"/>
      <c r="NNN36" s="2"/>
      <c r="NNO36" s="2"/>
      <c r="NNP36" s="2"/>
      <c r="NNQ36" s="2"/>
      <c r="NNR36" s="2"/>
      <c r="NNS36" s="2"/>
      <c r="NNT36" s="2"/>
      <c r="NNU36" s="2"/>
      <c r="NNV36" s="2"/>
      <c r="NNW36" s="2"/>
      <c r="NNX36" s="2"/>
      <c r="NNY36" s="2"/>
      <c r="NNZ36" s="2"/>
      <c r="NOA36" s="2"/>
      <c r="NOB36" s="2"/>
      <c r="NOC36" s="2"/>
      <c r="NOD36" s="2"/>
      <c r="NOE36" s="2"/>
      <c r="NOF36" s="2"/>
      <c r="NOG36" s="2"/>
      <c r="NOH36" s="2"/>
      <c r="NOI36" s="2"/>
      <c r="NOJ36" s="2"/>
      <c r="NOK36" s="2"/>
      <c r="NOL36" s="2"/>
      <c r="NOM36" s="2"/>
      <c r="NON36" s="2"/>
      <c r="NOO36" s="2"/>
      <c r="NOP36" s="2"/>
      <c r="NOQ36" s="2"/>
      <c r="NOR36" s="2"/>
      <c r="NOS36" s="2"/>
      <c r="NOT36" s="2"/>
      <c r="NOU36" s="2"/>
      <c r="NOV36" s="2"/>
      <c r="NOW36" s="2"/>
      <c r="NOX36" s="2"/>
      <c r="NOY36" s="2"/>
      <c r="NOZ36" s="2"/>
      <c r="NPA36" s="2"/>
      <c r="NPB36" s="2"/>
      <c r="NPC36" s="2"/>
      <c r="NPD36" s="2"/>
      <c r="NPE36" s="2"/>
      <c r="NPF36" s="2"/>
      <c r="NPG36" s="2"/>
      <c r="NPH36" s="2"/>
      <c r="NPI36" s="2"/>
      <c r="NPJ36" s="2"/>
      <c r="NPK36" s="2"/>
      <c r="NPL36" s="2"/>
      <c r="NPM36" s="2"/>
      <c r="NPN36" s="2"/>
      <c r="NPO36" s="2"/>
      <c r="NPP36" s="2"/>
      <c r="NPQ36" s="2"/>
      <c r="NPR36" s="2"/>
      <c r="NPS36" s="2"/>
      <c r="NPT36" s="2"/>
      <c r="NPU36" s="2"/>
      <c r="NPV36" s="2"/>
      <c r="NPW36" s="2"/>
      <c r="NPX36" s="2"/>
      <c r="NPY36" s="2"/>
      <c r="NPZ36" s="2"/>
      <c r="NQA36" s="2"/>
      <c r="NQB36" s="2"/>
      <c r="NQC36" s="2"/>
      <c r="NQD36" s="2"/>
      <c r="NQE36" s="2"/>
      <c r="NQF36" s="2"/>
      <c r="NQG36" s="2"/>
      <c r="NQH36" s="2"/>
      <c r="NQI36" s="2"/>
      <c r="NQJ36" s="2"/>
      <c r="NQK36" s="2"/>
      <c r="NQL36" s="2"/>
      <c r="NQM36" s="2"/>
      <c r="NQN36" s="2"/>
      <c r="NQO36" s="2"/>
      <c r="NQP36" s="2"/>
      <c r="NQQ36" s="2"/>
      <c r="NQR36" s="2"/>
      <c r="NQS36" s="2"/>
      <c r="NQT36" s="2"/>
      <c r="NQU36" s="2"/>
      <c r="NQV36" s="2"/>
      <c r="NQW36" s="2"/>
      <c r="NQX36" s="2"/>
      <c r="NQY36" s="2"/>
      <c r="NQZ36" s="2"/>
      <c r="NRA36" s="2"/>
      <c r="NRB36" s="2"/>
      <c r="NRC36" s="2"/>
      <c r="NRD36" s="2"/>
      <c r="NRE36" s="2"/>
      <c r="NRF36" s="2"/>
      <c r="NRG36" s="2"/>
      <c r="NRH36" s="2"/>
      <c r="NRI36" s="2"/>
      <c r="NRJ36" s="2"/>
      <c r="NRK36" s="2"/>
      <c r="NRL36" s="2"/>
      <c r="NRM36" s="2"/>
      <c r="NRN36" s="2"/>
      <c r="NRO36" s="2"/>
      <c r="NRP36" s="2"/>
      <c r="NRQ36" s="2"/>
      <c r="NRR36" s="2"/>
      <c r="NRS36" s="2"/>
      <c r="NRT36" s="2"/>
      <c r="NRU36" s="2"/>
      <c r="NRV36" s="2"/>
      <c r="NRW36" s="2"/>
      <c r="NRX36" s="2"/>
      <c r="NRY36" s="2"/>
      <c r="NRZ36" s="2"/>
      <c r="NSA36" s="2"/>
      <c r="NSB36" s="2"/>
      <c r="NSC36" s="2"/>
      <c r="NSD36" s="2"/>
      <c r="NSE36" s="2"/>
      <c r="NSF36" s="2"/>
      <c r="NSG36" s="2"/>
      <c r="NSH36" s="2"/>
      <c r="NSI36" s="2"/>
      <c r="NSJ36" s="2"/>
      <c r="NSK36" s="2"/>
      <c r="NSL36" s="2"/>
      <c r="NSM36" s="2"/>
      <c r="NSN36" s="2"/>
      <c r="NSO36" s="2"/>
      <c r="NSP36" s="2"/>
      <c r="NSQ36" s="2"/>
      <c r="NSR36" s="2"/>
      <c r="NSS36" s="2"/>
      <c r="NST36" s="2"/>
      <c r="NSU36" s="2"/>
      <c r="NSV36" s="2"/>
      <c r="NSW36" s="2"/>
      <c r="NSX36" s="2"/>
      <c r="NSY36" s="2"/>
      <c r="NSZ36" s="2"/>
      <c r="NTA36" s="2"/>
      <c r="NTB36" s="2"/>
      <c r="NTC36" s="2"/>
      <c r="NTD36" s="2"/>
      <c r="NTE36" s="2"/>
      <c r="NTF36" s="2"/>
      <c r="NTG36" s="2"/>
      <c r="NTH36" s="2"/>
      <c r="NTI36" s="2"/>
      <c r="NTJ36" s="2"/>
      <c r="NTK36" s="2"/>
      <c r="NTL36" s="2"/>
      <c r="NTM36" s="2"/>
      <c r="NTN36" s="2"/>
      <c r="NTO36" s="2"/>
      <c r="NTP36" s="2"/>
      <c r="NTQ36" s="2"/>
      <c r="NTR36" s="2"/>
      <c r="NTS36" s="2"/>
      <c r="NTT36" s="2"/>
      <c r="NTU36" s="2"/>
      <c r="NTV36" s="2"/>
      <c r="NTW36" s="2"/>
      <c r="NTX36" s="2"/>
      <c r="NTY36" s="2"/>
      <c r="NTZ36" s="2"/>
      <c r="NUA36" s="2"/>
      <c r="NUB36" s="2"/>
      <c r="NUC36" s="2"/>
      <c r="NUD36" s="2"/>
      <c r="NUE36" s="2"/>
      <c r="NUF36" s="2"/>
      <c r="NUG36" s="2"/>
      <c r="NUH36" s="2"/>
      <c r="NUI36" s="2"/>
      <c r="NUJ36" s="2"/>
      <c r="NUK36" s="2"/>
      <c r="NUL36" s="2"/>
      <c r="NUM36" s="2"/>
      <c r="NUN36" s="2"/>
      <c r="NUO36" s="2"/>
      <c r="NUP36" s="2"/>
      <c r="NUQ36" s="2"/>
      <c r="NUR36" s="2"/>
      <c r="NUS36" s="2"/>
      <c r="NUT36" s="2"/>
      <c r="NUU36" s="2"/>
      <c r="NUV36" s="2"/>
      <c r="NUW36" s="2"/>
      <c r="NUX36" s="2"/>
      <c r="NUY36" s="2"/>
      <c r="NUZ36" s="2"/>
      <c r="NVA36" s="2"/>
      <c r="NVB36" s="2"/>
      <c r="NVC36" s="2"/>
      <c r="NVD36" s="2"/>
      <c r="NVE36" s="2"/>
      <c r="NVF36" s="2"/>
      <c r="NVG36" s="2"/>
      <c r="NVH36" s="2"/>
      <c r="NVI36" s="2"/>
      <c r="NVJ36" s="2"/>
      <c r="NVK36" s="2"/>
      <c r="NVL36" s="2"/>
      <c r="NVM36" s="2"/>
      <c r="NVN36" s="2"/>
      <c r="NVO36" s="2"/>
      <c r="NVP36" s="2"/>
      <c r="NVQ36" s="2"/>
      <c r="NVR36" s="2"/>
      <c r="NVS36" s="2"/>
      <c r="NVT36" s="2"/>
      <c r="NVU36" s="2"/>
      <c r="NVV36" s="2"/>
      <c r="NVW36" s="2"/>
      <c r="NVX36" s="2"/>
      <c r="NVY36" s="2"/>
      <c r="NVZ36" s="2"/>
      <c r="NWA36" s="2"/>
      <c r="NWB36" s="2"/>
      <c r="NWC36" s="2"/>
      <c r="NWD36" s="2"/>
      <c r="NWE36" s="2"/>
      <c r="NWF36" s="2"/>
      <c r="NWG36" s="2"/>
      <c r="NWH36" s="2"/>
      <c r="NWI36" s="2"/>
      <c r="NWJ36" s="2"/>
      <c r="NWK36" s="2"/>
      <c r="NWL36" s="2"/>
      <c r="NWM36" s="2"/>
      <c r="NWN36" s="2"/>
      <c r="NWO36" s="2"/>
      <c r="NWP36" s="2"/>
      <c r="NWQ36" s="2"/>
      <c r="NWR36" s="2"/>
      <c r="NWS36" s="2"/>
      <c r="NWT36" s="2"/>
      <c r="NWU36" s="2"/>
      <c r="NWV36" s="2"/>
      <c r="NWW36" s="2"/>
      <c r="NWX36" s="2"/>
      <c r="NWY36" s="2"/>
      <c r="NWZ36" s="2"/>
      <c r="NXA36" s="2"/>
      <c r="NXB36" s="2"/>
      <c r="NXC36" s="2"/>
      <c r="NXD36" s="2"/>
      <c r="NXE36" s="2"/>
      <c r="NXF36" s="2"/>
      <c r="NXG36" s="2"/>
      <c r="NXH36" s="2"/>
      <c r="NXI36" s="2"/>
      <c r="NXJ36" s="2"/>
      <c r="NXK36" s="2"/>
      <c r="NXL36" s="2"/>
      <c r="NXM36" s="2"/>
      <c r="NXN36" s="2"/>
      <c r="NXO36" s="2"/>
      <c r="NXP36" s="2"/>
      <c r="NXQ36" s="2"/>
      <c r="NXR36" s="2"/>
      <c r="NXS36" s="2"/>
      <c r="NXT36" s="2"/>
      <c r="NXU36" s="2"/>
      <c r="NXV36" s="2"/>
      <c r="NXW36" s="2"/>
      <c r="NXX36" s="2"/>
      <c r="NXY36" s="2"/>
      <c r="NXZ36" s="2"/>
      <c r="NYA36" s="2"/>
      <c r="NYB36" s="2"/>
      <c r="NYC36" s="2"/>
      <c r="NYD36" s="2"/>
      <c r="NYE36" s="2"/>
      <c r="NYF36" s="2"/>
      <c r="NYG36" s="2"/>
      <c r="NYH36" s="2"/>
      <c r="NYI36" s="2"/>
      <c r="NYJ36" s="2"/>
      <c r="NYK36" s="2"/>
      <c r="NYL36" s="2"/>
      <c r="NYM36" s="2"/>
      <c r="NYN36" s="2"/>
      <c r="NYO36" s="2"/>
      <c r="NYP36" s="2"/>
      <c r="NYQ36" s="2"/>
      <c r="NYR36" s="2"/>
      <c r="NYS36" s="2"/>
      <c r="NYT36" s="2"/>
      <c r="NYU36" s="2"/>
      <c r="NYV36" s="2"/>
      <c r="NYW36" s="2"/>
      <c r="NYX36" s="2"/>
      <c r="NYY36" s="2"/>
      <c r="NYZ36" s="2"/>
      <c r="NZA36" s="2"/>
      <c r="NZB36" s="2"/>
      <c r="NZC36" s="2"/>
      <c r="NZD36" s="2"/>
      <c r="NZE36" s="2"/>
      <c r="NZF36" s="2"/>
      <c r="NZG36" s="2"/>
      <c r="NZH36" s="2"/>
      <c r="NZI36" s="2"/>
      <c r="NZJ36" s="2"/>
      <c r="NZK36" s="2"/>
      <c r="NZL36" s="2"/>
      <c r="NZM36" s="2"/>
      <c r="NZN36" s="2"/>
      <c r="NZO36" s="2"/>
      <c r="NZP36" s="2"/>
      <c r="NZQ36" s="2"/>
      <c r="NZR36" s="2"/>
      <c r="NZS36" s="2"/>
      <c r="NZT36" s="2"/>
      <c r="NZU36" s="2"/>
      <c r="NZV36" s="2"/>
      <c r="NZW36" s="2"/>
      <c r="NZX36" s="2"/>
      <c r="NZY36" s="2"/>
      <c r="NZZ36" s="2"/>
      <c r="OAA36" s="2"/>
      <c r="OAB36" s="2"/>
      <c r="OAC36" s="2"/>
      <c r="OAD36" s="2"/>
      <c r="OAE36" s="2"/>
      <c r="OAF36" s="2"/>
      <c r="OAG36" s="2"/>
      <c r="OAH36" s="2"/>
      <c r="OAI36" s="2"/>
      <c r="OAJ36" s="2"/>
      <c r="OAK36" s="2"/>
      <c r="OAL36" s="2"/>
      <c r="OAM36" s="2"/>
      <c r="OAN36" s="2"/>
      <c r="OAO36" s="2"/>
      <c r="OAP36" s="2"/>
      <c r="OAQ36" s="2"/>
      <c r="OAR36" s="2"/>
      <c r="OAS36" s="2"/>
      <c r="OAT36" s="2"/>
      <c r="OAU36" s="2"/>
      <c r="OAV36" s="2"/>
      <c r="OAW36" s="2"/>
      <c r="OAX36" s="2"/>
      <c r="OAY36" s="2"/>
      <c r="OAZ36" s="2"/>
      <c r="OBA36" s="2"/>
      <c r="OBB36" s="2"/>
      <c r="OBC36" s="2"/>
      <c r="OBD36" s="2"/>
      <c r="OBE36" s="2"/>
      <c r="OBF36" s="2"/>
      <c r="OBG36" s="2"/>
      <c r="OBH36" s="2"/>
      <c r="OBI36" s="2"/>
      <c r="OBJ36" s="2"/>
      <c r="OBK36" s="2"/>
      <c r="OBL36" s="2"/>
      <c r="OBM36" s="2"/>
      <c r="OBN36" s="2"/>
      <c r="OBO36" s="2"/>
      <c r="OBP36" s="2"/>
      <c r="OBQ36" s="2"/>
      <c r="OBR36" s="2"/>
      <c r="OBS36" s="2"/>
      <c r="OBT36" s="2"/>
      <c r="OBU36" s="2"/>
      <c r="OBV36" s="2"/>
      <c r="OBW36" s="2"/>
      <c r="OBX36" s="2"/>
      <c r="OBY36" s="2"/>
      <c r="OBZ36" s="2"/>
      <c r="OCA36" s="2"/>
      <c r="OCB36" s="2"/>
      <c r="OCC36" s="2"/>
      <c r="OCD36" s="2"/>
      <c r="OCE36" s="2"/>
      <c r="OCF36" s="2"/>
      <c r="OCG36" s="2"/>
      <c r="OCH36" s="2"/>
      <c r="OCI36" s="2"/>
      <c r="OCJ36" s="2"/>
      <c r="OCK36" s="2"/>
      <c r="OCL36" s="2"/>
      <c r="OCM36" s="2"/>
      <c r="OCN36" s="2"/>
      <c r="OCO36" s="2"/>
      <c r="OCP36" s="2"/>
      <c r="OCQ36" s="2"/>
      <c r="OCR36" s="2"/>
      <c r="OCS36" s="2"/>
      <c r="OCT36" s="2"/>
      <c r="OCU36" s="2"/>
      <c r="OCV36" s="2"/>
      <c r="OCW36" s="2"/>
      <c r="OCX36" s="2"/>
      <c r="OCY36" s="2"/>
      <c r="OCZ36" s="2"/>
      <c r="ODA36" s="2"/>
      <c r="ODB36" s="2"/>
      <c r="ODC36" s="2"/>
      <c r="ODD36" s="2"/>
      <c r="ODE36" s="2"/>
      <c r="ODF36" s="2"/>
      <c r="ODG36" s="2"/>
      <c r="ODH36" s="2"/>
      <c r="ODI36" s="2"/>
      <c r="ODJ36" s="2"/>
      <c r="ODK36" s="2"/>
      <c r="ODL36" s="2"/>
      <c r="ODM36" s="2"/>
      <c r="ODN36" s="2"/>
      <c r="ODO36" s="2"/>
      <c r="ODP36" s="2"/>
      <c r="ODQ36" s="2"/>
      <c r="ODR36" s="2"/>
      <c r="ODS36" s="2"/>
      <c r="ODT36" s="2"/>
      <c r="ODU36" s="2"/>
      <c r="ODV36" s="2"/>
      <c r="ODW36" s="2"/>
      <c r="ODX36" s="2"/>
      <c r="ODY36" s="2"/>
      <c r="ODZ36" s="2"/>
      <c r="OEA36" s="2"/>
      <c r="OEB36" s="2"/>
      <c r="OEC36" s="2"/>
      <c r="OED36" s="2"/>
      <c r="OEE36" s="2"/>
      <c r="OEF36" s="2"/>
      <c r="OEG36" s="2"/>
      <c r="OEH36" s="2"/>
      <c r="OEI36" s="2"/>
      <c r="OEJ36" s="2"/>
      <c r="OEK36" s="2"/>
      <c r="OEL36" s="2"/>
      <c r="OEM36" s="2"/>
      <c r="OEN36" s="2"/>
      <c r="OEO36" s="2"/>
      <c r="OEP36" s="2"/>
      <c r="OEQ36" s="2"/>
      <c r="OER36" s="2"/>
      <c r="OES36" s="2"/>
      <c r="OET36" s="2"/>
      <c r="OEU36" s="2"/>
      <c r="OEV36" s="2"/>
      <c r="OEW36" s="2"/>
      <c r="OEX36" s="2"/>
      <c r="OEY36" s="2"/>
      <c r="OEZ36" s="2"/>
      <c r="OFA36" s="2"/>
      <c r="OFB36" s="2"/>
      <c r="OFC36" s="2"/>
      <c r="OFD36" s="2"/>
      <c r="OFE36" s="2"/>
      <c r="OFF36" s="2"/>
      <c r="OFG36" s="2"/>
      <c r="OFH36" s="2"/>
      <c r="OFI36" s="2"/>
      <c r="OFJ36" s="2"/>
      <c r="OFK36" s="2"/>
      <c r="OFL36" s="2"/>
      <c r="OFM36" s="2"/>
      <c r="OFN36" s="2"/>
      <c r="OFO36" s="2"/>
      <c r="OFP36" s="2"/>
      <c r="OFQ36" s="2"/>
      <c r="OFR36" s="2"/>
      <c r="OFS36" s="2"/>
      <c r="OFT36" s="2"/>
      <c r="OFU36" s="2"/>
      <c r="OFV36" s="2"/>
      <c r="OFW36" s="2"/>
      <c r="OFX36" s="2"/>
      <c r="OFY36" s="2"/>
      <c r="OFZ36" s="2"/>
      <c r="OGA36" s="2"/>
      <c r="OGB36" s="2"/>
      <c r="OGC36" s="2"/>
      <c r="OGD36" s="2"/>
      <c r="OGE36" s="2"/>
      <c r="OGF36" s="2"/>
      <c r="OGG36" s="2"/>
      <c r="OGH36" s="2"/>
      <c r="OGI36" s="2"/>
      <c r="OGJ36" s="2"/>
      <c r="OGK36" s="2"/>
      <c r="OGL36" s="2"/>
      <c r="OGM36" s="2"/>
      <c r="OGN36" s="2"/>
      <c r="OGO36" s="2"/>
      <c r="OGP36" s="2"/>
      <c r="OGQ36" s="2"/>
      <c r="OGR36" s="2"/>
      <c r="OGS36" s="2"/>
      <c r="OGT36" s="2"/>
      <c r="OGU36" s="2"/>
      <c r="OGV36" s="2"/>
      <c r="OGW36" s="2"/>
      <c r="OGX36" s="2"/>
      <c r="OGY36" s="2"/>
      <c r="OGZ36" s="2"/>
      <c r="OHA36" s="2"/>
      <c r="OHB36" s="2"/>
      <c r="OHC36" s="2"/>
      <c r="OHD36" s="2"/>
      <c r="OHE36" s="2"/>
      <c r="OHF36" s="2"/>
      <c r="OHG36" s="2"/>
      <c r="OHH36" s="2"/>
      <c r="OHI36" s="2"/>
      <c r="OHJ36" s="2"/>
      <c r="OHK36" s="2"/>
      <c r="OHL36" s="2"/>
      <c r="OHM36" s="2"/>
      <c r="OHN36" s="2"/>
      <c r="OHO36" s="2"/>
      <c r="OHP36" s="2"/>
      <c r="OHQ36" s="2"/>
      <c r="OHR36" s="2"/>
      <c r="OHS36" s="2"/>
      <c r="OHT36" s="2"/>
      <c r="OHU36" s="2"/>
      <c r="OHV36" s="2"/>
      <c r="OHW36" s="2"/>
      <c r="OHX36" s="2"/>
      <c r="OHY36" s="2"/>
      <c r="OHZ36" s="2"/>
      <c r="OIA36" s="2"/>
      <c r="OIB36" s="2"/>
      <c r="OIC36" s="2"/>
      <c r="OID36" s="2"/>
      <c r="OIE36" s="2"/>
      <c r="OIF36" s="2"/>
      <c r="OIG36" s="2"/>
      <c r="OIH36" s="2"/>
      <c r="OII36" s="2"/>
      <c r="OIJ36" s="2"/>
      <c r="OIK36" s="2"/>
      <c r="OIL36" s="2"/>
      <c r="OIM36" s="2"/>
      <c r="OIN36" s="2"/>
      <c r="OIO36" s="2"/>
      <c r="OIP36" s="2"/>
      <c r="OIQ36" s="2"/>
      <c r="OIR36" s="2"/>
      <c r="OIS36" s="2"/>
      <c r="OIT36" s="2"/>
      <c r="OIU36" s="2"/>
      <c r="OIV36" s="2"/>
      <c r="OIW36" s="2"/>
      <c r="OIX36" s="2"/>
      <c r="OIY36" s="2"/>
      <c r="OIZ36" s="2"/>
      <c r="OJA36" s="2"/>
      <c r="OJB36" s="2"/>
      <c r="OJC36" s="2"/>
      <c r="OJD36" s="2"/>
      <c r="OJE36" s="2"/>
      <c r="OJF36" s="2"/>
      <c r="OJG36" s="2"/>
      <c r="OJH36" s="2"/>
      <c r="OJI36" s="2"/>
      <c r="OJJ36" s="2"/>
      <c r="OJK36" s="2"/>
      <c r="OJL36" s="2"/>
      <c r="OJM36" s="2"/>
      <c r="OJN36" s="2"/>
      <c r="OJO36" s="2"/>
      <c r="OJP36" s="2"/>
      <c r="OJQ36" s="2"/>
      <c r="OJR36" s="2"/>
      <c r="OJS36" s="2"/>
      <c r="OJT36" s="2"/>
      <c r="OJU36" s="2"/>
      <c r="OJV36" s="2"/>
      <c r="OJW36" s="2"/>
      <c r="OJX36" s="2"/>
      <c r="OJY36" s="2"/>
      <c r="OJZ36" s="2"/>
      <c r="OKA36" s="2"/>
      <c r="OKB36" s="2"/>
      <c r="OKC36" s="2"/>
      <c r="OKD36" s="2"/>
      <c r="OKE36" s="2"/>
      <c r="OKF36" s="2"/>
      <c r="OKG36" s="2"/>
      <c r="OKH36" s="2"/>
      <c r="OKI36" s="2"/>
      <c r="OKJ36" s="2"/>
      <c r="OKK36" s="2"/>
      <c r="OKL36" s="2"/>
      <c r="OKM36" s="2"/>
      <c r="OKN36" s="2"/>
      <c r="OKO36" s="2"/>
      <c r="OKP36" s="2"/>
      <c r="OKQ36" s="2"/>
      <c r="OKR36" s="2"/>
      <c r="OKS36" s="2"/>
      <c r="OKT36" s="2"/>
      <c r="OKU36" s="2"/>
      <c r="OKV36" s="2"/>
      <c r="OKW36" s="2"/>
      <c r="OKX36" s="2"/>
      <c r="OKY36" s="2"/>
      <c r="OKZ36" s="2"/>
      <c r="OLA36" s="2"/>
      <c r="OLB36" s="2"/>
      <c r="OLC36" s="2"/>
      <c r="OLD36" s="2"/>
      <c r="OLE36" s="2"/>
      <c r="OLF36" s="2"/>
      <c r="OLG36" s="2"/>
      <c r="OLH36" s="2"/>
      <c r="OLI36" s="2"/>
      <c r="OLJ36" s="2"/>
      <c r="OLK36" s="2"/>
      <c r="OLL36" s="2"/>
      <c r="OLM36" s="2"/>
      <c r="OLN36" s="2"/>
      <c r="OLO36" s="2"/>
      <c r="OLP36" s="2"/>
      <c r="OLQ36" s="2"/>
      <c r="OLR36" s="2"/>
      <c r="OLS36" s="2"/>
      <c r="OLT36" s="2"/>
      <c r="OLU36" s="2"/>
      <c r="OLV36" s="2"/>
      <c r="OLW36" s="2"/>
      <c r="OLX36" s="2"/>
      <c r="OLY36" s="2"/>
      <c r="OLZ36" s="2"/>
      <c r="OMA36" s="2"/>
      <c r="OMB36" s="2"/>
      <c r="OMC36" s="2"/>
      <c r="OMD36" s="2"/>
      <c r="OME36" s="2"/>
      <c r="OMF36" s="2"/>
      <c r="OMG36" s="2"/>
      <c r="OMH36" s="2"/>
      <c r="OMI36" s="2"/>
      <c r="OMJ36" s="2"/>
      <c r="OMK36" s="2"/>
      <c r="OML36" s="2"/>
      <c r="OMM36" s="2"/>
      <c r="OMN36" s="2"/>
      <c r="OMO36" s="2"/>
      <c r="OMP36" s="2"/>
      <c r="OMQ36" s="2"/>
      <c r="OMR36" s="2"/>
      <c r="OMS36" s="2"/>
      <c r="OMT36" s="2"/>
      <c r="OMU36" s="2"/>
      <c r="OMV36" s="2"/>
      <c r="OMW36" s="2"/>
      <c r="OMX36" s="2"/>
      <c r="OMY36" s="2"/>
      <c r="OMZ36" s="2"/>
      <c r="ONA36" s="2"/>
      <c r="ONB36" s="2"/>
      <c r="ONC36" s="2"/>
      <c r="OND36" s="2"/>
      <c r="ONE36" s="2"/>
      <c r="ONF36" s="2"/>
      <c r="ONG36" s="2"/>
      <c r="ONH36" s="2"/>
      <c r="ONI36" s="2"/>
      <c r="ONJ36" s="2"/>
      <c r="ONK36" s="2"/>
      <c r="ONL36" s="2"/>
      <c r="ONM36" s="2"/>
      <c r="ONN36" s="2"/>
      <c r="ONO36" s="2"/>
      <c r="ONP36" s="2"/>
      <c r="ONQ36" s="2"/>
      <c r="ONR36" s="2"/>
      <c r="ONS36" s="2"/>
      <c r="ONT36" s="2"/>
      <c r="ONU36" s="2"/>
      <c r="ONV36" s="2"/>
      <c r="ONW36" s="2"/>
      <c r="ONX36" s="2"/>
      <c r="ONY36" s="2"/>
      <c r="ONZ36" s="2"/>
      <c r="OOA36" s="2"/>
      <c r="OOB36" s="2"/>
      <c r="OOC36" s="2"/>
      <c r="OOD36" s="2"/>
      <c r="OOE36" s="2"/>
      <c r="OOF36" s="2"/>
      <c r="OOG36" s="2"/>
      <c r="OOH36" s="2"/>
      <c r="OOI36" s="2"/>
      <c r="OOJ36" s="2"/>
      <c r="OOK36" s="2"/>
      <c r="OOL36" s="2"/>
      <c r="OOM36" s="2"/>
      <c r="OON36" s="2"/>
      <c r="OOO36" s="2"/>
      <c r="OOP36" s="2"/>
      <c r="OOQ36" s="2"/>
      <c r="OOR36" s="2"/>
      <c r="OOS36" s="2"/>
      <c r="OOT36" s="2"/>
      <c r="OOU36" s="2"/>
      <c r="OOV36" s="2"/>
      <c r="OOW36" s="2"/>
      <c r="OOX36" s="2"/>
      <c r="OOY36" s="2"/>
      <c r="OOZ36" s="2"/>
      <c r="OPA36" s="2"/>
      <c r="OPB36" s="2"/>
      <c r="OPC36" s="2"/>
      <c r="OPD36" s="2"/>
      <c r="OPE36" s="2"/>
      <c r="OPF36" s="2"/>
      <c r="OPG36" s="2"/>
      <c r="OPH36" s="2"/>
      <c r="OPI36" s="2"/>
      <c r="OPJ36" s="2"/>
      <c r="OPK36" s="2"/>
      <c r="OPL36" s="2"/>
      <c r="OPM36" s="2"/>
      <c r="OPN36" s="2"/>
      <c r="OPO36" s="2"/>
      <c r="OPP36" s="2"/>
      <c r="OPQ36" s="2"/>
      <c r="OPR36" s="2"/>
      <c r="OPS36" s="2"/>
      <c r="OPT36" s="2"/>
      <c r="OPU36" s="2"/>
      <c r="OPV36" s="2"/>
      <c r="OPW36" s="2"/>
      <c r="OPX36" s="2"/>
      <c r="OPY36" s="2"/>
      <c r="OPZ36" s="2"/>
      <c r="OQA36" s="2"/>
      <c r="OQB36" s="2"/>
      <c r="OQC36" s="2"/>
      <c r="OQD36" s="2"/>
      <c r="OQE36" s="2"/>
      <c r="OQF36" s="2"/>
      <c r="OQG36" s="2"/>
      <c r="OQH36" s="2"/>
      <c r="OQI36" s="2"/>
      <c r="OQJ36" s="2"/>
      <c r="OQK36" s="2"/>
      <c r="OQL36" s="2"/>
      <c r="OQM36" s="2"/>
      <c r="OQN36" s="2"/>
      <c r="OQO36" s="2"/>
      <c r="OQP36" s="2"/>
      <c r="OQQ36" s="2"/>
      <c r="OQR36" s="2"/>
      <c r="OQS36" s="2"/>
      <c r="OQT36" s="2"/>
      <c r="OQU36" s="2"/>
      <c r="OQV36" s="2"/>
      <c r="OQW36" s="2"/>
      <c r="OQX36" s="2"/>
      <c r="OQY36" s="2"/>
      <c r="OQZ36" s="2"/>
      <c r="ORA36" s="2"/>
      <c r="ORB36" s="2"/>
      <c r="ORC36" s="2"/>
      <c r="ORD36" s="2"/>
      <c r="ORE36" s="2"/>
      <c r="ORF36" s="2"/>
      <c r="ORG36" s="2"/>
      <c r="ORH36" s="2"/>
      <c r="ORI36" s="2"/>
      <c r="ORJ36" s="2"/>
      <c r="ORK36" s="2"/>
      <c r="ORL36" s="2"/>
      <c r="ORM36" s="2"/>
      <c r="ORN36" s="2"/>
      <c r="ORO36" s="2"/>
      <c r="ORP36" s="2"/>
      <c r="ORQ36" s="2"/>
      <c r="ORR36" s="2"/>
      <c r="ORS36" s="2"/>
      <c r="ORT36" s="2"/>
      <c r="ORU36" s="2"/>
      <c r="ORV36" s="2"/>
      <c r="ORW36" s="2"/>
      <c r="ORX36" s="2"/>
      <c r="ORY36" s="2"/>
      <c r="ORZ36" s="2"/>
      <c r="OSA36" s="2"/>
      <c r="OSB36" s="2"/>
      <c r="OSC36" s="2"/>
      <c r="OSD36" s="2"/>
      <c r="OSE36" s="2"/>
      <c r="OSF36" s="2"/>
      <c r="OSG36" s="2"/>
      <c r="OSH36" s="2"/>
      <c r="OSI36" s="2"/>
      <c r="OSJ36" s="2"/>
      <c r="OSK36" s="2"/>
      <c r="OSL36" s="2"/>
      <c r="OSM36" s="2"/>
      <c r="OSN36" s="2"/>
      <c r="OSO36" s="2"/>
      <c r="OSP36" s="2"/>
      <c r="OSQ36" s="2"/>
      <c r="OSR36" s="2"/>
      <c r="OSS36" s="2"/>
      <c r="OST36" s="2"/>
      <c r="OSU36" s="2"/>
      <c r="OSV36" s="2"/>
      <c r="OSW36" s="2"/>
      <c r="OSX36" s="2"/>
      <c r="OSY36" s="2"/>
      <c r="OSZ36" s="2"/>
      <c r="OTA36" s="2"/>
      <c r="OTB36" s="2"/>
      <c r="OTC36" s="2"/>
      <c r="OTD36" s="2"/>
      <c r="OTE36" s="2"/>
      <c r="OTF36" s="2"/>
      <c r="OTG36" s="2"/>
      <c r="OTH36" s="2"/>
      <c r="OTI36" s="2"/>
      <c r="OTJ36" s="2"/>
      <c r="OTK36" s="2"/>
      <c r="OTL36" s="2"/>
      <c r="OTM36" s="2"/>
      <c r="OTN36" s="2"/>
      <c r="OTO36" s="2"/>
      <c r="OTP36" s="2"/>
      <c r="OTQ36" s="2"/>
      <c r="OTR36" s="2"/>
      <c r="OTS36" s="2"/>
      <c r="OTT36" s="2"/>
      <c r="OTU36" s="2"/>
      <c r="OTV36" s="2"/>
      <c r="OTW36" s="2"/>
      <c r="OTX36" s="2"/>
      <c r="OTY36" s="2"/>
      <c r="OTZ36" s="2"/>
      <c r="OUA36" s="2"/>
      <c r="OUB36" s="2"/>
      <c r="OUC36" s="2"/>
      <c r="OUD36" s="2"/>
      <c r="OUE36" s="2"/>
      <c r="OUF36" s="2"/>
      <c r="OUG36" s="2"/>
      <c r="OUH36" s="2"/>
      <c r="OUI36" s="2"/>
      <c r="OUJ36" s="2"/>
      <c r="OUK36" s="2"/>
      <c r="OUL36" s="2"/>
      <c r="OUM36" s="2"/>
      <c r="OUN36" s="2"/>
      <c r="OUO36" s="2"/>
      <c r="OUP36" s="2"/>
      <c r="OUQ36" s="2"/>
      <c r="OUR36" s="2"/>
      <c r="OUS36" s="2"/>
      <c r="OUT36" s="2"/>
      <c r="OUU36" s="2"/>
      <c r="OUV36" s="2"/>
      <c r="OUW36" s="2"/>
      <c r="OUX36" s="2"/>
      <c r="OUY36" s="2"/>
      <c r="OUZ36" s="2"/>
      <c r="OVA36" s="2"/>
      <c r="OVB36" s="2"/>
      <c r="OVC36" s="2"/>
      <c r="OVD36" s="2"/>
      <c r="OVE36" s="2"/>
      <c r="OVF36" s="2"/>
      <c r="OVG36" s="2"/>
      <c r="OVH36" s="2"/>
      <c r="OVI36" s="2"/>
      <c r="OVJ36" s="2"/>
      <c r="OVK36" s="2"/>
      <c r="OVL36" s="2"/>
      <c r="OVM36" s="2"/>
      <c r="OVN36" s="2"/>
      <c r="OVO36" s="2"/>
      <c r="OVP36" s="2"/>
      <c r="OVQ36" s="2"/>
      <c r="OVR36" s="2"/>
      <c r="OVS36" s="2"/>
      <c r="OVT36" s="2"/>
      <c r="OVU36" s="2"/>
      <c r="OVV36" s="2"/>
      <c r="OVW36" s="2"/>
      <c r="OVX36" s="2"/>
      <c r="OVY36" s="2"/>
      <c r="OVZ36" s="2"/>
      <c r="OWA36" s="2"/>
      <c r="OWB36" s="2"/>
      <c r="OWC36" s="2"/>
      <c r="OWD36" s="2"/>
      <c r="OWE36" s="2"/>
      <c r="OWF36" s="2"/>
      <c r="OWG36" s="2"/>
      <c r="OWH36" s="2"/>
      <c r="OWI36" s="2"/>
      <c r="OWJ36" s="2"/>
      <c r="OWK36" s="2"/>
      <c r="OWL36" s="2"/>
      <c r="OWM36" s="2"/>
      <c r="OWN36" s="2"/>
      <c r="OWO36" s="2"/>
      <c r="OWP36" s="2"/>
      <c r="OWQ36" s="2"/>
      <c r="OWR36" s="2"/>
      <c r="OWS36" s="2"/>
      <c r="OWT36" s="2"/>
      <c r="OWU36" s="2"/>
      <c r="OWV36" s="2"/>
      <c r="OWW36" s="2"/>
      <c r="OWX36" s="2"/>
      <c r="OWY36" s="2"/>
      <c r="OWZ36" s="2"/>
      <c r="OXA36" s="2"/>
      <c r="OXB36" s="2"/>
      <c r="OXC36" s="2"/>
      <c r="OXD36" s="2"/>
      <c r="OXE36" s="2"/>
      <c r="OXF36" s="2"/>
      <c r="OXG36" s="2"/>
      <c r="OXH36" s="2"/>
      <c r="OXI36" s="2"/>
      <c r="OXJ36" s="2"/>
      <c r="OXK36" s="2"/>
      <c r="OXL36" s="2"/>
      <c r="OXM36" s="2"/>
      <c r="OXN36" s="2"/>
      <c r="OXO36" s="2"/>
      <c r="OXP36" s="2"/>
      <c r="OXQ36" s="2"/>
      <c r="OXR36" s="2"/>
      <c r="OXS36" s="2"/>
      <c r="OXT36" s="2"/>
      <c r="OXU36" s="2"/>
      <c r="OXV36" s="2"/>
      <c r="OXW36" s="2"/>
      <c r="OXX36" s="2"/>
      <c r="OXY36" s="2"/>
      <c r="OXZ36" s="2"/>
      <c r="OYA36" s="2"/>
      <c r="OYB36" s="2"/>
      <c r="OYC36" s="2"/>
      <c r="OYD36" s="2"/>
      <c r="OYE36" s="2"/>
      <c r="OYF36" s="2"/>
      <c r="OYG36" s="2"/>
      <c r="OYH36" s="2"/>
      <c r="OYI36" s="2"/>
      <c r="OYJ36" s="2"/>
      <c r="OYK36" s="2"/>
      <c r="OYL36" s="2"/>
      <c r="OYM36" s="2"/>
      <c r="OYN36" s="2"/>
      <c r="OYO36" s="2"/>
      <c r="OYP36" s="2"/>
      <c r="OYQ36" s="2"/>
      <c r="OYR36" s="2"/>
      <c r="OYS36" s="2"/>
      <c r="OYT36" s="2"/>
      <c r="OYU36" s="2"/>
      <c r="OYV36" s="2"/>
      <c r="OYW36" s="2"/>
      <c r="OYX36" s="2"/>
      <c r="OYY36" s="2"/>
      <c r="OYZ36" s="2"/>
      <c r="OZA36" s="2"/>
      <c r="OZB36" s="2"/>
      <c r="OZC36" s="2"/>
      <c r="OZD36" s="2"/>
      <c r="OZE36" s="2"/>
      <c r="OZF36" s="2"/>
      <c r="OZG36" s="2"/>
      <c r="OZH36" s="2"/>
      <c r="OZI36" s="2"/>
      <c r="OZJ36" s="2"/>
      <c r="OZK36" s="2"/>
      <c r="OZL36" s="2"/>
      <c r="OZM36" s="2"/>
      <c r="OZN36" s="2"/>
      <c r="OZO36" s="2"/>
      <c r="OZP36" s="2"/>
      <c r="OZQ36" s="2"/>
      <c r="OZR36" s="2"/>
      <c r="OZS36" s="2"/>
      <c r="OZT36" s="2"/>
      <c r="OZU36" s="2"/>
      <c r="OZV36" s="2"/>
      <c r="OZW36" s="2"/>
      <c r="OZX36" s="2"/>
      <c r="OZY36" s="2"/>
      <c r="OZZ36" s="2"/>
      <c r="PAA36" s="2"/>
      <c r="PAB36" s="2"/>
      <c r="PAC36" s="2"/>
      <c r="PAD36" s="2"/>
      <c r="PAE36" s="2"/>
      <c r="PAF36" s="2"/>
      <c r="PAG36" s="2"/>
      <c r="PAH36" s="2"/>
      <c r="PAI36" s="2"/>
      <c r="PAJ36" s="2"/>
      <c r="PAK36" s="2"/>
      <c r="PAL36" s="2"/>
      <c r="PAM36" s="2"/>
      <c r="PAN36" s="2"/>
      <c r="PAO36" s="2"/>
      <c r="PAP36" s="2"/>
      <c r="PAQ36" s="2"/>
      <c r="PAR36" s="2"/>
      <c r="PAS36" s="2"/>
      <c r="PAT36" s="2"/>
      <c r="PAU36" s="2"/>
      <c r="PAV36" s="2"/>
      <c r="PAW36" s="2"/>
      <c r="PAX36" s="2"/>
      <c r="PAY36" s="2"/>
      <c r="PAZ36" s="2"/>
      <c r="PBA36" s="2"/>
      <c r="PBB36" s="2"/>
      <c r="PBC36" s="2"/>
      <c r="PBD36" s="2"/>
      <c r="PBE36" s="2"/>
      <c r="PBF36" s="2"/>
      <c r="PBG36" s="2"/>
      <c r="PBH36" s="2"/>
      <c r="PBI36" s="2"/>
      <c r="PBJ36" s="2"/>
      <c r="PBK36" s="2"/>
      <c r="PBL36" s="2"/>
      <c r="PBM36" s="2"/>
      <c r="PBN36" s="2"/>
      <c r="PBO36" s="2"/>
      <c r="PBP36" s="2"/>
      <c r="PBQ36" s="2"/>
      <c r="PBR36" s="2"/>
      <c r="PBS36" s="2"/>
      <c r="PBT36" s="2"/>
      <c r="PBU36" s="2"/>
      <c r="PBV36" s="2"/>
      <c r="PBW36" s="2"/>
      <c r="PBX36" s="2"/>
      <c r="PBY36" s="2"/>
      <c r="PBZ36" s="2"/>
      <c r="PCA36" s="2"/>
      <c r="PCB36" s="2"/>
      <c r="PCC36" s="2"/>
      <c r="PCD36" s="2"/>
      <c r="PCE36" s="2"/>
      <c r="PCF36" s="2"/>
      <c r="PCG36" s="2"/>
      <c r="PCH36" s="2"/>
      <c r="PCI36" s="2"/>
      <c r="PCJ36" s="2"/>
      <c r="PCK36" s="2"/>
      <c r="PCL36" s="2"/>
      <c r="PCM36" s="2"/>
      <c r="PCN36" s="2"/>
      <c r="PCO36" s="2"/>
      <c r="PCP36" s="2"/>
      <c r="PCQ36" s="2"/>
      <c r="PCR36" s="2"/>
      <c r="PCS36" s="2"/>
      <c r="PCT36" s="2"/>
      <c r="PCU36" s="2"/>
      <c r="PCV36" s="2"/>
      <c r="PCW36" s="2"/>
      <c r="PCX36" s="2"/>
      <c r="PCY36" s="2"/>
      <c r="PCZ36" s="2"/>
      <c r="PDA36" s="2"/>
      <c r="PDB36" s="2"/>
      <c r="PDC36" s="2"/>
      <c r="PDD36" s="2"/>
      <c r="PDE36" s="2"/>
      <c r="PDF36" s="2"/>
      <c r="PDG36" s="2"/>
      <c r="PDH36" s="2"/>
      <c r="PDI36" s="2"/>
      <c r="PDJ36" s="2"/>
      <c r="PDK36" s="2"/>
      <c r="PDL36" s="2"/>
      <c r="PDM36" s="2"/>
      <c r="PDN36" s="2"/>
      <c r="PDO36" s="2"/>
      <c r="PDP36" s="2"/>
      <c r="PDQ36" s="2"/>
      <c r="PDR36" s="2"/>
      <c r="PDS36" s="2"/>
      <c r="PDT36" s="2"/>
      <c r="PDU36" s="2"/>
      <c r="PDV36" s="2"/>
      <c r="PDW36" s="2"/>
      <c r="PDX36" s="2"/>
      <c r="PDY36" s="2"/>
      <c r="PDZ36" s="2"/>
      <c r="PEA36" s="2"/>
      <c r="PEB36" s="2"/>
      <c r="PEC36" s="2"/>
      <c r="PED36" s="2"/>
      <c r="PEE36" s="2"/>
      <c r="PEF36" s="2"/>
      <c r="PEG36" s="2"/>
      <c r="PEH36" s="2"/>
      <c r="PEI36" s="2"/>
      <c r="PEJ36" s="2"/>
      <c r="PEK36" s="2"/>
      <c r="PEL36" s="2"/>
      <c r="PEM36" s="2"/>
      <c r="PEN36" s="2"/>
      <c r="PEO36" s="2"/>
      <c r="PEP36" s="2"/>
      <c r="PEQ36" s="2"/>
      <c r="PER36" s="2"/>
      <c r="PES36" s="2"/>
      <c r="PET36" s="2"/>
      <c r="PEU36" s="2"/>
      <c r="PEV36" s="2"/>
      <c r="PEW36" s="2"/>
      <c r="PEX36" s="2"/>
      <c r="PEY36" s="2"/>
      <c r="PEZ36" s="2"/>
      <c r="PFA36" s="2"/>
      <c r="PFB36" s="2"/>
      <c r="PFC36" s="2"/>
      <c r="PFD36" s="2"/>
      <c r="PFE36" s="2"/>
      <c r="PFF36" s="2"/>
      <c r="PFG36" s="2"/>
      <c r="PFH36" s="2"/>
      <c r="PFI36" s="2"/>
      <c r="PFJ36" s="2"/>
      <c r="PFK36" s="2"/>
      <c r="PFL36" s="2"/>
      <c r="PFM36" s="2"/>
      <c r="PFN36" s="2"/>
      <c r="PFO36" s="2"/>
      <c r="PFP36" s="2"/>
      <c r="PFQ36" s="2"/>
      <c r="PFR36" s="2"/>
      <c r="PFS36" s="2"/>
      <c r="PFT36" s="2"/>
      <c r="PFU36" s="2"/>
      <c r="PFV36" s="2"/>
      <c r="PFW36" s="2"/>
      <c r="PFX36" s="2"/>
      <c r="PFY36" s="2"/>
      <c r="PFZ36" s="2"/>
      <c r="PGA36" s="2"/>
      <c r="PGB36" s="2"/>
      <c r="PGC36" s="2"/>
      <c r="PGD36" s="2"/>
      <c r="PGE36" s="2"/>
      <c r="PGF36" s="2"/>
      <c r="PGG36" s="2"/>
      <c r="PGH36" s="2"/>
      <c r="PGI36" s="2"/>
      <c r="PGJ36" s="2"/>
      <c r="PGK36" s="2"/>
      <c r="PGL36" s="2"/>
      <c r="PGM36" s="2"/>
      <c r="PGN36" s="2"/>
      <c r="PGO36" s="2"/>
      <c r="PGP36" s="2"/>
      <c r="PGQ36" s="2"/>
      <c r="PGR36" s="2"/>
      <c r="PGS36" s="2"/>
      <c r="PGT36" s="2"/>
      <c r="PGU36" s="2"/>
      <c r="PGV36" s="2"/>
      <c r="PGW36" s="2"/>
      <c r="PGX36" s="2"/>
      <c r="PGY36" s="2"/>
      <c r="PGZ36" s="2"/>
      <c r="PHA36" s="2"/>
      <c r="PHB36" s="2"/>
      <c r="PHC36" s="2"/>
      <c r="PHD36" s="2"/>
      <c r="PHE36" s="2"/>
      <c r="PHF36" s="2"/>
      <c r="PHG36" s="2"/>
      <c r="PHH36" s="2"/>
      <c r="PHI36" s="2"/>
      <c r="PHJ36" s="2"/>
      <c r="PHK36" s="2"/>
      <c r="PHL36" s="2"/>
      <c r="PHM36" s="2"/>
      <c r="PHN36" s="2"/>
      <c r="PHO36" s="2"/>
      <c r="PHP36" s="2"/>
      <c r="PHQ36" s="2"/>
      <c r="PHR36" s="2"/>
      <c r="PHS36" s="2"/>
      <c r="PHT36" s="2"/>
      <c r="PHU36" s="2"/>
      <c r="PHV36" s="2"/>
      <c r="PHW36" s="2"/>
      <c r="PHX36" s="2"/>
      <c r="PHY36" s="2"/>
      <c r="PHZ36" s="2"/>
      <c r="PIA36" s="2"/>
      <c r="PIB36" s="2"/>
      <c r="PIC36" s="2"/>
      <c r="PID36" s="2"/>
      <c r="PIE36" s="2"/>
      <c r="PIF36" s="2"/>
      <c r="PIG36" s="2"/>
      <c r="PIH36" s="2"/>
      <c r="PII36" s="2"/>
      <c r="PIJ36" s="2"/>
      <c r="PIK36" s="2"/>
      <c r="PIL36" s="2"/>
      <c r="PIM36" s="2"/>
      <c r="PIN36" s="2"/>
      <c r="PIO36" s="2"/>
      <c r="PIP36" s="2"/>
      <c r="PIQ36" s="2"/>
      <c r="PIR36" s="2"/>
      <c r="PIS36" s="2"/>
      <c r="PIT36" s="2"/>
      <c r="PIU36" s="2"/>
      <c r="PIV36" s="2"/>
      <c r="PIW36" s="2"/>
      <c r="PIX36" s="2"/>
      <c r="PIY36" s="2"/>
      <c r="PIZ36" s="2"/>
      <c r="PJA36" s="2"/>
      <c r="PJB36" s="2"/>
      <c r="PJC36" s="2"/>
      <c r="PJD36" s="2"/>
      <c r="PJE36" s="2"/>
      <c r="PJF36" s="2"/>
      <c r="PJG36" s="2"/>
      <c r="PJH36" s="2"/>
      <c r="PJI36" s="2"/>
      <c r="PJJ36" s="2"/>
      <c r="PJK36" s="2"/>
      <c r="PJL36" s="2"/>
      <c r="PJM36" s="2"/>
      <c r="PJN36" s="2"/>
      <c r="PJO36" s="2"/>
      <c r="PJP36" s="2"/>
      <c r="PJQ36" s="2"/>
      <c r="PJR36" s="2"/>
      <c r="PJS36" s="2"/>
      <c r="PJT36" s="2"/>
      <c r="PJU36" s="2"/>
      <c r="PJV36" s="2"/>
      <c r="PJW36" s="2"/>
      <c r="PJX36" s="2"/>
      <c r="PJY36" s="2"/>
      <c r="PJZ36" s="2"/>
      <c r="PKA36" s="2"/>
      <c r="PKB36" s="2"/>
      <c r="PKC36" s="2"/>
      <c r="PKD36" s="2"/>
      <c r="PKE36" s="2"/>
      <c r="PKF36" s="2"/>
      <c r="PKG36" s="2"/>
      <c r="PKH36" s="2"/>
      <c r="PKI36" s="2"/>
      <c r="PKJ36" s="2"/>
      <c r="PKK36" s="2"/>
      <c r="PKL36" s="2"/>
      <c r="PKM36" s="2"/>
      <c r="PKN36" s="2"/>
      <c r="PKO36" s="2"/>
      <c r="PKP36" s="2"/>
      <c r="PKQ36" s="2"/>
      <c r="PKR36" s="2"/>
      <c r="PKS36" s="2"/>
      <c r="PKT36" s="2"/>
      <c r="PKU36" s="2"/>
      <c r="PKV36" s="2"/>
      <c r="PKW36" s="2"/>
      <c r="PKX36" s="2"/>
      <c r="PKY36" s="2"/>
      <c r="PKZ36" s="2"/>
      <c r="PLA36" s="2"/>
      <c r="PLB36" s="2"/>
      <c r="PLC36" s="2"/>
      <c r="PLD36" s="2"/>
      <c r="PLE36" s="2"/>
      <c r="PLF36" s="2"/>
      <c r="PLG36" s="2"/>
      <c r="PLH36" s="2"/>
      <c r="PLI36" s="2"/>
      <c r="PLJ36" s="2"/>
      <c r="PLK36" s="2"/>
      <c r="PLL36" s="2"/>
      <c r="PLM36" s="2"/>
      <c r="PLN36" s="2"/>
      <c r="PLO36" s="2"/>
      <c r="PLP36" s="2"/>
      <c r="PLQ36" s="2"/>
      <c r="PLR36" s="2"/>
      <c r="PLS36" s="2"/>
      <c r="PLT36" s="2"/>
      <c r="PLU36" s="2"/>
      <c r="PLV36" s="2"/>
      <c r="PLW36" s="2"/>
      <c r="PLX36" s="2"/>
      <c r="PLY36" s="2"/>
      <c r="PLZ36" s="2"/>
      <c r="PMA36" s="2"/>
      <c r="PMB36" s="2"/>
      <c r="PMC36" s="2"/>
      <c r="PMD36" s="2"/>
      <c r="PME36" s="2"/>
      <c r="PMF36" s="2"/>
      <c r="PMG36" s="2"/>
      <c r="PMH36" s="2"/>
      <c r="PMI36" s="2"/>
      <c r="PMJ36" s="2"/>
      <c r="PMK36" s="2"/>
      <c r="PML36" s="2"/>
      <c r="PMM36" s="2"/>
      <c r="PMN36" s="2"/>
      <c r="PMO36" s="2"/>
      <c r="PMP36" s="2"/>
      <c r="PMQ36" s="2"/>
      <c r="PMR36" s="2"/>
      <c r="PMS36" s="2"/>
      <c r="PMT36" s="2"/>
      <c r="PMU36" s="2"/>
      <c r="PMV36" s="2"/>
      <c r="PMW36" s="2"/>
      <c r="PMX36" s="2"/>
      <c r="PMY36" s="2"/>
      <c r="PMZ36" s="2"/>
      <c r="PNA36" s="2"/>
      <c r="PNB36" s="2"/>
      <c r="PNC36" s="2"/>
      <c r="PND36" s="2"/>
      <c r="PNE36" s="2"/>
      <c r="PNF36" s="2"/>
      <c r="PNG36" s="2"/>
      <c r="PNH36" s="2"/>
      <c r="PNI36" s="2"/>
      <c r="PNJ36" s="2"/>
      <c r="PNK36" s="2"/>
      <c r="PNL36" s="2"/>
      <c r="PNM36" s="2"/>
      <c r="PNN36" s="2"/>
      <c r="PNO36" s="2"/>
      <c r="PNP36" s="2"/>
      <c r="PNQ36" s="2"/>
      <c r="PNR36" s="2"/>
      <c r="PNS36" s="2"/>
      <c r="PNT36" s="2"/>
      <c r="PNU36" s="2"/>
      <c r="PNV36" s="2"/>
      <c r="PNW36" s="2"/>
      <c r="PNX36" s="2"/>
      <c r="PNY36" s="2"/>
      <c r="PNZ36" s="2"/>
      <c r="POA36" s="2"/>
      <c r="POB36" s="2"/>
      <c r="POC36" s="2"/>
      <c r="POD36" s="2"/>
      <c r="POE36" s="2"/>
      <c r="POF36" s="2"/>
      <c r="POG36" s="2"/>
      <c r="POH36" s="2"/>
      <c r="POI36" s="2"/>
      <c r="POJ36" s="2"/>
      <c r="POK36" s="2"/>
      <c r="POL36" s="2"/>
      <c r="POM36" s="2"/>
      <c r="PON36" s="2"/>
      <c r="POO36" s="2"/>
      <c r="POP36" s="2"/>
      <c r="POQ36" s="2"/>
      <c r="POR36" s="2"/>
      <c r="POS36" s="2"/>
      <c r="POT36" s="2"/>
      <c r="POU36" s="2"/>
      <c r="POV36" s="2"/>
      <c r="POW36" s="2"/>
      <c r="POX36" s="2"/>
      <c r="POY36" s="2"/>
      <c r="POZ36" s="2"/>
      <c r="PPA36" s="2"/>
      <c r="PPB36" s="2"/>
      <c r="PPC36" s="2"/>
      <c r="PPD36" s="2"/>
      <c r="PPE36" s="2"/>
      <c r="PPF36" s="2"/>
      <c r="PPG36" s="2"/>
      <c r="PPH36" s="2"/>
      <c r="PPI36" s="2"/>
      <c r="PPJ36" s="2"/>
      <c r="PPK36" s="2"/>
      <c r="PPL36" s="2"/>
      <c r="PPM36" s="2"/>
      <c r="PPN36" s="2"/>
      <c r="PPO36" s="2"/>
      <c r="PPP36" s="2"/>
      <c r="PPQ36" s="2"/>
      <c r="PPR36" s="2"/>
      <c r="PPS36" s="2"/>
      <c r="PPT36" s="2"/>
      <c r="PPU36" s="2"/>
      <c r="PPV36" s="2"/>
      <c r="PPW36" s="2"/>
      <c r="PPX36" s="2"/>
      <c r="PPY36" s="2"/>
      <c r="PPZ36" s="2"/>
      <c r="PQA36" s="2"/>
      <c r="PQB36" s="2"/>
      <c r="PQC36" s="2"/>
      <c r="PQD36" s="2"/>
      <c r="PQE36" s="2"/>
      <c r="PQF36" s="2"/>
      <c r="PQG36" s="2"/>
      <c r="PQH36" s="2"/>
      <c r="PQI36" s="2"/>
      <c r="PQJ36" s="2"/>
      <c r="PQK36" s="2"/>
      <c r="PQL36" s="2"/>
      <c r="PQM36" s="2"/>
      <c r="PQN36" s="2"/>
      <c r="PQO36" s="2"/>
      <c r="PQP36" s="2"/>
      <c r="PQQ36" s="2"/>
      <c r="PQR36" s="2"/>
      <c r="PQS36" s="2"/>
      <c r="PQT36" s="2"/>
      <c r="PQU36" s="2"/>
      <c r="PQV36" s="2"/>
      <c r="PQW36" s="2"/>
      <c r="PQX36" s="2"/>
      <c r="PQY36" s="2"/>
      <c r="PQZ36" s="2"/>
      <c r="PRA36" s="2"/>
      <c r="PRB36" s="2"/>
      <c r="PRC36" s="2"/>
      <c r="PRD36" s="2"/>
      <c r="PRE36" s="2"/>
      <c r="PRF36" s="2"/>
      <c r="PRG36" s="2"/>
      <c r="PRH36" s="2"/>
      <c r="PRI36" s="2"/>
      <c r="PRJ36" s="2"/>
      <c r="PRK36" s="2"/>
      <c r="PRL36" s="2"/>
      <c r="PRM36" s="2"/>
      <c r="PRN36" s="2"/>
      <c r="PRO36" s="2"/>
      <c r="PRP36" s="2"/>
      <c r="PRQ36" s="2"/>
      <c r="PRR36" s="2"/>
      <c r="PRS36" s="2"/>
      <c r="PRT36" s="2"/>
      <c r="PRU36" s="2"/>
      <c r="PRV36" s="2"/>
      <c r="PRW36" s="2"/>
      <c r="PRX36" s="2"/>
      <c r="PRY36" s="2"/>
      <c r="PRZ36" s="2"/>
      <c r="PSA36" s="2"/>
      <c r="PSB36" s="2"/>
      <c r="PSC36" s="2"/>
      <c r="PSD36" s="2"/>
      <c r="PSE36" s="2"/>
      <c r="PSF36" s="2"/>
      <c r="PSG36" s="2"/>
      <c r="PSH36" s="2"/>
      <c r="PSI36" s="2"/>
      <c r="PSJ36" s="2"/>
      <c r="PSK36" s="2"/>
      <c r="PSL36" s="2"/>
      <c r="PSM36" s="2"/>
      <c r="PSN36" s="2"/>
      <c r="PSO36" s="2"/>
      <c r="PSP36" s="2"/>
      <c r="PSQ36" s="2"/>
      <c r="PSR36" s="2"/>
      <c r="PSS36" s="2"/>
      <c r="PST36" s="2"/>
      <c r="PSU36" s="2"/>
      <c r="PSV36" s="2"/>
      <c r="PSW36" s="2"/>
      <c r="PSX36" s="2"/>
      <c r="PSY36" s="2"/>
      <c r="PSZ36" s="2"/>
      <c r="PTA36" s="2"/>
      <c r="PTB36" s="2"/>
      <c r="PTC36" s="2"/>
      <c r="PTD36" s="2"/>
      <c r="PTE36" s="2"/>
      <c r="PTF36" s="2"/>
      <c r="PTG36" s="2"/>
      <c r="PTH36" s="2"/>
      <c r="PTI36" s="2"/>
      <c r="PTJ36" s="2"/>
      <c r="PTK36" s="2"/>
      <c r="PTL36" s="2"/>
      <c r="PTM36" s="2"/>
      <c r="PTN36" s="2"/>
      <c r="PTO36" s="2"/>
      <c r="PTP36" s="2"/>
      <c r="PTQ36" s="2"/>
      <c r="PTR36" s="2"/>
      <c r="PTS36" s="2"/>
      <c r="PTT36" s="2"/>
      <c r="PTU36" s="2"/>
      <c r="PTV36" s="2"/>
      <c r="PTW36" s="2"/>
      <c r="PTX36" s="2"/>
      <c r="PTY36" s="2"/>
      <c r="PTZ36" s="2"/>
      <c r="PUA36" s="2"/>
      <c r="PUB36" s="2"/>
      <c r="PUC36" s="2"/>
      <c r="PUD36" s="2"/>
      <c r="PUE36" s="2"/>
      <c r="PUF36" s="2"/>
      <c r="PUG36" s="2"/>
      <c r="PUH36" s="2"/>
      <c r="PUI36" s="2"/>
      <c r="PUJ36" s="2"/>
      <c r="PUK36" s="2"/>
      <c r="PUL36" s="2"/>
      <c r="PUM36" s="2"/>
      <c r="PUN36" s="2"/>
      <c r="PUO36" s="2"/>
      <c r="PUP36" s="2"/>
      <c r="PUQ36" s="2"/>
      <c r="PUR36" s="2"/>
      <c r="PUS36" s="2"/>
      <c r="PUT36" s="2"/>
      <c r="PUU36" s="2"/>
      <c r="PUV36" s="2"/>
      <c r="PUW36" s="2"/>
      <c r="PUX36" s="2"/>
      <c r="PUY36" s="2"/>
      <c r="PUZ36" s="2"/>
      <c r="PVA36" s="2"/>
      <c r="PVB36" s="2"/>
      <c r="PVC36" s="2"/>
      <c r="PVD36" s="2"/>
      <c r="PVE36" s="2"/>
      <c r="PVF36" s="2"/>
      <c r="PVG36" s="2"/>
      <c r="PVH36" s="2"/>
      <c r="PVI36" s="2"/>
      <c r="PVJ36" s="2"/>
      <c r="PVK36" s="2"/>
      <c r="PVL36" s="2"/>
      <c r="PVM36" s="2"/>
      <c r="PVN36" s="2"/>
      <c r="PVO36" s="2"/>
      <c r="PVP36" s="2"/>
      <c r="PVQ36" s="2"/>
      <c r="PVR36" s="2"/>
      <c r="PVS36" s="2"/>
      <c r="PVT36" s="2"/>
      <c r="PVU36" s="2"/>
      <c r="PVV36" s="2"/>
      <c r="PVW36" s="2"/>
      <c r="PVX36" s="2"/>
      <c r="PVY36" s="2"/>
      <c r="PVZ36" s="2"/>
      <c r="PWA36" s="2"/>
      <c r="PWB36" s="2"/>
      <c r="PWC36" s="2"/>
      <c r="PWD36" s="2"/>
      <c r="PWE36" s="2"/>
      <c r="PWF36" s="2"/>
      <c r="PWG36" s="2"/>
      <c r="PWH36" s="2"/>
      <c r="PWI36" s="2"/>
      <c r="PWJ36" s="2"/>
      <c r="PWK36" s="2"/>
      <c r="PWL36" s="2"/>
      <c r="PWM36" s="2"/>
      <c r="PWN36" s="2"/>
      <c r="PWO36" s="2"/>
      <c r="PWP36" s="2"/>
      <c r="PWQ36" s="2"/>
      <c r="PWR36" s="2"/>
      <c r="PWS36" s="2"/>
      <c r="PWT36" s="2"/>
      <c r="PWU36" s="2"/>
      <c r="PWV36" s="2"/>
      <c r="PWW36" s="2"/>
      <c r="PWX36" s="2"/>
      <c r="PWY36" s="2"/>
      <c r="PWZ36" s="2"/>
      <c r="PXA36" s="2"/>
      <c r="PXB36" s="2"/>
      <c r="PXC36" s="2"/>
      <c r="PXD36" s="2"/>
      <c r="PXE36" s="2"/>
      <c r="PXF36" s="2"/>
      <c r="PXG36" s="2"/>
      <c r="PXH36" s="2"/>
      <c r="PXI36" s="2"/>
      <c r="PXJ36" s="2"/>
      <c r="PXK36" s="2"/>
      <c r="PXL36" s="2"/>
      <c r="PXM36" s="2"/>
      <c r="PXN36" s="2"/>
      <c r="PXO36" s="2"/>
      <c r="PXP36" s="2"/>
      <c r="PXQ36" s="2"/>
      <c r="PXR36" s="2"/>
      <c r="PXS36" s="2"/>
      <c r="PXT36" s="2"/>
      <c r="PXU36" s="2"/>
      <c r="PXV36" s="2"/>
      <c r="PXW36" s="2"/>
      <c r="PXX36" s="2"/>
      <c r="PXY36" s="2"/>
      <c r="PXZ36" s="2"/>
      <c r="PYA36" s="2"/>
      <c r="PYB36" s="2"/>
      <c r="PYC36" s="2"/>
      <c r="PYD36" s="2"/>
      <c r="PYE36" s="2"/>
      <c r="PYF36" s="2"/>
      <c r="PYG36" s="2"/>
      <c r="PYH36" s="2"/>
      <c r="PYI36" s="2"/>
      <c r="PYJ36" s="2"/>
      <c r="PYK36" s="2"/>
      <c r="PYL36" s="2"/>
      <c r="PYM36" s="2"/>
      <c r="PYN36" s="2"/>
      <c r="PYO36" s="2"/>
      <c r="PYP36" s="2"/>
      <c r="PYQ36" s="2"/>
      <c r="PYR36" s="2"/>
      <c r="PYS36" s="2"/>
      <c r="PYT36" s="2"/>
      <c r="PYU36" s="2"/>
      <c r="PYV36" s="2"/>
      <c r="PYW36" s="2"/>
      <c r="PYX36" s="2"/>
      <c r="PYY36" s="2"/>
      <c r="PYZ36" s="2"/>
      <c r="PZA36" s="2"/>
      <c r="PZB36" s="2"/>
      <c r="PZC36" s="2"/>
      <c r="PZD36" s="2"/>
      <c r="PZE36" s="2"/>
      <c r="PZF36" s="2"/>
      <c r="PZG36" s="2"/>
      <c r="PZH36" s="2"/>
      <c r="PZI36" s="2"/>
      <c r="PZJ36" s="2"/>
      <c r="PZK36" s="2"/>
      <c r="PZL36" s="2"/>
      <c r="PZM36" s="2"/>
      <c r="PZN36" s="2"/>
      <c r="PZO36" s="2"/>
      <c r="PZP36" s="2"/>
      <c r="PZQ36" s="2"/>
      <c r="PZR36" s="2"/>
      <c r="PZS36" s="2"/>
      <c r="PZT36" s="2"/>
      <c r="PZU36" s="2"/>
      <c r="PZV36" s="2"/>
      <c r="PZW36" s="2"/>
      <c r="PZX36" s="2"/>
      <c r="PZY36" s="2"/>
      <c r="PZZ36" s="2"/>
      <c r="QAA36" s="2"/>
      <c r="QAB36" s="2"/>
      <c r="QAC36" s="2"/>
      <c r="QAD36" s="2"/>
      <c r="QAE36" s="2"/>
      <c r="QAF36" s="2"/>
      <c r="QAG36" s="2"/>
      <c r="QAH36" s="2"/>
      <c r="QAI36" s="2"/>
      <c r="QAJ36" s="2"/>
      <c r="QAK36" s="2"/>
      <c r="QAL36" s="2"/>
      <c r="QAM36" s="2"/>
      <c r="QAN36" s="2"/>
      <c r="QAO36" s="2"/>
      <c r="QAP36" s="2"/>
      <c r="QAQ36" s="2"/>
      <c r="QAR36" s="2"/>
      <c r="QAS36" s="2"/>
      <c r="QAT36" s="2"/>
      <c r="QAU36" s="2"/>
      <c r="QAV36" s="2"/>
      <c r="QAW36" s="2"/>
      <c r="QAX36" s="2"/>
      <c r="QAY36" s="2"/>
      <c r="QAZ36" s="2"/>
      <c r="QBA36" s="2"/>
      <c r="QBB36" s="2"/>
      <c r="QBC36" s="2"/>
      <c r="QBD36" s="2"/>
      <c r="QBE36" s="2"/>
      <c r="QBF36" s="2"/>
      <c r="QBG36" s="2"/>
      <c r="QBH36" s="2"/>
      <c r="QBI36" s="2"/>
      <c r="QBJ36" s="2"/>
      <c r="QBK36" s="2"/>
      <c r="QBL36" s="2"/>
      <c r="QBM36" s="2"/>
      <c r="QBN36" s="2"/>
      <c r="QBO36" s="2"/>
      <c r="QBP36" s="2"/>
      <c r="QBQ36" s="2"/>
      <c r="QBR36" s="2"/>
      <c r="QBS36" s="2"/>
      <c r="QBT36" s="2"/>
      <c r="QBU36" s="2"/>
      <c r="QBV36" s="2"/>
      <c r="QBW36" s="2"/>
      <c r="QBX36" s="2"/>
      <c r="QBY36" s="2"/>
      <c r="QBZ36" s="2"/>
      <c r="QCA36" s="2"/>
      <c r="QCB36" s="2"/>
      <c r="QCC36" s="2"/>
      <c r="QCD36" s="2"/>
      <c r="QCE36" s="2"/>
      <c r="QCF36" s="2"/>
      <c r="QCG36" s="2"/>
      <c r="QCH36" s="2"/>
      <c r="QCI36" s="2"/>
      <c r="QCJ36" s="2"/>
      <c r="QCK36" s="2"/>
      <c r="QCL36" s="2"/>
      <c r="QCM36" s="2"/>
      <c r="QCN36" s="2"/>
      <c r="QCO36" s="2"/>
      <c r="QCP36" s="2"/>
      <c r="QCQ36" s="2"/>
      <c r="QCR36" s="2"/>
      <c r="QCS36" s="2"/>
      <c r="QCT36" s="2"/>
      <c r="QCU36" s="2"/>
      <c r="QCV36" s="2"/>
      <c r="QCW36" s="2"/>
      <c r="QCX36" s="2"/>
      <c r="QCY36" s="2"/>
      <c r="QCZ36" s="2"/>
      <c r="QDA36" s="2"/>
      <c r="QDB36" s="2"/>
      <c r="QDC36" s="2"/>
      <c r="QDD36" s="2"/>
      <c r="QDE36" s="2"/>
      <c r="QDF36" s="2"/>
      <c r="QDG36" s="2"/>
      <c r="QDH36" s="2"/>
      <c r="QDI36" s="2"/>
      <c r="QDJ36" s="2"/>
      <c r="QDK36" s="2"/>
      <c r="QDL36" s="2"/>
      <c r="QDM36" s="2"/>
      <c r="QDN36" s="2"/>
      <c r="QDO36" s="2"/>
      <c r="QDP36" s="2"/>
      <c r="QDQ36" s="2"/>
      <c r="QDR36" s="2"/>
      <c r="QDS36" s="2"/>
      <c r="QDT36" s="2"/>
      <c r="QDU36" s="2"/>
      <c r="QDV36" s="2"/>
      <c r="QDW36" s="2"/>
      <c r="QDX36" s="2"/>
      <c r="QDY36" s="2"/>
      <c r="QDZ36" s="2"/>
      <c r="QEA36" s="2"/>
      <c r="QEB36" s="2"/>
      <c r="QEC36" s="2"/>
      <c r="QED36" s="2"/>
      <c r="QEE36" s="2"/>
      <c r="QEF36" s="2"/>
      <c r="QEG36" s="2"/>
      <c r="QEH36" s="2"/>
      <c r="QEI36" s="2"/>
      <c r="QEJ36" s="2"/>
      <c r="QEK36" s="2"/>
      <c r="QEL36" s="2"/>
      <c r="QEM36" s="2"/>
      <c r="QEN36" s="2"/>
      <c r="QEO36" s="2"/>
      <c r="QEP36" s="2"/>
      <c r="QEQ36" s="2"/>
      <c r="QER36" s="2"/>
      <c r="QES36" s="2"/>
      <c r="QET36" s="2"/>
      <c r="QEU36" s="2"/>
      <c r="QEV36" s="2"/>
      <c r="QEW36" s="2"/>
      <c r="QEX36" s="2"/>
      <c r="QEY36" s="2"/>
      <c r="QEZ36" s="2"/>
      <c r="QFA36" s="2"/>
      <c r="QFB36" s="2"/>
      <c r="QFC36" s="2"/>
      <c r="QFD36" s="2"/>
      <c r="QFE36" s="2"/>
      <c r="QFF36" s="2"/>
      <c r="QFG36" s="2"/>
      <c r="QFH36" s="2"/>
      <c r="QFI36" s="2"/>
      <c r="QFJ36" s="2"/>
      <c r="QFK36" s="2"/>
      <c r="QFL36" s="2"/>
      <c r="QFM36" s="2"/>
      <c r="QFN36" s="2"/>
      <c r="QFO36" s="2"/>
      <c r="QFP36" s="2"/>
      <c r="QFQ36" s="2"/>
      <c r="QFR36" s="2"/>
      <c r="QFS36" s="2"/>
      <c r="QFT36" s="2"/>
      <c r="QFU36" s="2"/>
      <c r="QFV36" s="2"/>
      <c r="QFW36" s="2"/>
      <c r="QFX36" s="2"/>
      <c r="QFY36" s="2"/>
      <c r="QFZ36" s="2"/>
      <c r="QGA36" s="2"/>
      <c r="QGB36" s="2"/>
      <c r="QGC36" s="2"/>
      <c r="QGD36" s="2"/>
      <c r="QGE36" s="2"/>
      <c r="QGF36" s="2"/>
      <c r="QGG36" s="2"/>
      <c r="QGH36" s="2"/>
      <c r="QGI36" s="2"/>
      <c r="QGJ36" s="2"/>
      <c r="QGK36" s="2"/>
      <c r="QGL36" s="2"/>
      <c r="QGM36" s="2"/>
      <c r="QGN36" s="2"/>
      <c r="QGO36" s="2"/>
      <c r="QGP36" s="2"/>
      <c r="QGQ36" s="2"/>
      <c r="QGR36" s="2"/>
      <c r="QGS36" s="2"/>
      <c r="QGT36" s="2"/>
      <c r="QGU36" s="2"/>
      <c r="QGV36" s="2"/>
      <c r="QGW36" s="2"/>
      <c r="QGX36" s="2"/>
      <c r="QGY36" s="2"/>
      <c r="QGZ36" s="2"/>
      <c r="QHA36" s="2"/>
      <c r="QHB36" s="2"/>
      <c r="QHC36" s="2"/>
      <c r="QHD36" s="2"/>
      <c r="QHE36" s="2"/>
      <c r="QHF36" s="2"/>
      <c r="QHG36" s="2"/>
      <c r="QHH36" s="2"/>
      <c r="QHI36" s="2"/>
      <c r="QHJ36" s="2"/>
      <c r="QHK36" s="2"/>
      <c r="QHL36" s="2"/>
      <c r="QHM36" s="2"/>
      <c r="QHN36" s="2"/>
      <c r="QHO36" s="2"/>
      <c r="QHP36" s="2"/>
      <c r="QHQ36" s="2"/>
      <c r="QHR36" s="2"/>
      <c r="QHS36" s="2"/>
      <c r="QHT36" s="2"/>
      <c r="QHU36" s="2"/>
      <c r="QHV36" s="2"/>
      <c r="QHW36" s="2"/>
      <c r="QHX36" s="2"/>
      <c r="QHY36" s="2"/>
      <c r="QHZ36" s="2"/>
      <c r="QIA36" s="2"/>
      <c r="QIB36" s="2"/>
      <c r="QIC36" s="2"/>
      <c r="QID36" s="2"/>
      <c r="QIE36" s="2"/>
      <c r="QIF36" s="2"/>
      <c r="QIG36" s="2"/>
      <c r="QIH36" s="2"/>
      <c r="QII36" s="2"/>
      <c r="QIJ36" s="2"/>
      <c r="QIK36" s="2"/>
      <c r="QIL36" s="2"/>
      <c r="QIM36" s="2"/>
      <c r="QIN36" s="2"/>
      <c r="QIO36" s="2"/>
      <c r="QIP36" s="2"/>
      <c r="QIQ36" s="2"/>
      <c r="QIR36" s="2"/>
      <c r="QIS36" s="2"/>
      <c r="QIT36" s="2"/>
      <c r="QIU36" s="2"/>
      <c r="QIV36" s="2"/>
      <c r="QIW36" s="2"/>
      <c r="QIX36" s="2"/>
      <c r="QIY36" s="2"/>
      <c r="QIZ36" s="2"/>
      <c r="QJA36" s="2"/>
      <c r="QJB36" s="2"/>
      <c r="QJC36" s="2"/>
      <c r="QJD36" s="2"/>
      <c r="QJE36" s="2"/>
      <c r="QJF36" s="2"/>
      <c r="QJG36" s="2"/>
      <c r="QJH36" s="2"/>
      <c r="QJI36" s="2"/>
      <c r="QJJ36" s="2"/>
      <c r="QJK36" s="2"/>
      <c r="QJL36" s="2"/>
      <c r="QJM36" s="2"/>
      <c r="QJN36" s="2"/>
      <c r="QJO36" s="2"/>
      <c r="QJP36" s="2"/>
      <c r="QJQ36" s="2"/>
      <c r="QJR36" s="2"/>
      <c r="QJS36" s="2"/>
      <c r="QJT36" s="2"/>
      <c r="QJU36" s="2"/>
      <c r="QJV36" s="2"/>
      <c r="QJW36" s="2"/>
      <c r="QJX36" s="2"/>
      <c r="QJY36" s="2"/>
      <c r="QJZ36" s="2"/>
      <c r="QKA36" s="2"/>
      <c r="QKB36" s="2"/>
      <c r="QKC36" s="2"/>
      <c r="QKD36" s="2"/>
      <c r="QKE36" s="2"/>
      <c r="QKF36" s="2"/>
      <c r="QKG36" s="2"/>
      <c r="QKH36" s="2"/>
      <c r="QKI36" s="2"/>
      <c r="QKJ36" s="2"/>
      <c r="QKK36" s="2"/>
      <c r="QKL36" s="2"/>
      <c r="QKM36" s="2"/>
      <c r="QKN36" s="2"/>
      <c r="QKO36" s="2"/>
      <c r="QKP36" s="2"/>
      <c r="QKQ36" s="2"/>
      <c r="QKR36" s="2"/>
      <c r="QKS36" s="2"/>
      <c r="QKT36" s="2"/>
      <c r="QKU36" s="2"/>
      <c r="QKV36" s="2"/>
      <c r="QKW36" s="2"/>
      <c r="QKX36" s="2"/>
      <c r="QKY36" s="2"/>
      <c r="QKZ36" s="2"/>
      <c r="QLA36" s="2"/>
      <c r="QLB36" s="2"/>
      <c r="QLC36" s="2"/>
      <c r="QLD36" s="2"/>
      <c r="QLE36" s="2"/>
      <c r="QLF36" s="2"/>
      <c r="QLG36" s="2"/>
      <c r="QLH36" s="2"/>
      <c r="QLI36" s="2"/>
      <c r="QLJ36" s="2"/>
      <c r="QLK36" s="2"/>
      <c r="QLL36" s="2"/>
      <c r="QLM36" s="2"/>
      <c r="QLN36" s="2"/>
      <c r="QLO36" s="2"/>
      <c r="QLP36" s="2"/>
      <c r="QLQ36" s="2"/>
      <c r="QLR36" s="2"/>
      <c r="QLS36" s="2"/>
      <c r="QLT36" s="2"/>
      <c r="QLU36" s="2"/>
      <c r="QLV36" s="2"/>
      <c r="QLW36" s="2"/>
      <c r="QLX36" s="2"/>
      <c r="QLY36" s="2"/>
      <c r="QLZ36" s="2"/>
      <c r="QMA36" s="2"/>
      <c r="QMB36" s="2"/>
      <c r="QMC36" s="2"/>
      <c r="QMD36" s="2"/>
      <c r="QME36" s="2"/>
      <c r="QMF36" s="2"/>
      <c r="QMG36" s="2"/>
      <c r="QMH36" s="2"/>
      <c r="QMI36" s="2"/>
      <c r="QMJ36" s="2"/>
      <c r="QMK36" s="2"/>
      <c r="QML36" s="2"/>
      <c r="QMM36" s="2"/>
      <c r="QMN36" s="2"/>
      <c r="QMO36" s="2"/>
      <c r="QMP36" s="2"/>
      <c r="QMQ36" s="2"/>
      <c r="QMR36" s="2"/>
      <c r="QMS36" s="2"/>
      <c r="QMT36" s="2"/>
      <c r="QMU36" s="2"/>
      <c r="QMV36" s="2"/>
      <c r="QMW36" s="2"/>
      <c r="QMX36" s="2"/>
      <c r="QMY36" s="2"/>
      <c r="QMZ36" s="2"/>
      <c r="QNA36" s="2"/>
      <c r="QNB36" s="2"/>
      <c r="QNC36" s="2"/>
      <c r="QND36" s="2"/>
      <c r="QNE36" s="2"/>
      <c r="QNF36" s="2"/>
      <c r="QNG36" s="2"/>
      <c r="QNH36" s="2"/>
      <c r="QNI36" s="2"/>
      <c r="QNJ36" s="2"/>
      <c r="QNK36" s="2"/>
      <c r="QNL36" s="2"/>
      <c r="QNM36" s="2"/>
      <c r="QNN36" s="2"/>
      <c r="QNO36" s="2"/>
      <c r="QNP36" s="2"/>
      <c r="QNQ36" s="2"/>
      <c r="QNR36" s="2"/>
      <c r="QNS36" s="2"/>
      <c r="QNT36" s="2"/>
      <c r="QNU36" s="2"/>
      <c r="QNV36" s="2"/>
      <c r="QNW36" s="2"/>
      <c r="QNX36" s="2"/>
      <c r="QNY36" s="2"/>
      <c r="QNZ36" s="2"/>
      <c r="QOA36" s="2"/>
      <c r="QOB36" s="2"/>
      <c r="QOC36" s="2"/>
      <c r="QOD36" s="2"/>
      <c r="QOE36" s="2"/>
      <c r="QOF36" s="2"/>
      <c r="QOG36" s="2"/>
      <c r="QOH36" s="2"/>
      <c r="QOI36" s="2"/>
      <c r="QOJ36" s="2"/>
      <c r="QOK36" s="2"/>
      <c r="QOL36" s="2"/>
      <c r="QOM36" s="2"/>
      <c r="QON36" s="2"/>
      <c r="QOO36" s="2"/>
      <c r="QOP36" s="2"/>
      <c r="QOQ36" s="2"/>
      <c r="QOR36" s="2"/>
      <c r="QOS36" s="2"/>
      <c r="QOT36" s="2"/>
      <c r="QOU36" s="2"/>
      <c r="QOV36" s="2"/>
      <c r="QOW36" s="2"/>
      <c r="QOX36" s="2"/>
      <c r="QOY36" s="2"/>
      <c r="QOZ36" s="2"/>
      <c r="QPA36" s="2"/>
      <c r="QPB36" s="2"/>
      <c r="QPC36" s="2"/>
      <c r="QPD36" s="2"/>
      <c r="QPE36" s="2"/>
      <c r="QPF36" s="2"/>
      <c r="QPG36" s="2"/>
      <c r="QPH36" s="2"/>
      <c r="QPI36" s="2"/>
      <c r="QPJ36" s="2"/>
      <c r="QPK36" s="2"/>
      <c r="QPL36" s="2"/>
      <c r="QPM36" s="2"/>
      <c r="QPN36" s="2"/>
      <c r="QPO36" s="2"/>
      <c r="QPP36" s="2"/>
      <c r="QPQ36" s="2"/>
      <c r="QPR36" s="2"/>
      <c r="QPS36" s="2"/>
      <c r="QPT36" s="2"/>
      <c r="QPU36" s="2"/>
      <c r="QPV36" s="2"/>
      <c r="QPW36" s="2"/>
      <c r="QPX36" s="2"/>
      <c r="QPY36" s="2"/>
      <c r="QPZ36" s="2"/>
      <c r="QQA36" s="2"/>
      <c r="QQB36" s="2"/>
      <c r="QQC36" s="2"/>
      <c r="QQD36" s="2"/>
      <c r="QQE36" s="2"/>
      <c r="QQF36" s="2"/>
      <c r="QQG36" s="2"/>
      <c r="QQH36" s="2"/>
      <c r="QQI36" s="2"/>
      <c r="QQJ36" s="2"/>
      <c r="QQK36" s="2"/>
      <c r="QQL36" s="2"/>
      <c r="QQM36" s="2"/>
      <c r="QQN36" s="2"/>
      <c r="QQO36" s="2"/>
      <c r="QQP36" s="2"/>
      <c r="QQQ36" s="2"/>
      <c r="QQR36" s="2"/>
      <c r="QQS36" s="2"/>
      <c r="QQT36" s="2"/>
      <c r="QQU36" s="2"/>
      <c r="QQV36" s="2"/>
      <c r="QQW36" s="2"/>
      <c r="QQX36" s="2"/>
      <c r="QQY36" s="2"/>
      <c r="QQZ36" s="2"/>
      <c r="QRA36" s="2"/>
      <c r="QRB36" s="2"/>
      <c r="QRC36" s="2"/>
      <c r="QRD36" s="2"/>
      <c r="QRE36" s="2"/>
      <c r="QRF36" s="2"/>
      <c r="QRG36" s="2"/>
      <c r="QRH36" s="2"/>
      <c r="QRI36" s="2"/>
      <c r="QRJ36" s="2"/>
      <c r="QRK36" s="2"/>
      <c r="QRL36" s="2"/>
      <c r="QRM36" s="2"/>
      <c r="QRN36" s="2"/>
      <c r="QRO36" s="2"/>
      <c r="QRP36" s="2"/>
      <c r="QRQ36" s="2"/>
      <c r="QRR36" s="2"/>
      <c r="QRS36" s="2"/>
      <c r="QRT36" s="2"/>
      <c r="QRU36" s="2"/>
      <c r="QRV36" s="2"/>
      <c r="QRW36" s="2"/>
      <c r="QRX36" s="2"/>
      <c r="QRY36" s="2"/>
      <c r="QRZ36" s="2"/>
      <c r="QSA36" s="2"/>
      <c r="QSB36" s="2"/>
      <c r="QSC36" s="2"/>
      <c r="QSD36" s="2"/>
      <c r="QSE36" s="2"/>
      <c r="QSF36" s="2"/>
      <c r="QSG36" s="2"/>
      <c r="QSH36" s="2"/>
      <c r="QSI36" s="2"/>
      <c r="QSJ36" s="2"/>
      <c r="QSK36" s="2"/>
      <c r="QSL36" s="2"/>
      <c r="QSM36" s="2"/>
      <c r="QSN36" s="2"/>
      <c r="QSO36" s="2"/>
      <c r="QSP36" s="2"/>
      <c r="QSQ36" s="2"/>
      <c r="QSR36" s="2"/>
      <c r="QSS36" s="2"/>
      <c r="QST36" s="2"/>
      <c r="QSU36" s="2"/>
      <c r="QSV36" s="2"/>
      <c r="QSW36" s="2"/>
      <c r="QSX36" s="2"/>
      <c r="QSY36" s="2"/>
      <c r="QSZ36" s="2"/>
      <c r="QTA36" s="2"/>
      <c r="QTB36" s="2"/>
      <c r="QTC36" s="2"/>
      <c r="QTD36" s="2"/>
      <c r="QTE36" s="2"/>
      <c r="QTF36" s="2"/>
      <c r="QTG36" s="2"/>
      <c r="QTH36" s="2"/>
      <c r="QTI36" s="2"/>
      <c r="QTJ36" s="2"/>
      <c r="QTK36" s="2"/>
      <c r="QTL36" s="2"/>
      <c r="QTM36" s="2"/>
      <c r="QTN36" s="2"/>
      <c r="QTO36" s="2"/>
      <c r="QTP36" s="2"/>
      <c r="QTQ36" s="2"/>
      <c r="QTR36" s="2"/>
      <c r="QTS36" s="2"/>
      <c r="QTT36" s="2"/>
      <c r="QTU36" s="2"/>
      <c r="QTV36" s="2"/>
      <c r="QTW36" s="2"/>
      <c r="QTX36" s="2"/>
      <c r="QTY36" s="2"/>
      <c r="QTZ36" s="2"/>
      <c r="QUA36" s="2"/>
      <c r="QUB36" s="2"/>
      <c r="QUC36" s="2"/>
      <c r="QUD36" s="2"/>
      <c r="QUE36" s="2"/>
      <c r="QUF36" s="2"/>
      <c r="QUG36" s="2"/>
      <c r="QUH36" s="2"/>
      <c r="QUI36" s="2"/>
      <c r="QUJ36" s="2"/>
      <c r="QUK36" s="2"/>
      <c r="QUL36" s="2"/>
      <c r="QUM36" s="2"/>
      <c r="QUN36" s="2"/>
      <c r="QUO36" s="2"/>
      <c r="QUP36" s="2"/>
      <c r="QUQ36" s="2"/>
      <c r="QUR36" s="2"/>
      <c r="QUS36" s="2"/>
      <c r="QUT36" s="2"/>
      <c r="QUU36" s="2"/>
      <c r="QUV36" s="2"/>
      <c r="QUW36" s="2"/>
      <c r="QUX36" s="2"/>
      <c r="QUY36" s="2"/>
      <c r="QUZ36" s="2"/>
      <c r="QVA36" s="2"/>
      <c r="QVB36" s="2"/>
      <c r="QVC36" s="2"/>
      <c r="QVD36" s="2"/>
      <c r="QVE36" s="2"/>
      <c r="QVF36" s="2"/>
      <c r="QVG36" s="2"/>
      <c r="QVH36" s="2"/>
      <c r="QVI36" s="2"/>
      <c r="QVJ36" s="2"/>
      <c r="QVK36" s="2"/>
      <c r="QVL36" s="2"/>
      <c r="QVM36" s="2"/>
      <c r="QVN36" s="2"/>
      <c r="QVO36" s="2"/>
      <c r="QVP36" s="2"/>
      <c r="QVQ36" s="2"/>
      <c r="QVR36" s="2"/>
      <c r="QVS36" s="2"/>
      <c r="QVT36" s="2"/>
      <c r="QVU36" s="2"/>
      <c r="QVV36" s="2"/>
      <c r="QVW36" s="2"/>
      <c r="QVX36" s="2"/>
      <c r="QVY36" s="2"/>
      <c r="QVZ36" s="2"/>
      <c r="QWA36" s="2"/>
      <c r="QWB36" s="2"/>
      <c r="QWC36" s="2"/>
      <c r="QWD36" s="2"/>
      <c r="QWE36" s="2"/>
      <c r="QWF36" s="2"/>
      <c r="QWG36" s="2"/>
      <c r="QWH36" s="2"/>
      <c r="QWI36" s="2"/>
      <c r="QWJ36" s="2"/>
      <c r="QWK36" s="2"/>
      <c r="QWL36" s="2"/>
      <c r="QWM36" s="2"/>
      <c r="QWN36" s="2"/>
      <c r="QWO36" s="2"/>
      <c r="QWP36" s="2"/>
      <c r="QWQ36" s="2"/>
      <c r="QWR36" s="2"/>
      <c r="QWS36" s="2"/>
      <c r="QWT36" s="2"/>
      <c r="QWU36" s="2"/>
      <c r="QWV36" s="2"/>
      <c r="QWW36" s="2"/>
      <c r="QWX36" s="2"/>
      <c r="QWY36" s="2"/>
      <c r="QWZ36" s="2"/>
      <c r="QXA36" s="2"/>
      <c r="QXB36" s="2"/>
      <c r="QXC36" s="2"/>
      <c r="QXD36" s="2"/>
      <c r="QXE36" s="2"/>
      <c r="QXF36" s="2"/>
      <c r="QXG36" s="2"/>
      <c r="QXH36" s="2"/>
      <c r="QXI36" s="2"/>
      <c r="QXJ36" s="2"/>
      <c r="QXK36" s="2"/>
      <c r="QXL36" s="2"/>
      <c r="QXM36" s="2"/>
      <c r="QXN36" s="2"/>
      <c r="QXO36" s="2"/>
      <c r="QXP36" s="2"/>
      <c r="QXQ36" s="2"/>
      <c r="QXR36" s="2"/>
      <c r="QXS36" s="2"/>
      <c r="QXT36" s="2"/>
      <c r="QXU36" s="2"/>
      <c r="QXV36" s="2"/>
      <c r="QXW36" s="2"/>
      <c r="QXX36" s="2"/>
      <c r="QXY36" s="2"/>
      <c r="QXZ36" s="2"/>
      <c r="QYA36" s="2"/>
      <c r="QYB36" s="2"/>
      <c r="QYC36" s="2"/>
      <c r="QYD36" s="2"/>
      <c r="QYE36" s="2"/>
      <c r="QYF36" s="2"/>
      <c r="QYG36" s="2"/>
      <c r="QYH36" s="2"/>
      <c r="QYI36" s="2"/>
      <c r="QYJ36" s="2"/>
      <c r="QYK36" s="2"/>
      <c r="QYL36" s="2"/>
      <c r="QYM36" s="2"/>
      <c r="QYN36" s="2"/>
      <c r="QYO36" s="2"/>
      <c r="QYP36" s="2"/>
      <c r="QYQ36" s="2"/>
      <c r="QYR36" s="2"/>
      <c r="QYS36" s="2"/>
      <c r="QYT36" s="2"/>
      <c r="QYU36" s="2"/>
      <c r="QYV36" s="2"/>
      <c r="QYW36" s="2"/>
      <c r="QYX36" s="2"/>
      <c r="QYY36" s="2"/>
      <c r="QYZ36" s="2"/>
      <c r="QZA36" s="2"/>
      <c r="QZB36" s="2"/>
      <c r="QZC36" s="2"/>
      <c r="QZD36" s="2"/>
      <c r="QZE36" s="2"/>
      <c r="QZF36" s="2"/>
      <c r="QZG36" s="2"/>
      <c r="QZH36" s="2"/>
      <c r="QZI36" s="2"/>
      <c r="QZJ36" s="2"/>
      <c r="QZK36" s="2"/>
      <c r="QZL36" s="2"/>
      <c r="QZM36" s="2"/>
      <c r="QZN36" s="2"/>
      <c r="QZO36" s="2"/>
      <c r="QZP36" s="2"/>
      <c r="QZQ36" s="2"/>
      <c r="QZR36" s="2"/>
      <c r="QZS36" s="2"/>
      <c r="QZT36" s="2"/>
      <c r="QZU36" s="2"/>
      <c r="QZV36" s="2"/>
      <c r="QZW36" s="2"/>
      <c r="QZX36" s="2"/>
      <c r="QZY36" s="2"/>
      <c r="QZZ36" s="2"/>
      <c r="RAA36" s="2"/>
      <c r="RAB36" s="2"/>
      <c r="RAC36" s="2"/>
      <c r="RAD36" s="2"/>
      <c r="RAE36" s="2"/>
      <c r="RAF36" s="2"/>
      <c r="RAG36" s="2"/>
      <c r="RAH36" s="2"/>
      <c r="RAI36" s="2"/>
      <c r="RAJ36" s="2"/>
      <c r="RAK36" s="2"/>
      <c r="RAL36" s="2"/>
      <c r="RAM36" s="2"/>
      <c r="RAN36" s="2"/>
      <c r="RAO36" s="2"/>
      <c r="RAP36" s="2"/>
      <c r="RAQ36" s="2"/>
      <c r="RAR36" s="2"/>
      <c r="RAS36" s="2"/>
      <c r="RAT36" s="2"/>
      <c r="RAU36" s="2"/>
      <c r="RAV36" s="2"/>
      <c r="RAW36" s="2"/>
      <c r="RAX36" s="2"/>
      <c r="RAY36" s="2"/>
      <c r="RAZ36" s="2"/>
      <c r="RBA36" s="2"/>
      <c r="RBB36" s="2"/>
      <c r="RBC36" s="2"/>
      <c r="RBD36" s="2"/>
      <c r="RBE36" s="2"/>
      <c r="RBF36" s="2"/>
      <c r="RBG36" s="2"/>
      <c r="RBH36" s="2"/>
      <c r="RBI36" s="2"/>
      <c r="RBJ36" s="2"/>
      <c r="RBK36" s="2"/>
      <c r="RBL36" s="2"/>
      <c r="RBM36" s="2"/>
      <c r="RBN36" s="2"/>
      <c r="RBO36" s="2"/>
      <c r="RBP36" s="2"/>
      <c r="RBQ36" s="2"/>
      <c r="RBR36" s="2"/>
      <c r="RBS36" s="2"/>
      <c r="RBT36" s="2"/>
      <c r="RBU36" s="2"/>
      <c r="RBV36" s="2"/>
      <c r="RBW36" s="2"/>
      <c r="RBX36" s="2"/>
      <c r="RBY36" s="2"/>
      <c r="RBZ36" s="2"/>
      <c r="RCA36" s="2"/>
      <c r="RCB36" s="2"/>
      <c r="RCC36" s="2"/>
      <c r="RCD36" s="2"/>
      <c r="RCE36" s="2"/>
      <c r="RCF36" s="2"/>
      <c r="RCG36" s="2"/>
      <c r="RCH36" s="2"/>
      <c r="RCI36" s="2"/>
      <c r="RCJ36" s="2"/>
      <c r="RCK36" s="2"/>
      <c r="RCL36" s="2"/>
      <c r="RCM36" s="2"/>
      <c r="RCN36" s="2"/>
      <c r="RCO36" s="2"/>
      <c r="RCP36" s="2"/>
      <c r="RCQ36" s="2"/>
      <c r="RCR36" s="2"/>
      <c r="RCS36" s="2"/>
      <c r="RCT36" s="2"/>
      <c r="RCU36" s="2"/>
      <c r="RCV36" s="2"/>
      <c r="RCW36" s="2"/>
      <c r="RCX36" s="2"/>
      <c r="RCY36" s="2"/>
      <c r="RCZ36" s="2"/>
      <c r="RDA36" s="2"/>
      <c r="RDB36" s="2"/>
      <c r="RDC36" s="2"/>
      <c r="RDD36" s="2"/>
      <c r="RDE36" s="2"/>
      <c r="RDF36" s="2"/>
      <c r="RDG36" s="2"/>
      <c r="RDH36" s="2"/>
      <c r="RDI36" s="2"/>
      <c r="RDJ36" s="2"/>
      <c r="RDK36" s="2"/>
      <c r="RDL36" s="2"/>
      <c r="RDM36" s="2"/>
      <c r="RDN36" s="2"/>
      <c r="RDO36" s="2"/>
      <c r="RDP36" s="2"/>
      <c r="RDQ36" s="2"/>
      <c r="RDR36" s="2"/>
      <c r="RDS36" s="2"/>
      <c r="RDT36" s="2"/>
      <c r="RDU36" s="2"/>
      <c r="RDV36" s="2"/>
      <c r="RDW36" s="2"/>
      <c r="RDX36" s="2"/>
      <c r="RDY36" s="2"/>
      <c r="RDZ36" s="2"/>
      <c r="REA36" s="2"/>
      <c r="REB36" s="2"/>
      <c r="REC36" s="2"/>
      <c r="RED36" s="2"/>
      <c r="REE36" s="2"/>
      <c r="REF36" s="2"/>
      <c r="REG36" s="2"/>
      <c r="REH36" s="2"/>
      <c r="REI36" s="2"/>
      <c r="REJ36" s="2"/>
      <c r="REK36" s="2"/>
      <c r="REL36" s="2"/>
      <c r="REM36" s="2"/>
      <c r="REN36" s="2"/>
      <c r="REO36" s="2"/>
      <c r="REP36" s="2"/>
      <c r="REQ36" s="2"/>
      <c r="RER36" s="2"/>
      <c r="RES36" s="2"/>
      <c r="RET36" s="2"/>
      <c r="REU36" s="2"/>
      <c r="REV36" s="2"/>
      <c r="REW36" s="2"/>
      <c r="REX36" s="2"/>
      <c r="REY36" s="2"/>
      <c r="REZ36" s="2"/>
      <c r="RFA36" s="2"/>
      <c r="RFB36" s="2"/>
      <c r="RFC36" s="2"/>
      <c r="RFD36" s="2"/>
      <c r="RFE36" s="2"/>
      <c r="RFF36" s="2"/>
      <c r="RFG36" s="2"/>
      <c r="RFH36" s="2"/>
      <c r="RFI36" s="2"/>
      <c r="RFJ36" s="2"/>
      <c r="RFK36" s="2"/>
      <c r="RFL36" s="2"/>
      <c r="RFM36" s="2"/>
      <c r="RFN36" s="2"/>
      <c r="RFO36" s="2"/>
      <c r="RFP36" s="2"/>
      <c r="RFQ36" s="2"/>
      <c r="RFR36" s="2"/>
      <c r="RFS36" s="2"/>
      <c r="RFT36" s="2"/>
      <c r="RFU36" s="2"/>
      <c r="RFV36" s="2"/>
      <c r="RFW36" s="2"/>
      <c r="RFX36" s="2"/>
      <c r="RFY36" s="2"/>
      <c r="RFZ36" s="2"/>
      <c r="RGA36" s="2"/>
      <c r="RGB36" s="2"/>
      <c r="RGC36" s="2"/>
      <c r="RGD36" s="2"/>
      <c r="RGE36" s="2"/>
      <c r="RGF36" s="2"/>
      <c r="RGG36" s="2"/>
      <c r="RGH36" s="2"/>
      <c r="RGI36" s="2"/>
      <c r="RGJ36" s="2"/>
      <c r="RGK36" s="2"/>
      <c r="RGL36" s="2"/>
      <c r="RGM36" s="2"/>
      <c r="RGN36" s="2"/>
      <c r="RGO36" s="2"/>
      <c r="RGP36" s="2"/>
      <c r="RGQ36" s="2"/>
      <c r="RGR36" s="2"/>
      <c r="RGS36" s="2"/>
      <c r="RGT36" s="2"/>
      <c r="RGU36" s="2"/>
      <c r="RGV36" s="2"/>
      <c r="RGW36" s="2"/>
      <c r="RGX36" s="2"/>
      <c r="RGY36" s="2"/>
      <c r="RGZ36" s="2"/>
      <c r="RHA36" s="2"/>
      <c r="RHB36" s="2"/>
      <c r="RHC36" s="2"/>
      <c r="RHD36" s="2"/>
      <c r="RHE36" s="2"/>
      <c r="RHF36" s="2"/>
      <c r="RHG36" s="2"/>
      <c r="RHH36" s="2"/>
      <c r="RHI36" s="2"/>
      <c r="RHJ36" s="2"/>
      <c r="RHK36" s="2"/>
      <c r="RHL36" s="2"/>
      <c r="RHM36" s="2"/>
      <c r="RHN36" s="2"/>
      <c r="RHO36" s="2"/>
      <c r="RHP36" s="2"/>
      <c r="RHQ36" s="2"/>
      <c r="RHR36" s="2"/>
      <c r="RHS36" s="2"/>
      <c r="RHT36" s="2"/>
      <c r="RHU36" s="2"/>
      <c r="RHV36" s="2"/>
      <c r="RHW36" s="2"/>
      <c r="RHX36" s="2"/>
      <c r="RHY36" s="2"/>
      <c r="RHZ36" s="2"/>
      <c r="RIA36" s="2"/>
      <c r="RIB36" s="2"/>
      <c r="RIC36" s="2"/>
      <c r="RID36" s="2"/>
      <c r="RIE36" s="2"/>
      <c r="RIF36" s="2"/>
      <c r="RIG36" s="2"/>
      <c r="RIH36" s="2"/>
      <c r="RII36" s="2"/>
      <c r="RIJ36" s="2"/>
      <c r="RIK36" s="2"/>
      <c r="RIL36" s="2"/>
      <c r="RIM36" s="2"/>
      <c r="RIN36" s="2"/>
      <c r="RIO36" s="2"/>
      <c r="RIP36" s="2"/>
      <c r="RIQ36" s="2"/>
      <c r="RIR36" s="2"/>
      <c r="RIS36" s="2"/>
      <c r="RIT36" s="2"/>
      <c r="RIU36" s="2"/>
      <c r="RIV36" s="2"/>
      <c r="RIW36" s="2"/>
      <c r="RIX36" s="2"/>
      <c r="RIY36" s="2"/>
      <c r="RIZ36" s="2"/>
      <c r="RJA36" s="2"/>
      <c r="RJB36" s="2"/>
      <c r="RJC36" s="2"/>
      <c r="RJD36" s="2"/>
      <c r="RJE36" s="2"/>
      <c r="RJF36" s="2"/>
      <c r="RJG36" s="2"/>
      <c r="RJH36" s="2"/>
      <c r="RJI36" s="2"/>
      <c r="RJJ36" s="2"/>
      <c r="RJK36" s="2"/>
      <c r="RJL36" s="2"/>
      <c r="RJM36" s="2"/>
      <c r="RJN36" s="2"/>
      <c r="RJO36" s="2"/>
      <c r="RJP36" s="2"/>
      <c r="RJQ36" s="2"/>
      <c r="RJR36" s="2"/>
      <c r="RJS36" s="2"/>
      <c r="RJT36" s="2"/>
      <c r="RJU36" s="2"/>
      <c r="RJV36" s="2"/>
      <c r="RJW36" s="2"/>
      <c r="RJX36" s="2"/>
      <c r="RJY36" s="2"/>
      <c r="RJZ36" s="2"/>
      <c r="RKA36" s="2"/>
      <c r="RKB36" s="2"/>
      <c r="RKC36" s="2"/>
      <c r="RKD36" s="2"/>
      <c r="RKE36" s="2"/>
      <c r="RKF36" s="2"/>
      <c r="RKG36" s="2"/>
      <c r="RKH36" s="2"/>
      <c r="RKI36" s="2"/>
      <c r="RKJ36" s="2"/>
      <c r="RKK36" s="2"/>
      <c r="RKL36" s="2"/>
      <c r="RKM36" s="2"/>
      <c r="RKN36" s="2"/>
      <c r="RKO36" s="2"/>
      <c r="RKP36" s="2"/>
      <c r="RKQ36" s="2"/>
      <c r="RKR36" s="2"/>
      <c r="RKS36" s="2"/>
      <c r="RKT36" s="2"/>
      <c r="RKU36" s="2"/>
      <c r="RKV36" s="2"/>
      <c r="RKW36" s="2"/>
      <c r="RKX36" s="2"/>
      <c r="RKY36" s="2"/>
      <c r="RKZ36" s="2"/>
      <c r="RLA36" s="2"/>
      <c r="RLB36" s="2"/>
      <c r="RLC36" s="2"/>
      <c r="RLD36" s="2"/>
      <c r="RLE36" s="2"/>
      <c r="RLF36" s="2"/>
      <c r="RLG36" s="2"/>
      <c r="RLH36" s="2"/>
      <c r="RLI36" s="2"/>
      <c r="RLJ36" s="2"/>
      <c r="RLK36" s="2"/>
      <c r="RLL36" s="2"/>
      <c r="RLM36" s="2"/>
      <c r="RLN36" s="2"/>
      <c r="RLO36" s="2"/>
      <c r="RLP36" s="2"/>
      <c r="RLQ36" s="2"/>
      <c r="RLR36" s="2"/>
      <c r="RLS36" s="2"/>
      <c r="RLT36" s="2"/>
      <c r="RLU36" s="2"/>
      <c r="RLV36" s="2"/>
      <c r="RLW36" s="2"/>
      <c r="RLX36" s="2"/>
      <c r="RLY36" s="2"/>
      <c r="RLZ36" s="2"/>
      <c r="RMA36" s="2"/>
      <c r="RMB36" s="2"/>
      <c r="RMC36" s="2"/>
      <c r="RMD36" s="2"/>
      <c r="RME36" s="2"/>
      <c r="RMF36" s="2"/>
      <c r="RMG36" s="2"/>
      <c r="RMH36" s="2"/>
      <c r="RMI36" s="2"/>
      <c r="RMJ36" s="2"/>
      <c r="RMK36" s="2"/>
      <c r="RML36" s="2"/>
      <c r="RMM36" s="2"/>
      <c r="RMN36" s="2"/>
      <c r="RMO36" s="2"/>
      <c r="RMP36" s="2"/>
      <c r="RMQ36" s="2"/>
      <c r="RMR36" s="2"/>
      <c r="RMS36" s="2"/>
      <c r="RMT36" s="2"/>
      <c r="RMU36" s="2"/>
      <c r="RMV36" s="2"/>
      <c r="RMW36" s="2"/>
      <c r="RMX36" s="2"/>
      <c r="RMY36" s="2"/>
      <c r="RMZ36" s="2"/>
      <c r="RNA36" s="2"/>
      <c r="RNB36" s="2"/>
      <c r="RNC36" s="2"/>
      <c r="RND36" s="2"/>
      <c r="RNE36" s="2"/>
      <c r="RNF36" s="2"/>
      <c r="RNG36" s="2"/>
      <c r="RNH36" s="2"/>
      <c r="RNI36" s="2"/>
      <c r="RNJ36" s="2"/>
      <c r="RNK36" s="2"/>
      <c r="RNL36" s="2"/>
      <c r="RNM36" s="2"/>
      <c r="RNN36" s="2"/>
      <c r="RNO36" s="2"/>
      <c r="RNP36" s="2"/>
      <c r="RNQ36" s="2"/>
      <c r="RNR36" s="2"/>
      <c r="RNS36" s="2"/>
      <c r="RNT36" s="2"/>
      <c r="RNU36" s="2"/>
      <c r="RNV36" s="2"/>
      <c r="RNW36" s="2"/>
      <c r="RNX36" s="2"/>
      <c r="RNY36" s="2"/>
      <c r="RNZ36" s="2"/>
      <c r="ROA36" s="2"/>
      <c r="ROB36" s="2"/>
      <c r="ROC36" s="2"/>
      <c r="ROD36" s="2"/>
      <c r="ROE36" s="2"/>
      <c r="ROF36" s="2"/>
      <c r="ROG36" s="2"/>
      <c r="ROH36" s="2"/>
      <c r="ROI36" s="2"/>
      <c r="ROJ36" s="2"/>
      <c r="ROK36" s="2"/>
      <c r="ROL36" s="2"/>
      <c r="ROM36" s="2"/>
      <c r="RON36" s="2"/>
      <c r="ROO36" s="2"/>
      <c r="ROP36" s="2"/>
      <c r="ROQ36" s="2"/>
      <c r="ROR36" s="2"/>
      <c r="ROS36" s="2"/>
      <c r="ROT36" s="2"/>
      <c r="ROU36" s="2"/>
      <c r="ROV36" s="2"/>
      <c r="ROW36" s="2"/>
      <c r="ROX36" s="2"/>
      <c r="ROY36" s="2"/>
      <c r="ROZ36" s="2"/>
      <c r="RPA36" s="2"/>
      <c r="RPB36" s="2"/>
      <c r="RPC36" s="2"/>
      <c r="RPD36" s="2"/>
      <c r="RPE36" s="2"/>
      <c r="RPF36" s="2"/>
      <c r="RPG36" s="2"/>
      <c r="RPH36" s="2"/>
      <c r="RPI36" s="2"/>
      <c r="RPJ36" s="2"/>
      <c r="RPK36" s="2"/>
      <c r="RPL36" s="2"/>
      <c r="RPM36" s="2"/>
      <c r="RPN36" s="2"/>
      <c r="RPO36" s="2"/>
      <c r="RPP36" s="2"/>
      <c r="RPQ36" s="2"/>
      <c r="RPR36" s="2"/>
      <c r="RPS36" s="2"/>
      <c r="RPT36" s="2"/>
      <c r="RPU36" s="2"/>
      <c r="RPV36" s="2"/>
      <c r="RPW36" s="2"/>
      <c r="RPX36" s="2"/>
      <c r="RPY36" s="2"/>
      <c r="RPZ36" s="2"/>
      <c r="RQA36" s="2"/>
      <c r="RQB36" s="2"/>
      <c r="RQC36" s="2"/>
      <c r="RQD36" s="2"/>
      <c r="RQE36" s="2"/>
      <c r="RQF36" s="2"/>
      <c r="RQG36" s="2"/>
      <c r="RQH36" s="2"/>
      <c r="RQI36" s="2"/>
      <c r="RQJ36" s="2"/>
      <c r="RQK36" s="2"/>
      <c r="RQL36" s="2"/>
      <c r="RQM36" s="2"/>
      <c r="RQN36" s="2"/>
      <c r="RQO36" s="2"/>
      <c r="RQP36" s="2"/>
      <c r="RQQ36" s="2"/>
      <c r="RQR36" s="2"/>
      <c r="RQS36" s="2"/>
      <c r="RQT36" s="2"/>
      <c r="RQU36" s="2"/>
      <c r="RQV36" s="2"/>
      <c r="RQW36" s="2"/>
      <c r="RQX36" s="2"/>
      <c r="RQY36" s="2"/>
      <c r="RQZ36" s="2"/>
      <c r="RRA36" s="2"/>
      <c r="RRB36" s="2"/>
      <c r="RRC36" s="2"/>
      <c r="RRD36" s="2"/>
      <c r="RRE36" s="2"/>
      <c r="RRF36" s="2"/>
      <c r="RRG36" s="2"/>
      <c r="RRH36" s="2"/>
      <c r="RRI36" s="2"/>
      <c r="RRJ36" s="2"/>
      <c r="RRK36" s="2"/>
      <c r="RRL36" s="2"/>
      <c r="RRM36" s="2"/>
      <c r="RRN36" s="2"/>
      <c r="RRO36" s="2"/>
      <c r="RRP36" s="2"/>
      <c r="RRQ36" s="2"/>
      <c r="RRR36" s="2"/>
      <c r="RRS36" s="2"/>
      <c r="RRT36" s="2"/>
      <c r="RRU36" s="2"/>
      <c r="RRV36" s="2"/>
      <c r="RRW36" s="2"/>
      <c r="RRX36" s="2"/>
      <c r="RRY36" s="2"/>
      <c r="RRZ36" s="2"/>
      <c r="RSA36" s="2"/>
      <c r="RSB36" s="2"/>
      <c r="RSC36" s="2"/>
      <c r="RSD36" s="2"/>
      <c r="RSE36" s="2"/>
      <c r="RSF36" s="2"/>
      <c r="RSG36" s="2"/>
      <c r="RSH36" s="2"/>
      <c r="RSI36" s="2"/>
      <c r="RSJ36" s="2"/>
      <c r="RSK36" s="2"/>
      <c r="RSL36" s="2"/>
      <c r="RSM36" s="2"/>
      <c r="RSN36" s="2"/>
      <c r="RSO36" s="2"/>
      <c r="RSP36" s="2"/>
      <c r="RSQ36" s="2"/>
      <c r="RSR36" s="2"/>
      <c r="RSS36" s="2"/>
      <c r="RST36" s="2"/>
      <c r="RSU36" s="2"/>
      <c r="RSV36" s="2"/>
      <c r="RSW36" s="2"/>
      <c r="RSX36" s="2"/>
      <c r="RSY36" s="2"/>
      <c r="RSZ36" s="2"/>
      <c r="RTA36" s="2"/>
      <c r="RTB36" s="2"/>
      <c r="RTC36" s="2"/>
      <c r="RTD36" s="2"/>
      <c r="RTE36" s="2"/>
      <c r="RTF36" s="2"/>
      <c r="RTG36" s="2"/>
      <c r="RTH36" s="2"/>
      <c r="RTI36" s="2"/>
      <c r="RTJ36" s="2"/>
      <c r="RTK36" s="2"/>
      <c r="RTL36" s="2"/>
      <c r="RTM36" s="2"/>
      <c r="RTN36" s="2"/>
      <c r="RTO36" s="2"/>
      <c r="RTP36" s="2"/>
      <c r="RTQ36" s="2"/>
      <c r="RTR36" s="2"/>
      <c r="RTS36" s="2"/>
      <c r="RTT36" s="2"/>
      <c r="RTU36" s="2"/>
      <c r="RTV36" s="2"/>
      <c r="RTW36" s="2"/>
      <c r="RTX36" s="2"/>
      <c r="RTY36" s="2"/>
      <c r="RTZ36" s="2"/>
      <c r="RUA36" s="2"/>
      <c r="RUB36" s="2"/>
      <c r="RUC36" s="2"/>
      <c r="RUD36" s="2"/>
      <c r="RUE36" s="2"/>
      <c r="RUF36" s="2"/>
      <c r="RUG36" s="2"/>
      <c r="RUH36" s="2"/>
      <c r="RUI36" s="2"/>
      <c r="RUJ36" s="2"/>
      <c r="RUK36" s="2"/>
      <c r="RUL36" s="2"/>
      <c r="RUM36" s="2"/>
      <c r="RUN36" s="2"/>
      <c r="RUO36" s="2"/>
      <c r="RUP36" s="2"/>
      <c r="RUQ36" s="2"/>
      <c r="RUR36" s="2"/>
      <c r="RUS36" s="2"/>
      <c r="RUT36" s="2"/>
      <c r="RUU36" s="2"/>
      <c r="RUV36" s="2"/>
      <c r="RUW36" s="2"/>
      <c r="RUX36" s="2"/>
      <c r="RUY36" s="2"/>
      <c r="RUZ36" s="2"/>
      <c r="RVA36" s="2"/>
      <c r="RVB36" s="2"/>
      <c r="RVC36" s="2"/>
      <c r="RVD36" s="2"/>
      <c r="RVE36" s="2"/>
      <c r="RVF36" s="2"/>
      <c r="RVG36" s="2"/>
      <c r="RVH36" s="2"/>
      <c r="RVI36" s="2"/>
      <c r="RVJ36" s="2"/>
      <c r="RVK36" s="2"/>
      <c r="RVL36" s="2"/>
      <c r="RVM36" s="2"/>
      <c r="RVN36" s="2"/>
      <c r="RVO36" s="2"/>
      <c r="RVP36" s="2"/>
      <c r="RVQ36" s="2"/>
      <c r="RVR36" s="2"/>
      <c r="RVS36" s="2"/>
      <c r="RVT36" s="2"/>
      <c r="RVU36" s="2"/>
      <c r="RVV36" s="2"/>
      <c r="RVW36" s="2"/>
      <c r="RVX36" s="2"/>
      <c r="RVY36" s="2"/>
      <c r="RVZ36" s="2"/>
      <c r="RWA36" s="2"/>
      <c r="RWB36" s="2"/>
      <c r="RWC36" s="2"/>
      <c r="RWD36" s="2"/>
      <c r="RWE36" s="2"/>
      <c r="RWF36" s="2"/>
      <c r="RWG36" s="2"/>
      <c r="RWH36" s="2"/>
      <c r="RWI36" s="2"/>
      <c r="RWJ36" s="2"/>
      <c r="RWK36" s="2"/>
      <c r="RWL36" s="2"/>
      <c r="RWM36" s="2"/>
      <c r="RWN36" s="2"/>
      <c r="RWO36" s="2"/>
      <c r="RWP36" s="2"/>
      <c r="RWQ36" s="2"/>
      <c r="RWR36" s="2"/>
      <c r="RWS36" s="2"/>
      <c r="RWT36" s="2"/>
      <c r="RWU36" s="2"/>
      <c r="RWV36" s="2"/>
      <c r="RWW36" s="2"/>
      <c r="RWX36" s="2"/>
      <c r="RWY36" s="2"/>
      <c r="RWZ36" s="2"/>
      <c r="RXA36" s="2"/>
      <c r="RXB36" s="2"/>
      <c r="RXC36" s="2"/>
      <c r="RXD36" s="2"/>
      <c r="RXE36" s="2"/>
      <c r="RXF36" s="2"/>
      <c r="RXG36" s="2"/>
      <c r="RXH36" s="2"/>
      <c r="RXI36" s="2"/>
      <c r="RXJ36" s="2"/>
      <c r="RXK36" s="2"/>
      <c r="RXL36" s="2"/>
      <c r="RXM36" s="2"/>
      <c r="RXN36" s="2"/>
      <c r="RXO36" s="2"/>
      <c r="RXP36" s="2"/>
      <c r="RXQ36" s="2"/>
      <c r="RXR36" s="2"/>
      <c r="RXS36" s="2"/>
      <c r="RXT36" s="2"/>
      <c r="RXU36" s="2"/>
      <c r="RXV36" s="2"/>
      <c r="RXW36" s="2"/>
      <c r="RXX36" s="2"/>
      <c r="RXY36" s="2"/>
      <c r="RXZ36" s="2"/>
      <c r="RYA36" s="2"/>
      <c r="RYB36" s="2"/>
      <c r="RYC36" s="2"/>
      <c r="RYD36" s="2"/>
      <c r="RYE36" s="2"/>
      <c r="RYF36" s="2"/>
      <c r="RYG36" s="2"/>
      <c r="RYH36" s="2"/>
      <c r="RYI36" s="2"/>
      <c r="RYJ36" s="2"/>
      <c r="RYK36" s="2"/>
      <c r="RYL36" s="2"/>
      <c r="RYM36" s="2"/>
      <c r="RYN36" s="2"/>
      <c r="RYO36" s="2"/>
      <c r="RYP36" s="2"/>
      <c r="RYQ36" s="2"/>
      <c r="RYR36" s="2"/>
      <c r="RYS36" s="2"/>
      <c r="RYT36" s="2"/>
      <c r="RYU36" s="2"/>
      <c r="RYV36" s="2"/>
      <c r="RYW36" s="2"/>
      <c r="RYX36" s="2"/>
      <c r="RYY36" s="2"/>
      <c r="RYZ36" s="2"/>
      <c r="RZA36" s="2"/>
      <c r="RZB36" s="2"/>
      <c r="RZC36" s="2"/>
      <c r="RZD36" s="2"/>
      <c r="RZE36" s="2"/>
      <c r="RZF36" s="2"/>
      <c r="RZG36" s="2"/>
      <c r="RZH36" s="2"/>
      <c r="RZI36" s="2"/>
      <c r="RZJ36" s="2"/>
      <c r="RZK36" s="2"/>
      <c r="RZL36" s="2"/>
      <c r="RZM36" s="2"/>
      <c r="RZN36" s="2"/>
      <c r="RZO36" s="2"/>
      <c r="RZP36" s="2"/>
      <c r="RZQ36" s="2"/>
      <c r="RZR36" s="2"/>
      <c r="RZS36" s="2"/>
      <c r="RZT36" s="2"/>
      <c r="RZU36" s="2"/>
      <c r="RZV36" s="2"/>
      <c r="RZW36" s="2"/>
      <c r="RZX36" s="2"/>
      <c r="RZY36" s="2"/>
      <c r="RZZ36" s="2"/>
      <c r="SAA36" s="2"/>
      <c r="SAB36" s="2"/>
      <c r="SAC36" s="2"/>
      <c r="SAD36" s="2"/>
      <c r="SAE36" s="2"/>
      <c r="SAF36" s="2"/>
      <c r="SAG36" s="2"/>
      <c r="SAH36" s="2"/>
      <c r="SAI36" s="2"/>
      <c r="SAJ36" s="2"/>
      <c r="SAK36" s="2"/>
      <c r="SAL36" s="2"/>
      <c r="SAM36" s="2"/>
      <c r="SAN36" s="2"/>
      <c r="SAO36" s="2"/>
      <c r="SAP36" s="2"/>
      <c r="SAQ36" s="2"/>
      <c r="SAR36" s="2"/>
      <c r="SAS36" s="2"/>
      <c r="SAT36" s="2"/>
      <c r="SAU36" s="2"/>
      <c r="SAV36" s="2"/>
      <c r="SAW36" s="2"/>
      <c r="SAX36" s="2"/>
      <c r="SAY36" s="2"/>
      <c r="SAZ36" s="2"/>
      <c r="SBA36" s="2"/>
      <c r="SBB36" s="2"/>
      <c r="SBC36" s="2"/>
      <c r="SBD36" s="2"/>
      <c r="SBE36" s="2"/>
      <c r="SBF36" s="2"/>
      <c r="SBG36" s="2"/>
      <c r="SBH36" s="2"/>
      <c r="SBI36" s="2"/>
      <c r="SBJ36" s="2"/>
      <c r="SBK36" s="2"/>
      <c r="SBL36" s="2"/>
      <c r="SBM36" s="2"/>
      <c r="SBN36" s="2"/>
      <c r="SBO36" s="2"/>
      <c r="SBP36" s="2"/>
      <c r="SBQ36" s="2"/>
      <c r="SBR36" s="2"/>
      <c r="SBS36" s="2"/>
      <c r="SBT36" s="2"/>
      <c r="SBU36" s="2"/>
      <c r="SBV36" s="2"/>
      <c r="SBW36" s="2"/>
      <c r="SBX36" s="2"/>
      <c r="SBY36" s="2"/>
      <c r="SBZ36" s="2"/>
      <c r="SCA36" s="2"/>
      <c r="SCB36" s="2"/>
      <c r="SCC36" s="2"/>
      <c r="SCD36" s="2"/>
      <c r="SCE36" s="2"/>
      <c r="SCF36" s="2"/>
      <c r="SCG36" s="2"/>
      <c r="SCH36" s="2"/>
      <c r="SCI36" s="2"/>
      <c r="SCJ36" s="2"/>
      <c r="SCK36" s="2"/>
      <c r="SCL36" s="2"/>
      <c r="SCM36" s="2"/>
      <c r="SCN36" s="2"/>
      <c r="SCO36" s="2"/>
      <c r="SCP36" s="2"/>
      <c r="SCQ36" s="2"/>
      <c r="SCR36" s="2"/>
      <c r="SCS36" s="2"/>
      <c r="SCT36" s="2"/>
      <c r="SCU36" s="2"/>
      <c r="SCV36" s="2"/>
      <c r="SCW36" s="2"/>
      <c r="SCX36" s="2"/>
      <c r="SCY36" s="2"/>
      <c r="SCZ36" s="2"/>
      <c r="SDA36" s="2"/>
      <c r="SDB36" s="2"/>
      <c r="SDC36" s="2"/>
      <c r="SDD36" s="2"/>
      <c r="SDE36" s="2"/>
      <c r="SDF36" s="2"/>
      <c r="SDG36" s="2"/>
      <c r="SDH36" s="2"/>
      <c r="SDI36" s="2"/>
      <c r="SDJ36" s="2"/>
      <c r="SDK36" s="2"/>
      <c r="SDL36" s="2"/>
      <c r="SDM36" s="2"/>
      <c r="SDN36" s="2"/>
      <c r="SDO36" s="2"/>
      <c r="SDP36" s="2"/>
      <c r="SDQ36" s="2"/>
      <c r="SDR36" s="2"/>
      <c r="SDS36" s="2"/>
      <c r="SDT36" s="2"/>
      <c r="SDU36" s="2"/>
      <c r="SDV36" s="2"/>
      <c r="SDW36" s="2"/>
      <c r="SDX36" s="2"/>
      <c r="SDY36" s="2"/>
      <c r="SDZ36" s="2"/>
      <c r="SEA36" s="2"/>
      <c r="SEB36" s="2"/>
      <c r="SEC36" s="2"/>
      <c r="SED36" s="2"/>
      <c r="SEE36" s="2"/>
      <c r="SEF36" s="2"/>
      <c r="SEG36" s="2"/>
      <c r="SEH36" s="2"/>
      <c r="SEI36" s="2"/>
      <c r="SEJ36" s="2"/>
      <c r="SEK36" s="2"/>
      <c r="SEL36" s="2"/>
      <c r="SEM36" s="2"/>
      <c r="SEN36" s="2"/>
      <c r="SEO36" s="2"/>
      <c r="SEP36" s="2"/>
      <c r="SEQ36" s="2"/>
      <c r="SER36" s="2"/>
      <c r="SES36" s="2"/>
      <c r="SET36" s="2"/>
      <c r="SEU36" s="2"/>
      <c r="SEV36" s="2"/>
      <c r="SEW36" s="2"/>
      <c r="SEX36" s="2"/>
      <c r="SEY36" s="2"/>
      <c r="SEZ36" s="2"/>
      <c r="SFA36" s="2"/>
      <c r="SFB36" s="2"/>
      <c r="SFC36" s="2"/>
      <c r="SFD36" s="2"/>
      <c r="SFE36" s="2"/>
      <c r="SFF36" s="2"/>
      <c r="SFG36" s="2"/>
      <c r="SFH36" s="2"/>
      <c r="SFI36" s="2"/>
      <c r="SFJ36" s="2"/>
      <c r="SFK36" s="2"/>
      <c r="SFL36" s="2"/>
      <c r="SFM36" s="2"/>
      <c r="SFN36" s="2"/>
      <c r="SFO36" s="2"/>
      <c r="SFP36" s="2"/>
      <c r="SFQ36" s="2"/>
      <c r="SFR36" s="2"/>
      <c r="SFS36" s="2"/>
      <c r="SFT36" s="2"/>
      <c r="SFU36" s="2"/>
      <c r="SFV36" s="2"/>
      <c r="SFW36" s="2"/>
      <c r="SFX36" s="2"/>
      <c r="SFY36" s="2"/>
      <c r="SFZ36" s="2"/>
      <c r="SGA36" s="2"/>
      <c r="SGB36" s="2"/>
      <c r="SGC36" s="2"/>
      <c r="SGD36" s="2"/>
      <c r="SGE36" s="2"/>
      <c r="SGF36" s="2"/>
      <c r="SGG36" s="2"/>
      <c r="SGH36" s="2"/>
      <c r="SGI36" s="2"/>
      <c r="SGJ36" s="2"/>
      <c r="SGK36" s="2"/>
      <c r="SGL36" s="2"/>
      <c r="SGM36" s="2"/>
      <c r="SGN36" s="2"/>
      <c r="SGO36" s="2"/>
      <c r="SGP36" s="2"/>
      <c r="SGQ36" s="2"/>
      <c r="SGR36" s="2"/>
      <c r="SGS36" s="2"/>
      <c r="SGT36" s="2"/>
      <c r="SGU36" s="2"/>
      <c r="SGV36" s="2"/>
      <c r="SGW36" s="2"/>
      <c r="SGX36" s="2"/>
      <c r="SGY36" s="2"/>
      <c r="SGZ36" s="2"/>
      <c r="SHA36" s="2"/>
      <c r="SHB36" s="2"/>
      <c r="SHC36" s="2"/>
      <c r="SHD36" s="2"/>
      <c r="SHE36" s="2"/>
      <c r="SHF36" s="2"/>
      <c r="SHG36" s="2"/>
      <c r="SHH36" s="2"/>
      <c r="SHI36" s="2"/>
      <c r="SHJ36" s="2"/>
      <c r="SHK36" s="2"/>
      <c r="SHL36" s="2"/>
      <c r="SHM36" s="2"/>
      <c r="SHN36" s="2"/>
      <c r="SHO36" s="2"/>
      <c r="SHP36" s="2"/>
      <c r="SHQ36" s="2"/>
      <c r="SHR36" s="2"/>
      <c r="SHS36" s="2"/>
      <c r="SHT36" s="2"/>
      <c r="SHU36" s="2"/>
      <c r="SHV36" s="2"/>
      <c r="SHW36" s="2"/>
      <c r="SHX36" s="2"/>
      <c r="SHY36" s="2"/>
      <c r="SHZ36" s="2"/>
      <c r="SIA36" s="2"/>
      <c r="SIB36" s="2"/>
      <c r="SIC36" s="2"/>
      <c r="SID36" s="2"/>
      <c r="SIE36" s="2"/>
      <c r="SIF36" s="2"/>
      <c r="SIG36" s="2"/>
      <c r="SIH36" s="2"/>
      <c r="SII36" s="2"/>
      <c r="SIJ36" s="2"/>
      <c r="SIK36" s="2"/>
      <c r="SIL36" s="2"/>
      <c r="SIM36" s="2"/>
      <c r="SIN36" s="2"/>
      <c r="SIO36" s="2"/>
      <c r="SIP36" s="2"/>
      <c r="SIQ36" s="2"/>
      <c r="SIR36" s="2"/>
      <c r="SIS36" s="2"/>
      <c r="SIT36" s="2"/>
      <c r="SIU36" s="2"/>
      <c r="SIV36" s="2"/>
      <c r="SIW36" s="2"/>
      <c r="SIX36" s="2"/>
      <c r="SIY36" s="2"/>
      <c r="SIZ36" s="2"/>
      <c r="SJA36" s="2"/>
      <c r="SJB36" s="2"/>
      <c r="SJC36" s="2"/>
      <c r="SJD36" s="2"/>
      <c r="SJE36" s="2"/>
      <c r="SJF36" s="2"/>
      <c r="SJG36" s="2"/>
      <c r="SJH36" s="2"/>
      <c r="SJI36" s="2"/>
      <c r="SJJ36" s="2"/>
      <c r="SJK36" s="2"/>
      <c r="SJL36" s="2"/>
      <c r="SJM36" s="2"/>
      <c r="SJN36" s="2"/>
      <c r="SJO36" s="2"/>
      <c r="SJP36" s="2"/>
      <c r="SJQ36" s="2"/>
      <c r="SJR36" s="2"/>
      <c r="SJS36" s="2"/>
      <c r="SJT36" s="2"/>
      <c r="SJU36" s="2"/>
      <c r="SJV36" s="2"/>
      <c r="SJW36" s="2"/>
      <c r="SJX36" s="2"/>
      <c r="SJY36" s="2"/>
      <c r="SJZ36" s="2"/>
      <c r="SKA36" s="2"/>
      <c r="SKB36" s="2"/>
      <c r="SKC36" s="2"/>
      <c r="SKD36" s="2"/>
      <c r="SKE36" s="2"/>
      <c r="SKF36" s="2"/>
      <c r="SKG36" s="2"/>
      <c r="SKH36" s="2"/>
      <c r="SKI36" s="2"/>
      <c r="SKJ36" s="2"/>
      <c r="SKK36" s="2"/>
      <c r="SKL36" s="2"/>
      <c r="SKM36" s="2"/>
      <c r="SKN36" s="2"/>
      <c r="SKO36" s="2"/>
      <c r="SKP36" s="2"/>
      <c r="SKQ36" s="2"/>
      <c r="SKR36" s="2"/>
      <c r="SKS36" s="2"/>
      <c r="SKT36" s="2"/>
      <c r="SKU36" s="2"/>
      <c r="SKV36" s="2"/>
      <c r="SKW36" s="2"/>
      <c r="SKX36" s="2"/>
      <c r="SKY36" s="2"/>
      <c r="SKZ36" s="2"/>
      <c r="SLA36" s="2"/>
      <c r="SLB36" s="2"/>
      <c r="SLC36" s="2"/>
      <c r="SLD36" s="2"/>
      <c r="SLE36" s="2"/>
      <c r="SLF36" s="2"/>
      <c r="SLG36" s="2"/>
      <c r="SLH36" s="2"/>
      <c r="SLI36" s="2"/>
      <c r="SLJ36" s="2"/>
      <c r="SLK36" s="2"/>
      <c r="SLL36" s="2"/>
      <c r="SLM36" s="2"/>
      <c r="SLN36" s="2"/>
      <c r="SLO36" s="2"/>
      <c r="SLP36" s="2"/>
      <c r="SLQ36" s="2"/>
      <c r="SLR36" s="2"/>
      <c r="SLS36" s="2"/>
      <c r="SLT36" s="2"/>
      <c r="SLU36" s="2"/>
      <c r="SLV36" s="2"/>
      <c r="SLW36" s="2"/>
      <c r="SLX36" s="2"/>
      <c r="SLY36" s="2"/>
      <c r="SLZ36" s="2"/>
      <c r="SMA36" s="2"/>
      <c r="SMB36" s="2"/>
      <c r="SMC36" s="2"/>
      <c r="SMD36" s="2"/>
      <c r="SME36" s="2"/>
      <c r="SMF36" s="2"/>
      <c r="SMG36" s="2"/>
      <c r="SMH36" s="2"/>
      <c r="SMI36" s="2"/>
      <c r="SMJ36" s="2"/>
      <c r="SMK36" s="2"/>
      <c r="SML36" s="2"/>
      <c r="SMM36" s="2"/>
      <c r="SMN36" s="2"/>
      <c r="SMO36" s="2"/>
      <c r="SMP36" s="2"/>
      <c r="SMQ36" s="2"/>
      <c r="SMR36" s="2"/>
      <c r="SMS36" s="2"/>
      <c r="SMT36" s="2"/>
      <c r="SMU36" s="2"/>
      <c r="SMV36" s="2"/>
      <c r="SMW36" s="2"/>
      <c r="SMX36" s="2"/>
      <c r="SMY36" s="2"/>
      <c r="SMZ36" s="2"/>
      <c r="SNA36" s="2"/>
      <c r="SNB36" s="2"/>
      <c r="SNC36" s="2"/>
      <c r="SND36" s="2"/>
      <c r="SNE36" s="2"/>
      <c r="SNF36" s="2"/>
      <c r="SNG36" s="2"/>
      <c r="SNH36" s="2"/>
      <c r="SNI36" s="2"/>
      <c r="SNJ36" s="2"/>
      <c r="SNK36" s="2"/>
      <c r="SNL36" s="2"/>
      <c r="SNM36" s="2"/>
      <c r="SNN36" s="2"/>
      <c r="SNO36" s="2"/>
      <c r="SNP36" s="2"/>
      <c r="SNQ36" s="2"/>
      <c r="SNR36" s="2"/>
      <c r="SNS36" s="2"/>
      <c r="SNT36" s="2"/>
      <c r="SNU36" s="2"/>
      <c r="SNV36" s="2"/>
      <c r="SNW36" s="2"/>
      <c r="SNX36" s="2"/>
      <c r="SNY36" s="2"/>
      <c r="SNZ36" s="2"/>
      <c r="SOA36" s="2"/>
      <c r="SOB36" s="2"/>
      <c r="SOC36" s="2"/>
      <c r="SOD36" s="2"/>
      <c r="SOE36" s="2"/>
      <c r="SOF36" s="2"/>
      <c r="SOG36" s="2"/>
      <c r="SOH36" s="2"/>
      <c r="SOI36" s="2"/>
      <c r="SOJ36" s="2"/>
      <c r="SOK36" s="2"/>
      <c r="SOL36" s="2"/>
      <c r="SOM36" s="2"/>
      <c r="SON36" s="2"/>
      <c r="SOO36" s="2"/>
      <c r="SOP36" s="2"/>
      <c r="SOQ36" s="2"/>
      <c r="SOR36" s="2"/>
      <c r="SOS36" s="2"/>
      <c r="SOT36" s="2"/>
      <c r="SOU36" s="2"/>
      <c r="SOV36" s="2"/>
      <c r="SOW36" s="2"/>
      <c r="SOX36" s="2"/>
      <c r="SOY36" s="2"/>
      <c r="SOZ36" s="2"/>
      <c r="SPA36" s="2"/>
      <c r="SPB36" s="2"/>
      <c r="SPC36" s="2"/>
      <c r="SPD36" s="2"/>
      <c r="SPE36" s="2"/>
      <c r="SPF36" s="2"/>
      <c r="SPG36" s="2"/>
      <c r="SPH36" s="2"/>
      <c r="SPI36" s="2"/>
      <c r="SPJ36" s="2"/>
      <c r="SPK36" s="2"/>
      <c r="SPL36" s="2"/>
      <c r="SPM36" s="2"/>
      <c r="SPN36" s="2"/>
      <c r="SPO36" s="2"/>
      <c r="SPP36" s="2"/>
      <c r="SPQ36" s="2"/>
      <c r="SPR36" s="2"/>
      <c r="SPS36" s="2"/>
      <c r="SPT36" s="2"/>
      <c r="SPU36" s="2"/>
      <c r="SPV36" s="2"/>
      <c r="SPW36" s="2"/>
      <c r="SPX36" s="2"/>
      <c r="SPY36" s="2"/>
      <c r="SPZ36" s="2"/>
      <c r="SQA36" s="2"/>
      <c r="SQB36" s="2"/>
      <c r="SQC36" s="2"/>
      <c r="SQD36" s="2"/>
      <c r="SQE36" s="2"/>
      <c r="SQF36" s="2"/>
      <c r="SQG36" s="2"/>
      <c r="SQH36" s="2"/>
      <c r="SQI36" s="2"/>
      <c r="SQJ36" s="2"/>
      <c r="SQK36" s="2"/>
      <c r="SQL36" s="2"/>
      <c r="SQM36" s="2"/>
      <c r="SQN36" s="2"/>
      <c r="SQO36" s="2"/>
      <c r="SQP36" s="2"/>
      <c r="SQQ36" s="2"/>
      <c r="SQR36" s="2"/>
      <c r="SQS36" s="2"/>
      <c r="SQT36" s="2"/>
      <c r="SQU36" s="2"/>
      <c r="SQV36" s="2"/>
      <c r="SQW36" s="2"/>
      <c r="SQX36" s="2"/>
      <c r="SQY36" s="2"/>
      <c r="SQZ36" s="2"/>
      <c r="SRA36" s="2"/>
      <c r="SRB36" s="2"/>
      <c r="SRC36" s="2"/>
      <c r="SRD36" s="2"/>
      <c r="SRE36" s="2"/>
      <c r="SRF36" s="2"/>
      <c r="SRG36" s="2"/>
      <c r="SRH36" s="2"/>
      <c r="SRI36" s="2"/>
      <c r="SRJ36" s="2"/>
      <c r="SRK36" s="2"/>
      <c r="SRL36" s="2"/>
      <c r="SRM36" s="2"/>
      <c r="SRN36" s="2"/>
      <c r="SRO36" s="2"/>
      <c r="SRP36" s="2"/>
      <c r="SRQ36" s="2"/>
      <c r="SRR36" s="2"/>
      <c r="SRS36" s="2"/>
      <c r="SRT36" s="2"/>
      <c r="SRU36" s="2"/>
      <c r="SRV36" s="2"/>
      <c r="SRW36" s="2"/>
      <c r="SRX36" s="2"/>
      <c r="SRY36" s="2"/>
      <c r="SRZ36" s="2"/>
      <c r="SSA36" s="2"/>
      <c r="SSB36" s="2"/>
      <c r="SSC36" s="2"/>
      <c r="SSD36" s="2"/>
      <c r="SSE36" s="2"/>
      <c r="SSF36" s="2"/>
      <c r="SSG36" s="2"/>
      <c r="SSH36" s="2"/>
      <c r="SSI36" s="2"/>
      <c r="SSJ36" s="2"/>
      <c r="SSK36" s="2"/>
      <c r="SSL36" s="2"/>
      <c r="SSM36" s="2"/>
      <c r="SSN36" s="2"/>
      <c r="SSO36" s="2"/>
      <c r="SSP36" s="2"/>
      <c r="SSQ36" s="2"/>
      <c r="SSR36" s="2"/>
      <c r="SSS36" s="2"/>
      <c r="SST36" s="2"/>
      <c r="SSU36" s="2"/>
      <c r="SSV36" s="2"/>
      <c r="SSW36" s="2"/>
      <c r="SSX36" s="2"/>
      <c r="SSY36" s="2"/>
      <c r="SSZ36" s="2"/>
      <c r="STA36" s="2"/>
      <c r="STB36" s="2"/>
      <c r="STC36" s="2"/>
      <c r="STD36" s="2"/>
      <c r="STE36" s="2"/>
      <c r="STF36" s="2"/>
      <c r="STG36" s="2"/>
      <c r="STH36" s="2"/>
      <c r="STI36" s="2"/>
      <c r="STJ36" s="2"/>
      <c r="STK36" s="2"/>
      <c r="STL36" s="2"/>
      <c r="STM36" s="2"/>
      <c r="STN36" s="2"/>
      <c r="STO36" s="2"/>
      <c r="STP36" s="2"/>
      <c r="STQ36" s="2"/>
      <c r="STR36" s="2"/>
      <c r="STS36" s="2"/>
      <c r="STT36" s="2"/>
      <c r="STU36" s="2"/>
      <c r="STV36" s="2"/>
      <c r="STW36" s="2"/>
      <c r="STX36" s="2"/>
      <c r="STY36" s="2"/>
      <c r="STZ36" s="2"/>
      <c r="SUA36" s="2"/>
      <c r="SUB36" s="2"/>
      <c r="SUC36" s="2"/>
      <c r="SUD36" s="2"/>
      <c r="SUE36" s="2"/>
      <c r="SUF36" s="2"/>
      <c r="SUG36" s="2"/>
      <c r="SUH36" s="2"/>
      <c r="SUI36" s="2"/>
      <c r="SUJ36" s="2"/>
      <c r="SUK36" s="2"/>
      <c r="SUL36" s="2"/>
      <c r="SUM36" s="2"/>
      <c r="SUN36" s="2"/>
      <c r="SUO36" s="2"/>
      <c r="SUP36" s="2"/>
      <c r="SUQ36" s="2"/>
      <c r="SUR36" s="2"/>
      <c r="SUS36" s="2"/>
      <c r="SUT36" s="2"/>
      <c r="SUU36" s="2"/>
      <c r="SUV36" s="2"/>
      <c r="SUW36" s="2"/>
      <c r="SUX36" s="2"/>
      <c r="SUY36" s="2"/>
      <c r="SUZ36" s="2"/>
      <c r="SVA36" s="2"/>
      <c r="SVB36" s="2"/>
      <c r="SVC36" s="2"/>
      <c r="SVD36" s="2"/>
      <c r="SVE36" s="2"/>
      <c r="SVF36" s="2"/>
      <c r="SVG36" s="2"/>
      <c r="SVH36" s="2"/>
      <c r="SVI36" s="2"/>
      <c r="SVJ36" s="2"/>
      <c r="SVK36" s="2"/>
      <c r="SVL36" s="2"/>
      <c r="SVM36" s="2"/>
      <c r="SVN36" s="2"/>
      <c r="SVO36" s="2"/>
      <c r="SVP36" s="2"/>
      <c r="SVQ36" s="2"/>
      <c r="SVR36" s="2"/>
      <c r="SVS36" s="2"/>
      <c r="SVT36" s="2"/>
      <c r="SVU36" s="2"/>
      <c r="SVV36" s="2"/>
      <c r="SVW36" s="2"/>
      <c r="SVX36" s="2"/>
      <c r="SVY36" s="2"/>
      <c r="SVZ36" s="2"/>
      <c r="SWA36" s="2"/>
      <c r="SWB36" s="2"/>
      <c r="SWC36" s="2"/>
      <c r="SWD36" s="2"/>
      <c r="SWE36" s="2"/>
      <c r="SWF36" s="2"/>
      <c r="SWG36" s="2"/>
      <c r="SWH36" s="2"/>
      <c r="SWI36" s="2"/>
      <c r="SWJ36" s="2"/>
      <c r="SWK36" s="2"/>
      <c r="SWL36" s="2"/>
      <c r="SWM36" s="2"/>
      <c r="SWN36" s="2"/>
      <c r="SWO36" s="2"/>
      <c r="SWP36" s="2"/>
      <c r="SWQ36" s="2"/>
      <c r="SWR36" s="2"/>
      <c r="SWS36" s="2"/>
      <c r="SWT36" s="2"/>
      <c r="SWU36" s="2"/>
      <c r="SWV36" s="2"/>
      <c r="SWW36" s="2"/>
      <c r="SWX36" s="2"/>
      <c r="SWY36" s="2"/>
      <c r="SWZ36" s="2"/>
      <c r="SXA36" s="2"/>
      <c r="SXB36" s="2"/>
      <c r="SXC36" s="2"/>
      <c r="SXD36" s="2"/>
      <c r="SXE36" s="2"/>
      <c r="SXF36" s="2"/>
      <c r="SXG36" s="2"/>
      <c r="SXH36" s="2"/>
      <c r="SXI36" s="2"/>
      <c r="SXJ36" s="2"/>
      <c r="SXK36" s="2"/>
      <c r="SXL36" s="2"/>
      <c r="SXM36" s="2"/>
      <c r="SXN36" s="2"/>
      <c r="SXO36" s="2"/>
      <c r="SXP36" s="2"/>
      <c r="SXQ36" s="2"/>
      <c r="SXR36" s="2"/>
      <c r="SXS36" s="2"/>
      <c r="SXT36" s="2"/>
      <c r="SXU36" s="2"/>
      <c r="SXV36" s="2"/>
      <c r="SXW36" s="2"/>
      <c r="SXX36" s="2"/>
      <c r="SXY36" s="2"/>
      <c r="SXZ36" s="2"/>
      <c r="SYA36" s="2"/>
      <c r="SYB36" s="2"/>
      <c r="SYC36" s="2"/>
      <c r="SYD36" s="2"/>
      <c r="SYE36" s="2"/>
      <c r="SYF36" s="2"/>
      <c r="SYG36" s="2"/>
      <c r="SYH36" s="2"/>
      <c r="SYI36" s="2"/>
      <c r="SYJ36" s="2"/>
      <c r="SYK36" s="2"/>
      <c r="SYL36" s="2"/>
      <c r="SYM36" s="2"/>
      <c r="SYN36" s="2"/>
      <c r="SYO36" s="2"/>
      <c r="SYP36" s="2"/>
      <c r="SYQ36" s="2"/>
      <c r="SYR36" s="2"/>
      <c r="SYS36" s="2"/>
      <c r="SYT36" s="2"/>
      <c r="SYU36" s="2"/>
      <c r="SYV36" s="2"/>
      <c r="SYW36" s="2"/>
      <c r="SYX36" s="2"/>
      <c r="SYY36" s="2"/>
      <c r="SYZ36" s="2"/>
      <c r="SZA36" s="2"/>
      <c r="SZB36" s="2"/>
      <c r="SZC36" s="2"/>
      <c r="SZD36" s="2"/>
      <c r="SZE36" s="2"/>
      <c r="SZF36" s="2"/>
      <c r="SZG36" s="2"/>
      <c r="SZH36" s="2"/>
      <c r="SZI36" s="2"/>
      <c r="SZJ36" s="2"/>
      <c r="SZK36" s="2"/>
      <c r="SZL36" s="2"/>
      <c r="SZM36" s="2"/>
      <c r="SZN36" s="2"/>
      <c r="SZO36" s="2"/>
      <c r="SZP36" s="2"/>
      <c r="SZQ36" s="2"/>
      <c r="SZR36" s="2"/>
      <c r="SZS36" s="2"/>
      <c r="SZT36" s="2"/>
      <c r="SZU36" s="2"/>
      <c r="SZV36" s="2"/>
      <c r="SZW36" s="2"/>
      <c r="SZX36" s="2"/>
      <c r="SZY36" s="2"/>
      <c r="SZZ36" s="2"/>
      <c r="TAA36" s="2"/>
      <c r="TAB36" s="2"/>
      <c r="TAC36" s="2"/>
      <c r="TAD36" s="2"/>
      <c r="TAE36" s="2"/>
      <c r="TAF36" s="2"/>
      <c r="TAG36" s="2"/>
      <c r="TAH36" s="2"/>
      <c r="TAI36" s="2"/>
      <c r="TAJ36" s="2"/>
      <c r="TAK36" s="2"/>
      <c r="TAL36" s="2"/>
      <c r="TAM36" s="2"/>
      <c r="TAN36" s="2"/>
      <c r="TAO36" s="2"/>
      <c r="TAP36" s="2"/>
      <c r="TAQ36" s="2"/>
      <c r="TAR36" s="2"/>
      <c r="TAS36" s="2"/>
      <c r="TAT36" s="2"/>
      <c r="TAU36" s="2"/>
      <c r="TAV36" s="2"/>
      <c r="TAW36" s="2"/>
      <c r="TAX36" s="2"/>
      <c r="TAY36" s="2"/>
      <c r="TAZ36" s="2"/>
      <c r="TBA36" s="2"/>
      <c r="TBB36" s="2"/>
      <c r="TBC36" s="2"/>
      <c r="TBD36" s="2"/>
      <c r="TBE36" s="2"/>
      <c r="TBF36" s="2"/>
      <c r="TBG36" s="2"/>
      <c r="TBH36" s="2"/>
      <c r="TBI36" s="2"/>
      <c r="TBJ36" s="2"/>
      <c r="TBK36" s="2"/>
      <c r="TBL36" s="2"/>
      <c r="TBM36" s="2"/>
      <c r="TBN36" s="2"/>
      <c r="TBO36" s="2"/>
      <c r="TBP36" s="2"/>
      <c r="TBQ36" s="2"/>
      <c r="TBR36" s="2"/>
      <c r="TBS36" s="2"/>
      <c r="TBT36" s="2"/>
      <c r="TBU36" s="2"/>
      <c r="TBV36" s="2"/>
      <c r="TBW36" s="2"/>
      <c r="TBX36" s="2"/>
      <c r="TBY36" s="2"/>
      <c r="TBZ36" s="2"/>
      <c r="TCA36" s="2"/>
      <c r="TCB36" s="2"/>
      <c r="TCC36" s="2"/>
      <c r="TCD36" s="2"/>
      <c r="TCE36" s="2"/>
      <c r="TCF36" s="2"/>
      <c r="TCG36" s="2"/>
      <c r="TCH36" s="2"/>
      <c r="TCI36" s="2"/>
      <c r="TCJ36" s="2"/>
      <c r="TCK36" s="2"/>
      <c r="TCL36" s="2"/>
      <c r="TCM36" s="2"/>
      <c r="TCN36" s="2"/>
      <c r="TCO36" s="2"/>
      <c r="TCP36" s="2"/>
      <c r="TCQ36" s="2"/>
      <c r="TCR36" s="2"/>
      <c r="TCS36" s="2"/>
      <c r="TCT36" s="2"/>
      <c r="TCU36" s="2"/>
      <c r="TCV36" s="2"/>
      <c r="TCW36" s="2"/>
      <c r="TCX36" s="2"/>
      <c r="TCY36" s="2"/>
      <c r="TCZ36" s="2"/>
      <c r="TDA36" s="2"/>
      <c r="TDB36" s="2"/>
      <c r="TDC36" s="2"/>
      <c r="TDD36" s="2"/>
      <c r="TDE36" s="2"/>
      <c r="TDF36" s="2"/>
      <c r="TDG36" s="2"/>
      <c r="TDH36" s="2"/>
      <c r="TDI36" s="2"/>
      <c r="TDJ36" s="2"/>
      <c r="TDK36" s="2"/>
      <c r="TDL36" s="2"/>
      <c r="TDM36" s="2"/>
      <c r="TDN36" s="2"/>
      <c r="TDO36" s="2"/>
      <c r="TDP36" s="2"/>
      <c r="TDQ36" s="2"/>
      <c r="TDR36" s="2"/>
      <c r="TDS36" s="2"/>
      <c r="TDT36" s="2"/>
      <c r="TDU36" s="2"/>
      <c r="TDV36" s="2"/>
      <c r="TDW36" s="2"/>
      <c r="TDX36" s="2"/>
      <c r="TDY36" s="2"/>
      <c r="TDZ36" s="2"/>
      <c r="TEA36" s="2"/>
      <c r="TEB36" s="2"/>
      <c r="TEC36" s="2"/>
      <c r="TED36" s="2"/>
      <c r="TEE36" s="2"/>
      <c r="TEF36" s="2"/>
      <c r="TEG36" s="2"/>
      <c r="TEH36" s="2"/>
      <c r="TEI36" s="2"/>
      <c r="TEJ36" s="2"/>
      <c r="TEK36" s="2"/>
      <c r="TEL36" s="2"/>
      <c r="TEM36" s="2"/>
      <c r="TEN36" s="2"/>
      <c r="TEO36" s="2"/>
      <c r="TEP36" s="2"/>
      <c r="TEQ36" s="2"/>
      <c r="TER36" s="2"/>
      <c r="TES36" s="2"/>
      <c r="TET36" s="2"/>
      <c r="TEU36" s="2"/>
      <c r="TEV36" s="2"/>
      <c r="TEW36" s="2"/>
      <c r="TEX36" s="2"/>
      <c r="TEY36" s="2"/>
      <c r="TEZ36" s="2"/>
      <c r="TFA36" s="2"/>
      <c r="TFB36" s="2"/>
      <c r="TFC36" s="2"/>
      <c r="TFD36" s="2"/>
      <c r="TFE36" s="2"/>
      <c r="TFF36" s="2"/>
      <c r="TFG36" s="2"/>
      <c r="TFH36" s="2"/>
      <c r="TFI36" s="2"/>
      <c r="TFJ36" s="2"/>
      <c r="TFK36" s="2"/>
      <c r="TFL36" s="2"/>
      <c r="TFM36" s="2"/>
      <c r="TFN36" s="2"/>
      <c r="TFO36" s="2"/>
      <c r="TFP36" s="2"/>
      <c r="TFQ36" s="2"/>
      <c r="TFR36" s="2"/>
      <c r="TFS36" s="2"/>
      <c r="TFT36" s="2"/>
      <c r="TFU36" s="2"/>
      <c r="TFV36" s="2"/>
      <c r="TFW36" s="2"/>
      <c r="TFX36" s="2"/>
      <c r="TFY36" s="2"/>
      <c r="TFZ36" s="2"/>
      <c r="TGA36" s="2"/>
      <c r="TGB36" s="2"/>
      <c r="TGC36" s="2"/>
      <c r="TGD36" s="2"/>
      <c r="TGE36" s="2"/>
      <c r="TGF36" s="2"/>
      <c r="TGG36" s="2"/>
      <c r="TGH36" s="2"/>
      <c r="TGI36" s="2"/>
      <c r="TGJ36" s="2"/>
      <c r="TGK36" s="2"/>
      <c r="TGL36" s="2"/>
      <c r="TGM36" s="2"/>
      <c r="TGN36" s="2"/>
      <c r="TGO36" s="2"/>
      <c r="TGP36" s="2"/>
      <c r="TGQ36" s="2"/>
      <c r="TGR36" s="2"/>
      <c r="TGS36" s="2"/>
      <c r="TGT36" s="2"/>
      <c r="TGU36" s="2"/>
      <c r="TGV36" s="2"/>
      <c r="TGW36" s="2"/>
      <c r="TGX36" s="2"/>
      <c r="TGY36" s="2"/>
      <c r="TGZ36" s="2"/>
      <c r="THA36" s="2"/>
      <c r="THB36" s="2"/>
      <c r="THC36" s="2"/>
      <c r="THD36" s="2"/>
      <c r="THE36" s="2"/>
      <c r="THF36" s="2"/>
      <c r="THG36" s="2"/>
      <c r="THH36" s="2"/>
      <c r="THI36" s="2"/>
      <c r="THJ36" s="2"/>
      <c r="THK36" s="2"/>
      <c r="THL36" s="2"/>
      <c r="THM36" s="2"/>
      <c r="THN36" s="2"/>
      <c r="THO36" s="2"/>
      <c r="THP36" s="2"/>
      <c r="THQ36" s="2"/>
      <c r="THR36" s="2"/>
      <c r="THS36" s="2"/>
      <c r="THT36" s="2"/>
      <c r="THU36" s="2"/>
      <c r="THV36" s="2"/>
      <c r="THW36" s="2"/>
      <c r="THX36" s="2"/>
      <c r="THY36" s="2"/>
      <c r="THZ36" s="2"/>
      <c r="TIA36" s="2"/>
      <c r="TIB36" s="2"/>
      <c r="TIC36" s="2"/>
      <c r="TID36" s="2"/>
      <c r="TIE36" s="2"/>
      <c r="TIF36" s="2"/>
      <c r="TIG36" s="2"/>
      <c r="TIH36" s="2"/>
      <c r="TII36" s="2"/>
      <c r="TIJ36" s="2"/>
      <c r="TIK36" s="2"/>
      <c r="TIL36" s="2"/>
      <c r="TIM36" s="2"/>
      <c r="TIN36" s="2"/>
      <c r="TIO36" s="2"/>
      <c r="TIP36" s="2"/>
      <c r="TIQ36" s="2"/>
      <c r="TIR36" s="2"/>
      <c r="TIS36" s="2"/>
      <c r="TIT36" s="2"/>
      <c r="TIU36" s="2"/>
      <c r="TIV36" s="2"/>
      <c r="TIW36" s="2"/>
      <c r="TIX36" s="2"/>
      <c r="TIY36" s="2"/>
      <c r="TIZ36" s="2"/>
      <c r="TJA36" s="2"/>
      <c r="TJB36" s="2"/>
      <c r="TJC36" s="2"/>
      <c r="TJD36" s="2"/>
      <c r="TJE36" s="2"/>
      <c r="TJF36" s="2"/>
      <c r="TJG36" s="2"/>
      <c r="TJH36" s="2"/>
      <c r="TJI36" s="2"/>
      <c r="TJJ36" s="2"/>
      <c r="TJK36" s="2"/>
      <c r="TJL36" s="2"/>
      <c r="TJM36" s="2"/>
      <c r="TJN36" s="2"/>
      <c r="TJO36" s="2"/>
      <c r="TJP36" s="2"/>
      <c r="TJQ36" s="2"/>
      <c r="TJR36" s="2"/>
      <c r="TJS36" s="2"/>
      <c r="TJT36" s="2"/>
      <c r="TJU36" s="2"/>
      <c r="TJV36" s="2"/>
      <c r="TJW36" s="2"/>
      <c r="TJX36" s="2"/>
      <c r="TJY36" s="2"/>
      <c r="TJZ36" s="2"/>
      <c r="TKA36" s="2"/>
      <c r="TKB36" s="2"/>
      <c r="TKC36" s="2"/>
      <c r="TKD36" s="2"/>
      <c r="TKE36" s="2"/>
      <c r="TKF36" s="2"/>
      <c r="TKG36" s="2"/>
      <c r="TKH36" s="2"/>
      <c r="TKI36" s="2"/>
      <c r="TKJ36" s="2"/>
      <c r="TKK36" s="2"/>
      <c r="TKL36" s="2"/>
      <c r="TKM36" s="2"/>
      <c r="TKN36" s="2"/>
      <c r="TKO36" s="2"/>
      <c r="TKP36" s="2"/>
      <c r="TKQ36" s="2"/>
      <c r="TKR36" s="2"/>
      <c r="TKS36" s="2"/>
      <c r="TKT36" s="2"/>
      <c r="TKU36" s="2"/>
      <c r="TKV36" s="2"/>
      <c r="TKW36" s="2"/>
      <c r="TKX36" s="2"/>
      <c r="TKY36" s="2"/>
      <c r="TKZ36" s="2"/>
      <c r="TLA36" s="2"/>
      <c r="TLB36" s="2"/>
      <c r="TLC36" s="2"/>
      <c r="TLD36" s="2"/>
      <c r="TLE36" s="2"/>
      <c r="TLF36" s="2"/>
      <c r="TLG36" s="2"/>
      <c r="TLH36" s="2"/>
      <c r="TLI36" s="2"/>
      <c r="TLJ36" s="2"/>
      <c r="TLK36" s="2"/>
      <c r="TLL36" s="2"/>
      <c r="TLM36" s="2"/>
      <c r="TLN36" s="2"/>
      <c r="TLO36" s="2"/>
      <c r="TLP36" s="2"/>
      <c r="TLQ36" s="2"/>
      <c r="TLR36" s="2"/>
      <c r="TLS36" s="2"/>
      <c r="TLT36" s="2"/>
      <c r="TLU36" s="2"/>
      <c r="TLV36" s="2"/>
      <c r="TLW36" s="2"/>
      <c r="TLX36" s="2"/>
      <c r="TLY36" s="2"/>
      <c r="TLZ36" s="2"/>
      <c r="TMA36" s="2"/>
      <c r="TMB36" s="2"/>
      <c r="TMC36" s="2"/>
      <c r="TMD36" s="2"/>
      <c r="TME36" s="2"/>
      <c r="TMF36" s="2"/>
      <c r="TMG36" s="2"/>
      <c r="TMH36" s="2"/>
      <c r="TMI36" s="2"/>
      <c r="TMJ36" s="2"/>
      <c r="TMK36" s="2"/>
      <c r="TML36" s="2"/>
      <c r="TMM36" s="2"/>
      <c r="TMN36" s="2"/>
      <c r="TMO36" s="2"/>
      <c r="TMP36" s="2"/>
      <c r="TMQ36" s="2"/>
      <c r="TMR36" s="2"/>
      <c r="TMS36" s="2"/>
      <c r="TMT36" s="2"/>
      <c r="TMU36" s="2"/>
      <c r="TMV36" s="2"/>
      <c r="TMW36" s="2"/>
      <c r="TMX36" s="2"/>
      <c r="TMY36" s="2"/>
      <c r="TMZ36" s="2"/>
      <c r="TNA36" s="2"/>
      <c r="TNB36" s="2"/>
      <c r="TNC36" s="2"/>
      <c r="TND36" s="2"/>
      <c r="TNE36" s="2"/>
      <c r="TNF36" s="2"/>
      <c r="TNG36" s="2"/>
      <c r="TNH36" s="2"/>
      <c r="TNI36" s="2"/>
      <c r="TNJ36" s="2"/>
      <c r="TNK36" s="2"/>
      <c r="TNL36" s="2"/>
      <c r="TNM36" s="2"/>
      <c r="TNN36" s="2"/>
      <c r="TNO36" s="2"/>
      <c r="TNP36" s="2"/>
      <c r="TNQ36" s="2"/>
      <c r="TNR36" s="2"/>
      <c r="TNS36" s="2"/>
      <c r="TNT36" s="2"/>
      <c r="TNU36" s="2"/>
      <c r="TNV36" s="2"/>
      <c r="TNW36" s="2"/>
      <c r="TNX36" s="2"/>
      <c r="TNY36" s="2"/>
      <c r="TNZ36" s="2"/>
      <c r="TOA36" s="2"/>
      <c r="TOB36" s="2"/>
      <c r="TOC36" s="2"/>
      <c r="TOD36" s="2"/>
      <c r="TOE36" s="2"/>
      <c r="TOF36" s="2"/>
      <c r="TOG36" s="2"/>
      <c r="TOH36" s="2"/>
      <c r="TOI36" s="2"/>
      <c r="TOJ36" s="2"/>
      <c r="TOK36" s="2"/>
      <c r="TOL36" s="2"/>
      <c r="TOM36" s="2"/>
      <c r="TON36" s="2"/>
      <c r="TOO36" s="2"/>
      <c r="TOP36" s="2"/>
      <c r="TOQ36" s="2"/>
      <c r="TOR36" s="2"/>
      <c r="TOS36" s="2"/>
      <c r="TOT36" s="2"/>
      <c r="TOU36" s="2"/>
      <c r="TOV36" s="2"/>
      <c r="TOW36" s="2"/>
      <c r="TOX36" s="2"/>
      <c r="TOY36" s="2"/>
      <c r="TOZ36" s="2"/>
      <c r="TPA36" s="2"/>
      <c r="TPB36" s="2"/>
      <c r="TPC36" s="2"/>
      <c r="TPD36" s="2"/>
      <c r="TPE36" s="2"/>
      <c r="TPF36" s="2"/>
      <c r="TPG36" s="2"/>
      <c r="TPH36" s="2"/>
      <c r="TPI36" s="2"/>
      <c r="TPJ36" s="2"/>
      <c r="TPK36" s="2"/>
      <c r="TPL36" s="2"/>
      <c r="TPM36" s="2"/>
      <c r="TPN36" s="2"/>
      <c r="TPO36" s="2"/>
      <c r="TPP36" s="2"/>
      <c r="TPQ36" s="2"/>
      <c r="TPR36" s="2"/>
      <c r="TPS36" s="2"/>
      <c r="TPT36" s="2"/>
      <c r="TPU36" s="2"/>
      <c r="TPV36" s="2"/>
      <c r="TPW36" s="2"/>
      <c r="TPX36" s="2"/>
      <c r="TPY36" s="2"/>
      <c r="TPZ36" s="2"/>
      <c r="TQA36" s="2"/>
      <c r="TQB36" s="2"/>
      <c r="TQC36" s="2"/>
      <c r="TQD36" s="2"/>
      <c r="TQE36" s="2"/>
      <c r="TQF36" s="2"/>
      <c r="TQG36" s="2"/>
      <c r="TQH36" s="2"/>
      <c r="TQI36" s="2"/>
      <c r="TQJ36" s="2"/>
      <c r="TQK36" s="2"/>
      <c r="TQL36" s="2"/>
      <c r="TQM36" s="2"/>
      <c r="TQN36" s="2"/>
      <c r="TQO36" s="2"/>
      <c r="TQP36" s="2"/>
      <c r="TQQ36" s="2"/>
      <c r="TQR36" s="2"/>
      <c r="TQS36" s="2"/>
      <c r="TQT36" s="2"/>
      <c r="TQU36" s="2"/>
      <c r="TQV36" s="2"/>
      <c r="TQW36" s="2"/>
      <c r="TQX36" s="2"/>
      <c r="TQY36" s="2"/>
      <c r="TQZ36" s="2"/>
      <c r="TRA36" s="2"/>
      <c r="TRB36" s="2"/>
      <c r="TRC36" s="2"/>
      <c r="TRD36" s="2"/>
      <c r="TRE36" s="2"/>
      <c r="TRF36" s="2"/>
      <c r="TRG36" s="2"/>
      <c r="TRH36" s="2"/>
      <c r="TRI36" s="2"/>
      <c r="TRJ36" s="2"/>
      <c r="TRK36" s="2"/>
      <c r="TRL36" s="2"/>
      <c r="TRM36" s="2"/>
      <c r="TRN36" s="2"/>
      <c r="TRO36" s="2"/>
      <c r="TRP36" s="2"/>
      <c r="TRQ36" s="2"/>
      <c r="TRR36" s="2"/>
      <c r="TRS36" s="2"/>
      <c r="TRT36" s="2"/>
      <c r="TRU36" s="2"/>
      <c r="TRV36" s="2"/>
      <c r="TRW36" s="2"/>
      <c r="TRX36" s="2"/>
      <c r="TRY36" s="2"/>
      <c r="TRZ36" s="2"/>
      <c r="TSA36" s="2"/>
      <c r="TSB36" s="2"/>
      <c r="TSC36" s="2"/>
      <c r="TSD36" s="2"/>
      <c r="TSE36" s="2"/>
      <c r="TSF36" s="2"/>
      <c r="TSG36" s="2"/>
      <c r="TSH36" s="2"/>
      <c r="TSI36" s="2"/>
      <c r="TSJ36" s="2"/>
      <c r="TSK36" s="2"/>
      <c r="TSL36" s="2"/>
      <c r="TSM36" s="2"/>
      <c r="TSN36" s="2"/>
      <c r="TSO36" s="2"/>
      <c r="TSP36" s="2"/>
      <c r="TSQ36" s="2"/>
      <c r="TSR36" s="2"/>
      <c r="TSS36" s="2"/>
      <c r="TST36" s="2"/>
      <c r="TSU36" s="2"/>
      <c r="TSV36" s="2"/>
      <c r="TSW36" s="2"/>
      <c r="TSX36" s="2"/>
      <c r="TSY36" s="2"/>
      <c r="TSZ36" s="2"/>
      <c r="TTA36" s="2"/>
      <c r="TTB36" s="2"/>
      <c r="TTC36" s="2"/>
      <c r="TTD36" s="2"/>
      <c r="TTE36" s="2"/>
      <c r="TTF36" s="2"/>
      <c r="TTG36" s="2"/>
      <c r="TTH36" s="2"/>
      <c r="TTI36" s="2"/>
      <c r="TTJ36" s="2"/>
      <c r="TTK36" s="2"/>
      <c r="TTL36" s="2"/>
      <c r="TTM36" s="2"/>
      <c r="TTN36" s="2"/>
      <c r="TTO36" s="2"/>
      <c r="TTP36" s="2"/>
      <c r="TTQ36" s="2"/>
      <c r="TTR36" s="2"/>
      <c r="TTS36" s="2"/>
      <c r="TTT36" s="2"/>
      <c r="TTU36" s="2"/>
      <c r="TTV36" s="2"/>
      <c r="TTW36" s="2"/>
      <c r="TTX36" s="2"/>
      <c r="TTY36" s="2"/>
      <c r="TTZ36" s="2"/>
      <c r="TUA36" s="2"/>
      <c r="TUB36" s="2"/>
      <c r="TUC36" s="2"/>
      <c r="TUD36" s="2"/>
      <c r="TUE36" s="2"/>
      <c r="TUF36" s="2"/>
      <c r="TUG36" s="2"/>
      <c r="TUH36" s="2"/>
      <c r="TUI36" s="2"/>
      <c r="TUJ36" s="2"/>
      <c r="TUK36" s="2"/>
      <c r="TUL36" s="2"/>
      <c r="TUM36" s="2"/>
      <c r="TUN36" s="2"/>
      <c r="TUO36" s="2"/>
      <c r="TUP36" s="2"/>
      <c r="TUQ36" s="2"/>
      <c r="TUR36" s="2"/>
      <c r="TUS36" s="2"/>
      <c r="TUT36" s="2"/>
      <c r="TUU36" s="2"/>
      <c r="TUV36" s="2"/>
      <c r="TUW36" s="2"/>
      <c r="TUX36" s="2"/>
      <c r="TUY36" s="2"/>
      <c r="TUZ36" s="2"/>
      <c r="TVA36" s="2"/>
      <c r="TVB36" s="2"/>
      <c r="TVC36" s="2"/>
      <c r="TVD36" s="2"/>
      <c r="TVE36" s="2"/>
      <c r="TVF36" s="2"/>
      <c r="TVG36" s="2"/>
      <c r="TVH36" s="2"/>
      <c r="TVI36" s="2"/>
      <c r="TVJ36" s="2"/>
      <c r="TVK36" s="2"/>
      <c r="TVL36" s="2"/>
      <c r="TVM36" s="2"/>
      <c r="TVN36" s="2"/>
      <c r="TVO36" s="2"/>
      <c r="TVP36" s="2"/>
      <c r="TVQ36" s="2"/>
      <c r="TVR36" s="2"/>
      <c r="TVS36" s="2"/>
      <c r="TVT36" s="2"/>
      <c r="TVU36" s="2"/>
      <c r="TVV36" s="2"/>
      <c r="TVW36" s="2"/>
      <c r="TVX36" s="2"/>
      <c r="TVY36" s="2"/>
      <c r="TVZ36" s="2"/>
      <c r="TWA36" s="2"/>
      <c r="TWB36" s="2"/>
      <c r="TWC36" s="2"/>
      <c r="TWD36" s="2"/>
      <c r="TWE36" s="2"/>
      <c r="TWF36" s="2"/>
      <c r="TWG36" s="2"/>
      <c r="TWH36" s="2"/>
      <c r="TWI36" s="2"/>
      <c r="TWJ36" s="2"/>
      <c r="TWK36" s="2"/>
      <c r="TWL36" s="2"/>
      <c r="TWM36" s="2"/>
      <c r="TWN36" s="2"/>
      <c r="TWO36" s="2"/>
      <c r="TWP36" s="2"/>
      <c r="TWQ36" s="2"/>
      <c r="TWR36" s="2"/>
      <c r="TWS36" s="2"/>
      <c r="TWT36" s="2"/>
      <c r="TWU36" s="2"/>
      <c r="TWV36" s="2"/>
      <c r="TWW36" s="2"/>
      <c r="TWX36" s="2"/>
      <c r="TWY36" s="2"/>
      <c r="TWZ36" s="2"/>
      <c r="TXA36" s="2"/>
      <c r="TXB36" s="2"/>
      <c r="TXC36" s="2"/>
      <c r="TXD36" s="2"/>
      <c r="TXE36" s="2"/>
      <c r="TXF36" s="2"/>
      <c r="TXG36" s="2"/>
      <c r="TXH36" s="2"/>
      <c r="TXI36" s="2"/>
      <c r="TXJ36" s="2"/>
      <c r="TXK36" s="2"/>
      <c r="TXL36" s="2"/>
      <c r="TXM36" s="2"/>
      <c r="TXN36" s="2"/>
      <c r="TXO36" s="2"/>
      <c r="TXP36" s="2"/>
      <c r="TXQ36" s="2"/>
      <c r="TXR36" s="2"/>
      <c r="TXS36" s="2"/>
      <c r="TXT36" s="2"/>
      <c r="TXU36" s="2"/>
      <c r="TXV36" s="2"/>
      <c r="TXW36" s="2"/>
      <c r="TXX36" s="2"/>
      <c r="TXY36" s="2"/>
      <c r="TXZ36" s="2"/>
      <c r="TYA36" s="2"/>
      <c r="TYB36" s="2"/>
      <c r="TYC36" s="2"/>
      <c r="TYD36" s="2"/>
      <c r="TYE36" s="2"/>
      <c r="TYF36" s="2"/>
      <c r="TYG36" s="2"/>
      <c r="TYH36" s="2"/>
      <c r="TYI36" s="2"/>
      <c r="TYJ36" s="2"/>
      <c r="TYK36" s="2"/>
      <c r="TYL36" s="2"/>
      <c r="TYM36" s="2"/>
      <c r="TYN36" s="2"/>
      <c r="TYO36" s="2"/>
      <c r="TYP36" s="2"/>
      <c r="TYQ36" s="2"/>
      <c r="TYR36" s="2"/>
      <c r="TYS36" s="2"/>
      <c r="TYT36" s="2"/>
      <c r="TYU36" s="2"/>
      <c r="TYV36" s="2"/>
      <c r="TYW36" s="2"/>
      <c r="TYX36" s="2"/>
      <c r="TYY36" s="2"/>
      <c r="TYZ36" s="2"/>
      <c r="TZA36" s="2"/>
      <c r="TZB36" s="2"/>
      <c r="TZC36" s="2"/>
      <c r="TZD36" s="2"/>
      <c r="TZE36" s="2"/>
      <c r="TZF36" s="2"/>
      <c r="TZG36" s="2"/>
      <c r="TZH36" s="2"/>
      <c r="TZI36" s="2"/>
      <c r="TZJ36" s="2"/>
      <c r="TZK36" s="2"/>
      <c r="TZL36" s="2"/>
      <c r="TZM36" s="2"/>
      <c r="TZN36" s="2"/>
      <c r="TZO36" s="2"/>
      <c r="TZP36" s="2"/>
      <c r="TZQ36" s="2"/>
      <c r="TZR36" s="2"/>
      <c r="TZS36" s="2"/>
      <c r="TZT36" s="2"/>
      <c r="TZU36" s="2"/>
      <c r="TZV36" s="2"/>
      <c r="TZW36" s="2"/>
      <c r="TZX36" s="2"/>
      <c r="TZY36" s="2"/>
      <c r="TZZ36" s="2"/>
      <c r="UAA36" s="2"/>
      <c r="UAB36" s="2"/>
      <c r="UAC36" s="2"/>
      <c r="UAD36" s="2"/>
      <c r="UAE36" s="2"/>
      <c r="UAF36" s="2"/>
      <c r="UAG36" s="2"/>
      <c r="UAH36" s="2"/>
      <c r="UAI36" s="2"/>
      <c r="UAJ36" s="2"/>
      <c r="UAK36" s="2"/>
      <c r="UAL36" s="2"/>
      <c r="UAM36" s="2"/>
      <c r="UAN36" s="2"/>
      <c r="UAO36" s="2"/>
      <c r="UAP36" s="2"/>
      <c r="UAQ36" s="2"/>
      <c r="UAR36" s="2"/>
      <c r="UAS36" s="2"/>
      <c r="UAT36" s="2"/>
      <c r="UAU36" s="2"/>
      <c r="UAV36" s="2"/>
      <c r="UAW36" s="2"/>
      <c r="UAX36" s="2"/>
      <c r="UAY36" s="2"/>
      <c r="UAZ36" s="2"/>
      <c r="UBA36" s="2"/>
      <c r="UBB36" s="2"/>
      <c r="UBC36" s="2"/>
      <c r="UBD36" s="2"/>
      <c r="UBE36" s="2"/>
      <c r="UBF36" s="2"/>
      <c r="UBG36" s="2"/>
      <c r="UBH36" s="2"/>
      <c r="UBI36" s="2"/>
      <c r="UBJ36" s="2"/>
      <c r="UBK36" s="2"/>
      <c r="UBL36" s="2"/>
      <c r="UBM36" s="2"/>
      <c r="UBN36" s="2"/>
      <c r="UBO36" s="2"/>
      <c r="UBP36" s="2"/>
      <c r="UBQ36" s="2"/>
      <c r="UBR36" s="2"/>
      <c r="UBS36" s="2"/>
      <c r="UBT36" s="2"/>
      <c r="UBU36" s="2"/>
      <c r="UBV36" s="2"/>
      <c r="UBW36" s="2"/>
      <c r="UBX36" s="2"/>
      <c r="UBY36" s="2"/>
      <c r="UBZ36" s="2"/>
      <c r="UCA36" s="2"/>
      <c r="UCB36" s="2"/>
      <c r="UCC36" s="2"/>
      <c r="UCD36" s="2"/>
      <c r="UCE36" s="2"/>
      <c r="UCF36" s="2"/>
      <c r="UCG36" s="2"/>
      <c r="UCH36" s="2"/>
      <c r="UCI36" s="2"/>
      <c r="UCJ36" s="2"/>
      <c r="UCK36" s="2"/>
      <c r="UCL36" s="2"/>
      <c r="UCM36" s="2"/>
      <c r="UCN36" s="2"/>
      <c r="UCO36" s="2"/>
      <c r="UCP36" s="2"/>
      <c r="UCQ36" s="2"/>
      <c r="UCR36" s="2"/>
      <c r="UCS36" s="2"/>
      <c r="UCT36" s="2"/>
      <c r="UCU36" s="2"/>
      <c r="UCV36" s="2"/>
      <c r="UCW36" s="2"/>
      <c r="UCX36" s="2"/>
      <c r="UCY36" s="2"/>
      <c r="UCZ36" s="2"/>
      <c r="UDA36" s="2"/>
      <c r="UDB36" s="2"/>
      <c r="UDC36" s="2"/>
      <c r="UDD36" s="2"/>
      <c r="UDE36" s="2"/>
      <c r="UDF36" s="2"/>
      <c r="UDG36" s="2"/>
      <c r="UDH36" s="2"/>
      <c r="UDI36" s="2"/>
      <c r="UDJ36" s="2"/>
      <c r="UDK36" s="2"/>
      <c r="UDL36" s="2"/>
      <c r="UDM36" s="2"/>
      <c r="UDN36" s="2"/>
      <c r="UDO36" s="2"/>
      <c r="UDP36" s="2"/>
      <c r="UDQ36" s="2"/>
      <c r="UDR36" s="2"/>
      <c r="UDS36" s="2"/>
      <c r="UDT36" s="2"/>
      <c r="UDU36" s="2"/>
      <c r="UDV36" s="2"/>
      <c r="UDW36" s="2"/>
      <c r="UDX36" s="2"/>
      <c r="UDY36" s="2"/>
      <c r="UDZ36" s="2"/>
      <c r="UEA36" s="2"/>
      <c r="UEB36" s="2"/>
      <c r="UEC36" s="2"/>
      <c r="UED36" s="2"/>
      <c r="UEE36" s="2"/>
      <c r="UEF36" s="2"/>
      <c r="UEG36" s="2"/>
      <c r="UEH36" s="2"/>
      <c r="UEI36" s="2"/>
      <c r="UEJ36" s="2"/>
      <c r="UEK36" s="2"/>
      <c r="UEL36" s="2"/>
      <c r="UEM36" s="2"/>
      <c r="UEN36" s="2"/>
      <c r="UEO36" s="2"/>
      <c r="UEP36" s="2"/>
      <c r="UEQ36" s="2"/>
      <c r="UER36" s="2"/>
      <c r="UES36" s="2"/>
      <c r="UET36" s="2"/>
      <c r="UEU36" s="2"/>
      <c r="UEV36" s="2"/>
      <c r="UEW36" s="2"/>
      <c r="UEX36" s="2"/>
      <c r="UEY36" s="2"/>
      <c r="UEZ36" s="2"/>
      <c r="UFA36" s="2"/>
      <c r="UFB36" s="2"/>
      <c r="UFC36" s="2"/>
      <c r="UFD36" s="2"/>
      <c r="UFE36" s="2"/>
      <c r="UFF36" s="2"/>
      <c r="UFG36" s="2"/>
      <c r="UFH36" s="2"/>
      <c r="UFI36" s="2"/>
      <c r="UFJ36" s="2"/>
      <c r="UFK36" s="2"/>
      <c r="UFL36" s="2"/>
      <c r="UFM36" s="2"/>
      <c r="UFN36" s="2"/>
      <c r="UFO36" s="2"/>
      <c r="UFP36" s="2"/>
      <c r="UFQ36" s="2"/>
      <c r="UFR36" s="2"/>
      <c r="UFS36" s="2"/>
      <c r="UFT36" s="2"/>
      <c r="UFU36" s="2"/>
      <c r="UFV36" s="2"/>
      <c r="UFW36" s="2"/>
      <c r="UFX36" s="2"/>
      <c r="UFY36" s="2"/>
      <c r="UFZ36" s="2"/>
      <c r="UGA36" s="2"/>
      <c r="UGB36" s="2"/>
      <c r="UGC36" s="2"/>
      <c r="UGD36" s="2"/>
      <c r="UGE36" s="2"/>
      <c r="UGF36" s="2"/>
      <c r="UGG36" s="2"/>
      <c r="UGH36" s="2"/>
      <c r="UGI36" s="2"/>
      <c r="UGJ36" s="2"/>
      <c r="UGK36" s="2"/>
      <c r="UGL36" s="2"/>
      <c r="UGM36" s="2"/>
      <c r="UGN36" s="2"/>
      <c r="UGO36" s="2"/>
      <c r="UGP36" s="2"/>
      <c r="UGQ36" s="2"/>
      <c r="UGR36" s="2"/>
      <c r="UGS36" s="2"/>
      <c r="UGT36" s="2"/>
      <c r="UGU36" s="2"/>
      <c r="UGV36" s="2"/>
      <c r="UGW36" s="2"/>
      <c r="UGX36" s="2"/>
      <c r="UGY36" s="2"/>
      <c r="UGZ36" s="2"/>
      <c r="UHA36" s="2"/>
      <c r="UHB36" s="2"/>
      <c r="UHC36" s="2"/>
      <c r="UHD36" s="2"/>
      <c r="UHE36" s="2"/>
      <c r="UHF36" s="2"/>
      <c r="UHG36" s="2"/>
      <c r="UHH36" s="2"/>
      <c r="UHI36" s="2"/>
      <c r="UHJ36" s="2"/>
      <c r="UHK36" s="2"/>
      <c r="UHL36" s="2"/>
      <c r="UHM36" s="2"/>
      <c r="UHN36" s="2"/>
      <c r="UHO36" s="2"/>
      <c r="UHP36" s="2"/>
      <c r="UHQ36" s="2"/>
      <c r="UHR36" s="2"/>
      <c r="UHS36" s="2"/>
      <c r="UHT36" s="2"/>
      <c r="UHU36" s="2"/>
      <c r="UHV36" s="2"/>
      <c r="UHW36" s="2"/>
      <c r="UHX36" s="2"/>
      <c r="UHY36" s="2"/>
      <c r="UHZ36" s="2"/>
      <c r="UIA36" s="2"/>
      <c r="UIB36" s="2"/>
      <c r="UIC36" s="2"/>
      <c r="UID36" s="2"/>
      <c r="UIE36" s="2"/>
      <c r="UIF36" s="2"/>
      <c r="UIG36" s="2"/>
      <c r="UIH36" s="2"/>
      <c r="UII36" s="2"/>
      <c r="UIJ36" s="2"/>
      <c r="UIK36" s="2"/>
      <c r="UIL36" s="2"/>
      <c r="UIM36" s="2"/>
      <c r="UIN36" s="2"/>
      <c r="UIO36" s="2"/>
      <c r="UIP36" s="2"/>
      <c r="UIQ36" s="2"/>
      <c r="UIR36" s="2"/>
      <c r="UIS36" s="2"/>
      <c r="UIT36" s="2"/>
      <c r="UIU36" s="2"/>
      <c r="UIV36" s="2"/>
      <c r="UIW36" s="2"/>
      <c r="UIX36" s="2"/>
      <c r="UIY36" s="2"/>
      <c r="UIZ36" s="2"/>
      <c r="UJA36" s="2"/>
      <c r="UJB36" s="2"/>
      <c r="UJC36" s="2"/>
      <c r="UJD36" s="2"/>
      <c r="UJE36" s="2"/>
      <c r="UJF36" s="2"/>
      <c r="UJG36" s="2"/>
      <c r="UJH36" s="2"/>
      <c r="UJI36" s="2"/>
      <c r="UJJ36" s="2"/>
      <c r="UJK36" s="2"/>
      <c r="UJL36" s="2"/>
      <c r="UJM36" s="2"/>
      <c r="UJN36" s="2"/>
      <c r="UJO36" s="2"/>
      <c r="UJP36" s="2"/>
      <c r="UJQ36" s="2"/>
      <c r="UJR36" s="2"/>
      <c r="UJS36" s="2"/>
      <c r="UJT36" s="2"/>
      <c r="UJU36" s="2"/>
      <c r="UJV36" s="2"/>
      <c r="UJW36" s="2"/>
      <c r="UJX36" s="2"/>
      <c r="UJY36" s="2"/>
      <c r="UJZ36" s="2"/>
      <c r="UKA36" s="2"/>
      <c r="UKB36" s="2"/>
      <c r="UKC36" s="2"/>
      <c r="UKD36" s="2"/>
      <c r="UKE36" s="2"/>
      <c r="UKF36" s="2"/>
      <c r="UKG36" s="2"/>
      <c r="UKH36" s="2"/>
      <c r="UKI36" s="2"/>
      <c r="UKJ36" s="2"/>
      <c r="UKK36" s="2"/>
      <c r="UKL36" s="2"/>
      <c r="UKM36" s="2"/>
      <c r="UKN36" s="2"/>
      <c r="UKO36" s="2"/>
      <c r="UKP36" s="2"/>
      <c r="UKQ36" s="2"/>
      <c r="UKR36" s="2"/>
      <c r="UKS36" s="2"/>
      <c r="UKT36" s="2"/>
      <c r="UKU36" s="2"/>
      <c r="UKV36" s="2"/>
      <c r="UKW36" s="2"/>
      <c r="UKX36" s="2"/>
      <c r="UKY36" s="2"/>
      <c r="UKZ36" s="2"/>
      <c r="ULA36" s="2"/>
      <c r="ULB36" s="2"/>
      <c r="ULC36" s="2"/>
      <c r="ULD36" s="2"/>
      <c r="ULE36" s="2"/>
      <c r="ULF36" s="2"/>
      <c r="ULG36" s="2"/>
      <c r="ULH36" s="2"/>
      <c r="ULI36" s="2"/>
      <c r="ULJ36" s="2"/>
      <c r="ULK36" s="2"/>
      <c r="ULL36" s="2"/>
      <c r="ULM36" s="2"/>
      <c r="ULN36" s="2"/>
      <c r="ULO36" s="2"/>
      <c r="ULP36" s="2"/>
      <c r="ULQ36" s="2"/>
      <c r="ULR36" s="2"/>
      <c r="ULS36" s="2"/>
      <c r="ULT36" s="2"/>
      <c r="ULU36" s="2"/>
      <c r="ULV36" s="2"/>
      <c r="ULW36" s="2"/>
      <c r="ULX36" s="2"/>
      <c r="ULY36" s="2"/>
      <c r="ULZ36" s="2"/>
      <c r="UMA36" s="2"/>
      <c r="UMB36" s="2"/>
      <c r="UMC36" s="2"/>
      <c r="UMD36" s="2"/>
      <c r="UME36" s="2"/>
      <c r="UMF36" s="2"/>
      <c r="UMG36" s="2"/>
      <c r="UMH36" s="2"/>
      <c r="UMI36" s="2"/>
      <c r="UMJ36" s="2"/>
      <c r="UMK36" s="2"/>
      <c r="UML36" s="2"/>
      <c r="UMM36" s="2"/>
      <c r="UMN36" s="2"/>
      <c r="UMO36" s="2"/>
      <c r="UMP36" s="2"/>
      <c r="UMQ36" s="2"/>
      <c r="UMR36" s="2"/>
      <c r="UMS36" s="2"/>
      <c r="UMT36" s="2"/>
      <c r="UMU36" s="2"/>
      <c r="UMV36" s="2"/>
      <c r="UMW36" s="2"/>
      <c r="UMX36" s="2"/>
      <c r="UMY36" s="2"/>
      <c r="UMZ36" s="2"/>
      <c r="UNA36" s="2"/>
      <c r="UNB36" s="2"/>
      <c r="UNC36" s="2"/>
      <c r="UND36" s="2"/>
      <c r="UNE36" s="2"/>
      <c r="UNF36" s="2"/>
      <c r="UNG36" s="2"/>
      <c r="UNH36" s="2"/>
      <c r="UNI36" s="2"/>
      <c r="UNJ36" s="2"/>
      <c r="UNK36" s="2"/>
      <c r="UNL36" s="2"/>
      <c r="UNM36" s="2"/>
      <c r="UNN36" s="2"/>
      <c r="UNO36" s="2"/>
      <c r="UNP36" s="2"/>
      <c r="UNQ36" s="2"/>
      <c r="UNR36" s="2"/>
      <c r="UNS36" s="2"/>
      <c r="UNT36" s="2"/>
      <c r="UNU36" s="2"/>
      <c r="UNV36" s="2"/>
      <c r="UNW36" s="2"/>
      <c r="UNX36" s="2"/>
      <c r="UNY36" s="2"/>
      <c r="UNZ36" s="2"/>
      <c r="UOA36" s="2"/>
      <c r="UOB36" s="2"/>
      <c r="UOC36" s="2"/>
      <c r="UOD36" s="2"/>
      <c r="UOE36" s="2"/>
      <c r="UOF36" s="2"/>
      <c r="UOG36" s="2"/>
      <c r="UOH36" s="2"/>
      <c r="UOI36" s="2"/>
      <c r="UOJ36" s="2"/>
      <c r="UOK36" s="2"/>
      <c r="UOL36" s="2"/>
      <c r="UOM36" s="2"/>
      <c r="UON36" s="2"/>
      <c r="UOO36" s="2"/>
      <c r="UOP36" s="2"/>
      <c r="UOQ36" s="2"/>
      <c r="UOR36" s="2"/>
      <c r="UOS36" s="2"/>
      <c r="UOT36" s="2"/>
      <c r="UOU36" s="2"/>
      <c r="UOV36" s="2"/>
      <c r="UOW36" s="2"/>
      <c r="UOX36" s="2"/>
      <c r="UOY36" s="2"/>
      <c r="UOZ36" s="2"/>
      <c r="UPA36" s="2"/>
      <c r="UPB36" s="2"/>
      <c r="UPC36" s="2"/>
      <c r="UPD36" s="2"/>
      <c r="UPE36" s="2"/>
      <c r="UPF36" s="2"/>
      <c r="UPG36" s="2"/>
      <c r="UPH36" s="2"/>
      <c r="UPI36" s="2"/>
      <c r="UPJ36" s="2"/>
      <c r="UPK36" s="2"/>
      <c r="UPL36" s="2"/>
      <c r="UPM36" s="2"/>
      <c r="UPN36" s="2"/>
      <c r="UPO36" s="2"/>
      <c r="UPP36" s="2"/>
      <c r="UPQ36" s="2"/>
      <c r="UPR36" s="2"/>
      <c r="UPS36" s="2"/>
      <c r="UPT36" s="2"/>
      <c r="UPU36" s="2"/>
      <c r="UPV36" s="2"/>
      <c r="UPW36" s="2"/>
      <c r="UPX36" s="2"/>
      <c r="UPY36" s="2"/>
      <c r="UPZ36" s="2"/>
      <c r="UQA36" s="2"/>
      <c r="UQB36" s="2"/>
      <c r="UQC36" s="2"/>
      <c r="UQD36" s="2"/>
      <c r="UQE36" s="2"/>
      <c r="UQF36" s="2"/>
      <c r="UQG36" s="2"/>
      <c r="UQH36" s="2"/>
      <c r="UQI36" s="2"/>
      <c r="UQJ36" s="2"/>
      <c r="UQK36" s="2"/>
      <c r="UQL36" s="2"/>
      <c r="UQM36" s="2"/>
      <c r="UQN36" s="2"/>
      <c r="UQO36" s="2"/>
      <c r="UQP36" s="2"/>
      <c r="UQQ36" s="2"/>
      <c r="UQR36" s="2"/>
      <c r="UQS36" s="2"/>
      <c r="UQT36" s="2"/>
      <c r="UQU36" s="2"/>
      <c r="UQV36" s="2"/>
      <c r="UQW36" s="2"/>
      <c r="UQX36" s="2"/>
      <c r="UQY36" s="2"/>
      <c r="UQZ36" s="2"/>
      <c r="URA36" s="2"/>
      <c r="URB36" s="2"/>
      <c r="URC36" s="2"/>
      <c r="URD36" s="2"/>
      <c r="URE36" s="2"/>
      <c r="URF36" s="2"/>
      <c r="URG36" s="2"/>
      <c r="URH36" s="2"/>
      <c r="URI36" s="2"/>
      <c r="URJ36" s="2"/>
      <c r="URK36" s="2"/>
      <c r="URL36" s="2"/>
      <c r="URM36" s="2"/>
      <c r="URN36" s="2"/>
      <c r="URO36" s="2"/>
      <c r="URP36" s="2"/>
      <c r="URQ36" s="2"/>
      <c r="URR36" s="2"/>
      <c r="URS36" s="2"/>
      <c r="URT36" s="2"/>
      <c r="URU36" s="2"/>
      <c r="URV36" s="2"/>
      <c r="URW36" s="2"/>
      <c r="URX36" s="2"/>
      <c r="URY36" s="2"/>
      <c r="URZ36" s="2"/>
      <c r="USA36" s="2"/>
      <c r="USB36" s="2"/>
      <c r="USC36" s="2"/>
      <c r="USD36" s="2"/>
      <c r="USE36" s="2"/>
      <c r="USF36" s="2"/>
      <c r="USG36" s="2"/>
      <c r="USH36" s="2"/>
      <c r="USI36" s="2"/>
      <c r="USJ36" s="2"/>
      <c r="USK36" s="2"/>
      <c r="USL36" s="2"/>
      <c r="USM36" s="2"/>
      <c r="USN36" s="2"/>
      <c r="USO36" s="2"/>
      <c r="USP36" s="2"/>
      <c r="USQ36" s="2"/>
      <c r="USR36" s="2"/>
      <c r="USS36" s="2"/>
      <c r="UST36" s="2"/>
      <c r="USU36" s="2"/>
      <c r="USV36" s="2"/>
      <c r="USW36" s="2"/>
      <c r="USX36" s="2"/>
      <c r="USY36" s="2"/>
      <c r="USZ36" s="2"/>
      <c r="UTA36" s="2"/>
      <c r="UTB36" s="2"/>
      <c r="UTC36" s="2"/>
      <c r="UTD36" s="2"/>
      <c r="UTE36" s="2"/>
      <c r="UTF36" s="2"/>
      <c r="UTG36" s="2"/>
      <c r="UTH36" s="2"/>
      <c r="UTI36" s="2"/>
      <c r="UTJ36" s="2"/>
      <c r="UTK36" s="2"/>
      <c r="UTL36" s="2"/>
      <c r="UTM36" s="2"/>
      <c r="UTN36" s="2"/>
      <c r="UTO36" s="2"/>
      <c r="UTP36" s="2"/>
      <c r="UTQ36" s="2"/>
      <c r="UTR36" s="2"/>
      <c r="UTS36" s="2"/>
      <c r="UTT36" s="2"/>
      <c r="UTU36" s="2"/>
      <c r="UTV36" s="2"/>
      <c r="UTW36" s="2"/>
      <c r="UTX36" s="2"/>
      <c r="UTY36" s="2"/>
      <c r="UTZ36" s="2"/>
      <c r="UUA36" s="2"/>
      <c r="UUB36" s="2"/>
      <c r="UUC36" s="2"/>
      <c r="UUD36" s="2"/>
      <c r="UUE36" s="2"/>
      <c r="UUF36" s="2"/>
      <c r="UUG36" s="2"/>
      <c r="UUH36" s="2"/>
      <c r="UUI36" s="2"/>
      <c r="UUJ36" s="2"/>
      <c r="UUK36" s="2"/>
      <c r="UUL36" s="2"/>
      <c r="UUM36" s="2"/>
      <c r="UUN36" s="2"/>
      <c r="UUO36" s="2"/>
      <c r="UUP36" s="2"/>
      <c r="UUQ36" s="2"/>
      <c r="UUR36" s="2"/>
      <c r="UUS36" s="2"/>
      <c r="UUT36" s="2"/>
      <c r="UUU36" s="2"/>
      <c r="UUV36" s="2"/>
      <c r="UUW36" s="2"/>
      <c r="UUX36" s="2"/>
      <c r="UUY36" s="2"/>
      <c r="UUZ36" s="2"/>
      <c r="UVA36" s="2"/>
      <c r="UVB36" s="2"/>
      <c r="UVC36" s="2"/>
      <c r="UVD36" s="2"/>
      <c r="UVE36" s="2"/>
      <c r="UVF36" s="2"/>
      <c r="UVG36" s="2"/>
      <c r="UVH36" s="2"/>
      <c r="UVI36" s="2"/>
      <c r="UVJ36" s="2"/>
      <c r="UVK36" s="2"/>
      <c r="UVL36" s="2"/>
      <c r="UVM36" s="2"/>
      <c r="UVN36" s="2"/>
      <c r="UVO36" s="2"/>
      <c r="UVP36" s="2"/>
      <c r="UVQ36" s="2"/>
      <c r="UVR36" s="2"/>
      <c r="UVS36" s="2"/>
      <c r="UVT36" s="2"/>
      <c r="UVU36" s="2"/>
      <c r="UVV36" s="2"/>
      <c r="UVW36" s="2"/>
      <c r="UVX36" s="2"/>
      <c r="UVY36" s="2"/>
      <c r="UVZ36" s="2"/>
      <c r="UWA36" s="2"/>
      <c r="UWB36" s="2"/>
      <c r="UWC36" s="2"/>
      <c r="UWD36" s="2"/>
      <c r="UWE36" s="2"/>
      <c r="UWF36" s="2"/>
      <c r="UWG36" s="2"/>
      <c r="UWH36" s="2"/>
      <c r="UWI36" s="2"/>
      <c r="UWJ36" s="2"/>
      <c r="UWK36" s="2"/>
      <c r="UWL36" s="2"/>
      <c r="UWM36" s="2"/>
      <c r="UWN36" s="2"/>
      <c r="UWO36" s="2"/>
      <c r="UWP36" s="2"/>
      <c r="UWQ36" s="2"/>
      <c r="UWR36" s="2"/>
      <c r="UWS36" s="2"/>
      <c r="UWT36" s="2"/>
      <c r="UWU36" s="2"/>
      <c r="UWV36" s="2"/>
      <c r="UWW36" s="2"/>
      <c r="UWX36" s="2"/>
      <c r="UWY36" s="2"/>
      <c r="UWZ36" s="2"/>
      <c r="UXA36" s="2"/>
      <c r="UXB36" s="2"/>
      <c r="UXC36" s="2"/>
      <c r="UXD36" s="2"/>
      <c r="UXE36" s="2"/>
      <c r="UXF36" s="2"/>
      <c r="UXG36" s="2"/>
      <c r="UXH36" s="2"/>
      <c r="UXI36" s="2"/>
      <c r="UXJ36" s="2"/>
      <c r="UXK36" s="2"/>
      <c r="UXL36" s="2"/>
      <c r="UXM36" s="2"/>
      <c r="UXN36" s="2"/>
      <c r="UXO36" s="2"/>
      <c r="UXP36" s="2"/>
      <c r="UXQ36" s="2"/>
      <c r="UXR36" s="2"/>
      <c r="UXS36" s="2"/>
      <c r="UXT36" s="2"/>
      <c r="UXU36" s="2"/>
      <c r="UXV36" s="2"/>
      <c r="UXW36" s="2"/>
      <c r="UXX36" s="2"/>
      <c r="UXY36" s="2"/>
      <c r="UXZ36" s="2"/>
      <c r="UYA36" s="2"/>
      <c r="UYB36" s="2"/>
      <c r="UYC36" s="2"/>
      <c r="UYD36" s="2"/>
      <c r="UYE36" s="2"/>
      <c r="UYF36" s="2"/>
      <c r="UYG36" s="2"/>
      <c r="UYH36" s="2"/>
      <c r="UYI36" s="2"/>
      <c r="UYJ36" s="2"/>
      <c r="UYK36" s="2"/>
      <c r="UYL36" s="2"/>
      <c r="UYM36" s="2"/>
      <c r="UYN36" s="2"/>
      <c r="UYO36" s="2"/>
      <c r="UYP36" s="2"/>
      <c r="UYQ36" s="2"/>
      <c r="UYR36" s="2"/>
      <c r="UYS36" s="2"/>
      <c r="UYT36" s="2"/>
      <c r="UYU36" s="2"/>
      <c r="UYV36" s="2"/>
      <c r="UYW36" s="2"/>
      <c r="UYX36" s="2"/>
      <c r="UYY36" s="2"/>
      <c r="UYZ36" s="2"/>
      <c r="UZA36" s="2"/>
      <c r="UZB36" s="2"/>
      <c r="UZC36" s="2"/>
      <c r="UZD36" s="2"/>
      <c r="UZE36" s="2"/>
      <c r="UZF36" s="2"/>
      <c r="UZG36" s="2"/>
      <c r="UZH36" s="2"/>
      <c r="UZI36" s="2"/>
      <c r="UZJ36" s="2"/>
      <c r="UZK36" s="2"/>
      <c r="UZL36" s="2"/>
      <c r="UZM36" s="2"/>
      <c r="UZN36" s="2"/>
      <c r="UZO36" s="2"/>
      <c r="UZP36" s="2"/>
      <c r="UZQ36" s="2"/>
      <c r="UZR36" s="2"/>
      <c r="UZS36" s="2"/>
      <c r="UZT36" s="2"/>
      <c r="UZU36" s="2"/>
      <c r="UZV36" s="2"/>
      <c r="UZW36" s="2"/>
      <c r="UZX36" s="2"/>
      <c r="UZY36" s="2"/>
      <c r="UZZ36" s="2"/>
      <c r="VAA36" s="2"/>
      <c r="VAB36" s="2"/>
      <c r="VAC36" s="2"/>
      <c r="VAD36" s="2"/>
      <c r="VAE36" s="2"/>
      <c r="VAF36" s="2"/>
      <c r="VAG36" s="2"/>
      <c r="VAH36" s="2"/>
      <c r="VAI36" s="2"/>
      <c r="VAJ36" s="2"/>
      <c r="VAK36" s="2"/>
      <c r="VAL36" s="2"/>
      <c r="VAM36" s="2"/>
      <c r="VAN36" s="2"/>
      <c r="VAO36" s="2"/>
      <c r="VAP36" s="2"/>
      <c r="VAQ36" s="2"/>
      <c r="VAR36" s="2"/>
      <c r="VAS36" s="2"/>
      <c r="VAT36" s="2"/>
      <c r="VAU36" s="2"/>
      <c r="VAV36" s="2"/>
      <c r="VAW36" s="2"/>
      <c r="VAX36" s="2"/>
      <c r="VAY36" s="2"/>
      <c r="VAZ36" s="2"/>
      <c r="VBA36" s="2"/>
      <c r="VBB36" s="2"/>
      <c r="VBC36" s="2"/>
      <c r="VBD36" s="2"/>
      <c r="VBE36" s="2"/>
      <c r="VBF36" s="2"/>
      <c r="VBG36" s="2"/>
      <c r="VBH36" s="2"/>
      <c r="VBI36" s="2"/>
      <c r="VBJ36" s="2"/>
      <c r="VBK36" s="2"/>
      <c r="VBL36" s="2"/>
      <c r="VBM36" s="2"/>
      <c r="VBN36" s="2"/>
      <c r="VBO36" s="2"/>
      <c r="VBP36" s="2"/>
      <c r="VBQ36" s="2"/>
      <c r="VBR36" s="2"/>
      <c r="VBS36" s="2"/>
      <c r="VBT36" s="2"/>
      <c r="VBU36" s="2"/>
      <c r="VBV36" s="2"/>
      <c r="VBW36" s="2"/>
      <c r="VBX36" s="2"/>
      <c r="VBY36" s="2"/>
      <c r="VBZ36" s="2"/>
      <c r="VCA36" s="2"/>
      <c r="VCB36" s="2"/>
      <c r="VCC36" s="2"/>
      <c r="VCD36" s="2"/>
      <c r="VCE36" s="2"/>
      <c r="VCF36" s="2"/>
      <c r="VCG36" s="2"/>
      <c r="VCH36" s="2"/>
      <c r="VCI36" s="2"/>
      <c r="VCJ36" s="2"/>
      <c r="VCK36" s="2"/>
      <c r="VCL36" s="2"/>
      <c r="VCM36" s="2"/>
      <c r="VCN36" s="2"/>
      <c r="VCO36" s="2"/>
      <c r="VCP36" s="2"/>
      <c r="VCQ36" s="2"/>
      <c r="VCR36" s="2"/>
      <c r="VCS36" s="2"/>
      <c r="VCT36" s="2"/>
      <c r="VCU36" s="2"/>
      <c r="VCV36" s="2"/>
      <c r="VCW36" s="2"/>
      <c r="VCX36" s="2"/>
      <c r="VCY36" s="2"/>
      <c r="VCZ36" s="2"/>
      <c r="VDA36" s="2"/>
      <c r="VDB36" s="2"/>
      <c r="VDC36" s="2"/>
      <c r="VDD36" s="2"/>
      <c r="VDE36" s="2"/>
      <c r="VDF36" s="2"/>
      <c r="VDG36" s="2"/>
      <c r="VDH36" s="2"/>
      <c r="VDI36" s="2"/>
      <c r="VDJ36" s="2"/>
      <c r="VDK36" s="2"/>
      <c r="VDL36" s="2"/>
      <c r="VDM36" s="2"/>
      <c r="VDN36" s="2"/>
      <c r="VDO36" s="2"/>
      <c r="VDP36" s="2"/>
      <c r="VDQ36" s="2"/>
      <c r="VDR36" s="2"/>
      <c r="VDS36" s="2"/>
      <c r="VDT36" s="2"/>
      <c r="VDU36" s="2"/>
      <c r="VDV36" s="2"/>
      <c r="VDW36" s="2"/>
      <c r="VDX36" s="2"/>
      <c r="VDY36" s="2"/>
      <c r="VDZ36" s="2"/>
      <c r="VEA36" s="2"/>
      <c r="VEB36" s="2"/>
      <c r="VEC36" s="2"/>
      <c r="VED36" s="2"/>
      <c r="VEE36" s="2"/>
      <c r="VEF36" s="2"/>
      <c r="VEG36" s="2"/>
      <c r="VEH36" s="2"/>
      <c r="VEI36" s="2"/>
      <c r="VEJ36" s="2"/>
      <c r="VEK36" s="2"/>
      <c r="VEL36" s="2"/>
      <c r="VEM36" s="2"/>
      <c r="VEN36" s="2"/>
      <c r="VEO36" s="2"/>
      <c r="VEP36" s="2"/>
      <c r="VEQ36" s="2"/>
      <c r="VER36" s="2"/>
      <c r="VES36" s="2"/>
      <c r="VET36" s="2"/>
      <c r="VEU36" s="2"/>
      <c r="VEV36" s="2"/>
      <c r="VEW36" s="2"/>
      <c r="VEX36" s="2"/>
      <c r="VEY36" s="2"/>
      <c r="VEZ36" s="2"/>
      <c r="VFA36" s="2"/>
      <c r="VFB36" s="2"/>
      <c r="VFC36" s="2"/>
      <c r="VFD36" s="2"/>
      <c r="VFE36" s="2"/>
      <c r="VFF36" s="2"/>
      <c r="VFG36" s="2"/>
      <c r="VFH36" s="2"/>
      <c r="VFI36" s="2"/>
      <c r="VFJ36" s="2"/>
      <c r="VFK36" s="2"/>
      <c r="VFL36" s="2"/>
      <c r="VFM36" s="2"/>
      <c r="VFN36" s="2"/>
      <c r="VFO36" s="2"/>
      <c r="VFP36" s="2"/>
      <c r="VFQ36" s="2"/>
      <c r="VFR36" s="2"/>
      <c r="VFS36" s="2"/>
      <c r="VFT36" s="2"/>
      <c r="VFU36" s="2"/>
      <c r="VFV36" s="2"/>
      <c r="VFW36" s="2"/>
      <c r="VFX36" s="2"/>
      <c r="VFY36" s="2"/>
      <c r="VFZ36" s="2"/>
      <c r="VGA36" s="2"/>
      <c r="VGB36" s="2"/>
      <c r="VGC36" s="2"/>
      <c r="VGD36" s="2"/>
      <c r="VGE36" s="2"/>
      <c r="VGF36" s="2"/>
      <c r="VGG36" s="2"/>
      <c r="VGH36" s="2"/>
      <c r="VGI36" s="2"/>
      <c r="VGJ36" s="2"/>
      <c r="VGK36" s="2"/>
      <c r="VGL36" s="2"/>
      <c r="VGM36" s="2"/>
      <c r="VGN36" s="2"/>
      <c r="VGO36" s="2"/>
      <c r="VGP36" s="2"/>
      <c r="VGQ36" s="2"/>
      <c r="VGR36" s="2"/>
      <c r="VGS36" s="2"/>
      <c r="VGT36" s="2"/>
      <c r="VGU36" s="2"/>
      <c r="VGV36" s="2"/>
      <c r="VGW36" s="2"/>
      <c r="VGX36" s="2"/>
      <c r="VGY36" s="2"/>
      <c r="VGZ36" s="2"/>
      <c r="VHA36" s="2"/>
      <c r="VHB36" s="2"/>
      <c r="VHC36" s="2"/>
      <c r="VHD36" s="2"/>
      <c r="VHE36" s="2"/>
      <c r="VHF36" s="2"/>
      <c r="VHG36" s="2"/>
      <c r="VHH36" s="2"/>
      <c r="VHI36" s="2"/>
      <c r="VHJ36" s="2"/>
      <c r="VHK36" s="2"/>
      <c r="VHL36" s="2"/>
      <c r="VHM36" s="2"/>
      <c r="VHN36" s="2"/>
      <c r="VHO36" s="2"/>
      <c r="VHP36" s="2"/>
      <c r="VHQ36" s="2"/>
      <c r="VHR36" s="2"/>
      <c r="VHS36" s="2"/>
      <c r="VHT36" s="2"/>
      <c r="VHU36" s="2"/>
      <c r="VHV36" s="2"/>
      <c r="VHW36" s="2"/>
      <c r="VHX36" s="2"/>
      <c r="VHY36" s="2"/>
      <c r="VHZ36" s="2"/>
      <c r="VIA36" s="2"/>
      <c r="VIB36" s="2"/>
      <c r="VIC36" s="2"/>
      <c r="VID36" s="2"/>
      <c r="VIE36" s="2"/>
      <c r="VIF36" s="2"/>
      <c r="VIG36" s="2"/>
      <c r="VIH36" s="2"/>
      <c r="VII36" s="2"/>
      <c r="VIJ36" s="2"/>
      <c r="VIK36" s="2"/>
      <c r="VIL36" s="2"/>
      <c r="VIM36" s="2"/>
      <c r="VIN36" s="2"/>
      <c r="VIO36" s="2"/>
      <c r="VIP36" s="2"/>
      <c r="VIQ36" s="2"/>
      <c r="VIR36" s="2"/>
      <c r="VIS36" s="2"/>
      <c r="VIT36" s="2"/>
      <c r="VIU36" s="2"/>
      <c r="VIV36" s="2"/>
      <c r="VIW36" s="2"/>
      <c r="VIX36" s="2"/>
      <c r="VIY36" s="2"/>
      <c r="VIZ36" s="2"/>
      <c r="VJA36" s="2"/>
      <c r="VJB36" s="2"/>
      <c r="VJC36" s="2"/>
      <c r="VJD36" s="2"/>
      <c r="VJE36" s="2"/>
      <c r="VJF36" s="2"/>
      <c r="VJG36" s="2"/>
      <c r="VJH36" s="2"/>
      <c r="VJI36" s="2"/>
      <c r="VJJ36" s="2"/>
      <c r="VJK36" s="2"/>
      <c r="VJL36" s="2"/>
      <c r="VJM36" s="2"/>
      <c r="VJN36" s="2"/>
      <c r="VJO36" s="2"/>
      <c r="VJP36" s="2"/>
      <c r="VJQ36" s="2"/>
      <c r="VJR36" s="2"/>
      <c r="VJS36" s="2"/>
      <c r="VJT36" s="2"/>
      <c r="VJU36" s="2"/>
      <c r="VJV36" s="2"/>
      <c r="VJW36" s="2"/>
      <c r="VJX36" s="2"/>
      <c r="VJY36" s="2"/>
      <c r="VJZ36" s="2"/>
      <c r="VKA36" s="2"/>
      <c r="VKB36" s="2"/>
      <c r="VKC36" s="2"/>
      <c r="VKD36" s="2"/>
      <c r="VKE36" s="2"/>
      <c r="VKF36" s="2"/>
      <c r="VKG36" s="2"/>
      <c r="VKH36" s="2"/>
      <c r="VKI36" s="2"/>
      <c r="VKJ36" s="2"/>
      <c r="VKK36" s="2"/>
      <c r="VKL36" s="2"/>
      <c r="VKM36" s="2"/>
      <c r="VKN36" s="2"/>
      <c r="VKO36" s="2"/>
      <c r="VKP36" s="2"/>
      <c r="VKQ36" s="2"/>
      <c r="VKR36" s="2"/>
      <c r="VKS36" s="2"/>
      <c r="VKT36" s="2"/>
      <c r="VKU36" s="2"/>
      <c r="VKV36" s="2"/>
      <c r="VKW36" s="2"/>
      <c r="VKX36" s="2"/>
      <c r="VKY36" s="2"/>
      <c r="VKZ36" s="2"/>
      <c r="VLA36" s="2"/>
      <c r="VLB36" s="2"/>
      <c r="VLC36" s="2"/>
      <c r="VLD36" s="2"/>
      <c r="VLE36" s="2"/>
      <c r="VLF36" s="2"/>
      <c r="VLG36" s="2"/>
      <c r="VLH36" s="2"/>
      <c r="VLI36" s="2"/>
      <c r="VLJ36" s="2"/>
      <c r="VLK36" s="2"/>
      <c r="VLL36" s="2"/>
      <c r="VLM36" s="2"/>
      <c r="VLN36" s="2"/>
      <c r="VLO36" s="2"/>
      <c r="VLP36" s="2"/>
      <c r="VLQ36" s="2"/>
      <c r="VLR36" s="2"/>
      <c r="VLS36" s="2"/>
      <c r="VLT36" s="2"/>
      <c r="VLU36" s="2"/>
      <c r="VLV36" s="2"/>
      <c r="VLW36" s="2"/>
      <c r="VLX36" s="2"/>
      <c r="VLY36" s="2"/>
      <c r="VLZ36" s="2"/>
      <c r="VMA36" s="2"/>
      <c r="VMB36" s="2"/>
      <c r="VMC36" s="2"/>
      <c r="VMD36" s="2"/>
      <c r="VME36" s="2"/>
      <c r="VMF36" s="2"/>
      <c r="VMG36" s="2"/>
      <c r="VMH36" s="2"/>
      <c r="VMI36" s="2"/>
      <c r="VMJ36" s="2"/>
      <c r="VMK36" s="2"/>
      <c r="VML36" s="2"/>
      <c r="VMM36" s="2"/>
      <c r="VMN36" s="2"/>
      <c r="VMO36" s="2"/>
      <c r="VMP36" s="2"/>
      <c r="VMQ36" s="2"/>
      <c r="VMR36" s="2"/>
      <c r="VMS36" s="2"/>
      <c r="VMT36" s="2"/>
      <c r="VMU36" s="2"/>
      <c r="VMV36" s="2"/>
      <c r="VMW36" s="2"/>
      <c r="VMX36" s="2"/>
      <c r="VMY36" s="2"/>
      <c r="VMZ36" s="2"/>
      <c r="VNA36" s="2"/>
      <c r="VNB36" s="2"/>
      <c r="VNC36" s="2"/>
      <c r="VND36" s="2"/>
      <c r="VNE36" s="2"/>
      <c r="VNF36" s="2"/>
      <c r="VNG36" s="2"/>
      <c r="VNH36" s="2"/>
      <c r="VNI36" s="2"/>
      <c r="VNJ36" s="2"/>
      <c r="VNK36" s="2"/>
      <c r="VNL36" s="2"/>
      <c r="VNM36" s="2"/>
      <c r="VNN36" s="2"/>
      <c r="VNO36" s="2"/>
      <c r="VNP36" s="2"/>
      <c r="VNQ36" s="2"/>
      <c r="VNR36" s="2"/>
      <c r="VNS36" s="2"/>
      <c r="VNT36" s="2"/>
      <c r="VNU36" s="2"/>
      <c r="VNV36" s="2"/>
      <c r="VNW36" s="2"/>
      <c r="VNX36" s="2"/>
      <c r="VNY36" s="2"/>
      <c r="VNZ36" s="2"/>
      <c r="VOA36" s="2"/>
      <c r="VOB36" s="2"/>
      <c r="VOC36" s="2"/>
      <c r="VOD36" s="2"/>
      <c r="VOE36" s="2"/>
      <c r="VOF36" s="2"/>
      <c r="VOG36" s="2"/>
      <c r="VOH36" s="2"/>
      <c r="VOI36" s="2"/>
      <c r="VOJ36" s="2"/>
      <c r="VOK36" s="2"/>
      <c r="VOL36" s="2"/>
      <c r="VOM36" s="2"/>
      <c r="VON36" s="2"/>
      <c r="VOO36" s="2"/>
      <c r="VOP36" s="2"/>
      <c r="VOQ36" s="2"/>
      <c r="VOR36" s="2"/>
      <c r="VOS36" s="2"/>
      <c r="VOT36" s="2"/>
      <c r="VOU36" s="2"/>
      <c r="VOV36" s="2"/>
      <c r="VOW36" s="2"/>
      <c r="VOX36" s="2"/>
      <c r="VOY36" s="2"/>
      <c r="VOZ36" s="2"/>
      <c r="VPA36" s="2"/>
      <c r="VPB36" s="2"/>
      <c r="VPC36" s="2"/>
      <c r="VPD36" s="2"/>
      <c r="VPE36" s="2"/>
      <c r="VPF36" s="2"/>
      <c r="VPG36" s="2"/>
      <c r="VPH36" s="2"/>
      <c r="VPI36" s="2"/>
      <c r="VPJ36" s="2"/>
      <c r="VPK36" s="2"/>
      <c r="VPL36" s="2"/>
      <c r="VPM36" s="2"/>
      <c r="VPN36" s="2"/>
      <c r="VPO36" s="2"/>
      <c r="VPP36" s="2"/>
      <c r="VPQ36" s="2"/>
      <c r="VPR36" s="2"/>
      <c r="VPS36" s="2"/>
      <c r="VPT36" s="2"/>
      <c r="VPU36" s="2"/>
      <c r="VPV36" s="2"/>
      <c r="VPW36" s="2"/>
      <c r="VPX36" s="2"/>
      <c r="VPY36" s="2"/>
      <c r="VPZ36" s="2"/>
      <c r="VQA36" s="2"/>
      <c r="VQB36" s="2"/>
      <c r="VQC36" s="2"/>
      <c r="VQD36" s="2"/>
      <c r="VQE36" s="2"/>
      <c r="VQF36" s="2"/>
      <c r="VQG36" s="2"/>
      <c r="VQH36" s="2"/>
      <c r="VQI36" s="2"/>
      <c r="VQJ36" s="2"/>
      <c r="VQK36" s="2"/>
      <c r="VQL36" s="2"/>
      <c r="VQM36" s="2"/>
      <c r="VQN36" s="2"/>
      <c r="VQO36" s="2"/>
      <c r="VQP36" s="2"/>
      <c r="VQQ36" s="2"/>
      <c r="VQR36" s="2"/>
      <c r="VQS36" s="2"/>
      <c r="VQT36" s="2"/>
      <c r="VQU36" s="2"/>
      <c r="VQV36" s="2"/>
      <c r="VQW36" s="2"/>
      <c r="VQX36" s="2"/>
      <c r="VQY36" s="2"/>
      <c r="VQZ36" s="2"/>
      <c r="VRA36" s="2"/>
      <c r="VRB36" s="2"/>
      <c r="VRC36" s="2"/>
      <c r="VRD36" s="2"/>
      <c r="VRE36" s="2"/>
      <c r="VRF36" s="2"/>
      <c r="VRG36" s="2"/>
      <c r="VRH36" s="2"/>
      <c r="VRI36" s="2"/>
      <c r="VRJ36" s="2"/>
      <c r="VRK36" s="2"/>
      <c r="VRL36" s="2"/>
      <c r="VRM36" s="2"/>
      <c r="VRN36" s="2"/>
      <c r="VRO36" s="2"/>
      <c r="VRP36" s="2"/>
      <c r="VRQ36" s="2"/>
      <c r="VRR36" s="2"/>
      <c r="VRS36" s="2"/>
      <c r="VRT36" s="2"/>
      <c r="VRU36" s="2"/>
      <c r="VRV36" s="2"/>
      <c r="VRW36" s="2"/>
      <c r="VRX36" s="2"/>
      <c r="VRY36" s="2"/>
      <c r="VRZ36" s="2"/>
      <c r="VSA36" s="2"/>
      <c r="VSB36" s="2"/>
      <c r="VSC36" s="2"/>
      <c r="VSD36" s="2"/>
      <c r="VSE36" s="2"/>
      <c r="VSF36" s="2"/>
      <c r="VSG36" s="2"/>
      <c r="VSH36" s="2"/>
      <c r="VSI36" s="2"/>
      <c r="VSJ36" s="2"/>
      <c r="VSK36" s="2"/>
      <c r="VSL36" s="2"/>
      <c r="VSM36" s="2"/>
      <c r="VSN36" s="2"/>
      <c r="VSO36" s="2"/>
      <c r="VSP36" s="2"/>
      <c r="VSQ36" s="2"/>
      <c r="VSR36" s="2"/>
      <c r="VSS36" s="2"/>
      <c r="VST36" s="2"/>
      <c r="VSU36" s="2"/>
      <c r="VSV36" s="2"/>
      <c r="VSW36" s="2"/>
      <c r="VSX36" s="2"/>
      <c r="VSY36" s="2"/>
      <c r="VSZ36" s="2"/>
      <c r="VTA36" s="2"/>
      <c r="VTB36" s="2"/>
      <c r="VTC36" s="2"/>
      <c r="VTD36" s="2"/>
      <c r="VTE36" s="2"/>
      <c r="VTF36" s="2"/>
      <c r="VTG36" s="2"/>
      <c r="VTH36" s="2"/>
      <c r="VTI36" s="2"/>
      <c r="VTJ36" s="2"/>
      <c r="VTK36" s="2"/>
      <c r="VTL36" s="2"/>
      <c r="VTM36" s="2"/>
      <c r="VTN36" s="2"/>
      <c r="VTO36" s="2"/>
      <c r="VTP36" s="2"/>
      <c r="VTQ36" s="2"/>
      <c r="VTR36" s="2"/>
      <c r="VTS36" s="2"/>
      <c r="VTT36" s="2"/>
      <c r="VTU36" s="2"/>
      <c r="VTV36" s="2"/>
      <c r="VTW36" s="2"/>
      <c r="VTX36" s="2"/>
      <c r="VTY36" s="2"/>
      <c r="VTZ36" s="2"/>
      <c r="VUA36" s="2"/>
      <c r="VUB36" s="2"/>
      <c r="VUC36" s="2"/>
      <c r="VUD36" s="2"/>
      <c r="VUE36" s="2"/>
      <c r="VUF36" s="2"/>
      <c r="VUG36" s="2"/>
      <c r="VUH36" s="2"/>
      <c r="VUI36" s="2"/>
      <c r="VUJ36" s="2"/>
      <c r="VUK36" s="2"/>
      <c r="VUL36" s="2"/>
      <c r="VUM36" s="2"/>
      <c r="VUN36" s="2"/>
      <c r="VUO36" s="2"/>
      <c r="VUP36" s="2"/>
      <c r="VUQ36" s="2"/>
      <c r="VUR36" s="2"/>
      <c r="VUS36" s="2"/>
      <c r="VUT36" s="2"/>
      <c r="VUU36" s="2"/>
      <c r="VUV36" s="2"/>
      <c r="VUW36" s="2"/>
      <c r="VUX36" s="2"/>
      <c r="VUY36" s="2"/>
      <c r="VUZ36" s="2"/>
      <c r="VVA36" s="2"/>
      <c r="VVB36" s="2"/>
      <c r="VVC36" s="2"/>
      <c r="VVD36" s="2"/>
      <c r="VVE36" s="2"/>
      <c r="VVF36" s="2"/>
      <c r="VVG36" s="2"/>
      <c r="VVH36" s="2"/>
      <c r="VVI36" s="2"/>
      <c r="VVJ36" s="2"/>
      <c r="VVK36" s="2"/>
      <c r="VVL36" s="2"/>
      <c r="VVM36" s="2"/>
      <c r="VVN36" s="2"/>
      <c r="VVO36" s="2"/>
      <c r="VVP36" s="2"/>
      <c r="VVQ36" s="2"/>
      <c r="VVR36" s="2"/>
      <c r="VVS36" s="2"/>
      <c r="VVT36" s="2"/>
      <c r="VVU36" s="2"/>
      <c r="VVV36" s="2"/>
      <c r="VVW36" s="2"/>
      <c r="VVX36" s="2"/>
      <c r="VVY36" s="2"/>
      <c r="VVZ36" s="2"/>
      <c r="VWA36" s="2"/>
      <c r="VWB36" s="2"/>
      <c r="VWC36" s="2"/>
      <c r="VWD36" s="2"/>
      <c r="VWE36" s="2"/>
      <c r="VWF36" s="2"/>
      <c r="VWG36" s="2"/>
      <c r="VWH36" s="2"/>
      <c r="VWI36" s="2"/>
      <c r="VWJ36" s="2"/>
      <c r="VWK36" s="2"/>
      <c r="VWL36" s="2"/>
      <c r="VWM36" s="2"/>
      <c r="VWN36" s="2"/>
      <c r="VWO36" s="2"/>
      <c r="VWP36" s="2"/>
      <c r="VWQ36" s="2"/>
      <c r="VWR36" s="2"/>
      <c r="VWS36" s="2"/>
      <c r="VWT36" s="2"/>
      <c r="VWU36" s="2"/>
      <c r="VWV36" s="2"/>
      <c r="VWW36" s="2"/>
      <c r="VWX36" s="2"/>
      <c r="VWY36" s="2"/>
      <c r="VWZ36" s="2"/>
      <c r="VXA36" s="2"/>
      <c r="VXB36" s="2"/>
      <c r="VXC36" s="2"/>
      <c r="VXD36" s="2"/>
      <c r="VXE36" s="2"/>
      <c r="VXF36" s="2"/>
      <c r="VXG36" s="2"/>
      <c r="VXH36" s="2"/>
      <c r="VXI36" s="2"/>
      <c r="VXJ36" s="2"/>
      <c r="VXK36" s="2"/>
      <c r="VXL36" s="2"/>
      <c r="VXM36" s="2"/>
      <c r="VXN36" s="2"/>
      <c r="VXO36" s="2"/>
      <c r="VXP36" s="2"/>
      <c r="VXQ36" s="2"/>
      <c r="VXR36" s="2"/>
      <c r="VXS36" s="2"/>
      <c r="VXT36" s="2"/>
      <c r="VXU36" s="2"/>
      <c r="VXV36" s="2"/>
      <c r="VXW36" s="2"/>
      <c r="VXX36" s="2"/>
      <c r="VXY36" s="2"/>
      <c r="VXZ36" s="2"/>
      <c r="VYA36" s="2"/>
      <c r="VYB36" s="2"/>
      <c r="VYC36" s="2"/>
      <c r="VYD36" s="2"/>
      <c r="VYE36" s="2"/>
      <c r="VYF36" s="2"/>
      <c r="VYG36" s="2"/>
      <c r="VYH36" s="2"/>
      <c r="VYI36" s="2"/>
      <c r="VYJ36" s="2"/>
      <c r="VYK36" s="2"/>
      <c r="VYL36" s="2"/>
      <c r="VYM36" s="2"/>
      <c r="VYN36" s="2"/>
      <c r="VYO36" s="2"/>
      <c r="VYP36" s="2"/>
      <c r="VYQ36" s="2"/>
      <c r="VYR36" s="2"/>
      <c r="VYS36" s="2"/>
      <c r="VYT36" s="2"/>
      <c r="VYU36" s="2"/>
      <c r="VYV36" s="2"/>
      <c r="VYW36" s="2"/>
      <c r="VYX36" s="2"/>
      <c r="VYY36" s="2"/>
      <c r="VYZ36" s="2"/>
      <c r="VZA36" s="2"/>
      <c r="VZB36" s="2"/>
      <c r="VZC36" s="2"/>
      <c r="VZD36" s="2"/>
      <c r="VZE36" s="2"/>
      <c r="VZF36" s="2"/>
      <c r="VZG36" s="2"/>
      <c r="VZH36" s="2"/>
      <c r="VZI36" s="2"/>
      <c r="VZJ36" s="2"/>
      <c r="VZK36" s="2"/>
      <c r="VZL36" s="2"/>
      <c r="VZM36" s="2"/>
      <c r="VZN36" s="2"/>
      <c r="VZO36" s="2"/>
      <c r="VZP36" s="2"/>
      <c r="VZQ36" s="2"/>
      <c r="VZR36" s="2"/>
      <c r="VZS36" s="2"/>
      <c r="VZT36" s="2"/>
      <c r="VZU36" s="2"/>
      <c r="VZV36" s="2"/>
      <c r="VZW36" s="2"/>
      <c r="VZX36" s="2"/>
      <c r="VZY36" s="2"/>
      <c r="VZZ36" s="2"/>
      <c r="WAA36" s="2"/>
      <c r="WAB36" s="2"/>
      <c r="WAC36" s="2"/>
      <c r="WAD36" s="2"/>
      <c r="WAE36" s="2"/>
      <c r="WAF36" s="2"/>
      <c r="WAG36" s="2"/>
      <c r="WAH36" s="2"/>
      <c r="WAI36" s="2"/>
      <c r="WAJ36" s="2"/>
      <c r="WAK36" s="2"/>
      <c r="WAL36" s="2"/>
      <c r="WAM36" s="2"/>
      <c r="WAN36" s="2"/>
      <c r="WAO36" s="2"/>
      <c r="WAP36" s="2"/>
      <c r="WAQ36" s="2"/>
      <c r="WAR36" s="2"/>
      <c r="WAS36" s="2"/>
      <c r="WAT36" s="2"/>
      <c r="WAU36" s="2"/>
      <c r="WAV36" s="2"/>
      <c r="WAW36" s="2"/>
      <c r="WAX36" s="2"/>
      <c r="WAY36" s="2"/>
      <c r="WAZ36" s="2"/>
      <c r="WBA36" s="2"/>
      <c r="WBB36" s="2"/>
      <c r="WBC36" s="2"/>
      <c r="WBD36" s="2"/>
      <c r="WBE36" s="2"/>
      <c r="WBF36" s="2"/>
      <c r="WBG36" s="2"/>
      <c r="WBH36" s="2"/>
      <c r="WBI36" s="2"/>
      <c r="WBJ36" s="2"/>
      <c r="WBK36" s="2"/>
      <c r="WBL36" s="2"/>
      <c r="WBM36" s="2"/>
      <c r="WBN36" s="2"/>
      <c r="WBO36" s="2"/>
      <c r="WBP36" s="2"/>
      <c r="WBQ36" s="2"/>
      <c r="WBR36" s="2"/>
      <c r="WBS36" s="2"/>
      <c r="WBT36" s="2"/>
      <c r="WBU36" s="2"/>
      <c r="WBV36" s="2"/>
      <c r="WBW36" s="2"/>
      <c r="WBX36" s="2"/>
      <c r="WBY36" s="2"/>
      <c r="WBZ36" s="2"/>
      <c r="WCA36" s="2"/>
      <c r="WCB36" s="2"/>
      <c r="WCC36" s="2"/>
      <c r="WCD36" s="2"/>
      <c r="WCE36" s="2"/>
      <c r="WCF36" s="2"/>
      <c r="WCG36" s="2"/>
      <c r="WCH36" s="2"/>
      <c r="WCI36" s="2"/>
      <c r="WCJ36" s="2"/>
      <c r="WCK36" s="2"/>
      <c r="WCL36" s="2"/>
      <c r="WCM36" s="2"/>
      <c r="WCN36" s="2"/>
      <c r="WCO36" s="2"/>
      <c r="WCP36" s="2"/>
      <c r="WCQ36" s="2"/>
      <c r="WCR36" s="2"/>
      <c r="WCS36" s="2"/>
      <c r="WCT36" s="2"/>
      <c r="WCU36" s="2"/>
      <c r="WCV36" s="2"/>
      <c r="WCW36" s="2"/>
      <c r="WCX36" s="2"/>
      <c r="WCY36" s="2"/>
      <c r="WCZ36" s="2"/>
      <c r="WDA36" s="2"/>
      <c r="WDB36" s="2"/>
      <c r="WDC36" s="2"/>
      <c r="WDD36" s="2"/>
      <c r="WDE36" s="2"/>
      <c r="WDF36" s="2"/>
      <c r="WDG36" s="2"/>
      <c r="WDH36" s="2"/>
      <c r="WDI36" s="2"/>
      <c r="WDJ36" s="2"/>
      <c r="WDK36" s="2"/>
      <c r="WDL36" s="2"/>
      <c r="WDM36" s="2"/>
      <c r="WDN36" s="2"/>
      <c r="WDO36" s="2"/>
      <c r="WDP36" s="2"/>
      <c r="WDQ36" s="2"/>
      <c r="WDR36" s="2"/>
      <c r="WDS36" s="2"/>
      <c r="WDT36" s="2"/>
      <c r="WDU36" s="2"/>
      <c r="WDV36" s="2"/>
      <c r="WDW36" s="2"/>
      <c r="WDX36" s="2"/>
      <c r="WDY36" s="2"/>
      <c r="WDZ36" s="2"/>
      <c r="WEA36" s="2"/>
      <c r="WEB36" s="2"/>
      <c r="WEC36" s="2"/>
      <c r="WED36" s="2"/>
      <c r="WEE36" s="2"/>
      <c r="WEF36" s="2"/>
      <c r="WEG36" s="2"/>
      <c r="WEH36" s="2"/>
      <c r="WEI36" s="2"/>
      <c r="WEJ36" s="2"/>
      <c r="WEK36" s="2"/>
      <c r="WEL36" s="2"/>
      <c r="WEM36" s="2"/>
      <c r="WEN36" s="2"/>
      <c r="WEO36" s="2"/>
      <c r="WEP36" s="2"/>
      <c r="WEQ36" s="2"/>
      <c r="WER36" s="2"/>
      <c r="WES36" s="2"/>
      <c r="WET36" s="2"/>
      <c r="WEU36" s="2"/>
      <c r="WEV36" s="2"/>
      <c r="WEW36" s="2"/>
      <c r="WEX36" s="2"/>
      <c r="WEY36" s="2"/>
      <c r="WEZ36" s="2"/>
      <c r="WFA36" s="2"/>
      <c r="WFB36" s="2"/>
      <c r="WFC36" s="2"/>
      <c r="WFD36" s="2"/>
      <c r="WFE36" s="2"/>
      <c r="WFF36" s="2"/>
      <c r="WFG36" s="2"/>
      <c r="WFH36" s="2"/>
      <c r="WFI36" s="2"/>
      <c r="WFJ36" s="2"/>
      <c r="WFK36" s="2"/>
      <c r="WFL36" s="2"/>
      <c r="WFM36" s="2"/>
      <c r="WFN36" s="2"/>
      <c r="WFO36" s="2"/>
      <c r="WFP36" s="2"/>
      <c r="WFQ36" s="2"/>
      <c r="WFR36" s="2"/>
      <c r="WFS36" s="2"/>
      <c r="WFT36" s="2"/>
      <c r="WFU36" s="2"/>
      <c r="WFV36" s="2"/>
      <c r="WFW36" s="2"/>
      <c r="WFX36" s="2"/>
      <c r="WFY36" s="2"/>
      <c r="WFZ36" s="2"/>
      <c r="WGA36" s="2"/>
      <c r="WGB36" s="2"/>
      <c r="WGC36" s="2"/>
      <c r="WGD36" s="2"/>
      <c r="WGE36" s="2"/>
      <c r="WGF36" s="2"/>
      <c r="WGG36" s="2"/>
      <c r="WGH36" s="2"/>
      <c r="WGI36" s="2"/>
      <c r="WGJ36" s="2"/>
      <c r="WGK36" s="2"/>
      <c r="WGL36" s="2"/>
      <c r="WGM36" s="2"/>
      <c r="WGN36" s="2"/>
      <c r="WGO36" s="2"/>
      <c r="WGP36" s="2"/>
      <c r="WGQ36" s="2"/>
      <c r="WGR36" s="2"/>
      <c r="WGS36" s="2"/>
      <c r="WGT36" s="2"/>
      <c r="WGU36" s="2"/>
      <c r="WGV36" s="2"/>
      <c r="WGW36" s="2"/>
      <c r="WGX36" s="2"/>
      <c r="WGY36" s="2"/>
      <c r="WGZ36" s="2"/>
      <c r="WHA36" s="2"/>
      <c r="WHB36" s="2"/>
      <c r="WHC36" s="2"/>
      <c r="WHD36" s="2"/>
      <c r="WHE36" s="2"/>
      <c r="WHF36" s="2"/>
      <c r="WHG36" s="2"/>
      <c r="WHH36" s="2"/>
      <c r="WHI36" s="2"/>
      <c r="WHJ36" s="2"/>
      <c r="WHK36" s="2"/>
      <c r="WHL36" s="2"/>
      <c r="WHM36" s="2"/>
      <c r="WHN36" s="2"/>
      <c r="WHO36" s="2"/>
      <c r="WHP36" s="2"/>
      <c r="WHQ36" s="2"/>
      <c r="WHR36" s="2"/>
      <c r="WHS36" s="2"/>
      <c r="WHT36" s="2"/>
      <c r="WHU36" s="2"/>
      <c r="WHV36" s="2"/>
      <c r="WHW36" s="2"/>
      <c r="WHX36" s="2"/>
      <c r="WHY36" s="2"/>
      <c r="WHZ36" s="2"/>
      <c r="WIA36" s="2"/>
      <c r="WIB36" s="2"/>
      <c r="WIC36" s="2"/>
      <c r="WID36" s="2"/>
      <c r="WIE36" s="2"/>
      <c r="WIF36" s="2"/>
      <c r="WIG36" s="2"/>
      <c r="WIH36" s="2"/>
      <c r="WII36" s="2"/>
      <c r="WIJ36" s="2"/>
      <c r="WIK36" s="2"/>
      <c r="WIL36" s="2"/>
      <c r="WIM36" s="2"/>
      <c r="WIN36" s="2"/>
      <c r="WIO36" s="2"/>
      <c r="WIP36" s="2"/>
      <c r="WIQ36" s="2"/>
      <c r="WIR36" s="2"/>
      <c r="WIS36" s="2"/>
      <c r="WIT36" s="2"/>
      <c r="WIU36" s="2"/>
      <c r="WIV36" s="2"/>
      <c r="WIW36" s="2"/>
      <c r="WIX36" s="2"/>
      <c r="WIY36" s="2"/>
      <c r="WIZ36" s="2"/>
      <c r="WJA36" s="2"/>
      <c r="WJB36" s="2"/>
      <c r="WJC36" s="2"/>
      <c r="WJD36" s="2"/>
      <c r="WJE36" s="2"/>
      <c r="WJF36" s="2"/>
      <c r="WJG36" s="2"/>
      <c r="WJH36" s="2"/>
      <c r="WJI36" s="2"/>
      <c r="WJJ36" s="2"/>
      <c r="WJK36" s="2"/>
      <c r="WJL36" s="2"/>
      <c r="WJM36" s="2"/>
      <c r="WJN36" s="2"/>
      <c r="WJO36" s="2"/>
      <c r="WJP36" s="2"/>
      <c r="WJQ36" s="2"/>
      <c r="WJR36" s="2"/>
      <c r="WJS36" s="2"/>
      <c r="WJT36" s="2"/>
      <c r="WJU36" s="2"/>
      <c r="WJV36" s="2"/>
      <c r="WJW36" s="2"/>
      <c r="WJX36" s="2"/>
      <c r="WJY36" s="2"/>
      <c r="WJZ36" s="2"/>
      <c r="WKA36" s="2"/>
      <c r="WKB36" s="2"/>
      <c r="WKC36" s="2"/>
      <c r="WKD36" s="2"/>
      <c r="WKE36" s="2"/>
      <c r="WKF36" s="2"/>
      <c r="WKG36" s="2"/>
      <c r="WKH36" s="2"/>
      <c r="WKI36" s="2"/>
      <c r="WKJ36" s="2"/>
      <c r="WKK36" s="2"/>
      <c r="WKL36" s="2"/>
      <c r="WKM36" s="2"/>
      <c r="WKN36" s="2"/>
      <c r="WKO36" s="2"/>
      <c r="WKP36" s="2"/>
      <c r="WKQ36" s="2"/>
      <c r="WKR36" s="2"/>
      <c r="WKS36" s="2"/>
      <c r="WKT36" s="2"/>
      <c r="WKU36" s="2"/>
      <c r="WKV36" s="2"/>
      <c r="WKW36" s="2"/>
      <c r="WKX36" s="2"/>
      <c r="WKY36" s="2"/>
      <c r="WKZ36" s="2"/>
      <c r="WLA36" s="2"/>
      <c r="WLB36" s="2"/>
      <c r="WLC36" s="2"/>
      <c r="WLD36" s="2"/>
      <c r="WLE36" s="2"/>
      <c r="WLF36" s="2"/>
      <c r="WLG36" s="2"/>
      <c r="WLH36" s="2"/>
      <c r="WLI36" s="2"/>
      <c r="WLJ36" s="2"/>
      <c r="WLK36" s="2"/>
      <c r="WLL36" s="2"/>
      <c r="WLM36" s="2"/>
      <c r="WLN36" s="2"/>
      <c r="WLO36" s="2"/>
      <c r="WLP36" s="2"/>
      <c r="WLQ36" s="2"/>
      <c r="WLR36" s="2"/>
      <c r="WLS36" s="2"/>
      <c r="WLT36" s="2"/>
      <c r="WLU36" s="2"/>
      <c r="WLV36" s="2"/>
      <c r="WLW36" s="2"/>
      <c r="WLX36" s="2"/>
      <c r="WLY36" s="2"/>
      <c r="WLZ36" s="2"/>
      <c r="WMA36" s="2"/>
      <c r="WMB36" s="2"/>
      <c r="WMC36" s="2"/>
      <c r="WMD36" s="2"/>
      <c r="WME36" s="2"/>
      <c r="WMF36" s="2"/>
      <c r="WMG36" s="2"/>
      <c r="WMH36" s="2"/>
      <c r="WMI36" s="2"/>
      <c r="WMJ36" s="2"/>
      <c r="WMK36" s="2"/>
      <c r="WML36" s="2"/>
      <c r="WMM36" s="2"/>
      <c r="WMN36" s="2"/>
      <c r="WMO36" s="2"/>
      <c r="WMP36" s="2"/>
      <c r="WMQ36" s="2"/>
      <c r="WMR36" s="2"/>
      <c r="WMS36" s="2"/>
      <c r="WMT36" s="2"/>
      <c r="WMU36" s="2"/>
      <c r="WMV36" s="2"/>
      <c r="WMW36" s="2"/>
      <c r="WMX36" s="2"/>
      <c r="WMY36" s="2"/>
      <c r="WMZ36" s="2"/>
      <c r="WNA36" s="2"/>
      <c r="WNB36" s="2"/>
      <c r="WNC36" s="2"/>
      <c r="WND36" s="2"/>
      <c r="WNE36" s="2"/>
      <c r="WNF36" s="2"/>
      <c r="WNG36" s="2"/>
      <c r="WNH36" s="2"/>
      <c r="WNI36" s="2"/>
      <c r="WNJ36" s="2"/>
      <c r="WNK36" s="2"/>
      <c r="WNL36" s="2"/>
      <c r="WNM36" s="2"/>
      <c r="WNN36" s="2"/>
      <c r="WNO36" s="2"/>
      <c r="WNP36" s="2"/>
      <c r="WNQ36" s="2"/>
      <c r="WNR36" s="2"/>
      <c r="WNS36" s="2"/>
      <c r="WNT36" s="2"/>
      <c r="WNU36" s="2"/>
      <c r="WNV36" s="2"/>
      <c r="WNW36" s="2"/>
      <c r="WNX36" s="2"/>
      <c r="WNY36" s="2"/>
      <c r="WNZ36" s="2"/>
      <c r="WOA36" s="2"/>
      <c r="WOB36" s="2"/>
      <c r="WOC36" s="2"/>
      <c r="WOD36" s="2"/>
      <c r="WOE36" s="2"/>
      <c r="WOF36" s="2"/>
      <c r="WOG36" s="2"/>
      <c r="WOH36" s="2"/>
      <c r="WOI36" s="2"/>
      <c r="WOJ36" s="2"/>
      <c r="WOK36" s="2"/>
      <c r="WOL36" s="2"/>
      <c r="WOM36" s="2"/>
      <c r="WON36" s="2"/>
      <c r="WOO36" s="2"/>
      <c r="WOP36" s="2"/>
      <c r="WOQ36" s="2"/>
      <c r="WOR36" s="2"/>
      <c r="WOS36" s="2"/>
      <c r="WOT36" s="2"/>
      <c r="WOU36" s="2"/>
      <c r="WOV36" s="2"/>
      <c r="WOW36" s="2"/>
      <c r="WOX36" s="2"/>
      <c r="WOY36" s="2"/>
      <c r="WOZ36" s="2"/>
      <c r="WPA36" s="2"/>
      <c r="WPB36" s="2"/>
      <c r="WPC36" s="2"/>
      <c r="WPD36" s="2"/>
      <c r="WPE36" s="2"/>
      <c r="WPF36" s="2"/>
      <c r="WPG36" s="2"/>
      <c r="WPH36" s="2"/>
      <c r="WPI36" s="2"/>
      <c r="WPJ36" s="2"/>
      <c r="WPK36" s="2"/>
      <c r="WPL36" s="2"/>
      <c r="WPM36" s="2"/>
      <c r="WPN36" s="2"/>
      <c r="WPO36" s="2"/>
      <c r="WPP36" s="2"/>
      <c r="WPQ36" s="2"/>
      <c r="WPR36" s="2"/>
      <c r="WPS36" s="2"/>
      <c r="WPT36" s="2"/>
      <c r="WPU36" s="2"/>
      <c r="WPV36" s="2"/>
      <c r="WPW36" s="2"/>
      <c r="WPX36" s="2"/>
      <c r="WPY36" s="2"/>
      <c r="WPZ36" s="2"/>
      <c r="WQA36" s="2"/>
      <c r="WQB36" s="2"/>
      <c r="WQC36" s="2"/>
      <c r="WQD36" s="2"/>
      <c r="WQE36" s="2"/>
      <c r="WQF36" s="2"/>
      <c r="WQG36" s="2"/>
      <c r="WQH36" s="2"/>
      <c r="WQI36" s="2"/>
      <c r="WQJ36" s="2"/>
      <c r="WQK36" s="2"/>
      <c r="WQL36" s="2"/>
      <c r="WQM36" s="2"/>
      <c r="WQN36" s="2"/>
      <c r="WQO36" s="2"/>
      <c r="WQP36" s="2"/>
      <c r="WQQ36" s="2"/>
      <c r="WQR36" s="2"/>
      <c r="WQS36" s="2"/>
      <c r="WQT36" s="2"/>
      <c r="WQU36" s="2"/>
      <c r="WQV36" s="2"/>
      <c r="WQW36" s="2"/>
      <c r="WQX36" s="2"/>
      <c r="WQY36" s="2"/>
      <c r="WQZ36" s="2"/>
      <c r="WRA36" s="2"/>
      <c r="WRB36" s="2"/>
      <c r="WRC36" s="2"/>
      <c r="WRD36" s="2"/>
      <c r="WRE36" s="2"/>
      <c r="WRF36" s="2"/>
      <c r="WRG36" s="2"/>
      <c r="WRH36" s="2"/>
      <c r="WRI36" s="2"/>
      <c r="WRJ36" s="2"/>
      <c r="WRK36" s="2"/>
      <c r="WRL36" s="2"/>
      <c r="WRM36" s="2"/>
      <c r="WRN36" s="2"/>
      <c r="WRO36" s="2"/>
      <c r="WRP36" s="2"/>
      <c r="WRQ36" s="2"/>
      <c r="WRR36" s="2"/>
      <c r="WRS36" s="2"/>
      <c r="WRT36" s="2"/>
      <c r="WRU36" s="2"/>
      <c r="WRV36" s="2"/>
      <c r="WRW36" s="2"/>
      <c r="WRX36" s="2"/>
      <c r="WRY36" s="2"/>
      <c r="WRZ36" s="2"/>
      <c r="WSA36" s="2"/>
      <c r="WSB36" s="2"/>
      <c r="WSC36" s="2"/>
      <c r="WSD36" s="2"/>
      <c r="WSE36" s="2"/>
      <c r="WSF36" s="2"/>
      <c r="WSG36" s="2"/>
      <c r="WSH36" s="2"/>
      <c r="WSI36" s="2"/>
      <c r="WSJ36" s="2"/>
      <c r="WSK36" s="2"/>
      <c r="WSL36" s="2"/>
      <c r="WSM36" s="2"/>
      <c r="WSN36" s="2"/>
      <c r="WSO36" s="2"/>
      <c r="WSP36" s="2"/>
      <c r="WSQ36" s="2"/>
      <c r="WSR36" s="2"/>
      <c r="WSS36" s="2"/>
      <c r="WST36" s="2"/>
      <c r="WSU36" s="2"/>
      <c r="WSV36" s="2"/>
      <c r="WSW36" s="2"/>
      <c r="WSX36" s="2"/>
      <c r="WSY36" s="2"/>
      <c r="WSZ36" s="2"/>
      <c r="WTA36" s="2"/>
      <c r="WTB36" s="2"/>
      <c r="WTC36" s="2"/>
      <c r="WTD36" s="2"/>
      <c r="WTE36" s="2"/>
      <c r="WTF36" s="2"/>
      <c r="WTG36" s="2"/>
      <c r="WTH36" s="2"/>
      <c r="WTI36" s="2"/>
      <c r="WTJ36" s="2"/>
      <c r="WTK36" s="2"/>
      <c r="WTL36" s="2"/>
      <c r="WTM36" s="2"/>
      <c r="WTN36" s="2"/>
      <c r="WTO36" s="2"/>
      <c r="WTP36" s="2"/>
      <c r="WTQ36" s="2"/>
      <c r="WTR36" s="2"/>
      <c r="WTS36" s="2"/>
      <c r="WTT36" s="2"/>
      <c r="WTU36" s="2"/>
      <c r="WTV36" s="2"/>
      <c r="WTW36" s="2"/>
      <c r="WTX36" s="2"/>
      <c r="WTY36" s="2"/>
      <c r="WTZ36" s="2"/>
      <c r="WUA36" s="2"/>
      <c r="WUB36" s="2"/>
      <c r="WUC36" s="2"/>
      <c r="WUD36" s="2"/>
      <c r="WUE36" s="2"/>
      <c r="WUF36" s="2"/>
      <c r="WUG36" s="2"/>
      <c r="WUH36" s="2"/>
      <c r="WUI36" s="2"/>
      <c r="WUJ36" s="2"/>
      <c r="WUK36" s="2"/>
      <c r="WUL36" s="2"/>
      <c r="WUM36" s="2"/>
      <c r="WUN36" s="2"/>
      <c r="WUO36" s="2"/>
      <c r="WUP36" s="2"/>
      <c r="WUQ36" s="2"/>
      <c r="WUR36" s="2"/>
      <c r="WUS36" s="2"/>
      <c r="WUT36" s="2"/>
      <c r="WUU36" s="2"/>
      <c r="WUV36" s="2"/>
      <c r="WUW36" s="2"/>
      <c r="WUX36" s="2"/>
      <c r="WUY36" s="2"/>
      <c r="WUZ36" s="2"/>
      <c r="WVA36" s="2"/>
      <c r="WVB36" s="2"/>
      <c r="WVC36" s="2"/>
      <c r="WVD36" s="2"/>
      <c r="WVE36" s="2"/>
      <c r="WVF36" s="2"/>
      <c r="WVG36" s="2"/>
      <c r="WVH36" s="2"/>
      <c r="WVI36" s="2"/>
      <c r="WVJ36" s="2"/>
      <c r="WVK36" s="2"/>
      <c r="WVL36" s="2"/>
      <c r="WVM36" s="2"/>
      <c r="WVN36" s="2"/>
      <c r="WVO36" s="2"/>
      <c r="WVP36" s="2"/>
      <c r="WVQ36" s="2"/>
      <c r="WVR36" s="2"/>
      <c r="WVS36" s="2"/>
      <c r="WVT36" s="2"/>
      <c r="WVU36" s="2"/>
      <c r="WVV36" s="2"/>
      <c r="WVW36" s="2"/>
      <c r="WVX36" s="2"/>
      <c r="WVY36" s="2"/>
      <c r="WVZ36" s="2"/>
      <c r="WWA36" s="2"/>
      <c r="WWB36" s="2"/>
      <c r="WWC36" s="2"/>
      <c r="WWD36" s="2"/>
      <c r="WWE36" s="2"/>
      <c r="WWF36" s="2"/>
      <c r="WWG36" s="2"/>
      <c r="WWH36" s="2"/>
      <c r="WWI36" s="2"/>
      <c r="WWJ36" s="2"/>
      <c r="WWK36" s="2"/>
      <c r="WWL36" s="2"/>
      <c r="WWM36" s="2"/>
      <c r="WWN36" s="2"/>
      <c r="WWO36" s="2"/>
      <c r="WWP36" s="2"/>
      <c r="WWQ36" s="2"/>
      <c r="WWR36" s="2"/>
      <c r="WWS36" s="2"/>
      <c r="WWT36" s="2"/>
      <c r="WWU36" s="2"/>
      <c r="WWV36" s="2"/>
      <c r="WWW36" s="2"/>
      <c r="WWX36" s="2"/>
      <c r="WWY36" s="2"/>
      <c r="WWZ36" s="2"/>
      <c r="WXA36" s="2"/>
      <c r="WXB36" s="2"/>
      <c r="WXC36" s="2"/>
      <c r="WXD36" s="2"/>
      <c r="WXE36" s="2"/>
      <c r="WXF36" s="2"/>
      <c r="WXG36" s="2"/>
      <c r="WXH36" s="2"/>
      <c r="WXI36" s="2"/>
      <c r="WXJ36" s="2"/>
      <c r="WXK36" s="2"/>
      <c r="WXL36" s="2"/>
      <c r="WXM36" s="2"/>
      <c r="WXN36" s="2"/>
      <c r="WXO36" s="2"/>
      <c r="WXP36" s="2"/>
      <c r="WXQ36" s="2"/>
      <c r="WXR36" s="2"/>
      <c r="WXS36" s="2"/>
      <c r="WXT36" s="2"/>
      <c r="WXU36" s="2"/>
      <c r="WXV36" s="2"/>
      <c r="WXW36" s="2"/>
      <c r="WXX36" s="2"/>
      <c r="WXY36" s="2"/>
      <c r="WXZ36" s="2"/>
      <c r="WYA36" s="2"/>
      <c r="WYB36" s="2"/>
      <c r="WYC36" s="2"/>
      <c r="WYD36" s="2"/>
      <c r="WYE36" s="2"/>
      <c r="WYF36" s="2"/>
      <c r="WYG36" s="2"/>
      <c r="WYH36" s="2"/>
      <c r="WYI36" s="2"/>
      <c r="WYJ36" s="2"/>
      <c r="WYK36" s="2"/>
      <c r="WYL36" s="2"/>
      <c r="WYM36" s="2"/>
      <c r="WYN36" s="2"/>
      <c r="WYO36" s="2"/>
      <c r="WYP36" s="2"/>
      <c r="WYQ36" s="2"/>
      <c r="WYR36" s="2"/>
      <c r="WYS36" s="2"/>
      <c r="WYT36" s="2"/>
      <c r="WYU36" s="2"/>
      <c r="WYV36" s="2"/>
      <c r="WYW36" s="2"/>
      <c r="WYX36" s="2"/>
      <c r="WYY36" s="2"/>
      <c r="WYZ36" s="2"/>
      <c r="WZA36" s="2"/>
      <c r="WZB36" s="2"/>
      <c r="WZC36" s="2"/>
      <c r="WZD36" s="2"/>
      <c r="WZE36" s="2"/>
      <c r="WZF36" s="2"/>
      <c r="WZG36" s="2"/>
      <c r="WZH36" s="2"/>
      <c r="WZI36" s="2"/>
      <c r="WZJ36" s="2"/>
      <c r="WZK36" s="2"/>
      <c r="WZL36" s="2"/>
      <c r="WZM36" s="2"/>
      <c r="WZN36" s="2"/>
      <c r="WZO36" s="2"/>
      <c r="WZP36" s="2"/>
      <c r="WZQ36" s="2"/>
      <c r="WZR36" s="2"/>
      <c r="WZS36" s="2"/>
      <c r="WZT36" s="2"/>
      <c r="WZU36" s="2"/>
      <c r="WZV36" s="2"/>
      <c r="WZW36" s="2"/>
      <c r="WZX36" s="2"/>
      <c r="WZY36" s="2"/>
      <c r="WZZ36" s="2"/>
      <c r="XAA36" s="2"/>
      <c r="XAB36" s="2"/>
      <c r="XAC36" s="2"/>
      <c r="XAD36" s="2"/>
      <c r="XAE36" s="2"/>
      <c r="XAF36" s="2"/>
      <c r="XAG36" s="2"/>
      <c r="XAH36" s="2"/>
      <c r="XAI36" s="2"/>
      <c r="XAJ36" s="2"/>
      <c r="XAK36" s="2"/>
      <c r="XAL36" s="2"/>
      <c r="XAM36" s="2"/>
      <c r="XAN36" s="2"/>
      <c r="XAO36" s="2"/>
      <c r="XAP36" s="2"/>
      <c r="XAQ36" s="2"/>
      <c r="XAR36" s="2"/>
      <c r="XAS36" s="2"/>
      <c r="XAT36" s="2"/>
      <c r="XAU36" s="2"/>
      <c r="XAV36" s="2"/>
      <c r="XAW36" s="2"/>
      <c r="XAX36" s="2"/>
      <c r="XAY36" s="2"/>
      <c r="XAZ36" s="2"/>
      <c r="XBA36" s="2"/>
      <c r="XBB36" s="2"/>
      <c r="XBC36" s="2"/>
      <c r="XBD36" s="2"/>
      <c r="XBE36" s="2"/>
      <c r="XBF36" s="2"/>
      <c r="XBG36" s="2"/>
      <c r="XBH36" s="2"/>
      <c r="XBI36" s="2"/>
      <c r="XBJ36" s="2"/>
      <c r="XBK36" s="2"/>
      <c r="XBL36" s="2"/>
      <c r="XBM36" s="2"/>
      <c r="XBN36" s="2"/>
      <c r="XBO36" s="2"/>
      <c r="XBP36" s="2"/>
      <c r="XBQ36" s="2"/>
      <c r="XBR36" s="2"/>
      <c r="XBS36" s="2"/>
      <c r="XBT36" s="2"/>
      <c r="XBU36" s="2"/>
      <c r="XBV36" s="2"/>
      <c r="XBW36" s="2"/>
      <c r="XBX36" s="2"/>
      <c r="XBY36" s="2"/>
      <c r="XBZ36" s="2"/>
      <c r="XCA36" s="2"/>
      <c r="XCB36" s="2"/>
      <c r="XCC36" s="2"/>
      <c r="XCD36" s="2"/>
      <c r="XCE36" s="2"/>
      <c r="XCF36" s="2"/>
      <c r="XCG36" s="2"/>
      <c r="XCH36" s="2"/>
      <c r="XCI36" s="2"/>
      <c r="XCJ36" s="2"/>
      <c r="XCK36" s="2"/>
      <c r="XCL36" s="2"/>
      <c r="XCM36" s="2"/>
      <c r="XCN36" s="2"/>
      <c r="XCO36" s="2"/>
      <c r="XCP36" s="2"/>
      <c r="XCQ36" s="2"/>
      <c r="XCR36" s="2"/>
      <c r="XCS36" s="2"/>
      <c r="XCT36" s="2"/>
      <c r="XCU36" s="2"/>
      <c r="XCV36" s="2"/>
      <c r="XCW36" s="2"/>
      <c r="XCX36" s="2"/>
      <c r="XCY36" s="2"/>
      <c r="XCZ36" s="2"/>
      <c r="XDA36" s="2"/>
      <c r="XDB36" s="2"/>
      <c r="XDC36" s="2"/>
      <c r="XDD36" s="2"/>
      <c r="XDE36" s="2"/>
      <c r="XDF36" s="2"/>
      <c r="XDG36" s="2"/>
      <c r="XDH36" s="2"/>
      <c r="XDI36" s="2"/>
      <c r="XDJ36" s="2"/>
      <c r="XDK36" s="2"/>
      <c r="XDL36" s="2"/>
      <c r="XDM36" s="2"/>
      <c r="XDN36" s="2"/>
      <c r="XDO36" s="2"/>
      <c r="XDP36" s="2"/>
      <c r="XDQ36" s="2"/>
      <c r="XDR36" s="2"/>
      <c r="XDS36" s="2"/>
      <c r="XDT36" s="2"/>
      <c r="XDU36" s="2"/>
      <c r="XDV36" s="2"/>
      <c r="XDW36" s="2"/>
      <c r="XDX36" s="2"/>
      <c r="XDY36" s="2"/>
      <c r="XDZ36" s="2"/>
      <c r="XEA36" s="2"/>
      <c r="XEB36" s="2"/>
      <c r="XEC36" s="2"/>
      <c r="XED36" s="2"/>
      <c r="XEE36" s="2"/>
      <c r="XEF36" s="2"/>
      <c r="XEG36" s="2"/>
      <c r="XEH36" s="2"/>
      <c r="XEI36" s="2"/>
      <c r="XEJ36" s="2"/>
      <c r="XEK36" s="2"/>
      <c r="XEL36" s="2"/>
      <c r="XEM36" s="2"/>
      <c r="XEN36" s="2"/>
      <c r="XEO36" s="2"/>
      <c r="XEP36" s="2"/>
      <c r="XEQ36" s="2"/>
      <c r="XER36" s="2"/>
      <c r="XES36" s="2"/>
      <c r="XET36" s="2"/>
      <c r="XEU36" s="2"/>
      <c r="XEV36" s="2"/>
      <c r="XEW36" s="2"/>
      <c r="XEX36" s="2"/>
      <c r="XEY36" s="2"/>
      <c r="XEZ36" s="2"/>
      <c r="XFA36" s="2"/>
    </row>
    <row r="37" s="78" customFormat="1" ht="24" customHeight="1" spans="1:16381">
      <c r="A37" s="2"/>
      <c r="B37" s="2"/>
      <c r="C37" s="86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  <c r="ALM37" s="2"/>
      <c r="ALN37" s="2"/>
      <c r="ALO37" s="2"/>
      <c r="ALP37" s="2"/>
      <c r="ALQ37" s="2"/>
      <c r="ALR37" s="2"/>
      <c r="ALS37" s="2"/>
      <c r="ALT37" s="2"/>
      <c r="ALU37" s="2"/>
      <c r="ALV37" s="2"/>
      <c r="ALW37" s="2"/>
      <c r="ALX37" s="2"/>
      <c r="ALY37" s="2"/>
      <c r="ALZ37" s="2"/>
      <c r="AMA37" s="2"/>
      <c r="AMB37" s="2"/>
      <c r="AMC37" s="2"/>
      <c r="AMD37" s="2"/>
      <c r="AME37" s="2"/>
      <c r="AMF37" s="2"/>
      <c r="AMG37" s="2"/>
      <c r="AMH37" s="2"/>
      <c r="AMI37" s="2"/>
      <c r="AMJ37" s="2"/>
      <c r="AMK37" s="2"/>
      <c r="AML37" s="2"/>
      <c r="AMM37" s="2"/>
      <c r="AMN37" s="2"/>
      <c r="AMO37" s="2"/>
      <c r="AMP37" s="2"/>
      <c r="AMQ37" s="2"/>
      <c r="AMR37" s="2"/>
      <c r="AMS37" s="2"/>
      <c r="AMT37" s="2"/>
      <c r="AMU37" s="2"/>
      <c r="AMV37" s="2"/>
      <c r="AMW37" s="2"/>
      <c r="AMX37" s="2"/>
      <c r="AMY37" s="2"/>
      <c r="AMZ37" s="2"/>
      <c r="ANA37" s="2"/>
      <c r="ANB37" s="2"/>
      <c r="ANC37" s="2"/>
      <c r="AND37" s="2"/>
      <c r="ANE37" s="2"/>
      <c r="ANF37" s="2"/>
      <c r="ANG37" s="2"/>
      <c r="ANH37" s="2"/>
      <c r="ANI37" s="2"/>
      <c r="ANJ37" s="2"/>
      <c r="ANK37" s="2"/>
      <c r="ANL37" s="2"/>
      <c r="ANM37" s="2"/>
      <c r="ANN37" s="2"/>
      <c r="ANO37" s="2"/>
      <c r="ANP37" s="2"/>
      <c r="ANQ37" s="2"/>
      <c r="ANR37" s="2"/>
      <c r="ANS37" s="2"/>
      <c r="ANT37" s="2"/>
      <c r="ANU37" s="2"/>
      <c r="ANV37" s="2"/>
      <c r="ANW37" s="2"/>
      <c r="ANX37" s="2"/>
      <c r="ANY37" s="2"/>
      <c r="ANZ37" s="2"/>
      <c r="AOA37" s="2"/>
      <c r="AOB37" s="2"/>
      <c r="AOC37" s="2"/>
      <c r="AOD37" s="2"/>
      <c r="AOE37" s="2"/>
      <c r="AOF37" s="2"/>
      <c r="AOG37" s="2"/>
      <c r="AOH37" s="2"/>
      <c r="AOI37" s="2"/>
      <c r="AOJ37" s="2"/>
      <c r="AOK37" s="2"/>
      <c r="AOL37" s="2"/>
      <c r="AOM37" s="2"/>
      <c r="AON37" s="2"/>
      <c r="AOO37" s="2"/>
      <c r="AOP37" s="2"/>
      <c r="AOQ37" s="2"/>
      <c r="AOR37" s="2"/>
      <c r="AOS37" s="2"/>
      <c r="AOT37" s="2"/>
      <c r="AOU37" s="2"/>
      <c r="AOV37" s="2"/>
      <c r="AOW37" s="2"/>
      <c r="AOX37" s="2"/>
      <c r="AOY37" s="2"/>
      <c r="AOZ37" s="2"/>
      <c r="APA37" s="2"/>
      <c r="APB37" s="2"/>
      <c r="APC37" s="2"/>
      <c r="APD37" s="2"/>
      <c r="APE37" s="2"/>
      <c r="APF37" s="2"/>
      <c r="APG37" s="2"/>
      <c r="APH37" s="2"/>
      <c r="API37" s="2"/>
      <c r="APJ37" s="2"/>
      <c r="APK37" s="2"/>
      <c r="APL37" s="2"/>
      <c r="APM37" s="2"/>
      <c r="APN37" s="2"/>
      <c r="APO37" s="2"/>
      <c r="APP37" s="2"/>
      <c r="APQ37" s="2"/>
      <c r="APR37" s="2"/>
      <c r="APS37" s="2"/>
      <c r="APT37" s="2"/>
      <c r="APU37" s="2"/>
      <c r="APV37" s="2"/>
      <c r="APW37" s="2"/>
      <c r="APX37" s="2"/>
      <c r="APY37" s="2"/>
      <c r="APZ37" s="2"/>
      <c r="AQA37" s="2"/>
      <c r="AQB37" s="2"/>
      <c r="AQC37" s="2"/>
      <c r="AQD37" s="2"/>
      <c r="AQE37" s="2"/>
      <c r="AQF37" s="2"/>
      <c r="AQG37" s="2"/>
      <c r="AQH37" s="2"/>
      <c r="AQI37" s="2"/>
      <c r="AQJ37" s="2"/>
      <c r="AQK37" s="2"/>
      <c r="AQL37" s="2"/>
      <c r="AQM37" s="2"/>
      <c r="AQN37" s="2"/>
      <c r="AQO37" s="2"/>
      <c r="AQP37" s="2"/>
      <c r="AQQ37" s="2"/>
      <c r="AQR37" s="2"/>
      <c r="AQS37" s="2"/>
      <c r="AQT37" s="2"/>
      <c r="AQU37" s="2"/>
      <c r="AQV37" s="2"/>
      <c r="AQW37" s="2"/>
      <c r="AQX37" s="2"/>
      <c r="AQY37" s="2"/>
      <c r="AQZ37" s="2"/>
      <c r="ARA37" s="2"/>
      <c r="ARB37" s="2"/>
      <c r="ARC37" s="2"/>
      <c r="ARD37" s="2"/>
      <c r="ARE37" s="2"/>
      <c r="ARF37" s="2"/>
      <c r="ARG37" s="2"/>
      <c r="ARH37" s="2"/>
      <c r="ARI37" s="2"/>
      <c r="ARJ37" s="2"/>
      <c r="ARK37" s="2"/>
      <c r="ARL37" s="2"/>
      <c r="ARM37" s="2"/>
      <c r="ARN37" s="2"/>
      <c r="ARO37" s="2"/>
      <c r="ARP37" s="2"/>
      <c r="ARQ37" s="2"/>
      <c r="ARR37" s="2"/>
      <c r="ARS37" s="2"/>
      <c r="ART37" s="2"/>
      <c r="ARU37" s="2"/>
      <c r="ARV37" s="2"/>
      <c r="ARW37" s="2"/>
      <c r="ARX37" s="2"/>
      <c r="ARY37" s="2"/>
      <c r="ARZ37" s="2"/>
      <c r="ASA37" s="2"/>
      <c r="ASB37" s="2"/>
      <c r="ASC37" s="2"/>
      <c r="ASD37" s="2"/>
      <c r="ASE37" s="2"/>
      <c r="ASF37" s="2"/>
      <c r="ASG37" s="2"/>
      <c r="ASH37" s="2"/>
      <c r="ASI37" s="2"/>
      <c r="ASJ37" s="2"/>
      <c r="ASK37" s="2"/>
      <c r="ASL37" s="2"/>
      <c r="ASM37" s="2"/>
      <c r="ASN37" s="2"/>
      <c r="ASO37" s="2"/>
      <c r="ASP37" s="2"/>
      <c r="ASQ37" s="2"/>
      <c r="ASR37" s="2"/>
      <c r="ASS37" s="2"/>
      <c r="AST37" s="2"/>
      <c r="ASU37" s="2"/>
      <c r="ASV37" s="2"/>
      <c r="ASW37" s="2"/>
      <c r="ASX37" s="2"/>
      <c r="ASY37" s="2"/>
      <c r="ASZ37" s="2"/>
      <c r="ATA37" s="2"/>
      <c r="ATB37" s="2"/>
      <c r="ATC37" s="2"/>
      <c r="ATD37" s="2"/>
      <c r="ATE37" s="2"/>
      <c r="ATF37" s="2"/>
      <c r="ATG37" s="2"/>
      <c r="ATH37" s="2"/>
      <c r="ATI37" s="2"/>
      <c r="ATJ37" s="2"/>
      <c r="ATK37" s="2"/>
      <c r="ATL37" s="2"/>
      <c r="ATM37" s="2"/>
      <c r="ATN37" s="2"/>
      <c r="ATO37" s="2"/>
      <c r="ATP37" s="2"/>
      <c r="ATQ37" s="2"/>
      <c r="ATR37" s="2"/>
      <c r="ATS37" s="2"/>
      <c r="ATT37" s="2"/>
      <c r="ATU37" s="2"/>
      <c r="ATV37" s="2"/>
      <c r="ATW37" s="2"/>
      <c r="ATX37" s="2"/>
      <c r="ATY37" s="2"/>
      <c r="ATZ37" s="2"/>
      <c r="AUA37" s="2"/>
      <c r="AUB37" s="2"/>
      <c r="AUC37" s="2"/>
      <c r="AUD37" s="2"/>
      <c r="AUE37" s="2"/>
      <c r="AUF37" s="2"/>
      <c r="AUG37" s="2"/>
      <c r="AUH37" s="2"/>
      <c r="AUI37" s="2"/>
      <c r="AUJ37" s="2"/>
      <c r="AUK37" s="2"/>
      <c r="AUL37" s="2"/>
      <c r="AUM37" s="2"/>
      <c r="AUN37" s="2"/>
      <c r="AUO37" s="2"/>
      <c r="AUP37" s="2"/>
      <c r="AUQ37" s="2"/>
      <c r="AUR37" s="2"/>
      <c r="AUS37" s="2"/>
      <c r="AUT37" s="2"/>
      <c r="AUU37" s="2"/>
      <c r="AUV37" s="2"/>
      <c r="AUW37" s="2"/>
      <c r="AUX37" s="2"/>
      <c r="AUY37" s="2"/>
      <c r="AUZ37" s="2"/>
      <c r="AVA37" s="2"/>
      <c r="AVB37" s="2"/>
      <c r="AVC37" s="2"/>
      <c r="AVD37" s="2"/>
      <c r="AVE37" s="2"/>
      <c r="AVF37" s="2"/>
      <c r="AVG37" s="2"/>
      <c r="AVH37" s="2"/>
      <c r="AVI37" s="2"/>
      <c r="AVJ37" s="2"/>
      <c r="AVK37" s="2"/>
      <c r="AVL37" s="2"/>
      <c r="AVM37" s="2"/>
      <c r="AVN37" s="2"/>
      <c r="AVO37" s="2"/>
      <c r="AVP37" s="2"/>
      <c r="AVQ37" s="2"/>
      <c r="AVR37" s="2"/>
      <c r="AVS37" s="2"/>
      <c r="AVT37" s="2"/>
      <c r="AVU37" s="2"/>
      <c r="AVV37" s="2"/>
      <c r="AVW37" s="2"/>
      <c r="AVX37" s="2"/>
      <c r="AVY37" s="2"/>
      <c r="AVZ37" s="2"/>
      <c r="AWA37" s="2"/>
      <c r="AWB37" s="2"/>
      <c r="AWC37" s="2"/>
      <c r="AWD37" s="2"/>
      <c r="AWE37" s="2"/>
      <c r="AWF37" s="2"/>
      <c r="AWG37" s="2"/>
      <c r="AWH37" s="2"/>
      <c r="AWI37" s="2"/>
      <c r="AWJ37" s="2"/>
      <c r="AWK37" s="2"/>
      <c r="AWL37" s="2"/>
      <c r="AWM37" s="2"/>
      <c r="AWN37" s="2"/>
      <c r="AWO37" s="2"/>
      <c r="AWP37" s="2"/>
      <c r="AWQ37" s="2"/>
      <c r="AWR37" s="2"/>
      <c r="AWS37" s="2"/>
      <c r="AWT37" s="2"/>
      <c r="AWU37" s="2"/>
      <c r="AWV37" s="2"/>
      <c r="AWW37" s="2"/>
      <c r="AWX37" s="2"/>
      <c r="AWY37" s="2"/>
      <c r="AWZ37" s="2"/>
      <c r="AXA37" s="2"/>
      <c r="AXB37" s="2"/>
      <c r="AXC37" s="2"/>
      <c r="AXD37" s="2"/>
      <c r="AXE37" s="2"/>
      <c r="AXF37" s="2"/>
      <c r="AXG37" s="2"/>
      <c r="AXH37" s="2"/>
      <c r="AXI37" s="2"/>
      <c r="AXJ37" s="2"/>
      <c r="AXK37" s="2"/>
      <c r="AXL37" s="2"/>
      <c r="AXM37" s="2"/>
      <c r="AXN37" s="2"/>
      <c r="AXO37" s="2"/>
      <c r="AXP37" s="2"/>
      <c r="AXQ37" s="2"/>
      <c r="AXR37" s="2"/>
      <c r="AXS37" s="2"/>
      <c r="AXT37" s="2"/>
      <c r="AXU37" s="2"/>
      <c r="AXV37" s="2"/>
      <c r="AXW37" s="2"/>
      <c r="AXX37" s="2"/>
      <c r="AXY37" s="2"/>
      <c r="AXZ37" s="2"/>
      <c r="AYA37" s="2"/>
      <c r="AYB37" s="2"/>
      <c r="AYC37" s="2"/>
      <c r="AYD37" s="2"/>
      <c r="AYE37" s="2"/>
      <c r="AYF37" s="2"/>
      <c r="AYG37" s="2"/>
      <c r="AYH37" s="2"/>
      <c r="AYI37" s="2"/>
      <c r="AYJ37" s="2"/>
      <c r="AYK37" s="2"/>
      <c r="AYL37" s="2"/>
      <c r="AYM37" s="2"/>
      <c r="AYN37" s="2"/>
      <c r="AYO37" s="2"/>
      <c r="AYP37" s="2"/>
      <c r="AYQ37" s="2"/>
      <c r="AYR37" s="2"/>
      <c r="AYS37" s="2"/>
      <c r="AYT37" s="2"/>
      <c r="AYU37" s="2"/>
      <c r="AYV37" s="2"/>
      <c r="AYW37" s="2"/>
      <c r="AYX37" s="2"/>
      <c r="AYY37" s="2"/>
      <c r="AYZ37" s="2"/>
      <c r="AZA37" s="2"/>
      <c r="AZB37" s="2"/>
      <c r="AZC37" s="2"/>
      <c r="AZD37" s="2"/>
      <c r="AZE37" s="2"/>
      <c r="AZF37" s="2"/>
      <c r="AZG37" s="2"/>
      <c r="AZH37" s="2"/>
      <c r="AZI37" s="2"/>
      <c r="AZJ37" s="2"/>
      <c r="AZK37" s="2"/>
      <c r="AZL37" s="2"/>
      <c r="AZM37" s="2"/>
      <c r="AZN37" s="2"/>
      <c r="AZO37" s="2"/>
      <c r="AZP37" s="2"/>
      <c r="AZQ37" s="2"/>
      <c r="AZR37" s="2"/>
      <c r="AZS37" s="2"/>
      <c r="AZT37" s="2"/>
      <c r="AZU37" s="2"/>
      <c r="AZV37" s="2"/>
      <c r="AZW37" s="2"/>
      <c r="AZX37" s="2"/>
      <c r="AZY37" s="2"/>
      <c r="AZZ37" s="2"/>
      <c r="BAA37" s="2"/>
      <c r="BAB37" s="2"/>
      <c r="BAC37" s="2"/>
      <c r="BAD37" s="2"/>
      <c r="BAE37" s="2"/>
      <c r="BAF37" s="2"/>
      <c r="BAG37" s="2"/>
      <c r="BAH37" s="2"/>
      <c r="BAI37" s="2"/>
      <c r="BAJ37" s="2"/>
      <c r="BAK37" s="2"/>
      <c r="BAL37" s="2"/>
      <c r="BAM37" s="2"/>
      <c r="BAN37" s="2"/>
      <c r="BAO37" s="2"/>
      <c r="BAP37" s="2"/>
      <c r="BAQ37" s="2"/>
      <c r="BAR37" s="2"/>
      <c r="BAS37" s="2"/>
      <c r="BAT37" s="2"/>
      <c r="BAU37" s="2"/>
      <c r="BAV37" s="2"/>
      <c r="BAW37" s="2"/>
      <c r="BAX37" s="2"/>
      <c r="BAY37" s="2"/>
      <c r="BAZ37" s="2"/>
      <c r="BBA37" s="2"/>
      <c r="BBB37" s="2"/>
      <c r="BBC37" s="2"/>
      <c r="BBD37" s="2"/>
      <c r="BBE37" s="2"/>
      <c r="BBF37" s="2"/>
      <c r="BBG37" s="2"/>
      <c r="BBH37" s="2"/>
      <c r="BBI37" s="2"/>
      <c r="BBJ37" s="2"/>
      <c r="BBK37" s="2"/>
      <c r="BBL37" s="2"/>
      <c r="BBM37" s="2"/>
      <c r="BBN37" s="2"/>
      <c r="BBO37" s="2"/>
      <c r="BBP37" s="2"/>
      <c r="BBQ37" s="2"/>
      <c r="BBR37" s="2"/>
      <c r="BBS37" s="2"/>
      <c r="BBT37" s="2"/>
      <c r="BBU37" s="2"/>
      <c r="BBV37" s="2"/>
      <c r="BBW37" s="2"/>
      <c r="BBX37" s="2"/>
      <c r="BBY37" s="2"/>
      <c r="BBZ37" s="2"/>
      <c r="BCA37" s="2"/>
      <c r="BCB37" s="2"/>
      <c r="BCC37" s="2"/>
      <c r="BCD37" s="2"/>
      <c r="BCE37" s="2"/>
      <c r="BCF37" s="2"/>
      <c r="BCG37" s="2"/>
      <c r="BCH37" s="2"/>
      <c r="BCI37" s="2"/>
      <c r="BCJ37" s="2"/>
      <c r="BCK37" s="2"/>
      <c r="BCL37" s="2"/>
      <c r="BCM37" s="2"/>
      <c r="BCN37" s="2"/>
      <c r="BCO37" s="2"/>
      <c r="BCP37" s="2"/>
      <c r="BCQ37" s="2"/>
      <c r="BCR37" s="2"/>
      <c r="BCS37" s="2"/>
      <c r="BCT37" s="2"/>
      <c r="BCU37" s="2"/>
      <c r="BCV37" s="2"/>
      <c r="BCW37" s="2"/>
      <c r="BCX37" s="2"/>
      <c r="BCY37" s="2"/>
      <c r="BCZ37" s="2"/>
      <c r="BDA37" s="2"/>
      <c r="BDB37" s="2"/>
      <c r="BDC37" s="2"/>
      <c r="BDD37" s="2"/>
      <c r="BDE37" s="2"/>
      <c r="BDF37" s="2"/>
      <c r="BDG37" s="2"/>
      <c r="BDH37" s="2"/>
      <c r="BDI37" s="2"/>
      <c r="BDJ37" s="2"/>
      <c r="BDK37" s="2"/>
      <c r="BDL37" s="2"/>
      <c r="BDM37" s="2"/>
      <c r="BDN37" s="2"/>
      <c r="BDO37" s="2"/>
      <c r="BDP37" s="2"/>
      <c r="BDQ37" s="2"/>
      <c r="BDR37" s="2"/>
      <c r="BDS37" s="2"/>
      <c r="BDT37" s="2"/>
      <c r="BDU37" s="2"/>
      <c r="BDV37" s="2"/>
      <c r="BDW37" s="2"/>
      <c r="BDX37" s="2"/>
      <c r="BDY37" s="2"/>
      <c r="BDZ37" s="2"/>
      <c r="BEA37" s="2"/>
      <c r="BEB37" s="2"/>
      <c r="BEC37" s="2"/>
      <c r="BED37" s="2"/>
      <c r="BEE37" s="2"/>
      <c r="BEF37" s="2"/>
      <c r="BEG37" s="2"/>
      <c r="BEH37" s="2"/>
      <c r="BEI37" s="2"/>
      <c r="BEJ37" s="2"/>
      <c r="BEK37" s="2"/>
      <c r="BEL37" s="2"/>
      <c r="BEM37" s="2"/>
      <c r="BEN37" s="2"/>
      <c r="BEO37" s="2"/>
      <c r="BEP37" s="2"/>
      <c r="BEQ37" s="2"/>
      <c r="BER37" s="2"/>
      <c r="BES37" s="2"/>
      <c r="BET37" s="2"/>
      <c r="BEU37" s="2"/>
      <c r="BEV37" s="2"/>
      <c r="BEW37" s="2"/>
      <c r="BEX37" s="2"/>
      <c r="BEY37" s="2"/>
      <c r="BEZ37" s="2"/>
      <c r="BFA37" s="2"/>
      <c r="BFB37" s="2"/>
      <c r="BFC37" s="2"/>
      <c r="BFD37" s="2"/>
      <c r="BFE37" s="2"/>
      <c r="BFF37" s="2"/>
      <c r="BFG37" s="2"/>
      <c r="BFH37" s="2"/>
      <c r="BFI37" s="2"/>
      <c r="BFJ37" s="2"/>
      <c r="BFK37" s="2"/>
      <c r="BFL37" s="2"/>
      <c r="BFM37" s="2"/>
      <c r="BFN37" s="2"/>
      <c r="BFO37" s="2"/>
      <c r="BFP37" s="2"/>
      <c r="BFQ37" s="2"/>
      <c r="BFR37" s="2"/>
      <c r="BFS37" s="2"/>
      <c r="BFT37" s="2"/>
      <c r="BFU37" s="2"/>
      <c r="BFV37" s="2"/>
      <c r="BFW37" s="2"/>
      <c r="BFX37" s="2"/>
      <c r="BFY37" s="2"/>
      <c r="BFZ37" s="2"/>
      <c r="BGA37" s="2"/>
      <c r="BGB37" s="2"/>
      <c r="BGC37" s="2"/>
      <c r="BGD37" s="2"/>
      <c r="BGE37" s="2"/>
      <c r="BGF37" s="2"/>
      <c r="BGG37" s="2"/>
      <c r="BGH37" s="2"/>
      <c r="BGI37" s="2"/>
      <c r="BGJ37" s="2"/>
      <c r="BGK37" s="2"/>
      <c r="BGL37" s="2"/>
      <c r="BGM37" s="2"/>
      <c r="BGN37" s="2"/>
      <c r="BGO37" s="2"/>
      <c r="BGP37" s="2"/>
      <c r="BGQ37" s="2"/>
      <c r="BGR37" s="2"/>
      <c r="BGS37" s="2"/>
      <c r="BGT37" s="2"/>
      <c r="BGU37" s="2"/>
      <c r="BGV37" s="2"/>
      <c r="BGW37" s="2"/>
      <c r="BGX37" s="2"/>
      <c r="BGY37" s="2"/>
      <c r="BGZ37" s="2"/>
      <c r="BHA37" s="2"/>
      <c r="BHB37" s="2"/>
      <c r="BHC37" s="2"/>
      <c r="BHD37" s="2"/>
      <c r="BHE37" s="2"/>
      <c r="BHF37" s="2"/>
      <c r="BHG37" s="2"/>
      <c r="BHH37" s="2"/>
      <c r="BHI37" s="2"/>
      <c r="BHJ37" s="2"/>
      <c r="BHK37" s="2"/>
      <c r="BHL37" s="2"/>
      <c r="BHM37" s="2"/>
      <c r="BHN37" s="2"/>
      <c r="BHO37" s="2"/>
      <c r="BHP37" s="2"/>
      <c r="BHQ37" s="2"/>
      <c r="BHR37" s="2"/>
      <c r="BHS37" s="2"/>
      <c r="BHT37" s="2"/>
      <c r="BHU37" s="2"/>
      <c r="BHV37" s="2"/>
      <c r="BHW37" s="2"/>
      <c r="BHX37" s="2"/>
      <c r="BHY37" s="2"/>
      <c r="BHZ37" s="2"/>
      <c r="BIA37" s="2"/>
      <c r="BIB37" s="2"/>
      <c r="BIC37" s="2"/>
      <c r="BID37" s="2"/>
      <c r="BIE37" s="2"/>
      <c r="BIF37" s="2"/>
      <c r="BIG37" s="2"/>
      <c r="BIH37" s="2"/>
      <c r="BII37" s="2"/>
      <c r="BIJ37" s="2"/>
      <c r="BIK37" s="2"/>
      <c r="BIL37" s="2"/>
      <c r="BIM37" s="2"/>
      <c r="BIN37" s="2"/>
      <c r="BIO37" s="2"/>
      <c r="BIP37" s="2"/>
      <c r="BIQ37" s="2"/>
      <c r="BIR37" s="2"/>
      <c r="BIS37" s="2"/>
      <c r="BIT37" s="2"/>
      <c r="BIU37" s="2"/>
      <c r="BIV37" s="2"/>
      <c r="BIW37" s="2"/>
      <c r="BIX37" s="2"/>
      <c r="BIY37" s="2"/>
      <c r="BIZ37" s="2"/>
      <c r="BJA37" s="2"/>
      <c r="BJB37" s="2"/>
      <c r="BJC37" s="2"/>
      <c r="BJD37" s="2"/>
      <c r="BJE37" s="2"/>
      <c r="BJF37" s="2"/>
      <c r="BJG37" s="2"/>
      <c r="BJH37" s="2"/>
      <c r="BJI37" s="2"/>
      <c r="BJJ37" s="2"/>
      <c r="BJK37" s="2"/>
      <c r="BJL37" s="2"/>
      <c r="BJM37" s="2"/>
      <c r="BJN37" s="2"/>
      <c r="BJO37" s="2"/>
      <c r="BJP37" s="2"/>
      <c r="BJQ37" s="2"/>
      <c r="BJR37" s="2"/>
      <c r="BJS37" s="2"/>
      <c r="BJT37" s="2"/>
      <c r="BJU37" s="2"/>
      <c r="BJV37" s="2"/>
      <c r="BJW37" s="2"/>
      <c r="BJX37" s="2"/>
      <c r="BJY37" s="2"/>
      <c r="BJZ37" s="2"/>
      <c r="BKA37" s="2"/>
      <c r="BKB37" s="2"/>
      <c r="BKC37" s="2"/>
      <c r="BKD37" s="2"/>
      <c r="BKE37" s="2"/>
      <c r="BKF37" s="2"/>
      <c r="BKG37" s="2"/>
      <c r="BKH37" s="2"/>
      <c r="BKI37" s="2"/>
      <c r="BKJ37" s="2"/>
      <c r="BKK37" s="2"/>
      <c r="BKL37" s="2"/>
      <c r="BKM37" s="2"/>
      <c r="BKN37" s="2"/>
      <c r="BKO37" s="2"/>
      <c r="BKP37" s="2"/>
      <c r="BKQ37" s="2"/>
      <c r="BKR37" s="2"/>
      <c r="BKS37" s="2"/>
      <c r="BKT37" s="2"/>
      <c r="BKU37" s="2"/>
      <c r="BKV37" s="2"/>
      <c r="BKW37" s="2"/>
      <c r="BKX37" s="2"/>
      <c r="BKY37" s="2"/>
      <c r="BKZ37" s="2"/>
      <c r="BLA37" s="2"/>
      <c r="BLB37" s="2"/>
      <c r="BLC37" s="2"/>
      <c r="BLD37" s="2"/>
      <c r="BLE37" s="2"/>
      <c r="BLF37" s="2"/>
      <c r="BLG37" s="2"/>
      <c r="BLH37" s="2"/>
      <c r="BLI37" s="2"/>
      <c r="BLJ37" s="2"/>
      <c r="BLK37" s="2"/>
      <c r="BLL37" s="2"/>
      <c r="BLM37" s="2"/>
      <c r="BLN37" s="2"/>
      <c r="BLO37" s="2"/>
      <c r="BLP37" s="2"/>
      <c r="BLQ37" s="2"/>
      <c r="BLR37" s="2"/>
      <c r="BLS37" s="2"/>
      <c r="BLT37" s="2"/>
      <c r="BLU37" s="2"/>
      <c r="BLV37" s="2"/>
      <c r="BLW37" s="2"/>
      <c r="BLX37" s="2"/>
      <c r="BLY37" s="2"/>
      <c r="BLZ37" s="2"/>
      <c r="BMA37" s="2"/>
      <c r="BMB37" s="2"/>
      <c r="BMC37" s="2"/>
      <c r="BMD37" s="2"/>
      <c r="BME37" s="2"/>
      <c r="BMF37" s="2"/>
      <c r="BMG37" s="2"/>
      <c r="BMH37" s="2"/>
      <c r="BMI37" s="2"/>
      <c r="BMJ37" s="2"/>
      <c r="BMK37" s="2"/>
      <c r="BML37" s="2"/>
      <c r="BMM37" s="2"/>
      <c r="BMN37" s="2"/>
      <c r="BMO37" s="2"/>
      <c r="BMP37" s="2"/>
      <c r="BMQ37" s="2"/>
      <c r="BMR37" s="2"/>
      <c r="BMS37" s="2"/>
      <c r="BMT37" s="2"/>
      <c r="BMU37" s="2"/>
      <c r="BMV37" s="2"/>
      <c r="BMW37" s="2"/>
      <c r="BMX37" s="2"/>
      <c r="BMY37" s="2"/>
      <c r="BMZ37" s="2"/>
      <c r="BNA37" s="2"/>
      <c r="BNB37" s="2"/>
      <c r="BNC37" s="2"/>
      <c r="BND37" s="2"/>
      <c r="BNE37" s="2"/>
      <c r="BNF37" s="2"/>
      <c r="BNG37" s="2"/>
      <c r="BNH37" s="2"/>
      <c r="BNI37" s="2"/>
      <c r="BNJ37" s="2"/>
      <c r="BNK37" s="2"/>
      <c r="BNL37" s="2"/>
      <c r="BNM37" s="2"/>
      <c r="BNN37" s="2"/>
      <c r="BNO37" s="2"/>
      <c r="BNP37" s="2"/>
      <c r="BNQ37" s="2"/>
      <c r="BNR37" s="2"/>
      <c r="BNS37" s="2"/>
      <c r="BNT37" s="2"/>
      <c r="BNU37" s="2"/>
      <c r="BNV37" s="2"/>
      <c r="BNW37" s="2"/>
      <c r="BNX37" s="2"/>
      <c r="BNY37" s="2"/>
      <c r="BNZ37" s="2"/>
      <c r="BOA37" s="2"/>
      <c r="BOB37" s="2"/>
      <c r="BOC37" s="2"/>
      <c r="BOD37" s="2"/>
      <c r="BOE37" s="2"/>
      <c r="BOF37" s="2"/>
      <c r="BOG37" s="2"/>
      <c r="BOH37" s="2"/>
      <c r="BOI37" s="2"/>
      <c r="BOJ37" s="2"/>
      <c r="BOK37" s="2"/>
      <c r="BOL37" s="2"/>
      <c r="BOM37" s="2"/>
      <c r="BON37" s="2"/>
      <c r="BOO37" s="2"/>
      <c r="BOP37" s="2"/>
      <c r="BOQ37" s="2"/>
      <c r="BOR37" s="2"/>
      <c r="BOS37" s="2"/>
      <c r="BOT37" s="2"/>
      <c r="BOU37" s="2"/>
      <c r="BOV37" s="2"/>
      <c r="BOW37" s="2"/>
      <c r="BOX37" s="2"/>
      <c r="BOY37" s="2"/>
      <c r="BOZ37" s="2"/>
      <c r="BPA37" s="2"/>
      <c r="BPB37" s="2"/>
      <c r="BPC37" s="2"/>
      <c r="BPD37" s="2"/>
      <c r="BPE37" s="2"/>
      <c r="BPF37" s="2"/>
      <c r="BPG37" s="2"/>
      <c r="BPH37" s="2"/>
      <c r="BPI37" s="2"/>
      <c r="BPJ37" s="2"/>
      <c r="BPK37" s="2"/>
      <c r="BPL37" s="2"/>
      <c r="BPM37" s="2"/>
      <c r="BPN37" s="2"/>
      <c r="BPO37" s="2"/>
      <c r="BPP37" s="2"/>
      <c r="BPQ37" s="2"/>
      <c r="BPR37" s="2"/>
      <c r="BPS37" s="2"/>
      <c r="BPT37" s="2"/>
      <c r="BPU37" s="2"/>
      <c r="BPV37" s="2"/>
      <c r="BPW37" s="2"/>
      <c r="BPX37" s="2"/>
      <c r="BPY37" s="2"/>
      <c r="BPZ37" s="2"/>
      <c r="BQA37" s="2"/>
      <c r="BQB37" s="2"/>
      <c r="BQC37" s="2"/>
      <c r="BQD37" s="2"/>
      <c r="BQE37" s="2"/>
      <c r="BQF37" s="2"/>
      <c r="BQG37" s="2"/>
      <c r="BQH37" s="2"/>
      <c r="BQI37" s="2"/>
      <c r="BQJ37" s="2"/>
      <c r="BQK37" s="2"/>
      <c r="BQL37" s="2"/>
      <c r="BQM37" s="2"/>
      <c r="BQN37" s="2"/>
      <c r="BQO37" s="2"/>
      <c r="BQP37" s="2"/>
      <c r="BQQ37" s="2"/>
      <c r="BQR37" s="2"/>
      <c r="BQS37" s="2"/>
      <c r="BQT37" s="2"/>
      <c r="BQU37" s="2"/>
      <c r="BQV37" s="2"/>
      <c r="BQW37" s="2"/>
      <c r="BQX37" s="2"/>
      <c r="BQY37" s="2"/>
      <c r="BQZ37" s="2"/>
      <c r="BRA37" s="2"/>
      <c r="BRB37" s="2"/>
      <c r="BRC37" s="2"/>
      <c r="BRD37" s="2"/>
      <c r="BRE37" s="2"/>
      <c r="BRF37" s="2"/>
      <c r="BRG37" s="2"/>
      <c r="BRH37" s="2"/>
      <c r="BRI37" s="2"/>
      <c r="BRJ37" s="2"/>
      <c r="BRK37" s="2"/>
      <c r="BRL37" s="2"/>
      <c r="BRM37" s="2"/>
      <c r="BRN37" s="2"/>
      <c r="BRO37" s="2"/>
      <c r="BRP37" s="2"/>
      <c r="BRQ37" s="2"/>
      <c r="BRR37" s="2"/>
      <c r="BRS37" s="2"/>
      <c r="BRT37" s="2"/>
      <c r="BRU37" s="2"/>
      <c r="BRV37" s="2"/>
      <c r="BRW37" s="2"/>
      <c r="BRX37" s="2"/>
      <c r="BRY37" s="2"/>
      <c r="BRZ37" s="2"/>
      <c r="BSA37" s="2"/>
      <c r="BSB37" s="2"/>
      <c r="BSC37" s="2"/>
      <c r="BSD37" s="2"/>
      <c r="BSE37" s="2"/>
      <c r="BSF37" s="2"/>
      <c r="BSG37" s="2"/>
      <c r="BSH37" s="2"/>
      <c r="BSI37" s="2"/>
      <c r="BSJ37" s="2"/>
      <c r="BSK37" s="2"/>
      <c r="BSL37" s="2"/>
      <c r="BSM37" s="2"/>
      <c r="BSN37" s="2"/>
      <c r="BSO37" s="2"/>
      <c r="BSP37" s="2"/>
      <c r="BSQ37" s="2"/>
      <c r="BSR37" s="2"/>
      <c r="BSS37" s="2"/>
      <c r="BST37" s="2"/>
      <c r="BSU37" s="2"/>
      <c r="BSV37" s="2"/>
      <c r="BSW37" s="2"/>
      <c r="BSX37" s="2"/>
      <c r="BSY37" s="2"/>
      <c r="BSZ37" s="2"/>
      <c r="BTA37" s="2"/>
      <c r="BTB37" s="2"/>
      <c r="BTC37" s="2"/>
      <c r="BTD37" s="2"/>
      <c r="BTE37" s="2"/>
      <c r="BTF37" s="2"/>
      <c r="BTG37" s="2"/>
      <c r="BTH37" s="2"/>
      <c r="BTI37" s="2"/>
      <c r="BTJ37" s="2"/>
      <c r="BTK37" s="2"/>
      <c r="BTL37" s="2"/>
      <c r="BTM37" s="2"/>
      <c r="BTN37" s="2"/>
      <c r="BTO37" s="2"/>
      <c r="BTP37" s="2"/>
      <c r="BTQ37" s="2"/>
      <c r="BTR37" s="2"/>
      <c r="BTS37" s="2"/>
      <c r="BTT37" s="2"/>
      <c r="BTU37" s="2"/>
      <c r="BTV37" s="2"/>
      <c r="BTW37" s="2"/>
      <c r="BTX37" s="2"/>
      <c r="BTY37" s="2"/>
      <c r="BTZ37" s="2"/>
      <c r="BUA37" s="2"/>
      <c r="BUB37" s="2"/>
      <c r="BUC37" s="2"/>
      <c r="BUD37" s="2"/>
      <c r="BUE37" s="2"/>
      <c r="BUF37" s="2"/>
      <c r="BUG37" s="2"/>
      <c r="BUH37" s="2"/>
      <c r="BUI37" s="2"/>
      <c r="BUJ37" s="2"/>
      <c r="BUK37" s="2"/>
      <c r="BUL37" s="2"/>
      <c r="BUM37" s="2"/>
      <c r="BUN37" s="2"/>
      <c r="BUO37" s="2"/>
      <c r="BUP37" s="2"/>
      <c r="BUQ37" s="2"/>
      <c r="BUR37" s="2"/>
      <c r="BUS37" s="2"/>
      <c r="BUT37" s="2"/>
      <c r="BUU37" s="2"/>
      <c r="BUV37" s="2"/>
      <c r="BUW37" s="2"/>
      <c r="BUX37" s="2"/>
      <c r="BUY37" s="2"/>
      <c r="BUZ37" s="2"/>
      <c r="BVA37" s="2"/>
      <c r="BVB37" s="2"/>
      <c r="BVC37" s="2"/>
      <c r="BVD37" s="2"/>
      <c r="BVE37" s="2"/>
      <c r="BVF37" s="2"/>
      <c r="BVG37" s="2"/>
      <c r="BVH37" s="2"/>
      <c r="BVI37" s="2"/>
      <c r="BVJ37" s="2"/>
      <c r="BVK37" s="2"/>
      <c r="BVL37" s="2"/>
      <c r="BVM37" s="2"/>
      <c r="BVN37" s="2"/>
      <c r="BVO37" s="2"/>
      <c r="BVP37" s="2"/>
      <c r="BVQ37" s="2"/>
      <c r="BVR37" s="2"/>
      <c r="BVS37" s="2"/>
      <c r="BVT37" s="2"/>
      <c r="BVU37" s="2"/>
      <c r="BVV37" s="2"/>
      <c r="BVW37" s="2"/>
      <c r="BVX37" s="2"/>
      <c r="BVY37" s="2"/>
      <c r="BVZ37" s="2"/>
      <c r="BWA37" s="2"/>
      <c r="BWB37" s="2"/>
      <c r="BWC37" s="2"/>
      <c r="BWD37" s="2"/>
      <c r="BWE37" s="2"/>
      <c r="BWF37" s="2"/>
      <c r="BWG37" s="2"/>
      <c r="BWH37" s="2"/>
      <c r="BWI37" s="2"/>
      <c r="BWJ37" s="2"/>
      <c r="BWK37" s="2"/>
      <c r="BWL37" s="2"/>
      <c r="BWM37" s="2"/>
      <c r="BWN37" s="2"/>
      <c r="BWO37" s="2"/>
      <c r="BWP37" s="2"/>
      <c r="BWQ37" s="2"/>
      <c r="BWR37" s="2"/>
      <c r="BWS37" s="2"/>
      <c r="BWT37" s="2"/>
      <c r="BWU37" s="2"/>
      <c r="BWV37" s="2"/>
      <c r="BWW37" s="2"/>
      <c r="BWX37" s="2"/>
      <c r="BWY37" s="2"/>
      <c r="BWZ37" s="2"/>
      <c r="BXA37" s="2"/>
      <c r="BXB37" s="2"/>
      <c r="BXC37" s="2"/>
      <c r="BXD37" s="2"/>
      <c r="BXE37" s="2"/>
      <c r="BXF37" s="2"/>
      <c r="BXG37" s="2"/>
      <c r="BXH37" s="2"/>
      <c r="BXI37" s="2"/>
      <c r="BXJ37" s="2"/>
      <c r="BXK37" s="2"/>
      <c r="BXL37" s="2"/>
      <c r="BXM37" s="2"/>
      <c r="BXN37" s="2"/>
      <c r="BXO37" s="2"/>
      <c r="BXP37" s="2"/>
      <c r="BXQ37" s="2"/>
      <c r="BXR37" s="2"/>
      <c r="BXS37" s="2"/>
      <c r="BXT37" s="2"/>
      <c r="BXU37" s="2"/>
      <c r="BXV37" s="2"/>
      <c r="BXW37" s="2"/>
      <c r="BXX37" s="2"/>
      <c r="BXY37" s="2"/>
      <c r="BXZ37" s="2"/>
      <c r="BYA37" s="2"/>
      <c r="BYB37" s="2"/>
      <c r="BYC37" s="2"/>
      <c r="BYD37" s="2"/>
      <c r="BYE37" s="2"/>
      <c r="BYF37" s="2"/>
      <c r="BYG37" s="2"/>
      <c r="BYH37" s="2"/>
      <c r="BYI37" s="2"/>
      <c r="BYJ37" s="2"/>
      <c r="BYK37" s="2"/>
      <c r="BYL37" s="2"/>
      <c r="BYM37" s="2"/>
      <c r="BYN37" s="2"/>
      <c r="BYO37" s="2"/>
      <c r="BYP37" s="2"/>
      <c r="BYQ37" s="2"/>
      <c r="BYR37" s="2"/>
      <c r="BYS37" s="2"/>
      <c r="BYT37" s="2"/>
      <c r="BYU37" s="2"/>
      <c r="BYV37" s="2"/>
      <c r="BYW37" s="2"/>
      <c r="BYX37" s="2"/>
      <c r="BYY37" s="2"/>
      <c r="BYZ37" s="2"/>
      <c r="BZA37" s="2"/>
      <c r="BZB37" s="2"/>
      <c r="BZC37" s="2"/>
      <c r="BZD37" s="2"/>
      <c r="BZE37" s="2"/>
      <c r="BZF37" s="2"/>
      <c r="BZG37" s="2"/>
      <c r="BZH37" s="2"/>
      <c r="BZI37" s="2"/>
      <c r="BZJ37" s="2"/>
      <c r="BZK37" s="2"/>
      <c r="BZL37" s="2"/>
      <c r="BZM37" s="2"/>
      <c r="BZN37" s="2"/>
      <c r="BZO37" s="2"/>
      <c r="BZP37" s="2"/>
      <c r="BZQ37" s="2"/>
      <c r="BZR37" s="2"/>
      <c r="BZS37" s="2"/>
      <c r="BZT37" s="2"/>
      <c r="BZU37" s="2"/>
      <c r="BZV37" s="2"/>
      <c r="BZW37" s="2"/>
      <c r="BZX37" s="2"/>
      <c r="BZY37" s="2"/>
      <c r="BZZ37" s="2"/>
      <c r="CAA37" s="2"/>
      <c r="CAB37" s="2"/>
      <c r="CAC37" s="2"/>
      <c r="CAD37" s="2"/>
      <c r="CAE37" s="2"/>
      <c r="CAF37" s="2"/>
      <c r="CAG37" s="2"/>
      <c r="CAH37" s="2"/>
      <c r="CAI37" s="2"/>
      <c r="CAJ37" s="2"/>
      <c r="CAK37" s="2"/>
      <c r="CAL37" s="2"/>
      <c r="CAM37" s="2"/>
      <c r="CAN37" s="2"/>
      <c r="CAO37" s="2"/>
      <c r="CAP37" s="2"/>
      <c r="CAQ37" s="2"/>
      <c r="CAR37" s="2"/>
      <c r="CAS37" s="2"/>
      <c r="CAT37" s="2"/>
      <c r="CAU37" s="2"/>
      <c r="CAV37" s="2"/>
      <c r="CAW37" s="2"/>
      <c r="CAX37" s="2"/>
      <c r="CAY37" s="2"/>
      <c r="CAZ37" s="2"/>
      <c r="CBA37" s="2"/>
      <c r="CBB37" s="2"/>
      <c r="CBC37" s="2"/>
      <c r="CBD37" s="2"/>
      <c r="CBE37" s="2"/>
      <c r="CBF37" s="2"/>
      <c r="CBG37" s="2"/>
      <c r="CBH37" s="2"/>
      <c r="CBI37" s="2"/>
      <c r="CBJ37" s="2"/>
      <c r="CBK37" s="2"/>
      <c r="CBL37" s="2"/>
      <c r="CBM37" s="2"/>
      <c r="CBN37" s="2"/>
      <c r="CBO37" s="2"/>
      <c r="CBP37" s="2"/>
      <c r="CBQ37" s="2"/>
      <c r="CBR37" s="2"/>
      <c r="CBS37" s="2"/>
      <c r="CBT37" s="2"/>
      <c r="CBU37" s="2"/>
      <c r="CBV37" s="2"/>
      <c r="CBW37" s="2"/>
      <c r="CBX37" s="2"/>
      <c r="CBY37" s="2"/>
      <c r="CBZ37" s="2"/>
      <c r="CCA37" s="2"/>
      <c r="CCB37" s="2"/>
      <c r="CCC37" s="2"/>
      <c r="CCD37" s="2"/>
      <c r="CCE37" s="2"/>
      <c r="CCF37" s="2"/>
      <c r="CCG37" s="2"/>
      <c r="CCH37" s="2"/>
      <c r="CCI37" s="2"/>
      <c r="CCJ37" s="2"/>
      <c r="CCK37" s="2"/>
      <c r="CCL37" s="2"/>
      <c r="CCM37" s="2"/>
      <c r="CCN37" s="2"/>
      <c r="CCO37" s="2"/>
      <c r="CCP37" s="2"/>
      <c r="CCQ37" s="2"/>
      <c r="CCR37" s="2"/>
      <c r="CCS37" s="2"/>
      <c r="CCT37" s="2"/>
      <c r="CCU37" s="2"/>
      <c r="CCV37" s="2"/>
      <c r="CCW37" s="2"/>
      <c r="CCX37" s="2"/>
      <c r="CCY37" s="2"/>
      <c r="CCZ37" s="2"/>
      <c r="CDA37" s="2"/>
      <c r="CDB37" s="2"/>
      <c r="CDC37" s="2"/>
      <c r="CDD37" s="2"/>
      <c r="CDE37" s="2"/>
      <c r="CDF37" s="2"/>
      <c r="CDG37" s="2"/>
      <c r="CDH37" s="2"/>
      <c r="CDI37" s="2"/>
      <c r="CDJ37" s="2"/>
      <c r="CDK37" s="2"/>
      <c r="CDL37" s="2"/>
      <c r="CDM37" s="2"/>
      <c r="CDN37" s="2"/>
      <c r="CDO37" s="2"/>
      <c r="CDP37" s="2"/>
      <c r="CDQ37" s="2"/>
      <c r="CDR37" s="2"/>
      <c r="CDS37" s="2"/>
      <c r="CDT37" s="2"/>
      <c r="CDU37" s="2"/>
      <c r="CDV37" s="2"/>
      <c r="CDW37" s="2"/>
      <c r="CDX37" s="2"/>
      <c r="CDY37" s="2"/>
      <c r="CDZ37" s="2"/>
      <c r="CEA37" s="2"/>
      <c r="CEB37" s="2"/>
      <c r="CEC37" s="2"/>
      <c r="CED37" s="2"/>
      <c r="CEE37" s="2"/>
      <c r="CEF37" s="2"/>
      <c r="CEG37" s="2"/>
      <c r="CEH37" s="2"/>
      <c r="CEI37" s="2"/>
      <c r="CEJ37" s="2"/>
      <c r="CEK37" s="2"/>
      <c r="CEL37" s="2"/>
      <c r="CEM37" s="2"/>
      <c r="CEN37" s="2"/>
      <c r="CEO37" s="2"/>
      <c r="CEP37" s="2"/>
      <c r="CEQ37" s="2"/>
      <c r="CER37" s="2"/>
      <c r="CES37" s="2"/>
      <c r="CET37" s="2"/>
      <c r="CEU37" s="2"/>
      <c r="CEV37" s="2"/>
      <c r="CEW37" s="2"/>
      <c r="CEX37" s="2"/>
      <c r="CEY37" s="2"/>
      <c r="CEZ37" s="2"/>
      <c r="CFA37" s="2"/>
      <c r="CFB37" s="2"/>
      <c r="CFC37" s="2"/>
      <c r="CFD37" s="2"/>
      <c r="CFE37" s="2"/>
      <c r="CFF37" s="2"/>
      <c r="CFG37" s="2"/>
      <c r="CFH37" s="2"/>
      <c r="CFI37" s="2"/>
      <c r="CFJ37" s="2"/>
      <c r="CFK37" s="2"/>
      <c r="CFL37" s="2"/>
      <c r="CFM37" s="2"/>
      <c r="CFN37" s="2"/>
      <c r="CFO37" s="2"/>
      <c r="CFP37" s="2"/>
      <c r="CFQ37" s="2"/>
      <c r="CFR37" s="2"/>
      <c r="CFS37" s="2"/>
      <c r="CFT37" s="2"/>
      <c r="CFU37" s="2"/>
      <c r="CFV37" s="2"/>
      <c r="CFW37" s="2"/>
      <c r="CFX37" s="2"/>
      <c r="CFY37" s="2"/>
      <c r="CFZ37" s="2"/>
      <c r="CGA37" s="2"/>
      <c r="CGB37" s="2"/>
      <c r="CGC37" s="2"/>
      <c r="CGD37" s="2"/>
      <c r="CGE37" s="2"/>
      <c r="CGF37" s="2"/>
      <c r="CGG37" s="2"/>
      <c r="CGH37" s="2"/>
      <c r="CGI37" s="2"/>
      <c r="CGJ37" s="2"/>
      <c r="CGK37" s="2"/>
      <c r="CGL37" s="2"/>
      <c r="CGM37" s="2"/>
      <c r="CGN37" s="2"/>
      <c r="CGO37" s="2"/>
      <c r="CGP37" s="2"/>
      <c r="CGQ37" s="2"/>
      <c r="CGR37" s="2"/>
      <c r="CGS37" s="2"/>
      <c r="CGT37" s="2"/>
      <c r="CGU37" s="2"/>
      <c r="CGV37" s="2"/>
      <c r="CGW37" s="2"/>
      <c r="CGX37" s="2"/>
      <c r="CGY37" s="2"/>
      <c r="CGZ37" s="2"/>
      <c r="CHA37" s="2"/>
      <c r="CHB37" s="2"/>
      <c r="CHC37" s="2"/>
      <c r="CHD37" s="2"/>
      <c r="CHE37" s="2"/>
      <c r="CHF37" s="2"/>
      <c r="CHG37" s="2"/>
      <c r="CHH37" s="2"/>
      <c r="CHI37" s="2"/>
      <c r="CHJ37" s="2"/>
      <c r="CHK37" s="2"/>
      <c r="CHL37" s="2"/>
      <c r="CHM37" s="2"/>
      <c r="CHN37" s="2"/>
      <c r="CHO37" s="2"/>
      <c r="CHP37" s="2"/>
      <c r="CHQ37" s="2"/>
      <c r="CHR37" s="2"/>
      <c r="CHS37" s="2"/>
      <c r="CHT37" s="2"/>
      <c r="CHU37" s="2"/>
      <c r="CHV37" s="2"/>
      <c r="CHW37" s="2"/>
      <c r="CHX37" s="2"/>
      <c r="CHY37" s="2"/>
      <c r="CHZ37" s="2"/>
      <c r="CIA37" s="2"/>
      <c r="CIB37" s="2"/>
      <c r="CIC37" s="2"/>
      <c r="CID37" s="2"/>
      <c r="CIE37" s="2"/>
      <c r="CIF37" s="2"/>
      <c r="CIG37" s="2"/>
      <c r="CIH37" s="2"/>
      <c r="CII37" s="2"/>
      <c r="CIJ37" s="2"/>
      <c r="CIK37" s="2"/>
      <c r="CIL37" s="2"/>
      <c r="CIM37" s="2"/>
      <c r="CIN37" s="2"/>
      <c r="CIO37" s="2"/>
      <c r="CIP37" s="2"/>
      <c r="CIQ37" s="2"/>
      <c r="CIR37" s="2"/>
      <c r="CIS37" s="2"/>
      <c r="CIT37" s="2"/>
      <c r="CIU37" s="2"/>
      <c r="CIV37" s="2"/>
      <c r="CIW37" s="2"/>
      <c r="CIX37" s="2"/>
      <c r="CIY37" s="2"/>
      <c r="CIZ37" s="2"/>
      <c r="CJA37" s="2"/>
      <c r="CJB37" s="2"/>
      <c r="CJC37" s="2"/>
      <c r="CJD37" s="2"/>
      <c r="CJE37" s="2"/>
      <c r="CJF37" s="2"/>
      <c r="CJG37" s="2"/>
      <c r="CJH37" s="2"/>
      <c r="CJI37" s="2"/>
      <c r="CJJ37" s="2"/>
      <c r="CJK37" s="2"/>
      <c r="CJL37" s="2"/>
      <c r="CJM37" s="2"/>
      <c r="CJN37" s="2"/>
      <c r="CJO37" s="2"/>
      <c r="CJP37" s="2"/>
      <c r="CJQ37" s="2"/>
      <c r="CJR37" s="2"/>
      <c r="CJS37" s="2"/>
      <c r="CJT37" s="2"/>
      <c r="CJU37" s="2"/>
      <c r="CJV37" s="2"/>
      <c r="CJW37" s="2"/>
      <c r="CJX37" s="2"/>
      <c r="CJY37" s="2"/>
      <c r="CJZ37" s="2"/>
      <c r="CKA37" s="2"/>
      <c r="CKB37" s="2"/>
      <c r="CKC37" s="2"/>
      <c r="CKD37" s="2"/>
      <c r="CKE37" s="2"/>
      <c r="CKF37" s="2"/>
      <c r="CKG37" s="2"/>
      <c r="CKH37" s="2"/>
      <c r="CKI37" s="2"/>
      <c r="CKJ37" s="2"/>
      <c r="CKK37" s="2"/>
      <c r="CKL37" s="2"/>
      <c r="CKM37" s="2"/>
      <c r="CKN37" s="2"/>
      <c r="CKO37" s="2"/>
      <c r="CKP37" s="2"/>
      <c r="CKQ37" s="2"/>
      <c r="CKR37" s="2"/>
      <c r="CKS37" s="2"/>
      <c r="CKT37" s="2"/>
      <c r="CKU37" s="2"/>
      <c r="CKV37" s="2"/>
      <c r="CKW37" s="2"/>
      <c r="CKX37" s="2"/>
      <c r="CKY37" s="2"/>
      <c r="CKZ37" s="2"/>
      <c r="CLA37" s="2"/>
      <c r="CLB37" s="2"/>
      <c r="CLC37" s="2"/>
      <c r="CLD37" s="2"/>
      <c r="CLE37" s="2"/>
      <c r="CLF37" s="2"/>
      <c r="CLG37" s="2"/>
      <c r="CLH37" s="2"/>
      <c r="CLI37" s="2"/>
      <c r="CLJ37" s="2"/>
      <c r="CLK37" s="2"/>
      <c r="CLL37" s="2"/>
      <c r="CLM37" s="2"/>
      <c r="CLN37" s="2"/>
      <c r="CLO37" s="2"/>
      <c r="CLP37" s="2"/>
      <c r="CLQ37" s="2"/>
      <c r="CLR37" s="2"/>
      <c r="CLS37" s="2"/>
      <c r="CLT37" s="2"/>
      <c r="CLU37" s="2"/>
      <c r="CLV37" s="2"/>
      <c r="CLW37" s="2"/>
      <c r="CLX37" s="2"/>
      <c r="CLY37" s="2"/>
      <c r="CLZ37" s="2"/>
      <c r="CMA37" s="2"/>
      <c r="CMB37" s="2"/>
      <c r="CMC37" s="2"/>
      <c r="CMD37" s="2"/>
      <c r="CME37" s="2"/>
      <c r="CMF37" s="2"/>
      <c r="CMG37" s="2"/>
      <c r="CMH37" s="2"/>
      <c r="CMI37" s="2"/>
      <c r="CMJ37" s="2"/>
      <c r="CMK37" s="2"/>
      <c r="CML37" s="2"/>
      <c r="CMM37" s="2"/>
      <c r="CMN37" s="2"/>
      <c r="CMO37" s="2"/>
      <c r="CMP37" s="2"/>
      <c r="CMQ37" s="2"/>
      <c r="CMR37" s="2"/>
      <c r="CMS37" s="2"/>
      <c r="CMT37" s="2"/>
      <c r="CMU37" s="2"/>
      <c r="CMV37" s="2"/>
      <c r="CMW37" s="2"/>
      <c r="CMX37" s="2"/>
      <c r="CMY37" s="2"/>
      <c r="CMZ37" s="2"/>
      <c r="CNA37" s="2"/>
      <c r="CNB37" s="2"/>
      <c r="CNC37" s="2"/>
      <c r="CND37" s="2"/>
      <c r="CNE37" s="2"/>
      <c r="CNF37" s="2"/>
      <c r="CNG37" s="2"/>
      <c r="CNH37" s="2"/>
      <c r="CNI37" s="2"/>
      <c r="CNJ37" s="2"/>
      <c r="CNK37" s="2"/>
      <c r="CNL37" s="2"/>
      <c r="CNM37" s="2"/>
      <c r="CNN37" s="2"/>
      <c r="CNO37" s="2"/>
      <c r="CNP37" s="2"/>
      <c r="CNQ37" s="2"/>
      <c r="CNR37" s="2"/>
      <c r="CNS37" s="2"/>
      <c r="CNT37" s="2"/>
      <c r="CNU37" s="2"/>
      <c r="CNV37" s="2"/>
      <c r="CNW37" s="2"/>
      <c r="CNX37" s="2"/>
      <c r="CNY37" s="2"/>
      <c r="CNZ37" s="2"/>
      <c r="COA37" s="2"/>
      <c r="COB37" s="2"/>
      <c r="COC37" s="2"/>
      <c r="COD37" s="2"/>
      <c r="COE37" s="2"/>
      <c r="COF37" s="2"/>
      <c r="COG37" s="2"/>
      <c r="COH37" s="2"/>
      <c r="COI37" s="2"/>
      <c r="COJ37" s="2"/>
      <c r="COK37" s="2"/>
      <c r="COL37" s="2"/>
      <c r="COM37" s="2"/>
      <c r="CON37" s="2"/>
      <c r="COO37" s="2"/>
      <c r="COP37" s="2"/>
      <c r="COQ37" s="2"/>
      <c r="COR37" s="2"/>
      <c r="COS37" s="2"/>
      <c r="COT37" s="2"/>
      <c r="COU37" s="2"/>
      <c r="COV37" s="2"/>
      <c r="COW37" s="2"/>
      <c r="COX37" s="2"/>
      <c r="COY37" s="2"/>
      <c r="COZ37" s="2"/>
      <c r="CPA37" s="2"/>
      <c r="CPB37" s="2"/>
      <c r="CPC37" s="2"/>
      <c r="CPD37" s="2"/>
      <c r="CPE37" s="2"/>
      <c r="CPF37" s="2"/>
      <c r="CPG37" s="2"/>
      <c r="CPH37" s="2"/>
      <c r="CPI37" s="2"/>
      <c r="CPJ37" s="2"/>
      <c r="CPK37" s="2"/>
      <c r="CPL37" s="2"/>
      <c r="CPM37" s="2"/>
      <c r="CPN37" s="2"/>
      <c r="CPO37" s="2"/>
      <c r="CPP37" s="2"/>
      <c r="CPQ37" s="2"/>
      <c r="CPR37" s="2"/>
      <c r="CPS37" s="2"/>
      <c r="CPT37" s="2"/>
      <c r="CPU37" s="2"/>
      <c r="CPV37" s="2"/>
      <c r="CPW37" s="2"/>
      <c r="CPX37" s="2"/>
      <c r="CPY37" s="2"/>
      <c r="CPZ37" s="2"/>
      <c r="CQA37" s="2"/>
      <c r="CQB37" s="2"/>
      <c r="CQC37" s="2"/>
      <c r="CQD37" s="2"/>
      <c r="CQE37" s="2"/>
      <c r="CQF37" s="2"/>
      <c r="CQG37" s="2"/>
      <c r="CQH37" s="2"/>
      <c r="CQI37" s="2"/>
      <c r="CQJ37" s="2"/>
      <c r="CQK37" s="2"/>
      <c r="CQL37" s="2"/>
      <c r="CQM37" s="2"/>
      <c r="CQN37" s="2"/>
      <c r="CQO37" s="2"/>
      <c r="CQP37" s="2"/>
      <c r="CQQ37" s="2"/>
      <c r="CQR37" s="2"/>
      <c r="CQS37" s="2"/>
      <c r="CQT37" s="2"/>
      <c r="CQU37" s="2"/>
      <c r="CQV37" s="2"/>
      <c r="CQW37" s="2"/>
      <c r="CQX37" s="2"/>
      <c r="CQY37" s="2"/>
      <c r="CQZ37" s="2"/>
      <c r="CRA37" s="2"/>
      <c r="CRB37" s="2"/>
      <c r="CRC37" s="2"/>
      <c r="CRD37" s="2"/>
      <c r="CRE37" s="2"/>
      <c r="CRF37" s="2"/>
      <c r="CRG37" s="2"/>
      <c r="CRH37" s="2"/>
      <c r="CRI37" s="2"/>
      <c r="CRJ37" s="2"/>
      <c r="CRK37" s="2"/>
      <c r="CRL37" s="2"/>
      <c r="CRM37" s="2"/>
      <c r="CRN37" s="2"/>
      <c r="CRO37" s="2"/>
      <c r="CRP37" s="2"/>
      <c r="CRQ37" s="2"/>
      <c r="CRR37" s="2"/>
      <c r="CRS37" s="2"/>
      <c r="CRT37" s="2"/>
      <c r="CRU37" s="2"/>
      <c r="CRV37" s="2"/>
      <c r="CRW37" s="2"/>
      <c r="CRX37" s="2"/>
      <c r="CRY37" s="2"/>
      <c r="CRZ37" s="2"/>
      <c r="CSA37" s="2"/>
      <c r="CSB37" s="2"/>
      <c r="CSC37" s="2"/>
      <c r="CSD37" s="2"/>
      <c r="CSE37" s="2"/>
      <c r="CSF37" s="2"/>
      <c r="CSG37" s="2"/>
      <c r="CSH37" s="2"/>
      <c r="CSI37" s="2"/>
      <c r="CSJ37" s="2"/>
      <c r="CSK37" s="2"/>
      <c r="CSL37" s="2"/>
      <c r="CSM37" s="2"/>
      <c r="CSN37" s="2"/>
      <c r="CSO37" s="2"/>
      <c r="CSP37" s="2"/>
      <c r="CSQ37" s="2"/>
      <c r="CSR37" s="2"/>
      <c r="CSS37" s="2"/>
      <c r="CST37" s="2"/>
      <c r="CSU37" s="2"/>
      <c r="CSV37" s="2"/>
      <c r="CSW37" s="2"/>
      <c r="CSX37" s="2"/>
      <c r="CSY37" s="2"/>
      <c r="CSZ37" s="2"/>
      <c r="CTA37" s="2"/>
      <c r="CTB37" s="2"/>
      <c r="CTC37" s="2"/>
      <c r="CTD37" s="2"/>
      <c r="CTE37" s="2"/>
      <c r="CTF37" s="2"/>
      <c r="CTG37" s="2"/>
      <c r="CTH37" s="2"/>
      <c r="CTI37" s="2"/>
      <c r="CTJ37" s="2"/>
      <c r="CTK37" s="2"/>
      <c r="CTL37" s="2"/>
      <c r="CTM37" s="2"/>
      <c r="CTN37" s="2"/>
      <c r="CTO37" s="2"/>
      <c r="CTP37" s="2"/>
      <c r="CTQ37" s="2"/>
      <c r="CTR37" s="2"/>
      <c r="CTS37" s="2"/>
      <c r="CTT37" s="2"/>
      <c r="CTU37" s="2"/>
      <c r="CTV37" s="2"/>
      <c r="CTW37" s="2"/>
      <c r="CTX37" s="2"/>
      <c r="CTY37" s="2"/>
      <c r="CTZ37" s="2"/>
      <c r="CUA37" s="2"/>
      <c r="CUB37" s="2"/>
      <c r="CUC37" s="2"/>
      <c r="CUD37" s="2"/>
      <c r="CUE37" s="2"/>
      <c r="CUF37" s="2"/>
      <c r="CUG37" s="2"/>
      <c r="CUH37" s="2"/>
      <c r="CUI37" s="2"/>
      <c r="CUJ37" s="2"/>
      <c r="CUK37" s="2"/>
      <c r="CUL37" s="2"/>
      <c r="CUM37" s="2"/>
      <c r="CUN37" s="2"/>
      <c r="CUO37" s="2"/>
      <c r="CUP37" s="2"/>
      <c r="CUQ37" s="2"/>
      <c r="CUR37" s="2"/>
      <c r="CUS37" s="2"/>
      <c r="CUT37" s="2"/>
      <c r="CUU37" s="2"/>
      <c r="CUV37" s="2"/>
      <c r="CUW37" s="2"/>
      <c r="CUX37" s="2"/>
      <c r="CUY37" s="2"/>
      <c r="CUZ37" s="2"/>
      <c r="CVA37" s="2"/>
      <c r="CVB37" s="2"/>
      <c r="CVC37" s="2"/>
      <c r="CVD37" s="2"/>
      <c r="CVE37" s="2"/>
      <c r="CVF37" s="2"/>
      <c r="CVG37" s="2"/>
      <c r="CVH37" s="2"/>
      <c r="CVI37" s="2"/>
      <c r="CVJ37" s="2"/>
      <c r="CVK37" s="2"/>
      <c r="CVL37" s="2"/>
      <c r="CVM37" s="2"/>
      <c r="CVN37" s="2"/>
      <c r="CVO37" s="2"/>
      <c r="CVP37" s="2"/>
      <c r="CVQ37" s="2"/>
      <c r="CVR37" s="2"/>
      <c r="CVS37" s="2"/>
      <c r="CVT37" s="2"/>
      <c r="CVU37" s="2"/>
      <c r="CVV37" s="2"/>
      <c r="CVW37" s="2"/>
      <c r="CVX37" s="2"/>
      <c r="CVY37" s="2"/>
      <c r="CVZ37" s="2"/>
      <c r="CWA37" s="2"/>
      <c r="CWB37" s="2"/>
      <c r="CWC37" s="2"/>
      <c r="CWD37" s="2"/>
      <c r="CWE37" s="2"/>
      <c r="CWF37" s="2"/>
      <c r="CWG37" s="2"/>
      <c r="CWH37" s="2"/>
      <c r="CWI37" s="2"/>
      <c r="CWJ37" s="2"/>
      <c r="CWK37" s="2"/>
      <c r="CWL37" s="2"/>
      <c r="CWM37" s="2"/>
      <c r="CWN37" s="2"/>
      <c r="CWO37" s="2"/>
      <c r="CWP37" s="2"/>
      <c r="CWQ37" s="2"/>
      <c r="CWR37" s="2"/>
      <c r="CWS37" s="2"/>
      <c r="CWT37" s="2"/>
      <c r="CWU37" s="2"/>
      <c r="CWV37" s="2"/>
      <c r="CWW37" s="2"/>
      <c r="CWX37" s="2"/>
      <c r="CWY37" s="2"/>
      <c r="CWZ37" s="2"/>
      <c r="CXA37" s="2"/>
      <c r="CXB37" s="2"/>
      <c r="CXC37" s="2"/>
      <c r="CXD37" s="2"/>
      <c r="CXE37" s="2"/>
      <c r="CXF37" s="2"/>
      <c r="CXG37" s="2"/>
      <c r="CXH37" s="2"/>
      <c r="CXI37" s="2"/>
      <c r="CXJ37" s="2"/>
      <c r="CXK37" s="2"/>
      <c r="CXL37" s="2"/>
      <c r="CXM37" s="2"/>
      <c r="CXN37" s="2"/>
      <c r="CXO37" s="2"/>
      <c r="CXP37" s="2"/>
      <c r="CXQ37" s="2"/>
      <c r="CXR37" s="2"/>
      <c r="CXS37" s="2"/>
      <c r="CXT37" s="2"/>
      <c r="CXU37" s="2"/>
      <c r="CXV37" s="2"/>
      <c r="CXW37" s="2"/>
      <c r="CXX37" s="2"/>
      <c r="CXY37" s="2"/>
      <c r="CXZ37" s="2"/>
      <c r="CYA37" s="2"/>
      <c r="CYB37" s="2"/>
      <c r="CYC37" s="2"/>
      <c r="CYD37" s="2"/>
      <c r="CYE37" s="2"/>
      <c r="CYF37" s="2"/>
      <c r="CYG37" s="2"/>
      <c r="CYH37" s="2"/>
      <c r="CYI37" s="2"/>
      <c r="CYJ37" s="2"/>
      <c r="CYK37" s="2"/>
      <c r="CYL37" s="2"/>
      <c r="CYM37" s="2"/>
      <c r="CYN37" s="2"/>
      <c r="CYO37" s="2"/>
      <c r="CYP37" s="2"/>
      <c r="CYQ37" s="2"/>
      <c r="CYR37" s="2"/>
      <c r="CYS37" s="2"/>
      <c r="CYT37" s="2"/>
      <c r="CYU37" s="2"/>
      <c r="CYV37" s="2"/>
      <c r="CYW37" s="2"/>
      <c r="CYX37" s="2"/>
      <c r="CYY37" s="2"/>
      <c r="CYZ37" s="2"/>
      <c r="CZA37" s="2"/>
      <c r="CZB37" s="2"/>
      <c r="CZC37" s="2"/>
      <c r="CZD37" s="2"/>
      <c r="CZE37" s="2"/>
      <c r="CZF37" s="2"/>
      <c r="CZG37" s="2"/>
      <c r="CZH37" s="2"/>
      <c r="CZI37" s="2"/>
      <c r="CZJ37" s="2"/>
      <c r="CZK37" s="2"/>
      <c r="CZL37" s="2"/>
      <c r="CZM37" s="2"/>
      <c r="CZN37" s="2"/>
      <c r="CZO37" s="2"/>
      <c r="CZP37" s="2"/>
      <c r="CZQ37" s="2"/>
      <c r="CZR37" s="2"/>
      <c r="CZS37" s="2"/>
      <c r="CZT37" s="2"/>
      <c r="CZU37" s="2"/>
      <c r="CZV37" s="2"/>
      <c r="CZW37" s="2"/>
      <c r="CZX37" s="2"/>
      <c r="CZY37" s="2"/>
      <c r="CZZ37" s="2"/>
      <c r="DAA37" s="2"/>
      <c r="DAB37" s="2"/>
      <c r="DAC37" s="2"/>
      <c r="DAD37" s="2"/>
      <c r="DAE37" s="2"/>
      <c r="DAF37" s="2"/>
      <c r="DAG37" s="2"/>
      <c r="DAH37" s="2"/>
      <c r="DAI37" s="2"/>
      <c r="DAJ37" s="2"/>
      <c r="DAK37" s="2"/>
      <c r="DAL37" s="2"/>
      <c r="DAM37" s="2"/>
      <c r="DAN37" s="2"/>
      <c r="DAO37" s="2"/>
      <c r="DAP37" s="2"/>
      <c r="DAQ37" s="2"/>
      <c r="DAR37" s="2"/>
      <c r="DAS37" s="2"/>
      <c r="DAT37" s="2"/>
      <c r="DAU37" s="2"/>
      <c r="DAV37" s="2"/>
      <c r="DAW37" s="2"/>
      <c r="DAX37" s="2"/>
      <c r="DAY37" s="2"/>
      <c r="DAZ37" s="2"/>
      <c r="DBA37" s="2"/>
      <c r="DBB37" s="2"/>
      <c r="DBC37" s="2"/>
      <c r="DBD37" s="2"/>
      <c r="DBE37" s="2"/>
      <c r="DBF37" s="2"/>
      <c r="DBG37" s="2"/>
      <c r="DBH37" s="2"/>
      <c r="DBI37" s="2"/>
      <c r="DBJ37" s="2"/>
      <c r="DBK37" s="2"/>
      <c r="DBL37" s="2"/>
      <c r="DBM37" s="2"/>
      <c r="DBN37" s="2"/>
      <c r="DBO37" s="2"/>
      <c r="DBP37" s="2"/>
      <c r="DBQ37" s="2"/>
      <c r="DBR37" s="2"/>
      <c r="DBS37" s="2"/>
      <c r="DBT37" s="2"/>
      <c r="DBU37" s="2"/>
      <c r="DBV37" s="2"/>
      <c r="DBW37" s="2"/>
      <c r="DBX37" s="2"/>
      <c r="DBY37" s="2"/>
      <c r="DBZ37" s="2"/>
      <c r="DCA37" s="2"/>
      <c r="DCB37" s="2"/>
      <c r="DCC37" s="2"/>
      <c r="DCD37" s="2"/>
      <c r="DCE37" s="2"/>
      <c r="DCF37" s="2"/>
      <c r="DCG37" s="2"/>
      <c r="DCH37" s="2"/>
      <c r="DCI37" s="2"/>
      <c r="DCJ37" s="2"/>
      <c r="DCK37" s="2"/>
      <c r="DCL37" s="2"/>
      <c r="DCM37" s="2"/>
      <c r="DCN37" s="2"/>
      <c r="DCO37" s="2"/>
      <c r="DCP37" s="2"/>
      <c r="DCQ37" s="2"/>
      <c r="DCR37" s="2"/>
      <c r="DCS37" s="2"/>
      <c r="DCT37" s="2"/>
      <c r="DCU37" s="2"/>
      <c r="DCV37" s="2"/>
      <c r="DCW37" s="2"/>
      <c r="DCX37" s="2"/>
      <c r="DCY37" s="2"/>
      <c r="DCZ37" s="2"/>
      <c r="DDA37" s="2"/>
      <c r="DDB37" s="2"/>
      <c r="DDC37" s="2"/>
      <c r="DDD37" s="2"/>
      <c r="DDE37" s="2"/>
      <c r="DDF37" s="2"/>
      <c r="DDG37" s="2"/>
      <c r="DDH37" s="2"/>
      <c r="DDI37" s="2"/>
      <c r="DDJ37" s="2"/>
      <c r="DDK37" s="2"/>
      <c r="DDL37" s="2"/>
      <c r="DDM37" s="2"/>
      <c r="DDN37" s="2"/>
      <c r="DDO37" s="2"/>
      <c r="DDP37" s="2"/>
      <c r="DDQ37" s="2"/>
      <c r="DDR37" s="2"/>
      <c r="DDS37" s="2"/>
      <c r="DDT37" s="2"/>
      <c r="DDU37" s="2"/>
      <c r="DDV37" s="2"/>
      <c r="DDW37" s="2"/>
      <c r="DDX37" s="2"/>
      <c r="DDY37" s="2"/>
      <c r="DDZ37" s="2"/>
      <c r="DEA37" s="2"/>
      <c r="DEB37" s="2"/>
      <c r="DEC37" s="2"/>
      <c r="DED37" s="2"/>
      <c r="DEE37" s="2"/>
      <c r="DEF37" s="2"/>
      <c r="DEG37" s="2"/>
      <c r="DEH37" s="2"/>
      <c r="DEI37" s="2"/>
      <c r="DEJ37" s="2"/>
      <c r="DEK37" s="2"/>
      <c r="DEL37" s="2"/>
      <c r="DEM37" s="2"/>
      <c r="DEN37" s="2"/>
      <c r="DEO37" s="2"/>
      <c r="DEP37" s="2"/>
      <c r="DEQ37" s="2"/>
      <c r="DER37" s="2"/>
      <c r="DES37" s="2"/>
      <c r="DET37" s="2"/>
      <c r="DEU37" s="2"/>
      <c r="DEV37" s="2"/>
      <c r="DEW37" s="2"/>
      <c r="DEX37" s="2"/>
      <c r="DEY37" s="2"/>
      <c r="DEZ37" s="2"/>
      <c r="DFA37" s="2"/>
      <c r="DFB37" s="2"/>
      <c r="DFC37" s="2"/>
      <c r="DFD37" s="2"/>
      <c r="DFE37" s="2"/>
      <c r="DFF37" s="2"/>
      <c r="DFG37" s="2"/>
      <c r="DFH37" s="2"/>
      <c r="DFI37" s="2"/>
      <c r="DFJ37" s="2"/>
      <c r="DFK37" s="2"/>
      <c r="DFL37" s="2"/>
      <c r="DFM37" s="2"/>
      <c r="DFN37" s="2"/>
      <c r="DFO37" s="2"/>
      <c r="DFP37" s="2"/>
      <c r="DFQ37" s="2"/>
      <c r="DFR37" s="2"/>
      <c r="DFS37" s="2"/>
      <c r="DFT37" s="2"/>
      <c r="DFU37" s="2"/>
      <c r="DFV37" s="2"/>
      <c r="DFW37" s="2"/>
      <c r="DFX37" s="2"/>
      <c r="DFY37" s="2"/>
      <c r="DFZ37" s="2"/>
      <c r="DGA37" s="2"/>
      <c r="DGB37" s="2"/>
      <c r="DGC37" s="2"/>
      <c r="DGD37" s="2"/>
      <c r="DGE37" s="2"/>
      <c r="DGF37" s="2"/>
      <c r="DGG37" s="2"/>
      <c r="DGH37" s="2"/>
      <c r="DGI37" s="2"/>
      <c r="DGJ37" s="2"/>
      <c r="DGK37" s="2"/>
      <c r="DGL37" s="2"/>
      <c r="DGM37" s="2"/>
      <c r="DGN37" s="2"/>
      <c r="DGO37" s="2"/>
      <c r="DGP37" s="2"/>
      <c r="DGQ37" s="2"/>
      <c r="DGR37" s="2"/>
      <c r="DGS37" s="2"/>
      <c r="DGT37" s="2"/>
      <c r="DGU37" s="2"/>
      <c r="DGV37" s="2"/>
      <c r="DGW37" s="2"/>
      <c r="DGX37" s="2"/>
      <c r="DGY37" s="2"/>
      <c r="DGZ37" s="2"/>
      <c r="DHA37" s="2"/>
      <c r="DHB37" s="2"/>
      <c r="DHC37" s="2"/>
      <c r="DHD37" s="2"/>
      <c r="DHE37" s="2"/>
      <c r="DHF37" s="2"/>
      <c r="DHG37" s="2"/>
      <c r="DHH37" s="2"/>
      <c r="DHI37" s="2"/>
      <c r="DHJ37" s="2"/>
      <c r="DHK37" s="2"/>
      <c r="DHL37" s="2"/>
      <c r="DHM37" s="2"/>
      <c r="DHN37" s="2"/>
      <c r="DHO37" s="2"/>
      <c r="DHP37" s="2"/>
      <c r="DHQ37" s="2"/>
      <c r="DHR37" s="2"/>
      <c r="DHS37" s="2"/>
      <c r="DHT37" s="2"/>
      <c r="DHU37" s="2"/>
      <c r="DHV37" s="2"/>
      <c r="DHW37" s="2"/>
      <c r="DHX37" s="2"/>
      <c r="DHY37" s="2"/>
      <c r="DHZ37" s="2"/>
      <c r="DIA37" s="2"/>
      <c r="DIB37" s="2"/>
      <c r="DIC37" s="2"/>
      <c r="DID37" s="2"/>
      <c r="DIE37" s="2"/>
      <c r="DIF37" s="2"/>
      <c r="DIG37" s="2"/>
      <c r="DIH37" s="2"/>
      <c r="DII37" s="2"/>
      <c r="DIJ37" s="2"/>
      <c r="DIK37" s="2"/>
      <c r="DIL37" s="2"/>
      <c r="DIM37" s="2"/>
      <c r="DIN37" s="2"/>
      <c r="DIO37" s="2"/>
      <c r="DIP37" s="2"/>
      <c r="DIQ37" s="2"/>
      <c r="DIR37" s="2"/>
      <c r="DIS37" s="2"/>
      <c r="DIT37" s="2"/>
      <c r="DIU37" s="2"/>
      <c r="DIV37" s="2"/>
      <c r="DIW37" s="2"/>
      <c r="DIX37" s="2"/>
      <c r="DIY37" s="2"/>
      <c r="DIZ37" s="2"/>
      <c r="DJA37" s="2"/>
      <c r="DJB37" s="2"/>
      <c r="DJC37" s="2"/>
      <c r="DJD37" s="2"/>
      <c r="DJE37" s="2"/>
      <c r="DJF37" s="2"/>
      <c r="DJG37" s="2"/>
      <c r="DJH37" s="2"/>
      <c r="DJI37" s="2"/>
      <c r="DJJ37" s="2"/>
      <c r="DJK37" s="2"/>
      <c r="DJL37" s="2"/>
      <c r="DJM37" s="2"/>
      <c r="DJN37" s="2"/>
      <c r="DJO37" s="2"/>
      <c r="DJP37" s="2"/>
      <c r="DJQ37" s="2"/>
      <c r="DJR37" s="2"/>
      <c r="DJS37" s="2"/>
      <c r="DJT37" s="2"/>
      <c r="DJU37" s="2"/>
      <c r="DJV37" s="2"/>
      <c r="DJW37" s="2"/>
      <c r="DJX37" s="2"/>
      <c r="DJY37" s="2"/>
      <c r="DJZ37" s="2"/>
      <c r="DKA37" s="2"/>
      <c r="DKB37" s="2"/>
      <c r="DKC37" s="2"/>
      <c r="DKD37" s="2"/>
      <c r="DKE37" s="2"/>
      <c r="DKF37" s="2"/>
      <c r="DKG37" s="2"/>
      <c r="DKH37" s="2"/>
      <c r="DKI37" s="2"/>
      <c r="DKJ37" s="2"/>
      <c r="DKK37" s="2"/>
      <c r="DKL37" s="2"/>
      <c r="DKM37" s="2"/>
      <c r="DKN37" s="2"/>
      <c r="DKO37" s="2"/>
      <c r="DKP37" s="2"/>
      <c r="DKQ37" s="2"/>
      <c r="DKR37" s="2"/>
      <c r="DKS37" s="2"/>
      <c r="DKT37" s="2"/>
      <c r="DKU37" s="2"/>
      <c r="DKV37" s="2"/>
      <c r="DKW37" s="2"/>
      <c r="DKX37" s="2"/>
      <c r="DKY37" s="2"/>
      <c r="DKZ37" s="2"/>
      <c r="DLA37" s="2"/>
      <c r="DLB37" s="2"/>
      <c r="DLC37" s="2"/>
      <c r="DLD37" s="2"/>
      <c r="DLE37" s="2"/>
      <c r="DLF37" s="2"/>
      <c r="DLG37" s="2"/>
      <c r="DLH37" s="2"/>
      <c r="DLI37" s="2"/>
      <c r="DLJ37" s="2"/>
      <c r="DLK37" s="2"/>
      <c r="DLL37" s="2"/>
      <c r="DLM37" s="2"/>
      <c r="DLN37" s="2"/>
      <c r="DLO37" s="2"/>
      <c r="DLP37" s="2"/>
      <c r="DLQ37" s="2"/>
      <c r="DLR37" s="2"/>
      <c r="DLS37" s="2"/>
      <c r="DLT37" s="2"/>
      <c r="DLU37" s="2"/>
      <c r="DLV37" s="2"/>
      <c r="DLW37" s="2"/>
      <c r="DLX37" s="2"/>
      <c r="DLY37" s="2"/>
      <c r="DLZ37" s="2"/>
      <c r="DMA37" s="2"/>
      <c r="DMB37" s="2"/>
      <c r="DMC37" s="2"/>
      <c r="DMD37" s="2"/>
      <c r="DME37" s="2"/>
      <c r="DMF37" s="2"/>
      <c r="DMG37" s="2"/>
      <c r="DMH37" s="2"/>
      <c r="DMI37" s="2"/>
      <c r="DMJ37" s="2"/>
      <c r="DMK37" s="2"/>
      <c r="DML37" s="2"/>
      <c r="DMM37" s="2"/>
      <c r="DMN37" s="2"/>
      <c r="DMO37" s="2"/>
      <c r="DMP37" s="2"/>
      <c r="DMQ37" s="2"/>
      <c r="DMR37" s="2"/>
      <c r="DMS37" s="2"/>
      <c r="DMT37" s="2"/>
      <c r="DMU37" s="2"/>
      <c r="DMV37" s="2"/>
      <c r="DMW37" s="2"/>
      <c r="DMX37" s="2"/>
      <c r="DMY37" s="2"/>
      <c r="DMZ37" s="2"/>
      <c r="DNA37" s="2"/>
      <c r="DNB37" s="2"/>
      <c r="DNC37" s="2"/>
      <c r="DND37" s="2"/>
      <c r="DNE37" s="2"/>
      <c r="DNF37" s="2"/>
      <c r="DNG37" s="2"/>
      <c r="DNH37" s="2"/>
      <c r="DNI37" s="2"/>
      <c r="DNJ37" s="2"/>
      <c r="DNK37" s="2"/>
      <c r="DNL37" s="2"/>
      <c r="DNM37" s="2"/>
      <c r="DNN37" s="2"/>
      <c r="DNO37" s="2"/>
      <c r="DNP37" s="2"/>
      <c r="DNQ37" s="2"/>
      <c r="DNR37" s="2"/>
      <c r="DNS37" s="2"/>
      <c r="DNT37" s="2"/>
      <c r="DNU37" s="2"/>
      <c r="DNV37" s="2"/>
      <c r="DNW37" s="2"/>
      <c r="DNX37" s="2"/>
      <c r="DNY37" s="2"/>
      <c r="DNZ37" s="2"/>
      <c r="DOA37" s="2"/>
      <c r="DOB37" s="2"/>
      <c r="DOC37" s="2"/>
      <c r="DOD37" s="2"/>
      <c r="DOE37" s="2"/>
      <c r="DOF37" s="2"/>
      <c r="DOG37" s="2"/>
      <c r="DOH37" s="2"/>
      <c r="DOI37" s="2"/>
      <c r="DOJ37" s="2"/>
      <c r="DOK37" s="2"/>
      <c r="DOL37" s="2"/>
      <c r="DOM37" s="2"/>
      <c r="DON37" s="2"/>
      <c r="DOO37" s="2"/>
      <c r="DOP37" s="2"/>
      <c r="DOQ37" s="2"/>
      <c r="DOR37" s="2"/>
      <c r="DOS37" s="2"/>
      <c r="DOT37" s="2"/>
      <c r="DOU37" s="2"/>
      <c r="DOV37" s="2"/>
      <c r="DOW37" s="2"/>
      <c r="DOX37" s="2"/>
      <c r="DOY37" s="2"/>
      <c r="DOZ37" s="2"/>
      <c r="DPA37" s="2"/>
      <c r="DPB37" s="2"/>
      <c r="DPC37" s="2"/>
      <c r="DPD37" s="2"/>
      <c r="DPE37" s="2"/>
      <c r="DPF37" s="2"/>
      <c r="DPG37" s="2"/>
      <c r="DPH37" s="2"/>
      <c r="DPI37" s="2"/>
      <c r="DPJ37" s="2"/>
      <c r="DPK37" s="2"/>
      <c r="DPL37" s="2"/>
      <c r="DPM37" s="2"/>
      <c r="DPN37" s="2"/>
      <c r="DPO37" s="2"/>
      <c r="DPP37" s="2"/>
      <c r="DPQ37" s="2"/>
      <c r="DPR37" s="2"/>
      <c r="DPS37" s="2"/>
      <c r="DPT37" s="2"/>
      <c r="DPU37" s="2"/>
      <c r="DPV37" s="2"/>
      <c r="DPW37" s="2"/>
      <c r="DPX37" s="2"/>
      <c r="DPY37" s="2"/>
      <c r="DPZ37" s="2"/>
      <c r="DQA37" s="2"/>
      <c r="DQB37" s="2"/>
      <c r="DQC37" s="2"/>
      <c r="DQD37" s="2"/>
      <c r="DQE37" s="2"/>
      <c r="DQF37" s="2"/>
      <c r="DQG37" s="2"/>
      <c r="DQH37" s="2"/>
      <c r="DQI37" s="2"/>
      <c r="DQJ37" s="2"/>
      <c r="DQK37" s="2"/>
      <c r="DQL37" s="2"/>
      <c r="DQM37" s="2"/>
      <c r="DQN37" s="2"/>
      <c r="DQO37" s="2"/>
      <c r="DQP37" s="2"/>
      <c r="DQQ37" s="2"/>
      <c r="DQR37" s="2"/>
      <c r="DQS37" s="2"/>
      <c r="DQT37" s="2"/>
      <c r="DQU37" s="2"/>
      <c r="DQV37" s="2"/>
      <c r="DQW37" s="2"/>
      <c r="DQX37" s="2"/>
      <c r="DQY37" s="2"/>
      <c r="DQZ37" s="2"/>
      <c r="DRA37" s="2"/>
      <c r="DRB37" s="2"/>
      <c r="DRC37" s="2"/>
      <c r="DRD37" s="2"/>
      <c r="DRE37" s="2"/>
      <c r="DRF37" s="2"/>
      <c r="DRG37" s="2"/>
      <c r="DRH37" s="2"/>
      <c r="DRI37" s="2"/>
      <c r="DRJ37" s="2"/>
      <c r="DRK37" s="2"/>
      <c r="DRL37" s="2"/>
      <c r="DRM37" s="2"/>
      <c r="DRN37" s="2"/>
      <c r="DRO37" s="2"/>
      <c r="DRP37" s="2"/>
      <c r="DRQ37" s="2"/>
      <c r="DRR37" s="2"/>
      <c r="DRS37" s="2"/>
      <c r="DRT37" s="2"/>
      <c r="DRU37" s="2"/>
      <c r="DRV37" s="2"/>
      <c r="DRW37" s="2"/>
      <c r="DRX37" s="2"/>
      <c r="DRY37" s="2"/>
      <c r="DRZ37" s="2"/>
      <c r="DSA37" s="2"/>
      <c r="DSB37" s="2"/>
      <c r="DSC37" s="2"/>
      <c r="DSD37" s="2"/>
      <c r="DSE37" s="2"/>
      <c r="DSF37" s="2"/>
      <c r="DSG37" s="2"/>
      <c r="DSH37" s="2"/>
      <c r="DSI37" s="2"/>
      <c r="DSJ37" s="2"/>
      <c r="DSK37" s="2"/>
      <c r="DSL37" s="2"/>
      <c r="DSM37" s="2"/>
      <c r="DSN37" s="2"/>
      <c r="DSO37" s="2"/>
      <c r="DSP37" s="2"/>
      <c r="DSQ37" s="2"/>
      <c r="DSR37" s="2"/>
      <c r="DSS37" s="2"/>
      <c r="DST37" s="2"/>
      <c r="DSU37" s="2"/>
      <c r="DSV37" s="2"/>
      <c r="DSW37" s="2"/>
      <c r="DSX37" s="2"/>
      <c r="DSY37" s="2"/>
      <c r="DSZ37" s="2"/>
      <c r="DTA37" s="2"/>
      <c r="DTB37" s="2"/>
      <c r="DTC37" s="2"/>
      <c r="DTD37" s="2"/>
      <c r="DTE37" s="2"/>
      <c r="DTF37" s="2"/>
      <c r="DTG37" s="2"/>
      <c r="DTH37" s="2"/>
      <c r="DTI37" s="2"/>
      <c r="DTJ37" s="2"/>
      <c r="DTK37" s="2"/>
      <c r="DTL37" s="2"/>
      <c r="DTM37" s="2"/>
      <c r="DTN37" s="2"/>
      <c r="DTO37" s="2"/>
      <c r="DTP37" s="2"/>
      <c r="DTQ37" s="2"/>
      <c r="DTR37" s="2"/>
      <c r="DTS37" s="2"/>
      <c r="DTT37" s="2"/>
      <c r="DTU37" s="2"/>
      <c r="DTV37" s="2"/>
      <c r="DTW37" s="2"/>
      <c r="DTX37" s="2"/>
      <c r="DTY37" s="2"/>
      <c r="DTZ37" s="2"/>
      <c r="DUA37" s="2"/>
      <c r="DUB37" s="2"/>
      <c r="DUC37" s="2"/>
      <c r="DUD37" s="2"/>
      <c r="DUE37" s="2"/>
      <c r="DUF37" s="2"/>
      <c r="DUG37" s="2"/>
      <c r="DUH37" s="2"/>
      <c r="DUI37" s="2"/>
      <c r="DUJ37" s="2"/>
      <c r="DUK37" s="2"/>
      <c r="DUL37" s="2"/>
      <c r="DUM37" s="2"/>
      <c r="DUN37" s="2"/>
      <c r="DUO37" s="2"/>
      <c r="DUP37" s="2"/>
      <c r="DUQ37" s="2"/>
      <c r="DUR37" s="2"/>
      <c r="DUS37" s="2"/>
      <c r="DUT37" s="2"/>
      <c r="DUU37" s="2"/>
      <c r="DUV37" s="2"/>
      <c r="DUW37" s="2"/>
      <c r="DUX37" s="2"/>
      <c r="DUY37" s="2"/>
      <c r="DUZ37" s="2"/>
      <c r="DVA37" s="2"/>
      <c r="DVB37" s="2"/>
      <c r="DVC37" s="2"/>
      <c r="DVD37" s="2"/>
      <c r="DVE37" s="2"/>
      <c r="DVF37" s="2"/>
      <c r="DVG37" s="2"/>
      <c r="DVH37" s="2"/>
      <c r="DVI37" s="2"/>
      <c r="DVJ37" s="2"/>
      <c r="DVK37" s="2"/>
      <c r="DVL37" s="2"/>
      <c r="DVM37" s="2"/>
      <c r="DVN37" s="2"/>
      <c r="DVO37" s="2"/>
      <c r="DVP37" s="2"/>
      <c r="DVQ37" s="2"/>
      <c r="DVR37" s="2"/>
      <c r="DVS37" s="2"/>
      <c r="DVT37" s="2"/>
      <c r="DVU37" s="2"/>
      <c r="DVV37" s="2"/>
      <c r="DVW37" s="2"/>
      <c r="DVX37" s="2"/>
      <c r="DVY37" s="2"/>
      <c r="DVZ37" s="2"/>
      <c r="DWA37" s="2"/>
      <c r="DWB37" s="2"/>
      <c r="DWC37" s="2"/>
      <c r="DWD37" s="2"/>
      <c r="DWE37" s="2"/>
      <c r="DWF37" s="2"/>
      <c r="DWG37" s="2"/>
      <c r="DWH37" s="2"/>
      <c r="DWI37" s="2"/>
      <c r="DWJ37" s="2"/>
      <c r="DWK37" s="2"/>
      <c r="DWL37" s="2"/>
      <c r="DWM37" s="2"/>
      <c r="DWN37" s="2"/>
      <c r="DWO37" s="2"/>
      <c r="DWP37" s="2"/>
      <c r="DWQ37" s="2"/>
      <c r="DWR37" s="2"/>
      <c r="DWS37" s="2"/>
      <c r="DWT37" s="2"/>
      <c r="DWU37" s="2"/>
      <c r="DWV37" s="2"/>
      <c r="DWW37" s="2"/>
      <c r="DWX37" s="2"/>
      <c r="DWY37" s="2"/>
      <c r="DWZ37" s="2"/>
      <c r="DXA37" s="2"/>
      <c r="DXB37" s="2"/>
      <c r="DXC37" s="2"/>
      <c r="DXD37" s="2"/>
      <c r="DXE37" s="2"/>
      <c r="DXF37" s="2"/>
      <c r="DXG37" s="2"/>
      <c r="DXH37" s="2"/>
      <c r="DXI37" s="2"/>
      <c r="DXJ37" s="2"/>
      <c r="DXK37" s="2"/>
      <c r="DXL37" s="2"/>
      <c r="DXM37" s="2"/>
      <c r="DXN37" s="2"/>
      <c r="DXO37" s="2"/>
      <c r="DXP37" s="2"/>
      <c r="DXQ37" s="2"/>
      <c r="DXR37" s="2"/>
      <c r="DXS37" s="2"/>
      <c r="DXT37" s="2"/>
      <c r="DXU37" s="2"/>
      <c r="DXV37" s="2"/>
      <c r="DXW37" s="2"/>
      <c r="DXX37" s="2"/>
      <c r="DXY37" s="2"/>
      <c r="DXZ37" s="2"/>
      <c r="DYA37" s="2"/>
      <c r="DYB37" s="2"/>
      <c r="DYC37" s="2"/>
      <c r="DYD37" s="2"/>
      <c r="DYE37" s="2"/>
      <c r="DYF37" s="2"/>
      <c r="DYG37" s="2"/>
      <c r="DYH37" s="2"/>
      <c r="DYI37" s="2"/>
      <c r="DYJ37" s="2"/>
      <c r="DYK37" s="2"/>
      <c r="DYL37" s="2"/>
      <c r="DYM37" s="2"/>
      <c r="DYN37" s="2"/>
      <c r="DYO37" s="2"/>
      <c r="DYP37" s="2"/>
      <c r="DYQ37" s="2"/>
      <c r="DYR37" s="2"/>
      <c r="DYS37" s="2"/>
      <c r="DYT37" s="2"/>
      <c r="DYU37" s="2"/>
      <c r="DYV37" s="2"/>
      <c r="DYW37" s="2"/>
      <c r="DYX37" s="2"/>
      <c r="DYY37" s="2"/>
      <c r="DYZ37" s="2"/>
      <c r="DZA37" s="2"/>
      <c r="DZB37" s="2"/>
      <c r="DZC37" s="2"/>
      <c r="DZD37" s="2"/>
      <c r="DZE37" s="2"/>
      <c r="DZF37" s="2"/>
      <c r="DZG37" s="2"/>
      <c r="DZH37" s="2"/>
      <c r="DZI37" s="2"/>
      <c r="DZJ37" s="2"/>
      <c r="DZK37" s="2"/>
      <c r="DZL37" s="2"/>
      <c r="DZM37" s="2"/>
      <c r="DZN37" s="2"/>
      <c r="DZO37" s="2"/>
      <c r="DZP37" s="2"/>
      <c r="DZQ37" s="2"/>
      <c r="DZR37" s="2"/>
      <c r="DZS37" s="2"/>
      <c r="DZT37" s="2"/>
      <c r="DZU37" s="2"/>
      <c r="DZV37" s="2"/>
      <c r="DZW37" s="2"/>
      <c r="DZX37" s="2"/>
      <c r="DZY37" s="2"/>
      <c r="DZZ37" s="2"/>
      <c r="EAA37" s="2"/>
      <c r="EAB37" s="2"/>
      <c r="EAC37" s="2"/>
      <c r="EAD37" s="2"/>
      <c r="EAE37" s="2"/>
      <c r="EAF37" s="2"/>
      <c r="EAG37" s="2"/>
      <c r="EAH37" s="2"/>
      <c r="EAI37" s="2"/>
      <c r="EAJ37" s="2"/>
      <c r="EAK37" s="2"/>
      <c r="EAL37" s="2"/>
      <c r="EAM37" s="2"/>
      <c r="EAN37" s="2"/>
      <c r="EAO37" s="2"/>
      <c r="EAP37" s="2"/>
      <c r="EAQ37" s="2"/>
      <c r="EAR37" s="2"/>
      <c r="EAS37" s="2"/>
      <c r="EAT37" s="2"/>
      <c r="EAU37" s="2"/>
      <c r="EAV37" s="2"/>
      <c r="EAW37" s="2"/>
      <c r="EAX37" s="2"/>
      <c r="EAY37" s="2"/>
      <c r="EAZ37" s="2"/>
      <c r="EBA37" s="2"/>
      <c r="EBB37" s="2"/>
      <c r="EBC37" s="2"/>
      <c r="EBD37" s="2"/>
      <c r="EBE37" s="2"/>
      <c r="EBF37" s="2"/>
      <c r="EBG37" s="2"/>
      <c r="EBH37" s="2"/>
      <c r="EBI37" s="2"/>
      <c r="EBJ37" s="2"/>
      <c r="EBK37" s="2"/>
      <c r="EBL37" s="2"/>
      <c r="EBM37" s="2"/>
      <c r="EBN37" s="2"/>
      <c r="EBO37" s="2"/>
      <c r="EBP37" s="2"/>
      <c r="EBQ37" s="2"/>
      <c r="EBR37" s="2"/>
      <c r="EBS37" s="2"/>
      <c r="EBT37" s="2"/>
      <c r="EBU37" s="2"/>
      <c r="EBV37" s="2"/>
      <c r="EBW37" s="2"/>
      <c r="EBX37" s="2"/>
      <c r="EBY37" s="2"/>
      <c r="EBZ37" s="2"/>
      <c r="ECA37" s="2"/>
      <c r="ECB37" s="2"/>
      <c r="ECC37" s="2"/>
      <c r="ECD37" s="2"/>
      <c r="ECE37" s="2"/>
      <c r="ECF37" s="2"/>
      <c r="ECG37" s="2"/>
      <c r="ECH37" s="2"/>
      <c r="ECI37" s="2"/>
      <c r="ECJ37" s="2"/>
      <c r="ECK37" s="2"/>
      <c r="ECL37" s="2"/>
      <c r="ECM37" s="2"/>
      <c r="ECN37" s="2"/>
      <c r="ECO37" s="2"/>
      <c r="ECP37" s="2"/>
      <c r="ECQ37" s="2"/>
      <c r="ECR37" s="2"/>
      <c r="ECS37" s="2"/>
      <c r="ECT37" s="2"/>
      <c r="ECU37" s="2"/>
      <c r="ECV37" s="2"/>
      <c r="ECW37" s="2"/>
      <c r="ECX37" s="2"/>
      <c r="ECY37" s="2"/>
      <c r="ECZ37" s="2"/>
      <c r="EDA37" s="2"/>
      <c r="EDB37" s="2"/>
      <c r="EDC37" s="2"/>
      <c r="EDD37" s="2"/>
      <c r="EDE37" s="2"/>
      <c r="EDF37" s="2"/>
      <c r="EDG37" s="2"/>
      <c r="EDH37" s="2"/>
      <c r="EDI37" s="2"/>
      <c r="EDJ37" s="2"/>
      <c r="EDK37" s="2"/>
      <c r="EDL37" s="2"/>
      <c r="EDM37" s="2"/>
      <c r="EDN37" s="2"/>
      <c r="EDO37" s="2"/>
      <c r="EDP37" s="2"/>
      <c r="EDQ37" s="2"/>
      <c r="EDR37" s="2"/>
      <c r="EDS37" s="2"/>
      <c r="EDT37" s="2"/>
      <c r="EDU37" s="2"/>
      <c r="EDV37" s="2"/>
      <c r="EDW37" s="2"/>
      <c r="EDX37" s="2"/>
      <c r="EDY37" s="2"/>
      <c r="EDZ37" s="2"/>
      <c r="EEA37" s="2"/>
      <c r="EEB37" s="2"/>
      <c r="EEC37" s="2"/>
      <c r="EED37" s="2"/>
      <c r="EEE37" s="2"/>
      <c r="EEF37" s="2"/>
      <c r="EEG37" s="2"/>
      <c r="EEH37" s="2"/>
      <c r="EEI37" s="2"/>
      <c r="EEJ37" s="2"/>
      <c r="EEK37" s="2"/>
      <c r="EEL37" s="2"/>
      <c r="EEM37" s="2"/>
      <c r="EEN37" s="2"/>
      <c r="EEO37" s="2"/>
      <c r="EEP37" s="2"/>
      <c r="EEQ37" s="2"/>
      <c r="EER37" s="2"/>
      <c r="EES37" s="2"/>
      <c r="EET37" s="2"/>
      <c r="EEU37" s="2"/>
      <c r="EEV37" s="2"/>
      <c r="EEW37" s="2"/>
      <c r="EEX37" s="2"/>
      <c r="EEY37" s="2"/>
      <c r="EEZ37" s="2"/>
      <c r="EFA37" s="2"/>
      <c r="EFB37" s="2"/>
      <c r="EFC37" s="2"/>
      <c r="EFD37" s="2"/>
      <c r="EFE37" s="2"/>
      <c r="EFF37" s="2"/>
      <c r="EFG37" s="2"/>
      <c r="EFH37" s="2"/>
      <c r="EFI37" s="2"/>
      <c r="EFJ37" s="2"/>
      <c r="EFK37" s="2"/>
      <c r="EFL37" s="2"/>
      <c r="EFM37" s="2"/>
      <c r="EFN37" s="2"/>
      <c r="EFO37" s="2"/>
      <c r="EFP37" s="2"/>
      <c r="EFQ37" s="2"/>
      <c r="EFR37" s="2"/>
      <c r="EFS37" s="2"/>
      <c r="EFT37" s="2"/>
      <c r="EFU37" s="2"/>
      <c r="EFV37" s="2"/>
      <c r="EFW37" s="2"/>
      <c r="EFX37" s="2"/>
      <c r="EFY37" s="2"/>
      <c r="EFZ37" s="2"/>
      <c r="EGA37" s="2"/>
      <c r="EGB37" s="2"/>
      <c r="EGC37" s="2"/>
      <c r="EGD37" s="2"/>
      <c r="EGE37" s="2"/>
      <c r="EGF37" s="2"/>
      <c r="EGG37" s="2"/>
      <c r="EGH37" s="2"/>
      <c r="EGI37" s="2"/>
      <c r="EGJ37" s="2"/>
      <c r="EGK37" s="2"/>
      <c r="EGL37" s="2"/>
      <c r="EGM37" s="2"/>
      <c r="EGN37" s="2"/>
      <c r="EGO37" s="2"/>
      <c r="EGP37" s="2"/>
      <c r="EGQ37" s="2"/>
      <c r="EGR37" s="2"/>
      <c r="EGS37" s="2"/>
      <c r="EGT37" s="2"/>
      <c r="EGU37" s="2"/>
      <c r="EGV37" s="2"/>
      <c r="EGW37" s="2"/>
      <c r="EGX37" s="2"/>
      <c r="EGY37" s="2"/>
      <c r="EGZ37" s="2"/>
      <c r="EHA37" s="2"/>
      <c r="EHB37" s="2"/>
      <c r="EHC37" s="2"/>
      <c r="EHD37" s="2"/>
      <c r="EHE37" s="2"/>
      <c r="EHF37" s="2"/>
      <c r="EHG37" s="2"/>
      <c r="EHH37" s="2"/>
      <c r="EHI37" s="2"/>
      <c r="EHJ37" s="2"/>
      <c r="EHK37" s="2"/>
      <c r="EHL37" s="2"/>
      <c r="EHM37" s="2"/>
      <c r="EHN37" s="2"/>
      <c r="EHO37" s="2"/>
      <c r="EHP37" s="2"/>
      <c r="EHQ37" s="2"/>
      <c r="EHR37" s="2"/>
      <c r="EHS37" s="2"/>
      <c r="EHT37" s="2"/>
      <c r="EHU37" s="2"/>
      <c r="EHV37" s="2"/>
      <c r="EHW37" s="2"/>
      <c r="EHX37" s="2"/>
      <c r="EHY37" s="2"/>
      <c r="EHZ37" s="2"/>
      <c r="EIA37" s="2"/>
      <c r="EIB37" s="2"/>
      <c r="EIC37" s="2"/>
      <c r="EID37" s="2"/>
      <c r="EIE37" s="2"/>
      <c r="EIF37" s="2"/>
      <c r="EIG37" s="2"/>
      <c r="EIH37" s="2"/>
      <c r="EII37" s="2"/>
      <c r="EIJ37" s="2"/>
      <c r="EIK37" s="2"/>
      <c r="EIL37" s="2"/>
      <c r="EIM37" s="2"/>
      <c r="EIN37" s="2"/>
      <c r="EIO37" s="2"/>
      <c r="EIP37" s="2"/>
      <c r="EIQ37" s="2"/>
      <c r="EIR37" s="2"/>
      <c r="EIS37" s="2"/>
      <c r="EIT37" s="2"/>
      <c r="EIU37" s="2"/>
      <c r="EIV37" s="2"/>
      <c r="EIW37" s="2"/>
      <c r="EIX37" s="2"/>
      <c r="EIY37" s="2"/>
      <c r="EIZ37" s="2"/>
      <c r="EJA37" s="2"/>
      <c r="EJB37" s="2"/>
      <c r="EJC37" s="2"/>
      <c r="EJD37" s="2"/>
      <c r="EJE37" s="2"/>
      <c r="EJF37" s="2"/>
      <c r="EJG37" s="2"/>
      <c r="EJH37" s="2"/>
      <c r="EJI37" s="2"/>
      <c r="EJJ37" s="2"/>
      <c r="EJK37" s="2"/>
      <c r="EJL37" s="2"/>
      <c r="EJM37" s="2"/>
      <c r="EJN37" s="2"/>
      <c r="EJO37" s="2"/>
      <c r="EJP37" s="2"/>
      <c r="EJQ37" s="2"/>
      <c r="EJR37" s="2"/>
      <c r="EJS37" s="2"/>
      <c r="EJT37" s="2"/>
      <c r="EJU37" s="2"/>
      <c r="EJV37" s="2"/>
      <c r="EJW37" s="2"/>
      <c r="EJX37" s="2"/>
      <c r="EJY37" s="2"/>
      <c r="EJZ37" s="2"/>
      <c r="EKA37" s="2"/>
      <c r="EKB37" s="2"/>
      <c r="EKC37" s="2"/>
      <c r="EKD37" s="2"/>
      <c r="EKE37" s="2"/>
      <c r="EKF37" s="2"/>
      <c r="EKG37" s="2"/>
      <c r="EKH37" s="2"/>
      <c r="EKI37" s="2"/>
      <c r="EKJ37" s="2"/>
      <c r="EKK37" s="2"/>
      <c r="EKL37" s="2"/>
      <c r="EKM37" s="2"/>
      <c r="EKN37" s="2"/>
      <c r="EKO37" s="2"/>
      <c r="EKP37" s="2"/>
      <c r="EKQ37" s="2"/>
      <c r="EKR37" s="2"/>
      <c r="EKS37" s="2"/>
      <c r="EKT37" s="2"/>
      <c r="EKU37" s="2"/>
      <c r="EKV37" s="2"/>
      <c r="EKW37" s="2"/>
      <c r="EKX37" s="2"/>
      <c r="EKY37" s="2"/>
      <c r="EKZ37" s="2"/>
      <c r="ELA37" s="2"/>
      <c r="ELB37" s="2"/>
      <c r="ELC37" s="2"/>
      <c r="ELD37" s="2"/>
      <c r="ELE37" s="2"/>
      <c r="ELF37" s="2"/>
      <c r="ELG37" s="2"/>
      <c r="ELH37" s="2"/>
      <c r="ELI37" s="2"/>
      <c r="ELJ37" s="2"/>
      <c r="ELK37" s="2"/>
      <c r="ELL37" s="2"/>
      <c r="ELM37" s="2"/>
      <c r="ELN37" s="2"/>
      <c r="ELO37" s="2"/>
      <c r="ELP37" s="2"/>
      <c r="ELQ37" s="2"/>
      <c r="ELR37" s="2"/>
      <c r="ELS37" s="2"/>
      <c r="ELT37" s="2"/>
      <c r="ELU37" s="2"/>
      <c r="ELV37" s="2"/>
      <c r="ELW37" s="2"/>
      <c r="ELX37" s="2"/>
      <c r="ELY37" s="2"/>
      <c r="ELZ37" s="2"/>
      <c r="EMA37" s="2"/>
      <c r="EMB37" s="2"/>
      <c r="EMC37" s="2"/>
      <c r="EMD37" s="2"/>
      <c r="EME37" s="2"/>
      <c r="EMF37" s="2"/>
      <c r="EMG37" s="2"/>
      <c r="EMH37" s="2"/>
      <c r="EMI37" s="2"/>
      <c r="EMJ37" s="2"/>
      <c r="EMK37" s="2"/>
      <c r="EML37" s="2"/>
      <c r="EMM37" s="2"/>
      <c r="EMN37" s="2"/>
      <c r="EMO37" s="2"/>
      <c r="EMP37" s="2"/>
      <c r="EMQ37" s="2"/>
      <c r="EMR37" s="2"/>
      <c r="EMS37" s="2"/>
      <c r="EMT37" s="2"/>
      <c r="EMU37" s="2"/>
      <c r="EMV37" s="2"/>
      <c r="EMW37" s="2"/>
      <c r="EMX37" s="2"/>
      <c r="EMY37" s="2"/>
      <c r="EMZ37" s="2"/>
      <c r="ENA37" s="2"/>
      <c r="ENB37" s="2"/>
      <c r="ENC37" s="2"/>
      <c r="END37" s="2"/>
      <c r="ENE37" s="2"/>
      <c r="ENF37" s="2"/>
      <c r="ENG37" s="2"/>
      <c r="ENH37" s="2"/>
      <c r="ENI37" s="2"/>
      <c r="ENJ37" s="2"/>
      <c r="ENK37" s="2"/>
      <c r="ENL37" s="2"/>
      <c r="ENM37" s="2"/>
      <c r="ENN37" s="2"/>
      <c r="ENO37" s="2"/>
      <c r="ENP37" s="2"/>
      <c r="ENQ37" s="2"/>
      <c r="ENR37" s="2"/>
      <c r="ENS37" s="2"/>
      <c r="ENT37" s="2"/>
      <c r="ENU37" s="2"/>
      <c r="ENV37" s="2"/>
      <c r="ENW37" s="2"/>
      <c r="ENX37" s="2"/>
      <c r="ENY37" s="2"/>
      <c r="ENZ37" s="2"/>
      <c r="EOA37" s="2"/>
      <c r="EOB37" s="2"/>
      <c r="EOC37" s="2"/>
      <c r="EOD37" s="2"/>
      <c r="EOE37" s="2"/>
      <c r="EOF37" s="2"/>
      <c r="EOG37" s="2"/>
      <c r="EOH37" s="2"/>
      <c r="EOI37" s="2"/>
      <c r="EOJ37" s="2"/>
      <c r="EOK37" s="2"/>
      <c r="EOL37" s="2"/>
      <c r="EOM37" s="2"/>
      <c r="EON37" s="2"/>
      <c r="EOO37" s="2"/>
      <c r="EOP37" s="2"/>
      <c r="EOQ37" s="2"/>
      <c r="EOR37" s="2"/>
      <c r="EOS37" s="2"/>
      <c r="EOT37" s="2"/>
      <c r="EOU37" s="2"/>
      <c r="EOV37" s="2"/>
      <c r="EOW37" s="2"/>
      <c r="EOX37" s="2"/>
      <c r="EOY37" s="2"/>
      <c r="EOZ37" s="2"/>
      <c r="EPA37" s="2"/>
      <c r="EPB37" s="2"/>
      <c r="EPC37" s="2"/>
      <c r="EPD37" s="2"/>
      <c r="EPE37" s="2"/>
      <c r="EPF37" s="2"/>
      <c r="EPG37" s="2"/>
      <c r="EPH37" s="2"/>
      <c r="EPI37" s="2"/>
      <c r="EPJ37" s="2"/>
      <c r="EPK37" s="2"/>
      <c r="EPL37" s="2"/>
      <c r="EPM37" s="2"/>
      <c r="EPN37" s="2"/>
      <c r="EPO37" s="2"/>
      <c r="EPP37" s="2"/>
      <c r="EPQ37" s="2"/>
      <c r="EPR37" s="2"/>
      <c r="EPS37" s="2"/>
      <c r="EPT37" s="2"/>
      <c r="EPU37" s="2"/>
      <c r="EPV37" s="2"/>
      <c r="EPW37" s="2"/>
      <c r="EPX37" s="2"/>
      <c r="EPY37" s="2"/>
      <c r="EPZ37" s="2"/>
      <c r="EQA37" s="2"/>
      <c r="EQB37" s="2"/>
      <c r="EQC37" s="2"/>
      <c r="EQD37" s="2"/>
      <c r="EQE37" s="2"/>
      <c r="EQF37" s="2"/>
      <c r="EQG37" s="2"/>
      <c r="EQH37" s="2"/>
      <c r="EQI37" s="2"/>
      <c r="EQJ37" s="2"/>
      <c r="EQK37" s="2"/>
      <c r="EQL37" s="2"/>
      <c r="EQM37" s="2"/>
      <c r="EQN37" s="2"/>
      <c r="EQO37" s="2"/>
      <c r="EQP37" s="2"/>
      <c r="EQQ37" s="2"/>
      <c r="EQR37" s="2"/>
      <c r="EQS37" s="2"/>
      <c r="EQT37" s="2"/>
      <c r="EQU37" s="2"/>
      <c r="EQV37" s="2"/>
      <c r="EQW37" s="2"/>
      <c r="EQX37" s="2"/>
      <c r="EQY37" s="2"/>
      <c r="EQZ37" s="2"/>
      <c r="ERA37" s="2"/>
      <c r="ERB37" s="2"/>
      <c r="ERC37" s="2"/>
      <c r="ERD37" s="2"/>
      <c r="ERE37" s="2"/>
      <c r="ERF37" s="2"/>
      <c r="ERG37" s="2"/>
      <c r="ERH37" s="2"/>
      <c r="ERI37" s="2"/>
      <c r="ERJ37" s="2"/>
      <c r="ERK37" s="2"/>
      <c r="ERL37" s="2"/>
      <c r="ERM37" s="2"/>
      <c r="ERN37" s="2"/>
      <c r="ERO37" s="2"/>
      <c r="ERP37" s="2"/>
      <c r="ERQ37" s="2"/>
      <c r="ERR37" s="2"/>
      <c r="ERS37" s="2"/>
      <c r="ERT37" s="2"/>
      <c r="ERU37" s="2"/>
      <c r="ERV37" s="2"/>
      <c r="ERW37" s="2"/>
      <c r="ERX37" s="2"/>
      <c r="ERY37" s="2"/>
      <c r="ERZ37" s="2"/>
      <c r="ESA37" s="2"/>
      <c r="ESB37" s="2"/>
      <c r="ESC37" s="2"/>
      <c r="ESD37" s="2"/>
      <c r="ESE37" s="2"/>
      <c r="ESF37" s="2"/>
      <c r="ESG37" s="2"/>
      <c r="ESH37" s="2"/>
      <c r="ESI37" s="2"/>
      <c r="ESJ37" s="2"/>
      <c r="ESK37" s="2"/>
      <c r="ESL37" s="2"/>
      <c r="ESM37" s="2"/>
      <c r="ESN37" s="2"/>
      <c r="ESO37" s="2"/>
      <c r="ESP37" s="2"/>
      <c r="ESQ37" s="2"/>
      <c r="ESR37" s="2"/>
      <c r="ESS37" s="2"/>
      <c r="EST37" s="2"/>
      <c r="ESU37" s="2"/>
      <c r="ESV37" s="2"/>
      <c r="ESW37" s="2"/>
      <c r="ESX37" s="2"/>
      <c r="ESY37" s="2"/>
      <c r="ESZ37" s="2"/>
      <c r="ETA37" s="2"/>
      <c r="ETB37" s="2"/>
      <c r="ETC37" s="2"/>
      <c r="ETD37" s="2"/>
      <c r="ETE37" s="2"/>
      <c r="ETF37" s="2"/>
      <c r="ETG37" s="2"/>
      <c r="ETH37" s="2"/>
      <c r="ETI37" s="2"/>
      <c r="ETJ37" s="2"/>
      <c r="ETK37" s="2"/>
      <c r="ETL37" s="2"/>
      <c r="ETM37" s="2"/>
      <c r="ETN37" s="2"/>
      <c r="ETO37" s="2"/>
      <c r="ETP37" s="2"/>
      <c r="ETQ37" s="2"/>
      <c r="ETR37" s="2"/>
      <c r="ETS37" s="2"/>
      <c r="ETT37" s="2"/>
      <c r="ETU37" s="2"/>
      <c r="ETV37" s="2"/>
      <c r="ETW37" s="2"/>
      <c r="ETX37" s="2"/>
      <c r="ETY37" s="2"/>
      <c r="ETZ37" s="2"/>
      <c r="EUA37" s="2"/>
      <c r="EUB37" s="2"/>
      <c r="EUC37" s="2"/>
      <c r="EUD37" s="2"/>
      <c r="EUE37" s="2"/>
      <c r="EUF37" s="2"/>
      <c r="EUG37" s="2"/>
      <c r="EUH37" s="2"/>
      <c r="EUI37" s="2"/>
      <c r="EUJ37" s="2"/>
      <c r="EUK37" s="2"/>
      <c r="EUL37" s="2"/>
      <c r="EUM37" s="2"/>
      <c r="EUN37" s="2"/>
      <c r="EUO37" s="2"/>
      <c r="EUP37" s="2"/>
      <c r="EUQ37" s="2"/>
      <c r="EUR37" s="2"/>
      <c r="EUS37" s="2"/>
      <c r="EUT37" s="2"/>
      <c r="EUU37" s="2"/>
      <c r="EUV37" s="2"/>
      <c r="EUW37" s="2"/>
      <c r="EUX37" s="2"/>
      <c r="EUY37" s="2"/>
      <c r="EUZ37" s="2"/>
      <c r="EVA37" s="2"/>
      <c r="EVB37" s="2"/>
      <c r="EVC37" s="2"/>
      <c r="EVD37" s="2"/>
      <c r="EVE37" s="2"/>
      <c r="EVF37" s="2"/>
      <c r="EVG37" s="2"/>
      <c r="EVH37" s="2"/>
      <c r="EVI37" s="2"/>
      <c r="EVJ37" s="2"/>
      <c r="EVK37" s="2"/>
      <c r="EVL37" s="2"/>
      <c r="EVM37" s="2"/>
      <c r="EVN37" s="2"/>
      <c r="EVO37" s="2"/>
      <c r="EVP37" s="2"/>
      <c r="EVQ37" s="2"/>
      <c r="EVR37" s="2"/>
      <c r="EVS37" s="2"/>
      <c r="EVT37" s="2"/>
      <c r="EVU37" s="2"/>
      <c r="EVV37" s="2"/>
      <c r="EVW37" s="2"/>
      <c r="EVX37" s="2"/>
      <c r="EVY37" s="2"/>
      <c r="EVZ37" s="2"/>
      <c r="EWA37" s="2"/>
      <c r="EWB37" s="2"/>
      <c r="EWC37" s="2"/>
      <c r="EWD37" s="2"/>
      <c r="EWE37" s="2"/>
      <c r="EWF37" s="2"/>
      <c r="EWG37" s="2"/>
      <c r="EWH37" s="2"/>
      <c r="EWI37" s="2"/>
      <c r="EWJ37" s="2"/>
      <c r="EWK37" s="2"/>
      <c r="EWL37" s="2"/>
      <c r="EWM37" s="2"/>
      <c r="EWN37" s="2"/>
      <c r="EWO37" s="2"/>
      <c r="EWP37" s="2"/>
      <c r="EWQ37" s="2"/>
      <c r="EWR37" s="2"/>
      <c r="EWS37" s="2"/>
      <c r="EWT37" s="2"/>
      <c r="EWU37" s="2"/>
      <c r="EWV37" s="2"/>
      <c r="EWW37" s="2"/>
      <c r="EWX37" s="2"/>
      <c r="EWY37" s="2"/>
      <c r="EWZ37" s="2"/>
      <c r="EXA37" s="2"/>
      <c r="EXB37" s="2"/>
      <c r="EXC37" s="2"/>
      <c r="EXD37" s="2"/>
      <c r="EXE37" s="2"/>
      <c r="EXF37" s="2"/>
      <c r="EXG37" s="2"/>
      <c r="EXH37" s="2"/>
      <c r="EXI37" s="2"/>
      <c r="EXJ37" s="2"/>
      <c r="EXK37" s="2"/>
      <c r="EXL37" s="2"/>
      <c r="EXM37" s="2"/>
      <c r="EXN37" s="2"/>
      <c r="EXO37" s="2"/>
      <c r="EXP37" s="2"/>
      <c r="EXQ37" s="2"/>
      <c r="EXR37" s="2"/>
      <c r="EXS37" s="2"/>
      <c r="EXT37" s="2"/>
      <c r="EXU37" s="2"/>
      <c r="EXV37" s="2"/>
      <c r="EXW37" s="2"/>
      <c r="EXX37" s="2"/>
      <c r="EXY37" s="2"/>
      <c r="EXZ37" s="2"/>
      <c r="EYA37" s="2"/>
      <c r="EYB37" s="2"/>
      <c r="EYC37" s="2"/>
      <c r="EYD37" s="2"/>
      <c r="EYE37" s="2"/>
      <c r="EYF37" s="2"/>
      <c r="EYG37" s="2"/>
      <c r="EYH37" s="2"/>
      <c r="EYI37" s="2"/>
      <c r="EYJ37" s="2"/>
      <c r="EYK37" s="2"/>
      <c r="EYL37" s="2"/>
      <c r="EYM37" s="2"/>
      <c r="EYN37" s="2"/>
      <c r="EYO37" s="2"/>
      <c r="EYP37" s="2"/>
      <c r="EYQ37" s="2"/>
      <c r="EYR37" s="2"/>
      <c r="EYS37" s="2"/>
      <c r="EYT37" s="2"/>
      <c r="EYU37" s="2"/>
      <c r="EYV37" s="2"/>
      <c r="EYW37" s="2"/>
      <c r="EYX37" s="2"/>
      <c r="EYY37" s="2"/>
      <c r="EYZ37" s="2"/>
      <c r="EZA37" s="2"/>
      <c r="EZB37" s="2"/>
      <c r="EZC37" s="2"/>
      <c r="EZD37" s="2"/>
      <c r="EZE37" s="2"/>
      <c r="EZF37" s="2"/>
      <c r="EZG37" s="2"/>
      <c r="EZH37" s="2"/>
      <c r="EZI37" s="2"/>
      <c r="EZJ37" s="2"/>
      <c r="EZK37" s="2"/>
      <c r="EZL37" s="2"/>
      <c r="EZM37" s="2"/>
      <c r="EZN37" s="2"/>
      <c r="EZO37" s="2"/>
      <c r="EZP37" s="2"/>
      <c r="EZQ37" s="2"/>
      <c r="EZR37" s="2"/>
      <c r="EZS37" s="2"/>
      <c r="EZT37" s="2"/>
      <c r="EZU37" s="2"/>
      <c r="EZV37" s="2"/>
      <c r="EZW37" s="2"/>
      <c r="EZX37" s="2"/>
      <c r="EZY37" s="2"/>
      <c r="EZZ37" s="2"/>
      <c r="FAA37" s="2"/>
      <c r="FAB37" s="2"/>
      <c r="FAC37" s="2"/>
      <c r="FAD37" s="2"/>
      <c r="FAE37" s="2"/>
      <c r="FAF37" s="2"/>
      <c r="FAG37" s="2"/>
      <c r="FAH37" s="2"/>
      <c r="FAI37" s="2"/>
      <c r="FAJ37" s="2"/>
      <c r="FAK37" s="2"/>
      <c r="FAL37" s="2"/>
      <c r="FAM37" s="2"/>
      <c r="FAN37" s="2"/>
      <c r="FAO37" s="2"/>
      <c r="FAP37" s="2"/>
      <c r="FAQ37" s="2"/>
      <c r="FAR37" s="2"/>
      <c r="FAS37" s="2"/>
      <c r="FAT37" s="2"/>
      <c r="FAU37" s="2"/>
      <c r="FAV37" s="2"/>
      <c r="FAW37" s="2"/>
      <c r="FAX37" s="2"/>
      <c r="FAY37" s="2"/>
      <c r="FAZ37" s="2"/>
      <c r="FBA37" s="2"/>
      <c r="FBB37" s="2"/>
      <c r="FBC37" s="2"/>
      <c r="FBD37" s="2"/>
      <c r="FBE37" s="2"/>
      <c r="FBF37" s="2"/>
      <c r="FBG37" s="2"/>
      <c r="FBH37" s="2"/>
      <c r="FBI37" s="2"/>
      <c r="FBJ37" s="2"/>
      <c r="FBK37" s="2"/>
      <c r="FBL37" s="2"/>
      <c r="FBM37" s="2"/>
      <c r="FBN37" s="2"/>
      <c r="FBO37" s="2"/>
      <c r="FBP37" s="2"/>
      <c r="FBQ37" s="2"/>
      <c r="FBR37" s="2"/>
      <c r="FBS37" s="2"/>
      <c r="FBT37" s="2"/>
      <c r="FBU37" s="2"/>
      <c r="FBV37" s="2"/>
      <c r="FBW37" s="2"/>
      <c r="FBX37" s="2"/>
      <c r="FBY37" s="2"/>
      <c r="FBZ37" s="2"/>
      <c r="FCA37" s="2"/>
      <c r="FCB37" s="2"/>
      <c r="FCC37" s="2"/>
      <c r="FCD37" s="2"/>
      <c r="FCE37" s="2"/>
      <c r="FCF37" s="2"/>
      <c r="FCG37" s="2"/>
      <c r="FCH37" s="2"/>
      <c r="FCI37" s="2"/>
      <c r="FCJ37" s="2"/>
      <c r="FCK37" s="2"/>
      <c r="FCL37" s="2"/>
      <c r="FCM37" s="2"/>
      <c r="FCN37" s="2"/>
      <c r="FCO37" s="2"/>
      <c r="FCP37" s="2"/>
      <c r="FCQ37" s="2"/>
      <c r="FCR37" s="2"/>
      <c r="FCS37" s="2"/>
      <c r="FCT37" s="2"/>
      <c r="FCU37" s="2"/>
      <c r="FCV37" s="2"/>
      <c r="FCW37" s="2"/>
      <c r="FCX37" s="2"/>
      <c r="FCY37" s="2"/>
      <c r="FCZ37" s="2"/>
      <c r="FDA37" s="2"/>
      <c r="FDB37" s="2"/>
      <c r="FDC37" s="2"/>
      <c r="FDD37" s="2"/>
      <c r="FDE37" s="2"/>
      <c r="FDF37" s="2"/>
      <c r="FDG37" s="2"/>
      <c r="FDH37" s="2"/>
      <c r="FDI37" s="2"/>
      <c r="FDJ37" s="2"/>
      <c r="FDK37" s="2"/>
      <c r="FDL37" s="2"/>
      <c r="FDM37" s="2"/>
      <c r="FDN37" s="2"/>
      <c r="FDO37" s="2"/>
      <c r="FDP37" s="2"/>
      <c r="FDQ37" s="2"/>
      <c r="FDR37" s="2"/>
      <c r="FDS37" s="2"/>
      <c r="FDT37" s="2"/>
      <c r="FDU37" s="2"/>
      <c r="FDV37" s="2"/>
      <c r="FDW37" s="2"/>
      <c r="FDX37" s="2"/>
      <c r="FDY37" s="2"/>
      <c r="FDZ37" s="2"/>
      <c r="FEA37" s="2"/>
      <c r="FEB37" s="2"/>
      <c r="FEC37" s="2"/>
      <c r="FED37" s="2"/>
      <c r="FEE37" s="2"/>
      <c r="FEF37" s="2"/>
      <c r="FEG37" s="2"/>
      <c r="FEH37" s="2"/>
      <c r="FEI37" s="2"/>
      <c r="FEJ37" s="2"/>
      <c r="FEK37" s="2"/>
      <c r="FEL37" s="2"/>
      <c r="FEM37" s="2"/>
      <c r="FEN37" s="2"/>
      <c r="FEO37" s="2"/>
      <c r="FEP37" s="2"/>
      <c r="FEQ37" s="2"/>
      <c r="FER37" s="2"/>
      <c r="FES37" s="2"/>
      <c r="FET37" s="2"/>
      <c r="FEU37" s="2"/>
      <c r="FEV37" s="2"/>
      <c r="FEW37" s="2"/>
      <c r="FEX37" s="2"/>
      <c r="FEY37" s="2"/>
      <c r="FEZ37" s="2"/>
      <c r="FFA37" s="2"/>
      <c r="FFB37" s="2"/>
      <c r="FFC37" s="2"/>
      <c r="FFD37" s="2"/>
      <c r="FFE37" s="2"/>
      <c r="FFF37" s="2"/>
      <c r="FFG37" s="2"/>
      <c r="FFH37" s="2"/>
      <c r="FFI37" s="2"/>
      <c r="FFJ37" s="2"/>
      <c r="FFK37" s="2"/>
      <c r="FFL37" s="2"/>
      <c r="FFM37" s="2"/>
      <c r="FFN37" s="2"/>
      <c r="FFO37" s="2"/>
      <c r="FFP37" s="2"/>
      <c r="FFQ37" s="2"/>
      <c r="FFR37" s="2"/>
      <c r="FFS37" s="2"/>
      <c r="FFT37" s="2"/>
      <c r="FFU37" s="2"/>
      <c r="FFV37" s="2"/>
      <c r="FFW37" s="2"/>
      <c r="FFX37" s="2"/>
      <c r="FFY37" s="2"/>
      <c r="FFZ37" s="2"/>
      <c r="FGA37" s="2"/>
      <c r="FGB37" s="2"/>
      <c r="FGC37" s="2"/>
      <c r="FGD37" s="2"/>
      <c r="FGE37" s="2"/>
      <c r="FGF37" s="2"/>
      <c r="FGG37" s="2"/>
      <c r="FGH37" s="2"/>
      <c r="FGI37" s="2"/>
      <c r="FGJ37" s="2"/>
      <c r="FGK37" s="2"/>
      <c r="FGL37" s="2"/>
      <c r="FGM37" s="2"/>
      <c r="FGN37" s="2"/>
      <c r="FGO37" s="2"/>
      <c r="FGP37" s="2"/>
      <c r="FGQ37" s="2"/>
      <c r="FGR37" s="2"/>
      <c r="FGS37" s="2"/>
      <c r="FGT37" s="2"/>
      <c r="FGU37" s="2"/>
      <c r="FGV37" s="2"/>
      <c r="FGW37" s="2"/>
      <c r="FGX37" s="2"/>
      <c r="FGY37" s="2"/>
      <c r="FGZ37" s="2"/>
      <c r="FHA37" s="2"/>
      <c r="FHB37" s="2"/>
      <c r="FHC37" s="2"/>
      <c r="FHD37" s="2"/>
      <c r="FHE37" s="2"/>
      <c r="FHF37" s="2"/>
      <c r="FHG37" s="2"/>
      <c r="FHH37" s="2"/>
      <c r="FHI37" s="2"/>
      <c r="FHJ37" s="2"/>
      <c r="FHK37" s="2"/>
      <c r="FHL37" s="2"/>
      <c r="FHM37" s="2"/>
      <c r="FHN37" s="2"/>
      <c r="FHO37" s="2"/>
      <c r="FHP37" s="2"/>
      <c r="FHQ37" s="2"/>
      <c r="FHR37" s="2"/>
      <c r="FHS37" s="2"/>
      <c r="FHT37" s="2"/>
      <c r="FHU37" s="2"/>
      <c r="FHV37" s="2"/>
      <c r="FHW37" s="2"/>
      <c r="FHX37" s="2"/>
      <c r="FHY37" s="2"/>
      <c r="FHZ37" s="2"/>
      <c r="FIA37" s="2"/>
      <c r="FIB37" s="2"/>
      <c r="FIC37" s="2"/>
      <c r="FID37" s="2"/>
      <c r="FIE37" s="2"/>
      <c r="FIF37" s="2"/>
      <c r="FIG37" s="2"/>
      <c r="FIH37" s="2"/>
      <c r="FII37" s="2"/>
      <c r="FIJ37" s="2"/>
      <c r="FIK37" s="2"/>
      <c r="FIL37" s="2"/>
      <c r="FIM37" s="2"/>
      <c r="FIN37" s="2"/>
      <c r="FIO37" s="2"/>
      <c r="FIP37" s="2"/>
      <c r="FIQ37" s="2"/>
      <c r="FIR37" s="2"/>
      <c r="FIS37" s="2"/>
      <c r="FIT37" s="2"/>
      <c r="FIU37" s="2"/>
      <c r="FIV37" s="2"/>
      <c r="FIW37" s="2"/>
      <c r="FIX37" s="2"/>
      <c r="FIY37" s="2"/>
      <c r="FIZ37" s="2"/>
      <c r="FJA37" s="2"/>
      <c r="FJB37" s="2"/>
      <c r="FJC37" s="2"/>
      <c r="FJD37" s="2"/>
      <c r="FJE37" s="2"/>
      <c r="FJF37" s="2"/>
      <c r="FJG37" s="2"/>
      <c r="FJH37" s="2"/>
      <c r="FJI37" s="2"/>
      <c r="FJJ37" s="2"/>
      <c r="FJK37" s="2"/>
      <c r="FJL37" s="2"/>
      <c r="FJM37" s="2"/>
      <c r="FJN37" s="2"/>
      <c r="FJO37" s="2"/>
      <c r="FJP37" s="2"/>
      <c r="FJQ37" s="2"/>
      <c r="FJR37" s="2"/>
      <c r="FJS37" s="2"/>
      <c r="FJT37" s="2"/>
      <c r="FJU37" s="2"/>
      <c r="FJV37" s="2"/>
      <c r="FJW37" s="2"/>
      <c r="FJX37" s="2"/>
      <c r="FJY37" s="2"/>
      <c r="FJZ37" s="2"/>
      <c r="FKA37" s="2"/>
      <c r="FKB37" s="2"/>
      <c r="FKC37" s="2"/>
      <c r="FKD37" s="2"/>
      <c r="FKE37" s="2"/>
      <c r="FKF37" s="2"/>
      <c r="FKG37" s="2"/>
      <c r="FKH37" s="2"/>
      <c r="FKI37" s="2"/>
      <c r="FKJ37" s="2"/>
      <c r="FKK37" s="2"/>
      <c r="FKL37" s="2"/>
      <c r="FKM37" s="2"/>
      <c r="FKN37" s="2"/>
      <c r="FKO37" s="2"/>
      <c r="FKP37" s="2"/>
      <c r="FKQ37" s="2"/>
      <c r="FKR37" s="2"/>
      <c r="FKS37" s="2"/>
      <c r="FKT37" s="2"/>
      <c r="FKU37" s="2"/>
      <c r="FKV37" s="2"/>
      <c r="FKW37" s="2"/>
      <c r="FKX37" s="2"/>
      <c r="FKY37" s="2"/>
      <c r="FKZ37" s="2"/>
      <c r="FLA37" s="2"/>
      <c r="FLB37" s="2"/>
      <c r="FLC37" s="2"/>
      <c r="FLD37" s="2"/>
      <c r="FLE37" s="2"/>
      <c r="FLF37" s="2"/>
      <c r="FLG37" s="2"/>
      <c r="FLH37" s="2"/>
      <c r="FLI37" s="2"/>
      <c r="FLJ37" s="2"/>
      <c r="FLK37" s="2"/>
      <c r="FLL37" s="2"/>
      <c r="FLM37" s="2"/>
      <c r="FLN37" s="2"/>
      <c r="FLO37" s="2"/>
      <c r="FLP37" s="2"/>
      <c r="FLQ37" s="2"/>
      <c r="FLR37" s="2"/>
      <c r="FLS37" s="2"/>
      <c r="FLT37" s="2"/>
      <c r="FLU37" s="2"/>
      <c r="FLV37" s="2"/>
      <c r="FLW37" s="2"/>
      <c r="FLX37" s="2"/>
      <c r="FLY37" s="2"/>
      <c r="FLZ37" s="2"/>
      <c r="FMA37" s="2"/>
      <c r="FMB37" s="2"/>
      <c r="FMC37" s="2"/>
      <c r="FMD37" s="2"/>
      <c r="FME37" s="2"/>
      <c r="FMF37" s="2"/>
      <c r="FMG37" s="2"/>
      <c r="FMH37" s="2"/>
      <c r="FMI37" s="2"/>
      <c r="FMJ37" s="2"/>
      <c r="FMK37" s="2"/>
      <c r="FML37" s="2"/>
      <c r="FMM37" s="2"/>
      <c r="FMN37" s="2"/>
      <c r="FMO37" s="2"/>
      <c r="FMP37" s="2"/>
      <c r="FMQ37" s="2"/>
      <c r="FMR37" s="2"/>
      <c r="FMS37" s="2"/>
      <c r="FMT37" s="2"/>
      <c r="FMU37" s="2"/>
      <c r="FMV37" s="2"/>
      <c r="FMW37" s="2"/>
      <c r="FMX37" s="2"/>
      <c r="FMY37" s="2"/>
      <c r="FMZ37" s="2"/>
      <c r="FNA37" s="2"/>
      <c r="FNB37" s="2"/>
      <c r="FNC37" s="2"/>
      <c r="FND37" s="2"/>
      <c r="FNE37" s="2"/>
      <c r="FNF37" s="2"/>
      <c r="FNG37" s="2"/>
      <c r="FNH37" s="2"/>
      <c r="FNI37" s="2"/>
      <c r="FNJ37" s="2"/>
      <c r="FNK37" s="2"/>
      <c r="FNL37" s="2"/>
      <c r="FNM37" s="2"/>
      <c r="FNN37" s="2"/>
      <c r="FNO37" s="2"/>
      <c r="FNP37" s="2"/>
      <c r="FNQ37" s="2"/>
      <c r="FNR37" s="2"/>
      <c r="FNS37" s="2"/>
      <c r="FNT37" s="2"/>
      <c r="FNU37" s="2"/>
      <c r="FNV37" s="2"/>
      <c r="FNW37" s="2"/>
      <c r="FNX37" s="2"/>
      <c r="FNY37" s="2"/>
      <c r="FNZ37" s="2"/>
      <c r="FOA37" s="2"/>
      <c r="FOB37" s="2"/>
      <c r="FOC37" s="2"/>
      <c r="FOD37" s="2"/>
      <c r="FOE37" s="2"/>
      <c r="FOF37" s="2"/>
      <c r="FOG37" s="2"/>
      <c r="FOH37" s="2"/>
      <c r="FOI37" s="2"/>
      <c r="FOJ37" s="2"/>
      <c r="FOK37" s="2"/>
      <c r="FOL37" s="2"/>
      <c r="FOM37" s="2"/>
      <c r="FON37" s="2"/>
      <c r="FOO37" s="2"/>
      <c r="FOP37" s="2"/>
      <c r="FOQ37" s="2"/>
      <c r="FOR37" s="2"/>
      <c r="FOS37" s="2"/>
      <c r="FOT37" s="2"/>
      <c r="FOU37" s="2"/>
      <c r="FOV37" s="2"/>
      <c r="FOW37" s="2"/>
      <c r="FOX37" s="2"/>
      <c r="FOY37" s="2"/>
      <c r="FOZ37" s="2"/>
      <c r="FPA37" s="2"/>
      <c r="FPB37" s="2"/>
      <c r="FPC37" s="2"/>
      <c r="FPD37" s="2"/>
      <c r="FPE37" s="2"/>
      <c r="FPF37" s="2"/>
      <c r="FPG37" s="2"/>
      <c r="FPH37" s="2"/>
      <c r="FPI37" s="2"/>
      <c r="FPJ37" s="2"/>
      <c r="FPK37" s="2"/>
      <c r="FPL37" s="2"/>
      <c r="FPM37" s="2"/>
      <c r="FPN37" s="2"/>
      <c r="FPO37" s="2"/>
      <c r="FPP37" s="2"/>
      <c r="FPQ37" s="2"/>
      <c r="FPR37" s="2"/>
      <c r="FPS37" s="2"/>
      <c r="FPT37" s="2"/>
      <c r="FPU37" s="2"/>
      <c r="FPV37" s="2"/>
      <c r="FPW37" s="2"/>
      <c r="FPX37" s="2"/>
      <c r="FPY37" s="2"/>
      <c r="FPZ37" s="2"/>
      <c r="FQA37" s="2"/>
      <c r="FQB37" s="2"/>
      <c r="FQC37" s="2"/>
      <c r="FQD37" s="2"/>
      <c r="FQE37" s="2"/>
      <c r="FQF37" s="2"/>
      <c r="FQG37" s="2"/>
      <c r="FQH37" s="2"/>
      <c r="FQI37" s="2"/>
      <c r="FQJ37" s="2"/>
      <c r="FQK37" s="2"/>
      <c r="FQL37" s="2"/>
      <c r="FQM37" s="2"/>
      <c r="FQN37" s="2"/>
      <c r="FQO37" s="2"/>
      <c r="FQP37" s="2"/>
      <c r="FQQ37" s="2"/>
      <c r="FQR37" s="2"/>
      <c r="FQS37" s="2"/>
      <c r="FQT37" s="2"/>
      <c r="FQU37" s="2"/>
      <c r="FQV37" s="2"/>
      <c r="FQW37" s="2"/>
      <c r="FQX37" s="2"/>
      <c r="FQY37" s="2"/>
      <c r="FQZ37" s="2"/>
      <c r="FRA37" s="2"/>
      <c r="FRB37" s="2"/>
      <c r="FRC37" s="2"/>
      <c r="FRD37" s="2"/>
      <c r="FRE37" s="2"/>
      <c r="FRF37" s="2"/>
      <c r="FRG37" s="2"/>
      <c r="FRH37" s="2"/>
      <c r="FRI37" s="2"/>
      <c r="FRJ37" s="2"/>
      <c r="FRK37" s="2"/>
      <c r="FRL37" s="2"/>
      <c r="FRM37" s="2"/>
      <c r="FRN37" s="2"/>
      <c r="FRO37" s="2"/>
      <c r="FRP37" s="2"/>
      <c r="FRQ37" s="2"/>
      <c r="FRR37" s="2"/>
      <c r="FRS37" s="2"/>
      <c r="FRT37" s="2"/>
      <c r="FRU37" s="2"/>
      <c r="FRV37" s="2"/>
      <c r="FRW37" s="2"/>
      <c r="FRX37" s="2"/>
      <c r="FRY37" s="2"/>
      <c r="FRZ37" s="2"/>
      <c r="FSA37" s="2"/>
      <c r="FSB37" s="2"/>
      <c r="FSC37" s="2"/>
      <c r="FSD37" s="2"/>
      <c r="FSE37" s="2"/>
      <c r="FSF37" s="2"/>
      <c r="FSG37" s="2"/>
      <c r="FSH37" s="2"/>
      <c r="FSI37" s="2"/>
      <c r="FSJ37" s="2"/>
      <c r="FSK37" s="2"/>
      <c r="FSL37" s="2"/>
      <c r="FSM37" s="2"/>
      <c r="FSN37" s="2"/>
      <c r="FSO37" s="2"/>
      <c r="FSP37" s="2"/>
      <c r="FSQ37" s="2"/>
      <c r="FSR37" s="2"/>
      <c r="FSS37" s="2"/>
      <c r="FST37" s="2"/>
      <c r="FSU37" s="2"/>
      <c r="FSV37" s="2"/>
      <c r="FSW37" s="2"/>
      <c r="FSX37" s="2"/>
      <c r="FSY37" s="2"/>
      <c r="FSZ37" s="2"/>
      <c r="FTA37" s="2"/>
      <c r="FTB37" s="2"/>
      <c r="FTC37" s="2"/>
      <c r="FTD37" s="2"/>
      <c r="FTE37" s="2"/>
      <c r="FTF37" s="2"/>
      <c r="FTG37" s="2"/>
      <c r="FTH37" s="2"/>
      <c r="FTI37" s="2"/>
      <c r="FTJ37" s="2"/>
      <c r="FTK37" s="2"/>
      <c r="FTL37" s="2"/>
      <c r="FTM37" s="2"/>
      <c r="FTN37" s="2"/>
      <c r="FTO37" s="2"/>
      <c r="FTP37" s="2"/>
      <c r="FTQ37" s="2"/>
      <c r="FTR37" s="2"/>
      <c r="FTS37" s="2"/>
      <c r="FTT37" s="2"/>
      <c r="FTU37" s="2"/>
      <c r="FTV37" s="2"/>
      <c r="FTW37" s="2"/>
      <c r="FTX37" s="2"/>
      <c r="FTY37" s="2"/>
      <c r="FTZ37" s="2"/>
      <c r="FUA37" s="2"/>
      <c r="FUB37" s="2"/>
      <c r="FUC37" s="2"/>
      <c r="FUD37" s="2"/>
      <c r="FUE37" s="2"/>
      <c r="FUF37" s="2"/>
      <c r="FUG37" s="2"/>
      <c r="FUH37" s="2"/>
      <c r="FUI37" s="2"/>
      <c r="FUJ37" s="2"/>
      <c r="FUK37" s="2"/>
      <c r="FUL37" s="2"/>
      <c r="FUM37" s="2"/>
      <c r="FUN37" s="2"/>
      <c r="FUO37" s="2"/>
      <c r="FUP37" s="2"/>
      <c r="FUQ37" s="2"/>
      <c r="FUR37" s="2"/>
      <c r="FUS37" s="2"/>
      <c r="FUT37" s="2"/>
      <c r="FUU37" s="2"/>
      <c r="FUV37" s="2"/>
      <c r="FUW37" s="2"/>
      <c r="FUX37" s="2"/>
      <c r="FUY37" s="2"/>
      <c r="FUZ37" s="2"/>
      <c r="FVA37" s="2"/>
      <c r="FVB37" s="2"/>
      <c r="FVC37" s="2"/>
      <c r="FVD37" s="2"/>
      <c r="FVE37" s="2"/>
      <c r="FVF37" s="2"/>
      <c r="FVG37" s="2"/>
      <c r="FVH37" s="2"/>
      <c r="FVI37" s="2"/>
      <c r="FVJ37" s="2"/>
      <c r="FVK37" s="2"/>
      <c r="FVL37" s="2"/>
      <c r="FVM37" s="2"/>
      <c r="FVN37" s="2"/>
      <c r="FVO37" s="2"/>
      <c r="FVP37" s="2"/>
      <c r="FVQ37" s="2"/>
      <c r="FVR37" s="2"/>
      <c r="FVS37" s="2"/>
      <c r="FVT37" s="2"/>
      <c r="FVU37" s="2"/>
      <c r="FVV37" s="2"/>
      <c r="FVW37" s="2"/>
      <c r="FVX37" s="2"/>
      <c r="FVY37" s="2"/>
      <c r="FVZ37" s="2"/>
      <c r="FWA37" s="2"/>
      <c r="FWB37" s="2"/>
      <c r="FWC37" s="2"/>
      <c r="FWD37" s="2"/>
      <c r="FWE37" s="2"/>
      <c r="FWF37" s="2"/>
      <c r="FWG37" s="2"/>
      <c r="FWH37" s="2"/>
      <c r="FWI37" s="2"/>
      <c r="FWJ37" s="2"/>
      <c r="FWK37" s="2"/>
      <c r="FWL37" s="2"/>
      <c r="FWM37" s="2"/>
      <c r="FWN37" s="2"/>
      <c r="FWO37" s="2"/>
      <c r="FWP37" s="2"/>
      <c r="FWQ37" s="2"/>
      <c r="FWR37" s="2"/>
      <c r="FWS37" s="2"/>
      <c r="FWT37" s="2"/>
      <c r="FWU37" s="2"/>
      <c r="FWV37" s="2"/>
      <c r="FWW37" s="2"/>
      <c r="FWX37" s="2"/>
      <c r="FWY37" s="2"/>
      <c r="FWZ37" s="2"/>
      <c r="FXA37" s="2"/>
      <c r="FXB37" s="2"/>
      <c r="FXC37" s="2"/>
      <c r="FXD37" s="2"/>
      <c r="FXE37" s="2"/>
      <c r="FXF37" s="2"/>
      <c r="FXG37" s="2"/>
      <c r="FXH37" s="2"/>
      <c r="FXI37" s="2"/>
      <c r="FXJ37" s="2"/>
      <c r="FXK37" s="2"/>
      <c r="FXL37" s="2"/>
      <c r="FXM37" s="2"/>
      <c r="FXN37" s="2"/>
      <c r="FXO37" s="2"/>
      <c r="FXP37" s="2"/>
      <c r="FXQ37" s="2"/>
      <c r="FXR37" s="2"/>
      <c r="FXS37" s="2"/>
      <c r="FXT37" s="2"/>
      <c r="FXU37" s="2"/>
      <c r="FXV37" s="2"/>
      <c r="FXW37" s="2"/>
      <c r="FXX37" s="2"/>
      <c r="FXY37" s="2"/>
      <c r="FXZ37" s="2"/>
      <c r="FYA37" s="2"/>
      <c r="FYB37" s="2"/>
      <c r="FYC37" s="2"/>
      <c r="FYD37" s="2"/>
      <c r="FYE37" s="2"/>
      <c r="FYF37" s="2"/>
      <c r="FYG37" s="2"/>
      <c r="FYH37" s="2"/>
      <c r="FYI37" s="2"/>
      <c r="FYJ37" s="2"/>
      <c r="FYK37" s="2"/>
      <c r="FYL37" s="2"/>
      <c r="FYM37" s="2"/>
      <c r="FYN37" s="2"/>
      <c r="FYO37" s="2"/>
      <c r="FYP37" s="2"/>
      <c r="FYQ37" s="2"/>
      <c r="FYR37" s="2"/>
      <c r="FYS37" s="2"/>
      <c r="FYT37" s="2"/>
      <c r="FYU37" s="2"/>
      <c r="FYV37" s="2"/>
      <c r="FYW37" s="2"/>
      <c r="FYX37" s="2"/>
      <c r="FYY37" s="2"/>
      <c r="FYZ37" s="2"/>
      <c r="FZA37" s="2"/>
      <c r="FZB37" s="2"/>
      <c r="FZC37" s="2"/>
      <c r="FZD37" s="2"/>
      <c r="FZE37" s="2"/>
      <c r="FZF37" s="2"/>
      <c r="FZG37" s="2"/>
      <c r="FZH37" s="2"/>
      <c r="FZI37" s="2"/>
      <c r="FZJ37" s="2"/>
      <c r="FZK37" s="2"/>
      <c r="FZL37" s="2"/>
      <c r="FZM37" s="2"/>
      <c r="FZN37" s="2"/>
      <c r="FZO37" s="2"/>
      <c r="FZP37" s="2"/>
      <c r="FZQ37" s="2"/>
      <c r="FZR37" s="2"/>
      <c r="FZS37" s="2"/>
      <c r="FZT37" s="2"/>
      <c r="FZU37" s="2"/>
      <c r="FZV37" s="2"/>
      <c r="FZW37" s="2"/>
      <c r="FZX37" s="2"/>
      <c r="FZY37" s="2"/>
      <c r="FZZ37" s="2"/>
      <c r="GAA37" s="2"/>
      <c r="GAB37" s="2"/>
      <c r="GAC37" s="2"/>
      <c r="GAD37" s="2"/>
      <c r="GAE37" s="2"/>
      <c r="GAF37" s="2"/>
      <c r="GAG37" s="2"/>
      <c r="GAH37" s="2"/>
      <c r="GAI37" s="2"/>
      <c r="GAJ37" s="2"/>
      <c r="GAK37" s="2"/>
      <c r="GAL37" s="2"/>
      <c r="GAM37" s="2"/>
      <c r="GAN37" s="2"/>
      <c r="GAO37" s="2"/>
      <c r="GAP37" s="2"/>
      <c r="GAQ37" s="2"/>
      <c r="GAR37" s="2"/>
      <c r="GAS37" s="2"/>
      <c r="GAT37" s="2"/>
      <c r="GAU37" s="2"/>
      <c r="GAV37" s="2"/>
      <c r="GAW37" s="2"/>
      <c r="GAX37" s="2"/>
      <c r="GAY37" s="2"/>
      <c r="GAZ37" s="2"/>
      <c r="GBA37" s="2"/>
      <c r="GBB37" s="2"/>
      <c r="GBC37" s="2"/>
      <c r="GBD37" s="2"/>
      <c r="GBE37" s="2"/>
      <c r="GBF37" s="2"/>
      <c r="GBG37" s="2"/>
      <c r="GBH37" s="2"/>
      <c r="GBI37" s="2"/>
      <c r="GBJ37" s="2"/>
      <c r="GBK37" s="2"/>
      <c r="GBL37" s="2"/>
      <c r="GBM37" s="2"/>
      <c r="GBN37" s="2"/>
      <c r="GBO37" s="2"/>
      <c r="GBP37" s="2"/>
      <c r="GBQ37" s="2"/>
      <c r="GBR37" s="2"/>
      <c r="GBS37" s="2"/>
      <c r="GBT37" s="2"/>
      <c r="GBU37" s="2"/>
      <c r="GBV37" s="2"/>
      <c r="GBW37" s="2"/>
      <c r="GBX37" s="2"/>
      <c r="GBY37" s="2"/>
      <c r="GBZ37" s="2"/>
      <c r="GCA37" s="2"/>
      <c r="GCB37" s="2"/>
      <c r="GCC37" s="2"/>
      <c r="GCD37" s="2"/>
      <c r="GCE37" s="2"/>
      <c r="GCF37" s="2"/>
      <c r="GCG37" s="2"/>
      <c r="GCH37" s="2"/>
      <c r="GCI37" s="2"/>
      <c r="GCJ37" s="2"/>
      <c r="GCK37" s="2"/>
      <c r="GCL37" s="2"/>
      <c r="GCM37" s="2"/>
      <c r="GCN37" s="2"/>
      <c r="GCO37" s="2"/>
      <c r="GCP37" s="2"/>
      <c r="GCQ37" s="2"/>
      <c r="GCR37" s="2"/>
      <c r="GCS37" s="2"/>
      <c r="GCT37" s="2"/>
      <c r="GCU37" s="2"/>
      <c r="GCV37" s="2"/>
      <c r="GCW37" s="2"/>
      <c r="GCX37" s="2"/>
      <c r="GCY37" s="2"/>
      <c r="GCZ37" s="2"/>
      <c r="GDA37" s="2"/>
      <c r="GDB37" s="2"/>
      <c r="GDC37" s="2"/>
      <c r="GDD37" s="2"/>
      <c r="GDE37" s="2"/>
      <c r="GDF37" s="2"/>
      <c r="GDG37" s="2"/>
      <c r="GDH37" s="2"/>
      <c r="GDI37" s="2"/>
      <c r="GDJ37" s="2"/>
      <c r="GDK37" s="2"/>
      <c r="GDL37" s="2"/>
      <c r="GDM37" s="2"/>
      <c r="GDN37" s="2"/>
      <c r="GDO37" s="2"/>
      <c r="GDP37" s="2"/>
      <c r="GDQ37" s="2"/>
      <c r="GDR37" s="2"/>
      <c r="GDS37" s="2"/>
      <c r="GDT37" s="2"/>
      <c r="GDU37" s="2"/>
      <c r="GDV37" s="2"/>
      <c r="GDW37" s="2"/>
      <c r="GDX37" s="2"/>
      <c r="GDY37" s="2"/>
      <c r="GDZ37" s="2"/>
      <c r="GEA37" s="2"/>
      <c r="GEB37" s="2"/>
      <c r="GEC37" s="2"/>
      <c r="GED37" s="2"/>
      <c r="GEE37" s="2"/>
      <c r="GEF37" s="2"/>
      <c r="GEG37" s="2"/>
      <c r="GEH37" s="2"/>
      <c r="GEI37" s="2"/>
      <c r="GEJ37" s="2"/>
      <c r="GEK37" s="2"/>
      <c r="GEL37" s="2"/>
      <c r="GEM37" s="2"/>
      <c r="GEN37" s="2"/>
      <c r="GEO37" s="2"/>
      <c r="GEP37" s="2"/>
      <c r="GEQ37" s="2"/>
      <c r="GER37" s="2"/>
      <c r="GES37" s="2"/>
      <c r="GET37" s="2"/>
      <c r="GEU37" s="2"/>
      <c r="GEV37" s="2"/>
      <c r="GEW37" s="2"/>
      <c r="GEX37" s="2"/>
      <c r="GEY37" s="2"/>
      <c r="GEZ37" s="2"/>
      <c r="GFA37" s="2"/>
      <c r="GFB37" s="2"/>
      <c r="GFC37" s="2"/>
      <c r="GFD37" s="2"/>
      <c r="GFE37" s="2"/>
      <c r="GFF37" s="2"/>
      <c r="GFG37" s="2"/>
      <c r="GFH37" s="2"/>
      <c r="GFI37" s="2"/>
      <c r="GFJ37" s="2"/>
      <c r="GFK37" s="2"/>
      <c r="GFL37" s="2"/>
      <c r="GFM37" s="2"/>
      <c r="GFN37" s="2"/>
      <c r="GFO37" s="2"/>
      <c r="GFP37" s="2"/>
      <c r="GFQ37" s="2"/>
      <c r="GFR37" s="2"/>
      <c r="GFS37" s="2"/>
      <c r="GFT37" s="2"/>
      <c r="GFU37" s="2"/>
      <c r="GFV37" s="2"/>
      <c r="GFW37" s="2"/>
      <c r="GFX37" s="2"/>
      <c r="GFY37" s="2"/>
      <c r="GFZ37" s="2"/>
      <c r="GGA37" s="2"/>
      <c r="GGB37" s="2"/>
      <c r="GGC37" s="2"/>
      <c r="GGD37" s="2"/>
      <c r="GGE37" s="2"/>
      <c r="GGF37" s="2"/>
      <c r="GGG37" s="2"/>
      <c r="GGH37" s="2"/>
      <c r="GGI37" s="2"/>
      <c r="GGJ37" s="2"/>
      <c r="GGK37" s="2"/>
      <c r="GGL37" s="2"/>
      <c r="GGM37" s="2"/>
      <c r="GGN37" s="2"/>
      <c r="GGO37" s="2"/>
      <c r="GGP37" s="2"/>
      <c r="GGQ37" s="2"/>
      <c r="GGR37" s="2"/>
      <c r="GGS37" s="2"/>
      <c r="GGT37" s="2"/>
      <c r="GGU37" s="2"/>
      <c r="GGV37" s="2"/>
      <c r="GGW37" s="2"/>
      <c r="GGX37" s="2"/>
      <c r="GGY37" s="2"/>
      <c r="GGZ37" s="2"/>
      <c r="GHA37" s="2"/>
      <c r="GHB37" s="2"/>
      <c r="GHC37" s="2"/>
      <c r="GHD37" s="2"/>
      <c r="GHE37" s="2"/>
      <c r="GHF37" s="2"/>
      <c r="GHG37" s="2"/>
      <c r="GHH37" s="2"/>
      <c r="GHI37" s="2"/>
      <c r="GHJ37" s="2"/>
      <c r="GHK37" s="2"/>
      <c r="GHL37" s="2"/>
      <c r="GHM37" s="2"/>
      <c r="GHN37" s="2"/>
      <c r="GHO37" s="2"/>
      <c r="GHP37" s="2"/>
      <c r="GHQ37" s="2"/>
      <c r="GHR37" s="2"/>
      <c r="GHS37" s="2"/>
      <c r="GHT37" s="2"/>
      <c r="GHU37" s="2"/>
      <c r="GHV37" s="2"/>
      <c r="GHW37" s="2"/>
      <c r="GHX37" s="2"/>
      <c r="GHY37" s="2"/>
      <c r="GHZ37" s="2"/>
      <c r="GIA37" s="2"/>
      <c r="GIB37" s="2"/>
      <c r="GIC37" s="2"/>
      <c r="GID37" s="2"/>
      <c r="GIE37" s="2"/>
      <c r="GIF37" s="2"/>
      <c r="GIG37" s="2"/>
      <c r="GIH37" s="2"/>
      <c r="GII37" s="2"/>
      <c r="GIJ37" s="2"/>
      <c r="GIK37" s="2"/>
      <c r="GIL37" s="2"/>
      <c r="GIM37" s="2"/>
      <c r="GIN37" s="2"/>
      <c r="GIO37" s="2"/>
      <c r="GIP37" s="2"/>
      <c r="GIQ37" s="2"/>
      <c r="GIR37" s="2"/>
      <c r="GIS37" s="2"/>
      <c r="GIT37" s="2"/>
      <c r="GIU37" s="2"/>
      <c r="GIV37" s="2"/>
      <c r="GIW37" s="2"/>
      <c r="GIX37" s="2"/>
      <c r="GIY37" s="2"/>
      <c r="GIZ37" s="2"/>
      <c r="GJA37" s="2"/>
      <c r="GJB37" s="2"/>
      <c r="GJC37" s="2"/>
      <c r="GJD37" s="2"/>
      <c r="GJE37" s="2"/>
      <c r="GJF37" s="2"/>
      <c r="GJG37" s="2"/>
      <c r="GJH37" s="2"/>
      <c r="GJI37" s="2"/>
      <c r="GJJ37" s="2"/>
      <c r="GJK37" s="2"/>
      <c r="GJL37" s="2"/>
      <c r="GJM37" s="2"/>
      <c r="GJN37" s="2"/>
      <c r="GJO37" s="2"/>
      <c r="GJP37" s="2"/>
      <c r="GJQ37" s="2"/>
      <c r="GJR37" s="2"/>
      <c r="GJS37" s="2"/>
      <c r="GJT37" s="2"/>
      <c r="GJU37" s="2"/>
      <c r="GJV37" s="2"/>
      <c r="GJW37" s="2"/>
      <c r="GJX37" s="2"/>
      <c r="GJY37" s="2"/>
      <c r="GJZ37" s="2"/>
      <c r="GKA37" s="2"/>
      <c r="GKB37" s="2"/>
      <c r="GKC37" s="2"/>
      <c r="GKD37" s="2"/>
      <c r="GKE37" s="2"/>
      <c r="GKF37" s="2"/>
      <c r="GKG37" s="2"/>
      <c r="GKH37" s="2"/>
      <c r="GKI37" s="2"/>
      <c r="GKJ37" s="2"/>
      <c r="GKK37" s="2"/>
      <c r="GKL37" s="2"/>
      <c r="GKM37" s="2"/>
      <c r="GKN37" s="2"/>
      <c r="GKO37" s="2"/>
      <c r="GKP37" s="2"/>
      <c r="GKQ37" s="2"/>
      <c r="GKR37" s="2"/>
      <c r="GKS37" s="2"/>
      <c r="GKT37" s="2"/>
      <c r="GKU37" s="2"/>
      <c r="GKV37" s="2"/>
      <c r="GKW37" s="2"/>
      <c r="GKX37" s="2"/>
      <c r="GKY37" s="2"/>
      <c r="GKZ37" s="2"/>
      <c r="GLA37" s="2"/>
      <c r="GLB37" s="2"/>
      <c r="GLC37" s="2"/>
      <c r="GLD37" s="2"/>
      <c r="GLE37" s="2"/>
      <c r="GLF37" s="2"/>
      <c r="GLG37" s="2"/>
      <c r="GLH37" s="2"/>
      <c r="GLI37" s="2"/>
      <c r="GLJ37" s="2"/>
      <c r="GLK37" s="2"/>
      <c r="GLL37" s="2"/>
      <c r="GLM37" s="2"/>
      <c r="GLN37" s="2"/>
      <c r="GLO37" s="2"/>
      <c r="GLP37" s="2"/>
      <c r="GLQ37" s="2"/>
      <c r="GLR37" s="2"/>
      <c r="GLS37" s="2"/>
      <c r="GLT37" s="2"/>
      <c r="GLU37" s="2"/>
      <c r="GLV37" s="2"/>
      <c r="GLW37" s="2"/>
      <c r="GLX37" s="2"/>
      <c r="GLY37" s="2"/>
      <c r="GLZ37" s="2"/>
      <c r="GMA37" s="2"/>
      <c r="GMB37" s="2"/>
      <c r="GMC37" s="2"/>
      <c r="GMD37" s="2"/>
      <c r="GME37" s="2"/>
      <c r="GMF37" s="2"/>
      <c r="GMG37" s="2"/>
      <c r="GMH37" s="2"/>
      <c r="GMI37" s="2"/>
      <c r="GMJ37" s="2"/>
      <c r="GMK37" s="2"/>
      <c r="GML37" s="2"/>
      <c r="GMM37" s="2"/>
      <c r="GMN37" s="2"/>
      <c r="GMO37" s="2"/>
      <c r="GMP37" s="2"/>
      <c r="GMQ37" s="2"/>
      <c r="GMR37" s="2"/>
      <c r="GMS37" s="2"/>
      <c r="GMT37" s="2"/>
      <c r="GMU37" s="2"/>
      <c r="GMV37" s="2"/>
      <c r="GMW37" s="2"/>
      <c r="GMX37" s="2"/>
      <c r="GMY37" s="2"/>
      <c r="GMZ37" s="2"/>
      <c r="GNA37" s="2"/>
      <c r="GNB37" s="2"/>
      <c r="GNC37" s="2"/>
      <c r="GND37" s="2"/>
      <c r="GNE37" s="2"/>
      <c r="GNF37" s="2"/>
      <c r="GNG37" s="2"/>
      <c r="GNH37" s="2"/>
      <c r="GNI37" s="2"/>
      <c r="GNJ37" s="2"/>
      <c r="GNK37" s="2"/>
      <c r="GNL37" s="2"/>
      <c r="GNM37" s="2"/>
      <c r="GNN37" s="2"/>
      <c r="GNO37" s="2"/>
      <c r="GNP37" s="2"/>
      <c r="GNQ37" s="2"/>
      <c r="GNR37" s="2"/>
      <c r="GNS37" s="2"/>
      <c r="GNT37" s="2"/>
      <c r="GNU37" s="2"/>
      <c r="GNV37" s="2"/>
      <c r="GNW37" s="2"/>
      <c r="GNX37" s="2"/>
      <c r="GNY37" s="2"/>
      <c r="GNZ37" s="2"/>
      <c r="GOA37" s="2"/>
      <c r="GOB37" s="2"/>
      <c r="GOC37" s="2"/>
      <c r="GOD37" s="2"/>
      <c r="GOE37" s="2"/>
      <c r="GOF37" s="2"/>
      <c r="GOG37" s="2"/>
      <c r="GOH37" s="2"/>
      <c r="GOI37" s="2"/>
      <c r="GOJ37" s="2"/>
      <c r="GOK37" s="2"/>
      <c r="GOL37" s="2"/>
      <c r="GOM37" s="2"/>
      <c r="GON37" s="2"/>
      <c r="GOO37" s="2"/>
      <c r="GOP37" s="2"/>
      <c r="GOQ37" s="2"/>
      <c r="GOR37" s="2"/>
      <c r="GOS37" s="2"/>
      <c r="GOT37" s="2"/>
      <c r="GOU37" s="2"/>
      <c r="GOV37" s="2"/>
      <c r="GOW37" s="2"/>
      <c r="GOX37" s="2"/>
      <c r="GOY37" s="2"/>
      <c r="GOZ37" s="2"/>
      <c r="GPA37" s="2"/>
      <c r="GPB37" s="2"/>
      <c r="GPC37" s="2"/>
      <c r="GPD37" s="2"/>
      <c r="GPE37" s="2"/>
      <c r="GPF37" s="2"/>
      <c r="GPG37" s="2"/>
      <c r="GPH37" s="2"/>
      <c r="GPI37" s="2"/>
      <c r="GPJ37" s="2"/>
      <c r="GPK37" s="2"/>
      <c r="GPL37" s="2"/>
      <c r="GPM37" s="2"/>
      <c r="GPN37" s="2"/>
      <c r="GPO37" s="2"/>
      <c r="GPP37" s="2"/>
      <c r="GPQ37" s="2"/>
      <c r="GPR37" s="2"/>
      <c r="GPS37" s="2"/>
      <c r="GPT37" s="2"/>
      <c r="GPU37" s="2"/>
      <c r="GPV37" s="2"/>
      <c r="GPW37" s="2"/>
      <c r="GPX37" s="2"/>
      <c r="GPY37" s="2"/>
      <c r="GPZ37" s="2"/>
      <c r="GQA37" s="2"/>
      <c r="GQB37" s="2"/>
      <c r="GQC37" s="2"/>
      <c r="GQD37" s="2"/>
      <c r="GQE37" s="2"/>
      <c r="GQF37" s="2"/>
      <c r="GQG37" s="2"/>
      <c r="GQH37" s="2"/>
      <c r="GQI37" s="2"/>
      <c r="GQJ37" s="2"/>
      <c r="GQK37" s="2"/>
      <c r="GQL37" s="2"/>
      <c r="GQM37" s="2"/>
      <c r="GQN37" s="2"/>
      <c r="GQO37" s="2"/>
      <c r="GQP37" s="2"/>
      <c r="GQQ37" s="2"/>
      <c r="GQR37" s="2"/>
      <c r="GQS37" s="2"/>
      <c r="GQT37" s="2"/>
      <c r="GQU37" s="2"/>
      <c r="GQV37" s="2"/>
      <c r="GQW37" s="2"/>
      <c r="GQX37" s="2"/>
      <c r="GQY37" s="2"/>
      <c r="GQZ37" s="2"/>
      <c r="GRA37" s="2"/>
      <c r="GRB37" s="2"/>
      <c r="GRC37" s="2"/>
      <c r="GRD37" s="2"/>
      <c r="GRE37" s="2"/>
      <c r="GRF37" s="2"/>
      <c r="GRG37" s="2"/>
      <c r="GRH37" s="2"/>
      <c r="GRI37" s="2"/>
      <c r="GRJ37" s="2"/>
      <c r="GRK37" s="2"/>
      <c r="GRL37" s="2"/>
      <c r="GRM37" s="2"/>
      <c r="GRN37" s="2"/>
      <c r="GRO37" s="2"/>
      <c r="GRP37" s="2"/>
      <c r="GRQ37" s="2"/>
      <c r="GRR37" s="2"/>
      <c r="GRS37" s="2"/>
      <c r="GRT37" s="2"/>
      <c r="GRU37" s="2"/>
      <c r="GRV37" s="2"/>
      <c r="GRW37" s="2"/>
      <c r="GRX37" s="2"/>
      <c r="GRY37" s="2"/>
      <c r="GRZ37" s="2"/>
      <c r="GSA37" s="2"/>
      <c r="GSB37" s="2"/>
      <c r="GSC37" s="2"/>
      <c r="GSD37" s="2"/>
      <c r="GSE37" s="2"/>
      <c r="GSF37" s="2"/>
      <c r="GSG37" s="2"/>
      <c r="GSH37" s="2"/>
      <c r="GSI37" s="2"/>
      <c r="GSJ37" s="2"/>
      <c r="GSK37" s="2"/>
      <c r="GSL37" s="2"/>
      <c r="GSM37" s="2"/>
      <c r="GSN37" s="2"/>
      <c r="GSO37" s="2"/>
      <c r="GSP37" s="2"/>
      <c r="GSQ37" s="2"/>
      <c r="GSR37" s="2"/>
      <c r="GSS37" s="2"/>
      <c r="GST37" s="2"/>
      <c r="GSU37" s="2"/>
      <c r="GSV37" s="2"/>
      <c r="GSW37" s="2"/>
      <c r="GSX37" s="2"/>
      <c r="GSY37" s="2"/>
      <c r="GSZ37" s="2"/>
      <c r="GTA37" s="2"/>
      <c r="GTB37" s="2"/>
      <c r="GTC37" s="2"/>
      <c r="GTD37" s="2"/>
      <c r="GTE37" s="2"/>
      <c r="GTF37" s="2"/>
      <c r="GTG37" s="2"/>
      <c r="GTH37" s="2"/>
      <c r="GTI37" s="2"/>
      <c r="GTJ37" s="2"/>
      <c r="GTK37" s="2"/>
      <c r="GTL37" s="2"/>
      <c r="GTM37" s="2"/>
      <c r="GTN37" s="2"/>
      <c r="GTO37" s="2"/>
      <c r="GTP37" s="2"/>
      <c r="GTQ37" s="2"/>
      <c r="GTR37" s="2"/>
      <c r="GTS37" s="2"/>
      <c r="GTT37" s="2"/>
      <c r="GTU37" s="2"/>
      <c r="GTV37" s="2"/>
      <c r="GTW37" s="2"/>
      <c r="GTX37" s="2"/>
      <c r="GTY37" s="2"/>
      <c r="GTZ37" s="2"/>
      <c r="GUA37" s="2"/>
      <c r="GUB37" s="2"/>
      <c r="GUC37" s="2"/>
      <c r="GUD37" s="2"/>
      <c r="GUE37" s="2"/>
      <c r="GUF37" s="2"/>
      <c r="GUG37" s="2"/>
      <c r="GUH37" s="2"/>
      <c r="GUI37" s="2"/>
      <c r="GUJ37" s="2"/>
      <c r="GUK37" s="2"/>
      <c r="GUL37" s="2"/>
      <c r="GUM37" s="2"/>
      <c r="GUN37" s="2"/>
      <c r="GUO37" s="2"/>
      <c r="GUP37" s="2"/>
      <c r="GUQ37" s="2"/>
      <c r="GUR37" s="2"/>
      <c r="GUS37" s="2"/>
      <c r="GUT37" s="2"/>
      <c r="GUU37" s="2"/>
      <c r="GUV37" s="2"/>
      <c r="GUW37" s="2"/>
      <c r="GUX37" s="2"/>
      <c r="GUY37" s="2"/>
      <c r="GUZ37" s="2"/>
      <c r="GVA37" s="2"/>
      <c r="GVB37" s="2"/>
      <c r="GVC37" s="2"/>
      <c r="GVD37" s="2"/>
      <c r="GVE37" s="2"/>
      <c r="GVF37" s="2"/>
      <c r="GVG37" s="2"/>
      <c r="GVH37" s="2"/>
      <c r="GVI37" s="2"/>
      <c r="GVJ37" s="2"/>
      <c r="GVK37" s="2"/>
      <c r="GVL37" s="2"/>
      <c r="GVM37" s="2"/>
      <c r="GVN37" s="2"/>
      <c r="GVO37" s="2"/>
      <c r="GVP37" s="2"/>
      <c r="GVQ37" s="2"/>
      <c r="GVR37" s="2"/>
      <c r="GVS37" s="2"/>
      <c r="GVT37" s="2"/>
      <c r="GVU37" s="2"/>
      <c r="GVV37" s="2"/>
      <c r="GVW37" s="2"/>
      <c r="GVX37" s="2"/>
      <c r="GVY37" s="2"/>
      <c r="GVZ37" s="2"/>
      <c r="GWA37" s="2"/>
      <c r="GWB37" s="2"/>
      <c r="GWC37" s="2"/>
      <c r="GWD37" s="2"/>
      <c r="GWE37" s="2"/>
      <c r="GWF37" s="2"/>
      <c r="GWG37" s="2"/>
      <c r="GWH37" s="2"/>
      <c r="GWI37" s="2"/>
      <c r="GWJ37" s="2"/>
      <c r="GWK37" s="2"/>
      <c r="GWL37" s="2"/>
      <c r="GWM37" s="2"/>
      <c r="GWN37" s="2"/>
      <c r="GWO37" s="2"/>
      <c r="GWP37" s="2"/>
      <c r="GWQ37" s="2"/>
      <c r="GWR37" s="2"/>
      <c r="GWS37" s="2"/>
      <c r="GWT37" s="2"/>
      <c r="GWU37" s="2"/>
      <c r="GWV37" s="2"/>
      <c r="GWW37" s="2"/>
      <c r="GWX37" s="2"/>
      <c r="GWY37" s="2"/>
      <c r="GWZ37" s="2"/>
      <c r="GXA37" s="2"/>
      <c r="GXB37" s="2"/>
      <c r="GXC37" s="2"/>
      <c r="GXD37" s="2"/>
      <c r="GXE37" s="2"/>
      <c r="GXF37" s="2"/>
      <c r="GXG37" s="2"/>
      <c r="GXH37" s="2"/>
      <c r="GXI37" s="2"/>
      <c r="GXJ37" s="2"/>
      <c r="GXK37" s="2"/>
      <c r="GXL37" s="2"/>
      <c r="GXM37" s="2"/>
      <c r="GXN37" s="2"/>
      <c r="GXO37" s="2"/>
      <c r="GXP37" s="2"/>
      <c r="GXQ37" s="2"/>
      <c r="GXR37" s="2"/>
      <c r="GXS37" s="2"/>
      <c r="GXT37" s="2"/>
      <c r="GXU37" s="2"/>
      <c r="GXV37" s="2"/>
      <c r="GXW37" s="2"/>
      <c r="GXX37" s="2"/>
      <c r="GXY37" s="2"/>
      <c r="GXZ37" s="2"/>
      <c r="GYA37" s="2"/>
      <c r="GYB37" s="2"/>
      <c r="GYC37" s="2"/>
      <c r="GYD37" s="2"/>
      <c r="GYE37" s="2"/>
      <c r="GYF37" s="2"/>
      <c r="GYG37" s="2"/>
      <c r="GYH37" s="2"/>
      <c r="GYI37" s="2"/>
      <c r="GYJ37" s="2"/>
      <c r="GYK37" s="2"/>
      <c r="GYL37" s="2"/>
      <c r="GYM37" s="2"/>
      <c r="GYN37" s="2"/>
      <c r="GYO37" s="2"/>
      <c r="GYP37" s="2"/>
      <c r="GYQ37" s="2"/>
      <c r="GYR37" s="2"/>
      <c r="GYS37" s="2"/>
      <c r="GYT37" s="2"/>
      <c r="GYU37" s="2"/>
      <c r="GYV37" s="2"/>
      <c r="GYW37" s="2"/>
      <c r="GYX37" s="2"/>
      <c r="GYY37" s="2"/>
      <c r="GYZ37" s="2"/>
      <c r="GZA37" s="2"/>
      <c r="GZB37" s="2"/>
      <c r="GZC37" s="2"/>
      <c r="GZD37" s="2"/>
      <c r="GZE37" s="2"/>
      <c r="GZF37" s="2"/>
      <c r="GZG37" s="2"/>
      <c r="GZH37" s="2"/>
      <c r="GZI37" s="2"/>
      <c r="GZJ37" s="2"/>
      <c r="GZK37" s="2"/>
      <c r="GZL37" s="2"/>
      <c r="GZM37" s="2"/>
      <c r="GZN37" s="2"/>
      <c r="GZO37" s="2"/>
      <c r="GZP37" s="2"/>
      <c r="GZQ37" s="2"/>
      <c r="GZR37" s="2"/>
      <c r="GZS37" s="2"/>
      <c r="GZT37" s="2"/>
      <c r="GZU37" s="2"/>
      <c r="GZV37" s="2"/>
      <c r="GZW37" s="2"/>
      <c r="GZX37" s="2"/>
      <c r="GZY37" s="2"/>
      <c r="GZZ37" s="2"/>
      <c r="HAA37" s="2"/>
      <c r="HAB37" s="2"/>
      <c r="HAC37" s="2"/>
      <c r="HAD37" s="2"/>
      <c r="HAE37" s="2"/>
      <c r="HAF37" s="2"/>
      <c r="HAG37" s="2"/>
      <c r="HAH37" s="2"/>
      <c r="HAI37" s="2"/>
      <c r="HAJ37" s="2"/>
      <c r="HAK37" s="2"/>
      <c r="HAL37" s="2"/>
      <c r="HAM37" s="2"/>
      <c r="HAN37" s="2"/>
      <c r="HAO37" s="2"/>
      <c r="HAP37" s="2"/>
      <c r="HAQ37" s="2"/>
      <c r="HAR37" s="2"/>
      <c r="HAS37" s="2"/>
      <c r="HAT37" s="2"/>
      <c r="HAU37" s="2"/>
      <c r="HAV37" s="2"/>
      <c r="HAW37" s="2"/>
      <c r="HAX37" s="2"/>
      <c r="HAY37" s="2"/>
      <c r="HAZ37" s="2"/>
      <c r="HBA37" s="2"/>
      <c r="HBB37" s="2"/>
      <c r="HBC37" s="2"/>
      <c r="HBD37" s="2"/>
      <c r="HBE37" s="2"/>
      <c r="HBF37" s="2"/>
      <c r="HBG37" s="2"/>
      <c r="HBH37" s="2"/>
      <c r="HBI37" s="2"/>
      <c r="HBJ37" s="2"/>
      <c r="HBK37" s="2"/>
      <c r="HBL37" s="2"/>
      <c r="HBM37" s="2"/>
      <c r="HBN37" s="2"/>
      <c r="HBO37" s="2"/>
      <c r="HBP37" s="2"/>
      <c r="HBQ37" s="2"/>
      <c r="HBR37" s="2"/>
      <c r="HBS37" s="2"/>
      <c r="HBT37" s="2"/>
      <c r="HBU37" s="2"/>
      <c r="HBV37" s="2"/>
      <c r="HBW37" s="2"/>
      <c r="HBX37" s="2"/>
      <c r="HBY37" s="2"/>
      <c r="HBZ37" s="2"/>
      <c r="HCA37" s="2"/>
      <c r="HCB37" s="2"/>
      <c r="HCC37" s="2"/>
      <c r="HCD37" s="2"/>
      <c r="HCE37" s="2"/>
      <c r="HCF37" s="2"/>
      <c r="HCG37" s="2"/>
      <c r="HCH37" s="2"/>
      <c r="HCI37" s="2"/>
      <c r="HCJ37" s="2"/>
      <c r="HCK37" s="2"/>
      <c r="HCL37" s="2"/>
      <c r="HCM37" s="2"/>
      <c r="HCN37" s="2"/>
      <c r="HCO37" s="2"/>
      <c r="HCP37" s="2"/>
      <c r="HCQ37" s="2"/>
      <c r="HCR37" s="2"/>
      <c r="HCS37" s="2"/>
      <c r="HCT37" s="2"/>
      <c r="HCU37" s="2"/>
      <c r="HCV37" s="2"/>
      <c r="HCW37" s="2"/>
      <c r="HCX37" s="2"/>
      <c r="HCY37" s="2"/>
      <c r="HCZ37" s="2"/>
      <c r="HDA37" s="2"/>
      <c r="HDB37" s="2"/>
      <c r="HDC37" s="2"/>
      <c r="HDD37" s="2"/>
      <c r="HDE37" s="2"/>
      <c r="HDF37" s="2"/>
      <c r="HDG37" s="2"/>
      <c r="HDH37" s="2"/>
      <c r="HDI37" s="2"/>
      <c r="HDJ37" s="2"/>
      <c r="HDK37" s="2"/>
      <c r="HDL37" s="2"/>
      <c r="HDM37" s="2"/>
      <c r="HDN37" s="2"/>
      <c r="HDO37" s="2"/>
      <c r="HDP37" s="2"/>
      <c r="HDQ37" s="2"/>
      <c r="HDR37" s="2"/>
      <c r="HDS37" s="2"/>
      <c r="HDT37" s="2"/>
      <c r="HDU37" s="2"/>
      <c r="HDV37" s="2"/>
      <c r="HDW37" s="2"/>
      <c r="HDX37" s="2"/>
      <c r="HDY37" s="2"/>
      <c r="HDZ37" s="2"/>
      <c r="HEA37" s="2"/>
      <c r="HEB37" s="2"/>
      <c r="HEC37" s="2"/>
      <c r="HED37" s="2"/>
      <c r="HEE37" s="2"/>
      <c r="HEF37" s="2"/>
      <c r="HEG37" s="2"/>
      <c r="HEH37" s="2"/>
      <c r="HEI37" s="2"/>
      <c r="HEJ37" s="2"/>
      <c r="HEK37" s="2"/>
      <c r="HEL37" s="2"/>
      <c r="HEM37" s="2"/>
      <c r="HEN37" s="2"/>
      <c r="HEO37" s="2"/>
      <c r="HEP37" s="2"/>
      <c r="HEQ37" s="2"/>
      <c r="HER37" s="2"/>
      <c r="HES37" s="2"/>
      <c r="HET37" s="2"/>
      <c r="HEU37" s="2"/>
      <c r="HEV37" s="2"/>
      <c r="HEW37" s="2"/>
      <c r="HEX37" s="2"/>
      <c r="HEY37" s="2"/>
      <c r="HEZ37" s="2"/>
      <c r="HFA37" s="2"/>
      <c r="HFB37" s="2"/>
      <c r="HFC37" s="2"/>
      <c r="HFD37" s="2"/>
      <c r="HFE37" s="2"/>
      <c r="HFF37" s="2"/>
      <c r="HFG37" s="2"/>
      <c r="HFH37" s="2"/>
      <c r="HFI37" s="2"/>
      <c r="HFJ37" s="2"/>
      <c r="HFK37" s="2"/>
      <c r="HFL37" s="2"/>
      <c r="HFM37" s="2"/>
      <c r="HFN37" s="2"/>
      <c r="HFO37" s="2"/>
      <c r="HFP37" s="2"/>
      <c r="HFQ37" s="2"/>
      <c r="HFR37" s="2"/>
      <c r="HFS37" s="2"/>
      <c r="HFT37" s="2"/>
      <c r="HFU37" s="2"/>
      <c r="HFV37" s="2"/>
      <c r="HFW37" s="2"/>
      <c r="HFX37" s="2"/>
      <c r="HFY37" s="2"/>
      <c r="HFZ37" s="2"/>
      <c r="HGA37" s="2"/>
      <c r="HGB37" s="2"/>
      <c r="HGC37" s="2"/>
      <c r="HGD37" s="2"/>
      <c r="HGE37" s="2"/>
      <c r="HGF37" s="2"/>
      <c r="HGG37" s="2"/>
      <c r="HGH37" s="2"/>
      <c r="HGI37" s="2"/>
      <c r="HGJ37" s="2"/>
      <c r="HGK37" s="2"/>
      <c r="HGL37" s="2"/>
      <c r="HGM37" s="2"/>
      <c r="HGN37" s="2"/>
      <c r="HGO37" s="2"/>
      <c r="HGP37" s="2"/>
      <c r="HGQ37" s="2"/>
      <c r="HGR37" s="2"/>
      <c r="HGS37" s="2"/>
      <c r="HGT37" s="2"/>
      <c r="HGU37" s="2"/>
      <c r="HGV37" s="2"/>
      <c r="HGW37" s="2"/>
      <c r="HGX37" s="2"/>
      <c r="HGY37" s="2"/>
      <c r="HGZ37" s="2"/>
      <c r="HHA37" s="2"/>
      <c r="HHB37" s="2"/>
      <c r="HHC37" s="2"/>
      <c r="HHD37" s="2"/>
      <c r="HHE37" s="2"/>
      <c r="HHF37" s="2"/>
      <c r="HHG37" s="2"/>
      <c r="HHH37" s="2"/>
      <c r="HHI37" s="2"/>
      <c r="HHJ37" s="2"/>
      <c r="HHK37" s="2"/>
      <c r="HHL37" s="2"/>
      <c r="HHM37" s="2"/>
      <c r="HHN37" s="2"/>
      <c r="HHO37" s="2"/>
      <c r="HHP37" s="2"/>
      <c r="HHQ37" s="2"/>
      <c r="HHR37" s="2"/>
      <c r="HHS37" s="2"/>
      <c r="HHT37" s="2"/>
      <c r="HHU37" s="2"/>
      <c r="HHV37" s="2"/>
      <c r="HHW37" s="2"/>
      <c r="HHX37" s="2"/>
      <c r="HHY37" s="2"/>
      <c r="HHZ37" s="2"/>
      <c r="HIA37" s="2"/>
      <c r="HIB37" s="2"/>
      <c r="HIC37" s="2"/>
      <c r="HID37" s="2"/>
      <c r="HIE37" s="2"/>
      <c r="HIF37" s="2"/>
      <c r="HIG37" s="2"/>
      <c r="HIH37" s="2"/>
      <c r="HII37" s="2"/>
      <c r="HIJ37" s="2"/>
      <c r="HIK37" s="2"/>
      <c r="HIL37" s="2"/>
      <c r="HIM37" s="2"/>
      <c r="HIN37" s="2"/>
      <c r="HIO37" s="2"/>
      <c r="HIP37" s="2"/>
      <c r="HIQ37" s="2"/>
      <c r="HIR37" s="2"/>
      <c r="HIS37" s="2"/>
      <c r="HIT37" s="2"/>
      <c r="HIU37" s="2"/>
      <c r="HIV37" s="2"/>
      <c r="HIW37" s="2"/>
      <c r="HIX37" s="2"/>
      <c r="HIY37" s="2"/>
      <c r="HIZ37" s="2"/>
      <c r="HJA37" s="2"/>
      <c r="HJB37" s="2"/>
      <c r="HJC37" s="2"/>
      <c r="HJD37" s="2"/>
      <c r="HJE37" s="2"/>
      <c r="HJF37" s="2"/>
      <c r="HJG37" s="2"/>
      <c r="HJH37" s="2"/>
      <c r="HJI37" s="2"/>
      <c r="HJJ37" s="2"/>
      <c r="HJK37" s="2"/>
      <c r="HJL37" s="2"/>
      <c r="HJM37" s="2"/>
      <c r="HJN37" s="2"/>
      <c r="HJO37" s="2"/>
      <c r="HJP37" s="2"/>
      <c r="HJQ37" s="2"/>
      <c r="HJR37" s="2"/>
      <c r="HJS37" s="2"/>
      <c r="HJT37" s="2"/>
      <c r="HJU37" s="2"/>
      <c r="HJV37" s="2"/>
      <c r="HJW37" s="2"/>
      <c r="HJX37" s="2"/>
      <c r="HJY37" s="2"/>
      <c r="HJZ37" s="2"/>
      <c r="HKA37" s="2"/>
      <c r="HKB37" s="2"/>
      <c r="HKC37" s="2"/>
      <c r="HKD37" s="2"/>
      <c r="HKE37" s="2"/>
      <c r="HKF37" s="2"/>
      <c r="HKG37" s="2"/>
      <c r="HKH37" s="2"/>
      <c r="HKI37" s="2"/>
      <c r="HKJ37" s="2"/>
      <c r="HKK37" s="2"/>
      <c r="HKL37" s="2"/>
      <c r="HKM37" s="2"/>
      <c r="HKN37" s="2"/>
      <c r="HKO37" s="2"/>
      <c r="HKP37" s="2"/>
      <c r="HKQ37" s="2"/>
      <c r="HKR37" s="2"/>
      <c r="HKS37" s="2"/>
      <c r="HKT37" s="2"/>
      <c r="HKU37" s="2"/>
      <c r="HKV37" s="2"/>
      <c r="HKW37" s="2"/>
      <c r="HKX37" s="2"/>
      <c r="HKY37" s="2"/>
      <c r="HKZ37" s="2"/>
      <c r="HLA37" s="2"/>
      <c r="HLB37" s="2"/>
      <c r="HLC37" s="2"/>
      <c r="HLD37" s="2"/>
      <c r="HLE37" s="2"/>
      <c r="HLF37" s="2"/>
      <c r="HLG37" s="2"/>
      <c r="HLH37" s="2"/>
      <c r="HLI37" s="2"/>
      <c r="HLJ37" s="2"/>
      <c r="HLK37" s="2"/>
      <c r="HLL37" s="2"/>
      <c r="HLM37" s="2"/>
      <c r="HLN37" s="2"/>
      <c r="HLO37" s="2"/>
      <c r="HLP37" s="2"/>
      <c r="HLQ37" s="2"/>
      <c r="HLR37" s="2"/>
      <c r="HLS37" s="2"/>
      <c r="HLT37" s="2"/>
      <c r="HLU37" s="2"/>
      <c r="HLV37" s="2"/>
      <c r="HLW37" s="2"/>
      <c r="HLX37" s="2"/>
      <c r="HLY37" s="2"/>
      <c r="HLZ37" s="2"/>
      <c r="HMA37" s="2"/>
      <c r="HMB37" s="2"/>
      <c r="HMC37" s="2"/>
      <c r="HMD37" s="2"/>
      <c r="HME37" s="2"/>
      <c r="HMF37" s="2"/>
      <c r="HMG37" s="2"/>
      <c r="HMH37" s="2"/>
      <c r="HMI37" s="2"/>
      <c r="HMJ37" s="2"/>
      <c r="HMK37" s="2"/>
      <c r="HML37" s="2"/>
      <c r="HMM37" s="2"/>
      <c r="HMN37" s="2"/>
      <c r="HMO37" s="2"/>
      <c r="HMP37" s="2"/>
      <c r="HMQ37" s="2"/>
      <c r="HMR37" s="2"/>
      <c r="HMS37" s="2"/>
      <c r="HMT37" s="2"/>
      <c r="HMU37" s="2"/>
      <c r="HMV37" s="2"/>
      <c r="HMW37" s="2"/>
      <c r="HMX37" s="2"/>
      <c r="HMY37" s="2"/>
      <c r="HMZ37" s="2"/>
      <c r="HNA37" s="2"/>
      <c r="HNB37" s="2"/>
      <c r="HNC37" s="2"/>
      <c r="HND37" s="2"/>
      <c r="HNE37" s="2"/>
      <c r="HNF37" s="2"/>
      <c r="HNG37" s="2"/>
      <c r="HNH37" s="2"/>
      <c r="HNI37" s="2"/>
      <c r="HNJ37" s="2"/>
      <c r="HNK37" s="2"/>
      <c r="HNL37" s="2"/>
      <c r="HNM37" s="2"/>
      <c r="HNN37" s="2"/>
      <c r="HNO37" s="2"/>
      <c r="HNP37" s="2"/>
      <c r="HNQ37" s="2"/>
      <c r="HNR37" s="2"/>
      <c r="HNS37" s="2"/>
      <c r="HNT37" s="2"/>
      <c r="HNU37" s="2"/>
      <c r="HNV37" s="2"/>
      <c r="HNW37" s="2"/>
      <c r="HNX37" s="2"/>
      <c r="HNY37" s="2"/>
      <c r="HNZ37" s="2"/>
      <c r="HOA37" s="2"/>
      <c r="HOB37" s="2"/>
      <c r="HOC37" s="2"/>
      <c r="HOD37" s="2"/>
      <c r="HOE37" s="2"/>
      <c r="HOF37" s="2"/>
      <c r="HOG37" s="2"/>
      <c r="HOH37" s="2"/>
      <c r="HOI37" s="2"/>
      <c r="HOJ37" s="2"/>
      <c r="HOK37" s="2"/>
      <c r="HOL37" s="2"/>
      <c r="HOM37" s="2"/>
      <c r="HON37" s="2"/>
      <c r="HOO37" s="2"/>
      <c r="HOP37" s="2"/>
      <c r="HOQ37" s="2"/>
      <c r="HOR37" s="2"/>
      <c r="HOS37" s="2"/>
      <c r="HOT37" s="2"/>
      <c r="HOU37" s="2"/>
      <c r="HOV37" s="2"/>
      <c r="HOW37" s="2"/>
      <c r="HOX37" s="2"/>
      <c r="HOY37" s="2"/>
      <c r="HOZ37" s="2"/>
      <c r="HPA37" s="2"/>
      <c r="HPB37" s="2"/>
      <c r="HPC37" s="2"/>
      <c r="HPD37" s="2"/>
      <c r="HPE37" s="2"/>
      <c r="HPF37" s="2"/>
      <c r="HPG37" s="2"/>
      <c r="HPH37" s="2"/>
      <c r="HPI37" s="2"/>
      <c r="HPJ37" s="2"/>
      <c r="HPK37" s="2"/>
      <c r="HPL37" s="2"/>
      <c r="HPM37" s="2"/>
      <c r="HPN37" s="2"/>
      <c r="HPO37" s="2"/>
      <c r="HPP37" s="2"/>
      <c r="HPQ37" s="2"/>
      <c r="HPR37" s="2"/>
      <c r="HPS37" s="2"/>
      <c r="HPT37" s="2"/>
      <c r="HPU37" s="2"/>
      <c r="HPV37" s="2"/>
      <c r="HPW37" s="2"/>
      <c r="HPX37" s="2"/>
      <c r="HPY37" s="2"/>
      <c r="HPZ37" s="2"/>
      <c r="HQA37" s="2"/>
      <c r="HQB37" s="2"/>
      <c r="HQC37" s="2"/>
      <c r="HQD37" s="2"/>
      <c r="HQE37" s="2"/>
      <c r="HQF37" s="2"/>
      <c r="HQG37" s="2"/>
      <c r="HQH37" s="2"/>
      <c r="HQI37" s="2"/>
      <c r="HQJ37" s="2"/>
      <c r="HQK37" s="2"/>
      <c r="HQL37" s="2"/>
      <c r="HQM37" s="2"/>
      <c r="HQN37" s="2"/>
      <c r="HQO37" s="2"/>
      <c r="HQP37" s="2"/>
      <c r="HQQ37" s="2"/>
      <c r="HQR37" s="2"/>
      <c r="HQS37" s="2"/>
      <c r="HQT37" s="2"/>
      <c r="HQU37" s="2"/>
      <c r="HQV37" s="2"/>
      <c r="HQW37" s="2"/>
      <c r="HQX37" s="2"/>
      <c r="HQY37" s="2"/>
      <c r="HQZ37" s="2"/>
      <c r="HRA37" s="2"/>
      <c r="HRB37" s="2"/>
      <c r="HRC37" s="2"/>
      <c r="HRD37" s="2"/>
      <c r="HRE37" s="2"/>
      <c r="HRF37" s="2"/>
      <c r="HRG37" s="2"/>
      <c r="HRH37" s="2"/>
      <c r="HRI37" s="2"/>
      <c r="HRJ37" s="2"/>
      <c r="HRK37" s="2"/>
      <c r="HRL37" s="2"/>
      <c r="HRM37" s="2"/>
      <c r="HRN37" s="2"/>
      <c r="HRO37" s="2"/>
      <c r="HRP37" s="2"/>
      <c r="HRQ37" s="2"/>
      <c r="HRR37" s="2"/>
      <c r="HRS37" s="2"/>
      <c r="HRT37" s="2"/>
      <c r="HRU37" s="2"/>
      <c r="HRV37" s="2"/>
      <c r="HRW37" s="2"/>
      <c r="HRX37" s="2"/>
      <c r="HRY37" s="2"/>
      <c r="HRZ37" s="2"/>
      <c r="HSA37" s="2"/>
      <c r="HSB37" s="2"/>
      <c r="HSC37" s="2"/>
      <c r="HSD37" s="2"/>
      <c r="HSE37" s="2"/>
      <c r="HSF37" s="2"/>
      <c r="HSG37" s="2"/>
      <c r="HSH37" s="2"/>
      <c r="HSI37" s="2"/>
      <c r="HSJ37" s="2"/>
      <c r="HSK37" s="2"/>
      <c r="HSL37" s="2"/>
      <c r="HSM37" s="2"/>
      <c r="HSN37" s="2"/>
      <c r="HSO37" s="2"/>
      <c r="HSP37" s="2"/>
      <c r="HSQ37" s="2"/>
      <c r="HSR37" s="2"/>
      <c r="HSS37" s="2"/>
      <c r="HST37" s="2"/>
      <c r="HSU37" s="2"/>
      <c r="HSV37" s="2"/>
      <c r="HSW37" s="2"/>
      <c r="HSX37" s="2"/>
      <c r="HSY37" s="2"/>
      <c r="HSZ37" s="2"/>
      <c r="HTA37" s="2"/>
      <c r="HTB37" s="2"/>
      <c r="HTC37" s="2"/>
      <c r="HTD37" s="2"/>
      <c r="HTE37" s="2"/>
      <c r="HTF37" s="2"/>
      <c r="HTG37" s="2"/>
      <c r="HTH37" s="2"/>
      <c r="HTI37" s="2"/>
      <c r="HTJ37" s="2"/>
      <c r="HTK37" s="2"/>
      <c r="HTL37" s="2"/>
      <c r="HTM37" s="2"/>
      <c r="HTN37" s="2"/>
      <c r="HTO37" s="2"/>
      <c r="HTP37" s="2"/>
      <c r="HTQ37" s="2"/>
      <c r="HTR37" s="2"/>
      <c r="HTS37" s="2"/>
      <c r="HTT37" s="2"/>
      <c r="HTU37" s="2"/>
      <c r="HTV37" s="2"/>
      <c r="HTW37" s="2"/>
      <c r="HTX37" s="2"/>
      <c r="HTY37" s="2"/>
      <c r="HTZ37" s="2"/>
      <c r="HUA37" s="2"/>
      <c r="HUB37" s="2"/>
      <c r="HUC37" s="2"/>
      <c r="HUD37" s="2"/>
      <c r="HUE37" s="2"/>
      <c r="HUF37" s="2"/>
      <c r="HUG37" s="2"/>
      <c r="HUH37" s="2"/>
      <c r="HUI37" s="2"/>
      <c r="HUJ37" s="2"/>
      <c r="HUK37" s="2"/>
      <c r="HUL37" s="2"/>
      <c r="HUM37" s="2"/>
      <c r="HUN37" s="2"/>
      <c r="HUO37" s="2"/>
      <c r="HUP37" s="2"/>
      <c r="HUQ37" s="2"/>
      <c r="HUR37" s="2"/>
      <c r="HUS37" s="2"/>
      <c r="HUT37" s="2"/>
      <c r="HUU37" s="2"/>
      <c r="HUV37" s="2"/>
      <c r="HUW37" s="2"/>
      <c r="HUX37" s="2"/>
      <c r="HUY37" s="2"/>
      <c r="HUZ37" s="2"/>
      <c r="HVA37" s="2"/>
      <c r="HVB37" s="2"/>
      <c r="HVC37" s="2"/>
      <c r="HVD37" s="2"/>
      <c r="HVE37" s="2"/>
      <c r="HVF37" s="2"/>
      <c r="HVG37" s="2"/>
      <c r="HVH37" s="2"/>
      <c r="HVI37" s="2"/>
      <c r="HVJ37" s="2"/>
      <c r="HVK37" s="2"/>
      <c r="HVL37" s="2"/>
      <c r="HVM37" s="2"/>
      <c r="HVN37" s="2"/>
      <c r="HVO37" s="2"/>
      <c r="HVP37" s="2"/>
      <c r="HVQ37" s="2"/>
      <c r="HVR37" s="2"/>
      <c r="HVS37" s="2"/>
      <c r="HVT37" s="2"/>
      <c r="HVU37" s="2"/>
      <c r="HVV37" s="2"/>
      <c r="HVW37" s="2"/>
      <c r="HVX37" s="2"/>
      <c r="HVY37" s="2"/>
      <c r="HVZ37" s="2"/>
      <c r="HWA37" s="2"/>
      <c r="HWB37" s="2"/>
      <c r="HWC37" s="2"/>
      <c r="HWD37" s="2"/>
      <c r="HWE37" s="2"/>
      <c r="HWF37" s="2"/>
      <c r="HWG37" s="2"/>
      <c r="HWH37" s="2"/>
      <c r="HWI37" s="2"/>
      <c r="HWJ37" s="2"/>
      <c r="HWK37" s="2"/>
      <c r="HWL37" s="2"/>
      <c r="HWM37" s="2"/>
      <c r="HWN37" s="2"/>
      <c r="HWO37" s="2"/>
      <c r="HWP37" s="2"/>
      <c r="HWQ37" s="2"/>
      <c r="HWR37" s="2"/>
      <c r="HWS37" s="2"/>
      <c r="HWT37" s="2"/>
      <c r="HWU37" s="2"/>
      <c r="HWV37" s="2"/>
      <c r="HWW37" s="2"/>
      <c r="HWX37" s="2"/>
      <c r="HWY37" s="2"/>
      <c r="HWZ37" s="2"/>
      <c r="HXA37" s="2"/>
      <c r="HXB37" s="2"/>
      <c r="HXC37" s="2"/>
      <c r="HXD37" s="2"/>
      <c r="HXE37" s="2"/>
      <c r="HXF37" s="2"/>
      <c r="HXG37" s="2"/>
      <c r="HXH37" s="2"/>
      <c r="HXI37" s="2"/>
      <c r="HXJ37" s="2"/>
      <c r="HXK37" s="2"/>
      <c r="HXL37" s="2"/>
      <c r="HXM37" s="2"/>
      <c r="HXN37" s="2"/>
      <c r="HXO37" s="2"/>
      <c r="HXP37" s="2"/>
      <c r="HXQ37" s="2"/>
      <c r="HXR37" s="2"/>
      <c r="HXS37" s="2"/>
      <c r="HXT37" s="2"/>
      <c r="HXU37" s="2"/>
      <c r="HXV37" s="2"/>
      <c r="HXW37" s="2"/>
      <c r="HXX37" s="2"/>
      <c r="HXY37" s="2"/>
      <c r="HXZ37" s="2"/>
      <c r="HYA37" s="2"/>
      <c r="HYB37" s="2"/>
      <c r="HYC37" s="2"/>
      <c r="HYD37" s="2"/>
      <c r="HYE37" s="2"/>
      <c r="HYF37" s="2"/>
      <c r="HYG37" s="2"/>
      <c r="HYH37" s="2"/>
      <c r="HYI37" s="2"/>
      <c r="HYJ37" s="2"/>
      <c r="HYK37" s="2"/>
      <c r="HYL37" s="2"/>
      <c r="HYM37" s="2"/>
      <c r="HYN37" s="2"/>
      <c r="HYO37" s="2"/>
      <c r="HYP37" s="2"/>
      <c r="HYQ37" s="2"/>
      <c r="HYR37" s="2"/>
      <c r="HYS37" s="2"/>
      <c r="HYT37" s="2"/>
      <c r="HYU37" s="2"/>
      <c r="HYV37" s="2"/>
      <c r="HYW37" s="2"/>
      <c r="HYX37" s="2"/>
      <c r="HYY37" s="2"/>
      <c r="HYZ37" s="2"/>
      <c r="HZA37" s="2"/>
      <c r="HZB37" s="2"/>
      <c r="HZC37" s="2"/>
      <c r="HZD37" s="2"/>
      <c r="HZE37" s="2"/>
      <c r="HZF37" s="2"/>
      <c r="HZG37" s="2"/>
      <c r="HZH37" s="2"/>
      <c r="HZI37" s="2"/>
      <c r="HZJ37" s="2"/>
      <c r="HZK37" s="2"/>
      <c r="HZL37" s="2"/>
      <c r="HZM37" s="2"/>
      <c r="HZN37" s="2"/>
      <c r="HZO37" s="2"/>
      <c r="HZP37" s="2"/>
      <c r="HZQ37" s="2"/>
      <c r="HZR37" s="2"/>
      <c r="HZS37" s="2"/>
      <c r="HZT37" s="2"/>
      <c r="HZU37" s="2"/>
      <c r="HZV37" s="2"/>
      <c r="HZW37" s="2"/>
      <c r="HZX37" s="2"/>
      <c r="HZY37" s="2"/>
      <c r="HZZ37" s="2"/>
      <c r="IAA37" s="2"/>
      <c r="IAB37" s="2"/>
      <c r="IAC37" s="2"/>
      <c r="IAD37" s="2"/>
      <c r="IAE37" s="2"/>
      <c r="IAF37" s="2"/>
      <c r="IAG37" s="2"/>
      <c r="IAH37" s="2"/>
      <c r="IAI37" s="2"/>
      <c r="IAJ37" s="2"/>
      <c r="IAK37" s="2"/>
      <c r="IAL37" s="2"/>
      <c r="IAM37" s="2"/>
      <c r="IAN37" s="2"/>
      <c r="IAO37" s="2"/>
      <c r="IAP37" s="2"/>
      <c r="IAQ37" s="2"/>
      <c r="IAR37" s="2"/>
      <c r="IAS37" s="2"/>
      <c r="IAT37" s="2"/>
      <c r="IAU37" s="2"/>
      <c r="IAV37" s="2"/>
      <c r="IAW37" s="2"/>
      <c r="IAX37" s="2"/>
      <c r="IAY37" s="2"/>
      <c r="IAZ37" s="2"/>
      <c r="IBA37" s="2"/>
      <c r="IBB37" s="2"/>
      <c r="IBC37" s="2"/>
      <c r="IBD37" s="2"/>
      <c r="IBE37" s="2"/>
      <c r="IBF37" s="2"/>
      <c r="IBG37" s="2"/>
      <c r="IBH37" s="2"/>
      <c r="IBI37" s="2"/>
      <c r="IBJ37" s="2"/>
      <c r="IBK37" s="2"/>
      <c r="IBL37" s="2"/>
      <c r="IBM37" s="2"/>
      <c r="IBN37" s="2"/>
      <c r="IBO37" s="2"/>
      <c r="IBP37" s="2"/>
      <c r="IBQ37" s="2"/>
      <c r="IBR37" s="2"/>
      <c r="IBS37" s="2"/>
      <c r="IBT37" s="2"/>
      <c r="IBU37" s="2"/>
      <c r="IBV37" s="2"/>
      <c r="IBW37" s="2"/>
      <c r="IBX37" s="2"/>
      <c r="IBY37" s="2"/>
      <c r="IBZ37" s="2"/>
      <c r="ICA37" s="2"/>
      <c r="ICB37" s="2"/>
      <c r="ICC37" s="2"/>
      <c r="ICD37" s="2"/>
      <c r="ICE37" s="2"/>
      <c r="ICF37" s="2"/>
      <c r="ICG37" s="2"/>
      <c r="ICH37" s="2"/>
      <c r="ICI37" s="2"/>
      <c r="ICJ37" s="2"/>
      <c r="ICK37" s="2"/>
      <c r="ICL37" s="2"/>
      <c r="ICM37" s="2"/>
      <c r="ICN37" s="2"/>
      <c r="ICO37" s="2"/>
      <c r="ICP37" s="2"/>
      <c r="ICQ37" s="2"/>
      <c r="ICR37" s="2"/>
      <c r="ICS37" s="2"/>
      <c r="ICT37" s="2"/>
      <c r="ICU37" s="2"/>
      <c r="ICV37" s="2"/>
      <c r="ICW37" s="2"/>
      <c r="ICX37" s="2"/>
      <c r="ICY37" s="2"/>
      <c r="ICZ37" s="2"/>
      <c r="IDA37" s="2"/>
      <c r="IDB37" s="2"/>
      <c r="IDC37" s="2"/>
      <c r="IDD37" s="2"/>
      <c r="IDE37" s="2"/>
      <c r="IDF37" s="2"/>
      <c r="IDG37" s="2"/>
      <c r="IDH37" s="2"/>
      <c r="IDI37" s="2"/>
      <c r="IDJ37" s="2"/>
      <c r="IDK37" s="2"/>
      <c r="IDL37" s="2"/>
      <c r="IDM37" s="2"/>
      <c r="IDN37" s="2"/>
      <c r="IDO37" s="2"/>
      <c r="IDP37" s="2"/>
      <c r="IDQ37" s="2"/>
      <c r="IDR37" s="2"/>
      <c r="IDS37" s="2"/>
      <c r="IDT37" s="2"/>
      <c r="IDU37" s="2"/>
      <c r="IDV37" s="2"/>
      <c r="IDW37" s="2"/>
      <c r="IDX37" s="2"/>
      <c r="IDY37" s="2"/>
      <c r="IDZ37" s="2"/>
      <c r="IEA37" s="2"/>
      <c r="IEB37" s="2"/>
      <c r="IEC37" s="2"/>
      <c r="IED37" s="2"/>
      <c r="IEE37" s="2"/>
      <c r="IEF37" s="2"/>
      <c r="IEG37" s="2"/>
      <c r="IEH37" s="2"/>
      <c r="IEI37" s="2"/>
      <c r="IEJ37" s="2"/>
      <c r="IEK37" s="2"/>
      <c r="IEL37" s="2"/>
      <c r="IEM37" s="2"/>
      <c r="IEN37" s="2"/>
      <c r="IEO37" s="2"/>
      <c r="IEP37" s="2"/>
      <c r="IEQ37" s="2"/>
      <c r="IER37" s="2"/>
      <c r="IES37" s="2"/>
      <c r="IET37" s="2"/>
      <c r="IEU37" s="2"/>
      <c r="IEV37" s="2"/>
      <c r="IEW37" s="2"/>
      <c r="IEX37" s="2"/>
      <c r="IEY37" s="2"/>
      <c r="IEZ37" s="2"/>
      <c r="IFA37" s="2"/>
      <c r="IFB37" s="2"/>
      <c r="IFC37" s="2"/>
      <c r="IFD37" s="2"/>
      <c r="IFE37" s="2"/>
      <c r="IFF37" s="2"/>
      <c r="IFG37" s="2"/>
      <c r="IFH37" s="2"/>
      <c r="IFI37" s="2"/>
      <c r="IFJ37" s="2"/>
      <c r="IFK37" s="2"/>
      <c r="IFL37" s="2"/>
      <c r="IFM37" s="2"/>
      <c r="IFN37" s="2"/>
      <c r="IFO37" s="2"/>
      <c r="IFP37" s="2"/>
      <c r="IFQ37" s="2"/>
      <c r="IFR37" s="2"/>
      <c r="IFS37" s="2"/>
      <c r="IFT37" s="2"/>
      <c r="IFU37" s="2"/>
      <c r="IFV37" s="2"/>
      <c r="IFW37" s="2"/>
      <c r="IFX37" s="2"/>
      <c r="IFY37" s="2"/>
      <c r="IFZ37" s="2"/>
      <c r="IGA37" s="2"/>
      <c r="IGB37" s="2"/>
      <c r="IGC37" s="2"/>
      <c r="IGD37" s="2"/>
      <c r="IGE37" s="2"/>
      <c r="IGF37" s="2"/>
      <c r="IGG37" s="2"/>
      <c r="IGH37" s="2"/>
      <c r="IGI37" s="2"/>
      <c r="IGJ37" s="2"/>
      <c r="IGK37" s="2"/>
      <c r="IGL37" s="2"/>
      <c r="IGM37" s="2"/>
      <c r="IGN37" s="2"/>
      <c r="IGO37" s="2"/>
      <c r="IGP37" s="2"/>
      <c r="IGQ37" s="2"/>
      <c r="IGR37" s="2"/>
      <c r="IGS37" s="2"/>
      <c r="IGT37" s="2"/>
      <c r="IGU37" s="2"/>
      <c r="IGV37" s="2"/>
      <c r="IGW37" s="2"/>
      <c r="IGX37" s="2"/>
      <c r="IGY37" s="2"/>
      <c r="IGZ37" s="2"/>
      <c r="IHA37" s="2"/>
      <c r="IHB37" s="2"/>
      <c r="IHC37" s="2"/>
      <c r="IHD37" s="2"/>
      <c r="IHE37" s="2"/>
      <c r="IHF37" s="2"/>
      <c r="IHG37" s="2"/>
      <c r="IHH37" s="2"/>
      <c r="IHI37" s="2"/>
      <c r="IHJ37" s="2"/>
      <c r="IHK37" s="2"/>
      <c r="IHL37" s="2"/>
      <c r="IHM37" s="2"/>
      <c r="IHN37" s="2"/>
      <c r="IHO37" s="2"/>
      <c r="IHP37" s="2"/>
      <c r="IHQ37" s="2"/>
      <c r="IHR37" s="2"/>
      <c r="IHS37" s="2"/>
      <c r="IHT37" s="2"/>
      <c r="IHU37" s="2"/>
      <c r="IHV37" s="2"/>
      <c r="IHW37" s="2"/>
      <c r="IHX37" s="2"/>
      <c r="IHY37" s="2"/>
      <c r="IHZ37" s="2"/>
      <c r="IIA37" s="2"/>
      <c r="IIB37" s="2"/>
      <c r="IIC37" s="2"/>
      <c r="IID37" s="2"/>
      <c r="IIE37" s="2"/>
      <c r="IIF37" s="2"/>
      <c r="IIG37" s="2"/>
      <c r="IIH37" s="2"/>
      <c r="III37" s="2"/>
      <c r="IIJ37" s="2"/>
      <c r="IIK37" s="2"/>
      <c r="IIL37" s="2"/>
      <c r="IIM37" s="2"/>
      <c r="IIN37" s="2"/>
      <c r="IIO37" s="2"/>
      <c r="IIP37" s="2"/>
      <c r="IIQ37" s="2"/>
      <c r="IIR37" s="2"/>
      <c r="IIS37" s="2"/>
      <c r="IIT37" s="2"/>
      <c r="IIU37" s="2"/>
      <c r="IIV37" s="2"/>
      <c r="IIW37" s="2"/>
      <c r="IIX37" s="2"/>
      <c r="IIY37" s="2"/>
      <c r="IIZ37" s="2"/>
      <c r="IJA37" s="2"/>
      <c r="IJB37" s="2"/>
      <c r="IJC37" s="2"/>
      <c r="IJD37" s="2"/>
      <c r="IJE37" s="2"/>
      <c r="IJF37" s="2"/>
      <c r="IJG37" s="2"/>
      <c r="IJH37" s="2"/>
      <c r="IJI37" s="2"/>
      <c r="IJJ37" s="2"/>
      <c r="IJK37" s="2"/>
      <c r="IJL37" s="2"/>
      <c r="IJM37" s="2"/>
      <c r="IJN37" s="2"/>
      <c r="IJO37" s="2"/>
      <c r="IJP37" s="2"/>
      <c r="IJQ37" s="2"/>
      <c r="IJR37" s="2"/>
      <c r="IJS37" s="2"/>
      <c r="IJT37" s="2"/>
      <c r="IJU37" s="2"/>
      <c r="IJV37" s="2"/>
      <c r="IJW37" s="2"/>
      <c r="IJX37" s="2"/>
      <c r="IJY37" s="2"/>
      <c r="IJZ37" s="2"/>
      <c r="IKA37" s="2"/>
      <c r="IKB37" s="2"/>
      <c r="IKC37" s="2"/>
      <c r="IKD37" s="2"/>
      <c r="IKE37" s="2"/>
      <c r="IKF37" s="2"/>
      <c r="IKG37" s="2"/>
      <c r="IKH37" s="2"/>
      <c r="IKI37" s="2"/>
      <c r="IKJ37" s="2"/>
      <c r="IKK37" s="2"/>
      <c r="IKL37" s="2"/>
      <c r="IKM37" s="2"/>
      <c r="IKN37" s="2"/>
      <c r="IKO37" s="2"/>
      <c r="IKP37" s="2"/>
      <c r="IKQ37" s="2"/>
      <c r="IKR37" s="2"/>
      <c r="IKS37" s="2"/>
      <c r="IKT37" s="2"/>
      <c r="IKU37" s="2"/>
      <c r="IKV37" s="2"/>
      <c r="IKW37" s="2"/>
      <c r="IKX37" s="2"/>
      <c r="IKY37" s="2"/>
      <c r="IKZ37" s="2"/>
      <c r="ILA37" s="2"/>
      <c r="ILB37" s="2"/>
      <c r="ILC37" s="2"/>
      <c r="ILD37" s="2"/>
      <c r="ILE37" s="2"/>
      <c r="ILF37" s="2"/>
      <c r="ILG37" s="2"/>
      <c r="ILH37" s="2"/>
      <c r="ILI37" s="2"/>
      <c r="ILJ37" s="2"/>
      <c r="ILK37" s="2"/>
      <c r="ILL37" s="2"/>
      <c r="ILM37" s="2"/>
      <c r="ILN37" s="2"/>
      <c r="ILO37" s="2"/>
      <c r="ILP37" s="2"/>
      <c r="ILQ37" s="2"/>
      <c r="ILR37" s="2"/>
      <c r="ILS37" s="2"/>
      <c r="ILT37" s="2"/>
      <c r="ILU37" s="2"/>
      <c r="ILV37" s="2"/>
      <c r="ILW37" s="2"/>
      <c r="ILX37" s="2"/>
      <c r="ILY37" s="2"/>
      <c r="ILZ37" s="2"/>
      <c r="IMA37" s="2"/>
      <c r="IMB37" s="2"/>
      <c r="IMC37" s="2"/>
      <c r="IMD37" s="2"/>
      <c r="IME37" s="2"/>
      <c r="IMF37" s="2"/>
      <c r="IMG37" s="2"/>
      <c r="IMH37" s="2"/>
      <c r="IMI37" s="2"/>
      <c r="IMJ37" s="2"/>
      <c r="IMK37" s="2"/>
      <c r="IML37" s="2"/>
      <c r="IMM37" s="2"/>
      <c r="IMN37" s="2"/>
      <c r="IMO37" s="2"/>
      <c r="IMP37" s="2"/>
      <c r="IMQ37" s="2"/>
      <c r="IMR37" s="2"/>
      <c r="IMS37" s="2"/>
      <c r="IMT37" s="2"/>
      <c r="IMU37" s="2"/>
      <c r="IMV37" s="2"/>
      <c r="IMW37" s="2"/>
      <c r="IMX37" s="2"/>
      <c r="IMY37" s="2"/>
      <c r="IMZ37" s="2"/>
      <c r="INA37" s="2"/>
      <c r="INB37" s="2"/>
      <c r="INC37" s="2"/>
      <c r="IND37" s="2"/>
      <c r="INE37" s="2"/>
      <c r="INF37" s="2"/>
      <c r="ING37" s="2"/>
      <c r="INH37" s="2"/>
      <c r="INI37" s="2"/>
      <c r="INJ37" s="2"/>
      <c r="INK37" s="2"/>
      <c r="INL37" s="2"/>
      <c r="INM37" s="2"/>
      <c r="INN37" s="2"/>
      <c r="INO37" s="2"/>
      <c r="INP37" s="2"/>
      <c r="INQ37" s="2"/>
      <c r="INR37" s="2"/>
      <c r="INS37" s="2"/>
      <c r="INT37" s="2"/>
      <c r="INU37" s="2"/>
      <c r="INV37" s="2"/>
      <c r="INW37" s="2"/>
      <c r="INX37" s="2"/>
      <c r="INY37" s="2"/>
      <c r="INZ37" s="2"/>
      <c r="IOA37" s="2"/>
      <c r="IOB37" s="2"/>
      <c r="IOC37" s="2"/>
      <c r="IOD37" s="2"/>
      <c r="IOE37" s="2"/>
      <c r="IOF37" s="2"/>
      <c r="IOG37" s="2"/>
      <c r="IOH37" s="2"/>
      <c r="IOI37" s="2"/>
      <c r="IOJ37" s="2"/>
      <c r="IOK37" s="2"/>
      <c r="IOL37" s="2"/>
      <c r="IOM37" s="2"/>
      <c r="ION37" s="2"/>
      <c r="IOO37" s="2"/>
      <c r="IOP37" s="2"/>
      <c r="IOQ37" s="2"/>
      <c r="IOR37" s="2"/>
      <c r="IOS37" s="2"/>
      <c r="IOT37" s="2"/>
      <c r="IOU37" s="2"/>
      <c r="IOV37" s="2"/>
      <c r="IOW37" s="2"/>
      <c r="IOX37" s="2"/>
      <c r="IOY37" s="2"/>
      <c r="IOZ37" s="2"/>
      <c r="IPA37" s="2"/>
      <c r="IPB37" s="2"/>
      <c r="IPC37" s="2"/>
      <c r="IPD37" s="2"/>
      <c r="IPE37" s="2"/>
      <c r="IPF37" s="2"/>
      <c r="IPG37" s="2"/>
      <c r="IPH37" s="2"/>
      <c r="IPI37" s="2"/>
      <c r="IPJ37" s="2"/>
      <c r="IPK37" s="2"/>
      <c r="IPL37" s="2"/>
      <c r="IPM37" s="2"/>
      <c r="IPN37" s="2"/>
      <c r="IPO37" s="2"/>
      <c r="IPP37" s="2"/>
      <c r="IPQ37" s="2"/>
      <c r="IPR37" s="2"/>
      <c r="IPS37" s="2"/>
      <c r="IPT37" s="2"/>
      <c r="IPU37" s="2"/>
      <c r="IPV37" s="2"/>
      <c r="IPW37" s="2"/>
      <c r="IPX37" s="2"/>
      <c r="IPY37" s="2"/>
      <c r="IPZ37" s="2"/>
      <c r="IQA37" s="2"/>
      <c r="IQB37" s="2"/>
      <c r="IQC37" s="2"/>
      <c r="IQD37" s="2"/>
      <c r="IQE37" s="2"/>
      <c r="IQF37" s="2"/>
      <c r="IQG37" s="2"/>
      <c r="IQH37" s="2"/>
      <c r="IQI37" s="2"/>
      <c r="IQJ37" s="2"/>
      <c r="IQK37" s="2"/>
      <c r="IQL37" s="2"/>
      <c r="IQM37" s="2"/>
      <c r="IQN37" s="2"/>
      <c r="IQO37" s="2"/>
      <c r="IQP37" s="2"/>
      <c r="IQQ37" s="2"/>
      <c r="IQR37" s="2"/>
      <c r="IQS37" s="2"/>
      <c r="IQT37" s="2"/>
      <c r="IQU37" s="2"/>
      <c r="IQV37" s="2"/>
      <c r="IQW37" s="2"/>
      <c r="IQX37" s="2"/>
      <c r="IQY37" s="2"/>
      <c r="IQZ37" s="2"/>
      <c r="IRA37" s="2"/>
      <c r="IRB37" s="2"/>
      <c r="IRC37" s="2"/>
      <c r="IRD37" s="2"/>
      <c r="IRE37" s="2"/>
      <c r="IRF37" s="2"/>
      <c r="IRG37" s="2"/>
      <c r="IRH37" s="2"/>
      <c r="IRI37" s="2"/>
      <c r="IRJ37" s="2"/>
      <c r="IRK37" s="2"/>
      <c r="IRL37" s="2"/>
      <c r="IRM37" s="2"/>
      <c r="IRN37" s="2"/>
      <c r="IRO37" s="2"/>
      <c r="IRP37" s="2"/>
      <c r="IRQ37" s="2"/>
      <c r="IRR37" s="2"/>
      <c r="IRS37" s="2"/>
      <c r="IRT37" s="2"/>
      <c r="IRU37" s="2"/>
      <c r="IRV37" s="2"/>
      <c r="IRW37" s="2"/>
      <c r="IRX37" s="2"/>
      <c r="IRY37" s="2"/>
      <c r="IRZ37" s="2"/>
      <c r="ISA37" s="2"/>
      <c r="ISB37" s="2"/>
      <c r="ISC37" s="2"/>
      <c r="ISD37" s="2"/>
      <c r="ISE37" s="2"/>
      <c r="ISF37" s="2"/>
      <c r="ISG37" s="2"/>
      <c r="ISH37" s="2"/>
      <c r="ISI37" s="2"/>
      <c r="ISJ37" s="2"/>
      <c r="ISK37" s="2"/>
      <c r="ISL37" s="2"/>
      <c r="ISM37" s="2"/>
      <c r="ISN37" s="2"/>
      <c r="ISO37" s="2"/>
      <c r="ISP37" s="2"/>
      <c r="ISQ37" s="2"/>
      <c r="ISR37" s="2"/>
      <c r="ISS37" s="2"/>
      <c r="IST37" s="2"/>
      <c r="ISU37" s="2"/>
      <c r="ISV37" s="2"/>
      <c r="ISW37" s="2"/>
      <c r="ISX37" s="2"/>
      <c r="ISY37" s="2"/>
      <c r="ISZ37" s="2"/>
      <c r="ITA37" s="2"/>
      <c r="ITB37" s="2"/>
      <c r="ITC37" s="2"/>
      <c r="ITD37" s="2"/>
      <c r="ITE37" s="2"/>
      <c r="ITF37" s="2"/>
      <c r="ITG37" s="2"/>
      <c r="ITH37" s="2"/>
      <c r="ITI37" s="2"/>
      <c r="ITJ37" s="2"/>
      <c r="ITK37" s="2"/>
      <c r="ITL37" s="2"/>
      <c r="ITM37" s="2"/>
      <c r="ITN37" s="2"/>
      <c r="ITO37" s="2"/>
      <c r="ITP37" s="2"/>
      <c r="ITQ37" s="2"/>
      <c r="ITR37" s="2"/>
      <c r="ITS37" s="2"/>
      <c r="ITT37" s="2"/>
      <c r="ITU37" s="2"/>
      <c r="ITV37" s="2"/>
      <c r="ITW37" s="2"/>
      <c r="ITX37" s="2"/>
      <c r="ITY37" s="2"/>
      <c r="ITZ37" s="2"/>
      <c r="IUA37" s="2"/>
      <c r="IUB37" s="2"/>
      <c r="IUC37" s="2"/>
      <c r="IUD37" s="2"/>
      <c r="IUE37" s="2"/>
      <c r="IUF37" s="2"/>
      <c r="IUG37" s="2"/>
      <c r="IUH37" s="2"/>
      <c r="IUI37" s="2"/>
      <c r="IUJ37" s="2"/>
      <c r="IUK37" s="2"/>
      <c r="IUL37" s="2"/>
      <c r="IUM37" s="2"/>
      <c r="IUN37" s="2"/>
      <c r="IUO37" s="2"/>
      <c r="IUP37" s="2"/>
      <c r="IUQ37" s="2"/>
      <c r="IUR37" s="2"/>
      <c r="IUS37" s="2"/>
      <c r="IUT37" s="2"/>
      <c r="IUU37" s="2"/>
      <c r="IUV37" s="2"/>
      <c r="IUW37" s="2"/>
      <c r="IUX37" s="2"/>
      <c r="IUY37" s="2"/>
      <c r="IUZ37" s="2"/>
      <c r="IVA37" s="2"/>
      <c r="IVB37" s="2"/>
      <c r="IVC37" s="2"/>
      <c r="IVD37" s="2"/>
      <c r="IVE37" s="2"/>
      <c r="IVF37" s="2"/>
      <c r="IVG37" s="2"/>
      <c r="IVH37" s="2"/>
      <c r="IVI37" s="2"/>
      <c r="IVJ37" s="2"/>
      <c r="IVK37" s="2"/>
      <c r="IVL37" s="2"/>
      <c r="IVM37" s="2"/>
      <c r="IVN37" s="2"/>
      <c r="IVO37" s="2"/>
      <c r="IVP37" s="2"/>
      <c r="IVQ37" s="2"/>
      <c r="IVR37" s="2"/>
      <c r="IVS37" s="2"/>
      <c r="IVT37" s="2"/>
      <c r="IVU37" s="2"/>
      <c r="IVV37" s="2"/>
      <c r="IVW37" s="2"/>
      <c r="IVX37" s="2"/>
      <c r="IVY37" s="2"/>
      <c r="IVZ37" s="2"/>
      <c r="IWA37" s="2"/>
      <c r="IWB37" s="2"/>
      <c r="IWC37" s="2"/>
      <c r="IWD37" s="2"/>
      <c r="IWE37" s="2"/>
      <c r="IWF37" s="2"/>
      <c r="IWG37" s="2"/>
      <c r="IWH37" s="2"/>
      <c r="IWI37" s="2"/>
      <c r="IWJ37" s="2"/>
      <c r="IWK37" s="2"/>
      <c r="IWL37" s="2"/>
      <c r="IWM37" s="2"/>
      <c r="IWN37" s="2"/>
      <c r="IWO37" s="2"/>
      <c r="IWP37" s="2"/>
      <c r="IWQ37" s="2"/>
      <c r="IWR37" s="2"/>
      <c r="IWS37" s="2"/>
      <c r="IWT37" s="2"/>
      <c r="IWU37" s="2"/>
      <c r="IWV37" s="2"/>
      <c r="IWW37" s="2"/>
      <c r="IWX37" s="2"/>
      <c r="IWY37" s="2"/>
      <c r="IWZ37" s="2"/>
      <c r="IXA37" s="2"/>
      <c r="IXB37" s="2"/>
      <c r="IXC37" s="2"/>
      <c r="IXD37" s="2"/>
      <c r="IXE37" s="2"/>
      <c r="IXF37" s="2"/>
      <c r="IXG37" s="2"/>
      <c r="IXH37" s="2"/>
      <c r="IXI37" s="2"/>
      <c r="IXJ37" s="2"/>
      <c r="IXK37" s="2"/>
      <c r="IXL37" s="2"/>
      <c r="IXM37" s="2"/>
      <c r="IXN37" s="2"/>
      <c r="IXO37" s="2"/>
      <c r="IXP37" s="2"/>
      <c r="IXQ37" s="2"/>
      <c r="IXR37" s="2"/>
      <c r="IXS37" s="2"/>
      <c r="IXT37" s="2"/>
      <c r="IXU37" s="2"/>
      <c r="IXV37" s="2"/>
      <c r="IXW37" s="2"/>
      <c r="IXX37" s="2"/>
      <c r="IXY37" s="2"/>
      <c r="IXZ37" s="2"/>
      <c r="IYA37" s="2"/>
      <c r="IYB37" s="2"/>
      <c r="IYC37" s="2"/>
      <c r="IYD37" s="2"/>
      <c r="IYE37" s="2"/>
      <c r="IYF37" s="2"/>
      <c r="IYG37" s="2"/>
      <c r="IYH37" s="2"/>
      <c r="IYI37" s="2"/>
      <c r="IYJ37" s="2"/>
      <c r="IYK37" s="2"/>
      <c r="IYL37" s="2"/>
      <c r="IYM37" s="2"/>
      <c r="IYN37" s="2"/>
      <c r="IYO37" s="2"/>
      <c r="IYP37" s="2"/>
      <c r="IYQ37" s="2"/>
      <c r="IYR37" s="2"/>
      <c r="IYS37" s="2"/>
      <c r="IYT37" s="2"/>
      <c r="IYU37" s="2"/>
      <c r="IYV37" s="2"/>
      <c r="IYW37" s="2"/>
      <c r="IYX37" s="2"/>
      <c r="IYY37" s="2"/>
      <c r="IYZ37" s="2"/>
      <c r="IZA37" s="2"/>
      <c r="IZB37" s="2"/>
      <c r="IZC37" s="2"/>
      <c r="IZD37" s="2"/>
      <c r="IZE37" s="2"/>
      <c r="IZF37" s="2"/>
      <c r="IZG37" s="2"/>
      <c r="IZH37" s="2"/>
      <c r="IZI37" s="2"/>
      <c r="IZJ37" s="2"/>
      <c r="IZK37" s="2"/>
      <c r="IZL37" s="2"/>
      <c r="IZM37" s="2"/>
      <c r="IZN37" s="2"/>
      <c r="IZO37" s="2"/>
      <c r="IZP37" s="2"/>
      <c r="IZQ37" s="2"/>
      <c r="IZR37" s="2"/>
      <c r="IZS37" s="2"/>
      <c r="IZT37" s="2"/>
      <c r="IZU37" s="2"/>
      <c r="IZV37" s="2"/>
      <c r="IZW37" s="2"/>
      <c r="IZX37" s="2"/>
      <c r="IZY37" s="2"/>
      <c r="IZZ37" s="2"/>
      <c r="JAA37" s="2"/>
      <c r="JAB37" s="2"/>
      <c r="JAC37" s="2"/>
      <c r="JAD37" s="2"/>
      <c r="JAE37" s="2"/>
      <c r="JAF37" s="2"/>
      <c r="JAG37" s="2"/>
      <c r="JAH37" s="2"/>
      <c r="JAI37" s="2"/>
      <c r="JAJ37" s="2"/>
      <c r="JAK37" s="2"/>
      <c r="JAL37" s="2"/>
      <c r="JAM37" s="2"/>
      <c r="JAN37" s="2"/>
      <c r="JAO37" s="2"/>
      <c r="JAP37" s="2"/>
      <c r="JAQ37" s="2"/>
      <c r="JAR37" s="2"/>
      <c r="JAS37" s="2"/>
      <c r="JAT37" s="2"/>
      <c r="JAU37" s="2"/>
      <c r="JAV37" s="2"/>
      <c r="JAW37" s="2"/>
      <c r="JAX37" s="2"/>
      <c r="JAY37" s="2"/>
      <c r="JAZ37" s="2"/>
      <c r="JBA37" s="2"/>
      <c r="JBB37" s="2"/>
      <c r="JBC37" s="2"/>
      <c r="JBD37" s="2"/>
      <c r="JBE37" s="2"/>
      <c r="JBF37" s="2"/>
      <c r="JBG37" s="2"/>
      <c r="JBH37" s="2"/>
      <c r="JBI37" s="2"/>
      <c r="JBJ37" s="2"/>
      <c r="JBK37" s="2"/>
      <c r="JBL37" s="2"/>
      <c r="JBM37" s="2"/>
      <c r="JBN37" s="2"/>
      <c r="JBO37" s="2"/>
      <c r="JBP37" s="2"/>
      <c r="JBQ37" s="2"/>
      <c r="JBR37" s="2"/>
      <c r="JBS37" s="2"/>
      <c r="JBT37" s="2"/>
      <c r="JBU37" s="2"/>
      <c r="JBV37" s="2"/>
      <c r="JBW37" s="2"/>
      <c r="JBX37" s="2"/>
      <c r="JBY37" s="2"/>
      <c r="JBZ37" s="2"/>
      <c r="JCA37" s="2"/>
      <c r="JCB37" s="2"/>
      <c r="JCC37" s="2"/>
      <c r="JCD37" s="2"/>
      <c r="JCE37" s="2"/>
      <c r="JCF37" s="2"/>
      <c r="JCG37" s="2"/>
      <c r="JCH37" s="2"/>
      <c r="JCI37" s="2"/>
      <c r="JCJ37" s="2"/>
      <c r="JCK37" s="2"/>
      <c r="JCL37" s="2"/>
      <c r="JCM37" s="2"/>
      <c r="JCN37" s="2"/>
      <c r="JCO37" s="2"/>
      <c r="JCP37" s="2"/>
      <c r="JCQ37" s="2"/>
      <c r="JCR37" s="2"/>
      <c r="JCS37" s="2"/>
      <c r="JCT37" s="2"/>
      <c r="JCU37" s="2"/>
      <c r="JCV37" s="2"/>
      <c r="JCW37" s="2"/>
      <c r="JCX37" s="2"/>
      <c r="JCY37" s="2"/>
      <c r="JCZ37" s="2"/>
      <c r="JDA37" s="2"/>
      <c r="JDB37" s="2"/>
      <c r="JDC37" s="2"/>
      <c r="JDD37" s="2"/>
      <c r="JDE37" s="2"/>
      <c r="JDF37" s="2"/>
      <c r="JDG37" s="2"/>
      <c r="JDH37" s="2"/>
      <c r="JDI37" s="2"/>
      <c r="JDJ37" s="2"/>
      <c r="JDK37" s="2"/>
      <c r="JDL37" s="2"/>
      <c r="JDM37" s="2"/>
      <c r="JDN37" s="2"/>
      <c r="JDO37" s="2"/>
      <c r="JDP37" s="2"/>
      <c r="JDQ37" s="2"/>
      <c r="JDR37" s="2"/>
      <c r="JDS37" s="2"/>
      <c r="JDT37" s="2"/>
      <c r="JDU37" s="2"/>
      <c r="JDV37" s="2"/>
      <c r="JDW37" s="2"/>
      <c r="JDX37" s="2"/>
      <c r="JDY37" s="2"/>
      <c r="JDZ37" s="2"/>
      <c r="JEA37" s="2"/>
      <c r="JEB37" s="2"/>
      <c r="JEC37" s="2"/>
      <c r="JED37" s="2"/>
      <c r="JEE37" s="2"/>
      <c r="JEF37" s="2"/>
      <c r="JEG37" s="2"/>
      <c r="JEH37" s="2"/>
      <c r="JEI37" s="2"/>
      <c r="JEJ37" s="2"/>
      <c r="JEK37" s="2"/>
      <c r="JEL37" s="2"/>
      <c r="JEM37" s="2"/>
      <c r="JEN37" s="2"/>
      <c r="JEO37" s="2"/>
      <c r="JEP37" s="2"/>
      <c r="JEQ37" s="2"/>
      <c r="JER37" s="2"/>
      <c r="JES37" s="2"/>
      <c r="JET37" s="2"/>
      <c r="JEU37" s="2"/>
      <c r="JEV37" s="2"/>
      <c r="JEW37" s="2"/>
      <c r="JEX37" s="2"/>
      <c r="JEY37" s="2"/>
      <c r="JEZ37" s="2"/>
      <c r="JFA37" s="2"/>
      <c r="JFB37" s="2"/>
      <c r="JFC37" s="2"/>
      <c r="JFD37" s="2"/>
      <c r="JFE37" s="2"/>
      <c r="JFF37" s="2"/>
      <c r="JFG37" s="2"/>
      <c r="JFH37" s="2"/>
      <c r="JFI37" s="2"/>
      <c r="JFJ37" s="2"/>
      <c r="JFK37" s="2"/>
      <c r="JFL37" s="2"/>
      <c r="JFM37" s="2"/>
      <c r="JFN37" s="2"/>
      <c r="JFO37" s="2"/>
      <c r="JFP37" s="2"/>
      <c r="JFQ37" s="2"/>
      <c r="JFR37" s="2"/>
      <c r="JFS37" s="2"/>
      <c r="JFT37" s="2"/>
      <c r="JFU37" s="2"/>
      <c r="JFV37" s="2"/>
      <c r="JFW37" s="2"/>
      <c r="JFX37" s="2"/>
      <c r="JFY37" s="2"/>
      <c r="JFZ37" s="2"/>
      <c r="JGA37" s="2"/>
      <c r="JGB37" s="2"/>
      <c r="JGC37" s="2"/>
      <c r="JGD37" s="2"/>
      <c r="JGE37" s="2"/>
      <c r="JGF37" s="2"/>
      <c r="JGG37" s="2"/>
      <c r="JGH37" s="2"/>
      <c r="JGI37" s="2"/>
      <c r="JGJ37" s="2"/>
      <c r="JGK37" s="2"/>
      <c r="JGL37" s="2"/>
      <c r="JGM37" s="2"/>
      <c r="JGN37" s="2"/>
      <c r="JGO37" s="2"/>
      <c r="JGP37" s="2"/>
      <c r="JGQ37" s="2"/>
      <c r="JGR37" s="2"/>
      <c r="JGS37" s="2"/>
      <c r="JGT37" s="2"/>
      <c r="JGU37" s="2"/>
      <c r="JGV37" s="2"/>
      <c r="JGW37" s="2"/>
      <c r="JGX37" s="2"/>
      <c r="JGY37" s="2"/>
      <c r="JGZ37" s="2"/>
      <c r="JHA37" s="2"/>
      <c r="JHB37" s="2"/>
      <c r="JHC37" s="2"/>
      <c r="JHD37" s="2"/>
      <c r="JHE37" s="2"/>
      <c r="JHF37" s="2"/>
      <c r="JHG37" s="2"/>
      <c r="JHH37" s="2"/>
      <c r="JHI37" s="2"/>
      <c r="JHJ37" s="2"/>
      <c r="JHK37" s="2"/>
      <c r="JHL37" s="2"/>
      <c r="JHM37" s="2"/>
      <c r="JHN37" s="2"/>
      <c r="JHO37" s="2"/>
      <c r="JHP37" s="2"/>
      <c r="JHQ37" s="2"/>
      <c r="JHR37" s="2"/>
      <c r="JHS37" s="2"/>
      <c r="JHT37" s="2"/>
      <c r="JHU37" s="2"/>
      <c r="JHV37" s="2"/>
      <c r="JHW37" s="2"/>
      <c r="JHX37" s="2"/>
      <c r="JHY37" s="2"/>
      <c r="JHZ37" s="2"/>
      <c r="JIA37" s="2"/>
      <c r="JIB37" s="2"/>
      <c r="JIC37" s="2"/>
      <c r="JID37" s="2"/>
      <c r="JIE37" s="2"/>
      <c r="JIF37" s="2"/>
      <c r="JIG37" s="2"/>
      <c r="JIH37" s="2"/>
      <c r="JII37" s="2"/>
      <c r="JIJ37" s="2"/>
      <c r="JIK37" s="2"/>
      <c r="JIL37" s="2"/>
      <c r="JIM37" s="2"/>
      <c r="JIN37" s="2"/>
      <c r="JIO37" s="2"/>
      <c r="JIP37" s="2"/>
      <c r="JIQ37" s="2"/>
      <c r="JIR37" s="2"/>
      <c r="JIS37" s="2"/>
      <c r="JIT37" s="2"/>
      <c r="JIU37" s="2"/>
      <c r="JIV37" s="2"/>
      <c r="JIW37" s="2"/>
      <c r="JIX37" s="2"/>
      <c r="JIY37" s="2"/>
      <c r="JIZ37" s="2"/>
      <c r="JJA37" s="2"/>
      <c r="JJB37" s="2"/>
      <c r="JJC37" s="2"/>
      <c r="JJD37" s="2"/>
      <c r="JJE37" s="2"/>
      <c r="JJF37" s="2"/>
      <c r="JJG37" s="2"/>
      <c r="JJH37" s="2"/>
      <c r="JJI37" s="2"/>
      <c r="JJJ37" s="2"/>
      <c r="JJK37" s="2"/>
      <c r="JJL37" s="2"/>
      <c r="JJM37" s="2"/>
      <c r="JJN37" s="2"/>
      <c r="JJO37" s="2"/>
      <c r="JJP37" s="2"/>
      <c r="JJQ37" s="2"/>
      <c r="JJR37" s="2"/>
      <c r="JJS37" s="2"/>
      <c r="JJT37" s="2"/>
      <c r="JJU37" s="2"/>
      <c r="JJV37" s="2"/>
      <c r="JJW37" s="2"/>
      <c r="JJX37" s="2"/>
      <c r="JJY37" s="2"/>
      <c r="JJZ37" s="2"/>
      <c r="JKA37" s="2"/>
      <c r="JKB37" s="2"/>
      <c r="JKC37" s="2"/>
      <c r="JKD37" s="2"/>
      <c r="JKE37" s="2"/>
      <c r="JKF37" s="2"/>
      <c r="JKG37" s="2"/>
      <c r="JKH37" s="2"/>
      <c r="JKI37" s="2"/>
      <c r="JKJ37" s="2"/>
      <c r="JKK37" s="2"/>
      <c r="JKL37" s="2"/>
      <c r="JKM37" s="2"/>
      <c r="JKN37" s="2"/>
      <c r="JKO37" s="2"/>
      <c r="JKP37" s="2"/>
      <c r="JKQ37" s="2"/>
      <c r="JKR37" s="2"/>
      <c r="JKS37" s="2"/>
      <c r="JKT37" s="2"/>
      <c r="JKU37" s="2"/>
      <c r="JKV37" s="2"/>
      <c r="JKW37" s="2"/>
      <c r="JKX37" s="2"/>
      <c r="JKY37" s="2"/>
      <c r="JKZ37" s="2"/>
      <c r="JLA37" s="2"/>
      <c r="JLB37" s="2"/>
      <c r="JLC37" s="2"/>
      <c r="JLD37" s="2"/>
      <c r="JLE37" s="2"/>
      <c r="JLF37" s="2"/>
      <c r="JLG37" s="2"/>
      <c r="JLH37" s="2"/>
      <c r="JLI37" s="2"/>
      <c r="JLJ37" s="2"/>
      <c r="JLK37" s="2"/>
      <c r="JLL37" s="2"/>
      <c r="JLM37" s="2"/>
      <c r="JLN37" s="2"/>
      <c r="JLO37" s="2"/>
      <c r="JLP37" s="2"/>
      <c r="JLQ37" s="2"/>
      <c r="JLR37" s="2"/>
      <c r="JLS37" s="2"/>
      <c r="JLT37" s="2"/>
      <c r="JLU37" s="2"/>
      <c r="JLV37" s="2"/>
      <c r="JLW37" s="2"/>
      <c r="JLX37" s="2"/>
      <c r="JLY37" s="2"/>
      <c r="JLZ37" s="2"/>
      <c r="JMA37" s="2"/>
      <c r="JMB37" s="2"/>
      <c r="JMC37" s="2"/>
      <c r="JMD37" s="2"/>
      <c r="JME37" s="2"/>
      <c r="JMF37" s="2"/>
      <c r="JMG37" s="2"/>
      <c r="JMH37" s="2"/>
      <c r="JMI37" s="2"/>
      <c r="JMJ37" s="2"/>
      <c r="JMK37" s="2"/>
      <c r="JML37" s="2"/>
      <c r="JMM37" s="2"/>
      <c r="JMN37" s="2"/>
      <c r="JMO37" s="2"/>
      <c r="JMP37" s="2"/>
      <c r="JMQ37" s="2"/>
      <c r="JMR37" s="2"/>
      <c r="JMS37" s="2"/>
      <c r="JMT37" s="2"/>
      <c r="JMU37" s="2"/>
      <c r="JMV37" s="2"/>
      <c r="JMW37" s="2"/>
      <c r="JMX37" s="2"/>
      <c r="JMY37" s="2"/>
      <c r="JMZ37" s="2"/>
      <c r="JNA37" s="2"/>
      <c r="JNB37" s="2"/>
      <c r="JNC37" s="2"/>
      <c r="JND37" s="2"/>
      <c r="JNE37" s="2"/>
      <c r="JNF37" s="2"/>
      <c r="JNG37" s="2"/>
      <c r="JNH37" s="2"/>
      <c r="JNI37" s="2"/>
      <c r="JNJ37" s="2"/>
      <c r="JNK37" s="2"/>
      <c r="JNL37" s="2"/>
      <c r="JNM37" s="2"/>
      <c r="JNN37" s="2"/>
      <c r="JNO37" s="2"/>
      <c r="JNP37" s="2"/>
      <c r="JNQ37" s="2"/>
      <c r="JNR37" s="2"/>
      <c r="JNS37" s="2"/>
      <c r="JNT37" s="2"/>
      <c r="JNU37" s="2"/>
      <c r="JNV37" s="2"/>
      <c r="JNW37" s="2"/>
      <c r="JNX37" s="2"/>
      <c r="JNY37" s="2"/>
      <c r="JNZ37" s="2"/>
      <c r="JOA37" s="2"/>
      <c r="JOB37" s="2"/>
      <c r="JOC37" s="2"/>
      <c r="JOD37" s="2"/>
      <c r="JOE37" s="2"/>
      <c r="JOF37" s="2"/>
      <c r="JOG37" s="2"/>
      <c r="JOH37" s="2"/>
      <c r="JOI37" s="2"/>
      <c r="JOJ37" s="2"/>
      <c r="JOK37" s="2"/>
      <c r="JOL37" s="2"/>
      <c r="JOM37" s="2"/>
      <c r="JON37" s="2"/>
      <c r="JOO37" s="2"/>
      <c r="JOP37" s="2"/>
      <c r="JOQ37" s="2"/>
      <c r="JOR37" s="2"/>
      <c r="JOS37" s="2"/>
      <c r="JOT37" s="2"/>
      <c r="JOU37" s="2"/>
      <c r="JOV37" s="2"/>
      <c r="JOW37" s="2"/>
      <c r="JOX37" s="2"/>
      <c r="JOY37" s="2"/>
      <c r="JOZ37" s="2"/>
      <c r="JPA37" s="2"/>
      <c r="JPB37" s="2"/>
      <c r="JPC37" s="2"/>
      <c r="JPD37" s="2"/>
      <c r="JPE37" s="2"/>
      <c r="JPF37" s="2"/>
      <c r="JPG37" s="2"/>
      <c r="JPH37" s="2"/>
      <c r="JPI37" s="2"/>
      <c r="JPJ37" s="2"/>
      <c r="JPK37" s="2"/>
      <c r="JPL37" s="2"/>
      <c r="JPM37" s="2"/>
      <c r="JPN37" s="2"/>
      <c r="JPO37" s="2"/>
      <c r="JPP37" s="2"/>
      <c r="JPQ37" s="2"/>
      <c r="JPR37" s="2"/>
      <c r="JPS37" s="2"/>
      <c r="JPT37" s="2"/>
      <c r="JPU37" s="2"/>
      <c r="JPV37" s="2"/>
      <c r="JPW37" s="2"/>
      <c r="JPX37" s="2"/>
      <c r="JPY37" s="2"/>
      <c r="JPZ37" s="2"/>
      <c r="JQA37" s="2"/>
      <c r="JQB37" s="2"/>
      <c r="JQC37" s="2"/>
      <c r="JQD37" s="2"/>
      <c r="JQE37" s="2"/>
      <c r="JQF37" s="2"/>
      <c r="JQG37" s="2"/>
      <c r="JQH37" s="2"/>
      <c r="JQI37" s="2"/>
      <c r="JQJ37" s="2"/>
      <c r="JQK37" s="2"/>
      <c r="JQL37" s="2"/>
      <c r="JQM37" s="2"/>
      <c r="JQN37" s="2"/>
      <c r="JQO37" s="2"/>
      <c r="JQP37" s="2"/>
      <c r="JQQ37" s="2"/>
      <c r="JQR37" s="2"/>
      <c r="JQS37" s="2"/>
      <c r="JQT37" s="2"/>
      <c r="JQU37" s="2"/>
      <c r="JQV37" s="2"/>
      <c r="JQW37" s="2"/>
      <c r="JQX37" s="2"/>
      <c r="JQY37" s="2"/>
      <c r="JQZ37" s="2"/>
      <c r="JRA37" s="2"/>
      <c r="JRB37" s="2"/>
      <c r="JRC37" s="2"/>
      <c r="JRD37" s="2"/>
      <c r="JRE37" s="2"/>
      <c r="JRF37" s="2"/>
      <c r="JRG37" s="2"/>
      <c r="JRH37" s="2"/>
      <c r="JRI37" s="2"/>
      <c r="JRJ37" s="2"/>
      <c r="JRK37" s="2"/>
      <c r="JRL37" s="2"/>
      <c r="JRM37" s="2"/>
      <c r="JRN37" s="2"/>
      <c r="JRO37" s="2"/>
      <c r="JRP37" s="2"/>
      <c r="JRQ37" s="2"/>
      <c r="JRR37" s="2"/>
      <c r="JRS37" s="2"/>
      <c r="JRT37" s="2"/>
      <c r="JRU37" s="2"/>
      <c r="JRV37" s="2"/>
      <c r="JRW37" s="2"/>
      <c r="JRX37" s="2"/>
      <c r="JRY37" s="2"/>
      <c r="JRZ37" s="2"/>
      <c r="JSA37" s="2"/>
      <c r="JSB37" s="2"/>
      <c r="JSC37" s="2"/>
      <c r="JSD37" s="2"/>
      <c r="JSE37" s="2"/>
      <c r="JSF37" s="2"/>
      <c r="JSG37" s="2"/>
      <c r="JSH37" s="2"/>
      <c r="JSI37" s="2"/>
      <c r="JSJ37" s="2"/>
      <c r="JSK37" s="2"/>
      <c r="JSL37" s="2"/>
      <c r="JSM37" s="2"/>
      <c r="JSN37" s="2"/>
      <c r="JSO37" s="2"/>
      <c r="JSP37" s="2"/>
      <c r="JSQ37" s="2"/>
      <c r="JSR37" s="2"/>
      <c r="JSS37" s="2"/>
      <c r="JST37" s="2"/>
      <c r="JSU37" s="2"/>
      <c r="JSV37" s="2"/>
      <c r="JSW37" s="2"/>
      <c r="JSX37" s="2"/>
      <c r="JSY37" s="2"/>
      <c r="JSZ37" s="2"/>
      <c r="JTA37" s="2"/>
      <c r="JTB37" s="2"/>
      <c r="JTC37" s="2"/>
      <c r="JTD37" s="2"/>
      <c r="JTE37" s="2"/>
      <c r="JTF37" s="2"/>
      <c r="JTG37" s="2"/>
      <c r="JTH37" s="2"/>
      <c r="JTI37" s="2"/>
      <c r="JTJ37" s="2"/>
      <c r="JTK37" s="2"/>
      <c r="JTL37" s="2"/>
      <c r="JTM37" s="2"/>
      <c r="JTN37" s="2"/>
      <c r="JTO37" s="2"/>
      <c r="JTP37" s="2"/>
      <c r="JTQ37" s="2"/>
      <c r="JTR37" s="2"/>
      <c r="JTS37" s="2"/>
      <c r="JTT37" s="2"/>
      <c r="JTU37" s="2"/>
      <c r="JTV37" s="2"/>
      <c r="JTW37" s="2"/>
      <c r="JTX37" s="2"/>
      <c r="JTY37" s="2"/>
      <c r="JTZ37" s="2"/>
      <c r="JUA37" s="2"/>
      <c r="JUB37" s="2"/>
      <c r="JUC37" s="2"/>
      <c r="JUD37" s="2"/>
      <c r="JUE37" s="2"/>
      <c r="JUF37" s="2"/>
      <c r="JUG37" s="2"/>
      <c r="JUH37" s="2"/>
      <c r="JUI37" s="2"/>
      <c r="JUJ37" s="2"/>
      <c r="JUK37" s="2"/>
      <c r="JUL37" s="2"/>
      <c r="JUM37" s="2"/>
      <c r="JUN37" s="2"/>
      <c r="JUO37" s="2"/>
      <c r="JUP37" s="2"/>
      <c r="JUQ37" s="2"/>
      <c r="JUR37" s="2"/>
      <c r="JUS37" s="2"/>
      <c r="JUT37" s="2"/>
      <c r="JUU37" s="2"/>
      <c r="JUV37" s="2"/>
      <c r="JUW37" s="2"/>
      <c r="JUX37" s="2"/>
      <c r="JUY37" s="2"/>
      <c r="JUZ37" s="2"/>
      <c r="JVA37" s="2"/>
      <c r="JVB37" s="2"/>
      <c r="JVC37" s="2"/>
      <c r="JVD37" s="2"/>
      <c r="JVE37" s="2"/>
      <c r="JVF37" s="2"/>
      <c r="JVG37" s="2"/>
      <c r="JVH37" s="2"/>
      <c r="JVI37" s="2"/>
      <c r="JVJ37" s="2"/>
      <c r="JVK37" s="2"/>
      <c r="JVL37" s="2"/>
      <c r="JVM37" s="2"/>
      <c r="JVN37" s="2"/>
      <c r="JVO37" s="2"/>
      <c r="JVP37" s="2"/>
      <c r="JVQ37" s="2"/>
      <c r="JVR37" s="2"/>
      <c r="JVS37" s="2"/>
      <c r="JVT37" s="2"/>
      <c r="JVU37" s="2"/>
      <c r="JVV37" s="2"/>
      <c r="JVW37" s="2"/>
      <c r="JVX37" s="2"/>
      <c r="JVY37" s="2"/>
      <c r="JVZ37" s="2"/>
      <c r="JWA37" s="2"/>
      <c r="JWB37" s="2"/>
      <c r="JWC37" s="2"/>
      <c r="JWD37" s="2"/>
      <c r="JWE37" s="2"/>
      <c r="JWF37" s="2"/>
      <c r="JWG37" s="2"/>
      <c r="JWH37" s="2"/>
      <c r="JWI37" s="2"/>
      <c r="JWJ37" s="2"/>
      <c r="JWK37" s="2"/>
      <c r="JWL37" s="2"/>
      <c r="JWM37" s="2"/>
      <c r="JWN37" s="2"/>
      <c r="JWO37" s="2"/>
      <c r="JWP37" s="2"/>
      <c r="JWQ37" s="2"/>
      <c r="JWR37" s="2"/>
      <c r="JWS37" s="2"/>
      <c r="JWT37" s="2"/>
      <c r="JWU37" s="2"/>
      <c r="JWV37" s="2"/>
      <c r="JWW37" s="2"/>
      <c r="JWX37" s="2"/>
      <c r="JWY37" s="2"/>
      <c r="JWZ37" s="2"/>
      <c r="JXA37" s="2"/>
      <c r="JXB37" s="2"/>
      <c r="JXC37" s="2"/>
      <c r="JXD37" s="2"/>
      <c r="JXE37" s="2"/>
      <c r="JXF37" s="2"/>
      <c r="JXG37" s="2"/>
      <c r="JXH37" s="2"/>
      <c r="JXI37" s="2"/>
      <c r="JXJ37" s="2"/>
      <c r="JXK37" s="2"/>
      <c r="JXL37" s="2"/>
      <c r="JXM37" s="2"/>
      <c r="JXN37" s="2"/>
      <c r="JXO37" s="2"/>
      <c r="JXP37" s="2"/>
      <c r="JXQ37" s="2"/>
      <c r="JXR37" s="2"/>
      <c r="JXS37" s="2"/>
      <c r="JXT37" s="2"/>
      <c r="JXU37" s="2"/>
      <c r="JXV37" s="2"/>
      <c r="JXW37" s="2"/>
      <c r="JXX37" s="2"/>
      <c r="JXY37" s="2"/>
      <c r="JXZ37" s="2"/>
      <c r="JYA37" s="2"/>
      <c r="JYB37" s="2"/>
      <c r="JYC37" s="2"/>
      <c r="JYD37" s="2"/>
      <c r="JYE37" s="2"/>
      <c r="JYF37" s="2"/>
      <c r="JYG37" s="2"/>
      <c r="JYH37" s="2"/>
      <c r="JYI37" s="2"/>
      <c r="JYJ37" s="2"/>
      <c r="JYK37" s="2"/>
      <c r="JYL37" s="2"/>
      <c r="JYM37" s="2"/>
      <c r="JYN37" s="2"/>
      <c r="JYO37" s="2"/>
      <c r="JYP37" s="2"/>
      <c r="JYQ37" s="2"/>
      <c r="JYR37" s="2"/>
      <c r="JYS37" s="2"/>
      <c r="JYT37" s="2"/>
      <c r="JYU37" s="2"/>
      <c r="JYV37" s="2"/>
      <c r="JYW37" s="2"/>
      <c r="JYX37" s="2"/>
      <c r="JYY37" s="2"/>
      <c r="JYZ37" s="2"/>
      <c r="JZA37" s="2"/>
      <c r="JZB37" s="2"/>
      <c r="JZC37" s="2"/>
      <c r="JZD37" s="2"/>
      <c r="JZE37" s="2"/>
      <c r="JZF37" s="2"/>
      <c r="JZG37" s="2"/>
      <c r="JZH37" s="2"/>
      <c r="JZI37" s="2"/>
      <c r="JZJ37" s="2"/>
      <c r="JZK37" s="2"/>
      <c r="JZL37" s="2"/>
      <c r="JZM37" s="2"/>
      <c r="JZN37" s="2"/>
      <c r="JZO37" s="2"/>
      <c r="JZP37" s="2"/>
      <c r="JZQ37" s="2"/>
      <c r="JZR37" s="2"/>
      <c r="JZS37" s="2"/>
      <c r="JZT37" s="2"/>
      <c r="JZU37" s="2"/>
      <c r="JZV37" s="2"/>
      <c r="JZW37" s="2"/>
      <c r="JZX37" s="2"/>
      <c r="JZY37" s="2"/>
      <c r="JZZ37" s="2"/>
      <c r="KAA37" s="2"/>
      <c r="KAB37" s="2"/>
      <c r="KAC37" s="2"/>
      <c r="KAD37" s="2"/>
      <c r="KAE37" s="2"/>
      <c r="KAF37" s="2"/>
      <c r="KAG37" s="2"/>
      <c r="KAH37" s="2"/>
      <c r="KAI37" s="2"/>
      <c r="KAJ37" s="2"/>
      <c r="KAK37" s="2"/>
      <c r="KAL37" s="2"/>
      <c r="KAM37" s="2"/>
      <c r="KAN37" s="2"/>
      <c r="KAO37" s="2"/>
      <c r="KAP37" s="2"/>
      <c r="KAQ37" s="2"/>
      <c r="KAR37" s="2"/>
      <c r="KAS37" s="2"/>
      <c r="KAT37" s="2"/>
      <c r="KAU37" s="2"/>
      <c r="KAV37" s="2"/>
      <c r="KAW37" s="2"/>
      <c r="KAX37" s="2"/>
      <c r="KAY37" s="2"/>
      <c r="KAZ37" s="2"/>
      <c r="KBA37" s="2"/>
      <c r="KBB37" s="2"/>
      <c r="KBC37" s="2"/>
      <c r="KBD37" s="2"/>
      <c r="KBE37" s="2"/>
      <c r="KBF37" s="2"/>
      <c r="KBG37" s="2"/>
      <c r="KBH37" s="2"/>
      <c r="KBI37" s="2"/>
      <c r="KBJ37" s="2"/>
      <c r="KBK37" s="2"/>
      <c r="KBL37" s="2"/>
      <c r="KBM37" s="2"/>
      <c r="KBN37" s="2"/>
      <c r="KBO37" s="2"/>
      <c r="KBP37" s="2"/>
      <c r="KBQ37" s="2"/>
      <c r="KBR37" s="2"/>
      <c r="KBS37" s="2"/>
      <c r="KBT37" s="2"/>
      <c r="KBU37" s="2"/>
      <c r="KBV37" s="2"/>
      <c r="KBW37" s="2"/>
      <c r="KBX37" s="2"/>
      <c r="KBY37" s="2"/>
      <c r="KBZ37" s="2"/>
      <c r="KCA37" s="2"/>
      <c r="KCB37" s="2"/>
      <c r="KCC37" s="2"/>
      <c r="KCD37" s="2"/>
      <c r="KCE37" s="2"/>
      <c r="KCF37" s="2"/>
      <c r="KCG37" s="2"/>
      <c r="KCH37" s="2"/>
      <c r="KCI37" s="2"/>
      <c r="KCJ37" s="2"/>
      <c r="KCK37" s="2"/>
      <c r="KCL37" s="2"/>
      <c r="KCM37" s="2"/>
      <c r="KCN37" s="2"/>
      <c r="KCO37" s="2"/>
      <c r="KCP37" s="2"/>
      <c r="KCQ37" s="2"/>
      <c r="KCR37" s="2"/>
      <c r="KCS37" s="2"/>
      <c r="KCT37" s="2"/>
      <c r="KCU37" s="2"/>
      <c r="KCV37" s="2"/>
      <c r="KCW37" s="2"/>
      <c r="KCX37" s="2"/>
      <c r="KCY37" s="2"/>
      <c r="KCZ37" s="2"/>
      <c r="KDA37" s="2"/>
      <c r="KDB37" s="2"/>
      <c r="KDC37" s="2"/>
      <c r="KDD37" s="2"/>
      <c r="KDE37" s="2"/>
      <c r="KDF37" s="2"/>
      <c r="KDG37" s="2"/>
      <c r="KDH37" s="2"/>
      <c r="KDI37" s="2"/>
      <c r="KDJ37" s="2"/>
      <c r="KDK37" s="2"/>
      <c r="KDL37" s="2"/>
      <c r="KDM37" s="2"/>
      <c r="KDN37" s="2"/>
      <c r="KDO37" s="2"/>
      <c r="KDP37" s="2"/>
      <c r="KDQ37" s="2"/>
      <c r="KDR37" s="2"/>
      <c r="KDS37" s="2"/>
      <c r="KDT37" s="2"/>
      <c r="KDU37" s="2"/>
      <c r="KDV37" s="2"/>
      <c r="KDW37" s="2"/>
      <c r="KDX37" s="2"/>
      <c r="KDY37" s="2"/>
      <c r="KDZ37" s="2"/>
      <c r="KEA37" s="2"/>
      <c r="KEB37" s="2"/>
      <c r="KEC37" s="2"/>
      <c r="KED37" s="2"/>
      <c r="KEE37" s="2"/>
      <c r="KEF37" s="2"/>
      <c r="KEG37" s="2"/>
      <c r="KEH37" s="2"/>
      <c r="KEI37" s="2"/>
      <c r="KEJ37" s="2"/>
      <c r="KEK37" s="2"/>
      <c r="KEL37" s="2"/>
      <c r="KEM37" s="2"/>
      <c r="KEN37" s="2"/>
      <c r="KEO37" s="2"/>
      <c r="KEP37" s="2"/>
      <c r="KEQ37" s="2"/>
      <c r="KER37" s="2"/>
      <c r="KES37" s="2"/>
      <c r="KET37" s="2"/>
      <c r="KEU37" s="2"/>
      <c r="KEV37" s="2"/>
      <c r="KEW37" s="2"/>
      <c r="KEX37" s="2"/>
      <c r="KEY37" s="2"/>
      <c r="KEZ37" s="2"/>
      <c r="KFA37" s="2"/>
      <c r="KFB37" s="2"/>
      <c r="KFC37" s="2"/>
      <c r="KFD37" s="2"/>
      <c r="KFE37" s="2"/>
      <c r="KFF37" s="2"/>
      <c r="KFG37" s="2"/>
      <c r="KFH37" s="2"/>
      <c r="KFI37" s="2"/>
      <c r="KFJ37" s="2"/>
      <c r="KFK37" s="2"/>
      <c r="KFL37" s="2"/>
      <c r="KFM37" s="2"/>
      <c r="KFN37" s="2"/>
      <c r="KFO37" s="2"/>
      <c r="KFP37" s="2"/>
      <c r="KFQ37" s="2"/>
      <c r="KFR37" s="2"/>
      <c r="KFS37" s="2"/>
      <c r="KFT37" s="2"/>
      <c r="KFU37" s="2"/>
      <c r="KFV37" s="2"/>
      <c r="KFW37" s="2"/>
      <c r="KFX37" s="2"/>
      <c r="KFY37" s="2"/>
      <c r="KFZ37" s="2"/>
      <c r="KGA37" s="2"/>
      <c r="KGB37" s="2"/>
      <c r="KGC37" s="2"/>
      <c r="KGD37" s="2"/>
      <c r="KGE37" s="2"/>
      <c r="KGF37" s="2"/>
      <c r="KGG37" s="2"/>
      <c r="KGH37" s="2"/>
      <c r="KGI37" s="2"/>
      <c r="KGJ37" s="2"/>
      <c r="KGK37" s="2"/>
      <c r="KGL37" s="2"/>
      <c r="KGM37" s="2"/>
      <c r="KGN37" s="2"/>
      <c r="KGO37" s="2"/>
      <c r="KGP37" s="2"/>
      <c r="KGQ37" s="2"/>
      <c r="KGR37" s="2"/>
      <c r="KGS37" s="2"/>
      <c r="KGT37" s="2"/>
      <c r="KGU37" s="2"/>
      <c r="KGV37" s="2"/>
      <c r="KGW37" s="2"/>
      <c r="KGX37" s="2"/>
      <c r="KGY37" s="2"/>
      <c r="KGZ37" s="2"/>
      <c r="KHA37" s="2"/>
      <c r="KHB37" s="2"/>
      <c r="KHC37" s="2"/>
      <c r="KHD37" s="2"/>
      <c r="KHE37" s="2"/>
      <c r="KHF37" s="2"/>
      <c r="KHG37" s="2"/>
      <c r="KHH37" s="2"/>
      <c r="KHI37" s="2"/>
      <c r="KHJ37" s="2"/>
      <c r="KHK37" s="2"/>
      <c r="KHL37" s="2"/>
      <c r="KHM37" s="2"/>
      <c r="KHN37" s="2"/>
      <c r="KHO37" s="2"/>
      <c r="KHP37" s="2"/>
      <c r="KHQ37" s="2"/>
      <c r="KHR37" s="2"/>
      <c r="KHS37" s="2"/>
      <c r="KHT37" s="2"/>
      <c r="KHU37" s="2"/>
      <c r="KHV37" s="2"/>
      <c r="KHW37" s="2"/>
      <c r="KHX37" s="2"/>
      <c r="KHY37" s="2"/>
      <c r="KHZ37" s="2"/>
      <c r="KIA37" s="2"/>
      <c r="KIB37" s="2"/>
      <c r="KIC37" s="2"/>
      <c r="KID37" s="2"/>
      <c r="KIE37" s="2"/>
      <c r="KIF37" s="2"/>
      <c r="KIG37" s="2"/>
      <c r="KIH37" s="2"/>
      <c r="KII37" s="2"/>
      <c r="KIJ37" s="2"/>
      <c r="KIK37" s="2"/>
      <c r="KIL37" s="2"/>
      <c r="KIM37" s="2"/>
      <c r="KIN37" s="2"/>
      <c r="KIO37" s="2"/>
      <c r="KIP37" s="2"/>
      <c r="KIQ37" s="2"/>
      <c r="KIR37" s="2"/>
      <c r="KIS37" s="2"/>
      <c r="KIT37" s="2"/>
      <c r="KIU37" s="2"/>
      <c r="KIV37" s="2"/>
      <c r="KIW37" s="2"/>
      <c r="KIX37" s="2"/>
      <c r="KIY37" s="2"/>
      <c r="KIZ37" s="2"/>
      <c r="KJA37" s="2"/>
      <c r="KJB37" s="2"/>
      <c r="KJC37" s="2"/>
      <c r="KJD37" s="2"/>
      <c r="KJE37" s="2"/>
      <c r="KJF37" s="2"/>
      <c r="KJG37" s="2"/>
      <c r="KJH37" s="2"/>
      <c r="KJI37" s="2"/>
      <c r="KJJ37" s="2"/>
      <c r="KJK37" s="2"/>
      <c r="KJL37" s="2"/>
      <c r="KJM37" s="2"/>
      <c r="KJN37" s="2"/>
      <c r="KJO37" s="2"/>
      <c r="KJP37" s="2"/>
      <c r="KJQ37" s="2"/>
      <c r="KJR37" s="2"/>
      <c r="KJS37" s="2"/>
      <c r="KJT37" s="2"/>
      <c r="KJU37" s="2"/>
      <c r="KJV37" s="2"/>
      <c r="KJW37" s="2"/>
      <c r="KJX37" s="2"/>
      <c r="KJY37" s="2"/>
      <c r="KJZ37" s="2"/>
      <c r="KKA37" s="2"/>
      <c r="KKB37" s="2"/>
      <c r="KKC37" s="2"/>
      <c r="KKD37" s="2"/>
      <c r="KKE37" s="2"/>
      <c r="KKF37" s="2"/>
      <c r="KKG37" s="2"/>
      <c r="KKH37" s="2"/>
      <c r="KKI37" s="2"/>
      <c r="KKJ37" s="2"/>
      <c r="KKK37" s="2"/>
      <c r="KKL37" s="2"/>
      <c r="KKM37" s="2"/>
      <c r="KKN37" s="2"/>
      <c r="KKO37" s="2"/>
      <c r="KKP37" s="2"/>
      <c r="KKQ37" s="2"/>
      <c r="KKR37" s="2"/>
      <c r="KKS37" s="2"/>
      <c r="KKT37" s="2"/>
      <c r="KKU37" s="2"/>
      <c r="KKV37" s="2"/>
      <c r="KKW37" s="2"/>
      <c r="KKX37" s="2"/>
      <c r="KKY37" s="2"/>
      <c r="KKZ37" s="2"/>
      <c r="KLA37" s="2"/>
      <c r="KLB37" s="2"/>
      <c r="KLC37" s="2"/>
      <c r="KLD37" s="2"/>
      <c r="KLE37" s="2"/>
      <c r="KLF37" s="2"/>
      <c r="KLG37" s="2"/>
      <c r="KLH37" s="2"/>
      <c r="KLI37" s="2"/>
      <c r="KLJ37" s="2"/>
      <c r="KLK37" s="2"/>
      <c r="KLL37" s="2"/>
      <c r="KLM37" s="2"/>
      <c r="KLN37" s="2"/>
      <c r="KLO37" s="2"/>
      <c r="KLP37" s="2"/>
      <c r="KLQ37" s="2"/>
      <c r="KLR37" s="2"/>
      <c r="KLS37" s="2"/>
      <c r="KLT37" s="2"/>
      <c r="KLU37" s="2"/>
      <c r="KLV37" s="2"/>
      <c r="KLW37" s="2"/>
      <c r="KLX37" s="2"/>
      <c r="KLY37" s="2"/>
      <c r="KLZ37" s="2"/>
      <c r="KMA37" s="2"/>
      <c r="KMB37" s="2"/>
      <c r="KMC37" s="2"/>
      <c r="KMD37" s="2"/>
      <c r="KME37" s="2"/>
      <c r="KMF37" s="2"/>
      <c r="KMG37" s="2"/>
      <c r="KMH37" s="2"/>
      <c r="KMI37" s="2"/>
      <c r="KMJ37" s="2"/>
      <c r="KMK37" s="2"/>
      <c r="KML37" s="2"/>
      <c r="KMM37" s="2"/>
      <c r="KMN37" s="2"/>
      <c r="KMO37" s="2"/>
      <c r="KMP37" s="2"/>
      <c r="KMQ37" s="2"/>
      <c r="KMR37" s="2"/>
      <c r="KMS37" s="2"/>
      <c r="KMT37" s="2"/>
      <c r="KMU37" s="2"/>
      <c r="KMV37" s="2"/>
      <c r="KMW37" s="2"/>
      <c r="KMX37" s="2"/>
      <c r="KMY37" s="2"/>
      <c r="KMZ37" s="2"/>
      <c r="KNA37" s="2"/>
      <c r="KNB37" s="2"/>
      <c r="KNC37" s="2"/>
      <c r="KND37" s="2"/>
      <c r="KNE37" s="2"/>
      <c r="KNF37" s="2"/>
      <c r="KNG37" s="2"/>
      <c r="KNH37" s="2"/>
      <c r="KNI37" s="2"/>
      <c r="KNJ37" s="2"/>
      <c r="KNK37" s="2"/>
      <c r="KNL37" s="2"/>
      <c r="KNM37" s="2"/>
      <c r="KNN37" s="2"/>
      <c r="KNO37" s="2"/>
      <c r="KNP37" s="2"/>
      <c r="KNQ37" s="2"/>
      <c r="KNR37" s="2"/>
      <c r="KNS37" s="2"/>
      <c r="KNT37" s="2"/>
      <c r="KNU37" s="2"/>
      <c r="KNV37" s="2"/>
      <c r="KNW37" s="2"/>
      <c r="KNX37" s="2"/>
      <c r="KNY37" s="2"/>
      <c r="KNZ37" s="2"/>
      <c r="KOA37" s="2"/>
      <c r="KOB37" s="2"/>
      <c r="KOC37" s="2"/>
      <c r="KOD37" s="2"/>
      <c r="KOE37" s="2"/>
      <c r="KOF37" s="2"/>
      <c r="KOG37" s="2"/>
      <c r="KOH37" s="2"/>
      <c r="KOI37" s="2"/>
      <c r="KOJ37" s="2"/>
      <c r="KOK37" s="2"/>
      <c r="KOL37" s="2"/>
      <c r="KOM37" s="2"/>
      <c r="KON37" s="2"/>
      <c r="KOO37" s="2"/>
      <c r="KOP37" s="2"/>
      <c r="KOQ37" s="2"/>
      <c r="KOR37" s="2"/>
      <c r="KOS37" s="2"/>
      <c r="KOT37" s="2"/>
      <c r="KOU37" s="2"/>
      <c r="KOV37" s="2"/>
      <c r="KOW37" s="2"/>
      <c r="KOX37" s="2"/>
      <c r="KOY37" s="2"/>
      <c r="KOZ37" s="2"/>
      <c r="KPA37" s="2"/>
      <c r="KPB37" s="2"/>
      <c r="KPC37" s="2"/>
      <c r="KPD37" s="2"/>
      <c r="KPE37" s="2"/>
      <c r="KPF37" s="2"/>
      <c r="KPG37" s="2"/>
      <c r="KPH37" s="2"/>
      <c r="KPI37" s="2"/>
      <c r="KPJ37" s="2"/>
      <c r="KPK37" s="2"/>
      <c r="KPL37" s="2"/>
      <c r="KPM37" s="2"/>
      <c r="KPN37" s="2"/>
      <c r="KPO37" s="2"/>
      <c r="KPP37" s="2"/>
      <c r="KPQ37" s="2"/>
      <c r="KPR37" s="2"/>
      <c r="KPS37" s="2"/>
      <c r="KPT37" s="2"/>
      <c r="KPU37" s="2"/>
      <c r="KPV37" s="2"/>
      <c r="KPW37" s="2"/>
      <c r="KPX37" s="2"/>
      <c r="KPY37" s="2"/>
      <c r="KPZ37" s="2"/>
      <c r="KQA37" s="2"/>
      <c r="KQB37" s="2"/>
      <c r="KQC37" s="2"/>
      <c r="KQD37" s="2"/>
      <c r="KQE37" s="2"/>
      <c r="KQF37" s="2"/>
      <c r="KQG37" s="2"/>
      <c r="KQH37" s="2"/>
      <c r="KQI37" s="2"/>
      <c r="KQJ37" s="2"/>
      <c r="KQK37" s="2"/>
      <c r="KQL37" s="2"/>
      <c r="KQM37" s="2"/>
      <c r="KQN37" s="2"/>
      <c r="KQO37" s="2"/>
      <c r="KQP37" s="2"/>
      <c r="KQQ37" s="2"/>
      <c r="KQR37" s="2"/>
      <c r="KQS37" s="2"/>
      <c r="KQT37" s="2"/>
      <c r="KQU37" s="2"/>
      <c r="KQV37" s="2"/>
      <c r="KQW37" s="2"/>
      <c r="KQX37" s="2"/>
      <c r="KQY37" s="2"/>
      <c r="KQZ37" s="2"/>
      <c r="KRA37" s="2"/>
      <c r="KRB37" s="2"/>
      <c r="KRC37" s="2"/>
      <c r="KRD37" s="2"/>
      <c r="KRE37" s="2"/>
      <c r="KRF37" s="2"/>
      <c r="KRG37" s="2"/>
      <c r="KRH37" s="2"/>
      <c r="KRI37" s="2"/>
      <c r="KRJ37" s="2"/>
      <c r="KRK37" s="2"/>
      <c r="KRL37" s="2"/>
      <c r="KRM37" s="2"/>
      <c r="KRN37" s="2"/>
      <c r="KRO37" s="2"/>
      <c r="KRP37" s="2"/>
      <c r="KRQ37" s="2"/>
      <c r="KRR37" s="2"/>
      <c r="KRS37" s="2"/>
      <c r="KRT37" s="2"/>
      <c r="KRU37" s="2"/>
      <c r="KRV37" s="2"/>
      <c r="KRW37" s="2"/>
      <c r="KRX37" s="2"/>
      <c r="KRY37" s="2"/>
      <c r="KRZ37" s="2"/>
      <c r="KSA37" s="2"/>
      <c r="KSB37" s="2"/>
      <c r="KSC37" s="2"/>
      <c r="KSD37" s="2"/>
      <c r="KSE37" s="2"/>
      <c r="KSF37" s="2"/>
      <c r="KSG37" s="2"/>
      <c r="KSH37" s="2"/>
      <c r="KSI37" s="2"/>
      <c r="KSJ37" s="2"/>
      <c r="KSK37" s="2"/>
      <c r="KSL37" s="2"/>
      <c r="KSM37" s="2"/>
      <c r="KSN37" s="2"/>
      <c r="KSO37" s="2"/>
      <c r="KSP37" s="2"/>
      <c r="KSQ37" s="2"/>
      <c r="KSR37" s="2"/>
      <c r="KSS37" s="2"/>
      <c r="KST37" s="2"/>
      <c r="KSU37" s="2"/>
      <c r="KSV37" s="2"/>
      <c r="KSW37" s="2"/>
      <c r="KSX37" s="2"/>
      <c r="KSY37" s="2"/>
      <c r="KSZ37" s="2"/>
      <c r="KTA37" s="2"/>
      <c r="KTB37" s="2"/>
      <c r="KTC37" s="2"/>
      <c r="KTD37" s="2"/>
      <c r="KTE37" s="2"/>
      <c r="KTF37" s="2"/>
      <c r="KTG37" s="2"/>
      <c r="KTH37" s="2"/>
      <c r="KTI37" s="2"/>
      <c r="KTJ37" s="2"/>
      <c r="KTK37" s="2"/>
      <c r="KTL37" s="2"/>
      <c r="KTM37" s="2"/>
      <c r="KTN37" s="2"/>
      <c r="KTO37" s="2"/>
      <c r="KTP37" s="2"/>
      <c r="KTQ37" s="2"/>
      <c r="KTR37" s="2"/>
      <c r="KTS37" s="2"/>
      <c r="KTT37" s="2"/>
      <c r="KTU37" s="2"/>
      <c r="KTV37" s="2"/>
      <c r="KTW37" s="2"/>
      <c r="KTX37" s="2"/>
      <c r="KTY37" s="2"/>
      <c r="KTZ37" s="2"/>
      <c r="KUA37" s="2"/>
      <c r="KUB37" s="2"/>
      <c r="KUC37" s="2"/>
      <c r="KUD37" s="2"/>
      <c r="KUE37" s="2"/>
      <c r="KUF37" s="2"/>
      <c r="KUG37" s="2"/>
      <c r="KUH37" s="2"/>
      <c r="KUI37" s="2"/>
      <c r="KUJ37" s="2"/>
      <c r="KUK37" s="2"/>
      <c r="KUL37" s="2"/>
      <c r="KUM37" s="2"/>
      <c r="KUN37" s="2"/>
      <c r="KUO37" s="2"/>
      <c r="KUP37" s="2"/>
      <c r="KUQ37" s="2"/>
      <c r="KUR37" s="2"/>
      <c r="KUS37" s="2"/>
      <c r="KUT37" s="2"/>
      <c r="KUU37" s="2"/>
      <c r="KUV37" s="2"/>
      <c r="KUW37" s="2"/>
      <c r="KUX37" s="2"/>
      <c r="KUY37" s="2"/>
      <c r="KUZ37" s="2"/>
      <c r="KVA37" s="2"/>
      <c r="KVB37" s="2"/>
      <c r="KVC37" s="2"/>
      <c r="KVD37" s="2"/>
      <c r="KVE37" s="2"/>
      <c r="KVF37" s="2"/>
      <c r="KVG37" s="2"/>
      <c r="KVH37" s="2"/>
      <c r="KVI37" s="2"/>
      <c r="KVJ37" s="2"/>
      <c r="KVK37" s="2"/>
      <c r="KVL37" s="2"/>
      <c r="KVM37" s="2"/>
      <c r="KVN37" s="2"/>
      <c r="KVO37" s="2"/>
      <c r="KVP37" s="2"/>
      <c r="KVQ37" s="2"/>
      <c r="KVR37" s="2"/>
      <c r="KVS37" s="2"/>
      <c r="KVT37" s="2"/>
      <c r="KVU37" s="2"/>
      <c r="KVV37" s="2"/>
      <c r="KVW37" s="2"/>
      <c r="KVX37" s="2"/>
      <c r="KVY37" s="2"/>
      <c r="KVZ37" s="2"/>
      <c r="KWA37" s="2"/>
      <c r="KWB37" s="2"/>
      <c r="KWC37" s="2"/>
      <c r="KWD37" s="2"/>
      <c r="KWE37" s="2"/>
      <c r="KWF37" s="2"/>
      <c r="KWG37" s="2"/>
      <c r="KWH37" s="2"/>
      <c r="KWI37" s="2"/>
      <c r="KWJ37" s="2"/>
      <c r="KWK37" s="2"/>
      <c r="KWL37" s="2"/>
      <c r="KWM37" s="2"/>
      <c r="KWN37" s="2"/>
      <c r="KWO37" s="2"/>
      <c r="KWP37" s="2"/>
      <c r="KWQ37" s="2"/>
      <c r="KWR37" s="2"/>
      <c r="KWS37" s="2"/>
      <c r="KWT37" s="2"/>
      <c r="KWU37" s="2"/>
      <c r="KWV37" s="2"/>
      <c r="KWW37" s="2"/>
      <c r="KWX37" s="2"/>
      <c r="KWY37" s="2"/>
      <c r="KWZ37" s="2"/>
      <c r="KXA37" s="2"/>
      <c r="KXB37" s="2"/>
      <c r="KXC37" s="2"/>
      <c r="KXD37" s="2"/>
      <c r="KXE37" s="2"/>
      <c r="KXF37" s="2"/>
      <c r="KXG37" s="2"/>
      <c r="KXH37" s="2"/>
      <c r="KXI37" s="2"/>
      <c r="KXJ37" s="2"/>
      <c r="KXK37" s="2"/>
      <c r="KXL37" s="2"/>
      <c r="KXM37" s="2"/>
      <c r="KXN37" s="2"/>
      <c r="KXO37" s="2"/>
      <c r="KXP37" s="2"/>
      <c r="KXQ37" s="2"/>
      <c r="KXR37" s="2"/>
      <c r="KXS37" s="2"/>
      <c r="KXT37" s="2"/>
      <c r="KXU37" s="2"/>
      <c r="KXV37" s="2"/>
      <c r="KXW37" s="2"/>
      <c r="KXX37" s="2"/>
      <c r="KXY37" s="2"/>
      <c r="KXZ37" s="2"/>
      <c r="KYA37" s="2"/>
      <c r="KYB37" s="2"/>
      <c r="KYC37" s="2"/>
      <c r="KYD37" s="2"/>
      <c r="KYE37" s="2"/>
      <c r="KYF37" s="2"/>
      <c r="KYG37" s="2"/>
      <c r="KYH37" s="2"/>
      <c r="KYI37" s="2"/>
      <c r="KYJ37" s="2"/>
      <c r="KYK37" s="2"/>
      <c r="KYL37" s="2"/>
      <c r="KYM37" s="2"/>
      <c r="KYN37" s="2"/>
      <c r="KYO37" s="2"/>
      <c r="KYP37" s="2"/>
      <c r="KYQ37" s="2"/>
      <c r="KYR37" s="2"/>
      <c r="KYS37" s="2"/>
      <c r="KYT37" s="2"/>
      <c r="KYU37" s="2"/>
      <c r="KYV37" s="2"/>
      <c r="KYW37" s="2"/>
      <c r="KYX37" s="2"/>
      <c r="KYY37" s="2"/>
      <c r="KYZ37" s="2"/>
      <c r="KZA37" s="2"/>
      <c r="KZB37" s="2"/>
      <c r="KZC37" s="2"/>
      <c r="KZD37" s="2"/>
      <c r="KZE37" s="2"/>
      <c r="KZF37" s="2"/>
      <c r="KZG37" s="2"/>
      <c r="KZH37" s="2"/>
      <c r="KZI37" s="2"/>
      <c r="KZJ37" s="2"/>
      <c r="KZK37" s="2"/>
      <c r="KZL37" s="2"/>
      <c r="KZM37" s="2"/>
      <c r="KZN37" s="2"/>
      <c r="KZO37" s="2"/>
      <c r="KZP37" s="2"/>
      <c r="KZQ37" s="2"/>
      <c r="KZR37" s="2"/>
      <c r="KZS37" s="2"/>
      <c r="KZT37" s="2"/>
      <c r="KZU37" s="2"/>
      <c r="KZV37" s="2"/>
      <c r="KZW37" s="2"/>
      <c r="KZX37" s="2"/>
      <c r="KZY37" s="2"/>
      <c r="KZZ37" s="2"/>
      <c r="LAA37" s="2"/>
      <c r="LAB37" s="2"/>
      <c r="LAC37" s="2"/>
      <c r="LAD37" s="2"/>
      <c r="LAE37" s="2"/>
      <c r="LAF37" s="2"/>
      <c r="LAG37" s="2"/>
      <c r="LAH37" s="2"/>
      <c r="LAI37" s="2"/>
      <c r="LAJ37" s="2"/>
      <c r="LAK37" s="2"/>
      <c r="LAL37" s="2"/>
      <c r="LAM37" s="2"/>
      <c r="LAN37" s="2"/>
      <c r="LAO37" s="2"/>
      <c r="LAP37" s="2"/>
      <c r="LAQ37" s="2"/>
      <c r="LAR37" s="2"/>
      <c r="LAS37" s="2"/>
      <c r="LAT37" s="2"/>
      <c r="LAU37" s="2"/>
      <c r="LAV37" s="2"/>
      <c r="LAW37" s="2"/>
      <c r="LAX37" s="2"/>
      <c r="LAY37" s="2"/>
      <c r="LAZ37" s="2"/>
      <c r="LBA37" s="2"/>
      <c r="LBB37" s="2"/>
      <c r="LBC37" s="2"/>
      <c r="LBD37" s="2"/>
      <c r="LBE37" s="2"/>
      <c r="LBF37" s="2"/>
      <c r="LBG37" s="2"/>
      <c r="LBH37" s="2"/>
      <c r="LBI37" s="2"/>
      <c r="LBJ37" s="2"/>
      <c r="LBK37" s="2"/>
      <c r="LBL37" s="2"/>
      <c r="LBM37" s="2"/>
      <c r="LBN37" s="2"/>
      <c r="LBO37" s="2"/>
      <c r="LBP37" s="2"/>
      <c r="LBQ37" s="2"/>
      <c r="LBR37" s="2"/>
      <c r="LBS37" s="2"/>
      <c r="LBT37" s="2"/>
      <c r="LBU37" s="2"/>
      <c r="LBV37" s="2"/>
      <c r="LBW37" s="2"/>
      <c r="LBX37" s="2"/>
      <c r="LBY37" s="2"/>
      <c r="LBZ37" s="2"/>
      <c r="LCA37" s="2"/>
      <c r="LCB37" s="2"/>
      <c r="LCC37" s="2"/>
      <c r="LCD37" s="2"/>
      <c r="LCE37" s="2"/>
      <c r="LCF37" s="2"/>
      <c r="LCG37" s="2"/>
      <c r="LCH37" s="2"/>
      <c r="LCI37" s="2"/>
      <c r="LCJ37" s="2"/>
      <c r="LCK37" s="2"/>
      <c r="LCL37" s="2"/>
      <c r="LCM37" s="2"/>
      <c r="LCN37" s="2"/>
      <c r="LCO37" s="2"/>
      <c r="LCP37" s="2"/>
      <c r="LCQ37" s="2"/>
      <c r="LCR37" s="2"/>
      <c r="LCS37" s="2"/>
      <c r="LCT37" s="2"/>
      <c r="LCU37" s="2"/>
      <c r="LCV37" s="2"/>
      <c r="LCW37" s="2"/>
      <c r="LCX37" s="2"/>
      <c r="LCY37" s="2"/>
      <c r="LCZ37" s="2"/>
      <c r="LDA37" s="2"/>
      <c r="LDB37" s="2"/>
      <c r="LDC37" s="2"/>
      <c r="LDD37" s="2"/>
      <c r="LDE37" s="2"/>
      <c r="LDF37" s="2"/>
      <c r="LDG37" s="2"/>
      <c r="LDH37" s="2"/>
      <c r="LDI37" s="2"/>
      <c r="LDJ37" s="2"/>
      <c r="LDK37" s="2"/>
      <c r="LDL37" s="2"/>
      <c r="LDM37" s="2"/>
      <c r="LDN37" s="2"/>
      <c r="LDO37" s="2"/>
      <c r="LDP37" s="2"/>
      <c r="LDQ37" s="2"/>
      <c r="LDR37" s="2"/>
      <c r="LDS37" s="2"/>
      <c r="LDT37" s="2"/>
      <c r="LDU37" s="2"/>
      <c r="LDV37" s="2"/>
      <c r="LDW37" s="2"/>
      <c r="LDX37" s="2"/>
      <c r="LDY37" s="2"/>
      <c r="LDZ37" s="2"/>
      <c r="LEA37" s="2"/>
      <c r="LEB37" s="2"/>
      <c r="LEC37" s="2"/>
      <c r="LED37" s="2"/>
      <c r="LEE37" s="2"/>
      <c r="LEF37" s="2"/>
      <c r="LEG37" s="2"/>
      <c r="LEH37" s="2"/>
      <c r="LEI37" s="2"/>
      <c r="LEJ37" s="2"/>
      <c r="LEK37" s="2"/>
      <c r="LEL37" s="2"/>
      <c r="LEM37" s="2"/>
      <c r="LEN37" s="2"/>
      <c r="LEO37" s="2"/>
      <c r="LEP37" s="2"/>
      <c r="LEQ37" s="2"/>
      <c r="LER37" s="2"/>
      <c r="LES37" s="2"/>
      <c r="LET37" s="2"/>
      <c r="LEU37" s="2"/>
      <c r="LEV37" s="2"/>
      <c r="LEW37" s="2"/>
      <c r="LEX37" s="2"/>
      <c r="LEY37" s="2"/>
      <c r="LEZ37" s="2"/>
      <c r="LFA37" s="2"/>
      <c r="LFB37" s="2"/>
      <c r="LFC37" s="2"/>
      <c r="LFD37" s="2"/>
      <c r="LFE37" s="2"/>
      <c r="LFF37" s="2"/>
      <c r="LFG37" s="2"/>
      <c r="LFH37" s="2"/>
      <c r="LFI37" s="2"/>
      <c r="LFJ37" s="2"/>
      <c r="LFK37" s="2"/>
      <c r="LFL37" s="2"/>
      <c r="LFM37" s="2"/>
      <c r="LFN37" s="2"/>
      <c r="LFO37" s="2"/>
      <c r="LFP37" s="2"/>
      <c r="LFQ37" s="2"/>
      <c r="LFR37" s="2"/>
      <c r="LFS37" s="2"/>
      <c r="LFT37" s="2"/>
      <c r="LFU37" s="2"/>
      <c r="LFV37" s="2"/>
      <c r="LFW37" s="2"/>
      <c r="LFX37" s="2"/>
      <c r="LFY37" s="2"/>
      <c r="LFZ37" s="2"/>
      <c r="LGA37" s="2"/>
      <c r="LGB37" s="2"/>
      <c r="LGC37" s="2"/>
      <c r="LGD37" s="2"/>
      <c r="LGE37" s="2"/>
      <c r="LGF37" s="2"/>
      <c r="LGG37" s="2"/>
      <c r="LGH37" s="2"/>
      <c r="LGI37" s="2"/>
      <c r="LGJ37" s="2"/>
      <c r="LGK37" s="2"/>
      <c r="LGL37" s="2"/>
      <c r="LGM37" s="2"/>
      <c r="LGN37" s="2"/>
      <c r="LGO37" s="2"/>
      <c r="LGP37" s="2"/>
      <c r="LGQ37" s="2"/>
      <c r="LGR37" s="2"/>
      <c r="LGS37" s="2"/>
      <c r="LGT37" s="2"/>
      <c r="LGU37" s="2"/>
      <c r="LGV37" s="2"/>
      <c r="LGW37" s="2"/>
      <c r="LGX37" s="2"/>
      <c r="LGY37" s="2"/>
      <c r="LGZ37" s="2"/>
      <c r="LHA37" s="2"/>
      <c r="LHB37" s="2"/>
      <c r="LHC37" s="2"/>
      <c r="LHD37" s="2"/>
      <c r="LHE37" s="2"/>
      <c r="LHF37" s="2"/>
      <c r="LHG37" s="2"/>
      <c r="LHH37" s="2"/>
      <c r="LHI37" s="2"/>
      <c r="LHJ37" s="2"/>
      <c r="LHK37" s="2"/>
      <c r="LHL37" s="2"/>
      <c r="LHM37" s="2"/>
      <c r="LHN37" s="2"/>
      <c r="LHO37" s="2"/>
      <c r="LHP37" s="2"/>
      <c r="LHQ37" s="2"/>
      <c r="LHR37" s="2"/>
      <c r="LHS37" s="2"/>
      <c r="LHT37" s="2"/>
      <c r="LHU37" s="2"/>
      <c r="LHV37" s="2"/>
      <c r="LHW37" s="2"/>
      <c r="LHX37" s="2"/>
      <c r="LHY37" s="2"/>
      <c r="LHZ37" s="2"/>
      <c r="LIA37" s="2"/>
      <c r="LIB37" s="2"/>
      <c r="LIC37" s="2"/>
      <c r="LID37" s="2"/>
      <c r="LIE37" s="2"/>
      <c r="LIF37" s="2"/>
      <c r="LIG37" s="2"/>
      <c r="LIH37" s="2"/>
      <c r="LII37" s="2"/>
      <c r="LIJ37" s="2"/>
      <c r="LIK37" s="2"/>
      <c r="LIL37" s="2"/>
      <c r="LIM37" s="2"/>
      <c r="LIN37" s="2"/>
      <c r="LIO37" s="2"/>
      <c r="LIP37" s="2"/>
      <c r="LIQ37" s="2"/>
      <c r="LIR37" s="2"/>
      <c r="LIS37" s="2"/>
      <c r="LIT37" s="2"/>
      <c r="LIU37" s="2"/>
      <c r="LIV37" s="2"/>
      <c r="LIW37" s="2"/>
      <c r="LIX37" s="2"/>
      <c r="LIY37" s="2"/>
      <c r="LIZ37" s="2"/>
      <c r="LJA37" s="2"/>
      <c r="LJB37" s="2"/>
      <c r="LJC37" s="2"/>
      <c r="LJD37" s="2"/>
      <c r="LJE37" s="2"/>
      <c r="LJF37" s="2"/>
      <c r="LJG37" s="2"/>
      <c r="LJH37" s="2"/>
      <c r="LJI37" s="2"/>
      <c r="LJJ37" s="2"/>
      <c r="LJK37" s="2"/>
      <c r="LJL37" s="2"/>
      <c r="LJM37" s="2"/>
      <c r="LJN37" s="2"/>
      <c r="LJO37" s="2"/>
      <c r="LJP37" s="2"/>
      <c r="LJQ37" s="2"/>
      <c r="LJR37" s="2"/>
      <c r="LJS37" s="2"/>
      <c r="LJT37" s="2"/>
      <c r="LJU37" s="2"/>
      <c r="LJV37" s="2"/>
      <c r="LJW37" s="2"/>
      <c r="LJX37" s="2"/>
      <c r="LJY37" s="2"/>
      <c r="LJZ37" s="2"/>
      <c r="LKA37" s="2"/>
      <c r="LKB37" s="2"/>
      <c r="LKC37" s="2"/>
      <c r="LKD37" s="2"/>
      <c r="LKE37" s="2"/>
      <c r="LKF37" s="2"/>
      <c r="LKG37" s="2"/>
      <c r="LKH37" s="2"/>
      <c r="LKI37" s="2"/>
      <c r="LKJ37" s="2"/>
      <c r="LKK37" s="2"/>
      <c r="LKL37" s="2"/>
      <c r="LKM37" s="2"/>
      <c r="LKN37" s="2"/>
      <c r="LKO37" s="2"/>
      <c r="LKP37" s="2"/>
      <c r="LKQ37" s="2"/>
      <c r="LKR37" s="2"/>
      <c r="LKS37" s="2"/>
      <c r="LKT37" s="2"/>
      <c r="LKU37" s="2"/>
      <c r="LKV37" s="2"/>
      <c r="LKW37" s="2"/>
      <c r="LKX37" s="2"/>
      <c r="LKY37" s="2"/>
      <c r="LKZ37" s="2"/>
      <c r="LLA37" s="2"/>
      <c r="LLB37" s="2"/>
      <c r="LLC37" s="2"/>
      <c r="LLD37" s="2"/>
      <c r="LLE37" s="2"/>
      <c r="LLF37" s="2"/>
      <c r="LLG37" s="2"/>
      <c r="LLH37" s="2"/>
      <c r="LLI37" s="2"/>
      <c r="LLJ37" s="2"/>
      <c r="LLK37" s="2"/>
      <c r="LLL37" s="2"/>
      <c r="LLM37" s="2"/>
      <c r="LLN37" s="2"/>
      <c r="LLO37" s="2"/>
      <c r="LLP37" s="2"/>
      <c r="LLQ37" s="2"/>
      <c r="LLR37" s="2"/>
      <c r="LLS37" s="2"/>
      <c r="LLT37" s="2"/>
      <c r="LLU37" s="2"/>
      <c r="LLV37" s="2"/>
      <c r="LLW37" s="2"/>
      <c r="LLX37" s="2"/>
      <c r="LLY37" s="2"/>
      <c r="LLZ37" s="2"/>
      <c r="LMA37" s="2"/>
      <c r="LMB37" s="2"/>
      <c r="LMC37" s="2"/>
      <c r="LMD37" s="2"/>
      <c r="LME37" s="2"/>
      <c r="LMF37" s="2"/>
      <c r="LMG37" s="2"/>
      <c r="LMH37" s="2"/>
      <c r="LMI37" s="2"/>
      <c r="LMJ37" s="2"/>
      <c r="LMK37" s="2"/>
      <c r="LML37" s="2"/>
      <c r="LMM37" s="2"/>
      <c r="LMN37" s="2"/>
      <c r="LMO37" s="2"/>
      <c r="LMP37" s="2"/>
      <c r="LMQ37" s="2"/>
      <c r="LMR37" s="2"/>
      <c r="LMS37" s="2"/>
      <c r="LMT37" s="2"/>
      <c r="LMU37" s="2"/>
      <c r="LMV37" s="2"/>
      <c r="LMW37" s="2"/>
      <c r="LMX37" s="2"/>
      <c r="LMY37" s="2"/>
      <c r="LMZ37" s="2"/>
      <c r="LNA37" s="2"/>
      <c r="LNB37" s="2"/>
      <c r="LNC37" s="2"/>
      <c r="LND37" s="2"/>
      <c r="LNE37" s="2"/>
      <c r="LNF37" s="2"/>
      <c r="LNG37" s="2"/>
      <c r="LNH37" s="2"/>
      <c r="LNI37" s="2"/>
      <c r="LNJ37" s="2"/>
      <c r="LNK37" s="2"/>
      <c r="LNL37" s="2"/>
      <c r="LNM37" s="2"/>
      <c r="LNN37" s="2"/>
      <c r="LNO37" s="2"/>
      <c r="LNP37" s="2"/>
      <c r="LNQ37" s="2"/>
      <c r="LNR37" s="2"/>
      <c r="LNS37" s="2"/>
      <c r="LNT37" s="2"/>
      <c r="LNU37" s="2"/>
      <c r="LNV37" s="2"/>
      <c r="LNW37" s="2"/>
      <c r="LNX37" s="2"/>
      <c r="LNY37" s="2"/>
      <c r="LNZ37" s="2"/>
      <c r="LOA37" s="2"/>
      <c r="LOB37" s="2"/>
      <c r="LOC37" s="2"/>
      <c r="LOD37" s="2"/>
      <c r="LOE37" s="2"/>
      <c r="LOF37" s="2"/>
      <c r="LOG37" s="2"/>
      <c r="LOH37" s="2"/>
      <c r="LOI37" s="2"/>
      <c r="LOJ37" s="2"/>
      <c r="LOK37" s="2"/>
      <c r="LOL37" s="2"/>
      <c r="LOM37" s="2"/>
      <c r="LON37" s="2"/>
      <c r="LOO37" s="2"/>
      <c r="LOP37" s="2"/>
      <c r="LOQ37" s="2"/>
      <c r="LOR37" s="2"/>
      <c r="LOS37" s="2"/>
      <c r="LOT37" s="2"/>
      <c r="LOU37" s="2"/>
      <c r="LOV37" s="2"/>
      <c r="LOW37" s="2"/>
      <c r="LOX37" s="2"/>
      <c r="LOY37" s="2"/>
      <c r="LOZ37" s="2"/>
      <c r="LPA37" s="2"/>
      <c r="LPB37" s="2"/>
      <c r="LPC37" s="2"/>
      <c r="LPD37" s="2"/>
      <c r="LPE37" s="2"/>
      <c r="LPF37" s="2"/>
      <c r="LPG37" s="2"/>
      <c r="LPH37" s="2"/>
      <c r="LPI37" s="2"/>
      <c r="LPJ37" s="2"/>
      <c r="LPK37" s="2"/>
      <c r="LPL37" s="2"/>
      <c r="LPM37" s="2"/>
      <c r="LPN37" s="2"/>
      <c r="LPO37" s="2"/>
      <c r="LPP37" s="2"/>
      <c r="LPQ37" s="2"/>
      <c r="LPR37" s="2"/>
      <c r="LPS37" s="2"/>
      <c r="LPT37" s="2"/>
      <c r="LPU37" s="2"/>
      <c r="LPV37" s="2"/>
      <c r="LPW37" s="2"/>
      <c r="LPX37" s="2"/>
      <c r="LPY37" s="2"/>
      <c r="LPZ37" s="2"/>
      <c r="LQA37" s="2"/>
      <c r="LQB37" s="2"/>
      <c r="LQC37" s="2"/>
      <c r="LQD37" s="2"/>
      <c r="LQE37" s="2"/>
      <c r="LQF37" s="2"/>
      <c r="LQG37" s="2"/>
      <c r="LQH37" s="2"/>
      <c r="LQI37" s="2"/>
      <c r="LQJ37" s="2"/>
      <c r="LQK37" s="2"/>
      <c r="LQL37" s="2"/>
      <c r="LQM37" s="2"/>
      <c r="LQN37" s="2"/>
      <c r="LQO37" s="2"/>
      <c r="LQP37" s="2"/>
      <c r="LQQ37" s="2"/>
      <c r="LQR37" s="2"/>
      <c r="LQS37" s="2"/>
      <c r="LQT37" s="2"/>
      <c r="LQU37" s="2"/>
      <c r="LQV37" s="2"/>
      <c r="LQW37" s="2"/>
      <c r="LQX37" s="2"/>
      <c r="LQY37" s="2"/>
      <c r="LQZ37" s="2"/>
      <c r="LRA37" s="2"/>
      <c r="LRB37" s="2"/>
      <c r="LRC37" s="2"/>
      <c r="LRD37" s="2"/>
      <c r="LRE37" s="2"/>
      <c r="LRF37" s="2"/>
      <c r="LRG37" s="2"/>
      <c r="LRH37" s="2"/>
      <c r="LRI37" s="2"/>
      <c r="LRJ37" s="2"/>
      <c r="LRK37" s="2"/>
      <c r="LRL37" s="2"/>
      <c r="LRM37" s="2"/>
      <c r="LRN37" s="2"/>
      <c r="LRO37" s="2"/>
      <c r="LRP37" s="2"/>
      <c r="LRQ37" s="2"/>
      <c r="LRR37" s="2"/>
      <c r="LRS37" s="2"/>
      <c r="LRT37" s="2"/>
      <c r="LRU37" s="2"/>
      <c r="LRV37" s="2"/>
      <c r="LRW37" s="2"/>
      <c r="LRX37" s="2"/>
      <c r="LRY37" s="2"/>
      <c r="LRZ37" s="2"/>
      <c r="LSA37" s="2"/>
      <c r="LSB37" s="2"/>
      <c r="LSC37" s="2"/>
      <c r="LSD37" s="2"/>
      <c r="LSE37" s="2"/>
      <c r="LSF37" s="2"/>
      <c r="LSG37" s="2"/>
      <c r="LSH37" s="2"/>
      <c r="LSI37" s="2"/>
      <c r="LSJ37" s="2"/>
      <c r="LSK37" s="2"/>
      <c r="LSL37" s="2"/>
      <c r="LSM37" s="2"/>
      <c r="LSN37" s="2"/>
      <c r="LSO37" s="2"/>
      <c r="LSP37" s="2"/>
      <c r="LSQ37" s="2"/>
      <c r="LSR37" s="2"/>
      <c r="LSS37" s="2"/>
      <c r="LST37" s="2"/>
      <c r="LSU37" s="2"/>
      <c r="LSV37" s="2"/>
      <c r="LSW37" s="2"/>
      <c r="LSX37" s="2"/>
      <c r="LSY37" s="2"/>
      <c r="LSZ37" s="2"/>
      <c r="LTA37" s="2"/>
      <c r="LTB37" s="2"/>
      <c r="LTC37" s="2"/>
      <c r="LTD37" s="2"/>
      <c r="LTE37" s="2"/>
      <c r="LTF37" s="2"/>
      <c r="LTG37" s="2"/>
      <c r="LTH37" s="2"/>
      <c r="LTI37" s="2"/>
      <c r="LTJ37" s="2"/>
      <c r="LTK37" s="2"/>
      <c r="LTL37" s="2"/>
      <c r="LTM37" s="2"/>
      <c r="LTN37" s="2"/>
      <c r="LTO37" s="2"/>
      <c r="LTP37" s="2"/>
      <c r="LTQ37" s="2"/>
      <c r="LTR37" s="2"/>
      <c r="LTS37" s="2"/>
      <c r="LTT37" s="2"/>
      <c r="LTU37" s="2"/>
      <c r="LTV37" s="2"/>
      <c r="LTW37" s="2"/>
      <c r="LTX37" s="2"/>
      <c r="LTY37" s="2"/>
      <c r="LTZ37" s="2"/>
      <c r="LUA37" s="2"/>
      <c r="LUB37" s="2"/>
      <c r="LUC37" s="2"/>
      <c r="LUD37" s="2"/>
      <c r="LUE37" s="2"/>
      <c r="LUF37" s="2"/>
      <c r="LUG37" s="2"/>
      <c r="LUH37" s="2"/>
      <c r="LUI37" s="2"/>
      <c r="LUJ37" s="2"/>
      <c r="LUK37" s="2"/>
      <c r="LUL37" s="2"/>
      <c r="LUM37" s="2"/>
      <c r="LUN37" s="2"/>
      <c r="LUO37" s="2"/>
      <c r="LUP37" s="2"/>
      <c r="LUQ37" s="2"/>
      <c r="LUR37" s="2"/>
      <c r="LUS37" s="2"/>
      <c r="LUT37" s="2"/>
      <c r="LUU37" s="2"/>
      <c r="LUV37" s="2"/>
      <c r="LUW37" s="2"/>
      <c r="LUX37" s="2"/>
      <c r="LUY37" s="2"/>
      <c r="LUZ37" s="2"/>
      <c r="LVA37" s="2"/>
      <c r="LVB37" s="2"/>
      <c r="LVC37" s="2"/>
      <c r="LVD37" s="2"/>
      <c r="LVE37" s="2"/>
      <c r="LVF37" s="2"/>
      <c r="LVG37" s="2"/>
      <c r="LVH37" s="2"/>
      <c r="LVI37" s="2"/>
      <c r="LVJ37" s="2"/>
      <c r="LVK37" s="2"/>
      <c r="LVL37" s="2"/>
      <c r="LVM37" s="2"/>
      <c r="LVN37" s="2"/>
      <c r="LVO37" s="2"/>
      <c r="LVP37" s="2"/>
      <c r="LVQ37" s="2"/>
      <c r="LVR37" s="2"/>
      <c r="LVS37" s="2"/>
      <c r="LVT37" s="2"/>
      <c r="LVU37" s="2"/>
      <c r="LVV37" s="2"/>
      <c r="LVW37" s="2"/>
      <c r="LVX37" s="2"/>
      <c r="LVY37" s="2"/>
      <c r="LVZ37" s="2"/>
      <c r="LWA37" s="2"/>
      <c r="LWB37" s="2"/>
      <c r="LWC37" s="2"/>
      <c r="LWD37" s="2"/>
      <c r="LWE37" s="2"/>
      <c r="LWF37" s="2"/>
      <c r="LWG37" s="2"/>
      <c r="LWH37" s="2"/>
      <c r="LWI37" s="2"/>
      <c r="LWJ37" s="2"/>
      <c r="LWK37" s="2"/>
      <c r="LWL37" s="2"/>
      <c r="LWM37" s="2"/>
      <c r="LWN37" s="2"/>
      <c r="LWO37" s="2"/>
      <c r="LWP37" s="2"/>
      <c r="LWQ37" s="2"/>
      <c r="LWR37" s="2"/>
      <c r="LWS37" s="2"/>
      <c r="LWT37" s="2"/>
      <c r="LWU37" s="2"/>
      <c r="LWV37" s="2"/>
      <c r="LWW37" s="2"/>
      <c r="LWX37" s="2"/>
      <c r="LWY37" s="2"/>
      <c r="LWZ37" s="2"/>
      <c r="LXA37" s="2"/>
      <c r="LXB37" s="2"/>
      <c r="LXC37" s="2"/>
      <c r="LXD37" s="2"/>
      <c r="LXE37" s="2"/>
      <c r="LXF37" s="2"/>
      <c r="LXG37" s="2"/>
      <c r="LXH37" s="2"/>
      <c r="LXI37" s="2"/>
      <c r="LXJ37" s="2"/>
      <c r="LXK37" s="2"/>
      <c r="LXL37" s="2"/>
      <c r="LXM37" s="2"/>
      <c r="LXN37" s="2"/>
      <c r="LXO37" s="2"/>
      <c r="LXP37" s="2"/>
      <c r="LXQ37" s="2"/>
      <c r="LXR37" s="2"/>
      <c r="LXS37" s="2"/>
      <c r="LXT37" s="2"/>
      <c r="LXU37" s="2"/>
      <c r="LXV37" s="2"/>
      <c r="LXW37" s="2"/>
      <c r="LXX37" s="2"/>
      <c r="LXY37" s="2"/>
      <c r="LXZ37" s="2"/>
      <c r="LYA37" s="2"/>
      <c r="LYB37" s="2"/>
      <c r="LYC37" s="2"/>
      <c r="LYD37" s="2"/>
      <c r="LYE37" s="2"/>
      <c r="LYF37" s="2"/>
      <c r="LYG37" s="2"/>
      <c r="LYH37" s="2"/>
      <c r="LYI37" s="2"/>
      <c r="LYJ37" s="2"/>
      <c r="LYK37" s="2"/>
      <c r="LYL37" s="2"/>
      <c r="LYM37" s="2"/>
      <c r="LYN37" s="2"/>
      <c r="LYO37" s="2"/>
      <c r="LYP37" s="2"/>
      <c r="LYQ37" s="2"/>
      <c r="LYR37" s="2"/>
      <c r="LYS37" s="2"/>
      <c r="LYT37" s="2"/>
      <c r="LYU37" s="2"/>
      <c r="LYV37" s="2"/>
      <c r="LYW37" s="2"/>
      <c r="LYX37" s="2"/>
      <c r="LYY37" s="2"/>
      <c r="LYZ37" s="2"/>
      <c r="LZA37" s="2"/>
      <c r="LZB37" s="2"/>
      <c r="LZC37" s="2"/>
      <c r="LZD37" s="2"/>
      <c r="LZE37" s="2"/>
      <c r="LZF37" s="2"/>
      <c r="LZG37" s="2"/>
      <c r="LZH37" s="2"/>
      <c r="LZI37" s="2"/>
      <c r="LZJ37" s="2"/>
      <c r="LZK37" s="2"/>
      <c r="LZL37" s="2"/>
      <c r="LZM37" s="2"/>
      <c r="LZN37" s="2"/>
      <c r="LZO37" s="2"/>
      <c r="LZP37" s="2"/>
      <c r="LZQ37" s="2"/>
      <c r="LZR37" s="2"/>
      <c r="LZS37" s="2"/>
      <c r="LZT37" s="2"/>
      <c r="LZU37" s="2"/>
      <c r="LZV37" s="2"/>
      <c r="LZW37" s="2"/>
      <c r="LZX37" s="2"/>
      <c r="LZY37" s="2"/>
      <c r="LZZ37" s="2"/>
      <c r="MAA37" s="2"/>
      <c r="MAB37" s="2"/>
      <c r="MAC37" s="2"/>
      <c r="MAD37" s="2"/>
      <c r="MAE37" s="2"/>
      <c r="MAF37" s="2"/>
      <c r="MAG37" s="2"/>
      <c r="MAH37" s="2"/>
      <c r="MAI37" s="2"/>
      <c r="MAJ37" s="2"/>
      <c r="MAK37" s="2"/>
      <c r="MAL37" s="2"/>
      <c r="MAM37" s="2"/>
      <c r="MAN37" s="2"/>
      <c r="MAO37" s="2"/>
      <c r="MAP37" s="2"/>
      <c r="MAQ37" s="2"/>
      <c r="MAR37" s="2"/>
      <c r="MAS37" s="2"/>
      <c r="MAT37" s="2"/>
      <c r="MAU37" s="2"/>
      <c r="MAV37" s="2"/>
      <c r="MAW37" s="2"/>
      <c r="MAX37" s="2"/>
      <c r="MAY37" s="2"/>
      <c r="MAZ37" s="2"/>
      <c r="MBA37" s="2"/>
      <c r="MBB37" s="2"/>
      <c r="MBC37" s="2"/>
      <c r="MBD37" s="2"/>
      <c r="MBE37" s="2"/>
      <c r="MBF37" s="2"/>
      <c r="MBG37" s="2"/>
      <c r="MBH37" s="2"/>
      <c r="MBI37" s="2"/>
      <c r="MBJ37" s="2"/>
      <c r="MBK37" s="2"/>
      <c r="MBL37" s="2"/>
      <c r="MBM37" s="2"/>
      <c r="MBN37" s="2"/>
      <c r="MBO37" s="2"/>
      <c r="MBP37" s="2"/>
      <c r="MBQ37" s="2"/>
      <c r="MBR37" s="2"/>
      <c r="MBS37" s="2"/>
      <c r="MBT37" s="2"/>
      <c r="MBU37" s="2"/>
      <c r="MBV37" s="2"/>
      <c r="MBW37" s="2"/>
      <c r="MBX37" s="2"/>
      <c r="MBY37" s="2"/>
      <c r="MBZ37" s="2"/>
      <c r="MCA37" s="2"/>
      <c r="MCB37" s="2"/>
      <c r="MCC37" s="2"/>
      <c r="MCD37" s="2"/>
      <c r="MCE37" s="2"/>
      <c r="MCF37" s="2"/>
      <c r="MCG37" s="2"/>
      <c r="MCH37" s="2"/>
      <c r="MCI37" s="2"/>
      <c r="MCJ37" s="2"/>
      <c r="MCK37" s="2"/>
      <c r="MCL37" s="2"/>
      <c r="MCM37" s="2"/>
      <c r="MCN37" s="2"/>
      <c r="MCO37" s="2"/>
      <c r="MCP37" s="2"/>
      <c r="MCQ37" s="2"/>
      <c r="MCR37" s="2"/>
      <c r="MCS37" s="2"/>
      <c r="MCT37" s="2"/>
      <c r="MCU37" s="2"/>
      <c r="MCV37" s="2"/>
      <c r="MCW37" s="2"/>
      <c r="MCX37" s="2"/>
      <c r="MCY37" s="2"/>
      <c r="MCZ37" s="2"/>
      <c r="MDA37" s="2"/>
      <c r="MDB37" s="2"/>
      <c r="MDC37" s="2"/>
      <c r="MDD37" s="2"/>
      <c r="MDE37" s="2"/>
      <c r="MDF37" s="2"/>
      <c r="MDG37" s="2"/>
      <c r="MDH37" s="2"/>
      <c r="MDI37" s="2"/>
      <c r="MDJ37" s="2"/>
      <c r="MDK37" s="2"/>
      <c r="MDL37" s="2"/>
      <c r="MDM37" s="2"/>
      <c r="MDN37" s="2"/>
      <c r="MDO37" s="2"/>
      <c r="MDP37" s="2"/>
      <c r="MDQ37" s="2"/>
      <c r="MDR37" s="2"/>
      <c r="MDS37" s="2"/>
      <c r="MDT37" s="2"/>
      <c r="MDU37" s="2"/>
      <c r="MDV37" s="2"/>
      <c r="MDW37" s="2"/>
      <c r="MDX37" s="2"/>
      <c r="MDY37" s="2"/>
      <c r="MDZ37" s="2"/>
      <c r="MEA37" s="2"/>
      <c r="MEB37" s="2"/>
      <c r="MEC37" s="2"/>
      <c r="MED37" s="2"/>
      <c r="MEE37" s="2"/>
      <c r="MEF37" s="2"/>
      <c r="MEG37" s="2"/>
      <c r="MEH37" s="2"/>
      <c r="MEI37" s="2"/>
      <c r="MEJ37" s="2"/>
      <c r="MEK37" s="2"/>
      <c r="MEL37" s="2"/>
      <c r="MEM37" s="2"/>
      <c r="MEN37" s="2"/>
      <c r="MEO37" s="2"/>
      <c r="MEP37" s="2"/>
      <c r="MEQ37" s="2"/>
      <c r="MER37" s="2"/>
      <c r="MES37" s="2"/>
      <c r="MET37" s="2"/>
      <c r="MEU37" s="2"/>
      <c r="MEV37" s="2"/>
      <c r="MEW37" s="2"/>
      <c r="MEX37" s="2"/>
      <c r="MEY37" s="2"/>
      <c r="MEZ37" s="2"/>
      <c r="MFA37" s="2"/>
      <c r="MFB37" s="2"/>
      <c r="MFC37" s="2"/>
      <c r="MFD37" s="2"/>
      <c r="MFE37" s="2"/>
      <c r="MFF37" s="2"/>
      <c r="MFG37" s="2"/>
      <c r="MFH37" s="2"/>
      <c r="MFI37" s="2"/>
      <c r="MFJ37" s="2"/>
      <c r="MFK37" s="2"/>
      <c r="MFL37" s="2"/>
      <c r="MFM37" s="2"/>
      <c r="MFN37" s="2"/>
      <c r="MFO37" s="2"/>
      <c r="MFP37" s="2"/>
      <c r="MFQ37" s="2"/>
      <c r="MFR37" s="2"/>
      <c r="MFS37" s="2"/>
      <c r="MFT37" s="2"/>
      <c r="MFU37" s="2"/>
      <c r="MFV37" s="2"/>
      <c r="MFW37" s="2"/>
      <c r="MFX37" s="2"/>
      <c r="MFY37" s="2"/>
      <c r="MFZ37" s="2"/>
      <c r="MGA37" s="2"/>
      <c r="MGB37" s="2"/>
      <c r="MGC37" s="2"/>
      <c r="MGD37" s="2"/>
      <c r="MGE37" s="2"/>
      <c r="MGF37" s="2"/>
      <c r="MGG37" s="2"/>
      <c r="MGH37" s="2"/>
      <c r="MGI37" s="2"/>
      <c r="MGJ37" s="2"/>
      <c r="MGK37" s="2"/>
      <c r="MGL37" s="2"/>
      <c r="MGM37" s="2"/>
      <c r="MGN37" s="2"/>
      <c r="MGO37" s="2"/>
      <c r="MGP37" s="2"/>
      <c r="MGQ37" s="2"/>
      <c r="MGR37" s="2"/>
      <c r="MGS37" s="2"/>
      <c r="MGT37" s="2"/>
      <c r="MGU37" s="2"/>
      <c r="MGV37" s="2"/>
      <c r="MGW37" s="2"/>
      <c r="MGX37" s="2"/>
      <c r="MGY37" s="2"/>
      <c r="MGZ37" s="2"/>
      <c r="MHA37" s="2"/>
      <c r="MHB37" s="2"/>
      <c r="MHC37" s="2"/>
      <c r="MHD37" s="2"/>
      <c r="MHE37" s="2"/>
      <c r="MHF37" s="2"/>
      <c r="MHG37" s="2"/>
      <c r="MHH37" s="2"/>
      <c r="MHI37" s="2"/>
      <c r="MHJ37" s="2"/>
      <c r="MHK37" s="2"/>
      <c r="MHL37" s="2"/>
      <c r="MHM37" s="2"/>
      <c r="MHN37" s="2"/>
      <c r="MHO37" s="2"/>
      <c r="MHP37" s="2"/>
      <c r="MHQ37" s="2"/>
      <c r="MHR37" s="2"/>
      <c r="MHS37" s="2"/>
      <c r="MHT37" s="2"/>
      <c r="MHU37" s="2"/>
      <c r="MHV37" s="2"/>
      <c r="MHW37" s="2"/>
      <c r="MHX37" s="2"/>
      <c r="MHY37" s="2"/>
      <c r="MHZ37" s="2"/>
      <c r="MIA37" s="2"/>
      <c r="MIB37" s="2"/>
      <c r="MIC37" s="2"/>
      <c r="MID37" s="2"/>
      <c r="MIE37" s="2"/>
      <c r="MIF37" s="2"/>
      <c r="MIG37" s="2"/>
      <c r="MIH37" s="2"/>
      <c r="MII37" s="2"/>
      <c r="MIJ37" s="2"/>
      <c r="MIK37" s="2"/>
      <c r="MIL37" s="2"/>
      <c r="MIM37" s="2"/>
      <c r="MIN37" s="2"/>
      <c r="MIO37" s="2"/>
      <c r="MIP37" s="2"/>
      <c r="MIQ37" s="2"/>
      <c r="MIR37" s="2"/>
      <c r="MIS37" s="2"/>
      <c r="MIT37" s="2"/>
      <c r="MIU37" s="2"/>
      <c r="MIV37" s="2"/>
      <c r="MIW37" s="2"/>
      <c r="MIX37" s="2"/>
      <c r="MIY37" s="2"/>
      <c r="MIZ37" s="2"/>
      <c r="MJA37" s="2"/>
      <c r="MJB37" s="2"/>
      <c r="MJC37" s="2"/>
      <c r="MJD37" s="2"/>
      <c r="MJE37" s="2"/>
      <c r="MJF37" s="2"/>
      <c r="MJG37" s="2"/>
      <c r="MJH37" s="2"/>
      <c r="MJI37" s="2"/>
      <c r="MJJ37" s="2"/>
      <c r="MJK37" s="2"/>
      <c r="MJL37" s="2"/>
      <c r="MJM37" s="2"/>
      <c r="MJN37" s="2"/>
      <c r="MJO37" s="2"/>
      <c r="MJP37" s="2"/>
      <c r="MJQ37" s="2"/>
      <c r="MJR37" s="2"/>
      <c r="MJS37" s="2"/>
      <c r="MJT37" s="2"/>
      <c r="MJU37" s="2"/>
      <c r="MJV37" s="2"/>
      <c r="MJW37" s="2"/>
      <c r="MJX37" s="2"/>
      <c r="MJY37" s="2"/>
      <c r="MJZ37" s="2"/>
      <c r="MKA37" s="2"/>
      <c r="MKB37" s="2"/>
      <c r="MKC37" s="2"/>
      <c r="MKD37" s="2"/>
      <c r="MKE37" s="2"/>
      <c r="MKF37" s="2"/>
      <c r="MKG37" s="2"/>
      <c r="MKH37" s="2"/>
      <c r="MKI37" s="2"/>
      <c r="MKJ37" s="2"/>
      <c r="MKK37" s="2"/>
      <c r="MKL37" s="2"/>
      <c r="MKM37" s="2"/>
      <c r="MKN37" s="2"/>
      <c r="MKO37" s="2"/>
      <c r="MKP37" s="2"/>
      <c r="MKQ37" s="2"/>
      <c r="MKR37" s="2"/>
      <c r="MKS37" s="2"/>
      <c r="MKT37" s="2"/>
      <c r="MKU37" s="2"/>
      <c r="MKV37" s="2"/>
      <c r="MKW37" s="2"/>
      <c r="MKX37" s="2"/>
      <c r="MKY37" s="2"/>
      <c r="MKZ37" s="2"/>
      <c r="MLA37" s="2"/>
      <c r="MLB37" s="2"/>
      <c r="MLC37" s="2"/>
      <c r="MLD37" s="2"/>
      <c r="MLE37" s="2"/>
      <c r="MLF37" s="2"/>
      <c r="MLG37" s="2"/>
      <c r="MLH37" s="2"/>
      <c r="MLI37" s="2"/>
      <c r="MLJ37" s="2"/>
      <c r="MLK37" s="2"/>
      <c r="MLL37" s="2"/>
      <c r="MLM37" s="2"/>
      <c r="MLN37" s="2"/>
      <c r="MLO37" s="2"/>
      <c r="MLP37" s="2"/>
      <c r="MLQ37" s="2"/>
      <c r="MLR37" s="2"/>
      <c r="MLS37" s="2"/>
      <c r="MLT37" s="2"/>
      <c r="MLU37" s="2"/>
      <c r="MLV37" s="2"/>
      <c r="MLW37" s="2"/>
      <c r="MLX37" s="2"/>
      <c r="MLY37" s="2"/>
      <c r="MLZ37" s="2"/>
      <c r="MMA37" s="2"/>
      <c r="MMB37" s="2"/>
      <c r="MMC37" s="2"/>
      <c r="MMD37" s="2"/>
      <c r="MME37" s="2"/>
      <c r="MMF37" s="2"/>
      <c r="MMG37" s="2"/>
      <c r="MMH37" s="2"/>
      <c r="MMI37" s="2"/>
      <c r="MMJ37" s="2"/>
      <c r="MMK37" s="2"/>
      <c r="MML37" s="2"/>
      <c r="MMM37" s="2"/>
      <c r="MMN37" s="2"/>
      <c r="MMO37" s="2"/>
      <c r="MMP37" s="2"/>
      <c r="MMQ37" s="2"/>
      <c r="MMR37" s="2"/>
      <c r="MMS37" s="2"/>
      <c r="MMT37" s="2"/>
      <c r="MMU37" s="2"/>
      <c r="MMV37" s="2"/>
      <c r="MMW37" s="2"/>
      <c r="MMX37" s="2"/>
      <c r="MMY37" s="2"/>
      <c r="MMZ37" s="2"/>
      <c r="MNA37" s="2"/>
      <c r="MNB37" s="2"/>
      <c r="MNC37" s="2"/>
      <c r="MND37" s="2"/>
      <c r="MNE37" s="2"/>
      <c r="MNF37" s="2"/>
      <c r="MNG37" s="2"/>
      <c r="MNH37" s="2"/>
      <c r="MNI37" s="2"/>
      <c r="MNJ37" s="2"/>
      <c r="MNK37" s="2"/>
      <c r="MNL37" s="2"/>
      <c r="MNM37" s="2"/>
      <c r="MNN37" s="2"/>
      <c r="MNO37" s="2"/>
      <c r="MNP37" s="2"/>
      <c r="MNQ37" s="2"/>
      <c r="MNR37" s="2"/>
      <c r="MNS37" s="2"/>
      <c r="MNT37" s="2"/>
      <c r="MNU37" s="2"/>
      <c r="MNV37" s="2"/>
      <c r="MNW37" s="2"/>
      <c r="MNX37" s="2"/>
      <c r="MNY37" s="2"/>
      <c r="MNZ37" s="2"/>
      <c r="MOA37" s="2"/>
      <c r="MOB37" s="2"/>
      <c r="MOC37" s="2"/>
      <c r="MOD37" s="2"/>
      <c r="MOE37" s="2"/>
      <c r="MOF37" s="2"/>
      <c r="MOG37" s="2"/>
      <c r="MOH37" s="2"/>
      <c r="MOI37" s="2"/>
      <c r="MOJ37" s="2"/>
      <c r="MOK37" s="2"/>
      <c r="MOL37" s="2"/>
      <c r="MOM37" s="2"/>
      <c r="MON37" s="2"/>
      <c r="MOO37" s="2"/>
      <c r="MOP37" s="2"/>
      <c r="MOQ37" s="2"/>
      <c r="MOR37" s="2"/>
      <c r="MOS37" s="2"/>
      <c r="MOT37" s="2"/>
      <c r="MOU37" s="2"/>
      <c r="MOV37" s="2"/>
      <c r="MOW37" s="2"/>
      <c r="MOX37" s="2"/>
      <c r="MOY37" s="2"/>
      <c r="MOZ37" s="2"/>
      <c r="MPA37" s="2"/>
      <c r="MPB37" s="2"/>
      <c r="MPC37" s="2"/>
      <c r="MPD37" s="2"/>
      <c r="MPE37" s="2"/>
      <c r="MPF37" s="2"/>
      <c r="MPG37" s="2"/>
      <c r="MPH37" s="2"/>
      <c r="MPI37" s="2"/>
      <c r="MPJ37" s="2"/>
      <c r="MPK37" s="2"/>
      <c r="MPL37" s="2"/>
      <c r="MPM37" s="2"/>
      <c r="MPN37" s="2"/>
      <c r="MPO37" s="2"/>
      <c r="MPP37" s="2"/>
      <c r="MPQ37" s="2"/>
      <c r="MPR37" s="2"/>
      <c r="MPS37" s="2"/>
      <c r="MPT37" s="2"/>
      <c r="MPU37" s="2"/>
      <c r="MPV37" s="2"/>
      <c r="MPW37" s="2"/>
      <c r="MPX37" s="2"/>
      <c r="MPY37" s="2"/>
      <c r="MPZ37" s="2"/>
      <c r="MQA37" s="2"/>
      <c r="MQB37" s="2"/>
      <c r="MQC37" s="2"/>
      <c r="MQD37" s="2"/>
      <c r="MQE37" s="2"/>
      <c r="MQF37" s="2"/>
      <c r="MQG37" s="2"/>
      <c r="MQH37" s="2"/>
      <c r="MQI37" s="2"/>
      <c r="MQJ37" s="2"/>
      <c r="MQK37" s="2"/>
      <c r="MQL37" s="2"/>
      <c r="MQM37" s="2"/>
      <c r="MQN37" s="2"/>
      <c r="MQO37" s="2"/>
      <c r="MQP37" s="2"/>
      <c r="MQQ37" s="2"/>
      <c r="MQR37" s="2"/>
      <c r="MQS37" s="2"/>
      <c r="MQT37" s="2"/>
      <c r="MQU37" s="2"/>
      <c r="MQV37" s="2"/>
      <c r="MQW37" s="2"/>
      <c r="MQX37" s="2"/>
      <c r="MQY37" s="2"/>
      <c r="MQZ37" s="2"/>
      <c r="MRA37" s="2"/>
      <c r="MRB37" s="2"/>
      <c r="MRC37" s="2"/>
      <c r="MRD37" s="2"/>
      <c r="MRE37" s="2"/>
      <c r="MRF37" s="2"/>
      <c r="MRG37" s="2"/>
      <c r="MRH37" s="2"/>
      <c r="MRI37" s="2"/>
      <c r="MRJ37" s="2"/>
      <c r="MRK37" s="2"/>
      <c r="MRL37" s="2"/>
      <c r="MRM37" s="2"/>
      <c r="MRN37" s="2"/>
      <c r="MRO37" s="2"/>
      <c r="MRP37" s="2"/>
      <c r="MRQ37" s="2"/>
      <c r="MRR37" s="2"/>
      <c r="MRS37" s="2"/>
      <c r="MRT37" s="2"/>
      <c r="MRU37" s="2"/>
      <c r="MRV37" s="2"/>
      <c r="MRW37" s="2"/>
      <c r="MRX37" s="2"/>
      <c r="MRY37" s="2"/>
      <c r="MRZ37" s="2"/>
      <c r="MSA37" s="2"/>
      <c r="MSB37" s="2"/>
      <c r="MSC37" s="2"/>
      <c r="MSD37" s="2"/>
      <c r="MSE37" s="2"/>
      <c r="MSF37" s="2"/>
      <c r="MSG37" s="2"/>
      <c r="MSH37" s="2"/>
      <c r="MSI37" s="2"/>
      <c r="MSJ37" s="2"/>
      <c r="MSK37" s="2"/>
      <c r="MSL37" s="2"/>
      <c r="MSM37" s="2"/>
      <c r="MSN37" s="2"/>
      <c r="MSO37" s="2"/>
      <c r="MSP37" s="2"/>
      <c r="MSQ37" s="2"/>
      <c r="MSR37" s="2"/>
      <c r="MSS37" s="2"/>
      <c r="MST37" s="2"/>
      <c r="MSU37" s="2"/>
      <c r="MSV37" s="2"/>
      <c r="MSW37" s="2"/>
      <c r="MSX37" s="2"/>
      <c r="MSY37" s="2"/>
      <c r="MSZ37" s="2"/>
      <c r="MTA37" s="2"/>
      <c r="MTB37" s="2"/>
      <c r="MTC37" s="2"/>
      <c r="MTD37" s="2"/>
      <c r="MTE37" s="2"/>
      <c r="MTF37" s="2"/>
      <c r="MTG37" s="2"/>
      <c r="MTH37" s="2"/>
      <c r="MTI37" s="2"/>
      <c r="MTJ37" s="2"/>
      <c r="MTK37" s="2"/>
      <c r="MTL37" s="2"/>
      <c r="MTM37" s="2"/>
      <c r="MTN37" s="2"/>
      <c r="MTO37" s="2"/>
      <c r="MTP37" s="2"/>
      <c r="MTQ37" s="2"/>
      <c r="MTR37" s="2"/>
      <c r="MTS37" s="2"/>
      <c r="MTT37" s="2"/>
      <c r="MTU37" s="2"/>
      <c r="MTV37" s="2"/>
      <c r="MTW37" s="2"/>
      <c r="MTX37" s="2"/>
      <c r="MTY37" s="2"/>
      <c r="MTZ37" s="2"/>
      <c r="MUA37" s="2"/>
      <c r="MUB37" s="2"/>
      <c r="MUC37" s="2"/>
      <c r="MUD37" s="2"/>
      <c r="MUE37" s="2"/>
      <c r="MUF37" s="2"/>
      <c r="MUG37" s="2"/>
      <c r="MUH37" s="2"/>
      <c r="MUI37" s="2"/>
      <c r="MUJ37" s="2"/>
      <c r="MUK37" s="2"/>
      <c r="MUL37" s="2"/>
      <c r="MUM37" s="2"/>
      <c r="MUN37" s="2"/>
      <c r="MUO37" s="2"/>
      <c r="MUP37" s="2"/>
      <c r="MUQ37" s="2"/>
      <c r="MUR37" s="2"/>
      <c r="MUS37" s="2"/>
      <c r="MUT37" s="2"/>
      <c r="MUU37" s="2"/>
      <c r="MUV37" s="2"/>
      <c r="MUW37" s="2"/>
      <c r="MUX37" s="2"/>
      <c r="MUY37" s="2"/>
      <c r="MUZ37" s="2"/>
      <c r="MVA37" s="2"/>
      <c r="MVB37" s="2"/>
      <c r="MVC37" s="2"/>
      <c r="MVD37" s="2"/>
      <c r="MVE37" s="2"/>
      <c r="MVF37" s="2"/>
      <c r="MVG37" s="2"/>
      <c r="MVH37" s="2"/>
      <c r="MVI37" s="2"/>
      <c r="MVJ37" s="2"/>
      <c r="MVK37" s="2"/>
      <c r="MVL37" s="2"/>
      <c r="MVM37" s="2"/>
      <c r="MVN37" s="2"/>
      <c r="MVO37" s="2"/>
      <c r="MVP37" s="2"/>
      <c r="MVQ37" s="2"/>
      <c r="MVR37" s="2"/>
      <c r="MVS37" s="2"/>
      <c r="MVT37" s="2"/>
      <c r="MVU37" s="2"/>
      <c r="MVV37" s="2"/>
      <c r="MVW37" s="2"/>
      <c r="MVX37" s="2"/>
      <c r="MVY37" s="2"/>
      <c r="MVZ37" s="2"/>
      <c r="MWA37" s="2"/>
      <c r="MWB37" s="2"/>
      <c r="MWC37" s="2"/>
      <c r="MWD37" s="2"/>
      <c r="MWE37" s="2"/>
      <c r="MWF37" s="2"/>
      <c r="MWG37" s="2"/>
      <c r="MWH37" s="2"/>
      <c r="MWI37" s="2"/>
      <c r="MWJ37" s="2"/>
      <c r="MWK37" s="2"/>
      <c r="MWL37" s="2"/>
      <c r="MWM37" s="2"/>
      <c r="MWN37" s="2"/>
      <c r="MWO37" s="2"/>
      <c r="MWP37" s="2"/>
      <c r="MWQ37" s="2"/>
      <c r="MWR37" s="2"/>
      <c r="MWS37" s="2"/>
      <c r="MWT37" s="2"/>
      <c r="MWU37" s="2"/>
      <c r="MWV37" s="2"/>
      <c r="MWW37" s="2"/>
      <c r="MWX37" s="2"/>
      <c r="MWY37" s="2"/>
      <c r="MWZ37" s="2"/>
      <c r="MXA37" s="2"/>
      <c r="MXB37" s="2"/>
      <c r="MXC37" s="2"/>
      <c r="MXD37" s="2"/>
      <c r="MXE37" s="2"/>
      <c r="MXF37" s="2"/>
      <c r="MXG37" s="2"/>
      <c r="MXH37" s="2"/>
      <c r="MXI37" s="2"/>
      <c r="MXJ37" s="2"/>
      <c r="MXK37" s="2"/>
      <c r="MXL37" s="2"/>
      <c r="MXM37" s="2"/>
      <c r="MXN37" s="2"/>
      <c r="MXO37" s="2"/>
      <c r="MXP37" s="2"/>
      <c r="MXQ37" s="2"/>
      <c r="MXR37" s="2"/>
      <c r="MXS37" s="2"/>
      <c r="MXT37" s="2"/>
      <c r="MXU37" s="2"/>
      <c r="MXV37" s="2"/>
      <c r="MXW37" s="2"/>
      <c r="MXX37" s="2"/>
      <c r="MXY37" s="2"/>
      <c r="MXZ37" s="2"/>
      <c r="MYA37" s="2"/>
      <c r="MYB37" s="2"/>
      <c r="MYC37" s="2"/>
      <c r="MYD37" s="2"/>
      <c r="MYE37" s="2"/>
      <c r="MYF37" s="2"/>
      <c r="MYG37" s="2"/>
      <c r="MYH37" s="2"/>
      <c r="MYI37" s="2"/>
      <c r="MYJ37" s="2"/>
      <c r="MYK37" s="2"/>
      <c r="MYL37" s="2"/>
      <c r="MYM37" s="2"/>
      <c r="MYN37" s="2"/>
      <c r="MYO37" s="2"/>
      <c r="MYP37" s="2"/>
      <c r="MYQ37" s="2"/>
      <c r="MYR37" s="2"/>
      <c r="MYS37" s="2"/>
      <c r="MYT37" s="2"/>
      <c r="MYU37" s="2"/>
      <c r="MYV37" s="2"/>
      <c r="MYW37" s="2"/>
      <c r="MYX37" s="2"/>
      <c r="MYY37" s="2"/>
      <c r="MYZ37" s="2"/>
      <c r="MZA37" s="2"/>
      <c r="MZB37" s="2"/>
      <c r="MZC37" s="2"/>
      <c r="MZD37" s="2"/>
      <c r="MZE37" s="2"/>
      <c r="MZF37" s="2"/>
      <c r="MZG37" s="2"/>
      <c r="MZH37" s="2"/>
      <c r="MZI37" s="2"/>
      <c r="MZJ37" s="2"/>
      <c r="MZK37" s="2"/>
      <c r="MZL37" s="2"/>
      <c r="MZM37" s="2"/>
      <c r="MZN37" s="2"/>
      <c r="MZO37" s="2"/>
      <c r="MZP37" s="2"/>
      <c r="MZQ37" s="2"/>
      <c r="MZR37" s="2"/>
      <c r="MZS37" s="2"/>
      <c r="MZT37" s="2"/>
      <c r="MZU37" s="2"/>
      <c r="MZV37" s="2"/>
      <c r="MZW37" s="2"/>
      <c r="MZX37" s="2"/>
      <c r="MZY37" s="2"/>
      <c r="MZZ37" s="2"/>
      <c r="NAA37" s="2"/>
      <c r="NAB37" s="2"/>
      <c r="NAC37" s="2"/>
      <c r="NAD37" s="2"/>
      <c r="NAE37" s="2"/>
      <c r="NAF37" s="2"/>
      <c r="NAG37" s="2"/>
      <c r="NAH37" s="2"/>
      <c r="NAI37" s="2"/>
      <c r="NAJ37" s="2"/>
      <c r="NAK37" s="2"/>
      <c r="NAL37" s="2"/>
      <c r="NAM37" s="2"/>
      <c r="NAN37" s="2"/>
      <c r="NAO37" s="2"/>
      <c r="NAP37" s="2"/>
      <c r="NAQ37" s="2"/>
      <c r="NAR37" s="2"/>
      <c r="NAS37" s="2"/>
      <c r="NAT37" s="2"/>
      <c r="NAU37" s="2"/>
      <c r="NAV37" s="2"/>
      <c r="NAW37" s="2"/>
      <c r="NAX37" s="2"/>
      <c r="NAY37" s="2"/>
      <c r="NAZ37" s="2"/>
      <c r="NBA37" s="2"/>
      <c r="NBB37" s="2"/>
      <c r="NBC37" s="2"/>
      <c r="NBD37" s="2"/>
      <c r="NBE37" s="2"/>
      <c r="NBF37" s="2"/>
      <c r="NBG37" s="2"/>
      <c r="NBH37" s="2"/>
      <c r="NBI37" s="2"/>
      <c r="NBJ37" s="2"/>
      <c r="NBK37" s="2"/>
      <c r="NBL37" s="2"/>
      <c r="NBM37" s="2"/>
      <c r="NBN37" s="2"/>
      <c r="NBO37" s="2"/>
      <c r="NBP37" s="2"/>
      <c r="NBQ37" s="2"/>
      <c r="NBR37" s="2"/>
      <c r="NBS37" s="2"/>
      <c r="NBT37" s="2"/>
      <c r="NBU37" s="2"/>
      <c r="NBV37" s="2"/>
      <c r="NBW37" s="2"/>
      <c r="NBX37" s="2"/>
      <c r="NBY37" s="2"/>
      <c r="NBZ37" s="2"/>
      <c r="NCA37" s="2"/>
      <c r="NCB37" s="2"/>
      <c r="NCC37" s="2"/>
      <c r="NCD37" s="2"/>
      <c r="NCE37" s="2"/>
      <c r="NCF37" s="2"/>
      <c r="NCG37" s="2"/>
      <c r="NCH37" s="2"/>
      <c r="NCI37" s="2"/>
      <c r="NCJ37" s="2"/>
      <c r="NCK37" s="2"/>
      <c r="NCL37" s="2"/>
      <c r="NCM37" s="2"/>
      <c r="NCN37" s="2"/>
      <c r="NCO37" s="2"/>
      <c r="NCP37" s="2"/>
      <c r="NCQ37" s="2"/>
      <c r="NCR37" s="2"/>
      <c r="NCS37" s="2"/>
      <c r="NCT37" s="2"/>
      <c r="NCU37" s="2"/>
      <c r="NCV37" s="2"/>
      <c r="NCW37" s="2"/>
      <c r="NCX37" s="2"/>
      <c r="NCY37" s="2"/>
      <c r="NCZ37" s="2"/>
      <c r="NDA37" s="2"/>
      <c r="NDB37" s="2"/>
      <c r="NDC37" s="2"/>
      <c r="NDD37" s="2"/>
      <c r="NDE37" s="2"/>
      <c r="NDF37" s="2"/>
      <c r="NDG37" s="2"/>
      <c r="NDH37" s="2"/>
      <c r="NDI37" s="2"/>
      <c r="NDJ37" s="2"/>
      <c r="NDK37" s="2"/>
      <c r="NDL37" s="2"/>
      <c r="NDM37" s="2"/>
      <c r="NDN37" s="2"/>
      <c r="NDO37" s="2"/>
      <c r="NDP37" s="2"/>
      <c r="NDQ37" s="2"/>
      <c r="NDR37" s="2"/>
      <c r="NDS37" s="2"/>
      <c r="NDT37" s="2"/>
      <c r="NDU37" s="2"/>
      <c r="NDV37" s="2"/>
      <c r="NDW37" s="2"/>
      <c r="NDX37" s="2"/>
      <c r="NDY37" s="2"/>
      <c r="NDZ37" s="2"/>
      <c r="NEA37" s="2"/>
      <c r="NEB37" s="2"/>
      <c r="NEC37" s="2"/>
      <c r="NED37" s="2"/>
      <c r="NEE37" s="2"/>
      <c r="NEF37" s="2"/>
      <c r="NEG37" s="2"/>
      <c r="NEH37" s="2"/>
      <c r="NEI37" s="2"/>
      <c r="NEJ37" s="2"/>
      <c r="NEK37" s="2"/>
      <c r="NEL37" s="2"/>
      <c r="NEM37" s="2"/>
      <c r="NEN37" s="2"/>
      <c r="NEO37" s="2"/>
      <c r="NEP37" s="2"/>
      <c r="NEQ37" s="2"/>
      <c r="NER37" s="2"/>
      <c r="NES37" s="2"/>
      <c r="NET37" s="2"/>
      <c r="NEU37" s="2"/>
      <c r="NEV37" s="2"/>
      <c r="NEW37" s="2"/>
      <c r="NEX37" s="2"/>
      <c r="NEY37" s="2"/>
      <c r="NEZ37" s="2"/>
      <c r="NFA37" s="2"/>
      <c r="NFB37" s="2"/>
      <c r="NFC37" s="2"/>
      <c r="NFD37" s="2"/>
      <c r="NFE37" s="2"/>
      <c r="NFF37" s="2"/>
      <c r="NFG37" s="2"/>
      <c r="NFH37" s="2"/>
      <c r="NFI37" s="2"/>
      <c r="NFJ37" s="2"/>
      <c r="NFK37" s="2"/>
      <c r="NFL37" s="2"/>
      <c r="NFM37" s="2"/>
      <c r="NFN37" s="2"/>
      <c r="NFO37" s="2"/>
      <c r="NFP37" s="2"/>
      <c r="NFQ37" s="2"/>
      <c r="NFR37" s="2"/>
      <c r="NFS37" s="2"/>
      <c r="NFT37" s="2"/>
      <c r="NFU37" s="2"/>
      <c r="NFV37" s="2"/>
      <c r="NFW37" s="2"/>
      <c r="NFX37" s="2"/>
      <c r="NFY37" s="2"/>
      <c r="NFZ37" s="2"/>
      <c r="NGA37" s="2"/>
      <c r="NGB37" s="2"/>
      <c r="NGC37" s="2"/>
      <c r="NGD37" s="2"/>
      <c r="NGE37" s="2"/>
      <c r="NGF37" s="2"/>
      <c r="NGG37" s="2"/>
      <c r="NGH37" s="2"/>
      <c r="NGI37" s="2"/>
      <c r="NGJ37" s="2"/>
      <c r="NGK37" s="2"/>
      <c r="NGL37" s="2"/>
      <c r="NGM37" s="2"/>
      <c r="NGN37" s="2"/>
      <c r="NGO37" s="2"/>
      <c r="NGP37" s="2"/>
      <c r="NGQ37" s="2"/>
      <c r="NGR37" s="2"/>
      <c r="NGS37" s="2"/>
      <c r="NGT37" s="2"/>
      <c r="NGU37" s="2"/>
      <c r="NGV37" s="2"/>
      <c r="NGW37" s="2"/>
      <c r="NGX37" s="2"/>
      <c r="NGY37" s="2"/>
      <c r="NGZ37" s="2"/>
      <c r="NHA37" s="2"/>
      <c r="NHB37" s="2"/>
      <c r="NHC37" s="2"/>
      <c r="NHD37" s="2"/>
      <c r="NHE37" s="2"/>
      <c r="NHF37" s="2"/>
      <c r="NHG37" s="2"/>
      <c r="NHH37" s="2"/>
      <c r="NHI37" s="2"/>
      <c r="NHJ37" s="2"/>
      <c r="NHK37" s="2"/>
      <c r="NHL37" s="2"/>
      <c r="NHM37" s="2"/>
      <c r="NHN37" s="2"/>
      <c r="NHO37" s="2"/>
      <c r="NHP37" s="2"/>
      <c r="NHQ37" s="2"/>
      <c r="NHR37" s="2"/>
      <c r="NHS37" s="2"/>
      <c r="NHT37" s="2"/>
      <c r="NHU37" s="2"/>
      <c r="NHV37" s="2"/>
      <c r="NHW37" s="2"/>
      <c r="NHX37" s="2"/>
      <c r="NHY37" s="2"/>
      <c r="NHZ37" s="2"/>
      <c r="NIA37" s="2"/>
      <c r="NIB37" s="2"/>
      <c r="NIC37" s="2"/>
      <c r="NID37" s="2"/>
      <c r="NIE37" s="2"/>
      <c r="NIF37" s="2"/>
      <c r="NIG37" s="2"/>
      <c r="NIH37" s="2"/>
      <c r="NII37" s="2"/>
      <c r="NIJ37" s="2"/>
      <c r="NIK37" s="2"/>
      <c r="NIL37" s="2"/>
      <c r="NIM37" s="2"/>
      <c r="NIN37" s="2"/>
      <c r="NIO37" s="2"/>
      <c r="NIP37" s="2"/>
      <c r="NIQ37" s="2"/>
      <c r="NIR37" s="2"/>
      <c r="NIS37" s="2"/>
      <c r="NIT37" s="2"/>
      <c r="NIU37" s="2"/>
      <c r="NIV37" s="2"/>
      <c r="NIW37" s="2"/>
      <c r="NIX37" s="2"/>
      <c r="NIY37" s="2"/>
      <c r="NIZ37" s="2"/>
      <c r="NJA37" s="2"/>
      <c r="NJB37" s="2"/>
      <c r="NJC37" s="2"/>
      <c r="NJD37" s="2"/>
      <c r="NJE37" s="2"/>
      <c r="NJF37" s="2"/>
      <c r="NJG37" s="2"/>
      <c r="NJH37" s="2"/>
      <c r="NJI37" s="2"/>
      <c r="NJJ37" s="2"/>
      <c r="NJK37" s="2"/>
      <c r="NJL37" s="2"/>
      <c r="NJM37" s="2"/>
      <c r="NJN37" s="2"/>
      <c r="NJO37" s="2"/>
      <c r="NJP37" s="2"/>
      <c r="NJQ37" s="2"/>
      <c r="NJR37" s="2"/>
      <c r="NJS37" s="2"/>
      <c r="NJT37" s="2"/>
      <c r="NJU37" s="2"/>
      <c r="NJV37" s="2"/>
      <c r="NJW37" s="2"/>
      <c r="NJX37" s="2"/>
      <c r="NJY37" s="2"/>
      <c r="NJZ37" s="2"/>
      <c r="NKA37" s="2"/>
      <c r="NKB37" s="2"/>
      <c r="NKC37" s="2"/>
      <c r="NKD37" s="2"/>
      <c r="NKE37" s="2"/>
      <c r="NKF37" s="2"/>
      <c r="NKG37" s="2"/>
      <c r="NKH37" s="2"/>
      <c r="NKI37" s="2"/>
      <c r="NKJ37" s="2"/>
      <c r="NKK37" s="2"/>
      <c r="NKL37" s="2"/>
      <c r="NKM37" s="2"/>
      <c r="NKN37" s="2"/>
      <c r="NKO37" s="2"/>
      <c r="NKP37" s="2"/>
      <c r="NKQ37" s="2"/>
      <c r="NKR37" s="2"/>
      <c r="NKS37" s="2"/>
      <c r="NKT37" s="2"/>
      <c r="NKU37" s="2"/>
      <c r="NKV37" s="2"/>
      <c r="NKW37" s="2"/>
      <c r="NKX37" s="2"/>
      <c r="NKY37" s="2"/>
      <c r="NKZ37" s="2"/>
      <c r="NLA37" s="2"/>
      <c r="NLB37" s="2"/>
      <c r="NLC37" s="2"/>
      <c r="NLD37" s="2"/>
      <c r="NLE37" s="2"/>
      <c r="NLF37" s="2"/>
      <c r="NLG37" s="2"/>
      <c r="NLH37" s="2"/>
      <c r="NLI37" s="2"/>
      <c r="NLJ37" s="2"/>
      <c r="NLK37" s="2"/>
      <c r="NLL37" s="2"/>
      <c r="NLM37" s="2"/>
      <c r="NLN37" s="2"/>
      <c r="NLO37" s="2"/>
      <c r="NLP37" s="2"/>
      <c r="NLQ37" s="2"/>
      <c r="NLR37" s="2"/>
      <c r="NLS37" s="2"/>
      <c r="NLT37" s="2"/>
      <c r="NLU37" s="2"/>
      <c r="NLV37" s="2"/>
      <c r="NLW37" s="2"/>
      <c r="NLX37" s="2"/>
      <c r="NLY37" s="2"/>
      <c r="NLZ37" s="2"/>
      <c r="NMA37" s="2"/>
      <c r="NMB37" s="2"/>
      <c r="NMC37" s="2"/>
      <c r="NMD37" s="2"/>
      <c r="NME37" s="2"/>
      <c r="NMF37" s="2"/>
      <c r="NMG37" s="2"/>
      <c r="NMH37" s="2"/>
      <c r="NMI37" s="2"/>
      <c r="NMJ37" s="2"/>
      <c r="NMK37" s="2"/>
      <c r="NML37" s="2"/>
      <c r="NMM37" s="2"/>
      <c r="NMN37" s="2"/>
      <c r="NMO37" s="2"/>
      <c r="NMP37" s="2"/>
      <c r="NMQ37" s="2"/>
      <c r="NMR37" s="2"/>
      <c r="NMS37" s="2"/>
      <c r="NMT37" s="2"/>
      <c r="NMU37" s="2"/>
      <c r="NMV37" s="2"/>
      <c r="NMW37" s="2"/>
      <c r="NMX37" s="2"/>
      <c r="NMY37" s="2"/>
      <c r="NMZ37" s="2"/>
      <c r="NNA37" s="2"/>
      <c r="NNB37" s="2"/>
      <c r="NNC37" s="2"/>
      <c r="NND37" s="2"/>
      <c r="NNE37" s="2"/>
      <c r="NNF37" s="2"/>
      <c r="NNG37" s="2"/>
      <c r="NNH37" s="2"/>
      <c r="NNI37" s="2"/>
      <c r="NNJ37" s="2"/>
      <c r="NNK37" s="2"/>
      <c r="NNL37" s="2"/>
      <c r="NNM37" s="2"/>
      <c r="NNN37" s="2"/>
      <c r="NNO37" s="2"/>
      <c r="NNP37" s="2"/>
      <c r="NNQ37" s="2"/>
      <c r="NNR37" s="2"/>
      <c r="NNS37" s="2"/>
      <c r="NNT37" s="2"/>
      <c r="NNU37" s="2"/>
      <c r="NNV37" s="2"/>
      <c r="NNW37" s="2"/>
      <c r="NNX37" s="2"/>
      <c r="NNY37" s="2"/>
      <c r="NNZ37" s="2"/>
      <c r="NOA37" s="2"/>
      <c r="NOB37" s="2"/>
      <c r="NOC37" s="2"/>
      <c r="NOD37" s="2"/>
      <c r="NOE37" s="2"/>
      <c r="NOF37" s="2"/>
      <c r="NOG37" s="2"/>
      <c r="NOH37" s="2"/>
      <c r="NOI37" s="2"/>
      <c r="NOJ37" s="2"/>
      <c r="NOK37" s="2"/>
      <c r="NOL37" s="2"/>
      <c r="NOM37" s="2"/>
      <c r="NON37" s="2"/>
      <c r="NOO37" s="2"/>
      <c r="NOP37" s="2"/>
      <c r="NOQ37" s="2"/>
      <c r="NOR37" s="2"/>
      <c r="NOS37" s="2"/>
      <c r="NOT37" s="2"/>
      <c r="NOU37" s="2"/>
      <c r="NOV37" s="2"/>
      <c r="NOW37" s="2"/>
      <c r="NOX37" s="2"/>
      <c r="NOY37" s="2"/>
      <c r="NOZ37" s="2"/>
      <c r="NPA37" s="2"/>
      <c r="NPB37" s="2"/>
      <c r="NPC37" s="2"/>
      <c r="NPD37" s="2"/>
      <c r="NPE37" s="2"/>
      <c r="NPF37" s="2"/>
      <c r="NPG37" s="2"/>
      <c r="NPH37" s="2"/>
      <c r="NPI37" s="2"/>
      <c r="NPJ37" s="2"/>
      <c r="NPK37" s="2"/>
      <c r="NPL37" s="2"/>
      <c r="NPM37" s="2"/>
      <c r="NPN37" s="2"/>
      <c r="NPO37" s="2"/>
      <c r="NPP37" s="2"/>
      <c r="NPQ37" s="2"/>
      <c r="NPR37" s="2"/>
      <c r="NPS37" s="2"/>
      <c r="NPT37" s="2"/>
      <c r="NPU37" s="2"/>
      <c r="NPV37" s="2"/>
      <c r="NPW37" s="2"/>
      <c r="NPX37" s="2"/>
      <c r="NPY37" s="2"/>
      <c r="NPZ37" s="2"/>
      <c r="NQA37" s="2"/>
      <c r="NQB37" s="2"/>
      <c r="NQC37" s="2"/>
      <c r="NQD37" s="2"/>
      <c r="NQE37" s="2"/>
      <c r="NQF37" s="2"/>
      <c r="NQG37" s="2"/>
      <c r="NQH37" s="2"/>
      <c r="NQI37" s="2"/>
      <c r="NQJ37" s="2"/>
      <c r="NQK37" s="2"/>
      <c r="NQL37" s="2"/>
      <c r="NQM37" s="2"/>
      <c r="NQN37" s="2"/>
      <c r="NQO37" s="2"/>
      <c r="NQP37" s="2"/>
      <c r="NQQ37" s="2"/>
      <c r="NQR37" s="2"/>
      <c r="NQS37" s="2"/>
      <c r="NQT37" s="2"/>
      <c r="NQU37" s="2"/>
      <c r="NQV37" s="2"/>
      <c r="NQW37" s="2"/>
      <c r="NQX37" s="2"/>
      <c r="NQY37" s="2"/>
      <c r="NQZ37" s="2"/>
      <c r="NRA37" s="2"/>
      <c r="NRB37" s="2"/>
      <c r="NRC37" s="2"/>
      <c r="NRD37" s="2"/>
      <c r="NRE37" s="2"/>
      <c r="NRF37" s="2"/>
      <c r="NRG37" s="2"/>
      <c r="NRH37" s="2"/>
      <c r="NRI37" s="2"/>
      <c r="NRJ37" s="2"/>
      <c r="NRK37" s="2"/>
      <c r="NRL37" s="2"/>
      <c r="NRM37" s="2"/>
      <c r="NRN37" s="2"/>
      <c r="NRO37" s="2"/>
      <c r="NRP37" s="2"/>
      <c r="NRQ37" s="2"/>
      <c r="NRR37" s="2"/>
      <c r="NRS37" s="2"/>
      <c r="NRT37" s="2"/>
      <c r="NRU37" s="2"/>
      <c r="NRV37" s="2"/>
      <c r="NRW37" s="2"/>
      <c r="NRX37" s="2"/>
      <c r="NRY37" s="2"/>
      <c r="NRZ37" s="2"/>
      <c r="NSA37" s="2"/>
      <c r="NSB37" s="2"/>
      <c r="NSC37" s="2"/>
      <c r="NSD37" s="2"/>
      <c r="NSE37" s="2"/>
      <c r="NSF37" s="2"/>
      <c r="NSG37" s="2"/>
      <c r="NSH37" s="2"/>
      <c r="NSI37" s="2"/>
      <c r="NSJ37" s="2"/>
      <c r="NSK37" s="2"/>
      <c r="NSL37" s="2"/>
      <c r="NSM37" s="2"/>
      <c r="NSN37" s="2"/>
      <c r="NSO37" s="2"/>
      <c r="NSP37" s="2"/>
      <c r="NSQ37" s="2"/>
      <c r="NSR37" s="2"/>
      <c r="NSS37" s="2"/>
      <c r="NST37" s="2"/>
      <c r="NSU37" s="2"/>
      <c r="NSV37" s="2"/>
      <c r="NSW37" s="2"/>
      <c r="NSX37" s="2"/>
      <c r="NSY37" s="2"/>
      <c r="NSZ37" s="2"/>
      <c r="NTA37" s="2"/>
      <c r="NTB37" s="2"/>
      <c r="NTC37" s="2"/>
      <c r="NTD37" s="2"/>
      <c r="NTE37" s="2"/>
      <c r="NTF37" s="2"/>
      <c r="NTG37" s="2"/>
      <c r="NTH37" s="2"/>
      <c r="NTI37" s="2"/>
      <c r="NTJ37" s="2"/>
      <c r="NTK37" s="2"/>
      <c r="NTL37" s="2"/>
      <c r="NTM37" s="2"/>
      <c r="NTN37" s="2"/>
      <c r="NTO37" s="2"/>
      <c r="NTP37" s="2"/>
      <c r="NTQ37" s="2"/>
      <c r="NTR37" s="2"/>
      <c r="NTS37" s="2"/>
      <c r="NTT37" s="2"/>
      <c r="NTU37" s="2"/>
      <c r="NTV37" s="2"/>
      <c r="NTW37" s="2"/>
      <c r="NTX37" s="2"/>
      <c r="NTY37" s="2"/>
      <c r="NTZ37" s="2"/>
      <c r="NUA37" s="2"/>
      <c r="NUB37" s="2"/>
      <c r="NUC37" s="2"/>
      <c r="NUD37" s="2"/>
      <c r="NUE37" s="2"/>
      <c r="NUF37" s="2"/>
      <c r="NUG37" s="2"/>
      <c r="NUH37" s="2"/>
      <c r="NUI37" s="2"/>
      <c r="NUJ37" s="2"/>
      <c r="NUK37" s="2"/>
      <c r="NUL37" s="2"/>
      <c r="NUM37" s="2"/>
      <c r="NUN37" s="2"/>
      <c r="NUO37" s="2"/>
      <c r="NUP37" s="2"/>
      <c r="NUQ37" s="2"/>
      <c r="NUR37" s="2"/>
      <c r="NUS37" s="2"/>
      <c r="NUT37" s="2"/>
      <c r="NUU37" s="2"/>
      <c r="NUV37" s="2"/>
      <c r="NUW37" s="2"/>
      <c r="NUX37" s="2"/>
      <c r="NUY37" s="2"/>
      <c r="NUZ37" s="2"/>
      <c r="NVA37" s="2"/>
      <c r="NVB37" s="2"/>
      <c r="NVC37" s="2"/>
      <c r="NVD37" s="2"/>
      <c r="NVE37" s="2"/>
      <c r="NVF37" s="2"/>
      <c r="NVG37" s="2"/>
      <c r="NVH37" s="2"/>
      <c r="NVI37" s="2"/>
      <c r="NVJ37" s="2"/>
      <c r="NVK37" s="2"/>
      <c r="NVL37" s="2"/>
      <c r="NVM37" s="2"/>
      <c r="NVN37" s="2"/>
      <c r="NVO37" s="2"/>
      <c r="NVP37" s="2"/>
      <c r="NVQ37" s="2"/>
      <c r="NVR37" s="2"/>
      <c r="NVS37" s="2"/>
      <c r="NVT37" s="2"/>
      <c r="NVU37" s="2"/>
      <c r="NVV37" s="2"/>
      <c r="NVW37" s="2"/>
      <c r="NVX37" s="2"/>
      <c r="NVY37" s="2"/>
      <c r="NVZ37" s="2"/>
      <c r="NWA37" s="2"/>
      <c r="NWB37" s="2"/>
      <c r="NWC37" s="2"/>
      <c r="NWD37" s="2"/>
      <c r="NWE37" s="2"/>
      <c r="NWF37" s="2"/>
      <c r="NWG37" s="2"/>
      <c r="NWH37" s="2"/>
      <c r="NWI37" s="2"/>
      <c r="NWJ37" s="2"/>
      <c r="NWK37" s="2"/>
      <c r="NWL37" s="2"/>
      <c r="NWM37" s="2"/>
      <c r="NWN37" s="2"/>
      <c r="NWO37" s="2"/>
      <c r="NWP37" s="2"/>
      <c r="NWQ37" s="2"/>
      <c r="NWR37" s="2"/>
      <c r="NWS37" s="2"/>
      <c r="NWT37" s="2"/>
      <c r="NWU37" s="2"/>
      <c r="NWV37" s="2"/>
      <c r="NWW37" s="2"/>
      <c r="NWX37" s="2"/>
      <c r="NWY37" s="2"/>
      <c r="NWZ37" s="2"/>
      <c r="NXA37" s="2"/>
      <c r="NXB37" s="2"/>
      <c r="NXC37" s="2"/>
      <c r="NXD37" s="2"/>
      <c r="NXE37" s="2"/>
      <c r="NXF37" s="2"/>
      <c r="NXG37" s="2"/>
      <c r="NXH37" s="2"/>
      <c r="NXI37" s="2"/>
      <c r="NXJ37" s="2"/>
      <c r="NXK37" s="2"/>
      <c r="NXL37" s="2"/>
      <c r="NXM37" s="2"/>
      <c r="NXN37" s="2"/>
      <c r="NXO37" s="2"/>
      <c r="NXP37" s="2"/>
      <c r="NXQ37" s="2"/>
      <c r="NXR37" s="2"/>
      <c r="NXS37" s="2"/>
      <c r="NXT37" s="2"/>
      <c r="NXU37" s="2"/>
      <c r="NXV37" s="2"/>
      <c r="NXW37" s="2"/>
      <c r="NXX37" s="2"/>
      <c r="NXY37" s="2"/>
      <c r="NXZ37" s="2"/>
      <c r="NYA37" s="2"/>
      <c r="NYB37" s="2"/>
      <c r="NYC37" s="2"/>
      <c r="NYD37" s="2"/>
      <c r="NYE37" s="2"/>
      <c r="NYF37" s="2"/>
      <c r="NYG37" s="2"/>
      <c r="NYH37" s="2"/>
      <c r="NYI37" s="2"/>
      <c r="NYJ37" s="2"/>
      <c r="NYK37" s="2"/>
      <c r="NYL37" s="2"/>
      <c r="NYM37" s="2"/>
      <c r="NYN37" s="2"/>
      <c r="NYO37" s="2"/>
      <c r="NYP37" s="2"/>
      <c r="NYQ37" s="2"/>
      <c r="NYR37" s="2"/>
      <c r="NYS37" s="2"/>
      <c r="NYT37" s="2"/>
      <c r="NYU37" s="2"/>
      <c r="NYV37" s="2"/>
      <c r="NYW37" s="2"/>
      <c r="NYX37" s="2"/>
      <c r="NYY37" s="2"/>
      <c r="NYZ37" s="2"/>
      <c r="NZA37" s="2"/>
      <c r="NZB37" s="2"/>
      <c r="NZC37" s="2"/>
      <c r="NZD37" s="2"/>
      <c r="NZE37" s="2"/>
      <c r="NZF37" s="2"/>
      <c r="NZG37" s="2"/>
      <c r="NZH37" s="2"/>
      <c r="NZI37" s="2"/>
      <c r="NZJ37" s="2"/>
      <c r="NZK37" s="2"/>
      <c r="NZL37" s="2"/>
      <c r="NZM37" s="2"/>
      <c r="NZN37" s="2"/>
      <c r="NZO37" s="2"/>
      <c r="NZP37" s="2"/>
      <c r="NZQ37" s="2"/>
      <c r="NZR37" s="2"/>
      <c r="NZS37" s="2"/>
      <c r="NZT37" s="2"/>
      <c r="NZU37" s="2"/>
      <c r="NZV37" s="2"/>
      <c r="NZW37" s="2"/>
      <c r="NZX37" s="2"/>
      <c r="NZY37" s="2"/>
      <c r="NZZ37" s="2"/>
      <c r="OAA37" s="2"/>
      <c r="OAB37" s="2"/>
      <c r="OAC37" s="2"/>
      <c r="OAD37" s="2"/>
      <c r="OAE37" s="2"/>
      <c r="OAF37" s="2"/>
      <c r="OAG37" s="2"/>
      <c r="OAH37" s="2"/>
      <c r="OAI37" s="2"/>
      <c r="OAJ37" s="2"/>
      <c r="OAK37" s="2"/>
      <c r="OAL37" s="2"/>
      <c r="OAM37" s="2"/>
      <c r="OAN37" s="2"/>
      <c r="OAO37" s="2"/>
      <c r="OAP37" s="2"/>
      <c r="OAQ37" s="2"/>
      <c r="OAR37" s="2"/>
      <c r="OAS37" s="2"/>
      <c r="OAT37" s="2"/>
      <c r="OAU37" s="2"/>
      <c r="OAV37" s="2"/>
      <c r="OAW37" s="2"/>
      <c r="OAX37" s="2"/>
      <c r="OAY37" s="2"/>
      <c r="OAZ37" s="2"/>
      <c r="OBA37" s="2"/>
      <c r="OBB37" s="2"/>
      <c r="OBC37" s="2"/>
      <c r="OBD37" s="2"/>
      <c r="OBE37" s="2"/>
      <c r="OBF37" s="2"/>
      <c r="OBG37" s="2"/>
      <c r="OBH37" s="2"/>
      <c r="OBI37" s="2"/>
      <c r="OBJ37" s="2"/>
      <c r="OBK37" s="2"/>
      <c r="OBL37" s="2"/>
      <c r="OBM37" s="2"/>
      <c r="OBN37" s="2"/>
      <c r="OBO37" s="2"/>
      <c r="OBP37" s="2"/>
      <c r="OBQ37" s="2"/>
      <c r="OBR37" s="2"/>
      <c r="OBS37" s="2"/>
      <c r="OBT37" s="2"/>
      <c r="OBU37" s="2"/>
      <c r="OBV37" s="2"/>
      <c r="OBW37" s="2"/>
      <c r="OBX37" s="2"/>
      <c r="OBY37" s="2"/>
      <c r="OBZ37" s="2"/>
      <c r="OCA37" s="2"/>
      <c r="OCB37" s="2"/>
      <c r="OCC37" s="2"/>
      <c r="OCD37" s="2"/>
      <c r="OCE37" s="2"/>
      <c r="OCF37" s="2"/>
      <c r="OCG37" s="2"/>
      <c r="OCH37" s="2"/>
      <c r="OCI37" s="2"/>
      <c r="OCJ37" s="2"/>
      <c r="OCK37" s="2"/>
      <c r="OCL37" s="2"/>
      <c r="OCM37" s="2"/>
      <c r="OCN37" s="2"/>
      <c r="OCO37" s="2"/>
      <c r="OCP37" s="2"/>
      <c r="OCQ37" s="2"/>
      <c r="OCR37" s="2"/>
      <c r="OCS37" s="2"/>
      <c r="OCT37" s="2"/>
      <c r="OCU37" s="2"/>
      <c r="OCV37" s="2"/>
      <c r="OCW37" s="2"/>
      <c r="OCX37" s="2"/>
      <c r="OCY37" s="2"/>
      <c r="OCZ37" s="2"/>
      <c r="ODA37" s="2"/>
      <c r="ODB37" s="2"/>
      <c r="ODC37" s="2"/>
      <c r="ODD37" s="2"/>
      <c r="ODE37" s="2"/>
      <c r="ODF37" s="2"/>
      <c r="ODG37" s="2"/>
      <c r="ODH37" s="2"/>
      <c r="ODI37" s="2"/>
      <c r="ODJ37" s="2"/>
      <c r="ODK37" s="2"/>
      <c r="ODL37" s="2"/>
      <c r="ODM37" s="2"/>
      <c r="ODN37" s="2"/>
      <c r="ODO37" s="2"/>
      <c r="ODP37" s="2"/>
      <c r="ODQ37" s="2"/>
      <c r="ODR37" s="2"/>
      <c r="ODS37" s="2"/>
      <c r="ODT37" s="2"/>
      <c r="ODU37" s="2"/>
      <c r="ODV37" s="2"/>
      <c r="ODW37" s="2"/>
      <c r="ODX37" s="2"/>
      <c r="ODY37" s="2"/>
      <c r="ODZ37" s="2"/>
      <c r="OEA37" s="2"/>
      <c r="OEB37" s="2"/>
      <c r="OEC37" s="2"/>
      <c r="OED37" s="2"/>
      <c r="OEE37" s="2"/>
      <c r="OEF37" s="2"/>
      <c r="OEG37" s="2"/>
      <c r="OEH37" s="2"/>
      <c r="OEI37" s="2"/>
      <c r="OEJ37" s="2"/>
      <c r="OEK37" s="2"/>
      <c r="OEL37" s="2"/>
      <c r="OEM37" s="2"/>
      <c r="OEN37" s="2"/>
      <c r="OEO37" s="2"/>
      <c r="OEP37" s="2"/>
      <c r="OEQ37" s="2"/>
      <c r="OER37" s="2"/>
      <c r="OES37" s="2"/>
      <c r="OET37" s="2"/>
      <c r="OEU37" s="2"/>
      <c r="OEV37" s="2"/>
      <c r="OEW37" s="2"/>
      <c r="OEX37" s="2"/>
      <c r="OEY37" s="2"/>
      <c r="OEZ37" s="2"/>
      <c r="OFA37" s="2"/>
      <c r="OFB37" s="2"/>
      <c r="OFC37" s="2"/>
      <c r="OFD37" s="2"/>
      <c r="OFE37" s="2"/>
      <c r="OFF37" s="2"/>
      <c r="OFG37" s="2"/>
      <c r="OFH37" s="2"/>
      <c r="OFI37" s="2"/>
      <c r="OFJ37" s="2"/>
      <c r="OFK37" s="2"/>
      <c r="OFL37" s="2"/>
      <c r="OFM37" s="2"/>
      <c r="OFN37" s="2"/>
      <c r="OFO37" s="2"/>
      <c r="OFP37" s="2"/>
      <c r="OFQ37" s="2"/>
      <c r="OFR37" s="2"/>
      <c r="OFS37" s="2"/>
      <c r="OFT37" s="2"/>
      <c r="OFU37" s="2"/>
      <c r="OFV37" s="2"/>
      <c r="OFW37" s="2"/>
      <c r="OFX37" s="2"/>
      <c r="OFY37" s="2"/>
      <c r="OFZ37" s="2"/>
      <c r="OGA37" s="2"/>
      <c r="OGB37" s="2"/>
      <c r="OGC37" s="2"/>
      <c r="OGD37" s="2"/>
      <c r="OGE37" s="2"/>
      <c r="OGF37" s="2"/>
      <c r="OGG37" s="2"/>
      <c r="OGH37" s="2"/>
      <c r="OGI37" s="2"/>
      <c r="OGJ37" s="2"/>
      <c r="OGK37" s="2"/>
      <c r="OGL37" s="2"/>
      <c r="OGM37" s="2"/>
      <c r="OGN37" s="2"/>
      <c r="OGO37" s="2"/>
      <c r="OGP37" s="2"/>
      <c r="OGQ37" s="2"/>
      <c r="OGR37" s="2"/>
      <c r="OGS37" s="2"/>
      <c r="OGT37" s="2"/>
      <c r="OGU37" s="2"/>
      <c r="OGV37" s="2"/>
      <c r="OGW37" s="2"/>
      <c r="OGX37" s="2"/>
      <c r="OGY37" s="2"/>
      <c r="OGZ37" s="2"/>
      <c r="OHA37" s="2"/>
      <c r="OHB37" s="2"/>
      <c r="OHC37" s="2"/>
      <c r="OHD37" s="2"/>
      <c r="OHE37" s="2"/>
      <c r="OHF37" s="2"/>
      <c r="OHG37" s="2"/>
      <c r="OHH37" s="2"/>
      <c r="OHI37" s="2"/>
      <c r="OHJ37" s="2"/>
      <c r="OHK37" s="2"/>
      <c r="OHL37" s="2"/>
      <c r="OHM37" s="2"/>
      <c r="OHN37" s="2"/>
      <c r="OHO37" s="2"/>
      <c r="OHP37" s="2"/>
      <c r="OHQ37" s="2"/>
      <c r="OHR37" s="2"/>
      <c r="OHS37" s="2"/>
      <c r="OHT37" s="2"/>
      <c r="OHU37" s="2"/>
      <c r="OHV37" s="2"/>
      <c r="OHW37" s="2"/>
      <c r="OHX37" s="2"/>
      <c r="OHY37" s="2"/>
      <c r="OHZ37" s="2"/>
      <c r="OIA37" s="2"/>
      <c r="OIB37" s="2"/>
      <c r="OIC37" s="2"/>
      <c r="OID37" s="2"/>
      <c r="OIE37" s="2"/>
      <c r="OIF37" s="2"/>
      <c r="OIG37" s="2"/>
      <c r="OIH37" s="2"/>
      <c r="OII37" s="2"/>
      <c r="OIJ37" s="2"/>
      <c r="OIK37" s="2"/>
      <c r="OIL37" s="2"/>
      <c r="OIM37" s="2"/>
      <c r="OIN37" s="2"/>
      <c r="OIO37" s="2"/>
      <c r="OIP37" s="2"/>
      <c r="OIQ37" s="2"/>
      <c r="OIR37" s="2"/>
      <c r="OIS37" s="2"/>
      <c r="OIT37" s="2"/>
      <c r="OIU37" s="2"/>
      <c r="OIV37" s="2"/>
      <c r="OIW37" s="2"/>
      <c r="OIX37" s="2"/>
      <c r="OIY37" s="2"/>
      <c r="OIZ37" s="2"/>
      <c r="OJA37" s="2"/>
      <c r="OJB37" s="2"/>
      <c r="OJC37" s="2"/>
      <c r="OJD37" s="2"/>
      <c r="OJE37" s="2"/>
      <c r="OJF37" s="2"/>
      <c r="OJG37" s="2"/>
      <c r="OJH37" s="2"/>
      <c r="OJI37" s="2"/>
      <c r="OJJ37" s="2"/>
      <c r="OJK37" s="2"/>
      <c r="OJL37" s="2"/>
      <c r="OJM37" s="2"/>
      <c r="OJN37" s="2"/>
      <c r="OJO37" s="2"/>
      <c r="OJP37" s="2"/>
      <c r="OJQ37" s="2"/>
      <c r="OJR37" s="2"/>
      <c r="OJS37" s="2"/>
      <c r="OJT37" s="2"/>
      <c r="OJU37" s="2"/>
      <c r="OJV37" s="2"/>
      <c r="OJW37" s="2"/>
      <c r="OJX37" s="2"/>
      <c r="OJY37" s="2"/>
      <c r="OJZ37" s="2"/>
      <c r="OKA37" s="2"/>
      <c r="OKB37" s="2"/>
      <c r="OKC37" s="2"/>
      <c r="OKD37" s="2"/>
      <c r="OKE37" s="2"/>
      <c r="OKF37" s="2"/>
      <c r="OKG37" s="2"/>
      <c r="OKH37" s="2"/>
      <c r="OKI37" s="2"/>
      <c r="OKJ37" s="2"/>
      <c r="OKK37" s="2"/>
      <c r="OKL37" s="2"/>
      <c r="OKM37" s="2"/>
      <c r="OKN37" s="2"/>
      <c r="OKO37" s="2"/>
      <c r="OKP37" s="2"/>
      <c r="OKQ37" s="2"/>
      <c r="OKR37" s="2"/>
      <c r="OKS37" s="2"/>
      <c r="OKT37" s="2"/>
      <c r="OKU37" s="2"/>
      <c r="OKV37" s="2"/>
      <c r="OKW37" s="2"/>
      <c r="OKX37" s="2"/>
      <c r="OKY37" s="2"/>
      <c r="OKZ37" s="2"/>
      <c r="OLA37" s="2"/>
      <c r="OLB37" s="2"/>
      <c r="OLC37" s="2"/>
      <c r="OLD37" s="2"/>
      <c r="OLE37" s="2"/>
      <c r="OLF37" s="2"/>
      <c r="OLG37" s="2"/>
      <c r="OLH37" s="2"/>
      <c r="OLI37" s="2"/>
      <c r="OLJ37" s="2"/>
      <c r="OLK37" s="2"/>
      <c r="OLL37" s="2"/>
      <c r="OLM37" s="2"/>
      <c r="OLN37" s="2"/>
      <c r="OLO37" s="2"/>
      <c r="OLP37" s="2"/>
      <c r="OLQ37" s="2"/>
      <c r="OLR37" s="2"/>
      <c r="OLS37" s="2"/>
      <c r="OLT37" s="2"/>
      <c r="OLU37" s="2"/>
      <c r="OLV37" s="2"/>
      <c r="OLW37" s="2"/>
      <c r="OLX37" s="2"/>
      <c r="OLY37" s="2"/>
      <c r="OLZ37" s="2"/>
      <c r="OMA37" s="2"/>
      <c r="OMB37" s="2"/>
      <c r="OMC37" s="2"/>
      <c r="OMD37" s="2"/>
      <c r="OME37" s="2"/>
      <c r="OMF37" s="2"/>
      <c r="OMG37" s="2"/>
      <c r="OMH37" s="2"/>
      <c r="OMI37" s="2"/>
      <c r="OMJ37" s="2"/>
      <c r="OMK37" s="2"/>
      <c r="OML37" s="2"/>
      <c r="OMM37" s="2"/>
      <c r="OMN37" s="2"/>
      <c r="OMO37" s="2"/>
      <c r="OMP37" s="2"/>
      <c r="OMQ37" s="2"/>
      <c r="OMR37" s="2"/>
      <c r="OMS37" s="2"/>
      <c r="OMT37" s="2"/>
      <c r="OMU37" s="2"/>
      <c r="OMV37" s="2"/>
      <c r="OMW37" s="2"/>
      <c r="OMX37" s="2"/>
      <c r="OMY37" s="2"/>
      <c r="OMZ37" s="2"/>
      <c r="ONA37" s="2"/>
      <c r="ONB37" s="2"/>
      <c r="ONC37" s="2"/>
      <c r="OND37" s="2"/>
      <c r="ONE37" s="2"/>
      <c r="ONF37" s="2"/>
      <c r="ONG37" s="2"/>
      <c r="ONH37" s="2"/>
      <c r="ONI37" s="2"/>
      <c r="ONJ37" s="2"/>
      <c r="ONK37" s="2"/>
      <c r="ONL37" s="2"/>
      <c r="ONM37" s="2"/>
      <c r="ONN37" s="2"/>
      <c r="ONO37" s="2"/>
      <c r="ONP37" s="2"/>
      <c r="ONQ37" s="2"/>
      <c r="ONR37" s="2"/>
      <c r="ONS37" s="2"/>
      <c r="ONT37" s="2"/>
      <c r="ONU37" s="2"/>
      <c r="ONV37" s="2"/>
      <c r="ONW37" s="2"/>
      <c r="ONX37" s="2"/>
      <c r="ONY37" s="2"/>
      <c r="ONZ37" s="2"/>
      <c r="OOA37" s="2"/>
      <c r="OOB37" s="2"/>
      <c r="OOC37" s="2"/>
      <c r="OOD37" s="2"/>
      <c r="OOE37" s="2"/>
      <c r="OOF37" s="2"/>
      <c r="OOG37" s="2"/>
      <c r="OOH37" s="2"/>
      <c r="OOI37" s="2"/>
      <c r="OOJ37" s="2"/>
      <c r="OOK37" s="2"/>
      <c r="OOL37" s="2"/>
      <c r="OOM37" s="2"/>
      <c r="OON37" s="2"/>
      <c r="OOO37" s="2"/>
      <c r="OOP37" s="2"/>
      <c r="OOQ37" s="2"/>
      <c r="OOR37" s="2"/>
      <c r="OOS37" s="2"/>
      <c r="OOT37" s="2"/>
      <c r="OOU37" s="2"/>
      <c r="OOV37" s="2"/>
      <c r="OOW37" s="2"/>
      <c r="OOX37" s="2"/>
      <c r="OOY37" s="2"/>
      <c r="OOZ37" s="2"/>
      <c r="OPA37" s="2"/>
      <c r="OPB37" s="2"/>
      <c r="OPC37" s="2"/>
      <c r="OPD37" s="2"/>
      <c r="OPE37" s="2"/>
      <c r="OPF37" s="2"/>
      <c r="OPG37" s="2"/>
      <c r="OPH37" s="2"/>
      <c r="OPI37" s="2"/>
      <c r="OPJ37" s="2"/>
      <c r="OPK37" s="2"/>
      <c r="OPL37" s="2"/>
      <c r="OPM37" s="2"/>
      <c r="OPN37" s="2"/>
      <c r="OPO37" s="2"/>
      <c r="OPP37" s="2"/>
      <c r="OPQ37" s="2"/>
      <c r="OPR37" s="2"/>
      <c r="OPS37" s="2"/>
      <c r="OPT37" s="2"/>
      <c r="OPU37" s="2"/>
      <c r="OPV37" s="2"/>
      <c r="OPW37" s="2"/>
      <c r="OPX37" s="2"/>
      <c r="OPY37" s="2"/>
      <c r="OPZ37" s="2"/>
      <c r="OQA37" s="2"/>
      <c r="OQB37" s="2"/>
      <c r="OQC37" s="2"/>
      <c r="OQD37" s="2"/>
      <c r="OQE37" s="2"/>
      <c r="OQF37" s="2"/>
      <c r="OQG37" s="2"/>
      <c r="OQH37" s="2"/>
      <c r="OQI37" s="2"/>
      <c r="OQJ37" s="2"/>
      <c r="OQK37" s="2"/>
      <c r="OQL37" s="2"/>
      <c r="OQM37" s="2"/>
      <c r="OQN37" s="2"/>
      <c r="OQO37" s="2"/>
      <c r="OQP37" s="2"/>
      <c r="OQQ37" s="2"/>
      <c r="OQR37" s="2"/>
      <c r="OQS37" s="2"/>
      <c r="OQT37" s="2"/>
      <c r="OQU37" s="2"/>
      <c r="OQV37" s="2"/>
      <c r="OQW37" s="2"/>
      <c r="OQX37" s="2"/>
      <c r="OQY37" s="2"/>
      <c r="OQZ37" s="2"/>
      <c r="ORA37" s="2"/>
      <c r="ORB37" s="2"/>
      <c r="ORC37" s="2"/>
      <c r="ORD37" s="2"/>
      <c r="ORE37" s="2"/>
      <c r="ORF37" s="2"/>
      <c r="ORG37" s="2"/>
      <c r="ORH37" s="2"/>
      <c r="ORI37" s="2"/>
      <c r="ORJ37" s="2"/>
      <c r="ORK37" s="2"/>
      <c r="ORL37" s="2"/>
      <c r="ORM37" s="2"/>
      <c r="ORN37" s="2"/>
      <c r="ORO37" s="2"/>
      <c r="ORP37" s="2"/>
      <c r="ORQ37" s="2"/>
      <c r="ORR37" s="2"/>
      <c r="ORS37" s="2"/>
      <c r="ORT37" s="2"/>
      <c r="ORU37" s="2"/>
      <c r="ORV37" s="2"/>
      <c r="ORW37" s="2"/>
      <c r="ORX37" s="2"/>
      <c r="ORY37" s="2"/>
      <c r="ORZ37" s="2"/>
      <c r="OSA37" s="2"/>
      <c r="OSB37" s="2"/>
      <c r="OSC37" s="2"/>
      <c r="OSD37" s="2"/>
      <c r="OSE37" s="2"/>
      <c r="OSF37" s="2"/>
      <c r="OSG37" s="2"/>
      <c r="OSH37" s="2"/>
      <c r="OSI37" s="2"/>
      <c r="OSJ37" s="2"/>
      <c r="OSK37" s="2"/>
      <c r="OSL37" s="2"/>
      <c r="OSM37" s="2"/>
      <c r="OSN37" s="2"/>
      <c r="OSO37" s="2"/>
      <c r="OSP37" s="2"/>
      <c r="OSQ37" s="2"/>
      <c r="OSR37" s="2"/>
      <c r="OSS37" s="2"/>
      <c r="OST37" s="2"/>
      <c r="OSU37" s="2"/>
      <c r="OSV37" s="2"/>
      <c r="OSW37" s="2"/>
      <c r="OSX37" s="2"/>
      <c r="OSY37" s="2"/>
      <c r="OSZ37" s="2"/>
      <c r="OTA37" s="2"/>
      <c r="OTB37" s="2"/>
      <c r="OTC37" s="2"/>
      <c r="OTD37" s="2"/>
      <c r="OTE37" s="2"/>
      <c r="OTF37" s="2"/>
      <c r="OTG37" s="2"/>
      <c r="OTH37" s="2"/>
      <c r="OTI37" s="2"/>
      <c r="OTJ37" s="2"/>
      <c r="OTK37" s="2"/>
      <c r="OTL37" s="2"/>
      <c r="OTM37" s="2"/>
      <c r="OTN37" s="2"/>
      <c r="OTO37" s="2"/>
      <c r="OTP37" s="2"/>
      <c r="OTQ37" s="2"/>
      <c r="OTR37" s="2"/>
      <c r="OTS37" s="2"/>
      <c r="OTT37" s="2"/>
      <c r="OTU37" s="2"/>
      <c r="OTV37" s="2"/>
      <c r="OTW37" s="2"/>
      <c r="OTX37" s="2"/>
      <c r="OTY37" s="2"/>
      <c r="OTZ37" s="2"/>
      <c r="OUA37" s="2"/>
      <c r="OUB37" s="2"/>
      <c r="OUC37" s="2"/>
      <c r="OUD37" s="2"/>
      <c r="OUE37" s="2"/>
      <c r="OUF37" s="2"/>
      <c r="OUG37" s="2"/>
      <c r="OUH37" s="2"/>
      <c r="OUI37" s="2"/>
      <c r="OUJ37" s="2"/>
      <c r="OUK37" s="2"/>
      <c r="OUL37" s="2"/>
      <c r="OUM37" s="2"/>
      <c r="OUN37" s="2"/>
      <c r="OUO37" s="2"/>
      <c r="OUP37" s="2"/>
      <c r="OUQ37" s="2"/>
      <c r="OUR37" s="2"/>
      <c r="OUS37" s="2"/>
      <c r="OUT37" s="2"/>
      <c r="OUU37" s="2"/>
      <c r="OUV37" s="2"/>
      <c r="OUW37" s="2"/>
      <c r="OUX37" s="2"/>
      <c r="OUY37" s="2"/>
      <c r="OUZ37" s="2"/>
      <c r="OVA37" s="2"/>
      <c r="OVB37" s="2"/>
      <c r="OVC37" s="2"/>
      <c r="OVD37" s="2"/>
      <c r="OVE37" s="2"/>
      <c r="OVF37" s="2"/>
      <c r="OVG37" s="2"/>
      <c r="OVH37" s="2"/>
      <c r="OVI37" s="2"/>
      <c r="OVJ37" s="2"/>
      <c r="OVK37" s="2"/>
      <c r="OVL37" s="2"/>
      <c r="OVM37" s="2"/>
      <c r="OVN37" s="2"/>
      <c r="OVO37" s="2"/>
      <c r="OVP37" s="2"/>
      <c r="OVQ37" s="2"/>
      <c r="OVR37" s="2"/>
      <c r="OVS37" s="2"/>
      <c r="OVT37" s="2"/>
      <c r="OVU37" s="2"/>
      <c r="OVV37" s="2"/>
      <c r="OVW37" s="2"/>
      <c r="OVX37" s="2"/>
      <c r="OVY37" s="2"/>
      <c r="OVZ37" s="2"/>
      <c r="OWA37" s="2"/>
      <c r="OWB37" s="2"/>
      <c r="OWC37" s="2"/>
      <c r="OWD37" s="2"/>
      <c r="OWE37" s="2"/>
      <c r="OWF37" s="2"/>
      <c r="OWG37" s="2"/>
      <c r="OWH37" s="2"/>
      <c r="OWI37" s="2"/>
      <c r="OWJ37" s="2"/>
      <c r="OWK37" s="2"/>
      <c r="OWL37" s="2"/>
      <c r="OWM37" s="2"/>
      <c r="OWN37" s="2"/>
      <c r="OWO37" s="2"/>
      <c r="OWP37" s="2"/>
      <c r="OWQ37" s="2"/>
      <c r="OWR37" s="2"/>
      <c r="OWS37" s="2"/>
      <c r="OWT37" s="2"/>
      <c r="OWU37" s="2"/>
      <c r="OWV37" s="2"/>
      <c r="OWW37" s="2"/>
      <c r="OWX37" s="2"/>
      <c r="OWY37" s="2"/>
      <c r="OWZ37" s="2"/>
      <c r="OXA37" s="2"/>
      <c r="OXB37" s="2"/>
      <c r="OXC37" s="2"/>
      <c r="OXD37" s="2"/>
      <c r="OXE37" s="2"/>
      <c r="OXF37" s="2"/>
      <c r="OXG37" s="2"/>
      <c r="OXH37" s="2"/>
      <c r="OXI37" s="2"/>
      <c r="OXJ37" s="2"/>
      <c r="OXK37" s="2"/>
      <c r="OXL37" s="2"/>
      <c r="OXM37" s="2"/>
      <c r="OXN37" s="2"/>
      <c r="OXO37" s="2"/>
      <c r="OXP37" s="2"/>
      <c r="OXQ37" s="2"/>
      <c r="OXR37" s="2"/>
      <c r="OXS37" s="2"/>
      <c r="OXT37" s="2"/>
      <c r="OXU37" s="2"/>
      <c r="OXV37" s="2"/>
      <c r="OXW37" s="2"/>
      <c r="OXX37" s="2"/>
      <c r="OXY37" s="2"/>
      <c r="OXZ37" s="2"/>
      <c r="OYA37" s="2"/>
      <c r="OYB37" s="2"/>
      <c r="OYC37" s="2"/>
      <c r="OYD37" s="2"/>
      <c r="OYE37" s="2"/>
      <c r="OYF37" s="2"/>
      <c r="OYG37" s="2"/>
      <c r="OYH37" s="2"/>
      <c r="OYI37" s="2"/>
      <c r="OYJ37" s="2"/>
      <c r="OYK37" s="2"/>
      <c r="OYL37" s="2"/>
      <c r="OYM37" s="2"/>
      <c r="OYN37" s="2"/>
      <c r="OYO37" s="2"/>
      <c r="OYP37" s="2"/>
      <c r="OYQ37" s="2"/>
      <c r="OYR37" s="2"/>
      <c r="OYS37" s="2"/>
      <c r="OYT37" s="2"/>
      <c r="OYU37" s="2"/>
      <c r="OYV37" s="2"/>
      <c r="OYW37" s="2"/>
      <c r="OYX37" s="2"/>
      <c r="OYY37" s="2"/>
      <c r="OYZ37" s="2"/>
      <c r="OZA37" s="2"/>
      <c r="OZB37" s="2"/>
      <c r="OZC37" s="2"/>
      <c r="OZD37" s="2"/>
      <c r="OZE37" s="2"/>
      <c r="OZF37" s="2"/>
      <c r="OZG37" s="2"/>
      <c r="OZH37" s="2"/>
      <c r="OZI37" s="2"/>
      <c r="OZJ37" s="2"/>
      <c r="OZK37" s="2"/>
      <c r="OZL37" s="2"/>
      <c r="OZM37" s="2"/>
      <c r="OZN37" s="2"/>
      <c r="OZO37" s="2"/>
      <c r="OZP37" s="2"/>
      <c r="OZQ37" s="2"/>
      <c r="OZR37" s="2"/>
      <c r="OZS37" s="2"/>
      <c r="OZT37" s="2"/>
      <c r="OZU37" s="2"/>
      <c r="OZV37" s="2"/>
      <c r="OZW37" s="2"/>
      <c r="OZX37" s="2"/>
      <c r="OZY37" s="2"/>
      <c r="OZZ37" s="2"/>
      <c r="PAA37" s="2"/>
      <c r="PAB37" s="2"/>
      <c r="PAC37" s="2"/>
      <c r="PAD37" s="2"/>
      <c r="PAE37" s="2"/>
      <c r="PAF37" s="2"/>
      <c r="PAG37" s="2"/>
      <c r="PAH37" s="2"/>
      <c r="PAI37" s="2"/>
      <c r="PAJ37" s="2"/>
      <c r="PAK37" s="2"/>
      <c r="PAL37" s="2"/>
      <c r="PAM37" s="2"/>
      <c r="PAN37" s="2"/>
      <c r="PAO37" s="2"/>
      <c r="PAP37" s="2"/>
      <c r="PAQ37" s="2"/>
      <c r="PAR37" s="2"/>
      <c r="PAS37" s="2"/>
      <c r="PAT37" s="2"/>
      <c r="PAU37" s="2"/>
      <c r="PAV37" s="2"/>
      <c r="PAW37" s="2"/>
      <c r="PAX37" s="2"/>
      <c r="PAY37" s="2"/>
      <c r="PAZ37" s="2"/>
      <c r="PBA37" s="2"/>
      <c r="PBB37" s="2"/>
      <c r="PBC37" s="2"/>
      <c r="PBD37" s="2"/>
      <c r="PBE37" s="2"/>
      <c r="PBF37" s="2"/>
      <c r="PBG37" s="2"/>
      <c r="PBH37" s="2"/>
      <c r="PBI37" s="2"/>
      <c r="PBJ37" s="2"/>
      <c r="PBK37" s="2"/>
      <c r="PBL37" s="2"/>
      <c r="PBM37" s="2"/>
      <c r="PBN37" s="2"/>
      <c r="PBO37" s="2"/>
      <c r="PBP37" s="2"/>
      <c r="PBQ37" s="2"/>
      <c r="PBR37" s="2"/>
      <c r="PBS37" s="2"/>
      <c r="PBT37" s="2"/>
      <c r="PBU37" s="2"/>
      <c r="PBV37" s="2"/>
      <c r="PBW37" s="2"/>
      <c r="PBX37" s="2"/>
      <c r="PBY37" s="2"/>
      <c r="PBZ37" s="2"/>
      <c r="PCA37" s="2"/>
      <c r="PCB37" s="2"/>
      <c r="PCC37" s="2"/>
      <c r="PCD37" s="2"/>
      <c r="PCE37" s="2"/>
      <c r="PCF37" s="2"/>
      <c r="PCG37" s="2"/>
      <c r="PCH37" s="2"/>
      <c r="PCI37" s="2"/>
      <c r="PCJ37" s="2"/>
      <c r="PCK37" s="2"/>
      <c r="PCL37" s="2"/>
      <c r="PCM37" s="2"/>
      <c r="PCN37" s="2"/>
      <c r="PCO37" s="2"/>
      <c r="PCP37" s="2"/>
      <c r="PCQ37" s="2"/>
      <c r="PCR37" s="2"/>
      <c r="PCS37" s="2"/>
      <c r="PCT37" s="2"/>
      <c r="PCU37" s="2"/>
      <c r="PCV37" s="2"/>
      <c r="PCW37" s="2"/>
      <c r="PCX37" s="2"/>
      <c r="PCY37" s="2"/>
      <c r="PCZ37" s="2"/>
      <c r="PDA37" s="2"/>
      <c r="PDB37" s="2"/>
      <c r="PDC37" s="2"/>
      <c r="PDD37" s="2"/>
      <c r="PDE37" s="2"/>
      <c r="PDF37" s="2"/>
      <c r="PDG37" s="2"/>
      <c r="PDH37" s="2"/>
      <c r="PDI37" s="2"/>
      <c r="PDJ37" s="2"/>
      <c r="PDK37" s="2"/>
      <c r="PDL37" s="2"/>
      <c r="PDM37" s="2"/>
      <c r="PDN37" s="2"/>
      <c r="PDO37" s="2"/>
      <c r="PDP37" s="2"/>
      <c r="PDQ37" s="2"/>
      <c r="PDR37" s="2"/>
      <c r="PDS37" s="2"/>
      <c r="PDT37" s="2"/>
      <c r="PDU37" s="2"/>
      <c r="PDV37" s="2"/>
      <c r="PDW37" s="2"/>
      <c r="PDX37" s="2"/>
      <c r="PDY37" s="2"/>
      <c r="PDZ37" s="2"/>
      <c r="PEA37" s="2"/>
      <c r="PEB37" s="2"/>
      <c r="PEC37" s="2"/>
      <c r="PED37" s="2"/>
      <c r="PEE37" s="2"/>
      <c r="PEF37" s="2"/>
      <c r="PEG37" s="2"/>
      <c r="PEH37" s="2"/>
      <c r="PEI37" s="2"/>
      <c r="PEJ37" s="2"/>
      <c r="PEK37" s="2"/>
      <c r="PEL37" s="2"/>
      <c r="PEM37" s="2"/>
      <c r="PEN37" s="2"/>
      <c r="PEO37" s="2"/>
      <c r="PEP37" s="2"/>
      <c r="PEQ37" s="2"/>
      <c r="PER37" s="2"/>
      <c r="PES37" s="2"/>
      <c r="PET37" s="2"/>
      <c r="PEU37" s="2"/>
      <c r="PEV37" s="2"/>
      <c r="PEW37" s="2"/>
      <c r="PEX37" s="2"/>
      <c r="PEY37" s="2"/>
      <c r="PEZ37" s="2"/>
      <c r="PFA37" s="2"/>
      <c r="PFB37" s="2"/>
      <c r="PFC37" s="2"/>
      <c r="PFD37" s="2"/>
      <c r="PFE37" s="2"/>
      <c r="PFF37" s="2"/>
      <c r="PFG37" s="2"/>
      <c r="PFH37" s="2"/>
      <c r="PFI37" s="2"/>
      <c r="PFJ37" s="2"/>
      <c r="PFK37" s="2"/>
      <c r="PFL37" s="2"/>
      <c r="PFM37" s="2"/>
      <c r="PFN37" s="2"/>
      <c r="PFO37" s="2"/>
      <c r="PFP37" s="2"/>
      <c r="PFQ37" s="2"/>
      <c r="PFR37" s="2"/>
      <c r="PFS37" s="2"/>
      <c r="PFT37" s="2"/>
      <c r="PFU37" s="2"/>
      <c r="PFV37" s="2"/>
      <c r="PFW37" s="2"/>
      <c r="PFX37" s="2"/>
      <c r="PFY37" s="2"/>
      <c r="PFZ37" s="2"/>
      <c r="PGA37" s="2"/>
      <c r="PGB37" s="2"/>
      <c r="PGC37" s="2"/>
      <c r="PGD37" s="2"/>
      <c r="PGE37" s="2"/>
      <c r="PGF37" s="2"/>
      <c r="PGG37" s="2"/>
      <c r="PGH37" s="2"/>
      <c r="PGI37" s="2"/>
      <c r="PGJ37" s="2"/>
      <c r="PGK37" s="2"/>
      <c r="PGL37" s="2"/>
      <c r="PGM37" s="2"/>
      <c r="PGN37" s="2"/>
      <c r="PGO37" s="2"/>
      <c r="PGP37" s="2"/>
      <c r="PGQ37" s="2"/>
      <c r="PGR37" s="2"/>
      <c r="PGS37" s="2"/>
      <c r="PGT37" s="2"/>
      <c r="PGU37" s="2"/>
      <c r="PGV37" s="2"/>
      <c r="PGW37" s="2"/>
      <c r="PGX37" s="2"/>
      <c r="PGY37" s="2"/>
      <c r="PGZ37" s="2"/>
      <c r="PHA37" s="2"/>
      <c r="PHB37" s="2"/>
      <c r="PHC37" s="2"/>
      <c r="PHD37" s="2"/>
      <c r="PHE37" s="2"/>
      <c r="PHF37" s="2"/>
      <c r="PHG37" s="2"/>
      <c r="PHH37" s="2"/>
      <c r="PHI37" s="2"/>
      <c r="PHJ37" s="2"/>
      <c r="PHK37" s="2"/>
      <c r="PHL37" s="2"/>
      <c r="PHM37" s="2"/>
      <c r="PHN37" s="2"/>
      <c r="PHO37" s="2"/>
      <c r="PHP37" s="2"/>
      <c r="PHQ37" s="2"/>
      <c r="PHR37" s="2"/>
      <c r="PHS37" s="2"/>
      <c r="PHT37" s="2"/>
      <c r="PHU37" s="2"/>
      <c r="PHV37" s="2"/>
      <c r="PHW37" s="2"/>
      <c r="PHX37" s="2"/>
      <c r="PHY37" s="2"/>
      <c r="PHZ37" s="2"/>
      <c r="PIA37" s="2"/>
      <c r="PIB37" s="2"/>
      <c r="PIC37" s="2"/>
      <c r="PID37" s="2"/>
      <c r="PIE37" s="2"/>
      <c r="PIF37" s="2"/>
      <c r="PIG37" s="2"/>
      <c r="PIH37" s="2"/>
      <c r="PII37" s="2"/>
      <c r="PIJ37" s="2"/>
      <c r="PIK37" s="2"/>
      <c r="PIL37" s="2"/>
      <c r="PIM37" s="2"/>
      <c r="PIN37" s="2"/>
      <c r="PIO37" s="2"/>
      <c r="PIP37" s="2"/>
      <c r="PIQ37" s="2"/>
      <c r="PIR37" s="2"/>
      <c r="PIS37" s="2"/>
      <c r="PIT37" s="2"/>
      <c r="PIU37" s="2"/>
      <c r="PIV37" s="2"/>
      <c r="PIW37" s="2"/>
      <c r="PIX37" s="2"/>
      <c r="PIY37" s="2"/>
      <c r="PIZ37" s="2"/>
      <c r="PJA37" s="2"/>
      <c r="PJB37" s="2"/>
      <c r="PJC37" s="2"/>
      <c r="PJD37" s="2"/>
      <c r="PJE37" s="2"/>
      <c r="PJF37" s="2"/>
      <c r="PJG37" s="2"/>
      <c r="PJH37" s="2"/>
      <c r="PJI37" s="2"/>
      <c r="PJJ37" s="2"/>
      <c r="PJK37" s="2"/>
      <c r="PJL37" s="2"/>
      <c r="PJM37" s="2"/>
      <c r="PJN37" s="2"/>
      <c r="PJO37" s="2"/>
      <c r="PJP37" s="2"/>
      <c r="PJQ37" s="2"/>
      <c r="PJR37" s="2"/>
      <c r="PJS37" s="2"/>
      <c r="PJT37" s="2"/>
      <c r="PJU37" s="2"/>
      <c r="PJV37" s="2"/>
      <c r="PJW37" s="2"/>
      <c r="PJX37" s="2"/>
      <c r="PJY37" s="2"/>
      <c r="PJZ37" s="2"/>
      <c r="PKA37" s="2"/>
      <c r="PKB37" s="2"/>
      <c r="PKC37" s="2"/>
      <c r="PKD37" s="2"/>
      <c r="PKE37" s="2"/>
      <c r="PKF37" s="2"/>
      <c r="PKG37" s="2"/>
      <c r="PKH37" s="2"/>
      <c r="PKI37" s="2"/>
      <c r="PKJ37" s="2"/>
      <c r="PKK37" s="2"/>
      <c r="PKL37" s="2"/>
      <c r="PKM37" s="2"/>
      <c r="PKN37" s="2"/>
      <c r="PKO37" s="2"/>
      <c r="PKP37" s="2"/>
      <c r="PKQ37" s="2"/>
      <c r="PKR37" s="2"/>
      <c r="PKS37" s="2"/>
      <c r="PKT37" s="2"/>
      <c r="PKU37" s="2"/>
      <c r="PKV37" s="2"/>
      <c r="PKW37" s="2"/>
      <c r="PKX37" s="2"/>
      <c r="PKY37" s="2"/>
      <c r="PKZ37" s="2"/>
      <c r="PLA37" s="2"/>
      <c r="PLB37" s="2"/>
      <c r="PLC37" s="2"/>
      <c r="PLD37" s="2"/>
      <c r="PLE37" s="2"/>
      <c r="PLF37" s="2"/>
      <c r="PLG37" s="2"/>
      <c r="PLH37" s="2"/>
      <c r="PLI37" s="2"/>
      <c r="PLJ37" s="2"/>
      <c r="PLK37" s="2"/>
      <c r="PLL37" s="2"/>
      <c r="PLM37" s="2"/>
      <c r="PLN37" s="2"/>
      <c r="PLO37" s="2"/>
      <c r="PLP37" s="2"/>
      <c r="PLQ37" s="2"/>
      <c r="PLR37" s="2"/>
      <c r="PLS37" s="2"/>
      <c r="PLT37" s="2"/>
      <c r="PLU37" s="2"/>
      <c r="PLV37" s="2"/>
      <c r="PLW37" s="2"/>
      <c r="PLX37" s="2"/>
      <c r="PLY37" s="2"/>
      <c r="PLZ37" s="2"/>
      <c r="PMA37" s="2"/>
      <c r="PMB37" s="2"/>
      <c r="PMC37" s="2"/>
      <c r="PMD37" s="2"/>
      <c r="PME37" s="2"/>
      <c r="PMF37" s="2"/>
      <c r="PMG37" s="2"/>
      <c r="PMH37" s="2"/>
      <c r="PMI37" s="2"/>
      <c r="PMJ37" s="2"/>
      <c r="PMK37" s="2"/>
      <c r="PML37" s="2"/>
      <c r="PMM37" s="2"/>
      <c r="PMN37" s="2"/>
      <c r="PMO37" s="2"/>
      <c r="PMP37" s="2"/>
      <c r="PMQ37" s="2"/>
      <c r="PMR37" s="2"/>
      <c r="PMS37" s="2"/>
      <c r="PMT37" s="2"/>
      <c r="PMU37" s="2"/>
      <c r="PMV37" s="2"/>
      <c r="PMW37" s="2"/>
      <c r="PMX37" s="2"/>
      <c r="PMY37" s="2"/>
      <c r="PMZ37" s="2"/>
      <c r="PNA37" s="2"/>
      <c r="PNB37" s="2"/>
      <c r="PNC37" s="2"/>
      <c r="PND37" s="2"/>
      <c r="PNE37" s="2"/>
      <c r="PNF37" s="2"/>
      <c r="PNG37" s="2"/>
      <c r="PNH37" s="2"/>
      <c r="PNI37" s="2"/>
      <c r="PNJ37" s="2"/>
      <c r="PNK37" s="2"/>
      <c r="PNL37" s="2"/>
      <c r="PNM37" s="2"/>
      <c r="PNN37" s="2"/>
      <c r="PNO37" s="2"/>
      <c r="PNP37" s="2"/>
      <c r="PNQ37" s="2"/>
      <c r="PNR37" s="2"/>
      <c r="PNS37" s="2"/>
      <c r="PNT37" s="2"/>
      <c r="PNU37" s="2"/>
      <c r="PNV37" s="2"/>
      <c r="PNW37" s="2"/>
      <c r="PNX37" s="2"/>
      <c r="PNY37" s="2"/>
      <c r="PNZ37" s="2"/>
      <c r="POA37" s="2"/>
      <c r="POB37" s="2"/>
      <c r="POC37" s="2"/>
      <c r="POD37" s="2"/>
      <c r="POE37" s="2"/>
      <c r="POF37" s="2"/>
      <c r="POG37" s="2"/>
      <c r="POH37" s="2"/>
      <c r="POI37" s="2"/>
      <c r="POJ37" s="2"/>
      <c r="POK37" s="2"/>
      <c r="POL37" s="2"/>
      <c r="POM37" s="2"/>
      <c r="PON37" s="2"/>
      <c r="POO37" s="2"/>
      <c r="POP37" s="2"/>
      <c r="POQ37" s="2"/>
      <c r="POR37" s="2"/>
      <c r="POS37" s="2"/>
      <c r="POT37" s="2"/>
      <c r="POU37" s="2"/>
      <c r="POV37" s="2"/>
      <c r="POW37" s="2"/>
      <c r="POX37" s="2"/>
      <c r="POY37" s="2"/>
      <c r="POZ37" s="2"/>
      <c r="PPA37" s="2"/>
      <c r="PPB37" s="2"/>
      <c r="PPC37" s="2"/>
      <c r="PPD37" s="2"/>
      <c r="PPE37" s="2"/>
      <c r="PPF37" s="2"/>
      <c r="PPG37" s="2"/>
      <c r="PPH37" s="2"/>
      <c r="PPI37" s="2"/>
      <c r="PPJ37" s="2"/>
      <c r="PPK37" s="2"/>
      <c r="PPL37" s="2"/>
      <c r="PPM37" s="2"/>
      <c r="PPN37" s="2"/>
      <c r="PPO37" s="2"/>
      <c r="PPP37" s="2"/>
      <c r="PPQ37" s="2"/>
      <c r="PPR37" s="2"/>
      <c r="PPS37" s="2"/>
      <c r="PPT37" s="2"/>
      <c r="PPU37" s="2"/>
      <c r="PPV37" s="2"/>
      <c r="PPW37" s="2"/>
      <c r="PPX37" s="2"/>
      <c r="PPY37" s="2"/>
      <c r="PPZ37" s="2"/>
      <c r="PQA37" s="2"/>
      <c r="PQB37" s="2"/>
      <c r="PQC37" s="2"/>
      <c r="PQD37" s="2"/>
      <c r="PQE37" s="2"/>
      <c r="PQF37" s="2"/>
      <c r="PQG37" s="2"/>
      <c r="PQH37" s="2"/>
      <c r="PQI37" s="2"/>
      <c r="PQJ37" s="2"/>
      <c r="PQK37" s="2"/>
      <c r="PQL37" s="2"/>
      <c r="PQM37" s="2"/>
      <c r="PQN37" s="2"/>
      <c r="PQO37" s="2"/>
      <c r="PQP37" s="2"/>
      <c r="PQQ37" s="2"/>
      <c r="PQR37" s="2"/>
      <c r="PQS37" s="2"/>
      <c r="PQT37" s="2"/>
      <c r="PQU37" s="2"/>
      <c r="PQV37" s="2"/>
      <c r="PQW37" s="2"/>
      <c r="PQX37" s="2"/>
      <c r="PQY37" s="2"/>
      <c r="PQZ37" s="2"/>
      <c r="PRA37" s="2"/>
      <c r="PRB37" s="2"/>
      <c r="PRC37" s="2"/>
      <c r="PRD37" s="2"/>
      <c r="PRE37" s="2"/>
      <c r="PRF37" s="2"/>
      <c r="PRG37" s="2"/>
      <c r="PRH37" s="2"/>
      <c r="PRI37" s="2"/>
      <c r="PRJ37" s="2"/>
      <c r="PRK37" s="2"/>
      <c r="PRL37" s="2"/>
      <c r="PRM37" s="2"/>
      <c r="PRN37" s="2"/>
      <c r="PRO37" s="2"/>
      <c r="PRP37" s="2"/>
      <c r="PRQ37" s="2"/>
      <c r="PRR37" s="2"/>
      <c r="PRS37" s="2"/>
      <c r="PRT37" s="2"/>
      <c r="PRU37" s="2"/>
      <c r="PRV37" s="2"/>
      <c r="PRW37" s="2"/>
      <c r="PRX37" s="2"/>
      <c r="PRY37" s="2"/>
      <c r="PRZ37" s="2"/>
      <c r="PSA37" s="2"/>
      <c r="PSB37" s="2"/>
      <c r="PSC37" s="2"/>
      <c r="PSD37" s="2"/>
      <c r="PSE37" s="2"/>
      <c r="PSF37" s="2"/>
      <c r="PSG37" s="2"/>
      <c r="PSH37" s="2"/>
      <c r="PSI37" s="2"/>
      <c r="PSJ37" s="2"/>
      <c r="PSK37" s="2"/>
      <c r="PSL37" s="2"/>
      <c r="PSM37" s="2"/>
      <c r="PSN37" s="2"/>
      <c r="PSO37" s="2"/>
      <c r="PSP37" s="2"/>
      <c r="PSQ37" s="2"/>
      <c r="PSR37" s="2"/>
      <c r="PSS37" s="2"/>
      <c r="PST37" s="2"/>
      <c r="PSU37" s="2"/>
      <c r="PSV37" s="2"/>
      <c r="PSW37" s="2"/>
      <c r="PSX37" s="2"/>
      <c r="PSY37" s="2"/>
      <c r="PSZ37" s="2"/>
      <c r="PTA37" s="2"/>
      <c r="PTB37" s="2"/>
      <c r="PTC37" s="2"/>
      <c r="PTD37" s="2"/>
      <c r="PTE37" s="2"/>
      <c r="PTF37" s="2"/>
      <c r="PTG37" s="2"/>
      <c r="PTH37" s="2"/>
      <c r="PTI37" s="2"/>
      <c r="PTJ37" s="2"/>
      <c r="PTK37" s="2"/>
      <c r="PTL37" s="2"/>
      <c r="PTM37" s="2"/>
      <c r="PTN37" s="2"/>
      <c r="PTO37" s="2"/>
      <c r="PTP37" s="2"/>
      <c r="PTQ37" s="2"/>
      <c r="PTR37" s="2"/>
      <c r="PTS37" s="2"/>
      <c r="PTT37" s="2"/>
      <c r="PTU37" s="2"/>
      <c r="PTV37" s="2"/>
      <c r="PTW37" s="2"/>
      <c r="PTX37" s="2"/>
      <c r="PTY37" s="2"/>
      <c r="PTZ37" s="2"/>
      <c r="PUA37" s="2"/>
      <c r="PUB37" s="2"/>
      <c r="PUC37" s="2"/>
      <c r="PUD37" s="2"/>
      <c r="PUE37" s="2"/>
      <c r="PUF37" s="2"/>
      <c r="PUG37" s="2"/>
      <c r="PUH37" s="2"/>
      <c r="PUI37" s="2"/>
      <c r="PUJ37" s="2"/>
      <c r="PUK37" s="2"/>
      <c r="PUL37" s="2"/>
      <c r="PUM37" s="2"/>
      <c r="PUN37" s="2"/>
      <c r="PUO37" s="2"/>
      <c r="PUP37" s="2"/>
      <c r="PUQ37" s="2"/>
      <c r="PUR37" s="2"/>
      <c r="PUS37" s="2"/>
      <c r="PUT37" s="2"/>
      <c r="PUU37" s="2"/>
      <c r="PUV37" s="2"/>
      <c r="PUW37" s="2"/>
      <c r="PUX37" s="2"/>
      <c r="PUY37" s="2"/>
      <c r="PUZ37" s="2"/>
      <c r="PVA37" s="2"/>
      <c r="PVB37" s="2"/>
      <c r="PVC37" s="2"/>
      <c r="PVD37" s="2"/>
      <c r="PVE37" s="2"/>
      <c r="PVF37" s="2"/>
      <c r="PVG37" s="2"/>
      <c r="PVH37" s="2"/>
      <c r="PVI37" s="2"/>
      <c r="PVJ37" s="2"/>
      <c r="PVK37" s="2"/>
      <c r="PVL37" s="2"/>
      <c r="PVM37" s="2"/>
      <c r="PVN37" s="2"/>
      <c r="PVO37" s="2"/>
      <c r="PVP37" s="2"/>
      <c r="PVQ37" s="2"/>
      <c r="PVR37" s="2"/>
      <c r="PVS37" s="2"/>
      <c r="PVT37" s="2"/>
      <c r="PVU37" s="2"/>
      <c r="PVV37" s="2"/>
      <c r="PVW37" s="2"/>
      <c r="PVX37" s="2"/>
      <c r="PVY37" s="2"/>
      <c r="PVZ37" s="2"/>
      <c r="PWA37" s="2"/>
      <c r="PWB37" s="2"/>
      <c r="PWC37" s="2"/>
      <c r="PWD37" s="2"/>
      <c r="PWE37" s="2"/>
      <c r="PWF37" s="2"/>
      <c r="PWG37" s="2"/>
      <c r="PWH37" s="2"/>
      <c r="PWI37" s="2"/>
      <c r="PWJ37" s="2"/>
      <c r="PWK37" s="2"/>
      <c r="PWL37" s="2"/>
      <c r="PWM37" s="2"/>
      <c r="PWN37" s="2"/>
      <c r="PWO37" s="2"/>
      <c r="PWP37" s="2"/>
      <c r="PWQ37" s="2"/>
      <c r="PWR37" s="2"/>
      <c r="PWS37" s="2"/>
      <c r="PWT37" s="2"/>
      <c r="PWU37" s="2"/>
      <c r="PWV37" s="2"/>
      <c r="PWW37" s="2"/>
      <c r="PWX37" s="2"/>
      <c r="PWY37" s="2"/>
      <c r="PWZ37" s="2"/>
      <c r="PXA37" s="2"/>
      <c r="PXB37" s="2"/>
      <c r="PXC37" s="2"/>
      <c r="PXD37" s="2"/>
      <c r="PXE37" s="2"/>
      <c r="PXF37" s="2"/>
      <c r="PXG37" s="2"/>
      <c r="PXH37" s="2"/>
      <c r="PXI37" s="2"/>
      <c r="PXJ37" s="2"/>
      <c r="PXK37" s="2"/>
      <c r="PXL37" s="2"/>
      <c r="PXM37" s="2"/>
      <c r="PXN37" s="2"/>
      <c r="PXO37" s="2"/>
      <c r="PXP37" s="2"/>
      <c r="PXQ37" s="2"/>
      <c r="PXR37" s="2"/>
      <c r="PXS37" s="2"/>
      <c r="PXT37" s="2"/>
      <c r="PXU37" s="2"/>
      <c r="PXV37" s="2"/>
      <c r="PXW37" s="2"/>
      <c r="PXX37" s="2"/>
      <c r="PXY37" s="2"/>
      <c r="PXZ37" s="2"/>
      <c r="PYA37" s="2"/>
      <c r="PYB37" s="2"/>
      <c r="PYC37" s="2"/>
      <c r="PYD37" s="2"/>
      <c r="PYE37" s="2"/>
      <c r="PYF37" s="2"/>
      <c r="PYG37" s="2"/>
      <c r="PYH37" s="2"/>
      <c r="PYI37" s="2"/>
      <c r="PYJ37" s="2"/>
      <c r="PYK37" s="2"/>
      <c r="PYL37" s="2"/>
      <c r="PYM37" s="2"/>
      <c r="PYN37" s="2"/>
      <c r="PYO37" s="2"/>
      <c r="PYP37" s="2"/>
      <c r="PYQ37" s="2"/>
      <c r="PYR37" s="2"/>
      <c r="PYS37" s="2"/>
      <c r="PYT37" s="2"/>
      <c r="PYU37" s="2"/>
      <c r="PYV37" s="2"/>
      <c r="PYW37" s="2"/>
      <c r="PYX37" s="2"/>
      <c r="PYY37" s="2"/>
      <c r="PYZ37" s="2"/>
      <c r="PZA37" s="2"/>
      <c r="PZB37" s="2"/>
      <c r="PZC37" s="2"/>
      <c r="PZD37" s="2"/>
      <c r="PZE37" s="2"/>
      <c r="PZF37" s="2"/>
      <c r="PZG37" s="2"/>
      <c r="PZH37" s="2"/>
      <c r="PZI37" s="2"/>
      <c r="PZJ37" s="2"/>
      <c r="PZK37" s="2"/>
      <c r="PZL37" s="2"/>
      <c r="PZM37" s="2"/>
      <c r="PZN37" s="2"/>
      <c r="PZO37" s="2"/>
      <c r="PZP37" s="2"/>
      <c r="PZQ37" s="2"/>
      <c r="PZR37" s="2"/>
      <c r="PZS37" s="2"/>
      <c r="PZT37" s="2"/>
      <c r="PZU37" s="2"/>
      <c r="PZV37" s="2"/>
      <c r="PZW37" s="2"/>
      <c r="PZX37" s="2"/>
      <c r="PZY37" s="2"/>
      <c r="PZZ37" s="2"/>
      <c r="QAA37" s="2"/>
      <c r="QAB37" s="2"/>
      <c r="QAC37" s="2"/>
      <c r="QAD37" s="2"/>
      <c r="QAE37" s="2"/>
      <c r="QAF37" s="2"/>
      <c r="QAG37" s="2"/>
      <c r="QAH37" s="2"/>
      <c r="QAI37" s="2"/>
      <c r="QAJ37" s="2"/>
      <c r="QAK37" s="2"/>
      <c r="QAL37" s="2"/>
      <c r="QAM37" s="2"/>
      <c r="QAN37" s="2"/>
      <c r="QAO37" s="2"/>
      <c r="QAP37" s="2"/>
      <c r="QAQ37" s="2"/>
      <c r="QAR37" s="2"/>
      <c r="QAS37" s="2"/>
      <c r="QAT37" s="2"/>
      <c r="QAU37" s="2"/>
      <c r="QAV37" s="2"/>
      <c r="QAW37" s="2"/>
      <c r="QAX37" s="2"/>
      <c r="QAY37" s="2"/>
      <c r="QAZ37" s="2"/>
      <c r="QBA37" s="2"/>
      <c r="QBB37" s="2"/>
      <c r="QBC37" s="2"/>
      <c r="QBD37" s="2"/>
      <c r="QBE37" s="2"/>
      <c r="QBF37" s="2"/>
      <c r="QBG37" s="2"/>
      <c r="QBH37" s="2"/>
      <c r="QBI37" s="2"/>
      <c r="QBJ37" s="2"/>
      <c r="QBK37" s="2"/>
      <c r="QBL37" s="2"/>
      <c r="QBM37" s="2"/>
      <c r="QBN37" s="2"/>
      <c r="QBO37" s="2"/>
      <c r="QBP37" s="2"/>
      <c r="QBQ37" s="2"/>
      <c r="QBR37" s="2"/>
      <c r="QBS37" s="2"/>
      <c r="QBT37" s="2"/>
      <c r="QBU37" s="2"/>
      <c r="QBV37" s="2"/>
      <c r="QBW37" s="2"/>
      <c r="QBX37" s="2"/>
      <c r="QBY37" s="2"/>
      <c r="QBZ37" s="2"/>
      <c r="QCA37" s="2"/>
      <c r="QCB37" s="2"/>
      <c r="QCC37" s="2"/>
      <c r="QCD37" s="2"/>
      <c r="QCE37" s="2"/>
      <c r="QCF37" s="2"/>
      <c r="QCG37" s="2"/>
      <c r="QCH37" s="2"/>
      <c r="QCI37" s="2"/>
      <c r="QCJ37" s="2"/>
      <c r="QCK37" s="2"/>
      <c r="QCL37" s="2"/>
      <c r="QCM37" s="2"/>
      <c r="QCN37" s="2"/>
      <c r="QCO37" s="2"/>
      <c r="QCP37" s="2"/>
      <c r="QCQ37" s="2"/>
      <c r="QCR37" s="2"/>
      <c r="QCS37" s="2"/>
      <c r="QCT37" s="2"/>
      <c r="QCU37" s="2"/>
      <c r="QCV37" s="2"/>
      <c r="QCW37" s="2"/>
      <c r="QCX37" s="2"/>
      <c r="QCY37" s="2"/>
      <c r="QCZ37" s="2"/>
      <c r="QDA37" s="2"/>
      <c r="QDB37" s="2"/>
      <c r="QDC37" s="2"/>
      <c r="QDD37" s="2"/>
      <c r="QDE37" s="2"/>
      <c r="QDF37" s="2"/>
      <c r="QDG37" s="2"/>
      <c r="QDH37" s="2"/>
      <c r="QDI37" s="2"/>
      <c r="QDJ37" s="2"/>
      <c r="QDK37" s="2"/>
      <c r="QDL37" s="2"/>
      <c r="QDM37" s="2"/>
      <c r="QDN37" s="2"/>
      <c r="QDO37" s="2"/>
      <c r="QDP37" s="2"/>
      <c r="QDQ37" s="2"/>
      <c r="QDR37" s="2"/>
      <c r="QDS37" s="2"/>
      <c r="QDT37" s="2"/>
      <c r="QDU37" s="2"/>
      <c r="QDV37" s="2"/>
      <c r="QDW37" s="2"/>
      <c r="QDX37" s="2"/>
      <c r="QDY37" s="2"/>
      <c r="QDZ37" s="2"/>
      <c r="QEA37" s="2"/>
      <c r="QEB37" s="2"/>
      <c r="QEC37" s="2"/>
      <c r="QED37" s="2"/>
      <c r="QEE37" s="2"/>
      <c r="QEF37" s="2"/>
      <c r="QEG37" s="2"/>
      <c r="QEH37" s="2"/>
      <c r="QEI37" s="2"/>
      <c r="QEJ37" s="2"/>
      <c r="QEK37" s="2"/>
      <c r="QEL37" s="2"/>
      <c r="QEM37" s="2"/>
      <c r="QEN37" s="2"/>
      <c r="QEO37" s="2"/>
      <c r="QEP37" s="2"/>
      <c r="QEQ37" s="2"/>
      <c r="QER37" s="2"/>
      <c r="QES37" s="2"/>
      <c r="QET37" s="2"/>
      <c r="QEU37" s="2"/>
      <c r="QEV37" s="2"/>
      <c r="QEW37" s="2"/>
      <c r="QEX37" s="2"/>
      <c r="QEY37" s="2"/>
      <c r="QEZ37" s="2"/>
      <c r="QFA37" s="2"/>
      <c r="QFB37" s="2"/>
      <c r="QFC37" s="2"/>
      <c r="QFD37" s="2"/>
      <c r="QFE37" s="2"/>
      <c r="QFF37" s="2"/>
      <c r="QFG37" s="2"/>
      <c r="QFH37" s="2"/>
      <c r="QFI37" s="2"/>
      <c r="QFJ37" s="2"/>
      <c r="QFK37" s="2"/>
      <c r="QFL37" s="2"/>
      <c r="QFM37" s="2"/>
      <c r="QFN37" s="2"/>
      <c r="QFO37" s="2"/>
      <c r="QFP37" s="2"/>
      <c r="QFQ37" s="2"/>
      <c r="QFR37" s="2"/>
      <c r="QFS37" s="2"/>
      <c r="QFT37" s="2"/>
      <c r="QFU37" s="2"/>
      <c r="QFV37" s="2"/>
      <c r="QFW37" s="2"/>
      <c r="QFX37" s="2"/>
      <c r="QFY37" s="2"/>
      <c r="QFZ37" s="2"/>
      <c r="QGA37" s="2"/>
      <c r="QGB37" s="2"/>
      <c r="QGC37" s="2"/>
      <c r="QGD37" s="2"/>
      <c r="QGE37" s="2"/>
      <c r="QGF37" s="2"/>
      <c r="QGG37" s="2"/>
      <c r="QGH37" s="2"/>
      <c r="QGI37" s="2"/>
      <c r="QGJ37" s="2"/>
      <c r="QGK37" s="2"/>
      <c r="QGL37" s="2"/>
      <c r="QGM37" s="2"/>
      <c r="QGN37" s="2"/>
      <c r="QGO37" s="2"/>
      <c r="QGP37" s="2"/>
      <c r="QGQ37" s="2"/>
      <c r="QGR37" s="2"/>
      <c r="QGS37" s="2"/>
      <c r="QGT37" s="2"/>
      <c r="QGU37" s="2"/>
      <c r="QGV37" s="2"/>
      <c r="QGW37" s="2"/>
      <c r="QGX37" s="2"/>
      <c r="QGY37" s="2"/>
      <c r="QGZ37" s="2"/>
      <c r="QHA37" s="2"/>
      <c r="QHB37" s="2"/>
      <c r="QHC37" s="2"/>
      <c r="QHD37" s="2"/>
      <c r="QHE37" s="2"/>
      <c r="QHF37" s="2"/>
      <c r="QHG37" s="2"/>
      <c r="QHH37" s="2"/>
      <c r="QHI37" s="2"/>
      <c r="QHJ37" s="2"/>
      <c r="QHK37" s="2"/>
      <c r="QHL37" s="2"/>
      <c r="QHM37" s="2"/>
      <c r="QHN37" s="2"/>
      <c r="QHO37" s="2"/>
      <c r="QHP37" s="2"/>
      <c r="QHQ37" s="2"/>
      <c r="QHR37" s="2"/>
      <c r="QHS37" s="2"/>
      <c r="QHT37" s="2"/>
      <c r="QHU37" s="2"/>
      <c r="QHV37" s="2"/>
      <c r="QHW37" s="2"/>
      <c r="QHX37" s="2"/>
      <c r="QHY37" s="2"/>
      <c r="QHZ37" s="2"/>
      <c r="QIA37" s="2"/>
      <c r="QIB37" s="2"/>
      <c r="QIC37" s="2"/>
      <c r="QID37" s="2"/>
      <c r="QIE37" s="2"/>
      <c r="QIF37" s="2"/>
      <c r="QIG37" s="2"/>
      <c r="QIH37" s="2"/>
      <c r="QII37" s="2"/>
      <c r="QIJ37" s="2"/>
      <c r="QIK37" s="2"/>
      <c r="QIL37" s="2"/>
      <c r="QIM37" s="2"/>
      <c r="QIN37" s="2"/>
      <c r="QIO37" s="2"/>
      <c r="QIP37" s="2"/>
      <c r="QIQ37" s="2"/>
      <c r="QIR37" s="2"/>
      <c r="QIS37" s="2"/>
      <c r="QIT37" s="2"/>
      <c r="QIU37" s="2"/>
      <c r="QIV37" s="2"/>
      <c r="QIW37" s="2"/>
      <c r="QIX37" s="2"/>
      <c r="QIY37" s="2"/>
      <c r="QIZ37" s="2"/>
      <c r="QJA37" s="2"/>
      <c r="QJB37" s="2"/>
      <c r="QJC37" s="2"/>
      <c r="QJD37" s="2"/>
      <c r="QJE37" s="2"/>
      <c r="QJF37" s="2"/>
      <c r="QJG37" s="2"/>
      <c r="QJH37" s="2"/>
      <c r="QJI37" s="2"/>
      <c r="QJJ37" s="2"/>
      <c r="QJK37" s="2"/>
      <c r="QJL37" s="2"/>
      <c r="QJM37" s="2"/>
      <c r="QJN37" s="2"/>
      <c r="QJO37" s="2"/>
      <c r="QJP37" s="2"/>
      <c r="QJQ37" s="2"/>
      <c r="QJR37" s="2"/>
      <c r="QJS37" s="2"/>
      <c r="QJT37" s="2"/>
      <c r="QJU37" s="2"/>
      <c r="QJV37" s="2"/>
      <c r="QJW37" s="2"/>
      <c r="QJX37" s="2"/>
      <c r="QJY37" s="2"/>
      <c r="QJZ37" s="2"/>
      <c r="QKA37" s="2"/>
      <c r="QKB37" s="2"/>
      <c r="QKC37" s="2"/>
      <c r="QKD37" s="2"/>
      <c r="QKE37" s="2"/>
      <c r="QKF37" s="2"/>
      <c r="QKG37" s="2"/>
      <c r="QKH37" s="2"/>
      <c r="QKI37" s="2"/>
      <c r="QKJ37" s="2"/>
      <c r="QKK37" s="2"/>
      <c r="QKL37" s="2"/>
      <c r="QKM37" s="2"/>
      <c r="QKN37" s="2"/>
      <c r="QKO37" s="2"/>
      <c r="QKP37" s="2"/>
      <c r="QKQ37" s="2"/>
      <c r="QKR37" s="2"/>
      <c r="QKS37" s="2"/>
      <c r="QKT37" s="2"/>
      <c r="QKU37" s="2"/>
      <c r="QKV37" s="2"/>
      <c r="QKW37" s="2"/>
      <c r="QKX37" s="2"/>
      <c r="QKY37" s="2"/>
      <c r="QKZ37" s="2"/>
      <c r="QLA37" s="2"/>
      <c r="QLB37" s="2"/>
      <c r="QLC37" s="2"/>
      <c r="QLD37" s="2"/>
      <c r="QLE37" s="2"/>
      <c r="QLF37" s="2"/>
      <c r="QLG37" s="2"/>
      <c r="QLH37" s="2"/>
      <c r="QLI37" s="2"/>
      <c r="QLJ37" s="2"/>
      <c r="QLK37" s="2"/>
      <c r="QLL37" s="2"/>
      <c r="QLM37" s="2"/>
      <c r="QLN37" s="2"/>
      <c r="QLO37" s="2"/>
      <c r="QLP37" s="2"/>
      <c r="QLQ37" s="2"/>
      <c r="QLR37" s="2"/>
      <c r="QLS37" s="2"/>
      <c r="QLT37" s="2"/>
      <c r="QLU37" s="2"/>
      <c r="QLV37" s="2"/>
      <c r="QLW37" s="2"/>
      <c r="QLX37" s="2"/>
      <c r="QLY37" s="2"/>
      <c r="QLZ37" s="2"/>
      <c r="QMA37" s="2"/>
      <c r="QMB37" s="2"/>
      <c r="QMC37" s="2"/>
      <c r="QMD37" s="2"/>
      <c r="QME37" s="2"/>
      <c r="QMF37" s="2"/>
      <c r="QMG37" s="2"/>
      <c r="QMH37" s="2"/>
      <c r="QMI37" s="2"/>
      <c r="QMJ37" s="2"/>
      <c r="QMK37" s="2"/>
      <c r="QML37" s="2"/>
      <c r="QMM37" s="2"/>
      <c r="QMN37" s="2"/>
      <c r="QMO37" s="2"/>
      <c r="QMP37" s="2"/>
      <c r="QMQ37" s="2"/>
      <c r="QMR37" s="2"/>
      <c r="QMS37" s="2"/>
      <c r="QMT37" s="2"/>
      <c r="QMU37" s="2"/>
      <c r="QMV37" s="2"/>
      <c r="QMW37" s="2"/>
      <c r="QMX37" s="2"/>
      <c r="QMY37" s="2"/>
      <c r="QMZ37" s="2"/>
      <c r="QNA37" s="2"/>
      <c r="QNB37" s="2"/>
      <c r="QNC37" s="2"/>
      <c r="QND37" s="2"/>
      <c r="QNE37" s="2"/>
      <c r="QNF37" s="2"/>
      <c r="QNG37" s="2"/>
      <c r="QNH37" s="2"/>
      <c r="QNI37" s="2"/>
      <c r="QNJ37" s="2"/>
      <c r="QNK37" s="2"/>
      <c r="QNL37" s="2"/>
      <c r="QNM37" s="2"/>
      <c r="QNN37" s="2"/>
      <c r="QNO37" s="2"/>
      <c r="QNP37" s="2"/>
      <c r="QNQ37" s="2"/>
      <c r="QNR37" s="2"/>
      <c r="QNS37" s="2"/>
      <c r="QNT37" s="2"/>
      <c r="QNU37" s="2"/>
      <c r="QNV37" s="2"/>
      <c r="QNW37" s="2"/>
      <c r="QNX37" s="2"/>
      <c r="QNY37" s="2"/>
      <c r="QNZ37" s="2"/>
      <c r="QOA37" s="2"/>
      <c r="QOB37" s="2"/>
      <c r="QOC37" s="2"/>
      <c r="QOD37" s="2"/>
      <c r="QOE37" s="2"/>
      <c r="QOF37" s="2"/>
      <c r="QOG37" s="2"/>
      <c r="QOH37" s="2"/>
      <c r="QOI37" s="2"/>
      <c r="QOJ37" s="2"/>
      <c r="QOK37" s="2"/>
      <c r="QOL37" s="2"/>
      <c r="QOM37" s="2"/>
      <c r="QON37" s="2"/>
      <c r="QOO37" s="2"/>
      <c r="QOP37" s="2"/>
      <c r="QOQ37" s="2"/>
      <c r="QOR37" s="2"/>
      <c r="QOS37" s="2"/>
      <c r="QOT37" s="2"/>
      <c r="QOU37" s="2"/>
      <c r="QOV37" s="2"/>
      <c r="QOW37" s="2"/>
      <c r="QOX37" s="2"/>
      <c r="QOY37" s="2"/>
      <c r="QOZ37" s="2"/>
      <c r="QPA37" s="2"/>
      <c r="QPB37" s="2"/>
      <c r="QPC37" s="2"/>
      <c r="QPD37" s="2"/>
      <c r="QPE37" s="2"/>
      <c r="QPF37" s="2"/>
      <c r="QPG37" s="2"/>
      <c r="QPH37" s="2"/>
      <c r="QPI37" s="2"/>
      <c r="QPJ37" s="2"/>
      <c r="QPK37" s="2"/>
      <c r="QPL37" s="2"/>
      <c r="QPM37" s="2"/>
      <c r="QPN37" s="2"/>
      <c r="QPO37" s="2"/>
      <c r="QPP37" s="2"/>
      <c r="QPQ37" s="2"/>
      <c r="QPR37" s="2"/>
      <c r="QPS37" s="2"/>
      <c r="QPT37" s="2"/>
      <c r="QPU37" s="2"/>
      <c r="QPV37" s="2"/>
      <c r="QPW37" s="2"/>
      <c r="QPX37" s="2"/>
      <c r="QPY37" s="2"/>
      <c r="QPZ37" s="2"/>
      <c r="QQA37" s="2"/>
      <c r="QQB37" s="2"/>
      <c r="QQC37" s="2"/>
      <c r="QQD37" s="2"/>
      <c r="QQE37" s="2"/>
      <c r="QQF37" s="2"/>
      <c r="QQG37" s="2"/>
      <c r="QQH37" s="2"/>
      <c r="QQI37" s="2"/>
      <c r="QQJ37" s="2"/>
      <c r="QQK37" s="2"/>
      <c r="QQL37" s="2"/>
      <c r="QQM37" s="2"/>
      <c r="QQN37" s="2"/>
      <c r="QQO37" s="2"/>
      <c r="QQP37" s="2"/>
      <c r="QQQ37" s="2"/>
      <c r="QQR37" s="2"/>
      <c r="QQS37" s="2"/>
      <c r="QQT37" s="2"/>
      <c r="QQU37" s="2"/>
      <c r="QQV37" s="2"/>
      <c r="QQW37" s="2"/>
      <c r="QQX37" s="2"/>
      <c r="QQY37" s="2"/>
      <c r="QQZ37" s="2"/>
      <c r="QRA37" s="2"/>
      <c r="QRB37" s="2"/>
      <c r="QRC37" s="2"/>
      <c r="QRD37" s="2"/>
      <c r="QRE37" s="2"/>
      <c r="QRF37" s="2"/>
      <c r="QRG37" s="2"/>
      <c r="QRH37" s="2"/>
      <c r="QRI37" s="2"/>
      <c r="QRJ37" s="2"/>
      <c r="QRK37" s="2"/>
      <c r="QRL37" s="2"/>
      <c r="QRM37" s="2"/>
      <c r="QRN37" s="2"/>
      <c r="QRO37" s="2"/>
      <c r="QRP37" s="2"/>
      <c r="QRQ37" s="2"/>
      <c r="QRR37" s="2"/>
      <c r="QRS37" s="2"/>
      <c r="QRT37" s="2"/>
      <c r="QRU37" s="2"/>
      <c r="QRV37" s="2"/>
      <c r="QRW37" s="2"/>
      <c r="QRX37" s="2"/>
      <c r="QRY37" s="2"/>
      <c r="QRZ37" s="2"/>
      <c r="QSA37" s="2"/>
      <c r="QSB37" s="2"/>
      <c r="QSC37" s="2"/>
      <c r="QSD37" s="2"/>
      <c r="QSE37" s="2"/>
      <c r="QSF37" s="2"/>
      <c r="QSG37" s="2"/>
      <c r="QSH37" s="2"/>
      <c r="QSI37" s="2"/>
      <c r="QSJ37" s="2"/>
      <c r="QSK37" s="2"/>
      <c r="QSL37" s="2"/>
      <c r="QSM37" s="2"/>
      <c r="QSN37" s="2"/>
      <c r="QSO37" s="2"/>
      <c r="QSP37" s="2"/>
      <c r="QSQ37" s="2"/>
      <c r="QSR37" s="2"/>
      <c r="QSS37" s="2"/>
      <c r="QST37" s="2"/>
      <c r="QSU37" s="2"/>
      <c r="QSV37" s="2"/>
      <c r="QSW37" s="2"/>
      <c r="QSX37" s="2"/>
      <c r="QSY37" s="2"/>
      <c r="QSZ37" s="2"/>
      <c r="QTA37" s="2"/>
      <c r="QTB37" s="2"/>
      <c r="QTC37" s="2"/>
      <c r="QTD37" s="2"/>
      <c r="QTE37" s="2"/>
      <c r="QTF37" s="2"/>
      <c r="QTG37" s="2"/>
      <c r="QTH37" s="2"/>
      <c r="QTI37" s="2"/>
      <c r="QTJ37" s="2"/>
      <c r="QTK37" s="2"/>
      <c r="QTL37" s="2"/>
      <c r="QTM37" s="2"/>
      <c r="QTN37" s="2"/>
      <c r="QTO37" s="2"/>
      <c r="QTP37" s="2"/>
      <c r="QTQ37" s="2"/>
      <c r="QTR37" s="2"/>
      <c r="QTS37" s="2"/>
      <c r="QTT37" s="2"/>
      <c r="QTU37" s="2"/>
      <c r="QTV37" s="2"/>
      <c r="QTW37" s="2"/>
      <c r="QTX37" s="2"/>
      <c r="QTY37" s="2"/>
      <c r="QTZ37" s="2"/>
      <c r="QUA37" s="2"/>
      <c r="QUB37" s="2"/>
      <c r="QUC37" s="2"/>
      <c r="QUD37" s="2"/>
      <c r="QUE37" s="2"/>
      <c r="QUF37" s="2"/>
      <c r="QUG37" s="2"/>
      <c r="QUH37" s="2"/>
      <c r="QUI37" s="2"/>
      <c r="QUJ37" s="2"/>
      <c r="QUK37" s="2"/>
      <c r="QUL37" s="2"/>
      <c r="QUM37" s="2"/>
      <c r="QUN37" s="2"/>
      <c r="QUO37" s="2"/>
      <c r="QUP37" s="2"/>
      <c r="QUQ37" s="2"/>
      <c r="QUR37" s="2"/>
      <c r="QUS37" s="2"/>
      <c r="QUT37" s="2"/>
      <c r="QUU37" s="2"/>
      <c r="QUV37" s="2"/>
      <c r="QUW37" s="2"/>
      <c r="QUX37" s="2"/>
      <c r="QUY37" s="2"/>
      <c r="QUZ37" s="2"/>
      <c r="QVA37" s="2"/>
      <c r="QVB37" s="2"/>
      <c r="QVC37" s="2"/>
      <c r="QVD37" s="2"/>
      <c r="QVE37" s="2"/>
      <c r="QVF37" s="2"/>
      <c r="QVG37" s="2"/>
      <c r="QVH37" s="2"/>
      <c r="QVI37" s="2"/>
      <c r="QVJ37" s="2"/>
      <c r="QVK37" s="2"/>
      <c r="QVL37" s="2"/>
      <c r="QVM37" s="2"/>
      <c r="QVN37" s="2"/>
      <c r="QVO37" s="2"/>
      <c r="QVP37" s="2"/>
      <c r="QVQ37" s="2"/>
      <c r="QVR37" s="2"/>
      <c r="QVS37" s="2"/>
      <c r="QVT37" s="2"/>
      <c r="QVU37" s="2"/>
      <c r="QVV37" s="2"/>
      <c r="QVW37" s="2"/>
      <c r="QVX37" s="2"/>
      <c r="QVY37" s="2"/>
      <c r="QVZ37" s="2"/>
      <c r="QWA37" s="2"/>
      <c r="QWB37" s="2"/>
      <c r="QWC37" s="2"/>
      <c r="QWD37" s="2"/>
      <c r="QWE37" s="2"/>
      <c r="QWF37" s="2"/>
      <c r="QWG37" s="2"/>
      <c r="QWH37" s="2"/>
      <c r="QWI37" s="2"/>
      <c r="QWJ37" s="2"/>
      <c r="QWK37" s="2"/>
      <c r="QWL37" s="2"/>
      <c r="QWM37" s="2"/>
      <c r="QWN37" s="2"/>
      <c r="QWO37" s="2"/>
      <c r="QWP37" s="2"/>
      <c r="QWQ37" s="2"/>
      <c r="QWR37" s="2"/>
      <c r="QWS37" s="2"/>
      <c r="QWT37" s="2"/>
      <c r="QWU37" s="2"/>
      <c r="QWV37" s="2"/>
      <c r="QWW37" s="2"/>
      <c r="QWX37" s="2"/>
      <c r="QWY37" s="2"/>
      <c r="QWZ37" s="2"/>
      <c r="QXA37" s="2"/>
      <c r="QXB37" s="2"/>
      <c r="QXC37" s="2"/>
      <c r="QXD37" s="2"/>
      <c r="QXE37" s="2"/>
      <c r="QXF37" s="2"/>
      <c r="QXG37" s="2"/>
      <c r="QXH37" s="2"/>
      <c r="QXI37" s="2"/>
      <c r="QXJ37" s="2"/>
      <c r="QXK37" s="2"/>
      <c r="QXL37" s="2"/>
      <c r="QXM37" s="2"/>
      <c r="QXN37" s="2"/>
      <c r="QXO37" s="2"/>
      <c r="QXP37" s="2"/>
      <c r="QXQ37" s="2"/>
      <c r="QXR37" s="2"/>
      <c r="QXS37" s="2"/>
      <c r="QXT37" s="2"/>
      <c r="QXU37" s="2"/>
      <c r="QXV37" s="2"/>
      <c r="QXW37" s="2"/>
      <c r="QXX37" s="2"/>
      <c r="QXY37" s="2"/>
      <c r="QXZ37" s="2"/>
      <c r="QYA37" s="2"/>
      <c r="QYB37" s="2"/>
      <c r="QYC37" s="2"/>
      <c r="QYD37" s="2"/>
      <c r="QYE37" s="2"/>
      <c r="QYF37" s="2"/>
      <c r="QYG37" s="2"/>
      <c r="QYH37" s="2"/>
      <c r="QYI37" s="2"/>
      <c r="QYJ37" s="2"/>
      <c r="QYK37" s="2"/>
      <c r="QYL37" s="2"/>
      <c r="QYM37" s="2"/>
      <c r="QYN37" s="2"/>
      <c r="QYO37" s="2"/>
      <c r="QYP37" s="2"/>
      <c r="QYQ37" s="2"/>
      <c r="QYR37" s="2"/>
      <c r="QYS37" s="2"/>
      <c r="QYT37" s="2"/>
      <c r="QYU37" s="2"/>
      <c r="QYV37" s="2"/>
      <c r="QYW37" s="2"/>
      <c r="QYX37" s="2"/>
      <c r="QYY37" s="2"/>
      <c r="QYZ37" s="2"/>
      <c r="QZA37" s="2"/>
      <c r="QZB37" s="2"/>
      <c r="QZC37" s="2"/>
      <c r="QZD37" s="2"/>
      <c r="QZE37" s="2"/>
      <c r="QZF37" s="2"/>
      <c r="QZG37" s="2"/>
      <c r="QZH37" s="2"/>
      <c r="QZI37" s="2"/>
      <c r="QZJ37" s="2"/>
      <c r="QZK37" s="2"/>
      <c r="QZL37" s="2"/>
      <c r="QZM37" s="2"/>
      <c r="QZN37" s="2"/>
      <c r="QZO37" s="2"/>
      <c r="QZP37" s="2"/>
      <c r="QZQ37" s="2"/>
      <c r="QZR37" s="2"/>
      <c r="QZS37" s="2"/>
      <c r="QZT37" s="2"/>
      <c r="QZU37" s="2"/>
      <c r="QZV37" s="2"/>
      <c r="QZW37" s="2"/>
      <c r="QZX37" s="2"/>
      <c r="QZY37" s="2"/>
      <c r="QZZ37" s="2"/>
      <c r="RAA37" s="2"/>
      <c r="RAB37" s="2"/>
      <c r="RAC37" s="2"/>
      <c r="RAD37" s="2"/>
      <c r="RAE37" s="2"/>
      <c r="RAF37" s="2"/>
      <c r="RAG37" s="2"/>
      <c r="RAH37" s="2"/>
      <c r="RAI37" s="2"/>
      <c r="RAJ37" s="2"/>
      <c r="RAK37" s="2"/>
      <c r="RAL37" s="2"/>
      <c r="RAM37" s="2"/>
      <c r="RAN37" s="2"/>
      <c r="RAO37" s="2"/>
      <c r="RAP37" s="2"/>
      <c r="RAQ37" s="2"/>
      <c r="RAR37" s="2"/>
      <c r="RAS37" s="2"/>
      <c r="RAT37" s="2"/>
      <c r="RAU37" s="2"/>
      <c r="RAV37" s="2"/>
      <c r="RAW37" s="2"/>
      <c r="RAX37" s="2"/>
      <c r="RAY37" s="2"/>
      <c r="RAZ37" s="2"/>
      <c r="RBA37" s="2"/>
      <c r="RBB37" s="2"/>
      <c r="RBC37" s="2"/>
      <c r="RBD37" s="2"/>
      <c r="RBE37" s="2"/>
      <c r="RBF37" s="2"/>
      <c r="RBG37" s="2"/>
      <c r="RBH37" s="2"/>
      <c r="RBI37" s="2"/>
      <c r="RBJ37" s="2"/>
      <c r="RBK37" s="2"/>
      <c r="RBL37" s="2"/>
      <c r="RBM37" s="2"/>
      <c r="RBN37" s="2"/>
      <c r="RBO37" s="2"/>
      <c r="RBP37" s="2"/>
      <c r="RBQ37" s="2"/>
      <c r="RBR37" s="2"/>
      <c r="RBS37" s="2"/>
      <c r="RBT37" s="2"/>
      <c r="RBU37" s="2"/>
      <c r="RBV37" s="2"/>
      <c r="RBW37" s="2"/>
      <c r="RBX37" s="2"/>
      <c r="RBY37" s="2"/>
      <c r="RBZ37" s="2"/>
      <c r="RCA37" s="2"/>
      <c r="RCB37" s="2"/>
      <c r="RCC37" s="2"/>
      <c r="RCD37" s="2"/>
      <c r="RCE37" s="2"/>
      <c r="RCF37" s="2"/>
      <c r="RCG37" s="2"/>
      <c r="RCH37" s="2"/>
      <c r="RCI37" s="2"/>
      <c r="RCJ37" s="2"/>
      <c r="RCK37" s="2"/>
      <c r="RCL37" s="2"/>
      <c r="RCM37" s="2"/>
      <c r="RCN37" s="2"/>
      <c r="RCO37" s="2"/>
      <c r="RCP37" s="2"/>
      <c r="RCQ37" s="2"/>
      <c r="RCR37" s="2"/>
      <c r="RCS37" s="2"/>
      <c r="RCT37" s="2"/>
      <c r="RCU37" s="2"/>
      <c r="RCV37" s="2"/>
      <c r="RCW37" s="2"/>
      <c r="RCX37" s="2"/>
      <c r="RCY37" s="2"/>
      <c r="RCZ37" s="2"/>
      <c r="RDA37" s="2"/>
      <c r="RDB37" s="2"/>
      <c r="RDC37" s="2"/>
      <c r="RDD37" s="2"/>
      <c r="RDE37" s="2"/>
      <c r="RDF37" s="2"/>
      <c r="RDG37" s="2"/>
      <c r="RDH37" s="2"/>
      <c r="RDI37" s="2"/>
      <c r="RDJ37" s="2"/>
      <c r="RDK37" s="2"/>
      <c r="RDL37" s="2"/>
      <c r="RDM37" s="2"/>
      <c r="RDN37" s="2"/>
      <c r="RDO37" s="2"/>
      <c r="RDP37" s="2"/>
      <c r="RDQ37" s="2"/>
      <c r="RDR37" s="2"/>
      <c r="RDS37" s="2"/>
      <c r="RDT37" s="2"/>
      <c r="RDU37" s="2"/>
      <c r="RDV37" s="2"/>
      <c r="RDW37" s="2"/>
      <c r="RDX37" s="2"/>
      <c r="RDY37" s="2"/>
      <c r="RDZ37" s="2"/>
      <c r="REA37" s="2"/>
      <c r="REB37" s="2"/>
      <c r="REC37" s="2"/>
      <c r="RED37" s="2"/>
      <c r="REE37" s="2"/>
      <c r="REF37" s="2"/>
      <c r="REG37" s="2"/>
      <c r="REH37" s="2"/>
      <c r="REI37" s="2"/>
      <c r="REJ37" s="2"/>
      <c r="REK37" s="2"/>
      <c r="REL37" s="2"/>
      <c r="REM37" s="2"/>
      <c r="REN37" s="2"/>
      <c r="REO37" s="2"/>
      <c r="REP37" s="2"/>
      <c r="REQ37" s="2"/>
      <c r="RER37" s="2"/>
      <c r="RES37" s="2"/>
      <c r="RET37" s="2"/>
      <c r="REU37" s="2"/>
      <c r="REV37" s="2"/>
      <c r="REW37" s="2"/>
      <c r="REX37" s="2"/>
      <c r="REY37" s="2"/>
      <c r="REZ37" s="2"/>
      <c r="RFA37" s="2"/>
      <c r="RFB37" s="2"/>
      <c r="RFC37" s="2"/>
      <c r="RFD37" s="2"/>
      <c r="RFE37" s="2"/>
      <c r="RFF37" s="2"/>
      <c r="RFG37" s="2"/>
      <c r="RFH37" s="2"/>
      <c r="RFI37" s="2"/>
      <c r="RFJ37" s="2"/>
      <c r="RFK37" s="2"/>
      <c r="RFL37" s="2"/>
      <c r="RFM37" s="2"/>
      <c r="RFN37" s="2"/>
      <c r="RFO37" s="2"/>
      <c r="RFP37" s="2"/>
      <c r="RFQ37" s="2"/>
      <c r="RFR37" s="2"/>
      <c r="RFS37" s="2"/>
      <c r="RFT37" s="2"/>
      <c r="RFU37" s="2"/>
      <c r="RFV37" s="2"/>
      <c r="RFW37" s="2"/>
      <c r="RFX37" s="2"/>
      <c r="RFY37" s="2"/>
      <c r="RFZ37" s="2"/>
      <c r="RGA37" s="2"/>
      <c r="RGB37" s="2"/>
      <c r="RGC37" s="2"/>
      <c r="RGD37" s="2"/>
      <c r="RGE37" s="2"/>
      <c r="RGF37" s="2"/>
      <c r="RGG37" s="2"/>
      <c r="RGH37" s="2"/>
      <c r="RGI37" s="2"/>
      <c r="RGJ37" s="2"/>
      <c r="RGK37" s="2"/>
      <c r="RGL37" s="2"/>
      <c r="RGM37" s="2"/>
      <c r="RGN37" s="2"/>
      <c r="RGO37" s="2"/>
      <c r="RGP37" s="2"/>
      <c r="RGQ37" s="2"/>
      <c r="RGR37" s="2"/>
      <c r="RGS37" s="2"/>
      <c r="RGT37" s="2"/>
      <c r="RGU37" s="2"/>
      <c r="RGV37" s="2"/>
      <c r="RGW37" s="2"/>
      <c r="RGX37" s="2"/>
      <c r="RGY37" s="2"/>
      <c r="RGZ37" s="2"/>
      <c r="RHA37" s="2"/>
      <c r="RHB37" s="2"/>
      <c r="RHC37" s="2"/>
      <c r="RHD37" s="2"/>
      <c r="RHE37" s="2"/>
      <c r="RHF37" s="2"/>
      <c r="RHG37" s="2"/>
      <c r="RHH37" s="2"/>
      <c r="RHI37" s="2"/>
      <c r="RHJ37" s="2"/>
      <c r="RHK37" s="2"/>
      <c r="RHL37" s="2"/>
      <c r="RHM37" s="2"/>
      <c r="RHN37" s="2"/>
      <c r="RHO37" s="2"/>
      <c r="RHP37" s="2"/>
      <c r="RHQ37" s="2"/>
      <c r="RHR37" s="2"/>
      <c r="RHS37" s="2"/>
      <c r="RHT37" s="2"/>
      <c r="RHU37" s="2"/>
      <c r="RHV37" s="2"/>
      <c r="RHW37" s="2"/>
      <c r="RHX37" s="2"/>
      <c r="RHY37" s="2"/>
      <c r="RHZ37" s="2"/>
      <c r="RIA37" s="2"/>
      <c r="RIB37" s="2"/>
      <c r="RIC37" s="2"/>
      <c r="RID37" s="2"/>
      <c r="RIE37" s="2"/>
      <c r="RIF37" s="2"/>
      <c r="RIG37" s="2"/>
      <c r="RIH37" s="2"/>
      <c r="RII37" s="2"/>
      <c r="RIJ37" s="2"/>
      <c r="RIK37" s="2"/>
      <c r="RIL37" s="2"/>
      <c r="RIM37" s="2"/>
      <c r="RIN37" s="2"/>
      <c r="RIO37" s="2"/>
      <c r="RIP37" s="2"/>
      <c r="RIQ37" s="2"/>
      <c r="RIR37" s="2"/>
      <c r="RIS37" s="2"/>
      <c r="RIT37" s="2"/>
      <c r="RIU37" s="2"/>
      <c r="RIV37" s="2"/>
      <c r="RIW37" s="2"/>
      <c r="RIX37" s="2"/>
      <c r="RIY37" s="2"/>
      <c r="RIZ37" s="2"/>
      <c r="RJA37" s="2"/>
      <c r="RJB37" s="2"/>
      <c r="RJC37" s="2"/>
      <c r="RJD37" s="2"/>
      <c r="RJE37" s="2"/>
      <c r="RJF37" s="2"/>
      <c r="RJG37" s="2"/>
      <c r="RJH37" s="2"/>
      <c r="RJI37" s="2"/>
      <c r="RJJ37" s="2"/>
      <c r="RJK37" s="2"/>
      <c r="RJL37" s="2"/>
      <c r="RJM37" s="2"/>
      <c r="RJN37" s="2"/>
      <c r="RJO37" s="2"/>
      <c r="RJP37" s="2"/>
      <c r="RJQ37" s="2"/>
      <c r="RJR37" s="2"/>
      <c r="RJS37" s="2"/>
      <c r="RJT37" s="2"/>
      <c r="RJU37" s="2"/>
      <c r="RJV37" s="2"/>
      <c r="RJW37" s="2"/>
      <c r="RJX37" s="2"/>
      <c r="RJY37" s="2"/>
      <c r="RJZ37" s="2"/>
      <c r="RKA37" s="2"/>
      <c r="RKB37" s="2"/>
      <c r="RKC37" s="2"/>
      <c r="RKD37" s="2"/>
      <c r="RKE37" s="2"/>
      <c r="RKF37" s="2"/>
      <c r="RKG37" s="2"/>
      <c r="RKH37" s="2"/>
      <c r="RKI37" s="2"/>
      <c r="RKJ37" s="2"/>
      <c r="RKK37" s="2"/>
      <c r="RKL37" s="2"/>
      <c r="RKM37" s="2"/>
      <c r="RKN37" s="2"/>
      <c r="RKO37" s="2"/>
      <c r="RKP37" s="2"/>
      <c r="RKQ37" s="2"/>
      <c r="RKR37" s="2"/>
      <c r="RKS37" s="2"/>
      <c r="RKT37" s="2"/>
      <c r="RKU37" s="2"/>
      <c r="RKV37" s="2"/>
      <c r="RKW37" s="2"/>
      <c r="RKX37" s="2"/>
      <c r="RKY37" s="2"/>
      <c r="RKZ37" s="2"/>
      <c r="RLA37" s="2"/>
      <c r="RLB37" s="2"/>
      <c r="RLC37" s="2"/>
      <c r="RLD37" s="2"/>
      <c r="RLE37" s="2"/>
      <c r="RLF37" s="2"/>
      <c r="RLG37" s="2"/>
      <c r="RLH37" s="2"/>
      <c r="RLI37" s="2"/>
      <c r="RLJ37" s="2"/>
      <c r="RLK37" s="2"/>
      <c r="RLL37" s="2"/>
      <c r="RLM37" s="2"/>
      <c r="RLN37" s="2"/>
      <c r="RLO37" s="2"/>
      <c r="RLP37" s="2"/>
      <c r="RLQ37" s="2"/>
      <c r="RLR37" s="2"/>
      <c r="RLS37" s="2"/>
      <c r="RLT37" s="2"/>
      <c r="RLU37" s="2"/>
      <c r="RLV37" s="2"/>
      <c r="RLW37" s="2"/>
      <c r="RLX37" s="2"/>
      <c r="RLY37" s="2"/>
      <c r="RLZ37" s="2"/>
      <c r="RMA37" s="2"/>
      <c r="RMB37" s="2"/>
      <c r="RMC37" s="2"/>
      <c r="RMD37" s="2"/>
      <c r="RME37" s="2"/>
      <c r="RMF37" s="2"/>
      <c r="RMG37" s="2"/>
      <c r="RMH37" s="2"/>
      <c r="RMI37" s="2"/>
      <c r="RMJ37" s="2"/>
      <c r="RMK37" s="2"/>
      <c r="RML37" s="2"/>
      <c r="RMM37" s="2"/>
      <c r="RMN37" s="2"/>
      <c r="RMO37" s="2"/>
      <c r="RMP37" s="2"/>
      <c r="RMQ37" s="2"/>
      <c r="RMR37" s="2"/>
      <c r="RMS37" s="2"/>
      <c r="RMT37" s="2"/>
      <c r="RMU37" s="2"/>
      <c r="RMV37" s="2"/>
      <c r="RMW37" s="2"/>
      <c r="RMX37" s="2"/>
      <c r="RMY37" s="2"/>
      <c r="RMZ37" s="2"/>
      <c r="RNA37" s="2"/>
      <c r="RNB37" s="2"/>
      <c r="RNC37" s="2"/>
      <c r="RND37" s="2"/>
      <c r="RNE37" s="2"/>
      <c r="RNF37" s="2"/>
      <c r="RNG37" s="2"/>
      <c r="RNH37" s="2"/>
      <c r="RNI37" s="2"/>
      <c r="RNJ37" s="2"/>
      <c r="RNK37" s="2"/>
      <c r="RNL37" s="2"/>
      <c r="RNM37" s="2"/>
      <c r="RNN37" s="2"/>
      <c r="RNO37" s="2"/>
      <c r="RNP37" s="2"/>
      <c r="RNQ37" s="2"/>
      <c r="RNR37" s="2"/>
      <c r="RNS37" s="2"/>
      <c r="RNT37" s="2"/>
      <c r="RNU37" s="2"/>
      <c r="RNV37" s="2"/>
      <c r="RNW37" s="2"/>
      <c r="RNX37" s="2"/>
      <c r="RNY37" s="2"/>
      <c r="RNZ37" s="2"/>
      <c r="ROA37" s="2"/>
      <c r="ROB37" s="2"/>
      <c r="ROC37" s="2"/>
      <c r="ROD37" s="2"/>
      <c r="ROE37" s="2"/>
      <c r="ROF37" s="2"/>
      <c r="ROG37" s="2"/>
      <c r="ROH37" s="2"/>
      <c r="ROI37" s="2"/>
      <c r="ROJ37" s="2"/>
      <c r="ROK37" s="2"/>
      <c r="ROL37" s="2"/>
      <c r="ROM37" s="2"/>
      <c r="RON37" s="2"/>
      <c r="ROO37" s="2"/>
      <c r="ROP37" s="2"/>
      <c r="ROQ37" s="2"/>
      <c r="ROR37" s="2"/>
      <c r="ROS37" s="2"/>
      <c r="ROT37" s="2"/>
      <c r="ROU37" s="2"/>
      <c r="ROV37" s="2"/>
      <c r="ROW37" s="2"/>
      <c r="ROX37" s="2"/>
      <c r="ROY37" s="2"/>
      <c r="ROZ37" s="2"/>
      <c r="RPA37" s="2"/>
      <c r="RPB37" s="2"/>
      <c r="RPC37" s="2"/>
      <c r="RPD37" s="2"/>
      <c r="RPE37" s="2"/>
      <c r="RPF37" s="2"/>
      <c r="RPG37" s="2"/>
      <c r="RPH37" s="2"/>
      <c r="RPI37" s="2"/>
      <c r="RPJ37" s="2"/>
      <c r="RPK37" s="2"/>
      <c r="RPL37" s="2"/>
      <c r="RPM37" s="2"/>
      <c r="RPN37" s="2"/>
      <c r="RPO37" s="2"/>
      <c r="RPP37" s="2"/>
      <c r="RPQ37" s="2"/>
      <c r="RPR37" s="2"/>
      <c r="RPS37" s="2"/>
      <c r="RPT37" s="2"/>
      <c r="RPU37" s="2"/>
      <c r="RPV37" s="2"/>
      <c r="RPW37" s="2"/>
      <c r="RPX37" s="2"/>
      <c r="RPY37" s="2"/>
      <c r="RPZ37" s="2"/>
      <c r="RQA37" s="2"/>
      <c r="RQB37" s="2"/>
      <c r="RQC37" s="2"/>
      <c r="RQD37" s="2"/>
      <c r="RQE37" s="2"/>
      <c r="RQF37" s="2"/>
      <c r="RQG37" s="2"/>
      <c r="RQH37" s="2"/>
      <c r="RQI37" s="2"/>
      <c r="RQJ37" s="2"/>
      <c r="RQK37" s="2"/>
      <c r="RQL37" s="2"/>
      <c r="RQM37" s="2"/>
      <c r="RQN37" s="2"/>
      <c r="RQO37" s="2"/>
      <c r="RQP37" s="2"/>
      <c r="RQQ37" s="2"/>
      <c r="RQR37" s="2"/>
      <c r="RQS37" s="2"/>
      <c r="RQT37" s="2"/>
      <c r="RQU37" s="2"/>
      <c r="RQV37" s="2"/>
      <c r="RQW37" s="2"/>
      <c r="RQX37" s="2"/>
      <c r="RQY37" s="2"/>
      <c r="RQZ37" s="2"/>
      <c r="RRA37" s="2"/>
      <c r="RRB37" s="2"/>
      <c r="RRC37" s="2"/>
      <c r="RRD37" s="2"/>
      <c r="RRE37" s="2"/>
      <c r="RRF37" s="2"/>
      <c r="RRG37" s="2"/>
      <c r="RRH37" s="2"/>
      <c r="RRI37" s="2"/>
      <c r="RRJ37" s="2"/>
      <c r="RRK37" s="2"/>
      <c r="RRL37" s="2"/>
      <c r="RRM37" s="2"/>
      <c r="RRN37" s="2"/>
      <c r="RRO37" s="2"/>
      <c r="RRP37" s="2"/>
      <c r="RRQ37" s="2"/>
      <c r="RRR37" s="2"/>
      <c r="RRS37" s="2"/>
      <c r="RRT37" s="2"/>
      <c r="RRU37" s="2"/>
      <c r="RRV37" s="2"/>
      <c r="RRW37" s="2"/>
      <c r="RRX37" s="2"/>
      <c r="RRY37" s="2"/>
      <c r="RRZ37" s="2"/>
      <c r="RSA37" s="2"/>
      <c r="RSB37" s="2"/>
      <c r="RSC37" s="2"/>
      <c r="RSD37" s="2"/>
      <c r="RSE37" s="2"/>
      <c r="RSF37" s="2"/>
      <c r="RSG37" s="2"/>
      <c r="RSH37" s="2"/>
      <c r="RSI37" s="2"/>
      <c r="RSJ37" s="2"/>
      <c r="RSK37" s="2"/>
      <c r="RSL37" s="2"/>
      <c r="RSM37" s="2"/>
      <c r="RSN37" s="2"/>
      <c r="RSO37" s="2"/>
      <c r="RSP37" s="2"/>
      <c r="RSQ37" s="2"/>
      <c r="RSR37" s="2"/>
      <c r="RSS37" s="2"/>
      <c r="RST37" s="2"/>
      <c r="RSU37" s="2"/>
      <c r="RSV37" s="2"/>
      <c r="RSW37" s="2"/>
      <c r="RSX37" s="2"/>
      <c r="RSY37" s="2"/>
      <c r="RSZ37" s="2"/>
      <c r="RTA37" s="2"/>
      <c r="RTB37" s="2"/>
      <c r="RTC37" s="2"/>
      <c r="RTD37" s="2"/>
      <c r="RTE37" s="2"/>
      <c r="RTF37" s="2"/>
      <c r="RTG37" s="2"/>
      <c r="RTH37" s="2"/>
      <c r="RTI37" s="2"/>
      <c r="RTJ37" s="2"/>
      <c r="RTK37" s="2"/>
      <c r="RTL37" s="2"/>
      <c r="RTM37" s="2"/>
      <c r="RTN37" s="2"/>
      <c r="RTO37" s="2"/>
      <c r="RTP37" s="2"/>
      <c r="RTQ37" s="2"/>
      <c r="RTR37" s="2"/>
      <c r="RTS37" s="2"/>
      <c r="RTT37" s="2"/>
      <c r="RTU37" s="2"/>
      <c r="RTV37" s="2"/>
      <c r="RTW37" s="2"/>
      <c r="RTX37" s="2"/>
      <c r="RTY37" s="2"/>
      <c r="RTZ37" s="2"/>
      <c r="RUA37" s="2"/>
      <c r="RUB37" s="2"/>
      <c r="RUC37" s="2"/>
      <c r="RUD37" s="2"/>
      <c r="RUE37" s="2"/>
      <c r="RUF37" s="2"/>
      <c r="RUG37" s="2"/>
      <c r="RUH37" s="2"/>
      <c r="RUI37" s="2"/>
      <c r="RUJ37" s="2"/>
      <c r="RUK37" s="2"/>
      <c r="RUL37" s="2"/>
      <c r="RUM37" s="2"/>
      <c r="RUN37" s="2"/>
      <c r="RUO37" s="2"/>
      <c r="RUP37" s="2"/>
      <c r="RUQ37" s="2"/>
      <c r="RUR37" s="2"/>
      <c r="RUS37" s="2"/>
      <c r="RUT37" s="2"/>
      <c r="RUU37" s="2"/>
      <c r="RUV37" s="2"/>
      <c r="RUW37" s="2"/>
      <c r="RUX37" s="2"/>
      <c r="RUY37" s="2"/>
      <c r="RUZ37" s="2"/>
      <c r="RVA37" s="2"/>
      <c r="RVB37" s="2"/>
      <c r="RVC37" s="2"/>
      <c r="RVD37" s="2"/>
      <c r="RVE37" s="2"/>
      <c r="RVF37" s="2"/>
      <c r="RVG37" s="2"/>
      <c r="RVH37" s="2"/>
      <c r="RVI37" s="2"/>
      <c r="RVJ37" s="2"/>
      <c r="RVK37" s="2"/>
      <c r="RVL37" s="2"/>
      <c r="RVM37" s="2"/>
      <c r="RVN37" s="2"/>
      <c r="RVO37" s="2"/>
      <c r="RVP37" s="2"/>
      <c r="RVQ37" s="2"/>
      <c r="RVR37" s="2"/>
      <c r="RVS37" s="2"/>
      <c r="RVT37" s="2"/>
      <c r="RVU37" s="2"/>
      <c r="RVV37" s="2"/>
      <c r="RVW37" s="2"/>
      <c r="RVX37" s="2"/>
      <c r="RVY37" s="2"/>
      <c r="RVZ37" s="2"/>
      <c r="RWA37" s="2"/>
      <c r="RWB37" s="2"/>
      <c r="RWC37" s="2"/>
      <c r="RWD37" s="2"/>
      <c r="RWE37" s="2"/>
      <c r="RWF37" s="2"/>
      <c r="RWG37" s="2"/>
      <c r="RWH37" s="2"/>
      <c r="RWI37" s="2"/>
      <c r="RWJ37" s="2"/>
      <c r="RWK37" s="2"/>
      <c r="RWL37" s="2"/>
      <c r="RWM37" s="2"/>
      <c r="RWN37" s="2"/>
      <c r="RWO37" s="2"/>
      <c r="RWP37" s="2"/>
      <c r="RWQ37" s="2"/>
      <c r="RWR37" s="2"/>
      <c r="RWS37" s="2"/>
      <c r="RWT37" s="2"/>
      <c r="RWU37" s="2"/>
      <c r="RWV37" s="2"/>
      <c r="RWW37" s="2"/>
      <c r="RWX37" s="2"/>
      <c r="RWY37" s="2"/>
      <c r="RWZ37" s="2"/>
      <c r="RXA37" s="2"/>
      <c r="RXB37" s="2"/>
      <c r="RXC37" s="2"/>
      <c r="RXD37" s="2"/>
      <c r="RXE37" s="2"/>
      <c r="RXF37" s="2"/>
      <c r="RXG37" s="2"/>
      <c r="RXH37" s="2"/>
      <c r="RXI37" s="2"/>
      <c r="RXJ37" s="2"/>
      <c r="RXK37" s="2"/>
      <c r="RXL37" s="2"/>
      <c r="RXM37" s="2"/>
      <c r="RXN37" s="2"/>
      <c r="RXO37" s="2"/>
      <c r="RXP37" s="2"/>
      <c r="RXQ37" s="2"/>
      <c r="RXR37" s="2"/>
      <c r="RXS37" s="2"/>
      <c r="RXT37" s="2"/>
      <c r="RXU37" s="2"/>
      <c r="RXV37" s="2"/>
      <c r="RXW37" s="2"/>
      <c r="RXX37" s="2"/>
      <c r="RXY37" s="2"/>
      <c r="RXZ37" s="2"/>
      <c r="RYA37" s="2"/>
      <c r="RYB37" s="2"/>
      <c r="RYC37" s="2"/>
      <c r="RYD37" s="2"/>
      <c r="RYE37" s="2"/>
      <c r="RYF37" s="2"/>
      <c r="RYG37" s="2"/>
      <c r="RYH37" s="2"/>
      <c r="RYI37" s="2"/>
      <c r="RYJ37" s="2"/>
      <c r="RYK37" s="2"/>
      <c r="RYL37" s="2"/>
      <c r="RYM37" s="2"/>
      <c r="RYN37" s="2"/>
      <c r="RYO37" s="2"/>
      <c r="RYP37" s="2"/>
      <c r="RYQ37" s="2"/>
      <c r="RYR37" s="2"/>
      <c r="RYS37" s="2"/>
      <c r="RYT37" s="2"/>
      <c r="RYU37" s="2"/>
      <c r="RYV37" s="2"/>
      <c r="RYW37" s="2"/>
      <c r="RYX37" s="2"/>
      <c r="RYY37" s="2"/>
      <c r="RYZ37" s="2"/>
      <c r="RZA37" s="2"/>
      <c r="RZB37" s="2"/>
      <c r="RZC37" s="2"/>
      <c r="RZD37" s="2"/>
      <c r="RZE37" s="2"/>
      <c r="RZF37" s="2"/>
      <c r="RZG37" s="2"/>
      <c r="RZH37" s="2"/>
      <c r="RZI37" s="2"/>
      <c r="RZJ37" s="2"/>
      <c r="RZK37" s="2"/>
      <c r="RZL37" s="2"/>
      <c r="RZM37" s="2"/>
      <c r="RZN37" s="2"/>
      <c r="RZO37" s="2"/>
      <c r="RZP37" s="2"/>
      <c r="RZQ37" s="2"/>
      <c r="RZR37" s="2"/>
      <c r="RZS37" s="2"/>
      <c r="RZT37" s="2"/>
      <c r="RZU37" s="2"/>
      <c r="RZV37" s="2"/>
      <c r="RZW37" s="2"/>
      <c r="RZX37" s="2"/>
      <c r="RZY37" s="2"/>
      <c r="RZZ37" s="2"/>
      <c r="SAA37" s="2"/>
      <c r="SAB37" s="2"/>
      <c r="SAC37" s="2"/>
      <c r="SAD37" s="2"/>
      <c r="SAE37" s="2"/>
      <c r="SAF37" s="2"/>
      <c r="SAG37" s="2"/>
      <c r="SAH37" s="2"/>
      <c r="SAI37" s="2"/>
      <c r="SAJ37" s="2"/>
      <c r="SAK37" s="2"/>
      <c r="SAL37" s="2"/>
      <c r="SAM37" s="2"/>
      <c r="SAN37" s="2"/>
      <c r="SAO37" s="2"/>
      <c r="SAP37" s="2"/>
      <c r="SAQ37" s="2"/>
      <c r="SAR37" s="2"/>
      <c r="SAS37" s="2"/>
      <c r="SAT37" s="2"/>
      <c r="SAU37" s="2"/>
      <c r="SAV37" s="2"/>
      <c r="SAW37" s="2"/>
      <c r="SAX37" s="2"/>
      <c r="SAY37" s="2"/>
      <c r="SAZ37" s="2"/>
      <c r="SBA37" s="2"/>
      <c r="SBB37" s="2"/>
      <c r="SBC37" s="2"/>
      <c r="SBD37" s="2"/>
      <c r="SBE37" s="2"/>
      <c r="SBF37" s="2"/>
      <c r="SBG37" s="2"/>
      <c r="SBH37" s="2"/>
      <c r="SBI37" s="2"/>
      <c r="SBJ37" s="2"/>
      <c r="SBK37" s="2"/>
      <c r="SBL37" s="2"/>
      <c r="SBM37" s="2"/>
      <c r="SBN37" s="2"/>
      <c r="SBO37" s="2"/>
      <c r="SBP37" s="2"/>
      <c r="SBQ37" s="2"/>
      <c r="SBR37" s="2"/>
      <c r="SBS37" s="2"/>
      <c r="SBT37" s="2"/>
      <c r="SBU37" s="2"/>
      <c r="SBV37" s="2"/>
      <c r="SBW37" s="2"/>
      <c r="SBX37" s="2"/>
      <c r="SBY37" s="2"/>
      <c r="SBZ37" s="2"/>
      <c r="SCA37" s="2"/>
      <c r="SCB37" s="2"/>
      <c r="SCC37" s="2"/>
      <c r="SCD37" s="2"/>
      <c r="SCE37" s="2"/>
      <c r="SCF37" s="2"/>
      <c r="SCG37" s="2"/>
      <c r="SCH37" s="2"/>
      <c r="SCI37" s="2"/>
      <c r="SCJ37" s="2"/>
      <c r="SCK37" s="2"/>
      <c r="SCL37" s="2"/>
      <c r="SCM37" s="2"/>
      <c r="SCN37" s="2"/>
      <c r="SCO37" s="2"/>
      <c r="SCP37" s="2"/>
      <c r="SCQ37" s="2"/>
      <c r="SCR37" s="2"/>
      <c r="SCS37" s="2"/>
      <c r="SCT37" s="2"/>
      <c r="SCU37" s="2"/>
      <c r="SCV37" s="2"/>
      <c r="SCW37" s="2"/>
      <c r="SCX37" s="2"/>
      <c r="SCY37" s="2"/>
      <c r="SCZ37" s="2"/>
      <c r="SDA37" s="2"/>
      <c r="SDB37" s="2"/>
      <c r="SDC37" s="2"/>
      <c r="SDD37" s="2"/>
      <c r="SDE37" s="2"/>
      <c r="SDF37" s="2"/>
      <c r="SDG37" s="2"/>
      <c r="SDH37" s="2"/>
      <c r="SDI37" s="2"/>
      <c r="SDJ37" s="2"/>
      <c r="SDK37" s="2"/>
      <c r="SDL37" s="2"/>
      <c r="SDM37" s="2"/>
      <c r="SDN37" s="2"/>
      <c r="SDO37" s="2"/>
      <c r="SDP37" s="2"/>
      <c r="SDQ37" s="2"/>
      <c r="SDR37" s="2"/>
      <c r="SDS37" s="2"/>
      <c r="SDT37" s="2"/>
      <c r="SDU37" s="2"/>
      <c r="SDV37" s="2"/>
      <c r="SDW37" s="2"/>
      <c r="SDX37" s="2"/>
      <c r="SDY37" s="2"/>
      <c r="SDZ37" s="2"/>
      <c r="SEA37" s="2"/>
      <c r="SEB37" s="2"/>
      <c r="SEC37" s="2"/>
      <c r="SED37" s="2"/>
      <c r="SEE37" s="2"/>
      <c r="SEF37" s="2"/>
      <c r="SEG37" s="2"/>
      <c r="SEH37" s="2"/>
      <c r="SEI37" s="2"/>
      <c r="SEJ37" s="2"/>
      <c r="SEK37" s="2"/>
      <c r="SEL37" s="2"/>
      <c r="SEM37" s="2"/>
      <c r="SEN37" s="2"/>
      <c r="SEO37" s="2"/>
      <c r="SEP37" s="2"/>
      <c r="SEQ37" s="2"/>
      <c r="SER37" s="2"/>
      <c r="SES37" s="2"/>
      <c r="SET37" s="2"/>
      <c r="SEU37" s="2"/>
      <c r="SEV37" s="2"/>
      <c r="SEW37" s="2"/>
      <c r="SEX37" s="2"/>
      <c r="SEY37" s="2"/>
      <c r="SEZ37" s="2"/>
      <c r="SFA37" s="2"/>
      <c r="SFB37" s="2"/>
      <c r="SFC37" s="2"/>
      <c r="SFD37" s="2"/>
      <c r="SFE37" s="2"/>
      <c r="SFF37" s="2"/>
      <c r="SFG37" s="2"/>
      <c r="SFH37" s="2"/>
      <c r="SFI37" s="2"/>
      <c r="SFJ37" s="2"/>
      <c r="SFK37" s="2"/>
      <c r="SFL37" s="2"/>
      <c r="SFM37" s="2"/>
      <c r="SFN37" s="2"/>
      <c r="SFO37" s="2"/>
      <c r="SFP37" s="2"/>
      <c r="SFQ37" s="2"/>
      <c r="SFR37" s="2"/>
      <c r="SFS37" s="2"/>
      <c r="SFT37" s="2"/>
      <c r="SFU37" s="2"/>
      <c r="SFV37" s="2"/>
      <c r="SFW37" s="2"/>
      <c r="SFX37" s="2"/>
      <c r="SFY37" s="2"/>
      <c r="SFZ37" s="2"/>
      <c r="SGA37" s="2"/>
      <c r="SGB37" s="2"/>
      <c r="SGC37" s="2"/>
      <c r="SGD37" s="2"/>
      <c r="SGE37" s="2"/>
      <c r="SGF37" s="2"/>
      <c r="SGG37" s="2"/>
      <c r="SGH37" s="2"/>
      <c r="SGI37" s="2"/>
      <c r="SGJ37" s="2"/>
      <c r="SGK37" s="2"/>
      <c r="SGL37" s="2"/>
      <c r="SGM37" s="2"/>
      <c r="SGN37" s="2"/>
      <c r="SGO37" s="2"/>
      <c r="SGP37" s="2"/>
      <c r="SGQ37" s="2"/>
      <c r="SGR37" s="2"/>
      <c r="SGS37" s="2"/>
      <c r="SGT37" s="2"/>
      <c r="SGU37" s="2"/>
      <c r="SGV37" s="2"/>
      <c r="SGW37" s="2"/>
      <c r="SGX37" s="2"/>
      <c r="SGY37" s="2"/>
      <c r="SGZ37" s="2"/>
      <c r="SHA37" s="2"/>
      <c r="SHB37" s="2"/>
      <c r="SHC37" s="2"/>
      <c r="SHD37" s="2"/>
      <c r="SHE37" s="2"/>
      <c r="SHF37" s="2"/>
      <c r="SHG37" s="2"/>
      <c r="SHH37" s="2"/>
      <c r="SHI37" s="2"/>
      <c r="SHJ37" s="2"/>
      <c r="SHK37" s="2"/>
      <c r="SHL37" s="2"/>
      <c r="SHM37" s="2"/>
      <c r="SHN37" s="2"/>
      <c r="SHO37" s="2"/>
      <c r="SHP37" s="2"/>
      <c r="SHQ37" s="2"/>
      <c r="SHR37" s="2"/>
      <c r="SHS37" s="2"/>
      <c r="SHT37" s="2"/>
      <c r="SHU37" s="2"/>
      <c r="SHV37" s="2"/>
      <c r="SHW37" s="2"/>
      <c r="SHX37" s="2"/>
      <c r="SHY37" s="2"/>
      <c r="SHZ37" s="2"/>
      <c r="SIA37" s="2"/>
      <c r="SIB37" s="2"/>
      <c r="SIC37" s="2"/>
      <c r="SID37" s="2"/>
      <c r="SIE37" s="2"/>
      <c r="SIF37" s="2"/>
      <c r="SIG37" s="2"/>
      <c r="SIH37" s="2"/>
      <c r="SII37" s="2"/>
      <c r="SIJ37" s="2"/>
      <c r="SIK37" s="2"/>
      <c r="SIL37" s="2"/>
      <c r="SIM37" s="2"/>
      <c r="SIN37" s="2"/>
      <c r="SIO37" s="2"/>
      <c r="SIP37" s="2"/>
      <c r="SIQ37" s="2"/>
      <c r="SIR37" s="2"/>
      <c r="SIS37" s="2"/>
      <c r="SIT37" s="2"/>
      <c r="SIU37" s="2"/>
      <c r="SIV37" s="2"/>
      <c r="SIW37" s="2"/>
      <c r="SIX37" s="2"/>
      <c r="SIY37" s="2"/>
      <c r="SIZ37" s="2"/>
      <c r="SJA37" s="2"/>
      <c r="SJB37" s="2"/>
      <c r="SJC37" s="2"/>
      <c r="SJD37" s="2"/>
      <c r="SJE37" s="2"/>
      <c r="SJF37" s="2"/>
      <c r="SJG37" s="2"/>
      <c r="SJH37" s="2"/>
      <c r="SJI37" s="2"/>
      <c r="SJJ37" s="2"/>
      <c r="SJK37" s="2"/>
      <c r="SJL37" s="2"/>
      <c r="SJM37" s="2"/>
      <c r="SJN37" s="2"/>
      <c r="SJO37" s="2"/>
      <c r="SJP37" s="2"/>
      <c r="SJQ37" s="2"/>
      <c r="SJR37" s="2"/>
      <c r="SJS37" s="2"/>
      <c r="SJT37" s="2"/>
      <c r="SJU37" s="2"/>
      <c r="SJV37" s="2"/>
      <c r="SJW37" s="2"/>
      <c r="SJX37" s="2"/>
      <c r="SJY37" s="2"/>
      <c r="SJZ37" s="2"/>
      <c r="SKA37" s="2"/>
      <c r="SKB37" s="2"/>
      <c r="SKC37" s="2"/>
      <c r="SKD37" s="2"/>
      <c r="SKE37" s="2"/>
      <c r="SKF37" s="2"/>
      <c r="SKG37" s="2"/>
      <c r="SKH37" s="2"/>
      <c r="SKI37" s="2"/>
      <c r="SKJ37" s="2"/>
      <c r="SKK37" s="2"/>
      <c r="SKL37" s="2"/>
      <c r="SKM37" s="2"/>
      <c r="SKN37" s="2"/>
      <c r="SKO37" s="2"/>
      <c r="SKP37" s="2"/>
      <c r="SKQ37" s="2"/>
      <c r="SKR37" s="2"/>
      <c r="SKS37" s="2"/>
      <c r="SKT37" s="2"/>
      <c r="SKU37" s="2"/>
      <c r="SKV37" s="2"/>
      <c r="SKW37" s="2"/>
      <c r="SKX37" s="2"/>
      <c r="SKY37" s="2"/>
      <c r="SKZ37" s="2"/>
      <c r="SLA37" s="2"/>
      <c r="SLB37" s="2"/>
      <c r="SLC37" s="2"/>
      <c r="SLD37" s="2"/>
      <c r="SLE37" s="2"/>
      <c r="SLF37" s="2"/>
      <c r="SLG37" s="2"/>
      <c r="SLH37" s="2"/>
      <c r="SLI37" s="2"/>
      <c r="SLJ37" s="2"/>
      <c r="SLK37" s="2"/>
      <c r="SLL37" s="2"/>
      <c r="SLM37" s="2"/>
      <c r="SLN37" s="2"/>
      <c r="SLO37" s="2"/>
      <c r="SLP37" s="2"/>
      <c r="SLQ37" s="2"/>
      <c r="SLR37" s="2"/>
      <c r="SLS37" s="2"/>
      <c r="SLT37" s="2"/>
      <c r="SLU37" s="2"/>
      <c r="SLV37" s="2"/>
      <c r="SLW37" s="2"/>
      <c r="SLX37" s="2"/>
      <c r="SLY37" s="2"/>
      <c r="SLZ37" s="2"/>
      <c r="SMA37" s="2"/>
      <c r="SMB37" s="2"/>
      <c r="SMC37" s="2"/>
      <c r="SMD37" s="2"/>
      <c r="SME37" s="2"/>
      <c r="SMF37" s="2"/>
      <c r="SMG37" s="2"/>
      <c r="SMH37" s="2"/>
      <c r="SMI37" s="2"/>
      <c r="SMJ37" s="2"/>
      <c r="SMK37" s="2"/>
      <c r="SML37" s="2"/>
      <c r="SMM37" s="2"/>
      <c r="SMN37" s="2"/>
      <c r="SMO37" s="2"/>
      <c r="SMP37" s="2"/>
      <c r="SMQ37" s="2"/>
      <c r="SMR37" s="2"/>
      <c r="SMS37" s="2"/>
      <c r="SMT37" s="2"/>
      <c r="SMU37" s="2"/>
      <c r="SMV37" s="2"/>
      <c r="SMW37" s="2"/>
      <c r="SMX37" s="2"/>
      <c r="SMY37" s="2"/>
      <c r="SMZ37" s="2"/>
      <c r="SNA37" s="2"/>
      <c r="SNB37" s="2"/>
      <c r="SNC37" s="2"/>
      <c r="SND37" s="2"/>
      <c r="SNE37" s="2"/>
      <c r="SNF37" s="2"/>
      <c r="SNG37" s="2"/>
      <c r="SNH37" s="2"/>
      <c r="SNI37" s="2"/>
      <c r="SNJ37" s="2"/>
      <c r="SNK37" s="2"/>
      <c r="SNL37" s="2"/>
      <c r="SNM37" s="2"/>
      <c r="SNN37" s="2"/>
      <c r="SNO37" s="2"/>
      <c r="SNP37" s="2"/>
      <c r="SNQ37" s="2"/>
      <c r="SNR37" s="2"/>
      <c r="SNS37" s="2"/>
      <c r="SNT37" s="2"/>
      <c r="SNU37" s="2"/>
      <c r="SNV37" s="2"/>
      <c r="SNW37" s="2"/>
      <c r="SNX37" s="2"/>
      <c r="SNY37" s="2"/>
      <c r="SNZ37" s="2"/>
      <c r="SOA37" s="2"/>
      <c r="SOB37" s="2"/>
      <c r="SOC37" s="2"/>
      <c r="SOD37" s="2"/>
      <c r="SOE37" s="2"/>
      <c r="SOF37" s="2"/>
      <c r="SOG37" s="2"/>
      <c r="SOH37" s="2"/>
      <c r="SOI37" s="2"/>
      <c r="SOJ37" s="2"/>
      <c r="SOK37" s="2"/>
      <c r="SOL37" s="2"/>
      <c r="SOM37" s="2"/>
      <c r="SON37" s="2"/>
      <c r="SOO37" s="2"/>
      <c r="SOP37" s="2"/>
      <c r="SOQ37" s="2"/>
      <c r="SOR37" s="2"/>
      <c r="SOS37" s="2"/>
      <c r="SOT37" s="2"/>
      <c r="SOU37" s="2"/>
      <c r="SOV37" s="2"/>
      <c r="SOW37" s="2"/>
      <c r="SOX37" s="2"/>
      <c r="SOY37" s="2"/>
      <c r="SOZ37" s="2"/>
      <c r="SPA37" s="2"/>
      <c r="SPB37" s="2"/>
      <c r="SPC37" s="2"/>
      <c r="SPD37" s="2"/>
      <c r="SPE37" s="2"/>
      <c r="SPF37" s="2"/>
      <c r="SPG37" s="2"/>
      <c r="SPH37" s="2"/>
      <c r="SPI37" s="2"/>
      <c r="SPJ37" s="2"/>
      <c r="SPK37" s="2"/>
      <c r="SPL37" s="2"/>
      <c r="SPM37" s="2"/>
      <c r="SPN37" s="2"/>
      <c r="SPO37" s="2"/>
      <c r="SPP37" s="2"/>
      <c r="SPQ37" s="2"/>
      <c r="SPR37" s="2"/>
      <c r="SPS37" s="2"/>
      <c r="SPT37" s="2"/>
      <c r="SPU37" s="2"/>
      <c r="SPV37" s="2"/>
      <c r="SPW37" s="2"/>
      <c r="SPX37" s="2"/>
      <c r="SPY37" s="2"/>
      <c r="SPZ37" s="2"/>
      <c r="SQA37" s="2"/>
      <c r="SQB37" s="2"/>
      <c r="SQC37" s="2"/>
      <c r="SQD37" s="2"/>
      <c r="SQE37" s="2"/>
      <c r="SQF37" s="2"/>
      <c r="SQG37" s="2"/>
      <c r="SQH37" s="2"/>
      <c r="SQI37" s="2"/>
      <c r="SQJ37" s="2"/>
      <c r="SQK37" s="2"/>
      <c r="SQL37" s="2"/>
      <c r="SQM37" s="2"/>
      <c r="SQN37" s="2"/>
      <c r="SQO37" s="2"/>
      <c r="SQP37" s="2"/>
      <c r="SQQ37" s="2"/>
      <c r="SQR37" s="2"/>
      <c r="SQS37" s="2"/>
      <c r="SQT37" s="2"/>
      <c r="SQU37" s="2"/>
      <c r="SQV37" s="2"/>
      <c r="SQW37" s="2"/>
      <c r="SQX37" s="2"/>
      <c r="SQY37" s="2"/>
      <c r="SQZ37" s="2"/>
      <c r="SRA37" s="2"/>
      <c r="SRB37" s="2"/>
      <c r="SRC37" s="2"/>
      <c r="SRD37" s="2"/>
      <c r="SRE37" s="2"/>
      <c r="SRF37" s="2"/>
      <c r="SRG37" s="2"/>
      <c r="SRH37" s="2"/>
      <c r="SRI37" s="2"/>
      <c r="SRJ37" s="2"/>
      <c r="SRK37" s="2"/>
      <c r="SRL37" s="2"/>
      <c r="SRM37" s="2"/>
      <c r="SRN37" s="2"/>
      <c r="SRO37" s="2"/>
      <c r="SRP37" s="2"/>
      <c r="SRQ37" s="2"/>
      <c r="SRR37" s="2"/>
      <c r="SRS37" s="2"/>
      <c r="SRT37" s="2"/>
      <c r="SRU37" s="2"/>
      <c r="SRV37" s="2"/>
      <c r="SRW37" s="2"/>
      <c r="SRX37" s="2"/>
      <c r="SRY37" s="2"/>
      <c r="SRZ37" s="2"/>
      <c r="SSA37" s="2"/>
      <c r="SSB37" s="2"/>
      <c r="SSC37" s="2"/>
      <c r="SSD37" s="2"/>
      <c r="SSE37" s="2"/>
      <c r="SSF37" s="2"/>
      <c r="SSG37" s="2"/>
      <c r="SSH37" s="2"/>
      <c r="SSI37" s="2"/>
      <c r="SSJ37" s="2"/>
      <c r="SSK37" s="2"/>
      <c r="SSL37" s="2"/>
      <c r="SSM37" s="2"/>
      <c r="SSN37" s="2"/>
      <c r="SSO37" s="2"/>
      <c r="SSP37" s="2"/>
      <c r="SSQ37" s="2"/>
      <c r="SSR37" s="2"/>
      <c r="SSS37" s="2"/>
      <c r="SST37" s="2"/>
      <c r="SSU37" s="2"/>
      <c r="SSV37" s="2"/>
      <c r="SSW37" s="2"/>
      <c r="SSX37" s="2"/>
      <c r="SSY37" s="2"/>
      <c r="SSZ37" s="2"/>
      <c r="STA37" s="2"/>
      <c r="STB37" s="2"/>
      <c r="STC37" s="2"/>
      <c r="STD37" s="2"/>
      <c r="STE37" s="2"/>
      <c r="STF37" s="2"/>
      <c r="STG37" s="2"/>
      <c r="STH37" s="2"/>
      <c r="STI37" s="2"/>
      <c r="STJ37" s="2"/>
      <c r="STK37" s="2"/>
      <c r="STL37" s="2"/>
      <c r="STM37" s="2"/>
      <c r="STN37" s="2"/>
      <c r="STO37" s="2"/>
      <c r="STP37" s="2"/>
      <c r="STQ37" s="2"/>
      <c r="STR37" s="2"/>
      <c r="STS37" s="2"/>
      <c r="STT37" s="2"/>
      <c r="STU37" s="2"/>
      <c r="STV37" s="2"/>
      <c r="STW37" s="2"/>
      <c r="STX37" s="2"/>
      <c r="STY37" s="2"/>
      <c r="STZ37" s="2"/>
      <c r="SUA37" s="2"/>
      <c r="SUB37" s="2"/>
      <c r="SUC37" s="2"/>
      <c r="SUD37" s="2"/>
      <c r="SUE37" s="2"/>
      <c r="SUF37" s="2"/>
      <c r="SUG37" s="2"/>
      <c r="SUH37" s="2"/>
      <c r="SUI37" s="2"/>
      <c r="SUJ37" s="2"/>
      <c r="SUK37" s="2"/>
      <c r="SUL37" s="2"/>
      <c r="SUM37" s="2"/>
      <c r="SUN37" s="2"/>
      <c r="SUO37" s="2"/>
      <c r="SUP37" s="2"/>
      <c r="SUQ37" s="2"/>
      <c r="SUR37" s="2"/>
      <c r="SUS37" s="2"/>
      <c r="SUT37" s="2"/>
      <c r="SUU37" s="2"/>
      <c r="SUV37" s="2"/>
      <c r="SUW37" s="2"/>
      <c r="SUX37" s="2"/>
      <c r="SUY37" s="2"/>
      <c r="SUZ37" s="2"/>
      <c r="SVA37" s="2"/>
      <c r="SVB37" s="2"/>
      <c r="SVC37" s="2"/>
      <c r="SVD37" s="2"/>
      <c r="SVE37" s="2"/>
      <c r="SVF37" s="2"/>
      <c r="SVG37" s="2"/>
      <c r="SVH37" s="2"/>
      <c r="SVI37" s="2"/>
      <c r="SVJ37" s="2"/>
      <c r="SVK37" s="2"/>
      <c r="SVL37" s="2"/>
      <c r="SVM37" s="2"/>
      <c r="SVN37" s="2"/>
      <c r="SVO37" s="2"/>
      <c r="SVP37" s="2"/>
      <c r="SVQ37" s="2"/>
      <c r="SVR37" s="2"/>
      <c r="SVS37" s="2"/>
      <c r="SVT37" s="2"/>
      <c r="SVU37" s="2"/>
      <c r="SVV37" s="2"/>
      <c r="SVW37" s="2"/>
      <c r="SVX37" s="2"/>
      <c r="SVY37" s="2"/>
      <c r="SVZ37" s="2"/>
      <c r="SWA37" s="2"/>
      <c r="SWB37" s="2"/>
      <c r="SWC37" s="2"/>
      <c r="SWD37" s="2"/>
      <c r="SWE37" s="2"/>
      <c r="SWF37" s="2"/>
      <c r="SWG37" s="2"/>
      <c r="SWH37" s="2"/>
      <c r="SWI37" s="2"/>
      <c r="SWJ37" s="2"/>
      <c r="SWK37" s="2"/>
      <c r="SWL37" s="2"/>
      <c r="SWM37" s="2"/>
      <c r="SWN37" s="2"/>
      <c r="SWO37" s="2"/>
      <c r="SWP37" s="2"/>
      <c r="SWQ37" s="2"/>
      <c r="SWR37" s="2"/>
      <c r="SWS37" s="2"/>
      <c r="SWT37" s="2"/>
      <c r="SWU37" s="2"/>
      <c r="SWV37" s="2"/>
      <c r="SWW37" s="2"/>
      <c r="SWX37" s="2"/>
      <c r="SWY37" s="2"/>
      <c r="SWZ37" s="2"/>
      <c r="SXA37" s="2"/>
      <c r="SXB37" s="2"/>
      <c r="SXC37" s="2"/>
      <c r="SXD37" s="2"/>
      <c r="SXE37" s="2"/>
      <c r="SXF37" s="2"/>
      <c r="SXG37" s="2"/>
      <c r="SXH37" s="2"/>
      <c r="SXI37" s="2"/>
      <c r="SXJ37" s="2"/>
      <c r="SXK37" s="2"/>
      <c r="SXL37" s="2"/>
      <c r="SXM37" s="2"/>
      <c r="SXN37" s="2"/>
      <c r="SXO37" s="2"/>
      <c r="SXP37" s="2"/>
      <c r="SXQ37" s="2"/>
      <c r="SXR37" s="2"/>
      <c r="SXS37" s="2"/>
      <c r="SXT37" s="2"/>
      <c r="SXU37" s="2"/>
      <c r="SXV37" s="2"/>
      <c r="SXW37" s="2"/>
      <c r="SXX37" s="2"/>
      <c r="SXY37" s="2"/>
      <c r="SXZ37" s="2"/>
      <c r="SYA37" s="2"/>
      <c r="SYB37" s="2"/>
      <c r="SYC37" s="2"/>
      <c r="SYD37" s="2"/>
      <c r="SYE37" s="2"/>
      <c r="SYF37" s="2"/>
      <c r="SYG37" s="2"/>
      <c r="SYH37" s="2"/>
      <c r="SYI37" s="2"/>
      <c r="SYJ37" s="2"/>
      <c r="SYK37" s="2"/>
      <c r="SYL37" s="2"/>
      <c r="SYM37" s="2"/>
      <c r="SYN37" s="2"/>
      <c r="SYO37" s="2"/>
      <c r="SYP37" s="2"/>
      <c r="SYQ37" s="2"/>
      <c r="SYR37" s="2"/>
      <c r="SYS37" s="2"/>
      <c r="SYT37" s="2"/>
      <c r="SYU37" s="2"/>
      <c r="SYV37" s="2"/>
      <c r="SYW37" s="2"/>
      <c r="SYX37" s="2"/>
      <c r="SYY37" s="2"/>
      <c r="SYZ37" s="2"/>
      <c r="SZA37" s="2"/>
      <c r="SZB37" s="2"/>
      <c r="SZC37" s="2"/>
      <c r="SZD37" s="2"/>
      <c r="SZE37" s="2"/>
      <c r="SZF37" s="2"/>
      <c r="SZG37" s="2"/>
      <c r="SZH37" s="2"/>
      <c r="SZI37" s="2"/>
      <c r="SZJ37" s="2"/>
      <c r="SZK37" s="2"/>
      <c r="SZL37" s="2"/>
      <c r="SZM37" s="2"/>
      <c r="SZN37" s="2"/>
      <c r="SZO37" s="2"/>
      <c r="SZP37" s="2"/>
      <c r="SZQ37" s="2"/>
      <c r="SZR37" s="2"/>
      <c r="SZS37" s="2"/>
      <c r="SZT37" s="2"/>
      <c r="SZU37" s="2"/>
      <c r="SZV37" s="2"/>
      <c r="SZW37" s="2"/>
      <c r="SZX37" s="2"/>
      <c r="SZY37" s="2"/>
      <c r="SZZ37" s="2"/>
      <c r="TAA37" s="2"/>
      <c r="TAB37" s="2"/>
      <c r="TAC37" s="2"/>
      <c r="TAD37" s="2"/>
      <c r="TAE37" s="2"/>
      <c r="TAF37" s="2"/>
      <c r="TAG37" s="2"/>
      <c r="TAH37" s="2"/>
      <c r="TAI37" s="2"/>
      <c r="TAJ37" s="2"/>
      <c r="TAK37" s="2"/>
      <c r="TAL37" s="2"/>
      <c r="TAM37" s="2"/>
      <c r="TAN37" s="2"/>
      <c r="TAO37" s="2"/>
      <c r="TAP37" s="2"/>
      <c r="TAQ37" s="2"/>
      <c r="TAR37" s="2"/>
      <c r="TAS37" s="2"/>
      <c r="TAT37" s="2"/>
      <c r="TAU37" s="2"/>
      <c r="TAV37" s="2"/>
      <c r="TAW37" s="2"/>
      <c r="TAX37" s="2"/>
      <c r="TAY37" s="2"/>
      <c r="TAZ37" s="2"/>
      <c r="TBA37" s="2"/>
      <c r="TBB37" s="2"/>
      <c r="TBC37" s="2"/>
      <c r="TBD37" s="2"/>
      <c r="TBE37" s="2"/>
      <c r="TBF37" s="2"/>
      <c r="TBG37" s="2"/>
      <c r="TBH37" s="2"/>
      <c r="TBI37" s="2"/>
      <c r="TBJ37" s="2"/>
      <c r="TBK37" s="2"/>
      <c r="TBL37" s="2"/>
      <c r="TBM37" s="2"/>
      <c r="TBN37" s="2"/>
      <c r="TBO37" s="2"/>
      <c r="TBP37" s="2"/>
      <c r="TBQ37" s="2"/>
      <c r="TBR37" s="2"/>
      <c r="TBS37" s="2"/>
      <c r="TBT37" s="2"/>
      <c r="TBU37" s="2"/>
      <c r="TBV37" s="2"/>
      <c r="TBW37" s="2"/>
      <c r="TBX37" s="2"/>
      <c r="TBY37" s="2"/>
      <c r="TBZ37" s="2"/>
      <c r="TCA37" s="2"/>
      <c r="TCB37" s="2"/>
      <c r="TCC37" s="2"/>
      <c r="TCD37" s="2"/>
      <c r="TCE37" s="2"/>
      <c r="TCF37" s="2"/>
      <c r="TCG37" s="2"/>
      <c r="TCH37" s="2"/>
      <c r="TCI37" s="2"/>
      <c r="TCJ37" s="2"/>
      <c r="TCK37" s="2"/>
      <c r="TCL37" s="2"/>
      <c r="TCM37" s="2"/>
      <c r="TCN37" s="2"/>
      <c r="TCO37" s="2"/>
      <c r="TCP37" s="2"/>
      <c r="TCQ37" s="2"/>
      <c r="TCR37" s="2"/>
      <c r="TCS37" s="2"/>
      <c r="TCT37" s="2"/>
      <c r="TCU37" s="2"/>
      <c r="TCV37" s="2"/>
      <c r="TCW37" s="2"/>
      <c r="TCX37" s="2"/>
      <c r="TCY37" s="2"/>
      <c r="TCZ37" s="2"/>
      <c r="TDA37" s="2"/>
      <c r="TDB37" s="2"/>
      <c r="TDC37" s="2"/>
      <c r="TDD37" s="2"/>
      <c r="TDE37" s="2"/>
      <c r="TDF37" s="2"/>
      <c r="TDG37" s="2"/>
      <c r="TDH37" s="2"/>
      <c r="TDI37" s="2"/>
      <c r="TDJ37" s="2"/>
      <c r="TDK37" s="2"/>
      <c r="TDL37" s="2"/>
      <c r="TDM37" s="2"/>
      <c r="TDN37" s="2"/>
      <c r="TDO37" s="2"/>
      <c r="TDP37" s="2"/>
      <c r="TDQ37" s="2"/>
      <c r="TDR37" s="2"/>
      <c r="TDS37" s="2"/>
      <c r="TDT37" s="2"/>
      <c r="TDU37" s="2"/>
      <c r="TDV37" s="2"/>
      <c r="TDW37" s="2"/>
      <c r="TDX37" s="2"/>
      <c r="TDY37" s="2"/>
      <c r="TDZ37" s="2"/>
      <c r="TEA37" s="2"/>
      <c r="TEB37" s="2"/>
      <c r="TEC37" s="2"/>
      <c r="TED37" s="2"/>
      <c r="TEE37" s="2"/>
      <c r="TEF37" s="2"/>
      <c r="TEG37" s="2"/>
      <c r="TEH37" s="2"/>
      <c r="TEI37" s="2"/>
      <c r="TEJ37" s="2"/>
      <c r="TEK37" s="2"/>
      <c r="TEL37" s="2"/>
      <c r="TEM37" s="2"/>
      <c r="TEN37" s="2"/>
      <c r="TEO37" s="2"/>
      <c r="TEP37" s="2"/>
      <c r="TEQ37" s="2"/>
      <c r="TER37" s="2"/>
      <c r="TES37" s="2"/>
      <c r="TET37" s="2"/>
      <c r="TEU37" s="2"/>
      <c r="TEV37" s="2"/>
      <c r="TEW37" s="2"/>
      <c r="TEX37" s="2"/>
      <c r="TEY37" s="2"/>
      <c r="TEZ37" s="2"/>
      <c r="TFA37" s="2"/>
      <c r="TFB37" s="2"/>
      <c r="TFC37" s="2"/>
      <c r="TFD37" s="2"/>
      <c r="TFE37" s="2"/>
      <c r="TFF37" s="2"/>
      <c r="TFG37" s="2"/>
      <c r="TFH37" s="2"/>
      <c r="TFI37" s="2"/>
      <c r="TFJ37" s="2"/>
      <c r="TFK37" s="2"/>
      <c r="TFL37" s="2"/>
      <c r="TFM37" s="2"/>
      <c r="TFN37" s="2"/>
      <c r="TFO37" s="2"/>
      <c r="TFP37" s="2"/>
      <c r="TFQ37" s="2"/>
      <c r="TFR37" s="2"/>
      <c r="TFS37" s="2"/>
      <c r="TFT37" s="2"/>
      <c r="TFU37" s="2"/>
      <c r="TFV37" s="2"/>
      <c r="TFW37" s="2"/>
      <c r="TFX37" s="2"/>
      <c r="TFY37" s="2"/>
      <c r="TFZ37" s="2"/>
      <c r="TGA37" s="2"/>
      <c r="TGB37" s="2"/>
      <c r="TGC37" s="2"/>
      <c r="TGD37" s="2"/>
      <c r="TGE37" s="2"/>
      <c r="TGF37" s="2"/>
      <c r="TGG37" s="2"/>
      <c r="TGH37" s="2"/>
      <c r="TGI37" s="2"/>
      <c r="TGJ37" s="2"/>
      <c r="TGK37" s="2"/>
      <c r="TGL37" s="2"/>
      <c r="TGM37" s="2"/>
      <c r="TGN37" s="2"/>
      <c r="TGO37" s="2"/>
      <c r="TGP37" s="2"/>
      <c r="TGQ37" s="2"/>
      <c r="TGR37" s="2"/>
      <c r="TGS37" s="2"/>
      <c r="TGT37" s="2"/>
      <c r="TGU37" s="2"/>
      <c r="TGV37" s="2"/>
      <c r="TGW37" s="2"/>
      <c r="TGX37" s="2"/>
      <c r="TGY37" s="2"/>
      <c r="TGZ37" s="2"/>
      <c r="THA37" s="2"/>
      <c r="THB37" s="2"/>
      <c r="THC37" s="2"/>
      <c r="THD37" s="2"/>
      <c r="THE37" s="2"/>
      <c r="THF37" s="2"/>
      <c r="THG37" s="2"/>
      <c r="THH37" s="2"/>
      <c r="THI37" s="2"/>
      <c r="THJ37" s="2"/>
      <c r="THK37" s="2"/>
      <c r="THL37" s="2"/>
      <c r="THM37" s="2"/>
      <c r="THN37" s="2"/>
      <c r="THO37" s="2"/>
      <c r="THP37" s="2"/>
      <c r="THQ37" s="2"/>
      <c r="THR37" s="2"/>
      <c r="THS37" s="2"/>
      <c r="THT37" s="2"/>
      <c r="THU37" s="2"/>
      <c r="THV37" s="2"/>
      <c r="THW37" s="2"/>
      <c r="THX37" s="2"/>
      <c r="THY37" s="2"/>
      <c r="THZ37" s="2"/>
      <c r="TIA37" s="2"/>
      <c r="TIB37" s="2"/>
      <c r="TIC37" s="2"/>
      <c r="TID37" s="2"/>
      <c r="TIE37" s="2"/>
      <c r="TIF37" s="2"/>
      <c r="TIG37" s="2"/>
      <c r="TIH37" s="2"/>
      <c r="TII37" s="2"/>
      <c r="TIJ37" s="2"/>
      <c r="TIK37" s="2"/>
      <c r="TIL37" s="2"/>
      <c r="TIM37" s="2"/>
      <c r="TIN37" s="2"/>
      <c r="TIO37" s="2"/>
      <c r="TIP37" s="2"/>
      <c r="TIQ37" s="2"/>
      <c r="TIR37" s="2"/>
      <c r="TIS37" s="2"/>
      <c r="TIT37" s="2"/>
      <c r="TIU37" s="2"/>
      <c r="TIV37" s="2"/>
      <c r="TIW37" s="2"/>
      <c r="TIX37" s="2"/>
      <c r="TIY37" s="2"/>
      <c r="TIZ37" s="2"/>
      <c r="TJA37" s="2"/>
      <c r="TJB37" s="2"/>
      <c r="TJC37" s="2"/>
      <c r="TJD37" s="2"/>
      <c r="TJE37" s="2"/>
      <c r="TJF37" s="2"/>
      <c r="TJG37" s="2"/>
      <c r="TJH37" s="2"/>
      <c r="TJI37" s="2"/>
      <c r="TJJ37" s="2"/>
      <c r="TJK37" s="2"/>
      <c r="TJL37" s="2"/>
      <c r="TJM37" s="2"/>
      <c r="TJN37" s="2"/>
      <c r="TJO37" s="2"/>
      <c r="TJP37" s="2"/>
      <c r="TJQ37" s="2"/>
      <c r="TJR37" s="2"/>
      <c r="TJS37" s="2"/>
      <c r="TJT37" s="2"/>
      <c r="TJU37" s="2"/>
      <c r="TJV37" s="2"/>
      <c r="TJW37" s="2"/>
      <c r="TJX37" s="2"/>
      <c r="TJY37" s="2"/>
      <c r="TJZ37" s="2"/>
      <c r="TKA37" s="2"/>
      <c r="TKB37" s="2"/>
      <c r="TKC37" s="2"/>
      <c r="TKD37" s="2"/>
      <c r="TKE37" s="2"/>
      <c r="TKF37" s="2"/>
      <c r="TKG37" s="2"/>
      <c r="TKH37" s="2"/>
      <c r="TKI37" s="2"/>
      <c r="TKJ37" s="2"/>
      <c r="TKK37" s="2"/>
      <c r="TKL37" s="2"/>
      <c r="TKM37" s="2"/>
      <c r="TKN37" s="2"/>
      <c r="TKO37" s="2"/>
      <c r="TKP37" s="2"/>
      <c r="TKQ37" s="2"/>
      <c r="TKR37" s="2"/>
      <c r="TKS37" s="2"/>
      <c r="TKT37" s="2"/>
      <c r="TKU37" s="2"/>
      <c r="TKV37" s="2"/>
      <c r="TKW37" s="2"/>
      <c r="TKX37" s="2"/>
      <c r="TKY37" s="2"/>
      <c r="TKZ37" s="2"/>
      <c r="TLA37" s="2"/>
      <c r="TLB37" s="2"/>
      <c r="TLC37" s="2"/>
      <c r="TLD37" s="2"/>
      <c r="TLE37" s="2"/>
      <c r="TLF37" s="2"/>
      <c r="TLG37" s="2"/>
      <c r="TLH37" s="2"/>
      <c r="TLI37" s="2"/>
      <c r="TLJ37" s="2"/>
      <c r="TLK37" s="2"/>
      <c r="TLL37" s="2"/>
      <c r="TLM37" s="2"/>
      <c r="TLN37" s="2"/>
      <c r="TLO37" s="2"/>
      <c r="TLP37" s="2"/>
      <c r="TLQ37" s="2"/>
      <c r="TLR37" s="2"/>
      <c r="TLS37" s="2"/>
      <c r="TLT37" s="2"/>
      <c r="TLU37" s="2"/>
      <c r="TLV37" s="2"/>
      <c r="TLW37" s="2"/>
      <c r="TLX37" s="2"/>
      <c r="TLY37" s="2"/>
      <c r="TLZ37" s="2"/>
      <c r="TMA37" s="2"/>
      <c r="TMB37" s="2"/>
      <c r="TMC37" s="2"/>
      <c r="TMD37" s="2"/>
      <c r="TME37" s="2"/>
      <c r="TMF37" s="2"/>
      <c r="TMG37" s="2"/>
      <c r="TMH37" s="2"/>
      <c r="TMI37" s="2"/>
      <c r="TMJ37" s="2"/>
      <c r="TMK37" s="2"/>
      <c r="TML37" s="2"/>
      <c r="TMM37" s="2"/>
      <c r="TMN37" s="2"/>
      <c r="TMO37" s="2"/>
      <c r="TMP37" s="2"/>
      <c r="TMQ37" s="2"/>
      <c r="TMR37" s="2"/>
      <c r="TMS37" s="2"/>
      <c r="TMT37" s="2"/>
      <c r="TMU37" s="2"/>
      <c r="TMV37" s="2"/>
      <c r="TMW37" s="2"/>
      <c r="TMX37" s="2"/>
      <c r="TMY37" s="2"/>
      <c r="TMZ37" s="2"/>
      <c r="TNA37" s="2"/>
      <c r="TNB37" s="2"/>
      <c r="TNC37" s="2"/>
      <c r="TND37" s="2"/>
      <c r="TNE37" s="2"/>
      <c r="TNF37" s="2"/>
      <c r="TNG37" s="2"/>
      <c r="TNH37" s="2"/>
      <c r="TNI37" s="2"/>
      <c r="TNJ37" s="2"/>
      <c r="TNK37" s="2"/>
      <c r="TNL37" s="2"/>
      <c r="TNM37" s="2"/>
      <c r="TNN37" s="2"/>
      <c r="TNO37" s="2"/>
      <c r="TNP37" s="2"/>
      <c r="TNQ37" s="2"/>
      <c r="TNR37" s="2"/>
      <c r="TNS37" s="2"/>
      <c r="TNT37" s="2"/>
      <c r="TNU37" s="2"/>
      <c r="TNV37" s="2"/>
      <c r="TNW37" s="2"/>
      <c r="TNX37" s="2"/>
      <c r="TNY37" s="2"/>
      <c r="TNZ37" s="2"/>
      <c r="TOA37" s="2"/>
      <c r="TOB37" s="2"/>
      <c r="TOC37" s="2"/>
      <c r="TOD37" s="2"/>
      <c r="TOE37" s="2"/>
      <c r="TOF37" s="2"/>
      <c r="TOG37" s="2"/>
      <c r="TOH37" s="2"/>
      <c r="TOI37" s="2"/>
      <c r="TOJ37" s="2"/>
      <c r="TOK37" s="2"/>
      <c r="TOL37" s="2"/>
      <c r="TOM37" s="2"/>
      <c r="TON37" s="2"/>
      <c r="TOO37" s="2"/>
      <c r="TOP37" s="2"/>
      <c r="TOQ37" s="2"/>
      <c r="TOR37" s="2"/>
      <c r="TOS37" s="2"/>
      <c r="TOT37" s="2"/>
      <c r="TOU37" s="2"/>
      <c r="TOV37" s="2"/>
      <c r="TOW37" s="2"/>
      <c r="TOX37" s="2"/>
      <c r="TOY37" s="2"/>
      <c r="TOZ37" s="2"/>
      <c r="TPA37" s="2"/>
      <c r="TPB37" s="2"/>
      <c r="TPC37" s="2"/>
      <c r="TPD37" s="2"/>
      <c r="TPE37" s="2"/>
      <c r="TPF37" s="2"/>
      <c r="TPG37" s="2"/>
      <c r="TPH37" s="2"/>
      <c r="TPI37" s="2"/>
      <c r="TPJ37" s="2"/>
      <c r="TPK37" s="2"/>
      <c r="TPL37" s="2"/>
      <c r="TPM37" s="2"/>
      <c r="TPN37" s="2"/>
      <c r="TPO37" s="2"/>
      <c r="TPP37" s="2"/>
      <c r="TPQ37" s="2"/>
      <c r="TPR37" s="2"/>
      <c r="TPS37" s="2"/>
      <c r="TPT37" s="2"/>
      <c r="TPU37" s="2"/>
      <c r="TPV37" s="2"/>
      <c r="TPW37" s="2"/>
      <c r="TPX37" s="2"/>
      <c r="TPY37" s="2"/>
      <c r="TPZ37" s="2"/>
      <c r="TQA37" s="2"/>
      <c r="TQB37" s="2"/>
      <c r="TQC37" s="2"/>
      <c r="TQD37" s="2"/>
      <c r="TQE37" s="2"/>
      <c r="TQF37" s="2"/>
      <c r="TQG37" s="2"/>
      <c r="TQH37" s="2"/>
      <c r="TQI37" s="2"/>
      <c r="TQJ37" s="2"/>
      <c r="TQK37" s="2"/>
      <c r="TQL37" s="2"/>
      <c r="TQM37" s="2"/>
      <c r="TQN37" s="2"/>
      <c r="TQO37" s="2"/>
      <c r="TQP37" s="2"/>
      <c r="TQQ37" s="2"/>
      <c r="TQR37" s="2"/>
      <c r="TQS37" s="2"/>
      <c r="TQT37" s="2"/>
      <c r="TQU37" s="2"/>
      <c r="TQV37" s="2"/>
      <c r="TQW37" s="2"/>
      <c r="TQX37" s="2"/>
      <c r="TQY37" s="2"/>
      <c r="TQZ37" s="2"/>
      <c r="TRA37" s="2"/>
      <c r="TRB37" s="2"/>
      <c r="TRC37" s="2"/>
      <c r="TRD37" s="2"/>
      <c r="TRE37" s="2"/>
      <c r="TRF37" s="2"/>
      <c r="TRG37" s="2"/>
      <c r="TRH37" s="2"/>
      <c r="TRI37" s="2"/>
      <c r="TRJ37" s="2"/>
      <c r="TRK37" s="2"/>
      <c r="TRL37" s="2"/>
      <c r="TRM37" s="2"/>
      <c r="TRN37" s="2"/>
      <c r="TRO37" s="2"/>
      <c r="TRP37" s="2"/>
      <c r="TRQ37" s="2"/>
      <c r="TRR37" s="2"/>
      <c r="TRS37" s="2"/>
      <c r="TRT37" s="2"/>
      <c r="TRU37" s="2"/>
      <c r="TRV37" s="2"/>
      <c r="TRW37" s="2"/>
      <c r="TRX37" s="2"/>
      <c r="TRY37" s="2"/>
      <c r="TRZ37" s="2"/>
      <c r="TSA37" s="2"/>
      <c r="TSB37" s="2"/>
      <c r="TSC37" s="2"/>
      <c r="TSD37" s="2"/>
      <c r="TSE37" s="2"/>
      <c r="TSF37" s="2"/>
      <c r="TSG37" s="2"/>
      <c r="TSH37" s="2"/>
      <c r="TSI37" s="2"/>
      <c r="TSJ37" s="2"/>
      <c r="TSK37" s="2"/>
      <c r="TSL37" s="2"/>
      <c r="TSM37" s="2"/>
      <c r="TSN37" s="2"/>
      <c r="TSO37" s="2"/>
      <c r="TSP37" s="2"/>
      <c r="TSQ37" s="2"/>
      <c r="TSR37" s="2"/>
      <c r="TSS37" s="2"/>
      <c r="TST37" s="2"/>
      <c r="TSU37" s="2"/>
      <c r="TSV37" s="2"/>
      <c r="TSW37" s="2"/>
      <c r="TSX37" s="2"/>
      <c r="TSY37" s="2"/>
      <c r="TSZ37" s="2"/>
      <c r="TTA37" s="2"/>
      <c r="TTB37" s="2"/>
      <c r="TTC37" s="2"/>
      <c r="TTD37" s="2"/>
      <c r="TTE37" s="2"/>
      <c r="TTF37" s="2"/>
      <c r="TTG37" s="2"/>
      <c r="TTH37" s="2"/>
      <c r="TTI37" s="2"/>
      <c r="TTJ37" s="2"/>
      <c r="TTK37" s="2"/>
      <c r="TTL37" s="2"/>
      <c r="TTM37" s="2"/>
      <c r="TTN37" s="2"/>
      <c r="TTO37" s="2"/>
      <c r="TTP37" s="2"/>
      <c r="TTQ37" s="2"/>
      <c r="TTR37" s="2"/>
      <c r="TTS37" s="2"/>
      <c r="TTT37" s="2"/>
      <c r="TTU37" s="2"/>
      <c r="TTV37" s="2"/>
      <c r="TTW37" s="2"/>
      <c r="TTX37" s="2"/>
      <c r="TTY37" s="2"/>
      <c r="TTZ37" s="2"/>
      <c r="TUA37" s="2"/>
      <c r="TUB37" s="2"/>
      <c r="TUC37" s="2"/>
      <c r="TUD37" s="2"/>
      <c r="TUE37" s="2"/>
      <c r="TUF37" s="2"/>
      <c r="TUG37" s="2"/>
      <c r="TUH37" s="2"/>
      <c r="TUI37" s="2"/>
      <c r="TUJ37" s="2"/>
      <c r="TUK37" s="2"/>
      <c r="TUL37" s="2"/>
      <c r="TUM37" s="2"/>
      <c r="TUN37" s="2"/>
      <c r="TUO37" s="2"/>
      <c r="TUP37" s="2"/>
      <c r="TUQ37" s="2"/>
      <c r="TUR37" s="2"/>
      <c r="TUS37" s="2"/>
      <c r="TUT37" s="2"/>
      <c r="TUU37" s="2"/>
      <c r="TUV37" s="2"/>
      <c r="TUW37" s="2"/>
      <c r="TUX37" s="2"/>
      <c r="TUY37" s="2"/>
      <c r="TUZ37" s="2"/>
      <c r="TVA37" s="2"/>
      <c r="TVB37" s="2"/>
      <c r="TVC37" s="2"/>
      <c r="TVD37" s="2"/>
      <c r="TVE37" s="2"/>
      <c r="TVF37" s="2"/>
      <c r="TVG37" s="2"/>
      <c r="TVH37" s="2"/>
      <c r="TVI37" s="2"/>
      <c r="TVJ37" s="2"/>
      <c r="TVK37" s="2"/>
      <c r="TVL37" s="2"/>
      <c r="TVM37" s="2"/>
      <c r="TVN37" s="2"/>
      <c r="TVO37" s="2"/>
      <c r="TVP37" s="2"/>
      <c r="TVQ37" s="2"/>
      <c r="TVR37" s="2"/>
      <c r="TVS37" s="2"/>
      <c r="TVT37" s="2"/>
      <c r="TVU37" s="2"/>
      <c r="TVV37" s="2"/>
      <c r="TVW37" s="2"/>
      <c r="TVX37" s="2"/>
      <c r="TVY37" s="2"/>
      <c r="TVZ37" s="2"/>
      <c r="TWA37" s="2"/>
      <c r="TWB37" s="2"/>
      <c r="TWC37" s="2"/>
      <c r="TWD37" s="2"/>
      <c r="TWE37" s="2"/>
      <c r="TWF37" s="2"/>
      <c r="TWG37" s="2"/>
      <c r="TWH37" s="2"/>
      <c r="TWI37" s="2"/>
      <c r="TWJ37" s="2"/>
      <c r="TWK37" s="2"/>
      <c r="TWL37" s="2"/>
      <c r="TWM37" s="2"/>
      <c r="TWN37" s="2"/>
      <c r="TWO37" s="2"/>
      <c r="TWP37" s="2"/>
      <c r="TWQ37" s="2"/>
      <c r="TWR37" s="2"/>
      <c r="TWS37" s="2"/>
      <c r="TWT37" s="2"/>
      <c r="TWU37" s="2"/>
      <c r="TWV37" s="2"/>
      <c r="TWW37" s="2"/>
      <c r="TWX37" s="2"/>
      <c r="TWY37" s="2"/>
      <c r="TWZ37" s="2"/>
      <c r="TXA37" s="2"/>
      <c r="TXB37" s="2"/>
      <c r="TXC37" s="2"/>
      <c r="TXD37" s="2"/>
      <c r="TXE37" s="2"/>
      <c r="TXF37" s="2"/>
      <c r="TXG37" s="2"/>
      <c r="TXH37" s="2"/>
      <c r="TXI37" s="2"/>
      <c r="TXJ37" s="2"/>
      <c r="TXK37" s="2"/>
      <c r="TXL37" s="2"/>
      <c r="TXM37" s="2"/>
      <c r="TXN37" s="2"/>
      <c r="TXO37" s="2"/>
      <c r="TXP37" s="2"/>
      <c r="TXQ37" s="2"/>
      <c r="TXR37" s="2"/>
      <c r="TXS37" s="2"/>
      <c r="TXT37" s="2"/>
      <c r="TXU37" s="2"/>
      <c r="TXV37" s="2"/>
      <c r="TXW37" s="2"/>
      <c r="TXX37" s="2"/>
      <c r="TXY37" s="2"/>
      <c r="TXZ37" s="2"/>
      <c r="TYA37" s="2"/>
      <c r="TYB37" s="2"/>
      <c r="TYC37" s="2"/>
      <c r="TYD37" s="2"/>
      <c r="TYE37" s="2"/>
      <c r="TYF37" s="2"/>
      <c r="TYG37" s="2"/>
      <c r="TYH37" s="2"/>
      <c r="TYI37" s="2"/>
      <c r="TYJ37" s="2"/>
      <c r="TYK37" s="2"/>
      <c r="TYL37" s="2"/>
      <c r="TYM37" s="2"/>
      <c r="TYN37" s="2"/>
      <c r="TYO37" s="2"/>
      <c r="TYP37" s="2"/>
      <c r="TYQ37" s="2"/>
      <c r="TYR37" s="2"/>
      <c r="TYS37" s="2"/>
      <c r="TYT37" s="2"/>
      <c r="TYU37" s="2"/>
      <c r="TYV37" s="2"/>
      <c r="TYW37" s="2"/>
      <c r="TYX37" s="2"/>
      <c r="TYY37" s="2"/>
      <c r="TYZ37" s="2"/>
      <c r="TZA37" s="2"/>
      <c r="TZB37" s="2"/>
      <c r="TZC37" s="2"/>
      <c r="TZD37" s="2"/>
      <c r="TZE37" s="2"/>
      <c r="TZF37" s="2"/>
      <c r="TZG37" s="2"/>
      <c r="TZH37" s="2"/>
      <c r="TZI37" s="2"/>
      <c r="TZJ37" s="2"/>
      <c r="TZK37" s="2"/>
      <c r="TZL37" s="2"/>
      <c r="TZM37" s="2"/>
      <c r="TZN37" s="2"/>
      <c r="TZO37" s="2"/>
      <c r="TZP37" s="2"/>
      <c r="TZQ37" s="2"/>
      <c r="TZR37" s="2"/>
      <c r="TZS37" s="2"/>
      <c r="TZT37" s="2"/>
      <c r="TZU37" s="2"/>
      <c r="TZV37" s="2"/>
      <c r="TZW37" s="2"/>
      <c r="TZX37" s="2"/>
      <c r="TZY37" s="2"/>
      <c r="TZZ37" s="2"/>
      <c r="UAA37" s="2"/>
      <c r="UAB37" s="2"/>
      <c r="UAC37" s="2"/>
      <c r="UAD37" s="2"/>
      <c r="UAE37" s="2"/>
      <c r="UAF37" s="2"/>
      <c r="UAG37" s="2"/>
      <c r="UAH37" s="2"/>
      <c r="UAI37" s="2"/>
      <c r="UAJ37" s="2"/>
      <c r="UAK37" s="2"/>
      <c r="UAL37" s="2"/>
      <c r="UAM37" s="2"/>
      <c r="UAN37" s="2"/>
      <c r="UAO37" s="2"/>
      <c r="UAP37" s="2"/>
      <c r="UAQ37" s="2"/>
      <c r="UAR37" s="2"/>
      <c r="UAS37" s="2"/>
      <c r="UAT37" s="2"/>
      <c r="UAU37" s="2"/>
      <c r="UAV37" s="2"/>
      <c r="UAW37" s="2"/>
      <c r="UAX37" s="2"/>
      <c r="UAY37" s="2"/>
      <c r="UAZ37" s="2"/>
      <c r="UBA37" s="2"/>
      <c r="UBB37" s="2"/>
      <c r="UBC37" s="2"/>
      <c r="UBD37" s="2"/>
      <c r="UBE37" s="2"/>
      <c r="UBF37" s="2"/>
      <c r="UBG37" s="2"/>
      <c r="UBH37" s="2"/>
      <c r="UBI37" s="2"/>
      <c r="UBJ37" s="2"/>
      <c r="UBK37" s="2"/>
      <c r="UBL37" s="2"/>
      <c r="UBM37" s="2"/>
      <c r="UBN37" s="2"/>
      <c r="UBO37" s="2"/>
      <c r="UBP37" s="2"/>
      <c r="UBQ37" s="2"/>
      <c r="UBR37" s="2"/>
      <c r="UBS37" s="2"/>
      <c r="UBT37" s="2"/>
      <c r="UBU37" s="2"/>
      <c r="UBV37" s="2"/>
      <c r="UBW37" s="2"/>
      <c r="UBX37" s="2"/>
      <c r="UBY37" s="2"/>
      <c r="UBZ37" s="2"/>
      <c r="UCA37" s="2"/>
      <c r="UCB37" s="2"/>
      <c r="UCC37" s="2"/>
      <c r="UCD37" s="2"/>
      <c r="UCE37" s="2"/>
      <c r="UCF37" s="2"/>
      <c r="UCG37" s="2"/>
      <c r="UCH37" s="2"/>
      <c r="UCI37" s="2"/>
      <c r="UCJ37" s="2"/>
      <c r="UCK37" s="2"/>
      <c r="UCL37" s="2"/>
      <c r="UCM37" s="2"/>
      <c r="UCN37" s="2"/>
      <c r="UCO37" s="2"/>
      <c r="UCP37" s="2"/>
      <c r="UCQ37" s="2"/>
      <c r="UCR37" s="2"/>
      <c r="UCS37" s="2"/>
      <c r="UCT37" s="2"/>
      <c r="UCU37" s="2"/>
      <c r="UCV37" s="2"/>
      <c r="UCW37" s="2"/>
      <c r="UCX37" s="2"/>
      <c r="UCY37" s="2"/>
      <c r="UCZ37" s="2"/>
      <c r="UDA37" s="2"/>
      <c r="UDB37" s="2"/>
      <c r="UDC37" s="2"/>
      <c r="UDD37" s="2"/>
      <c r="UDE37" s="2"/>
      <c r="UDF37" s="2"/>
      <c r="UDG37" s="2"/>
      <c r="UDH37" s="2"/>
      <c r="UDI37" s="2"/>
      <c r="UDJ37" s="2"/>
      <c r="UDK37" s="2"/>
      <c r="UDL37" s="2"/>
      <c r="UDM37" s="2"/>
      <c r="UDN37" s="2"/>
      <c r="UDO37" s="2"/>
      <c r="UDP37" s="2"/>
      <c r="UDQ37" s="2"/>
      <c r="UDR37" s="2"/>
      <c r="UDS37" s="2"/>
      <c r="UDT37" s="2"/>
      <c r="UDU37" s="2"/>
      <c r="UDV37" s="2"/>
      <c r="UDW37" s="2"/>
      <c r="UDX37" s="2"/>
      <c r="UDY37" s="2"/>
      <c r="UDZ37" s="2"/>
      <c r="UEA37" s="2"/>
      <c r="UEB37" s="2"/>
      <c r="UEC37" s="2"/>
      <c r="UED37" s="2"/>
      <c r="UEE37" s="2"/>
      <c r="UEF37" s="2"/>
      <c r="UEG37" s="2"/>
      <c r="UEH37" s="2"/>
      <c r="UEI37" s="2"/>
      <c r="UEJ37" s="2"/>
      <c r="UEK37" s="2"/>
      <c r="UEL37" s="2"/>
      <c r="UEM37" s="2"/>
      <c r="UEN37" s="2"/>
      <c r="UEO37" s="2"/>
      <c r="UEP37" s="2"/>
      <c r="UEQ37" s="2"/>
      <c r="UER37" s="2"/>
      <c r="UES37" s="2"/>
      <c r="UET37" s="2"/>
      <c r="UEU37" s="2"/>
      <c r="UEV37" s="2"/>
      <c r="UEW37" s="2"/>
      <c r="UEX37" s="2"/>
      <c r="UEY37" s="2"/>
      <c r="UEZ37" s="2"/>
      <c r="UFA37" s="2"/>
      <c r="UFB37" s="2"/>
      <c r="UFC37" s="2"/>
      <c r="UFD37" s="2"/>
      <c r="UFE37" s="2"/>
      <c r="UFF37" s="2"/>
      <c r="UFG37" s="2"/>
      <c r="UFH37" s="2"/>
      <c r="UFI37" s="2"/>
      <c r="UFJ37" s="2"/>
      <c r="UFK37" s="2"/>
      <c r="UFL37" s="2"/>
      <c r="UFM37" s="2"/>
      <c r="UFN37" s="2"/>
      <c r="UFO37" s="2"/>
      <c r="UFP37" s="2"/>
      <c r="UFQ37" s="2"/>
      <c r="UFR37" s="2"/>
      <c r="UFS37" s="2"/>
      <c r="UFT37" s="2"/>
      <c r="UFU37" s="2"/>
      <c r="UFV37" s="2"/>
      <c r="UFW37" s="2"/>
      <c r="UFX37" s="2"/>
      <c r="UFY37" s="2"/>
      <c r="UFZ37" s="2"/>
      <c r="UGA37" s="2"/>
      <c r="UGB37" s="2"/>
      <c r="UGC37" s="2"/>
      <c r="UGD37" s="2"/>
      <c r="UGE37" s="2"/>
      <c r="UGF37" s="2"/>
      <c r="UGG37" s="2"/>
      <c r="UGH37" s="2"/>
      <c r="UGI37" s="2"/>
      <c r="UGJ37" s="2"/>
      <c r="UGK37" s="2"/>
      <c r="UGL37" s="2"/>
      <c r="UGM37" s="2"/>
      <c r="UGN37" s="2"/>
      <c r="UGO37" s="2"/>
      <c r="UGP37" s="2"/>
      <c r="UGQ37" s="2"/>
      <c r="UGR37" s="2"/>
      <c r="UGS37" s="2"/>
      <c r="UGT37" s="2"/>
      <c r="UGU37" s="2"/>
      <c r="UGV37" s="2"/>
      <c r="UGW37" s="2"/>
      <c r="UGX37" s="2"/>
      <c r="UGY37" s="2"/>
      <c r="UGZ37" s="2"/>
      <c r="UHA37" s="2"/>
      <c r="UHB37" s="2"/>
      <c r="UHC37" s="2"/>
      <c r="UHD37" s="2"/>
      <c r="UHE37" s="2"/>
      <c r="UHF37" s="2"/>
      <c r="UHG37" s="2"/>
      <c r="UHH37" s="2"/>
      <c r="UHI37" s="2"/>
      <c r="UHJ37" s="2"/>
      <c r="UHK37" s="2"/>
      <c r="UHL37" s="2"/>
      <c r="UHM37" s="2"/>
      <c r="UHN37" s="2"/>
      <c r="UHO37" s="2"/>
      <c r="UHP37" s="2"/>
      <c r="UHQ37" s="2"/>
      <c r="UHR37" s="2"/>
      <c r="UHS37" s="2"/>
      <c r="UHT37" s="2"/>
      <c r="UHU37" s="2"/>
      <c r="UHV37" s="2"/>
      <c r="UHW37" s="2"/>
      <c r="UHX37" s="2"/>
      <c r="UHY37" s="2"/>
      <c r="UHZ37" s="2"/>
      <c r="UIA37" s="2"/>
      <c r="UIB37" s="2"/>
      <c r="UIC37" s="2"/>
      <c r="UID37" s="2"/>
      <c r="UIE37" s="2"/>
      <c r="UIF37" s="2"/>
      <c r="UIG37" s="2"/>
      <c r="UIH37" s="2"/>
      <c r="UII37" s="2"/>
      <c r="UIJ37" s="2"/>
      <c r="UIK37" s="2"/>
      <c r="UIL37" s="2"/>
      <c r="UIM37" s="2"/>
      <c r="UIN37" s="2"/>
      <c r="UIO37" s="2"/>
      <c r="UIP37" s="2"/>
      <c r="UIQ37" s="2"/>
      <c r="UIR37" s="2"/>
      <c r="UIS37" s="2"/>
      <c r="UIT37" s="2"/>
      <c r="UIU37" s="2"/>
      <c r="UIV37" s="2"/>
      <c r="UIW37" s="2"/>
      <c r="UIX37" s="2"/>
      <c r="UIY37" s="2"/>
      <c r="UIZ37" s="2"/>
      <c r="UJA37" s="2"/>
      <c r="UJB37" s="2"/>
      <c r="UJC37" s="2"/>
      <c r="UJD37" s="2"/>
      <c r="UJE37" s="2"/>
      <c r="UJF37" s="2"/>
      <c r="UJG37" s="2"/>
      <c r="UJH37" s="2"/>
      <c r="UJI37" s="2"/>
      <c r="UJJ37" s="2"/>
      <c r="UJK37" s="2"/>
      <c r="UJL37" s="2"/>
      <c r="UJM37" s="2"/>
      <c r="UJN37" s="2"/>
      <c r="UJO37" s="2"/>
      <c r="UJP37" s="2"/>
      <c r="UJQ37" s="2"/>
      <c r="UJR37" s="2"/>
      <c r="UJS37" s="2"/>
      <c r="UJT37" s="2"/>
      <c r="UJU37" s="2"/>
      <c r="UJV37" s="2"/>
      <c r="UJW37" s="2"/>
      <c r="UJX37" s="2"/>
      <c r="UJY37" s="2"/>
      <c r="UJZ37" s="2"/>
      <c r="UKA37" s="2"/>
      <c r="UKB37" s="2"/>
      <c r="UKC37" s="2"/>
      <c r="UKD37" s="2"/>
      <c r="UKE37" s="2"/>
      <c r="UKF37" s="2"/>
      <c r="UKG37" s="2"/>
      <c r="UKH37" s="2"/>
      <c r="UKI37" s="2"/>
      <c r="UKJ37" s="2"/>
      <c r="UKK37" s="2"/>
      <c r="UKL37" s="2"/>
      <c r="UKM37" s="2"/>
      <c r="UKN37" s="2"/>
      <c r="UKO37" s="2"/>
      <c r="UKP37" s="2"/>
      <c r="UKQ37" s="2"/>
      <c r="UKR37" s="2"/>
      <c r="UKS37" s="2"/>
      <c r="UKT37" s="2"/>
      <c r="UKU37" s="2"/>
      <c r="UKV37" s="2"/>
      <c r="UKW37" s="2"/>
      <c r="UKX37" s="2"/>
      <c r="UKY37" s="2"/>
      <c r="UKZ37" s="2"/>
      <c r="ULA37" s="2"/>
      <c r="ULB37" s="2"/>
      <c r="ULC37" s="2"/>
      <c r="ULD37" s="2"/>
      <c r="ULE37" s="2"/>
      <c r="ULF37" s="2"/>
      <c r="ULG37" s="2"/>
      <c r="ULH37" s="2"/>
      <c r="ULI37" s="2"/>
      <c r="ULJ37" s="2"/>
      <c r="ULK37" s="2"/>
      <c r="ULL37" s="2"/>
      <c r="ULM37" s="2"/>
      <c r="ULN37" s="2"/>
      <c r="ULO37" s="2"/>
      <c r="ULP37" s="2"/>
      <c r="ULQ37" s="2"/>
      <c r="ULR37" s="2"/>
      <c r="ULS37" s="2"/>
      <c r="ULT37" s="2"/>
      <c r="ULU37" s="2"/>
      <c r="ULV37" s="2"/>
      <c r="ULW37" s="2"/>
      <c r="ULX37" s="2"/>
      <c r="ULY37" s="2"/>
      <c r="ULZ37" s="2"/>
      <c r="UMA37" s="2"/>
      <c r="UMB37" s="2"/>
      <c r="UMC37" s="2"/>
      <c r="UMD37" s="2"/>
      <c r="UME37" s="2"/>
      <c r="UMF37" s="2"/>
      <c r="UMG37" s="2"/>
      <c r="UMH37" s="2"/>
      <c r="UMI37" s="2"/>
      <c r="UMJ37" s="2"/>
      <c r="UMK37" s="2"/>
      <c r="UML37" s="2"/>
      <c r="UMM37" s="2"/>
      <c r="UMN37" s="2"/>
      <c r="UMO37" s="2"/>
      <c r="UMP37" s="2"/>
      <c r="UMQ37" s="2"/>
      <c r="UMR37" s="2"/>
      <c r="UMS37" s="2"/>
      <c r="UMT37" s="2"/>
      <c r="UMU37" s="2"/>
      <c r="UMV37" s="2"/>
      <c r="UMW37" s="2"/>
      <c r="UMX37" s="2"/>
      <c r="UMY37" s="2"/>
      <c r="UMZ37" s="2"/>
      <c r="UNA37" s="2"/>
      <c r="UNB37" s="2"/>
      <c r="UNC37" s="2"/>
      <c r="UND37" s="2"/>
      <c r="UNE37" s="2"/>
      <c r="UNF37" s="2"/>
      <c r="UNG37" s="2"/>
      <c r="UNH37" s="2"/>
      <c r="UNI37" s="2"/>
      <c r="UNJ37" s="2"/>
      <c r="UNK37" s="2"/>
      <c r="UNL37" s="2"/>
      <c r="UNM37" s="2"/>
      <c r="UNN37" s="2"/>
      <c r="UNO37" s="2"/>
      <c r="UNP37" s="2"/>
      <c r="UNQ37" s="2"/>
      <c r="UNR37" s="2"/>
      <c r="UNS37" s="2"/>
      <c r="UNT37" s="2"/>
      <c r="UNU37" s="2"/>
      <c r="UNV37" s="2"/>
      <c r="UNW37" s="2"/>
      <c r="UNX37" s="2"/>
      <c r="UNY37" s="2"/>
      <c r="UNZ37" s="2"/>
      <c r="UOA37" s="2"/>
      <c r="UOB37" s="2"/>
      <c r="UOC37" s="2"/>
      <c r="UOD37" s="2"/>
      <c r="UOE37" s="2"/>
      <c r="UOF37" s="2"/>
      <c r="UOG37" s="2"/>
      <c r="UOH37" s="2"/>
      <c r="UOI37" s="2"/>
      <c r="UOJ37" s="2"/>
      <c r="UOK37" s="2"/>
      <c r="UOL37" s="2"/>
      <c r="UOM37" s="2"/>
      <c r="UON37" s="2"/>
      <c r="UOO37" s="2"/>
      <c r="UOP37" s="2"/>
      <c r="UOQ37" s="2"/>
      <c r="UOR37" s="2"/>
      <c r="UOS37" s="2"/>
      <c r="UOT37" s="2"/>
      <c r="UOU37" s="2"/>
      <c r="UOV37" s="2"/>
      <c r="UOW37" s="2"/>
      <c r="UOX37" s="2"/>
      <c r="UOY37" s="2"/>
      <c r="UOZ37" s="2"/>
      <c r="UPA37" s="2"/>
      <c r="UPB37" s="2"/>
      <c r="UPC37" s="2"/>
      <c r="UPD37" s="2"/>
      <c r="UPE37" s="2"/>
      <c r="UPF37" s="2"/>
      <c r="UPG37" s="2"/>
      <c r="UPH37" s="2"/>
      <c r="UPI37" s="2"/>
      <c r="UPJ37" s="2"/>
      <c r="UPK37" s="2"/>
      <c r="UPL37" s="2"/>
      <c r="UPM37" s="2"/>
      <c r="UPN37" s="2"/>
      <c r="UPO37" s="2"/>
      <c r="UPP37" s="2"/>
      <c r="UPQ37" s="2"/>
      <c r="UPR37" s="2"/>
      <c r="UPS37" s="2"/>
      <c r="UPT37" s="2"/>
      <c r="UPU37" s="2"/>
      <c r="UPV37" s="2"/>
      <c r="UPW37" s="2"/>
      <c r="UPX37" s="2"/>
      <c r="UPY37" s="2"/>
      <c r="UPZ37" s="2"/>
      <c r="UQA37" s="2"/>
      <c r="UQB37" s="2"/>
      <c r="UQC37" s="2"/>
      <c r="UQD37" s="2"/>
      <c r="UQE37" s="2"/>
      <c r="UQF37" s="2"/>
      <c r="UQG37" s="2"/>
      <c r="UQH37" s="2"/>
      <c r="UQI37" s="2"/>
      <c r="UQJ37" s="2"/>
      <c r="UQK37" s="2"/>
      <c r="UQL37" s="2"/>
      <c r="UQM37" s="2"/>
      <c r="UQN37" s="2"/>
      <c r="UQO37" s="2"/>
      <c r="UQP37" s="2"/>
      <c r="UQQ37" s="2"/>
      <c r="UQR37" s="2"/>
      <c r="UQS37" s="2"/>
      <c r="UQT37" s="2"/>
      <c r="UQU37" s="2"/>
      <c r="UQV37" s="2"/>
      <c r="UQW37" s="2"/>
      <c r="UQX37" s="2"/>
      <c r="UQY37" s="2"/>
      <c r="UQZ37" s="2"/>
      <c r="URA37" s="2"/>
      <c r="URB37" s="2"/>
      <c r="URC37" s="2"/>
      <c r="URD37" s="2"/>
      <c r="URE37" s="2"/>
      <c r="URF37" s="2"/>
      <c r="URG37" s="2"/>
      <c r="URH37" s="2"/>
      <c r="URI37" s="2"/>
      <c r="URJ37" s="2"/>
      <c r="URK37" s="2"/>
      <c r="URL37" s="2"/>
      <c r="URM37" s="2"/>
      <c r="URN37" s="2"/>
      <c r="URO37" s="2"/>
      <c r="URP37" s="2"/>
      <c r="URQ37" s="2"/>
      <c r="URR37" s="2"/>
      <c r="URS37" s="2"/>
      <c r="URT37" s="2"/>
      <c r="URU37" s="2"/>
      <c r="URV37" s="2"/>
      <c r="URW37" s="2"/>
      <c r="URX37" s="2"/>
      <c r="URY37" s="2"/>
      <c r="URZ37" s="2"/>
      <c r="USA37" s="2"/>
      <c r="USB37" s="2"/>
      <c r="USC37" s="2"/>
      <c r="USD37" s="2"/>
      <c r="USE37" s="2"/>
      <c r="USF37" s="2"/>
      <c r="USG37" s="2"/>
      <c r="USH37" s="2"/>
      <c r="USI37" s="2"/>
      <c r="USJ37" s="2"/>
      <c r="USK37" s="2"/>
      <c r="USL37" s="2"/>
      <c r="USM37" s="2"/>
      <c r="USN37" s="2"/>
      <c r="USO37" s="2"/>
      <c r="USP37" s="2"/>
      <c r="USQ37" s="2"/>
      <c r="USR37" s="2"/>
      <c r="USS37" s="2"/>
      <c r="UST37" s="2"/>
      <c r="USU37" s="2"/>
      <c r="USV37" s="2"/>
      <c r="USW37" s="2"/>
      <c r="USX37" s="2"/>
      <c r="USY37" s="2"/>
      <c r="USZ37" s="2"/>
      <c r="UTA37" s="2"/>
      <c r="UTB37" s="2"/>
      <c r="UTC37" s="2"/>
      <c r="UTD37" s="2"/>
      <c r="UTE37" s="2"/>
      <c r="UTF37" s="2"/>
      <c r="UTG37" s="2"/>
      <c r="UTH37" s="2"/>
      <c r="UTI37" s="2"/>
      <c r="UTJ37" s="2"/>
      <c r="UTK37" s="2"/>
      <c r="UTL37" s="2"/>
      <c r="UTM37" s="2"/>
      <c r="UTN37" s="2"/>
      <c r="UTO37" s="2"/>
      <c r="UTP37" s="2"/>
      <c r="UTQ37" s="2"/>
      <c r="UTR37" s="2"/>
      <c r="UTS37" s="2"/>
      <c r="UTT37" s="2"/>
      <c r="UTU37" s="2"/>
      <c r="UTV37" s="2"/>
      <c r="UTW37" s="2"/>
      <c r="UTX37" s="2"/>
      <c r="UTY37" s="2"/>
      <c r="UTZ37" s="2"/>
      <c r="UUA37" s="2"/>
      <c r="UUB37" s="2"/>
      <c r="UUC37" s="2"/>
      <c r="UUD37" s="2"/>
      <c r="UUE37" s="2"/>
      <c r="UUF37" s="2"/>
      <c r="UUG37" s="2"/>
      <c r="UUH37" s="2"/>
      <c r="UUI37" s="2"/>
      <c r="UUJ37" s="2"/>
      <c r="UUK37" s="2"/>
      <c r="UUL37" s="2"/>
      <c r="UUM37" s="2"/>
      <c r="UUN37" s="2"/>
      <c r="UUO37" s="2"/>
      <c r="UUP37" s="2"/>
      <c r="UUQ37" s="2"/>
      <c r="UUR37" s="2"/>
      <c r="UUS37" s="2"/>
      <c r="UUT37" s="2"/>
      <c r="UUU37" s="2"/>
      <c r="UUV37" s="2"/>
      <c r="UUW37" s="2"/>
      <c r="UUX37" s="2"/>
      <c r="UUY37" s="2"/>
      <c r="UUZ37" s="2"/>
      <c r="UVA37" s="2"/>
      <c r="UVB37" s="2"/>
      <c r="UVC37" s="2"/>
      <c r="UVD37" s="2"/>
      <c r="UVE37" s="2"/>
      <c r="UVF37" s="2"/>
      <c r="UVG37" s="2"/>
      <c r="UVH37" s="2"/>
      <c r="UVI37" s="2"/>
      <c r="UVJ37" s="2"/>
      <c r="UVK37" s="2"/>
      <c r="UVL37" s="2"/>
      <c r="UVM37" s="2"/>
      <c r="UVN37" s="2"/>
      <c r="UVO37" s="2"/>
      <c r="UVP37" s="2"/>
      <c r="UVQ37" s="2"/>
      <c r="UVR37" s="2"/>
      <c r="UVS37" s="2"/>
      <c r="UVT37" s="2"/>
      <c r="UVU37" s="2"/>
      <c r="UVV37" s="2"/>
      <c r="UVW37" s="2"/>
      <c r="UVX37" s="2"/>
      <c r="UVY37" s="2"/>
      <c r="UVZ37" s="2"/>
      <c r="UWA37" s="2"/>
      <c r="UWB37" s="2"/>
      <c r="UWC37" s="2"/>
      <c r="UWD37" s="2"/>
      <c r="UWE37" s="2"/>
      <c r="UWF37" s="2"/>
      <c r="UWG37" s="2"/>
      <c r="UWH37" s="2"/>
      <c r="UWI37" s="2"/>
      <c r="UWJ37" s="2"/>
      <c r="UWK37" s="2"/>
      <c r="UWL37" s="2"/>
      <c r="UWM37" s="2"/>
      <c r="UWN37" s="2"/>
      <c r="UWO37" s="2"/>
      <c r="UWP37" s="2"/>
      <c r="UWQ37" s="2"/>
      <c r="UWR37" s="2"/>
      <c r="UWS37" s="2"/>
      <c r="UWT37" s="2"/>
      <c r="UWU37" s="2"/>
      <c r="UWV37" s="2"/>
      <c r="UWW37" s="2"/>
      <c r="UWX37" s="2"/>
      <c r="UWY37" s="2"/>
      <c r="UWZ37" s="2"/>
      <c r="UXA37" s="2"/>
      <c r="UXB37" s="2"/>
      <c r="UXC37" s="2"/>
      <c r="UXD37" s="2"/>
      <c r="UXE37" s="2"/>
      <c r="UXF37" s="2"/>
      <c r="UXG37" s="2"/>
      <c r="UXH37" s="2"/>
      <c r="UXI37" s="2"/>
      <c r="UXJ37" s="2"/>
      <c r="UXK37" s="2"/>
      <c r="UXL37" s="2"/>
      <c r="UXM37" s="2"/>
      <c r="UXN37" s="2"/>
      <c r="UXO37" s="2"/>
      <c r="UXP37" s="2"/>
      <c r="UXQ37" s="2"/>
      <c r="UXR37" s="2"/>
      <c r="UXS37" s="2"/>
      <c r="UXT37" s="2"/>
      <c r="UXU37" s="2"/>
      <c r="UXV37" s="2"/>
      <c r="UXW37" s="2"/>
      <c r="UXX37" s="2"/>
      <c r="UXY37" s="2"/>
      <c r="UXZ37" s="2"/>
      <c r="UYA37" s="2"/>
      <c r="UYB37" s="2"/>
      <c r="UYC37" s="2"/>
      <c r="UYD37" s="2"/>
      <c r="UYE37" s="2"/>
      <c r="UYF37" s="2"/>
      <c r="UYG37" s="2"/>
      <c r="UYH37" s="2"/>
      <c r="UYI37" s="2"/>
      <c r="UYJ37" s="2"/>
      <c r="UYK37" s="2"/>
      <c r="UYL37" s="2"/>
      <c r="UYM37" s="2"/>
      <c r="UYN37" s="2"/>
      <c r="UYO37" s="2"/>
      <c r="UYP37" s="2"/>
      <c r="UYQ37" s="2"/>
      <c r="UYR37" s="2"/>
      <c r="UYS37" s="2"/>
      <c r="UYT37" s="2"/>
      <c r="UYU37" s="2"/>
      <c r="UYV37" s="2"/>
      <c r="UYW37" s="2"/>
      <c r="UYX37" s="2"/>
      <c r="UYY37" s="2"/>
      <c r="UYZ37" s="2"/>
      <c r="UZA37" s="2"/>
      <c r="UZB37" s="2"/>
      <c r="UZC37" s="2"/>
      <c r="UZD37" s="2"/>
      <c r="UZE37" s="2"/>
      <c r="UZF37" s="2"/>
      <c r="UZG37" s="2"/>
      <c r="UZH37" s="2"/>
      <c r="UZI37" s="2"/>
      <c r="UZJ37" s="2"/>
      <c r="UZK37" s="2"/>
      <c r="UZL37" s="2"/>
      <c r="UZM37" s="2"/>
      <c r="UZN37" s="2"/>
      <c r="UZO37" s="2"/>
      <c r="UZP37" s="2"/>
      <c r="UZQ37" s="2"/>
      <c r="UZR37" s="2"/>
      <c r="UZS37" s="2"/>
      <c r="UZT37" s="2"/>
      <c r="UZU37" s="2"/>
      <c r="UZV37" s="2"/>
      <c r="UZW37" s="2"/>
      <c r="UZX37" s="2"/>
      <c r="UZY37" s="2"/>
      <c r="UZZ37" s="2"/>
      <c r="VAA37" s="2"/>
      <c r="VAB37" s="2"/>
      <c r="VAC37" s="2"/>
      <c r="VAD37" s="2"/>
      <c r="VAE37" s="2"/>
      <c r="VAF37" s="2"/>
      <c r="VAG37" s="2"/>
      <c r="VAH37" s="2"/>
      <c r="VAI37" s="2"/>
      <c r="VAJ37" s="2"/>
      <c r="VAK37" s="2"/>
      <c r="VAL37" s="2"/>
      <c r="VAM37" s="2"/>
      <c r="VAN37" s="2"/>
      <c r="VAO37" s="2"/>
      <c r="VAP37" s="2"/>
      <c r="VAQ37" s="2"/>
      <c r="VAR37" s="2"/>
      <c r="VAS37" s="2"/>
      <c r="VAT37" s="2"/>
      <c r="VAU37" s="2"/>
      <c r="VAV37" s="2"/>
      <c r="VAW37" s="2"/>
      <c r="VAX37" s="2"/>
      <c r="VAY37" s="2"/>
      <c r="VAZ37" s="2"/>
      <c r="VBA37" s="2"/>
      <c r="VBB37" s="2"/>
      <c r="VBC37" s="2"/>
      <c r="VBD37" s="2"/>
      <c r="VBE37" s="2"/>
      <c r="VBF37" s="2"/>
      <c r="VBG37" s="2"/>
      <c r="VBH37" s="2"/>
      <c r="VBI37" s="2"/>
      <c r="VBJ37" s="2"/>
      <c r="VBK37" s="2"/>
      <c r="VBL37" s="2"/>
      <c r="VBM37" s="2"/>
      <c r="VBN37" s="2"/>
      <c r="VBO37" s="2"/>
      <c r="VBP37" s="2"/>
      <c r="VBQ37" s="2"/>
      <c r="VBR37" s="2"/>
      <c r="VBS37" s="2"/>
      <c r="VBT37" s="2"/>
      <c r="VBU37" s="2"/>
      <c r="VBV37" s="2"/>
      <c r="VBW37" s="2"/>
      <c r="VBX37" s="2"/>
      <c r="VBY37" s="2"/>
      <c r="VBZ37" s="2"/>
      <c r="VCA37" s="2"/>
      <c r="VCB37" s="2"/>
      <c r="VCC37" s="2"/>
      <c r="VCD37" s="2"/>
      <c r="VCE37" s="2"/>
      <c r="VCF37" s="2"/>
      <c r="VCG37" s="2"/>
      <c r="VCH37" s="2"/>
      <c r="VCI37" s="2"/>
      <c r="VCJ37" s="2"/>
      <c r="VCK37" s="2"/>
      <c r="VCL37" s="2"/>
      <c r="VCM37" s="2"/>
      <c r="VCN37" s="2"/>
      <c r="VCO37" s="2"/>
      <c r="VCP37" s="2"/>
      <c r="VCQ37" s="2"/>
      <c r="VCR37" s="2"/>
      <c r="VCS37" s="2"/>
      <c r="VCT37" s="2"/>
      <c r="VCU37" s="2"/>
      <c r="VCV37" s="2"/>
      <c r="VCW37" s="2"/>
      <c r="VCX37" s="2"/>
      <c r="VCY37" s="2"/>
      <c r="VCZ37" s="2"/>
      <c r="VDA37" s="2"/>
      <c r="VDB37" s="2"/>
      <c r="VDC37" s="2"/>
      <c r="VDD37" s="2"/>
      <c r="VDE37" s="2"/>
      <c r="VDF37" s="2"/>
      <c r="VDG37" s="2"/>
      <c r="VDH37" s="2"/>
      <c r="VDI37" s="2"/>
      <c r="VDJ37" s="2"/>
      <c r="VDK37" s="2"/>
      <c r="VDL37" s="2"/>
      <c r="VDM37" s="2"/>
      <c r="VDN37" s="2"/>
      <c r="VDO37" s="2"/>
      <c r="VDP37" s="2"/>
      <c r="VDQ37" s="2"/>
      <c r="VDR37" s="2"/>
      <c r="VDS37" s="2"/>
      <c r="VDT37" s="2"/>
      <c r="VDU37" s="2"/>
      <c r="VDV37" s="2"/>
      <c r="VDW37" s="2"/>
      <c r="VDX37" s="2"/>
      <c r="VDY37" s="2"/>
      <c r="VDZ37" s="2"/>
      <c r="VEA37" s="2"/>
      <c r="VEB37" s="2"/>
      <c r="VEC37" s="2"/>
      <c r="VED37" s="2"/>
      <c r="VEE37" s="2"/>
      <c r="VEF37" s="2"/>
      <c r="VEG37" s="2"/>
      <c r="VEH37" s="2"/>
      <c r="VEI37" s="2"/>
      <c r="VEJ37" s="2"/>
      <c r="VEK37" s="2"/>
      <c r="VEL37" s="2"/>
      <c r="VEM37" s="2"/>
      <c r="VEN37" s="2"/>
      <c r="VEO37" s="2"/>
      <c r="VEP37" s="2"/>
      <c r="VEQ37" s="2"/>
      <c r="VER37" s="2"/>
      <c r="VES37" s="2"/>
      <c r="VET37" s="2"/>
      <c r="VEU37" s="2"/>
      <c r="VEV37" s="2"/>
      <c r="VEW37" s="2"/>
      <c r="VEX37" s="2"/>
      <c r="VEY37" s="2"/>
      <c r="VEZ37" s="2"/>
      <c r="VFA37" s="2"/>
      <c r="VFB37" s="2"/>
      <c r="VFC37" s="2"/>
      <c r="VFD37" s="2"/>
      <c r="VFE37" s="2"/>
      <c r="VFF37" s="2"/>
      <c r="VFG37" s="2"/>
      <c r="VFH37" s="2"/>
      <c r="VFI37" s="2"/>
      <c r="VFJ37" s="2"/>
      <c r="VFK37" s="2"/>
      <c r="VFL37" s="2"/>
      <c r="VFM37" s="2"/>
      <c r="VFN37" s="2"/>
      <c r="VFO37" s="2"/>
      <c r="VFP37" s="2"/>
      <c r="VFQ37" s="2"/>
      <c r="VFR37" s="2"/>
      <c r="VFS37" s="2"/>
      <c r="VFT37" s="2"/>
      <c r="VFU37" s="2"/>
      <c r="VFV37" s="2"/>
      <c r="VFW37" s="2"/>
      <c r="VFX37" s="2"/>
      <c r="VFY37" s="2"/>
      <c r="VFZ37" s="2"/>
      <c r="VGA37" s="2"/>
      <c r="VGB37" s="2"/>
      <c r="VGC37" s="2"/>
      <c r="VGD37" s="2"/>
      <c r="VGE37" s="2"/>
      <c r="VGF37" s="2"/>
      <c r="VGG37" s="2"/>
      <c r="VGH37" s="2"/>
      <c r="VGI37" s="2"/>
      <c r="VGJ37" s="2"/>
      <c r="VGK37" s="2"/>
      <c r="VGL37" s="2"/>
      <c r="VGM37" s="2"/>
      <c r="VGN37" s="2"/>
      <c r="VGO37" s="2"/>
      <c r="VGP37" s="2"/>
      <c r="VGQ37" s="2"/>
      <c r="VGR37" s="2"/>
      <c r="VGS37" s="2"/>
      <c r="VGT37" s="2"/>
      <c r="VGU37" s="2"/>
      <c r="VGV37" s="2"/>
      <c r="VGW37" s="2"/>
      <c r="VGX37" s="2"/>
      <c r="VGY37" s="2"/>
      <c r="VGZ37" s="2"/>
      <c r="VHA37" s="2"/>
      <c r="VHB37" s="2"/>
      <c r="VHC37" s="2"/>
      <c r="VHD37" s="2"/>
      <c r="VHE37" s="2"/>
      <c r="VHF37" s="2"/>
      <c r="VHG37" s="2"/>
      <c r="VHH37" s="2"/>
      <c r="VHI37" s="2"/>
      <c r="VHJ37" s="2"/>
      <c r="VHK37" s="2"/>
      <c r="VHL37" s="2"/>
      <c r="VHM37" s="2"/>
      <c r="VHN37" s="2"/>
      <c r="VHO37" s="2"/>
      <c r="VHP37" s="2"/>
      <c r="VHQ37" s="2"/>
      <c r="VHR37" s="2"/>
      <c r="VHS37" s="2"/>
      <c r="VHT37" s="2"/>
      <c r="VHU37" s="2"/>
      <c r="VHV37" s="2"/>
      <c r="VHW37" s="2"/>
      <c r="VHX37" s="2"/>
      <c r="VHY37" s="2"/>
      <c r="VHZ37" s="2"/>
      <c r="VIA37" s="2"/>
      <c r="VIB37" s="2"/>
      <c r="VIC37" s="2"/>
      <c r="VID37" s="2"/>
      <c r="VIE37" s="2"/>
      <c r="VIF37" s="2"/>
      <c r="VIG37" s="2"/>
      <c r="VIH37" s="2"/>
      <c r="VII37" s="2"/>
      <c r="VIJ37" s="2"/>
      <c r="VIK37" s="2"/>
      <c r="VIL37" s="2"/>
      <c r="VIM37" s="2"/>
      <c r="VIN37" s="2"/>
      <c r="VIO37" s="2"/>
      <c r="VIP37" s="2"/>
      <c r="VIQ37" s="2"/>
      <c r="VIR37" s="2"/>
      <c r="VIS37" s="2"/>
      <c r="VIT37" s="2"/>
      <c r="VIU37" s="2"/>
      <c r="VIV37" s="2"/>
      <c r="VIW37" s="2"/>
      <c r="VIX37" s="2"/>
      <c r="VIY37" s="2"/>
      <c r="VIZ37" s="2"/>
      <c r="VJA37" s="2"/>
      <c r="VJB37" s="2"/>
      <c r="VJC37" s="2"/>
      <c r="VJD37" s="2"/>
      <c r="VJE37" s="2"/>
      <c r="VJF37" s="2"/>
      <c r="VJG37" s="2"/>
      <c r="VJH37" s="2"/>
      <c r="VJI37" s="2"/>
      <c r="VJJ37" s="2"/>
      <c r="VJK37" s="2"/>
      <c r="VJL37" s="2"/>
      <c r="VJM37" s="2"/>
      <c r="VJN37" s="2"/>
      <c r="VJO37" s="2"/>
      <c r="VJP37" s="2"/>
      <c r="VJQ37" s="2"/>
      <c r="VJR37" s="2"/>
      <c r="VJS37" s="2"/>
      <c r="VJT37" s="2"/>
      <c r="VJU37" s="2"/>
      <c r="VJV37" s="2"/>
      <c r="VJW37" s="2"/>
      <c r="VJX37" s="2"/>
      <c r="VJY37" s="2"/>
      <c r="VJZ37" s="2"/>
      <c r="VKA37" s="2"/>
      <c r="VKB37" s="2"/>
      <c r="VKC37" s="2"/>
      <c r="VKD37" s="2"/>
      <c r="VKE37" s="2"/>
      <c r="VKF37" s="2"/>
      <c r="VKG37" s="2"/>
      <c r="VKH37" s="2"/>
      <c r="VKI37" s="2"/>
      <c r="VKJ37" s="2"/>
      <c r="VKK37" s="2"/>
      <c r="VKL37" s="2"/>
      <c r="VKM37" s="2"/>
      <c r="VKN37" s="2"/>
      <c r="VKO37" s="2"/>
      <c r="VKP37" s="2"/>
      <c r="VKQ37" s="2"/>
      <c r="VKR37" s="2"/>
      <c r="VKS37" s="2"/>
      <c r="VKT37" s="2"/>
      <c r="VKU37" s="2"/>
      <c r="VKV37" s="2"/>
      <c r="VKW37" s="2"/>
      <c r="VKX37" s="2"/>
      <c r="VKY37" s="2"/>
      <c r="VKZ37" s="2"/>
      <c r="VLA37" s="2"/>
      <c r="VLB37" s="2"/>
      <c r="VLC37" s="2"/>
      <c r="VLD37" s="2"/>
      <c r="VLE37" s="2"/>
      <c r="VLF37" s="2"/>
      <c r="VLG37" s="2"/>
      <c r="VLH37" s="2"/>
      <c r="VLI37" s="2"/>
      <c r="VLJ37" s="2"/>
      <c r="VLK37" s="2"/>
      <c r="VLL37" s="2"/>
      <c r="VLM37" s="2"/>
      <c r="VLN37" s="2"/>
      <c r="VLO37" s="2"/>
      <c r="VLP37" s="2"/>
      <c r="VLQ37" s="2"/>
      <c r="VLR37" s="2"/>
      <c r="VLS37" s="2"/>
      <c r="VLT37" s="2"/>
      <c r="VLU37" s="2"/>
      <c r="VLV37" s="2"/>
      <c r="VLW37" s="2"/>
      <c r="VLX37" s="2"/>
      <c r="VLY37" s="2"/>
      <c r="VLZ37" s="2"/>
      <c r="VMA37" s="2"/>
      <c r="VMB37" s="2"/>
      <c r="VMC37" s="2"/>
      <c r="VMD37" s="2"/>
      <c r="VME37" s="2"/>
      <c r="VMF37" s="2"/>
      <c r="VMG37" s="2"/>
      <c r="VMH37" s="2"/>
      <c r="VMI37" s="2"/>
      <c r="VMJ37" s="2"/>
      <c r="VMK37" s="2"/>
      <c r="VML37" s="2"/>
      <c r="VMM37" s="2"/>
      <c r="VMN37" s="2"/>
      <c r="VMO37" s="2"/>
      <c r="VMP37" s="2"/>
      <c r="VMQ37" s="2"/>
      <c r="VMR37" s="2"/>
      <c r="VMS37" s="2"/>
      <c r="VMT37" s="2"/>
      <c r="VMU37" s="2"/>
      <c r="VMV37" s="2"/>
      <c r="VMW37" s="2"/>
      <c r="VMX37" s="2"/>
      <c r="VMY37" s="2"/>
      <c r="VMZ37" s="2"/>
      <c r="VNA37" s="2"/>
      <c r="VNB37" s="2"/>
      <c r="VNC37" s="2"/>
      <c r="VND37" s="2"/>
      <c r="VNE37" s="2"/>
      <c r="VNF37" s="2"/>
      <c r="VNG37" s="2"/>
      <c r="VNH37" s="2"/>
      <c r="VNI37" s="2"/>
      <c r="VNJ37" s="2"/>
      <c r="VNK37" s="2"/>
      <c r="VNL37" s="2"/>
      <c r="VNM37" s="2"/>
      <c r="VNN37" s="2"/>
      <c r="VNO37" s="2"/>
      <c r="VNP37" s="2"/>
      <c r="VNQ37" s="2"/>
      <c r="VNR37" s="2"/>
      <c r="VNS37" s="2"/>
      <c r="VNT37" s="2"/>
      <c r="VNU37" s="2"/>
      <c r="VNV37" s="2"/>
      <c r="VNW37" s="2"/>
      <c r="VNX37" s="2"/>
      <c r="VNY37" s="2"/>
      <c r="VNZ37" s="2"/>
      <c r="VOA37" s="2"/>
      <c r="VOB37" s="2"/>
      <c r="VOC37" s="2"/>
      <c r="VOD37" s="2"/>
      <c r="VOE37" s="2"/>
      <c r="VOF37" s="2"/>
      <c r="VOG37" s="2"/>
      <c r="VOH37" s="2"/>
      <c r="VOI37" s="2"/>
      <c r="VOJ37" s="2"/>
      <c r="VOK37" s="2"/>
      <c r="VOL37" s="2"/>
      <c r="VOM37" s="2"/>
      <c r="VON37" s="2"/>
      <c r="VOO37" s="2"/>
      <c r="VOP37" s="2"/>
      <c r="VOQ37" s="2"/>
      <c r="VOR37" s="2"/>
      <c r="VOS37" s="2"/>
      <c r="VOT37" s="2"/>
      <c r="VOU37" s="2"/>
      <c r="VOV37" s="2"/>
      <c r="VOW37" s="2"/>
      <c r="VOX37" s="2"/>
      <c r="VOY37" s="2"/>
      <c r="VOZ37" s="2"/>
      <c r="VPA37" s="2"/>
      <c r="VPB37" s="2"/>
      <c r="VPC37" s="2"/>
      <c r="VPD37" s="2"/>
      <c r="VPE37" s="2"/>
      <c r="VPF37" s="2"/>
      <c r="VPG37" s="2"/>
      <c r="VPH37" s="2"/>
      <c r="VPI37" s="2"/>
      <c r="VPJ37" s="2"/>
      <c r="VPK37" s="2"/>
      <c r="VPL37" s="2"/>
      <c r="VPM37" s="2"/>
      <c r="VPN37" s="2"/>
      <c r="VPO37" s="2"/>
      <c r="VPP37" s="2"/>
      <c r="VPQ37" s="2"/>
      <c r="VPR37" s="2"/>
      <c r="VPS37" s="2"/>
      <c r="VPT37" s="2"/>
      <c r="VPU37" s="2"/>
      <c r="VPV37" s="2"/>
      <c r="VPW37" s="2"/>
      <c r="VPX37" s="2"/>
      <c r="VPY37" s="2"/>
      <c r="VPZ37" s="2"/>
      <c r="VQA37" s="2"/>
      <c r="VQB37" s="2"/>
      <c r="VQC37" s="2"/>
      <c r="VQD37" s="2"/>
      <c r="VQE37" s="2"/>
      <c r="VQF37" s="2"/>
      <c r="VQG37" s="2"/>
      <c r="VQH37" s="2"/>
      <c r="VQI37" s="2"/>
      <c r="VQJ37" s="2"/>
      <c r="VQK37" s="2"/>
      <c r="VQL37" s="2"/>
      <c r="VQM37" s="2"/>
      <c r="VQN37" s="2"/>
      <c r="VQO37" s="2"/>
      <c r="VQP37" s="2"/>
      <c r="VQQ37" s="2"/>
      <c r="VQR37" s="2"/>
      <c r="VQS37" s="2"/>
      <c r="VQT37" s="2"/>
      <c r="VQU37" s="2"/>
      <c r="VQV37" s="2"/>
      <c r="VQW37" s="2"/>
      <c r="VQX37" s="2"/>
      <c r="VQY37" s="2"/>
      <c r="VQZ37" s="2"/>
      <c r="VRA37" s="2"/>
      <c r="VRB37" s="2"/>
      <c r="VRC37" s="2"/>
      <c r="VRD37" s="2"/>
      <c r="VRE37" s="2"/>
      <c r="VRF37" s="2"/>
      <c r="VRG37" s="2"/>
      <c r="VRH37" s="2"/>
      <c r="VRI37" s="2"/>
      <c r="VRJ37" s="2"/>
      <c r="VRK37" s="2"/>
      <c r="VRL37" s="2"/>
      <c r="VRM37" s="2"/>
      <c r="VRN37" s="2"/>
      <c r="VRO37" s="2"/>
      <c r="VRP37" s="2"/>
      <c r="VRQ37" s="2"/>
      <c r="VRR37" s="2"/>
      <c r="VRS37" s="2"/>
      <c r="VRT37" s="2"/>
      <c r="VRU37" s="2"/>
      <c r="VRV37" s="2"/>
      <c r="VRW37" s="2"/>
      <c r="VRX37" s="2"/>
      <c r="VRY37" s="2"/>
      <c r="VRZ37" s="2"/>
      <c r="VSA37" s="2"/>
      <c r="VSB37" s="2"/>
      <c r="VSC37" s="2"/>
      <c r="VSD37" s="2"/>
      <c r="VSE37" s="2"/>
      <c r="VSF37" s="2"/>
      <c r="VSG37" s="2"/>
      <c r="VSH37" s="2"/>
      <c r="VSI37" s="2"/>
      <c r="VSJ37" s="2"/>
      <c r="VSK37" s="2"/>
      <c r="VSL37" s="2"/>
      <c r="VSM37" s="2"/>
      <c r="VSN37" s="2"/>
      <c r="VSO37" s="2"/>
      <c r="VSP37" s="2"/>
      <c r="VSQ37" s="2"/>
      <c r="VSR37" s="2"/>
      <c r="VSS37" s="2"/>
      <c r="VST37" s="2"/>
      <c r="VSU37" s="2"/>
      <c r="VSV37" s="2"/>
      <c r="VSW37" s="2"/>
      <c r="VSX37" s="2"/>
      <c r="VSY37" s="2"/>
      <c r="VSZ37" s="2"/>
      <c r="VTA37" s="2"/>
      <c r="VTB37" s="2"/>
      <c r="VTC37" s="2"/>
      <c r="VTD37" s="2"/>
      <c r="VTE37" s="2"/>
      <c r="VTF37" s="2"/>
      <c r="VTG37" s="2"/>
      <c r="VTH37" s="2"/>
      <c r="VTI37" s="2"/>
      <c r="VTJ37" s="2"/>
      <c r="VTK37" s="2"/>
      <c r="VTL37" s="2"/>
      <c r="VTM37" s="2"/>
      <c r="VTN37" s="2"/>
      <c r="VTO37" s="2"/>
      <c r="VTP37" s="2"/>
      <c r="VTQ37" s="2"/>
      <c r="VTR37" s="2"/>
      <c r="VTS37" s="2"/>
      <c r="VTT37" s="2"/>
      <c r="VTU37" s="2"/>
      <c r="VTV37" s="2"/>
      <c r="VTW37" s="2"/>
      <c r="VTX37" s="2"/>
      <c r="VTY37" s="2"/>
      <c r="VTZ37" s="2"/>
      <c r="VUA37" s="2"/>
      <c r="VUB37" s="2"/>
      <c r="VUC37" s="2"/>
      <c r="VUD37" s="2"/>
      <c r="VUE37" s="2"/>
      <c r="VUF37" s="2"/>
      <c r="VUG37" s="2"/>
      <c r="VUH37" s="2"/>
      <c r="VUI37" s="2"/>
      <c r="VUJ37" s="2"/>
      <c r="VUK37" s="2"/>
      <c r="VUL37" s="2"/>
      <c r="VUM37" s="2"/>
      <c r="VUN37" s="2"/>
      <c r="VUO37" s="2"/>
      <c r="VUP37" s="2"/>
      <c r="VUQ37" s="2"/>
      <c r="VUR37" s="2"/>
      <c r="VUS37" s="2"/>
      <c r="VUT37" s="2"/>
      <c r="VUU37" s="2"/>
      <c r="VUV37" s="2"/>
      <c r="VUW37" s="2"/>
      <c r="VUX37" s="2"/>
      <c r="VUY37" s="2"/>
      <c r="VUZ37" s="2"/>
      <c r="VVA37" s="2"/>
      <c r="VVB37" s="2"/>
      <c r="VVC37" s="2"/>
      <c r="VVD37" s="2"/>
      <c r="VVE37" s="2"/>
      <c r="VVF37" s="2"/>
      <c r="VVG37" s="2"/>
      <c r="VVH37" s="2"/>
      <c r="VVI37" s="2"/>
      <c r="VVJ37" s="2"/>
      <c r="VVK37" s="2"/>
      <c r="VVL37" s="2"/>
      <c r="VVM37" s="2"/>
      <c r="VVN37" s="2"/>
      <c r="VVO37" s="2"/>
      <c r="VVP37" s="2"/>
      <c r="VVQ37" s="2"/>
      <c r="VVR37" s="2"/>
      <c r="VVS37" s="2"/>
      <c r="VVT37" s="2"/>
      <c r="VVU37" s="2"/>
      <c r="VVV37" s="2"/>
      <c r="VVW37" s="2"/>
      <c r="VVX37" s="2"/>
      <c r="VVY37" s="2"/>
      <c r="VVZ37" s="2"/>
      <c r="VWA37" s="2"/>
      <c r="VWB37" s="2"/>
      <c r="VWC37" s="2"/>
      <c r="VWD37" s="2"/>
      <c r="VWE37" s="2"/>
      <c r="VWF37" s="2"/>
      <c r="VWG37" s="2"/>
      <c r="VWH37" s="2"/>
      <c r="VWI37" s="2"/>
      <c r="VWJ37" s="2"/>
      <c r="VWK37" s="2"/>
      <c r="VWL37" s="2"/>
      <c r="VWM37" s="2"/>
      <c r="VWN37" s="2"/>
      <c r="VWO37" s="2"/>
      <c r="VWP37" s="2"/>
      <c r="VWQ37" s="2"/>
      <c r="VWR37" s="2"/>
      <c r="VWS37" s="2"/>
      <c r="VWT37" s="2"/>
      <c r="VWU37" s="2"/>
      <c r="VWV37" s="2"/>
      <c r="VWW37" s="2"/>
      <c r="VWX37" s="2"/>
      <c r="VWY37" s="2"/>
      <c r="VWZ37" s="2"/>
      <c r="VXA37" s="2"/>
      <c r="VXB37" s="2"/>
      <c r="VXC37" s="2"/>
      <c r="VXD37" s="2"/>
      <c r="VXE37" s="2"/>
      <c r="VXF37" s="2"/>
      <c r="VXG37" s="2"/>
      <c r="VXH37" s="2"/>
      <c r="VXI37" s="2"/>
      <c r="VXJ37" s="2"/>
      <c r="VXK37" s="2"/>
      <c r="VXL37" s="2"/>
      <c r="VXM37" s="2"/>
      <c r="VXN37" s="2"/>
      <c r="VXO37" s="2"/>
      <c r="VXP37" s="2"/>
      <c r="VXQ37" s="2"/>
      <c r="VXR37" s="2"/>
      <c r="VXS37" s="2"/>
      <c r="VXT37" s="2"/>
      <c r="VXU37" s="2"/>
      <c r="VXV37" s="2"/>
      <c r="VXW37" s="2"/>
      <c r="VXX37" s="2"/>
      <c r="VXY37" s="2"/>
      <c r="VXZ37" s="2"/>
      <c r="VYA37" s="2"/>
      <c r="VYB37" s="2"/>
      <c r="VYC37" s="2"/>
      <c r="VYD37" s="2"/>
      <c r="VYE37" s="2"/>
      <c r="VYF37" s="2"/>
      <c r="VYG37" s="2"/>
      <c r="VYH37" s="2"/>
      <c r="VYI37" s="2"/>
      <c r="VYJ37" s="2"/>
      <c r="VYK37" s="2"/>
      <c r="VYL37" s="2"/>
      <c r="VYM37" s="2"/>
      <c r="VYN37" s="2"/>
      <c r="VYO37" s="2"/>
      <c r="VYP37" s="2"/>
      <c r="VYQ37" s="2"/>
      <c r="VYR37" s="2"/>
      <c r="VYS37" s="2"/>
      <c r="VYT37" s="2"/>
      <c r="VYU37" s="2"/>
      <c r="VYV37" s="2"/>
      <c r="VYW37" s="2"/>
      <c r="VYX37" s="2"/>
      <c r="VYY37" s="2"/>
      <c r="VYZ37" s="2"/>
      <c r="VZA37" s="2"/>
      <c r="VZB37" s="2"/>
      <c r="VZC37" s="2"/>
      <c r="VZD37" s="2"/>
      <c r="VZE37" s="2"/>
      <c r="VZF37" s="2"/>
      <c r="VZG37" s="2"/>
      <c r="VZH37" s="2"/>
      <c r="VZI37" s="2"/>
      <c r="VZJ37" s="2"/>
      <c r="VZK37" s="2"/>
      <c r="VZL37" s="2"/>
      <c r="VZM37" s="2"/>
      <c r="VZN37" s="2"/>
      <c r="VZO37" s="2"/>
      <c r="VZP37" s="2"/>
      <c r="VZQ37" s="2"/>
      <c r="VZR37" s="2"/>
      <c r="VZS37" s="2"/>
      <c r="VZT37" s="2"/>
      <c r="VZU37" s="2"/>
      <c r="VZV37" s="2"/>
      <c r="VZW37" s="2"/>
      <c r="VZX37" s="2"/>
      <c r="VZY37" s="2"/>
      <c r="VZZ37" s="2"/>
      <c r="WAA37" s="2"/>
      <c r="WAB37" s="2"/>
      <c r="WAC37" s="2"/>
      <c r="WAD37" s="2"/>
      <c r="WAE37" s="2"/>
      <c r="WAF37" s="2"/>
      <c r="WAG37" s="2"/>
      <c r="WAH37" s="2"/>
      <c r="WAI37" s="2"/>
      <c r="WAJ37" s="2"/>
      <c r="WAK37" s="2"/>
      <c r="WAL37" s="2"/>
      <c r="WAM37" s="2"/>
      <c r="WAN37" s="2"/>
      <c r="WAO37" s="2"/>
      <c r="WAP37" s="2"/>
      <c r="WAQ37" s="2"/>
      <c r="WAR37" s="2"/>
      <c r="WAS37" s="2"/>
      <c r="WAT37" s="2"/>
      <c r="WAU37" s="2"/>
      <c r="WAV37" s="2"/>
      <c r="WAW37" s="2"/>
      <c r="WAX37" s="2"/>
      <c r="WAY37" s="2"/>
      <c r="WAZ37" s="2"/>
      <c r="WBA37" s="2"/>
      <c r="WBB37" s="2"/>
      <c r="WBC37" s="2"/>
      <c r="WBD37" s="2"/>
      <c r="WBE37" s="2"/>
      <c r="WBF37" s="2"/>
      <c r="WBG37" s="2"/>
      <c r="WBH37" s="2"/>
      <c r="WBI37" s="2"/>
      <c r="WBJ37" s="2"/>
      <c r="WBK37" s="2"/>
      <c r="WBL37" s="2"/>
      <c r="WBM37" s="2"/>
      <c r="WBN37" s="2"/>
      <c r="WBO37" s="2"/>
      <c r="WBP37" s="2"/>
      <c r="WBQ37" s="2"/>
      <c r="WBR37" s="2"/>
      <c r="WBS37" s="2"/>
      <c r="WBT37" s="2"/>
      <c r="WBU37" s="2"/>
      <c r="WBV37" s="2"/>
      <c r="WBW37" s="2"/>
      <c r="WBX37" s="2"/>
      <c r="WBY37" s="2"/>
      <c r="WBZ37" s="2"/>
      <c r="WCA37" s="2"/>
      <c r="WCB37" s="2"/>
      <c r="WCC37" s="2"/>
      <c r="WCD37" s="2"/>
      <c r="WCE37" s="2"/>
      <c r="WCF37" s="2"/>
      <c r="WCG37" s="2"/>
      <c r="WCH37" s="2"/>
      <c r="WCI37" s="2"/>
      <c r="WCJ37" s="2"/>
      <c r="WCK37" s="2"/>
      <c r="WCL37" s="2"/>
      <c r="WCM37" s="2"/>
      <c r="WCN37" s="2"/>
      <c r="WCO37" s="2"/>
      <c r="WCP37" s="2"/>
      <c r="WCQ37" s="2"/>
      <c r="WCR37" s="2"/>
      <c r="WCS37" s="2"/>
      <c r="WCT37" s="2"/>
      <c r="WCU37" s="2"/>
      <c r="WCV37" s="2"/>
      <c r="WCW37" s="2"/>
      <c r="WCX37" s="2"/>
      <c r="WCY37" s="2"/>
      <c r="WCZ37" s="2"/>
      <c r="WDA37" s="2"/>
      <c r="WDB37" s="2"/>
      <c r="WDC37" s="2"/>
      <c r="WDD37" s="2"/>
      <c r="WDE37" s="2"/>
      <c r="WDF37" s="2"/>
      <c r="WDG37" s="2"/>
      <c r="WDH37" s="2"/>
      <c r="WDI37" s="2"/>
      <c r="WDJ37" s="2"/>
      <c r="WDK37" s="2"/>
      <c r="WDL37" s="2"/>
      <c r="WDM37" s="2"/>
      <c r="WDN37" s="2"/>
      <c r="WDO37" s="2"/>
      <c r="WDP37" s="2"/>
      <c r="WDQ37" s="2"/>
      <c r="WDR37" s="2"/>
      <c r="WDS37" s="2"/>
      <c r="WDT37" s="2"/>
      <c r="WDU37" s="2"/>
      <c r="WDV37" s="2"/>
      <c r="WDW37" s="2"/>
      <c r="WDX37" s="2"/>
      <c r="WDY37" s="2"/>
      <c r="WDZ37" s="2"/>
      <c r="WEA37" s="2"/>
      <c r="WEB37" s="2"/>
      <c r="WEC37" s="2"/>
      <c r="WED37" s="2"/>
      <c r="WEE37" s="2"/>
      <c r="WEF37" s="2"/>
      <c r="WEG37" s="2"/>
      <c r="WEH37" s="2"/>
      <c r="WEI37" s="2"/>
      <c r="WEJ37" s="2"/>
      <c r="WEK37" s="2"/>
      <c r="WEL37" s="2"/>
      <c r="WEM37" s="2"/>
      <c r="WEN37" s="2"/>
      <c r="WEO37" s="2"/>
      <c r="WEP37" s="2"/>
      <c r="WEQ37" s="2"/>
      <c r="WER37" s="2"/>
      <c r="WES37" s="2"/>
      <c r="WET37" s="2"/>
      <c r="WEU37" s="2"/>
      <c r="WEV37" s="2"/>
      <c r="WEW37" s="2"/>
      <c r="WEX37" s="2"/>
      <c r="WEY37" s="2"/>
      <c r="WEZ37" s="2"/>
      <c r="WFA37" s="2"/>
      <c r="WFB37" s="2"/>
      <c r="WFC37" s="2"/>
      <c r="WFD37" s="2"/>
      <c r="WFE37" s="2"/>
      <c r="WFF37" s="2"/>
      <c r="WFG37" s="2"/>
      <c r="WFH37" s="2"/>
      <c r="WFI37" s="2"/>
      <c r="WFJ37" s="2"/>
      <c r="WFK37" s="2"/>
      <c r="WFL37" s="2"/>
      <c r="WFM37" s="2"/>
      <c r="WFN37" s="2"/>
      <c r="WFO37" s="2"/>
      <c r="WFP37" s="2"/>
      <c r="WFQ37" s="2"/>
      <c r="WFR37" s="2"/>
      <c r="WFS37" s="2"/>
      <c r="WFT37" s="2"/>
      <c r="WFU37" s="2"/>
      <c r="WFV37" s="2"/>
      <c r="WFW37" s="2"/>
      <c r="WFX37" s="2"/>
      <c r="WFY37" s="2"/>
      <c r="WFZ37" s="2"/>
      <c r="WGA37" s="2"/>
      <c r="WGB37" s="2"/>
      <c r="WGC37" s="2"/>
      <c r="WGD37" s="2"/>
      <c r="WGE37" s="2"/>
      <c r="WGF37" s="2"/>
      <c r="WGG37" s="2"/>
      <c r="WGH37" s="2"/>
      <c r="WGI37" s="2"/>
      <c r="WGJ37" s="2"/>
      <c r="WGK37" s="2"/>
      <c r="WGL37" s="2"/>
      <c r="WGM37" s="2"/>
      <c r="WGN37" s="2"/>
      <c r="WGO37" s="2"/>
      <c r="WGP37" s="2"/>
      <c r="WGQ37" s="2"/>
      <c r="WGR37" s="2"/>
      <c r="WGS37" s="2"/>
      <c r="WGT37" s="2"/>
      <c r="WGU37" s="2"/>
      <c r="WGV37" s="2"/>
      <c r="WGW37" s="2"/>
      <c r="WGX37" s="2"/>
      <c r="WGY37" s="2"/>
      <c r="WGZ37" s="2"/>
      <c r="WHA37" s="2"/>
      <c r="WHB37" s="2"/>
      <c r="WHC37" s="2"/>
      <c r="WHD37" s="2"/>
      <c r="WHE37" s="2"/>
      <c r="WHF37" s="2"/>
      <c r="WHG37" s="2"/>
      <c r="WHH37" s="2"/>
      <c r="WHI37" s="2"/>
      <c r="WHJ37" s="2"/>
      <c r="WHK37" s="2"/>
      <c r="WHL37" s="2"/>
      <c r="WHM37" s="2"/>
      <c r="WHN37" s="2"/>
      <c r="WHO37" s="2"/>
      <c r="WHP37" s="2"/>
      <c r="WHQ37" s="2"/>
      <c r="WHR37" s="2"/>
      <c r="WHS37" s="2"/>
      <c r="WHT37" s="2"/>
      <c r="WHU37" s="2"/>
      <c r="WHV37" s="2"/>
      <c r="WHW37" s="2"/>
      <c r="WHX37" s="2"/>
      <c r="WHY37" s="2"/>
      <c r="WHZ37" s="2"/>
      <c r="WIA37" s="2"/>
      <c r="WIB37" s="2"/>
      <c r="WIC37" s="2"/>
      <c r="WID37" s="2"/>
      <c r="WIE37" s="2"/>
      <c r="WIF37" s="2"/>
      <c r="WIG37" s="2"/>
      <c r="WIH37" s="2"/>
      <c r="WII37" s="2"/>
      <c r="WIJ37" s="2"/>
      <c r="WIK37" s="2"/>
      <c r="WIL37" s="2"/>
      <c r="WIM37" s="2"/>
      <c r="WIN37" s="2"/>
      <c r="WIO37" s="2"/>
      <c r="WIP37" s="2"/>
      <c r="WIQ37" s="2"/>
      <c r="WIR37" s="2"/>
      <c r="WIS37" s="2"/>
      <c r="WIT37" s="2"/>
      <c r="WIU37" s="2"/>
      <c r="WIV37" s="2"/>
      <c r="WIW37" s="2"/>
      <c r="WIX37" s="2"/>
      <c r="WIY37" s="2"/>
      <c r="WIZ37" s="2"/>
      <c r="WJA37" s="2"/>
      <c r="WJB37" s="2"/>
      <c r="WJC37" s="2"/>
      <c r="WJD37" s="2"/>
      <c r="WJE37" s="2"/>
      <c r="WJF37" s="2"/>
      <c r="WJG37" s="2"/>
      <c r="WJH37" s="2"/>
      <c r="WJI37" s="2"/>
      <c r="WJJ37" s="2"/>
      <c r="WJK37" s="2"/>
      <c r="WJL37" s="2"/>
      <c r="WJM37" s="2"/>
      <c r="WJN37" s="2"/>
      <c r="WJO37" s="2"/>
      <c r="WJP37" s="2"/>
      <c r="WJQ37" s="2"/>
      <c r="WJR37" s="2"/>
      <c r="WJS37" s="2"/>
      <c r="WJT37" s="2"/>
      <c r="WJU37" s="2"/>
      <c r="WJV37" s="2"/>
      <c r="WJW37" s="2"/>
      <c r="WJX37" s="2"/>
      <c r="WJY37" s="2"/>
      <c r="WJZ37" s="2"/>
      <c r="WKA37" s="2"/>
      <c r="WKB37" s="2"/>
      <c r="WKC37" s="2"/>
      <c r="WKD37" s="2"/>
      <c r="WKE37" s="2"/>
      <c r="WKF37" s="2"/>
      <c r="WKG37" s="2"/>
      <c r="WKH37" s="2"/>
      <c r="WKI37" s="2"/>
      <c r="WKJ37" s="2"/>
      <c r="WKK37" s="2"/>
      <c r="WKL37" s="2"/>
      <c r="WKM37" s="2"/>
      <c r="WKN37" s="2"/>
      <c r="WKO37" s="2"/>
      <c r="WKP37" s="2"/>
      <c r="WKQ37" s="2"/>
      <c r="WKR37" s="2"/>
      <c r="WKS37" s="2"/>
      <c r="WKT37" s="2"/>
      <c r="WKU37" s="2"/>
      <c r="WKV37" s="2"/>
      <c r="WKW37" s="2"/>
      <c r="WKX37" s="2"/>
      <c r="WKY37" s="2"/>
      <c r="WKZ37" s="2"/>
      <c r="WLA37" s="2"/>
      <c r="WLB37" s="2"/>
      <c r="WLC37" s="2"/>
      <c r="WLD37" s="2"/>
      <c r="WLE37" s="2"/>
      <c r="WLF37" s="2"/>
      <c r="WLG37" s="2"/>
      <c r="WLH37" s="2"/>
      <c r="WLI37" s="2"/>
      <c r="WLJ37" s="2"/>
      <c r="WLK37" s="2"/>
      <c r="WLL37" s="2"/>
      <c r="WLM37" s="2"/>
      <c r="WLN37" s="2"/>
      <c r="WLO37" s="2"/>
      <c r="WLP37" s="2"/>
      <c r="WLQ37" s="2"/>
      <c r="WLR37" s="2"/>
      <c r="WLS37" s="2"/>
      <c r="WLT37" s="2"/>
      <c r="WLU37" s="2"/>
      <c r="WLV37" s="2"/>
      <c r="WLW37" s="2"/>
      <c r="WLX37" s="2"/>
      <c r="WLY37" s="2"/>
      <c r="WLZ37" s="2"/>
      <c r="WMA37" s="2"/>
      <c r="WMB37" s="2"/>
      <c r="WMC37" s="2"/>
      <c r="WMD37" s="2"/>
      <c r="WME37" s="2"/>
      <c r="WMF37" s="2"/>
      <c r="WMG37" s="2"/>
      <c r="WMH37" s="2"/>
      <c r="WMI37" s="2"/>
      <c r="WMJ37" s="2"/>
      <c r="WMK37" s="2"/>
      <c r="WML37" s="2"/>
      <c r="WMM37" s="2"/>
      <c r="WMN37" s="2"/>
      <c r="WMO37" s="2"/>
      <c r="WMP37" s="2"/>
      <c r="WMQ37" s="2"/>
      <c r="WMR37" s="2"/>
      <c r="WMS37" s="2"/>
      <c r="WMT37" s="2"/>
      <c r="WMU37" s="2"/>
      <c r="WMV37" s="2"/>
      <c r="WMW37" s="2"/>
      <c r="WMX37" s="2"/>
      <c r="WMY37" s="2"/>
      <c r="WMZ37" s="2"/>
      <c r="WNA37" s="2"/>
      <c r="WNB37" s="2"/>
      <c r="WNC37" s="2"/>
      <c r="WND37" s="2"/>
      <c r="WNE37" s="2"/>
      <c r="WNF37" s="2"/>
      <c r="WNG37" s="2"/>
      <c r="WNH37" s="2"/>
      <c r="WNI37" s="2"/>
      <c r="WNJ37" s="2"/>
      <c r="WNK37" s="2"/>
      <c r="WNL37" s="2"/>
      <c r="WNM37" s="2"/>
      <c r="WNN37" s="2"/>
      <c r="WNO37" s="2"/>
      <c r="WNP37" s="2"/>
      <c r="WNQ37" s="2"/>
      <c r="WNR37" s="2"/>
      <c r="WNS37" s="2"/>
      <c r="WNT37" s="2"/>
      <c r="WNU37" s="2"/>
      <c r="WNV37" s="2"/>
      <c r="WNW37" s="2"/>
      <c r="WNX37" s="2"/>
      <c r="WNY37" s="2"/>
      <c r="WNZ37" s="2"/>
      <c r="WOA37" s="2"/>
      <c r="WOB37" s="2"/>
      <c r="WOC37" s="2"/>
      <c r="WOD37" s="2"/>
      <c r="WOE37" s="2"/>
      <c r="WOF37" s="2"/>
      <c r="WOG37" s="2"/>
      <c r="WOH37" s="2"/>
      <c r="WOI37" s="2"/>
      <c r="WOJ37" s="2"/>
      <c r="WOK37" s="2"/>
      <c r="WOL37" s="2"/>
      <c r="WOM37" s="2"/>
      <c r="WON37" s="2"/>
      <c r="WOO37" s="2"/>
      <c r="WOP37" s="2"/>
      <c r="WOQ37" s="2"/>
      <c r="WOR37" s="2"/>
      <c r="WOS37" s="2"/>
      <c r="WOT37" s="2"/>
      <c r="WOU37" s="2"/>
      <c r="WOV37" s="2"/>
      <c r="WOW37" s="2"/>
      <c r="WOX37" s="2"/>
      <c r="WOY37" s="2"/>
      <c r="WOZ37" s="2"/>
      <c r="WPA37" s="2"/>
      <c r="WPB37" s="2"/>
      <c r="WPC37" s="2"/>
      <c r="WPD37" s="2"/>
      <c r="WPE37" s="2"/>
      <c r="WPF37" s="2"/>
      <c r="WPG37" s="2"/>
      <c r="WPH37" s="2"/>
      <c r="WPI37" s="2"/>
      <c r="WPJ37" s="2"/>
      <c r="WPK37" s="2"/>
      <c r="WPL37" s="2"/>
      <c r="WPM37" s="2"/>
      <c r="WPN37" s="2"/>
      <c r="WPO37" s="2"/>
      <c r="WPP37" s="2"/>
      <c r="WPQ37" s="2"/>
      <c r="WPR37" s="2"/>
      <c r="WPS37" s="2"/>
      <c r="WPT37" s="2"/>
      <c r="WPU37" s="2"/>
      <c r="WPV37" s="2"/>
      <c r="WPW37" s="2"/>
      <c r="WPX37" s="2"/>
      <c r="WPY37" s="2"/>
      <c r="WPZ37" s="2"/>
      <c r="WQA37" s="2"/>
      <c r="WQB37" s="2"/>
      <c r="WQC37" s="2"/>
      <c r="WQD37" s="2"/>
      <c r="WQE37" s="2"/>
      <c r="WQF37" s="2"/>
      <c r="WQG37" s="2"/>
      <c r="WQH37" s="2"/>
      <c r="WQI37" s="2"/>
      <c r="WQJ37" s="2"/>
      <c r="WQK37" s="2"/>
      <c r="WQL37" s="2"/>
      <c r="WQM37" s="2"/>
      <c r="WQN37" s="2"/>
      <c r="WQO37" s="2"/>
      <c r="WQP37" s="2"/>
      <c r="WQQ37" s="2"/>
      <c r="WQR37" s="2"/>
      <c r="WQS37" s="2"/>
      <c r="WQT37" s="2"/>
      <c r="WQU37" s="2"/>
      <c r="WQV37" s="2"/>
      <c r="WQW37" s="2"/>
      <c r="WQX37" s="2"/>
      <c r="WQY37" s="2"/>
      <c r="WQZ37" s="2"/>
      <c r="WRA37" s="2"/>
      <c r="WRB37" s="2"/>
      <c r="WRC37" s="2"/>
      <c r="WRD37" s="2"/>
      <c r="WRE37" s="2"/>
      <c r="WRF37" s="2"/>
      <c r="WRG37" s="2"/>
      <c r="WRH37" s="2"/>
      <c r="WRI37" s="2"/>
      <c r="WRJ37" s="2"/>
      <c r="WRK37" s="2"/>
      <c r="WRL37" s="2"/>
      <c r="WRM37" s="2"/>
      <c r="WRN37" s="2"/>
      <c r="WRO37" s="2"/>
      <c r="WRP37" s="2"/>
      <c r="WRQ37" s="2"/>
      <c r="WRR37" s="2"/>
      <c r="WRS37" s="2"/>
      <c r="WRT37" s="2"/>
      <c r="WRU37" s="2"/>
      <c r="WRV37" s="2"/>
      <c r="WRW37" s="2"/>
      <c r="WRX37" s="2"/>
      <c r="WRY37" s="2"/>
      <c r="WRZ37" s="2"/>
      <c r="WSA37" s="2"/>
      <c r="WSB37" s="2"/>
      <c r="WSC37" s="2"/>
      <c r="WSD37" s="2"/>
      <c r="WSE37" s="2"/>
      <c r="WSF37" s="2"/>
      <c r="WSG37" s="2"/>
      <c r="WSH37" s="2"/>
      <c r="WSI37" s="2"/>
      <c r="WSJ37" s="2"/>
      <c r="WSK37" s="2"/>
      <c r="WSL37" s="2"/>
      <c r="WSM37" s="2"/>
      <c r="WSN37" s="2"/>
      <c r="WSO37" s="2"/>
      <c r="WSP37" s="2"/>
      <c r="WSQ37" s="2"/>
      <c r="WSR37" s="2"/>
      <c r="WSS37" s="2"/>
      <c r="WST37" s="2"/>
      <c r="WSU37" s="2"/>
      <c r="WSV37" s="2"/>
      <c r="WSW37" s="2"/>
      <c r="WSX37" s="2"/>
      <c r="WSY37" s="2"/>
      <c r="WSZ37" s="2"/>
      <c r="WTA37" s="2"/>
      <c r="WTB37" s="2"/>
      <c r="WTC37" s="2"/>
      <c r="WTD37" s="2"/>
      <c r="WTE37" s="2"/>
      <c r="WTF37" s="2"/>
      <c r="WTG37" s="2"/>
      <c r="WTH37" s="2"/>
      <c r="WTI37" s="2"/>
      <c r="WTJ37" s="2"/>
      <c r="WTK37" s="2"/>
      <c r="WTL37" s="2"/>
      <c r="WTM37" s="2"/>
      <c r="WTN37" s="2"/>
      <c r="WTO37" s="2"/>
      <c r="WTP37" s="2"/>
      <c r="WTQ37" s="2"/>
      <c r="WTR37" s="2"/>
      <c r="WTS37" s="2"/>
      <c r="WTT37" s="2"/>
      <c r="WTU37" s="2"/>
      <c r="WTV37" s="2"/>
      <c r="WTW37" s="2"/>
      <c r="WTX37" s="2"/>
      <c r="WTY37" s="2"/>
      <c r="WTZ37" s="2"/>
      <c r="WUA37" s="2"/>
      <c r="WUB37" s="2"/>
      <c r="WUC37" s="2"/>
      <c r="WUD37" s="2"/>
      <c r="WUE37" s="2"/>
      <c r="WUF37" s="2"/>
      <c r="WUG37" s="2"/>
      <c r="WUH37" s="2"/>
      <c r="WUI37" s="2"/>
      <c r="WUJ37" s="2"/>
      <c r="WUK37" s="2"/>
      <c r="WUL37" s="2"/>
      <c r="WUM37" s="2"/>
      <c r="WUN37" s="2"/>
      <c r="WUO37" s="2"/>
      <c r="WUP37" s="2"/>
      <c r="WUQ37" s="2"/>
      <c r="WUR37" s="2"/>
      <c r="WUS37" s="2"/>
      <c r="WUT37" s="2"/>
      <c r="WUU37" s="2"/>
      <c r="WUV37" s="2"/>
      <c r="WUW37" s="2"/>
      <c r="WUX37" s="2"/>
      <c r="WUY37" s="2"/>
      <c r="WUZ37" s="2"/>
      <c r="WVA37" s="2"/>
      <c r="WVB37" s="2"/>
      <c r="WVC37" s="2"/>
      <c r="WVD37" s="2"/>
      <c r="WVE37" s="2"/>
      <c r="WVF37" s="2"/>
      <c r="WVG37" s="2"/>
      <c r="WVH37" s="2"/>
      <c r="WVI37" s="2"/>
      <c r="WVJ37" s="2"/>
      <c r="WVK37" s="2"/>
      <c r="WVL37" s="2"/>
      <c r="WVM37" s="2"/>
      <c r="WVN37" s="2"/>
      <c r="WVO37" s="2"/>
      <c r="WVP37" s="2"/>
      <c r="WVQ37" s="2"/>
      <c r="WVR37" s="2"/>
      <c r="WVS37" s="2"/>
      <c r="WVT37" s="2"/>
      <c r="WVU37" s="2"/>
      <c r="WVV37" s="2"/>
      <c r="WVW37" s="2"/>
      <c r="WVX37" s="2"/>
      <c r="WVY37" s="2"/>
      <c r="WVZ37" s="2"/>
      <c r="WWA37" s="2"/>
      <c r="WWB37" s="2"/>
      <c r="WWC37" s="2"/>
      <c r="WWD37" s="2"/>
      <c r="WWE37" s="2"/>
      <c r="WWF37" s="2"/>
      <c r="WWG37" s="2"/>
      <c r="WWH37" s="2"/>
      <c r="WWI37" s="2"/>
      <c r="WWJ37" s="2"/>
      <c r="WWK37" s="2"/>
      <c r="WWL37" s="2"/>
      <c r="WWM37" s="2"/>
      <c r="WWN37" s="2"/>
      <c r="WWO37" s="2"/>
      <c r="WWP37" s="2"/>
      <c r="WWQ37" s="2"/>
      <c r="WWR37" s="2"/>
      <c r="WWS37" s="2"/>
      <c r="WWT37" s="2"/>
      <c r="WWU37" s="2"/>
      <c r="WWV37" s="2"/>
      <c r="WWW37" s="2"/>
      <c r="WWX37" s="2"/>
      <c r="WWY37" s="2"/>
      <c r="WWZ37" s="2"/>
      <c r="WXA37" s="2"/>
      <c r="WXB37" s="2"/>
      <c r="WXC37" s="2"/>
      <c r="WXD37" s="2"/>
      <c r="WXE37" s="2"/>
      <c r="WXF37" s="2"/>
      <c r="WXG37" s="2"/>
      <c r="WXH37" s="2"/>
      <c r="WXI37" s="2"/>
      <c r="WXJ37" s="2"/>
      <c r="WXK37" s="2"/>
      <c r="WXL37" s="2"/>
      <c r="WXM37" s="2"/>
      <c r="WXN37" s="2"/>
      <c r="WXO37" s="2"/>
      <c r="WXP37" s="2"/>
      <c r="WXQ37" s="2"/>
      <c r="WXR37" s="2"/>
      <c r="WXS37" s="2"/>
      <c r="WXT37" s="2"/>
      <c r="WXU37" s="2"/>
      <c r="WXV37" s="2"/>
      <c r="WXW37" s="2"/>
      <c r="WXX37" s="2"/>
      <c r="WXY37" s="2"/>
      <c r="WXZ37" s="2"/>
      <c r="WYA37" s="2"/>
      <c r="WYB37" s="2"/>
      <c r="WYC37" s="2"/>
      <c r="WYD37" s="2"/>
      <c r="WYE37" s="2"/>
      <c r="WYF37" s="2"/>
      <c r="WYG37" s="2"/>
      <c r="WYH37" s="2"/>
      <c r="WYI37" s="2"/>
      <c r="WYJ37" s="2"/>
      <c r="WYK37" s="2"/>
      <c r="WYL37" s="2"/>
      <c r="WYM37" s="2"/>
      <c r="WYN37" s="2"/>
      <c r="WYO37" s="2"/>
      <c r="WYP37" s="2"/>
      <c r="WYQ37" s="2"/>
      <c r="WYR37" s="2"/>
      <c r="WYS37" s="2"/>
      <c r="WYT37" s="2"/>
      <c r="WYU37" s="2"/>
      <c r="WYV37" s="2"/>
      <c r="WYW37" s="2"/>
      <c r="WYX37" s="2"/>
      <c r="WYY37" s="2"/>
      <c r="WYZ37" s="2"/>
      <c r="WZA37" s="2"/>
      <c r="WZB37" s="2"/>
      <c r="WZC37" s="2"/>
      <c r="WZD37" s="2"/>
      <c r="WZE37" s="2"/>
      <c r="WZF37" s="2"/>
      <c r="WZG37" s="2"/>
      <c r="WZH37" s="2"/>
      <c r="WZI37" s="2"/>
      <c r="WZJ37" s="2"/>
      <c r="WZK37" s="2"/>
      <c r="WZL37" s="2"/>
      <c r="WZM37" s="2"/>
      <c r="WZN37" s="2"/>
      <c r="WZO37" s="2"/>
      <c r="WZP37" s="2"/>
      <c r="WZQ37" s="2"/>
      <c r="WZR37" s="2"/>
      <c r="WZS37" s="2"/>
      <c r="WZT37" s="2"/>
      <c r="WZU37" s="2"/>
      <c r="WZV37" s="2"/>
      <c r="WZW37" s="2"/>
      <c r="WZX37" s="2"/>
      <c r="WZY37" s="2"/>
      <c r="WZZ37" s="2"/>
      <c r="XAA37" s="2"/>
      <c r="XAB37" s="2"/>
      <c r="XAC37" s="2"/>
      <c r="XAD37" s="2"/>
      <c r="XAE37" s="2"/>
      <c r="XAF37" s="2"/>
      <c r="XAG37" s="2"/>
      <c r="XAH37" s="2"/>
      <c r="XAI37" s="2"/>
      <c r="XAJ37" s="2"/>
      <c r="XAK37" s="2"/>
      <c r="XAL37" s="2"/>
      <c r="XAM37" s="2"/>
      <c r="XAN37" s="2"/>
      <c r="XAO37" s="2"/>
      <c r="XAP37" s="2"/>
      <c r="XAQ37" s="2"/>
      <c r="XAR37" s="2"/>
      <c r="XAS37" s="2"/>
      <c r="XAT37" s="2"/>
      <c r="XAU37" s="2"/>
      <c r="XAV37" s="2"/>
      <c r="XAW37" s="2"/>
      <c r="XAX37" s="2"/>
      <c r="XAY37" s="2"/>
      <c r="XAZ37" s="2"/>
      <c r="XBA37" s="2"/>
      <c r="XBB37" s="2"/>
      <c r="XBC37" s="2"/>
      <c r="XBD37" s="2"/>
      <c r="XBE37" s="2"/>
      <c r="XBF37" s="2"/>
      <c r="XBG37" s="2"/>
      <c r="XBH37" s="2"/>
      <c r="XBI37" s="2"/>
      <c r="XBJ37" s="2"/>
      <c r="XBK37" s="2"/>
      <c r="XBL37" s="2"/>
      <c r="XBM37" s="2"/>
      <c r="XBN37" s="2"/>
      <c r="XBO37" s="2"/>
      <c r="XBP37" s="2"/>
      <c r="XBQ37" s="2"/>
      <c r="XBR37" s="2"/>
      <c r="XBS37" s="2"/>
      <c r="XBT37" s="2"/>
      <c r="XBU37" s="2"/>
      <c r="XBV37" s="2"/>
      <c r="XBW37" s="2"/>
      <c r="XBX37" s="2"/>
      <c r="XBY37" s="2"/>
      <c r="XBZ37" s="2"/>
      <c r="XCA37" s="2"/>
      <c r="XCB37" s="2"/>
      <c r="XCC37" s="2"/>
      <c r="XCD37" s="2"/>
      <c r="XCE37" s="2"/>
      <c r="XCF37" s="2"/>
      <c r="XCG37" s="2"/>
      <c r="XCH37" s="2"/>
      <c r="XCI37" s="2"/>
      <c r="XCJ37" s="2"/>
      <c r="XCK37" s="2"/>
      <c r="XCL37" s="2"/>
      <c r="XCM37" s="2"/>
      <c r="XCN37" s="2"/>
      <c r="XCO37" s="2"/>
      <c r="XCP37" s="2"/>
      <c r="XCQ37" s="2"/>
      <c r="XCR37" s="2"/>
      <c r="XCS37" s="2"/>
      <c r="XCT37" s="2"/>
      <c r="XCU37" s="2"/>
      <c r="XCV37" s="2"/>
      <c r="XCW37" s="2"/>
      <c r="XCX37" s="2"/>
      <c r="XCY37" s="2"/>
      <c r="XCZ37" s="2"/>
      <c r="XDA37" s="2"/>
      <c r="XDB37" s="2"/>
      <c r="XDC37" s="2"/>
      <c r="XDD37" s="2"/>
      <c r="XDE37" s="2"/>
      <c r="XDF37" s="2"/>
      <c r="XDG37" s="2"/>
      <c r="XDH37" s="2"/>
      <c r="XDI37" s="2"/>
      <c r="XDJ37" s="2"/>
      <c r="XDK37" s="2"/>
      <c r="XDL37" s="2"/>
      <c r="XDM37" s="2"/>
      <c r="XDN37" s="2"/>
      <c r="XDO37" s="2"/>
      <c r="XDP37" s="2"/>
      <c r="XDQ37" s="2"/>
      <c r="XDR37" s="2"/>
      <c r="XDS37" s="2"/>
      <c r="XDT37" s="2"/>
      <c r="XDU37" s="2"/>
      <c r="XDV37" s="2"/>
      <c r="XDW37" s="2"/>
      <c r="XDX37" s="2"/>
      <c r="XDY37" s="2"/>
      <c r="XDZ37" s="2"/>
      <c r="XEA37" s="2"/>
      <c r="XEB37" s="2"/>
      <c r="XEC37" s="2"/>
      <c r="XED37" s="2"/>
      <c r="XEE37" s="2"/>
      <c r="XEF37" s="2"/>
      <c r="XEG37" s="2"/>
      <c r="XEH37" s="2"/>
      <c r="XEI37" s="2"/>
      <c r="XEJ37" s="2"/>
      <c r="XEK37" s="2"/>
      <c r="XEL37" s="2"/>
      <c r="XEM37" s="2"/>
      <c r="XEN37" s="2"/>
      <c r="XEO37" s="2"/>
      <c r="XEP37" s="2"/>
      <c r="XEQ37" s="2"/>
      <c r="XER37" s="2"/>
      <c r="XES37" s="2"/>
      <c r="XET37" s="2"/>
      <c r="XEU37" s="2"/>
      <c r="XEV37" s="2"/>
      <c r="XEW37" s="2"/>
      <c r="XEX37" s="2"/>
      <c r="XEY37" s="2"/>
      <c r="XEZ37" s="2"/>
      <c r="XFA37" s="2"/>
    </row>
    <row r="38" ht="14.25" spans="3:14">
      <c r="C38" s="86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</row>
    <row r="39" ht="14.25" spans="3:14">
      <c r="C39" s="86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</row>
    <row r="40" ht="14.25" spans="3:14">
      <c r="C40" s="86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</row>
    <row r="41" ht="14.25" spans="3:14">
      <c r="C41" s="86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ht="14.25" spans="3:14">
      <c r="C42" s="86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</row>
    <row r="43" ht="14.25" spans="3:14">
      <c r="C43" s="86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  <row r="44" ht="14.25" spans="3:14">
      <c r="C44" s="86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</row>
    <row r="45" ht="14.25" spans="3:14">
      <c r="C45" s="86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ht="14.25" spans="3:14">
      <c r="C46" s="86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</row>
  </sheetData>
  <mergeCells count="4">
    <mergeCell ref="C15:C16"/>
    <mergeCell ref="D15:D16"/>
    <mergeCell ref="H16:L17"/>
    <mergeCell ref="I13:L14"/>
  </mergeCells>
  <dataValidations count="1">
    <dataValidation type="list" allowBlank="1" showInputMessage="1" showErrorMessage="1" sqref="L5">
      <formula1>OFFSET(参数设置!$H$5,0,0,COUNTA(参数设置!$H:$H)-2,1)</formula1>
    </dataValidation>
  </dataValidation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B1:K1000"/>
  <sheetViews>
    <sheetView showGridLines="0" workbookViewId="0">
      <pane ySplit="4" topLeftCell="A20" activePane="bottomLeft" state="frozen"/>
      <selection/>
      <selection pane="bottomLeft" activeCell="R11" sqref="R11"/>
    </sheetView>
  </sheetViews>
  <sheetFormatPr defaultColWidth="9" defaultRowHeight="13.5"/>
  <cols>
    <col min="1" max="1" width="3.625" style="2" customWidth="1"/>
    <col min="2" max="2" width="3.625" style="7" customWidth="1"/>
    <col min="3" max="3" width="15.625" style="68" customWidth="1"/>
    <col min="4" max="4" width="15.375" style="68" customWidth="1"/>
    <col min="5" max="5" width="12.625" style="68" customWidth="1"/>
    <col min="6" max="6" width="23" style="69" customWidth="1"/>
    <col min="7" max="8" width="18.625" style="68" customWidth="1"/>
    <col min="9" max="9" width="49.875" style="68" customWidth="1"/>
    <col min="10" max="10" width="12.625" style="68" customWidth="1"/>
    <col min="11" max="11" width="3.625" style="7" customWidth="1"/>
    <col min="12" max="12" width="3.625" style="2" customWidth="1"/>
    <col min="13" max="16378" width="9" style="2"/>
    <col min="16379" max="16384" width="9" style="4"/>
  </cols>
  <sheetData>
    <row r="1" s="1" customFormat="1" ht="57" customHeight="1" spans="6:6">
      <c r="F1" s="70"/>
    </row>
    <row r="2" s="2" customFormat="1" ht="9.95" customHeight="1" spans="6:6">
      <c r="F2" s="71"/>
    </row>
    <row r="3" s="2" customFormat="1" ht="39.95" customHeight="1" spans="2:11">
      <c r="B3" s="36"/>
      <c r="C3" s="26" t="s">
        <v>247</v>
      </c>
      <c r="D3" s="26"/>
      <c r="E3" s="26"/>
      <c r="F3" s="72"/>
      <c r="G3" s="7"/>
      <c r="H3" s="7"/>
      <c r="I3" s="7"/>
      <c r="J3" s="7"/>
      <c r="K3" s="27"/>
    </row>
    <row r="4" s="2" customFormat="1" ht="26.1" customHeight="1" spans="2:11">
      <c r="B4" s="27"/>
      <c r="C4" s="73" t="s">
        <v>197</v>
      </c>
      <c r="D4" s="73" t="s">
        <v>248</v>
      </c>
      <c r="E4" s="73" t="s">
        <v>249</v>
      </c>
      <c r="F4" s="74" t="s">
        <v>250</v>
      </c>
      <c r="G4" s="73" t="s">
        <v>251</v>
      </c>
      <c r="H4" s="73" t="s">
        <v>252</v>
      </c>
      <c r="I4" s="73" t="s">
        <v>253</v>
      </c>
      <c r="J4" s="73" t="s">
        <v>254</v>
      </c>
      <c r="K4" s="27"/>
    </row>
    <row r="5" s="2" customFormat="1" ht="26.1" customHeight="1" spans="2:11">
      <c r="B5" s="32"/>
      <c r="C5" s="75">
        <v>44366</v>
      </c>
      <c r="D5" s="75" t="s">
        <v>255</v>
      </c>
      <c r="E5" s="76" t="s">
        <v>256</v>
      </c>
      <c r="F5" s="77" t="s">
        <v>257</v>
      </c>
      <c r="G5" s="76" t="s">
        <v>258</v>
      </c>
      <c r="H5" s="76" t="s">
        <v>259</v>
      </c>
      <c r="I5" s="76" t="s">
        <v>260</v>
      </c>
      <c r="J5" s="76" t="s">
        <v>261</v>
      </c>
      <c r="K5" s="32"/>
    </row>
    <row r="6" s="2" customFormat="1" ht="26.1" customHeight="1" spans="2:11">
      <c r="B6" s="33"/>
      <c r="C6" s="75">
        <v>44366</v>
      </c>
      <c r="D6" s="75" t="s">
        <v>262</v>
      </c>
      <c r="E6" s="76" t="s">
        <v>263</v>
      </c>
      <c r="F6" s="77" t="s">
        <v>257</v>
      </c>
      <c r="G6" s="76" t="s">
        <v>264</v>
      </c>
      <c r="H6" s="76" t="s">
        <v>265</v>
      </c>
      <c r="I6" s="76" t="s">
        <v>260</v>
      </c>
      <c r="J6" s="76" t="s">
        <v>261</v>
      </c>
      <c r="K6" s="33"/>
    </row>
    <row r="7" s="2" customFormat="1" ht="26.1" customHeight="1" spans="2:11">
      <c r="B7" s="33"/>
      <c r="C7" s="75">
        <v>44366</v>
      </c>
      <c r="D7" s="75" t="s">
        <v>266</v>
      </c>
      <c r="E7" s="76" t="s">
        <v>267</v>
      </c>
      <c r="F7" s="77" t="s">
        <v>257</v>
      </c>
      <c r="G7" s="76" t="s">
        <v>268</v>
      </c>
      <c r="H7" s="76" t="s">
        <v>269</v>
      </c>
      <c r="I7" s="76" t="s">
        <v>260</v>
      </c>
      <c r="J7" s="76" t="s">
        <v>261</v>
      </c>
      <c r="K7" s="33"/>
    </row>
    <row r="8" s="2" customFormat="1" ht="26.1" customHeight="1" spans="2:11">
      <c r="B8" s="46"/>
      <c r="C8" s="75">
        <v>44366</v>
      </c>
      <c r="D8" s="75" t="s">
        <v>270</v>
      </c>
      <c r="E8" s="76" t="s">
        <v>271</v>
      </c>
      <c r="F8" s="77" t="s">
        <v>257</v>
      </c>
      <c r="G8" s="76" t="s">
        <v>272</v>
      </c>
      <c r="H8" s="76" t="s">
        <v>273</v>
      </c>
      <c r="I8" s="76" t="s">
        <v>260</v>
      </c>
      <c r="J8" s="76" t="s">
        <v>261</v>
      </c>
      <c r="K8" s="46"/>
    </row>
    <row r="9" s="2" customFormat="1" ht="26.1" customHeight="1" spans="2:11">
      <c r="B9" s="27"/>
      <c r="C9" s="75">
        <v>44396</v>
      </c>
      <c r="D9" s="75" t="s">
        <v>274</v>
      </c>
      <c r="E9" s="76" t="s">
        <v>275</v>
      </c>
      <c r="F9" s="77" t="s">
        <v>257</v>
      </c>
      <c r="G9" s="76" t="s">
        <v>276</v>
      </c>
      <c r="H9" s="76" t="s">
        <v>277</v>
      </c>
      <c r="I9" s="76" t="s">
        <v>260</v>
      </c>
      <c r="J9" s="76" t="s">
        <v>261</v>
      </c>
      <c r="K9" s="27"/>
    </row>
    <row r="10" s="2" customFormat="1" ht="26.1" customHeight="1" spans="2:11">
      <c r="B10" s="27"/>
      <c r="C10" s="75">
        <v>44396</v>
      </c>
      <c r="D10" s="75" t="s">
        <v>278</v>
      </c>
      <c r="E10" s="76" t="s">
        <v>279</v>
      </c>
      <c r="F10" s="77" t="s">
        <v>257</v>
      </c>
      <c r="G10" s="76" t="s">
        <v>280</v>
      </c>
      <c r="H10" s="76" t="s">
        <v>281</v>
      </c>
      <c r="I10" s="76" t="s">
        <v>260</v>
      </c>
      <c r="J10" s="76" t="s">
        <v>261</v>
      </c>
      <c r="K10" s="27"/>
    </row>
    <row r="11" s="2" customFormat="1" ht="26.1" customHeight="1" spans="2:11">
      <c r="B11" s="32"/>
      <c r="C11" s="75">
        <v>44396</v>
      </c>
      <c r="D11" s="75" t="s">
        <v>282</v>
      </c>
      <c r="E11" s="76" t="s">
        <v>283</v>
      </c>
      <c r="F11" s="77" t="s">
        <v>257</v>
      </c>
      <c r="G11" s="76" t="s">
        <v>284</v>
      </c>
      <c r="H11" s="76" t="s">
        <v>285</v>
      </c>
      <c r="I11" s="76" t="s">
        <v>260</v>
      </c>
      <c r="J11" s="76" t="s">
        <v>261</v>
      </c>
      <c r="K11" s="32"/>
    </row>
    <row r="12" s="2" customFormat="1" ht="26.1" customHeight="1" spans="2:11">
      <c r="B12" s="33"/>
      <c r="C12" s="75">
        <v>44396</v>
      </c>
      <c r="D12" s="75" t="s">
        <v>286</v>
      </c>
      <c r="E12" s="76" t="s">
        <v>287</v>
      </c>
      <c r="F12" s="77" t="s">
        <v>257</v>
      </c>
      <c r="G12" s="76" t="s">
        <v>288</v>
      </c>
      <c r="H12" s="76" t="s">
        <v>289</v>
      </c>
      <c r="I12" s="76" t="s">
        <v>260</v>
      </c>
      <c r="J12" s="76" t="s">
        <v>261</v>
      </c>
      <c r="K12" s="33"/>
    </row>
    <row r="13" s="2" customFormat="1" ht="26.1" customHeight="1" spans="2:11">
      <c r="B13" s="33"/>
      <c r="C13" s="75">
        <v>44396</v>
      </c>
      <c r="D13" s="75" t="s">
        <v>290</v>
      </c>
      <c r="E13" s="76" t="s">
        <v>291</v>
      </c>
      <c r="F13" s="77" t="s">
        <v>257</v>
      </c>
      <c r="G13" s="76" t="s">
        <v>292</v>
      </c>
      <c r="H13" s="76" t="s">
        <v>293</v>
      </c>
      <c r="I13" s="76" t="s">
        <v>260</v>
      </c>
      <c r="J13" s="76" t="s">
        <v>261</v>
      </c>
      <c r="K13" s="33"/>
    </row>
    <row r="14" s="2" customFormat="1" ht="26.1" customHeight="1" spans="2:11">
      <c r="B14" s="46"/>
      <c r="C14" s="75">
        <v>44396</v>
      </c>
      <c r="D14" s="75" t="s">
        <v>294</v>
      </c>
      <c r="E14" s="76" t="s">
        <v>295</v>
      </c>
      <c r="F14" s="77" t="s">
        <v>257</v>
      </c>
      <c r="G14" s="76" t="s">
        <v>296</v>
      </c>
      <c r="H14" s="76" t="s">
        <v>297</v>
      </c>
      <c r="I14" s="76" t="s">
        <v>260</v>
      </c>
      <c r="J14" s="76" t="s">
        <v>261</v>
      </c>
      <c r="K14" s="46"/>
    </row>
    <row r="15" s="2" customFormat="1" ht="26.1" customHeight="1" spans="2:11">
      <c r="B15" s="27"/>
      <c r="C15" s="75">
        <v>44427</v>
      </c>
      <c r="D15" s="75" t="s">
        <v>298</v>
      </c>
      <c r="E15" s="76" t="s">
        <v>299</v>
      </c>
      <c r="F15" s="77" t="s">
        <v>257</v>
      </c>
      <c r="G15" s="76" t="s">
        <v>300</v>
      </c>
      <c r="H15" s="76" t="s">
        <v>301</v>
      </c>
      <c r="I15" s="76" t="s">
        <v>260</v>
      </c>
      <c r="J15" s="76" t="s">
        <v>261</v>
      </c>
      <c r="K15" s="27"/>
    </row>
    <row r="16" ht="26.1" customHeight="1" spans="2:11">
      <c r="B16" s="27"/>
      <c r="C16" s="75">
        <v>44428</v>
      </c>
      <c r="D16" s="75" t="s">
        <v>302</v>
      </c>
      <c r="E16" s="76" t="s">
        <v>303</v>
      </c>
      <c r="F16" s="77" t="s">
        <v>257</v>
      </c>
      <c r="G16" s="76" t="s">
        <v>304</v>
      </c>
      <c r="H16" s="76" t="s">
        <v>305</v>
      </c>
      <c r="I16" s="76" t="s">
        <v>260</v>
      </c>
      <c r="J16" s="76" t="s">
        <v>261</v>
      </c>
      <c r="K16" s="27"/>
    </row>
    <row r="17" s="2" customFormat="1" ht="26.1" customHeight="1" spans="2:11">
      <c r="B17" s="52"/>
      <c r="C17" s="75">
        <v>44429</v>
      </c>
      <c r="D17" s="75" t="s">
        <v>306</v>
      </c>
      <c r="E17" s="76" t="s">
        <v>307</v>
      </c>
      <c r="F17" s="77" t="s">
        <v>257</v>
      </c>
      <c r="G17" s="76" t="s">
        <v>308</v>
      </c>
      <c r="H17" s="76" t="s">
        <v>309</v>
      </c>
      <c r="I17" s="76" t="s">
        <v>260</v>
      </c>
      <c r="J17" s="76" t="s">
        <v>261</v>
      </c>
      <c r="K17" s="27"/>
    </row>
    <row r="18" s="2" customFormat="1" ht="26.1" customHeight="1" spans="2:11">
      <c r="B18" s="27"/>
      <c r="C18" s="75">
        <v>44430</v>
      </c>
      <c r="D18" s="75" t="s">
        <v>310</v>
      </c>
      <c r="E18" s="76" t="s">
        <v>311</v>
      </c>
      <c r="F18" s="77" t="s">
        <v>257</v>
      </c>
      <c r="G18" s="76" t="s">
        <v>312</v>
      </c>
      <c r="H18" s="76" t="s">
        <v>313</v>
      </c>
      <c r="I18" s="76" t="s">
        <v>260</v>
      </c>
      <c r="J18" s="76" t="s">
        <v>261</v>
      </c>
      <c r="K18" s="27"/>
    </row>
    <row r="19" s="2" customFormat="1" ht="26.1" customHeight="1" spans="2:11">
      <c r="B19" s="32"/>
      <c r="C19" s="75">
        <v>44431</v>
      </c>
      <c r="D19" s="75" t="s">
        <v>314</v>
      </c>
      <c r="E19" s="76" t="s">
        <v>315</v>
      </c>
      <c r="F19" s="77" t="s">
        <v>257</v>
      </c>
      <c r="G19" s="76" t="s">
        <v>316</v>
      </c>
      <c r="H19" s="76" t="s">
        <v>317</v>
      </c>
      <c r="I19" s="76" t="s">
        <v>260</v>
      </c>
      <c r="J19" s="76" t="s">
        <v>261</v>
      </c>
      <c r="K19" s="32"/>
    </row>
    <row r="20" s="2" customFormat="1" ht="26.1" customHeight="1" spans="2:11">
      <c r="B20" s="33"/>
      <c r="C20" s="75">
        <v>44458</v>
      </c>
      <c r="D20" s="75" t="s">
        <v>318</v>
      </c>
      <c r="E20" s="76" t="s">
        <v>319</v>
      </c>
      <c r="F20" s="77" t="s">
        <v>257</v>
      </c>
      <c r="G20" s="76" t="s">
        <v>320</v>
      </c>
      <c r="H20" s="76" t="s">
        <v>321</v>
      </c>
      <c r="I20" s="76" t="s">
        <v>260</v>
      </c>
      <c r="J20" s="76" t="s">
        <v>261</v>
      </c>
      <c r="K20" s="33"/>
    </row>
    <row r="21" s="2" customFormat="1" ht="26.1" customHeight="1" spans="2:11">
      <c r="B21" s="33"/>
      <c r="C21" s="75">
        <v>44459</v>
      </c>
      <c r="D21" s="75" t="s">
        <v>322</v>
      </c>
      <c r="E21" s="76" t="s">
        <v>323</v>
      </c>
      <c r="F21" s="77" t="s">
        <v>257</v>
      </c>
      <c r="G21" s="76" t="s">
        <v>324</v>
      </c>
      <c r="H21" s="76" t="s">
        <v>325</v>
      </c>
      <c r="I21" s="76" t="s">
        <v>260</v>
      </c>
      <c r="J21" s="76" t="s">
        <v>261</v>
      </c>
      <c r="K21" s="33"/>
    </row>
    <row r="22" s="2" customFormat="1" ht="26.1" customHeight="1" spans="2:11">
      <c r="B22" s="46"/>
      <c r="C22" s="75">
        <v>44460</v>
      </c>
      <c r="D22" s="75" t="s">
        <v>326</v>
      </c>
      <c r="E22" s="76" t="s">
        <v>327</v>
      </c>
      <c r="F22" s="77" t="s">
        <v>257</v>
      </c>
      <c r="G22" s="76" t="s">
        <v>328</v>
      </c>
      <c r="H22" s="76" t="s">
        <v>329</v>
      </c>
      <c r="I22" s="76" t="s">
        <v>260</v>
      </c>
      <c r="J22" s="76" t="s">
        <v>261</v>
      </c>
      <c r="K22" s="46"/>
    </row>
    <row r="23" s="2" customFormat="1" ht="26.1" customHeight="1" spans="2:11">
      <c r="B23" s="27"/>
      <c r="C23" s="75">
        <v>44461</v>
      </c>
      <c r="D23" s="75" t="s">
        <v>330</v>
      </c>
      <c r="E23" s="76" t="s">
        <v>331</v>
      </c>
      <c r="F23" s="77" t="s">
        <v>257</v>
      </c>
      <c r="G23" s="76" t="s">
        <v>332</v>
      </c>
      <c r="H23" s="76" t="s">
        <v>333</v>
      </c>
      <c r="I23" s="76" t="s">
        <v>260</v>
      </c>
      <c r="J23" s="76" t="s">
        <v>261</v>
      </c>
      <c r="K23" s="27"/>
    </row>
    <row r="24" s="2" customFormat="1" ht="26.1" customHeight="1" spans="2:11">
      <c r="B24" s="27"/>
      <c r="C24" s="75">
        <v>44462</v>
      </c>
      <c r="D24" s="75" t="s">
        <v>334</v>
      </c>
      <c r="E24" s="76" t="s">
        <v>335</v>
      </c>
      <c r="F24" s="77" t="s">
        <v>257</v>
      </c>
      <c r="G24" s="76" t="s">
        <v>336</v>
      </c>
      <c r="H24" s="76" t="s">
        <v>337</v>
      </c>
      <c r="I24" s="76" t="s">
        <v>260</v>
      </c>
      <c r="J24" s="76" t="s">
        <v>261</v>
      </c>
      <c r="K24" s="27"/>
    </row>
    <row r="25" s="2" customFormat="1" ht="26.1" customHeight="1" spans="2:11">
      <c r="B25" s="32"/>
      <c r="C25" s="75">
        <v>44488</v>
      </c>
      <c r="D25" s="75" t="s">
        <v>338</v>
      </c>
      <c r="E25" s="76" t="s">
        <v>339</v>
      </c>
      <c r="F25" s="77" t="s">
        <v>257</v>
      </c>
      <c r="G25" s="76" t="s">
        <v>340</v>
      </c>
      <c r="H25" s="76" t="s">
        <v>341</v>
      </c>
      <c r="I25" s="76" t="s">
        <v>260</v>
      </c>
      <c r="J25" s="76" t="s">
        <v>342</v>
      </c>
      <c r="K25" s="32"/>
    </row>
    <row r="26" s="2" customFormat="1" ht="26.1" customHeight="1" spans="2:11">
      <c r="B26" s="33"/>
      <c r="C26" s="75">
        <v>44489</v>
      </c>
      <c r="D26" s="75" t="s">
        <v>343</v>
      </c>
      <c r="E26" s="76" t="s">
        <v>344</v>
      </c>
      <c r="F26" s="77" t="s">
        <v>257</v>
      </c>
      <c r="G26" s="76" t="s">
        <v>345</v>
      </c>
      <c r="H26" s="76" t="s">
        <v>346</v>
      </c>
      <c r="I26" s="76" t="s">
        <v>260</v>
      </c>
      <c r="J26" s="76" t="s">
        <v>342</v>
      </c>
      <c r="K26" s="33"/>
    </row>
    <row r="27" s="2" customFormat="1" ht="26.1" customHeight="1" spans="2:11">
      <c r="B27" s="33"/>
      <c r="C27" s="75">
        <v>44490</v>
      </c>
      <c r="D27" s="75" t="s">
        <v>347</v>
      </c>
      <c r="E27" s="76" t="s">
        <v>348</v>
      </c>
      <c r="F27" s="77" t="s">
        <v>257</v>
      </c>
      <c r="G27" s="76" t="s">
        <v>349</v>
      </c>
      <c r="H27" s="76" t="s">
        <v>350</v>
      </c>
      <c r="I27" s="76" t="s">
        <v>260</v>
      </c>
      <c r="J27" s="76" t="s">
        <v>342</v>
      </c>
      <c r="K27" s="33"/>
    </row>
    <row r="28" s="2" customFormat="1" ht="26.1" customHeight="1" spans="2:11">
      <c r="B28" s="33"/>
      <c r="C28" s="75">
        <v>44491</v>
      </c>
      <c r="D28" s="75" t="s">
        <v>351</v>
      </c>
      <c r="E28" s="76" t="s">
        <v>352</v>
      </c>
      <c r="F28" s="77" t="s">
        <v>257</v>
      </c>
      <c r="G28" s="76" t="s">
        <v>353</v>
      </c>
      <c r="H28" s="76" t="s">
        <v>354</v>
      </c>
      <c r="I28" s="76" t="s">
        <v>260</v>
      </c>
      <c r="J28" s="76" t="s">
        <v>342</v>
      </c>
      <c r="K28" s="33"/>
    </row>
    <row r="29" s="2" customFormat="1" ht="26.1" customHeight="1" spans="2:11">
      <c r="B29" s="33"/>
      <c r="C29" s="75">
        <v>44492</v>
      </c>
      <c r="D29" s="75" t="s">
        <v>355</v>
      </c>
      <c r="E29" s="76" t="s">
        <v>356</v>
      </c>
      <c r="F29" s="77" t="s">
        <v>257</v>
      </c>
      <c r="G29" s="76" t="s">
        <v>357</v>
      </c>
      <c r="H29" s="76" t="s">
        <v>358</v>
      </c>
      <c r="I29" s="76" t="s">
        <v>260</v>
      </c>
      <c r="J29" s="76" t="s">
        <v>342</v>
      </c>
      <c r="K29" s="33"/>
    </row>
    <row r="30" s="2" customFormat="1" ht="26.1" customHeight="1" spans="2:11">
      <c r="B30" s="33"/>
      <c r="C30" s="75">
        <v>44493</v>
      </c>
      <c r="D30" s="75" t="s">
        <v>359</v>
      </c>
      <c r="E30" s="76" t="s">
        <v>360</v>
      </c>
      <c r="F30" s="77" t="s">
        <v>257</v>
      </c>
      <c r="G30" s="76" t="s">
        <v>361</v>
      </c>
      <c r="H30" s="76" t="s">
        <v>362</v>
      </c>
      <c r="I30" s="76" t="s">
        <v>260</v>
      </c>
      <c r="J30" s="76" t="s">
        <v>342</v>
      </c>
      <c r="K30" s="33"/>
    </row>
    <row r="31" s="2" customFormat="1" ht="26.1" customHeight="1" spans="2:11">
      <c r="B31" s="33"/>
      <c r="C31" s="75">
        <v>44519</v>
      </c>
      <c r="D31" s="75" t="s">
        <v>363</v>
      </c>
      <c r="E31" s="76" t="s">
        <v>364</v>
      </c>
      <c r="F31" s="77" t="s">
        <v>257</v>
      </c>
      <c r="G31" s="76" t="s">
        <v>365</v>
      </c>
      <c r="H31" s="76" t="s">
        <v>366</v>
      </c>
      <c r="I31" s="76" t="s">
        <v>260</v>
      </c>
      <c r="J31" s="76" t="s">
        <v>367</v>
      </c>
      <c r="K31" s="33"/>
    </row>
    <row r="32" ht="26.1" customHeight="1" spans="3:11">
      <c r="C32" s="75">
        <v>44520</v>
      </c>
      <c r="D32" s="75" t="s">
        <v>368</v>
      </c>
      <c r="E32" s="76" t="s">
        <v>369</v>
      </c>
      <c r="F32" s="77" t="s">
        <v>370</v>
      </c>
      <c r="G32" s="76" t="s">
        <v>371</v>
      </c>
      <c r="H32" s="76" t="s">
        <v>372</v>
      </c>
      <c r="I32" s="76" t="s">
        <v>260</v>
      </c>
      <c r="J32" s="76" t="s">
        <v>367</v>
      </c>
      <c r="K32" s="33"/>
    </row>
    <row r="33" ht="26.1" customHeight="1" spans="3:11">
      <c r="C33" s="75">
        <v>44521</v>
      </c>
      <c r="D33" s="75" t="s">
        <v>373</v>
      </c>
      <c r="E33" s="76" t="s">
        <v>374</v>
      </c>
      <c r="F33" s="77" t="s">
        <v>375</v>
      </c>
      <c r="G33" s="76" t="s">
        <v>376</v>
      </c>
      <c r="H33" s="76" t="s">
        <v>377</v>
      </c>
      <c r="I33" s="76" t="s">
        <v>260</v>
      </c>
      <c r="J33" s="76" t="s">
        <v>261</v>
      </c>
      <c r="K33" s="33"/>
    </row>
    <row r="34" ht="26.1" customHeight="1" spans="3:11">
      <c r="C34" s="75">
        <v>44522</v>
      </c>
      <c r="D34" s="75" t="s">
        <v>378</v>
      </c>
      <c r="E34" s="76" t="s">
        <v>379</v>
      </c>
      <c r="F34" s="77" t="s">
        <v>380</v>
      </c>
      <c r="G34" s="76" t="s">
        <v>381</v>
      </c>
      <c r="H34" s="76" t="s">
        <v>382</v>
      </c>
      <c r="I34" s="76" t="s">
        <v>260</v>
      </c>
      <c r="J34" s="76" t="s">
        <v>261</v>
      </c>
      <c r="K34" s="33"/>
    </row>
    <row r="35" ht="26.1" customHeight="1" spans="3:11">
      <c r="C35" s="75">
        <v>44523</v>
      </c>
      <c r="D35" s="75" t="s">
        <v>383</v>
      </c>
      <c r="E35" s="76" t="s">
        <v>384</v>
      </c>
      <c r="F35" s="77" t="s">
        <v>385</v>
      </c>
      <c r="G35" s="76" t="s">
        <v>386</v>
      </c>
      <c r="H35" s="76" t="s">
        <v>387</v>
      </c>
      <c r="I35" s="76" t="s">
        <v>260</v>
      </c>
      <c r="J35" s="76" t="s">
        <v>261</v>
      </c>
      <c r="K35" s="33"/>
    </row>
    <row r="36" ht="26.1" customHeight="1" spans="3:11">
      <c r="C36" s="75">
        <v>44524</v>
      </c>
      <c r="D36" s="75" t="s">
        <v>388</v>
      </c>
      <c r="E36" s="76" t="s">
        <v>389</v>
      </c>
      <c r="F36" s="77" t="s">
        <v>390</v>
      </c>
      <c r="G36" s="76" t="s">
        <v>391</v>
      </c>
      <c r="H36" s="76" t="s">
        <v>392</v>
      </c>
      <c r="I36" s="76" t="s">
        <v>260</v>
      </c>
      <c r="J36" s="76" t="s">
        <v>261</v>
      </c>
      <c r="K36" s="33"/>
    </row>
    <row r="37" ht="26.1" customHeight="1" spans="3:11">
      <c r="C37" s="75">
        <v>44525</v>
      </c>
      <c r="D37" s="75" t="s">
        <v>393</v>
      </c>
      <c r="E37" s="76" t="s">
        <v>394</v>
      </c>
      <c r="F37" s="77" t="s">
        <v>395</v>
      </c>
      <c r="G37" s="76" t="s">
        <v>396</v>
      </c>
      <c r="H37" s="76" t="s">
        <v>397</v>
      </c>
      <c r="I37" s="76" t="s">
        <v>260</v>
      </c>
      <c r="J37" s="76" t="s">
        <v>261</v>
      </c>
      <c r="K37" s="33"/>
    </row>
    <row r="38" ht="26.1" customHeight="1" spans="3:11">
      <c r="C38" s="75">
        <v>44526</v>
      </c>
      <c r="D38" s="75" t="s">
        <v>398</v>
      </c>
      <c r="E38" s="76" t="s">
        <v>399</v>
      </c>
      <c r="F38" s="77" t="s">
        <v>400</v>
      </c>
      <c r="G38" s="76" t="s">
        <v>401</v>
      </c>
      <c r="H38" s="76" t="s">
        <v>402</v>
      </c>
      <c r="I38" s="76" t="s">
        <v>260</v>
      </c>
      <c r="J38" s="76" t="s">
        <v>261</v>
      </c>
      <c r="K38" s="33"/>
    </row>
    <row r="39" ht="26.1" customHeight="1" spans="3:11">
      <c r="C39" s="75">
        <v>44527</v>
      </c>
      <c r="D39" s="75" t="s">
        <v>403</v>
      </c>
      <c r="E39" s="76" t="s">
        <v>404</v>
      </c>
      <c r="F39" s="77" t="s">
        <v>405</v>
      </c>
      <c r="G39" s="76" t="s">
        <v>406</v>
      </c>
      <c r="H39" s="76" t="s">
        <v>407</v>
      </c>
      <c r="I39" s="76" t="s">
        <v>260</v>
      </c>
      <c r="J39" s="76" t="s">
        <v>261</v>
      </c>
      <c r="K39" s="33"/>
    </row>
    <row r="40" ht="26.1" customHeight="1"/>
    <row r="41" ht="26.1" customHeight="1"/>
    <row r="42" ht="26.1" customHeight="1"/>
    <row r="43" ht="26.1" customHeight="1"/>
    <row r="44" ht="26.1" customHeight="1"/>
    <row r="45" ht="26.1" customHeight="1"/>
    <row r="46" ht="26.1" customHeight="1"/>
    <row r="47" ht="26.1" customHeight="1"/>
    <row r="48" ht="26.1" customHeight="1"/>
    <row r="49" ht="26.1" customHeight="1"/>
    <row r="50" ht="26.1" customHeight="1"/>
    <row r="51" ht="26.1" customHeight="1"/>
    <row r="52" ht="26.1" customHeight="1"/>
    <row r="53" ht="26.1" customHeight="1"/>
    <row r="54" ht="26.1" customHeight="1"/>
    <row r="55" ht="26.1" customHeight="1"/>
    <row r="56" ht="26.1" customHeight="1"/>
    <row r="57" ht="26.1" customHeight="1"/>
    <row r="58" ht="26.1" customHeight="1"/>
    <row r="59" ht="26.1" customHeight="1"/>
    <row r="60" ht="26.1" customHeight="1"/>
    <row r="61" ht="26.1" customHeight="1"/>
    <row r="62" ht="26.1" customHeight="1"/>
    <row r="63" ht="26.1" customHeight="1"/>
    <row r="64" ht="26.1" customHeight="1"/>
    <row r="65" ht="26.1" customHeight="1"/>
    <row r="66" ht="26.1" customHeight="1"/>
    <row r="67" ht="26.1" customHeight="1"/>
    <row r="68" ht="26.1" customHeight="1"/>
    <row r="69" ht="26.1" customHeight="1"/>
    <row r="70" ht="26.1" customHeight="1"/>
    <row r="71" ht="26.1" customHeight="1"/>
    <row r="72" ht="26.1" customHeight="1"/>
    <row r="73" ht="26.1" customHeight="1"/>
    <row r="74" ht="26.1" customHeight="1"/>
    <row r="75" ht="26.1" customHeight="1"/>
    <row r="76" ht="26.1" customHeight="1"/>
    <row r="77" ht="26.1" customHeight="1"/>
    <row r="78" ht="26.1" customHeight="1"/>
    <row r="79" ht="26.1" customHeight="1"/>
    <row r="80" ht="26.1" customHeight="1"/>
    <row r="81" ht="26.1" customHeight="1"/>
    <row r="82" ht="26.1" customHeight="1"/>
    <row r="83" ht="26.1" customHeight="1"/>
    <row r="84" ht="26.1" customHeight="1"/>
    <row r="85" ht="26.1" customHeight="1"/>
    <row r="86" ht="26.1" customHeight="1"/>
    <row r="87" ht="26.1" customHeight="1"/>
    <row r="88" ht="26.1" customHeight="1"/>
    <row r="89" ht="26.1" customHeight="1"/>
    <row r="90" ht="26.1" customHeight="1"/>
    <row r="91" ht="26.1" customHeight="1"/>
    <row r="92" ht="26.1" customHeight="1"/>
    <row r="93" ht="26.1" customHeight="1"/>
    <row r="94" ht="26.1" customHeight="1"/>
    <row r="95" ht="26.1" customHeight="1"/>
    <row r="96" ht="26.1" customHeight="1"/>
    <row r="97" ht="26.1" customHeight="1"/>
    <row r="98" ht="26.1" customHeight="1"/>
    <row r="99" ht="26.1" customHeight="1"/>
    <row r="100" ht="26.1" customHeight="1"/>
    <row r="101" ht="26.1" customHeight="1"/>
    <row r="102" ht="26.1" customHeight="1"/>
    <row r="103" ht="26.1" customHeight="1"/>
    <row r="104" ht="26.1" customHeight="1"/>
    <row r="105" ht="26.1" customHeight="1"/>
    <row r="106" ht="26.1" customHeight="1"/>
    <row r="107" ht="26.1" customHeight="1"/>
    <row r="108" ht="26.1" customHeight="1"/>
    <row r="109" ht="26.1" customHeight="1"/>
    <row r="110" ht="26.1" customHeight="1"/>
    <row r="111" ht="26.1" customHeight="1"/>
    <row r="112" ht="26.1" customHeight="1"/>
    <row r="113" ht="26.1" customHeight="1"/>
    <row r="114" ht="26.1" customHeight="1"/>
    <row r="115" ht="26.1" customHeight="1"/>
    <row r="116" ht="26.1" customHeight="1"/>
    <row r="117" ht="26.1" customHeight="1"/>
    <row r="118" ht="26.1" customHeight="1"/>
    <row r="119" ht="26.1" customHeight="1"/>
    <row r="120" ht="26.1" customHeight="1"/>
    <row r="121" ht="26.1" customHeight="1"/>
    <row r="122" ht="26.1" customHeight="1"/>
    <row r="123" ht="26.1" customHeight="1"/>
    <row r="124" ht="26.1" customHeight="1"/>
    <row r="125" ht="26.1" customHeight="1"/>
    <row r="126" ht="26.1" customHeight="1"/>
    <row r="127" ht="26.1" customHeight="1"/>
    <row r="128" ht="26.1" customHeight="1"/>
    <row r="129" ht="26.1" customHeight="1"/>
    <row r="130" ht="26.1" customHeight="1"/>
    <row r="131" ht="26.1" customHeight="1"/>
    <row r="132" ht="26.1" customHeight="1"/>
    <row r="133" ht="26.1" customHeight="1"/>
    <row r="134" ht="26.1" customHeight="1"/>
    <row r="135" ht="26.1" customHeight="1"/>
    <row r="136" ht="26.1" customHeight="1"/>
    <row r="137" ht="26.1" customHeight="1"/>
    <row r="138" ht="26.1" customHeight="1"/>
    <row r="139" ht="26.1" customHeight="1"/>
    <row r="140" ht="26.1" customHeight="1"/>
    <row r="141" ht="26.1" customHeight="1"/>
    <row r="142" ht="26.1" customHeight="1"/>
    <row r="143" ht="26.1" customHeight="1"/>
    <row r="144" ht="26.1" customHeight="1"/>
    <row r="145" ht="26.1" customHeight="1"/>
    <row r="146" ht="26.1" customHeight="1"/>
    <row r="147" ht="26.1" customHeight="1"/>
    <row r="148" ht="26.1" customHeight="1"/>
    <row r="149" ht="26.1" customHeight="1"/>
    <row r="150" ht="26.1" customHeight="1"/>
    <row r="151" ht="26.1" customHeight="1"/>
    <row r="152" ht="26.1" customHeight="1"/>
    <row r="153" ht="26.1" customHeight="1"/>
    <row r="154" ht="26.1" customHeight="1"/>
    <row r="155" ht="26.1" customHeight="1"/>
    <row r="156" ht="26.1" customHeight="1"/>
    <row r="157" ht="26.1" customHeight="1"/>
    <row r="158" ht="26.1" customHeight="1"/>
    <row r="159" ht="26.1" customHeight="1"/>
    <row r="160" ht="26.1" customHeight="1"/>
    <row r="161" ht="26.1" customHeight="1"/>
    <row r="162" ht="26.1" customHeight="1"/>
    <row r="163" ht="26.1" customHeight="1"/>
    <row r="164" ht="26.1" customHeight="1"/>
    <row r="165" ht="26.1" customHeight="1"/>
    <row r="166" ht="26.1" customHeight="1"/>
    <row r="167" ht="26.1" customHeight="1"/>
    <row r="168" ht="26.1" customHeight="1"/>
    <row r="169" ht="26.1" customHeight="1"/>
    <row r="170" ht="26.1" customHeight="1"/>
    <row r="171" ht="26.1" customHeight="1"/>
    <row r="172" ht="26.1" customHeight="1"/>
    <row r="173" ht="26.1" customHeight="1"/>
    <row r="174" ht="26.1" customHeight="1"/>
    <row r="175" ht="26.1" customHeight="1"/>
    <row r="176" ht="26.1" customHeight="1"/>
    <row r="177" ht="26.1" customHeight="1"/>
    <row r="178" ht="26.1" customHeight="1"/>
    <row r="179" ht="26.1" customHeight="1"/>
    <row r="180" ht="26.1" customHeight="1"/>
    <row r="181" ht="26.1" customHeight="1"/>
    <row r="182" ht="26.1" customHeight="1"/>
    <row r="183" ht="26.1" customHeight="1"/>
    <row r="184" ht="26.1" customHeight="1"/>
    <row r="185" ht="26.1" customHeight="1"/>
    <row r="186" ht="26.1" customHeight="1"/>
    <row r="187" ht="26.1" customHeight="1"/>
    <row r="188" ht="26.1" customHeight="1"/>
    <row r="189" ht="26.1" customHeight="1"/>
    <row r="190" ht="26.1" customHeight="1"/>
    <row r="191" ht="26.1" customHeight="1"/>
    <row r="192" ht="26.1" customHeight="1"/>
    <row r="193" ht="26.1" customHeight="1"/>
    <row r="194" ht="26.1" customHeight="1"/>
    <row r="195" ht="26.1" customHeight="1"/>
    <row r="196" ht="26.1" customHeight="1"/>
    <row r="197" ht="26.1" customHeight="1"/>
    <row r="198" ht="26.1" customHeight="1"/>
    <row r="199" ht="26.1" customHeight="1"/>
    <row r="200" ht="26.1" customHeight="1"/>
    <row r="201" ht="26.1" customHeight="1"/>
    <row r="202" ht="26.1" customHeight="1"/>
    <row r="203" ht="26.1" customHeight="1"/>
    <row r="204" ht="26.1" customHeight="1"/>
    <row r="205" ht="26.1" customHeight="1"/>
    <row r="206" ht="26.1" customHeight="1"/>
    <row r="207" ht="26.1" customHeight="1"/>
    <row r="208" ht="26.1" customHeight="1"/>
    <row r="209" ht="26.1" customHeight="1"/>
    <row r="210" ht="26.1" customHeight="1"/>
    <row r="211" ht="26.1" customHeight="1"/>
    <row r="212" ht="26.1" customHeight="1"/>
    <row r="213" ht="26.1" customHeight="1"/>
    <row r="214" ht="26.1" customHeight="1"/>
    <row r="215" ht="26.1" customHeight="1"/>
    <row r="216" ht="26.1" customHeight="1"/>
    <row r="217" ht="26.1" customHeight="1"/>
    <row r="218" ht="26.1" customHeight="1"/>
    <row r="219" ht="26.1" customHeight="1"/>
    <row r="220" ht="26.1" customHeight="1"/>
    <row r="221" ht="26.1" customHeight="1"/>
    <row r="222" ht="26.1" customHeight="1"/>
    <row r="223" ht="26.1" customHeight="1"/>
    <row r="224" ht="26.1" customHeight="1"/>
    <row r="225" ht="26.1" customHeight="1"/>
    <row r="226" ht="26.1" customHeight="1"/>
    <row r="227" ht="26.1" customHeight="1"/>
    <row r="228" ht="26.1" customHeight="1"/>
    <row r="229" ht="26.1" customHeight="1"/>
    <row r="230" ht="26.1" customHeight="1"/>
    <row r="231" ht="26.1" customHeight="1"/>
    <row r="232" ht="26.1" customHeight="1"/>
    <row r="233" ht="26.1" customHeight="1"/>
    <row r="234" ht="26.1" customHeight="1"/>
    <row r="235" ht="26.1" customHeight="1"/>
    <row r="236" ht="26.1" customHeight="1"/>
    <row r="237" ht="26.1" customHeight="1"/>
    <row r="238" ht="26.1" customHeight="1"/>
    <row r="239" ht="26.1" customHeight="1"/>
    <row r="240" ht="26.1" customHeight="1"/>
    <row r="241" ht="26.1" customHeight="1"/>
    <row r="242" ht="26.1" customHeight="1"/>
    <row r="243" ht="26.1" customHeight="1"/>
    <row r="244" ht="26.1" customHeight="1"/>
    <row r="245" ht="26.1" customHeight="1"/>
    <row r="246" ht="26.1" customHeight="1"/>
    <row r="247" ht="26.1" customHeight="1"/>
    <row r="248" ht="26.1" customHeight="1"/>
    <row r="249" ht="26.1" customHeight="1"/>
    <row r="250" ht="26.1" customHeight="1"/>
    <row r="251" ht="26.1" customHeight="1"/>
    <row r="252" ht="26.1" customHeight="1"/>
    <row r="253" ht="26.1" customHeight="1"/>
    <row r="254" ht="26.1" customHeight="1"/>
    <row r="255" ht="26.1" customHeight="1"/>
    <row r="256" ht="26.1" customHeight="1"/>
    <row r="257" ht="26.1" customHeight="1"/>
    <row r="258" ht="26.1" customHeight="1"/>
    <row r="259" ht="26.1" customHeight="1"/>
    <row r="260" ht="26.1" customHeight="1"/>
    <row r="261" ht="26.1" customHeight="1"/>
    <row r="262" ht="26.1" customHeight="1"/>
    <row r="263" ht="26.1" customHeight="1"/>
    <row r="264" ht="26.1" customHeight="1"/>
    <row r="265" ht="26.1" customHeight="1"/>
    <row r="266" ht="26.1" customHeight="1"/>
    <row r="267" ht="26.1" customHeight="1"/>
    <row r="268" ht="26.1" customHeight="1"/>
    <row r="269" ht="26.1" customHeight="1"/>
    <row r="270" ht="26.1" customHeight="1"/>
    <row r="271" ht="26.1" customHeight="1"/>
    <row r="272" ht="26.1" customHeight="1"/>
    <row r="273" ht="26.1" customHeight="1"/>
    <row r="274" ht="26.1" customHeight="1"/>
    <row r="275" ht="26.1" customHeight="1"/>
    <row r="276" ht="26.1" customHeight="1"/>
    <row r="277" ht="26.1" customHeight="1"/>
    <row r="278" ht="26.1" customHeight="1"/>
    <row r="279" ht="26.1" customHeight="1"/>
    <row r="280" ht="26.1" customHeight="1"/>
    <row r="281" ht="26.1" customHeight="1"/>
    <row r="282" ht="26.1" customHeight="1"/>
    <row r="283" ht="26.1" customHeight="1"/>
    <row r="284" ht="26.1" customHeight="1"/>
    <row r="285" ht="26.1" customHeight="1"/>
    <row r="286" ht="26.1" customHeight="1"/>
    <row r="287" ht="26.1" customHeight="1"/>
    <row r="288" ht="26.1" customHeight="1"/>
    <row r="289" ht="26.1" customHeight="1"/>
    <row r="290" ht="26.1" customHeight="1"/>
    <row r="291" ht="26.1" customHeight="1"/>
    <row r="292" ht="26.1" customHeight="1"/>
    <row r="293" ht="26.1" customHeight="1"/>
    <row r="294" ht="26.1" customHeight="1"/>
    <row r="295" ht="26.1" customHeight="1"/>
    <row r="296" ht="26.1" customHeight="1"/>
    <row r="297" ht="26.1" customHeight="1"/>
    <row r="298" ht="26.1" customHeight="1"/>
    <row r="299" ht="26.1" customHeight="1"/>
    <row r="300" ht="26.1" customHeight="1"/>
    <row r="301" ht="26.1" customHeight="1"/>
    <row r="302" ht="26.1" customHeight="1"/>
    <row r="303" ht="26.1" customHeight="1"/>
    <row r="304" ht="26.1" customHeight="1"/>
    <row r="305" ht="26.1" customHeight="1"/>
    <row r="306" ht="26.1" customHeight="1"/>
    <row r="307" ht="26.1" customHeight="1"/>
    <row r="308" ht="26.1" customHeight="1"/>
    <row r="309" ht="26.1" customHeight="1"/>
    <row r="310" ht="26.1" customHeight="1"/>
    <row r="311" ht="26.1" customHeight="1"/>
    <row r="312" ht="26.1" customHeight="1"/>
    <row r="313" ht="26.1" customHeight="1"/>
    <row r="314" ht="26.1" customHeight="1"/>
    <row r="315" ht="26.1" customHeight="1"/>
    <row r="316" ht="26.1" customHeight="1"/>
    <row r="317" ht="26.1" customHeight="1"/>
    <row r="318" ht="26.1" customHeight="1"/>
    <row r="319" ht="26.1" customHeight="1"/>
    <row r="320" ht="26.1" customHeight="1"/>
    <row r="321" ht="26.1" customHeight="1"/>
    <row r="322" ht="26.1" customHeight="1"/>
    <row r="323" ht="26.1" customHeight="1"/>
    <row r="324" ht="26.1" customHeight="1"/>
    <row r="325" ht="26.1" customHeight="1"/>
    <row r="326" ht="26.1" customHeight="1"/>
    <row r="327" ht="26.1" customHeight="1"/>
    <row r="328" ht="26.1" customHeight="1"/>
    <row r="329" ht="26.1" customHeight="1"/>
    <row r="330" ht="26.1" customHeight="1"/>
    <row r="331" ht="26.1" customHeight="1"/>
    <row r="332" ht="26.1" customHeight="1"/>
    <row r="333" ht="26.1" customHeight="1"/>
    <row r="334" ht="26.1" customHeight="1"/>
    <row r="335" ht="26.1" customHeight="1"/>
    <row r="336" ht="26.1" customHeight="1"/>
    <row r="337" ht="26.1" customHeight="1"/>
    <row r="338" ht="26.1" customHeight="1"/>
    <row r="339" ht="26.1" customHeight="1"/>
    <row r="340" ht="26.1" customHeight="1"/>
    <row r="341" ht="26.1" customHeight="1"/>
    <row r="342" ht="26.1" customHeight="1"/>
    <row r="343" ht="26.1" customHeight="1"/>
    <row r="344" ht="26.1" customHeight="1"/>
    <row r="345" ht="26.1" customHeight="1"/>
    <row r="346" ht="26.1" customHeight="1"/>
    <row r="347" ht="26.1" customHeight="1"/>
    <row r="348" ht="26.1" customHeight="1"/>
    <row r="349" ht="26.1" customHeight="1"/>
    <row r="350" ht="26.1" customHeight="1"/>
    <row r="351" ht="26.1" customHeight="1"/>
    <row r="352" ht="26.1" customHeight="1"/>
    <row r="353" ht="26.1" customHeight="1"/>
    <row r="354" ht="26.1" customHeight="1"/>
    <row r="355" ht="26.1" customHeight="1"/>
    <row r="356" ht="26.1" customHeight="1"/>
    <row r="357" ht="26.1" customHeight="1"/>
    <row r="358" ht="26.1" customHeight="1"/>
    <row r="359" ht="26.1" customHeight="1"/>
    <row r="360" ht="26.1" customHeight="1"/>
    <row r="361" ht="26.1" customHeight="1"/>
    <row r="362" ht="26.1" customHeight="1"/>
    <row r="363" ht="26.1" customHeight="1"/>
    <row r="364" ht="26.1" customHeight="1"/>
    <row r="365" ht="26.1" customHeight="1"/>
    <row r="366" ht="26.1" customHeight="1"/>
    <row r="367" ht="26.1" customHeight="1"/>
    <row r="368" ht="26.1" customHeight="1"/>
    <row r="369" ht="26.1" customHeight="1"/>
    <row r="370" ht="26.1" customHeight="1"/>
    <row r="371" ht="26.1" customHeight="1"/>
    <row r="372" ht="26.1" customHeight="1"/>
    <row r="373" ht="26.1" customHeight="1"/>
    <row r="374" ht="26.1" customHeight="1"/>
    <row r="375" ht="26.1" customHeight="1"/>
    <row r="376" ht="26.1" customHeight="1"/>
    <row r="377" ht="26.1" customHeight="1"/>
    <row r="378" ht="26.1" customHeight="1"/>
    <row r="379" ht="26.1" customHeight="1"/>
    <row r="380" ht="26.1" customHeight="1"/>
    <row r="381" ht="26.1" customHeight="1"/>
    <row r="382" ht="26.1" customHeight="1"/>
    <row r="383" ht="26.1" customHeight="1"/>
    <row r="384" ht="26.1" customHeight="1"/>
    <row r="385" ht="26.1" customHeight="1"/>
    <row r="386" ht="26.1" customHeight="1"/>
    <row r="387" ht="26.1" customHeight="1"/>
    <row r="388" ht="26.1" customHeight="1"/>
    <row r="389" ht="26.1" customHeight="1"/>
    <row r="390" ht="26.1" customHeight="1"/>
    <row r="391" ht="26.1" customHeight="1"/>
    <row r="392" ht="26.1" customHeight="1"/>
    <row r="393" ht="26.1" customHeight="1"/>
    <row r="394" ht="26.1" customHeight="1"/>
    <row r="395" ht="26.1" customHeight="1"/>
    <row r="396" ht="26.1" customHeight="1"/>
    <row r="397" ht="26.1" customHeight="1"/>
    <row r="398" ht="26.1" customHeight="1"/>
    <row r="399" ht="26.1" customHeight="1"/>
    <row r="400" ht="26.1" customHeight="1"/>
    <row r="401" ht="26.1" customHeight="1"/>
    <row r="402" ht="26.1" customHeight="1"/>
    <row r="403" ht="26.1" customHeight="1"/>
    <row r="404" ht="26.1" customHeight="1"/>
    <row r="405" ht="26.1" customHeight="1"/>
    <row r="406" ht="26.1" customHeight="1"/>
    <row r="407" ht="26.1" customHeight="1"/>
    <row r="408" ht="26.1" customHeight="1"/>
    <row r="409" ht="26.1" customHeight="1"/>
    <row r="410" ht="26.1" customHeight="1"/>
    <row r="411" ht="26.1" customHeight="1"/>
    <row r="412" ht="26.1" customHeight="1"/>
    <row r="413" ht="26.1" customHeight="1"/>
    <row r="414" ht="26.1" customHeight="1"/>
    <row r="415" ht="26.1" customHeight="1"/>
    <row r="416" ht="26.1" customHeight="1"/>
    <row r="417" ht="26.1" customHeight="1"/>
    <row r="418" ht="26.1" customHeight="1"/>
    <row r="419" ht="26.1" customHeight="1"/>
    <row r="420" ht="26.1" customHeight="1"/>
    <row r="421" ht="26.1" customHeight="1"/>
    <row r="422" ht="26.1" customHeight="1"/>
    <row r="423" ht="26.1" customHeight="1"/>
    <row r="424" ht="26.1" customHeight="1"/>
    <row r="425" ht="26.1" customHeight="1"/>
    <row r="426" ht="26.1" customHeight="1"/>
    <row r="427" ht="26.1" customHeight="1"/>
    <row r="428" ht="26.1" customHeight="1"/>
    <row r="429" ht="26.1" customHeight="1"/>
    <row r="430" ht="26.1" customHeight="1"/>
    <row r="431" ht="26.1" customHeight="1"/>
    <row r="432" ht="26.1" customHeight="1"/>
    <row r="433" ht="26.1" customHeight="1"/>
    <row r="434" ht="26.1" customHeight="1"/>
    <row r="435" ht="26.1" customHeight="1"/>
    <row r="436" ht="26.1" customHeight="1"/>
    <row r="437" ht="26.1" customHeight="1"/>
    <row r="438" ht="26.1" customHeight="1"/>
    <row r="439" ht="26.1" customHeight="1"/>
    <row r="440" ht="26.1" customHeight="1"/>
    <row r="441" ht="26.1" customHeight="1"/>
    <row r="442" ht="26.1" customHeight="1"/>
    <row r="443" ht="26.1" customHeight="1"/>
    <row r="444" ht="26.1" customHeight="1"/>
    <row r="445" ht="26.1" customHeight="1"/>
    <row r="446" ht="26.1" customHeight="1"/>
    <row r="447" ht="26.1" customHeight="1"/>
    <row r="448" ht="26.1" customHeight="1"/>
    <row r="449" ht="26.1" customHeight="1"/>
    <row r="450" ht="26.1" customHeight="1"/>
    <row r="451" ht="26.1" customHeight="1"/>
    <row r="452" ht="26.1" customHeight="1"/>
    <row r="453" ht="26.1" customHeight="1"/>
    <row r="454" ht="26.1" customHeight="1"/>
    <row r="455" ht="26.1" customHeight="1"/>
    <row r="456" ht="26.1" customHeight="1"/>
    <row r="457" ht="26.1" customHeight="1"/>
    <row r="458" ht="26.1" customHeight="1"/>
    <row r="459" ht="26.1" customHeight="1"/>
    <row r="460" ht="26.1" customHeight="1"/>
    <row r="461" ht="26.1" customHeight="1"/>
    <row r="462" ht="26.1" customHeight="1"/>
    <row r="463" ht="26.1" customHeight="1"/>
    <row r="464" ht="26.1" customHeight="1"/>
    <row r="465" ht="26.1" customHeight="1"/>
    <row r="466" ht="26.1" customHeight="1"/>
    <row r="467" ht="26.1" customHeight="1"/>
    <row r="468" ht="26.1" customHeight="1"/>
    <row r="469" ht="26.1" customHeight="1"/>
    <row r="470" ht="26.1" customHeight="1"/>
    <row r="471" ht="26.1" customHeight="1"/>
    <row r="472" ht="26.1" customHeight="1"/>
    <row r="473" ht="26.1" customHeight="1"/>
    <row r="474" ht="26.1" customHeight="1"/>
    <row r="475" ht="26.1" customHeight="1"/>
    <row r="476" ht="26.1" customHeight="1"/>
    <row r="477" ht="26.1" customHeight="1"/>
    <row r="478" ht="26.1" customHeight="1"/>
    <row r="479" ht="26.1" customHeight="1"/>
    <row r="480" ht="26.1" customHeight="1"/>
    <row r="481" ht="26.1" customHeight="1"/>
    <row r="482" ht="26.1" customHeight="1"/>
    <row r="483" ht="26.1" customHeight="1"/>
    <row r="484" ht="26.1" customHeight="1"/>
    <row r="485" ht="26.1" customHeight="1"/>
    <row r="486" ht="26.1" customHeight="1"/>
    <row r="487" ht="26.1" customHeight="1"/>
    <row r="488" ht="26.1" customHeight="1"/>
    <row r="489" ht="26.1" customHeight="1"/>
    <row r="490" ht="26.1" customHeight="1"/>
    <row r="491" ht="26.1" customHeight="1"/>
    <row r="492" ht="26.1" customHeight="1"/>
    <row r="493" ht="26.1" customHeight="1"/>
    <row r="494" ht="26.1" customHeight="1"/>
    <row r="495" ht="26.1" customHeight="1"/>
    <row r="496" ht="26.1" customHeight="1"/>
    <row r="497" ht="26.1" customHeight="1"/>
    <row r="498" ht="26.1" customHeight="1"/>
    <row r="499" ht="26.1" customHeight="1"/>
    <row r="500" ht="26.1" customHeight="1"/>
    <row r="501" ht="26.1" customHeight="1"/>
    <row r="502" ht="26.1" customHeight="1"/>
    <row r="503" ht="26.1" customHeight="1"/>
    <row r="504" ht="26.1" customHeight="1"/>
    <row r="505" ht="26.1" customHeight="1"/>
    <row r="506" ht="26.1" customHeight="1"/>
    <row r="507" ht="26.1" customHeight="1"/>
    <row r="508" ht="26.1" customHeight="1"/>
    <row r="509" ht="26.1" customHeight="1"/>
    <row r="510" ht="26.1" customHeight="1"/>
    <row r="511" ht="26.1" customHeight="1"/>
    <row r="512" ht="26.1" customHeight="1"/>
    <row r="513" ht="26.1" customHeight="1"/>
    <row r="514" ht="26.1" customHeight="1"/>
    <row r="515" ht="26.1" customHeight="1"/>
    <row r="516" ht="26.1" customHeight="1"/>
    <row r="517" ht="26.1" customHeight="1"/>
    <row r="518" ht="26.1" customHeight="1"/>
    <row r="519" ht="26.1" customHeight="1"/>
    <row r="520" ht="26.1" customHeight="1"/>
    <row r="521" ht="26.1" customHeight="1"/>
    <row r="522" ht="26.1" customHeight="1"/>
    <row r="523" ht="26.1" customHeight="1"/>
    <row r="524" ht="26.1" customHeight="1"/>
    <row r="525" ht="26.1" customHeight="1"/>
    <row r="526" ht="26.1" customHeight="1"/>
    <row r="527" ht="26.1" customHeight="1"/>
    <row r="528" ht="26.1" customHeight="1"/>
    <row r="529" ht="26.1" customHeight="1"/>
    <row r="530" ht="26.1" customHeight="1"/>
    <row r="531" ht="26.1" customHeight="1"/>
    <row r="532" ht="26.1" customHeight="1"/>
    <row r="533" ht="26.1" customHeight="1"/>
    <row r="534" ht="26.1" customHeight="1"/>
    <row r="535" ht="26.1" customHeight="1"/>
    <row r="536" ht="26.1" customHeight="1"/>
    <row r="537" ht="26.1" customHeight="1"/>
    <row r="538" ht="26.1" customHeight="1"/>
    <row r="539" ht="26.1" customHeight="1"/>
    <row r="540" ht="26.1" customHeight="1"/>
    <row r="541" ht="26.1" customHeight="1"/>
    <row r="542" ht="26.1" customHeight="1"/>
    <row r="543" ht="26.1" customHeight="1"/>
    <row r="544" ht="26.1" customHeight="1"/>
    <row r="545" ht="26.1" customHeight="1"/>
    <row r="546" ht="26.1" customHeight="1"/>
    <row r="547" ht="26.1" customHeight="1"/>
    <row r="548" ht="26.1" customHeight="1"/>
    <row r="549" ht="26.1" customHeight="1"/>
    <row r="550" ht="26.1" customHeight="1"/>
    <row r="551" ht="26.1" customHeight="1"/>
    <row r="552" ht="26.1" customHeight="1"/>
    <row r="553" ht="26.1" customHeight="1"/>
    <row r="554" ht="26.1" customHeight="1"/>
    <row r="555" ht="26.1" customHeight="1"/>
    <row r="556" ht="26.1" customHeight="1"/>
    <row r="557" ht="26.1" customHeight="1"/>
    <row r="558" ht="26.1" customHeight="1"/>
    <row r="559" ht="26.1" customHeight="1"/>
    <row r="560" ht="26.1" customHeight="1"/>
    <row r="561" ht="26.1" customHeight="1"/>
    <row r="562" ht="26.1" customHeight="1"/>
    <row r="563" ht="26.1" customHeight="1"/>
    <row r="564" ht="26.1" customHeight="1"/>
    <row r="565" ht="26.1" customHeight="1"/>
    <row r="566" ht="26.1" customHeight="1"/>
    <row r="567" ht="26.1" customHeight="1"/>
    <row r="568" ht="26.1" customHeight="1"/>
    <row r="569" ht="26.1" customHeight="1"/>
    <row r="570" ht="26.1" customHeight="1"/>
    <row r="571" ht="26.1" customHeight="1"/>
    <row r="572" ht="26.1" customHeight="1"/>
    <row r="573" ht="26.1" customHeight="1"/>
    <row r="574" ht="26.1" customHeight="1"/>
    <row r="575" ht="26.1" customHeight="1"/>
    <row r="576" ht="26.1" customHeight="1"/>
    <row r="577" ht="26.1" customHeight="1"/>
    <row r="578" ht="26.1" customHeight="1"/>
    <row r="579" ht="26.1" customHeight="1"/>
    <row r="580" ht="26.1" customHeight="1"/>
    <row r="581" ht="26.1" customHeight="1"/>
    <row r="582" ht="26.1" customHeight="1"/>
    <row r="583" ht="26.1" customHeight="1"/>
    <row r="584" ht="26.1" customHeight="1"/>
    <row r="585" ht="26.1" customHeight="1"/>
    <row r="586" ht="26.1" customHeight="1"/>
    <row r="587" ht="26.1" customHeight="1"/>
    <row r="588" ht="26.1" customHeight="1"/>
    <row r="589" ht="26.1" customHeight="1"/>
    <row r="590" ht="26.1" customHeight="1"/>
    <row r="591" ht="26.1" customHeight="1"/>
    <row r="592" ht="26.1" customHeight="1"/>
    <row r="593" ht="26.1" customHeight="1"/>
    <row r="594" ht="26.1" customHeight="1"/>
    <row r="595" ht="26.1" customHeight="1"/>
    <row r="596" ht="26.1" customHeight="1"/>
    <row r="597" ht="26.1" customHeight="1"/>
    <row r="598" ht="26.1" customHeight="1"/>
    <row r="599" ht="26.1" customHeight="1"/>
    <row r="600" ht="26.1" customHeight="1"/>
    <row r="601" ht="26.1" customHeight="1"/>
    <row r="602" ht="26.1" customHeight="1"/>
    <row r="603" ht="26.1" customHeight="1"/>
    <row r="604" ht="26.1" customHeight="1"/>
    <row r="605" ht="26.1" customHeight="1"/>
    <row r="606" ht="26.1" customHeight="1"/>
    <row r="607" ht="26.1" customHeight="1"/>
    <row r="608" ht="26.1" customHeight="1"/>
    <row r="609" ht="26.1" customHeight="1"/>
    <row r="610" ht="26.1" customHeight="1"/>
    <row r="611" ht="26.1" customHeight="1"/>
    <row r="612" ht="26.1" customHeight="1"/>
    <row r="613" ht="26.1" customHeight="1"/>
    <row r="614" ht="26.1" customHeight="1"/>
    <row r="615" ht="26.1" customHeight="1"/>
    <row r="616" ht="26.1" customHeight="1"/>
    <row r="617" ht="26.1" customHeight="1"/>
    <row r="618" ht="26.1" customHeight="1"/>
    <row r="619" ht="26.1" customHeight="1"/>
    <row r="620" ht="26.1" customHeight="1"/>
    <row r="621" ht="26.1" customHeight="1"/>
    <row r="622" ht="26.1" customHeight="1"/>
    <row r="623" ht="26.1" customHeight="1"/>
    <row r="624" ht="26.1" customHeight="1"/>
    <row r="625" ht="26.1" customHeight="1"/>
    <row r="626" ht="26.1" customHeight="1"/>
    <row r="627" ht="26.1" customHeight="1"/>
    <row r="628" ht="26.1" customHeight="1"/>
    <row r="629" ht="26.1" customHeight="1"/>
    <row r="630" ht="26.1" customHeight="1"/>
    <row r="631" ht="26.1" customHeight="1"/>
    <row r="632" ht="26.1" customHeight="1"/>
    <row r="633" ht="26.1" customHeight="1"/>
    <row r="634" ht="26.1" customHeight="1"/>
    <row r="635" ht="26.1" customHeight="1"/>
    <row r="636" ht="26.1" customHeight="1"/>
    <row r="637" ht="26.1" customHeight="1"/>
    <row r="638" ht="26.1" customHeight="1"/>
    <row r="639" ht="26.1" customHeight="1"/>
    <row r="640" ht="26.1" customHeight="1"/>
    <row r="641" ht="26.1" customHeight="1"/>
    <row r="642" ht="26.1" customHeight="1"/>
    <row r="643" ht="26.1" customHeight="1"/>
    <row r="644" ht="26.1" customHeight="1"/>
    <row r="645" ht="26.1" customHeight="1"/>
    <row r="646" ht="26.1" customHeight="1"/>
    <row r="647" ht="26.1" customHeight="1"/>
    <row r="648" ht="26.1" customHeight="1"/>
    <row r="649" ht="26.1" customHeight="1"/>
    <row r="650" ht="26.1" customHeight="1"/>
    <row r="651" ht="26.1" customHeight="1"/>
    <row r="652" ht="26.1" customHeight="1"/>
    <row r="653" ht="26.1" customHeight="1"/>
    <row r="654" ht="26.1" customHeight="1"/>
    <row r="655" ht="26.1" customHeight="1"/>
    <row r="656" ht="26.1" customHeight="1"/>
    <row r="657" ht="26.1" customHeight="1"/>
    <row r="658" ht="26.1" customHeight="1"/>
    <row r="659" ht="26.1" customHeight="1"/>
    <row r="660" ht="26.1" customHeight="1"/>
    <row r="661" ht="26.1" customHeight="1"/>
    <row r="662" ht="26.1" customHeight="1"/>
    <row r="663" ht="26.1" customHeight="1"/>
    <row r="664" ht="26.1" customHeight="1"/>
    <row r="665" ht="26.1" customHeight="1"/>
    <row r="666" ht="26.1" customHeight="1"/>
    <row r="667" ht="26.1" customHeight="1"/>
    <row r="668" ht="26.1" customHeight="1"/>
    <row r="669" ht="26.1" customHeight="1"/>
    <row r="670" ht="26.1" customHeight="1"/>
    <row r="671" ht="26.1" customHeight="1"/>
    <row r="672" ht="26.1" customHeight="1"/>
    <row r="673" ht="26.1" customHeight="1"/>
    <row r="674" ht="26.1" customHeight="1"/>
    <row r="675" ht="26.1" customHeight="1"/>
    <row r="676" ht="26.1" customHeight="1"/>
    <row r="677" ht="26.1" customHeight="1"/>
    <row r="678" ht="26.1" customHeight="1"/>
    <row r="679" ht="26.1" customHeight="1"/>
    <row r="680" ht="26.1" customHeight="1"/>
    <row r="681" ht="26.1" customHeight="1"/>
    <row r="682" ht="26.1" customHeight="1"/>
    <row r="683" ht="26.1" customHeight="1"/>
    <row r="684" ht="26.1" customHeight="1"/>
    <row r="685" ht="26.1" customHeight="1"/>
    <row r="686" ht="26.1" customHeight="1"/>
    <row r="687" ht="26.1" customHeight="1"/>
    <row r="688" ht="26.1" customHeight="1"/>
    <row r="689" ht="26.1" customHeight="1"/>
    <row r="690" ht="26.1" customHeight="1"/>
    <row r="691" ht="26.1" customHeight="1"/>
    <row r="692" ht="26.1" customHeight="1"/>
    <row r="693" ht="26.1" customHeight="1"/>
    <row r="694" ht="26.1" customHeight="1"/>
    <row r="695" ht="26.1" customHeight="1"/>
    <row r="696" ht="26.1" customHeight="1"/>
    <row r="697" ht="26.1" customHeight="1"/>
    <row r="698" ht="26.1" customHeight="1"/>
    <row r="699" ht="26.1" customHeight="1"/>
    <row r="700" ht="26.1" customHeight="1"/>
    <row r="701" ht="26.1" customHeight="1"/>
    <row r="702" ht="26.1" customHeight="1"/>
    <row r="703" ht="26.1" customHeight="1"/>
    <row r="704" ht="26.1" customHeight="1"/>
    <row r="705" ht="26.1" customHeight="1"/>
    <row r="706" ht="26.1" customHeight="1"/>
    <row r="707" ht="26.1" customHeight="1"/>
    <row r="708" ht="26.1" customHeight="1"/>
    <row r="709" ht="26.1" customHeight="1"/>
    <row r="710" ht="26.1" customHeight="1"/>
    <row r="711" ht="26.1" customHeight="1"/>
    <row r="712" ht="26.1" customHeight="1"/>
    <row r="713" ht="26.1" customHeight="1"/>
    <row r="714" ht="26.1" customHeight="1"/>
    <row r="715" ht="26.1" customHeight="1"/>
    <row r="716" ht="26.1" customHeight="1"/>
    <row r="717" ht="26.1" customHeight="1"/>
    <row r="718" ht="26.1" customHeight="1"/>
    <row r="719" ht="26.1" customHeight="1"/>
    <row r="720" ht="26.1" customHeight="1"/>
    <row r="721" ht="26.1" customHeight="1"/>
    <row r="722" ht="26.1" customHeight="1"/>
    <row r="723" ht="26.1" customHeight="1"/>
    <row r="724" ht="26.1" customHeight="1"/>
    <row r="725" ht="26.1" customHeight="1"/>
    <row r="726" ht="26.1" customHeight="1"/>
    <row r="727" ht="26.1" customHeight="1"/>
    <row r="728" ht="26.1" customHeight="1"/>
    <row r="729" ht="26.1" customHeight="1"/>
    <row r="730" ht="26.1" customHeight="1"/>
    <row r="731" ht="26.1" customHeight="1"/>
    <row r="732" ht="26.1" customHeight="1"/>
    <row r="733" ht="26.1" customHeight="1"/>
    <row r="734" ht="26.1" customHeight="1"/>
    <row r="735" ht="26.1" customHeight="1"/>
    <row r="736" ht="26.1" customHeight="1"/>
    <row r="737" ht="26.1" customHeight="1"/>
    <row r="738" ht="26.1" customHeight="1"/>
    <row r="739" ht="26.1" customHeight="1"/>
    <row r="740" ht="26.1" customHeight="1"/>
    <row r="741" ht="26.1" customHeight="1"/>
    <row r="742" ht="26.1" customHeight="1"/>
    <row r="743" ht="26.1" customHeight="1"/>
    <row r="744" ht="26.1" customHeight="1"/>
    <row r="745" ht="26.1" customHeight="1"/>
    <row r="746" ht="26.1" customHeight="1"/>
    <row r="747" ht="26.1" customHeight="1"/>
    <row r="748" ht="26.1" customHeight="1"/>
    <row r="749" ht="26.1" customHeight="1"/>
    <row r="750" ht="26.1" customHeight="1"/>
    <row r="751" ht="26.1" customHeight="1"/>
    <row r="752" ht="26.1" customHeight="1"/>
    <row r="753" ht="26.1" customHeight="1"/>
    <row r="754" ht="26.1" customHeight="1"/>
    <row r="755" ht="26.1" customHeight="1"/>
    <row r="756" ht="26.1" customHeight="1"/>
    <row r="757" ht="26.1" customHeight="1"/>
    <row r="758" ht="26.1" customHeight="1"/>
    <row r="759" ht="26.1" customHeight="1"/>
    <row r="760" ht="26.1" customHeight="1"/>
    <row r="761" ht="26.1" customHeight="1"/>
    <row r="762" ht="26.1" customHeight="1"/>
    <row r="763" ht="26.1" customHeight="1"/>
    <row r="764" ht="26.1" customHeight="1"/>
    <row r="765" ht="26.1" customHeight="1"/>
    <row r="766" ht="26.1" customHeight="1"/>
    <row r="767" ht="26.1" customHeight="1"/>
    <row r="768" ht="26.1" customHeight="1"/>
    <row r="769" ht="26.1" customHeight="1"/>
    <row r="770" ht="26.1" customHeight="1"/>
    <row r="771" ht="26.1" customHeight="1"/>
    <row r="772" ht="26.1" customHeight="1"/>
    <row r="773" ht="26.1" customHeight="1"/>
    <row r="774" ht="26.1" customHeight="1"/>
    <row r="775" ht="26.1" customHeight="1"/>
    <row r="776" ht="26.1" customHeight="1"/>
    <row r="777" ht="26.1" customHeight="1"/>
    <row r="778" ht="26.1" customHeight="1"/>
    <row r="779" ht="26.1" customHeight="1"/>
    <row r="780" ht="26.1" customHeight="1"/>
    <row r="781" ht="26.1" customHeight="1"/>
    <row r="782" ht="26.1" customHeight="1"/>
    <row r="783" ht="26.1" customHeight="1"/>
    <row r="784" ht="26.1" customHeight="1"/>
    <row r="785" ht="26.1" customHeight="1"/>
    <row r="786" ht="26.1" customHeight="1"/>
    <row r="787" ht="26.1" customHeight="1"/>
    <row r="788" ht="26.1" customHeight="1"/>
    <row r="789" ht="26.1" customHeight="1"/>
    <row r="790" ht="26.1" customHeight="1"/>
    <row r="791" ht="26.1" customHeight="1"/>
    <row r="792" ht="26.1" customHeight="1"/>
    <row r="793" ht="26.1" customHeight="1"/>
    <row r="794" ht="26.1" customHeight="1"/>
    <row r="795" ht="26.1" customHeight="1"/>
    <row r="796" ht="26.1" customHeight="1"/>
    <row r="797" ht="26.1" customHeight="1"/>
    <row r="798" ht="26.1" customHeight="1"/>
    <row r="799" ht="26.1" customHeight="1"/>
    <row r="800" ht="26.1" customHeight="1"/>
    <row r="801" ht="26.1" customHeight="1"/>
    <row r="802" ht="26.1" customHeight="1"/>
    <row r="803" ht="26.1" customHeight="1"/>
    <row r="804" ht="26.1" customHeight="1"/>
    <row r="805" ht="26.1" customHeight="1"/>
    <row r="806" ht="26.1" customHeight="1"/>
    <row r="807" ht="26.1" customHeight="1"/>
    <row r="808" ht="26.1" customHeight="1"/>
    <row r="809" ht="26.1" customHeight="1"/>
    <row r="810" ht="26.1" customHeight="1"/>
    <row r="811" ht="26.1" customHeight="1"/>
    <row r="812" ht="26.1" customHeight="1"/>
    <row r="813" ht="26.1" customHeight="1"/>
    <row r="814" ht="26.1" customHeight="1"/>
    <row r="815" ht="26.1" customHeight="1"/>
    <row r="816" ht="26.1" customHeight="1"/>
    <row r="817" ht="26.1" customHeight="1"/>
    <row r="818" ht="26.1" customHeight="1"/>
    <row r="819" ht="26.1" customHeight="1"/>
    <row r="820" ht="26.1" customHeight="1"/>
    <row r="821" ht="26.1" customHeight="1"/>
    <row r="822" ht="26.1" customHeight="1"/>
    <row r="823" ht="26.1" customHeight="1"/>
    <row r="824" ht="26.1" customHeight="1"/>
    <row r="825" ht="26.1" customHeight="1"/>
    <row r="826" ht="26.1" customHeight="1"/>
    <row r="827" ht="26.1" customHeight="1"/>
    <row r="828" ht="26.1" customHeight="1"/>
    <row r="829" ht="26.1" customHeight="1"/>
    <row r="830" ht="26.1" customHeight="1"/>
    <row r="831" ht="26.1" customHeight="1"/>
    <row r="832" ht="26.1" customHeight="1"/>
    <row r="833" ht="26.1" customHeight="1"/>
    <row r="834" ht="26.1" customHeight="1"/>
    <row r="835" ht="26.1" customHeight="1"/>
    <row r="836" ht="26.1" customHeight="1"/>
    <row r="837" ht="26.1" customHeight="1"/>
    <row r="838" ht="26.1" customHeight="1"/>
    <row r="839" ht="26.1" customHeight="1"/>
    <row r="840" ht="26.1" customHeight="1"/>
    <row r="841" ht="26.1" customHeight="1"/>
    <row r="842" ht="26.1" customHeight="1"/>
    <row r="843" ht="26.1" customHeight="1"/>
    <row r="844" ht="26.1" customHeight="1"/>
    <row r="845" ht="26.1" customHeight="1"/>
    <row r="846" ht="26.1" customHeight="1"/>
    <row r="847" ht="26.1" customHeight="1"/>
    <row r="848" ht="26.1" customHeight="1"/>
    <row r="849" ht="26.1" customHeight="1"/>
    <row r="850" ht="26.1" customHeight="1"/>
    <row r="851" ht="26.1" customHeight="1"/>
    <row r="852" ht="26.1" customHeight="1"/>
    <row r="853" ht="26.1" customHeight="1"/>
    <row r="854" ht="26.1" customHeight="1"/>
    <row r="855" ht="26.1" customHeight="1"/>
    <row r="856" ht="26.1" customHeight="1"/>
    <row r="857" ht="26.1" customHeight="1"/>
    <row r="858" ht="26.1" customHeight="1"/>
    <row r="859" ht="26.1" customHeight="1"/>
    <row r="860" ht="26.1" customHeight="1"/>
    <row r="861" ht="26.1" customHeight="1"/>
    <row r="862" ht="26.1" customHeight="1"/>
    <row r="863" ht="26.1" customHeight="1"/>
    <row r="864" ht="26.1" customHeight="1"/>
    <row r="865" ht="26.1" customHeight="1"/>
    <row r="866" ht="26.1" customHeight="1"/>
    <row r="867" ht="26.1" customHeight="1"/>
    <row r="868" ht="26.1" customHeight="1"/>
    <row r="869" ht="26.1" customHeight="1"/>
    <row r="870" ht="26.1" customHeight="1"/>
    <row r="871" ht="26.1" customHeight="1"/>
    <row r="872" ht="26.1" customHeight="1"/>
    <row r="873" ht="26.1" customHeight="1"/>
    <row r="874" ht="26.1" customHeight="1"/>
    <row r="875" ht="26.1" customHeight="1"/>
    <row r="876" ht="26.1" customHeight="1"/>
    <row r="877" ht="26.1" customHeight="1"/>
    <row r="878" ht="26.1" customHeight="1"/>
    <row r="879" ht="26.1" customHeight="1"/>
    <row r="880" ht="26.1" customHeight="1"/>
    <row r="881" ht="26.1" customHeight="1"/>
    <row r="882" ht="26.1" customHeight="1"/>
    <row r="883" ht="26.1" customHeight="1"/>
    <row r="884" ht="26.1" customHeight="1"/>
    <row r="885" ht="26.1" customHeight="1"/>
    <row r="886" ht="26.1" customHeight="1"/>
    <row r="887" ht="26.1" customHeight="1"/>
    <row r="888" ht="26.1" customHeight="1"/>
    <row r="889" ht="26.1" customHeight="1"/>
    <row r="890" ht="26.1" customHeight="1"/>
    <row r="891" ht="26.1" customHeight="1"/>
    <row r="892" ht="26.1" customHeight="1"/>
    <row r="893" ht="26.1" customHeight="1"/>
    <row r="894" ht="26.1" customHeight="1"/>
    <row r="895" ht="26.1" customHeight="1"/>
    <row r="896" ht="26.1" customHeight="1"/>
    <row r="897" ht="26.1" customHeight="1"/>
    <row r="898" ht="26.1" customHeight="1"/>
    <row r="899" ht="26.1" customHeight="1"/>
    <row r="900" ht="26.1" customHeight="1"/>
    <row r="901" ht="26.1" customHeight="1"/>
    <row r="902" ht="26.1" customHeight="1"/>
    <row r="903" ht="26.1" customHeight="1"/>
    <row r="904" ht="26.1" customHeight="1"/>
    <row r="905" ht="26.1" customHeight="1"/>
    <row r="906" ht="26.1" customHeight="1"/>
    <row r="907" ht="26.1" customHeight="1"/>
    <row r="908" ht="26.1" customHeight="1"/>
    <row r="909" ht="26.1" customHeight="1"/>
    <row r="910" ht="26.1" customHeight="1"/>
    <row r="911" ht="26.1" customHeight="1"/>
    <row r="912" ht="26.1" customHeight="1"/>
    <row r="913" ht="26.1" customHeight="1"/>
    <row r="914" ht="26.1" customHeight="1"/>
    <row r="915" ht="26.1" customHeight="1"/>
    <row r="916" ht="26.1" customHeight="1"/>
    <row r="917" ht="26.1" customHeight="1"/>
    <row r="918" ht="26.1" customHeight="1"/>
    <row r="919" ht="26.1" customHeight="1"/>
    <row r="920" ht="26.1" customHeight="1"/>
    <row r="921" ht="26.1" customHeight="1"/>
    <row r="922" ht="26.1" customHeight="1"/>
    <row r="923" ht="26.1" customHeight="1"/>
    <row r="924" ht="26.1" customHeight="1"/>
    <row r="925" ht="26.1" customHeight="1"/>
    <row r="926" ht="26.1" customHeight="1"/>
    <row r="927" ht="26.1" customHeight="1"/>
    <row r="928" ht="26.1" customHeight="1"/>
    <row r="929" ht="26.1" customHeight="1"/>
    <row r="930" ht="26.1" customHeight="1"/>
    <row r="931" ht="26.1" customHeight="1"/>
    <row r="932" ht="26.1" customHeight="1"/>
    <row r="933" ht="26.1" customHeight="1"/>
    <row r="934" ht="26.1" customHeight="1"/>
    <row r="935" ht="26.1" customHeight="1"/>
    <row r="936" ht="26.1" customHeight="1"/>
    <row r="937" ht="26.1" customHeight="1"/>
    <row r="938" ht="26.1" customHeight="1"/>
    <row r="939" ht="26.1" customHeight="1"/>
    <row r="940" ht="26.1" customHeight="1"/>
    <row r="941" ht="26.1" customHeight="1"/>
    <row r="942" ht="26.1" customHeight="1"/>
    <row r="943" ht="26.1" customHeight="1"/>
    <row r="944" ht="26.1" customHeight="1"/>
    <row r="945" ht="26.1" customHeight="1"/>
    <row r="946" ht="26.1" customHeight="1"/>
    <row r="947" ht="26.1" customHeight="1"/>
    <row r="948" ht="26.1" customHeight="1"/>
    <row r="949" ht="26.1" customHeight="1"/>
    <row r="950" ht="26.1" customHeight="1"/>
    <row r="951" ht="26.1" customHeight="1"/>
    <row r="952" ht="26.1" customHeight="1"/>
    <row r="953" ht="26.1" customHeight="1"/>
    <row r="954" ht="26.1" customHeight="1"/>
    <row r="955" ht="26.1" customHeight="1"/>
    <row r="956" ht="26.1" customHeight="1"/>
    <row r="957" ht="26.1" customHeight="1"/>
    <row r="958" ht="26.1" customHeight="1"/>
    <row r="959" ht="26.1" customHeight="1"/>
    <row r="960" ht="26.1" customHeight="1"/>
    <row r="961" ht="26.1" customHeight="1"/>
    <row r="962" ht="26.1" customHeight="1"/>
    <row r="963" ht="26.1" customHeight="1"/>
    <row r="964" ht="26.1" customHeight="1"/>
    <row r="965" ht="26.1" customHeight="1"/>
    <row r="966" ht="26.1" customHeight="1"/>
    <row r="967" ht="26.1" customHeight="1"/>
    <row r="968" ht="26.1" customHeight="1"/>
    <row r="969" ht="26.1" customHeight="1"/>
    <row r="970" ht="26.1" customHeight="1"/>
    <row r="971" ht="26.1" customHeight="1"/>
    <row r="972" ht="26.1" customHeight="1"/>
    <row r="973" ht="26.1" customHeight="1"/>
    <row r="974" ht="26.1" customHeight="1"/>
    <row r="975" ht="26.1" customHeight="1"/>
    <row r="976" ht="26.1" customHeight="1"/>
    <row r="977" ht="26.1" customHeight="1"/>
    <row r="978" ht="26.1" customHeight="1"/>
    <row r="979" ht="26.1" customHeight="1"/>
    <row r="980" ht="26.1" customHeight="1"/>
    <row r="981" ht="26.1" customHeight="1"/>
    <row r="982" ht="26.1" customHeight="1"/>
    <row r="983" ht="26.1" customHeight="1"/>
    <row r="984" ht="26.1" customHeight="1"/>
    <row r="985" ht="26.1" customHeight="1"/>
    <row r="986" ht="26.1" customHeight="1"/>
    <row r="987" ht="26.1" customHeight="1"/>
    <row r="988" ht="26.1" customHeight="1"/>
    <row r="989" ht="26.1" customHeight="1"/>
    <row r="990" ht="26.1" customHeight="1"/>
    <row r="991" ht="26.1" customHeight="1"/>
    <row r="992" ht="26.1" customHeight="1"/>
    <row r="993" ht="26.1" customHeight="1"/>
    <row r="994" ht="26.1" customHeight="1"/>
    <row r="995" ht="26.1" customHeight="1"/>
    <row r="996" ht="26.1" customHeight="1"/>
    <row r="997" ht="26.1" customHeight="1"/>
    <row r="998" ht="26.1" customHeight="1"/>
    <row r="999" ht="26.1" customHeight="1"/>
    <row r="1000" ht="26.1" customHeight="1"/>
  </sheetData>
  <autoFilter ref="C4:J39">
    <extLst/>
  </autoFilter>
  <conditionalFormatting sqref="C5:J1048576">
    <cfRule type="expression" dxfId="0" priority="1">
      <formula>$C5&lt;&gt;""</formula>
    </cfRule>
  </conditionalFormatting>
  <dataValidations count="1">
    <dataValidation type="list" allowBlank="1" showInputMessage="1" showErrorMessage="1" sqref="J5:J14 J15:J30 J31:J39 J40:J1048576">
      <formula1>"已签单,跟进中,已放弃"</formula1>
    </dataValidation>
  </dataValidation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1:N10002"/>
  <sheetViews>
    <sheetView workbookViewId="0">
      <pane ySplit="4" topLeftCell="A5" activePane="bottomLeft" state="frozen"/>
      <selection/>
      <selection pane="bottomLeft" activeCell="N21" sqref="N21"/>
    </sheetView>
  </sheetViews>
  <sheetFormatPr defaultColWidth="9" defaultRowHeight="13.5"/>
  <cols>
    <col min="1" max="2" width="3.625" style="2" customWidth="1"/>
    <col min="3" max="3" width="15.625" style="2" customWidth="1"/>
    <col min="4" max="5" width="12.625" style="2" customWidth="1"/>
    <col min="6" max="7" width="15.625" style="2" customWidth="1"/>
    <col min="8" max="12" width="13.125" style="2" customWidth="1"/>
    <col min="13" max="13" width="11" style="57" customWidth="1"/>
    <col min="14" max="14" width="3.625" style="55" customWidth="1"/>
    <col min="15" max="15" width="3.625" style="2" customWidth="1"/>
    <col min="16" max="16381" width="9" style="2"/>
    <col min="16382" max="16384" width="9" style="4"/>
  </cols>
  <sheetData>
    <row r="1" s="1" customFormat="1" ht="57" customHeight="1" spans="13:13">
      <c r="M1" s="61"/>
    </row>
    <row r="2" s="2" customFormat="1" ht="9.95" customHeight="1" spans="13:13">
      <c r="M2" s="62"/>
    </row>
    <row r="3" s="2" customFormat="1" ht="39.95" customHeight="1" spans="2:14">
      <c r="B3" s="36"/>
      <c r="C3" s="26" t="s">
        <v>228</v>
      </c>
      <c r="D3" s="26"/>
      <c r="E3" s="26"/>
      <c r="F3" s="7"/>
      <c r="G3" s="7"/>
      <c r="H3" s="7"/>
      <c r="I3" s="7"/>
      <c r="J3" s="7"/>
      <c r="K3" s="7"/>
      <c r="L3" s="7"/>
      <c r="M3" s="63"/>
      <c r="N3" s="27"/>
    </row>
    <row r="4" s="2" customFormat="1" ht="24" customHeight="1" spans="2:14">
      <c r="B4" s="27"/>
      <c r="C4" s="58" t="s">
        <v>408</v>
      </c>
      <c r="D4" s="58" t="s">
        <v>409</v>
      </c>
      <c r="E4" s="58" t="s">
        <v>410</v>
      </c>
      <c r="F4" s="58" t="s">
        <v>411</v>
      </c>
      <c r="G4" s="58" t="s">
        <v>412</v>
      </c>
      <c r="H4" s="58" t="s">
        <v>413</v>
      </c>
      <c r="I4" s="58" t="s">
        <v>414</v>
      </c>
      <c r="J4" s="58" t="s">
        <v>198</v>
      </c>
      <c r="K4" s="58" t="s">
        <v>415</v>
      </c>
      <c r="L4" s="58" t="s">
        <v>248</v>
      </c>
      <c r="M4" s="58" t="s">
        <v>210</v>
      </c>
      <c r="N4" s="27"/>
    </row>
    <row r="5" s="2" customFormat="1" ht="24" customHeight="1" spans="2:14">
      <c r="B5" s="32"/>
      <c r="C5" s="59">
        <v>44511</v>
      </c>
      <c r="D5" s="60" t="s">
        <v>416</v>
      </c>
      <c r="E5" s="60">
        <v>21</v>
      </c>
      <c r="F5" s="59">
        <v>43890</v>
      </c>
      <c r="G5" s="59">
        <v>44530</v>
      </c>
      <c r="H5" s="60">
        <v>1000</v>
      </c>
      <c r="I5" s="60">
        <f>E5*K5+H5</f>
        <v>57700</v>
      </c>
      <c r="J5" s="60" t="s">
        <v>170</v>
      </c>
      <c r="K5" s="60">
        <v>2700</v>
      </c>
      <c r="L5" s="60" t="s">
        <v>359</v>
      </c>
      <c r="M5" s="64" t="s">
        <v>417</v>
      </c>
      <c r="N5" s="32"/>
    </row>
    <row r="6" s="2" customFormat="1" ht="24" customHeight="1" spans="2:14">
      <c r="B6" s="33"/>
      <c r="C6" s="59">
        <v>44512</v>
      </c>
      <c r="D6" s="60" t="s">
        <v>418</v>
      </c>
      <c r="E6" s="60">
        <v>20</v>
      </c>
      <c r="F6" s="59">
        <v>43922</v>
      </c>
      <c r="G6" s="59">
        <v>44531</v>
      </c>
      <c r="H6" s="60">
        <v>1000</v>
      </c>
      <c r="I6" s="60">
        <f t="shared" ref="I6:I45" si="0">E6*K6+H6</f>
        <v>55000</v>
      </c>
      <c r="J6" s="60" t="s">
        <v>171</v>
      </c>
      <c r="K6" s="60">
        <v>2700</v>
      </c>
      <c r="L6" s="60" t="s">
        <v>359</v>
      </c>
      <c r="M6" s="64" t="s">
        <v>417</v>
      </c>
      <c r="N6" s="33"/>
    </row>
    <row r="7" s="2" customFormat="1" ht="24" customHeight="1" spans="2:14">
      <c r="B7" s="33"/>
      <c r="C7" s="59">
        <v>44513</v>
      </c>
      <c r="D7" s="60" t="s">
        <v>419</v>
      </c>
      <c r="E7" s="60">
        <v>2</v>
      </c>
      <c r="F7" s="59">
        <v>44471</v>
      </c>
      <c r="G7" s="59">
        <v>44532</v>
      </c>
      <c r="H7" s="60">
        <v>1000</v>
      </c>
      <c r="I7" s="60">
        <f t="shared" si="0"/>
        <v>6400</v>
      </c>
      <c r="J7" s="60" t="s">
        <v>32</v>
      </c>
      <c r="K7" s="60">
        <v>2700</v>
      </c>
      <c r="L7" s="60" t="s">
        <v>359</v>
      </c>
      <c r="M7" s="64" t="s">
        <v>417</v>
      </c>
      <c r="N7" s="33"/>
    </row>
    <row r="8" s="2" customFormat="1" ht="24" customHeight="1" spans="2:14">
      <c r="B8" s="46"/>
      <c r="C8" s="59">
        <v>44514</v>
      </c>
      <c r="D8" s="60" t="s">
        <v>420</v>
      </c>
      <c r="E8" s="60">
        <v>23</v>
      </c>
      <c r="F8" s="59">
        <v>43833</v>
      </c>
      <c r="G8" s="59">
        <v>44533</v>
      </c>
      <c r="H8" s="60">
        <v>1000</v>
      </c>
      <c r="I8" s="60">
        <f t="shared" si="0"/>
        <v>63100</v>
      </c>
      <c r="J8" s="60" t="s">
        <v>34</v>
      </c>
      <c r="K8" s="60">
        <v>2700</v>
      </c>
      <c r="L8" s="60" t="s">
        <v>359</v>
      </c>
      <c r="M8" s="64" t="s">
        <v>417</v>
      </c>
      <c r="N8" s="46"/>
    </row>
    <row r="9" s="2" customFormat="1" ht="24" customHeight="1" spans="2:14">
      <c r="B9" s="27"/>
      <c r="C9" s="59">
        <v>44515</v>
      </c>
      <c r="D9" s="60" t="s">
        <v>421</v>
      </c>
      <c r="E9" s="60">
        <v>13</v>
      </c>
      <c r="F9" s="59">
        <v>44139</v>
      </c>
      <c r="G9" s="59">
        <v>44534</v>
      </c>
      <c r="H9" s="60">
        <v>1000</v>
      </c>
      <c r="I9" s="60">
        <f t="shared" si="0"/>
        <v>36100</v>
      </c>
      <c r="J9" s="60" t="s">
        <v>173</v>
      </c>
      <c r="K9" s="60">
        <v>2700</v>
      </c>
      <c r="L9" s="60" t="s">
        <v>359</v>
      </c>
      <c r="M9" s="64" t="s">
        <v>417</v>
      </c>
      <c r="N9" s="27"/>
    </row>
    <row r="10" s="2" customFormat="1" ht="24" customHeight="1" spans="2:14">
      <c r="B10" s="27"/>
      <c r="C10" s="59">
        <v>44516</v>
      </c>
      <c r="D10" s="60" t="s">
        <v>422</v>
      </c>
      <c r="E10" s="60">
        <v>22</v>
      </c>
      <c r="F10" s="59">
        <v>43866</v>
      </c>
      <c r="G10" s="59">
        <v>44535</v>
      </c>
      <c r="H10" s="60">
        <v>1000</v>
      </c>
      <c r="I10" s="60">
        <f t="shared" si="0"/>
        <v>60400</v>
      </c>
      <c r="J10" s="60" t="s">
        <v>116</v>
      </c>
      <c r="K10" s="60">
        <v>2700</v>
      </c>
      <c r="L10" s="60" t="s">
        <v>359</v>
      </c>
      <c r="M10" s="64" t="s">
        <v>417</v>
      </c>
      <c r="N10" s="27"/>
    </row>
    <row r="11" s="2" customFormat="1" ht="24" customHeight="1" spans="2:14">
      <c r="B11" s="32"/>
      <c r="C11" s="59">
        <v>44517</v>
      </c>
      <c r="D11" s="60" t="s">
        <v>423</v>
      </c>
      <c r="E11" s="60">
        <v>6</v>
      </c>
      <c r="F11" s="59">
        <v>44353</v>
      </c>
      <c r="G11" s="59">
        <v>44536</v>
      </c>
      <c r="H11" s="60"/>
      <c r="I11" s="60">
        <f t="shared" si="0"/>
        <v>16200</v>
      </c>
      <c r="J11" s="60" t="s">
        <v>36</v>
      </c>
      <c r="K11" s="60">
        <v>2700</v>
      </c>
      <c r="L11" s="60" t="s">
        <v>359</v>
      </c>
      <c r="M11" s="64" t="s">
        <v>417</v>
      </c>
      <c r="N11" s="32"/>
    </row>
    <row r="12" s="2" customFormat="1" ht="24" customHeight="1" spans="2:14">
      <c r="B12" s="33"/>
      <c r="C12" s="59">
        <v>44518</v>
      </c>
      <c r="D12" s="60" t="s">
        <v>424</v>
      </c>
      <c r="E12" s="60">
        <v>24</v>
      </c>
      <c r="F12" s="59">
        <v>43799</v>
      </c>
      <c r="G12" s="59">
        <v>44530</v>
      </c>
      <c r="H12" s="60">
        <v>1000</v>
      </c>
      <c r="I12" s="60">
        <f t="shared" si="0"/>
        <v>65800</v>
      </c>
      <c r="J12" s="60" t="s">
        <v>149</v>
      </c>
      <c r="K12" s="60">
        <v>2700</v>
      </c>
      <c r="L12" s="60" t="s">
        <v>359</v>
      </c>
      <c r="M12" s="64" t="s">
        <v>417</v>
      </c>
      <c r="N12" s="33"/>
    </row>
    <row r="13" s="2" customFormat="1" ht="24" customHeight="1" spans="2:14">
      <c r="B13" s="33"/>
      <c r="C13" s="59">
        <v>44519</v>
      </c>
      <c r="D13" s="60" t="s">
        <v>425</v>
      </c>
      <c r="E13" s="60">
        <v>20</v>
      </c>
      <c r="F13" s="59">
        <v>43922</v>
      </c>
      <c r="G13" s="59">
        <v>44531</v>
      </c>
      <c r="H13" s="60">
        <v>1000</v>
      </c>
      <c r="I13" s="60">
        <f t="shared" si="0"/>
        <v>55000</v>
      </c>
      <c r="J13" s="60" t="s">
        <v>38</v>
      </c>
      <c r="K13" s="60">
        <v>2700</v>
      </c>
      <c r="L13" s="60" t="s">
        <v>359</v>
      </c>
      <c r="M13" s="64" t="s">
        <v>417</v>
      </c>
      <c r="N13" s="33"/>
    </row>
    <row r="14" s="2" customFormat="1" ht="24" customHeight="1" spans="2:14">
      <c r="B14" s="46"/>
      <c r="C14" s="59">
        <v>44520</v>
      </c>
      <c r="D14" s="60" t="s">
        <v>426</v>
      </c>
      <c r="E14" s="60">
        <v>12</v>
      </c>
      <c r="F14" s="59">
        <v>44167</v>
      </c>
      <c r="G14" s="59">
        <v>44532</v>
      </c>
      <c r="H14" s="60"/>
      <c r="I14" s="60">
        <f t="shared" si="0"/>
        <v>32400</v>
      </c>
      <c r="J14" s="60" t="s">
        <v>184</v>
      </c>
      <c r="K14" s="60">
        <v>2700</v>
      </c>
      <c r="L14" s="60" t="s">
        <v>359</v>
      </c>
      <c r="M14" s="64" t="s">
        <v>417</v>
      </c>
      <c r="N14" s="46"/>
    </row>
    <row r="15" s="2" customFormat="1" ht="24" customHeight="1" spans="2:14">
      <c r="B15" s="27"/>
      <c r="C15" s="59">
        <v>44521</v>
      </c>
      <c r="D15" s="60" t="s">
        <v>427</v>
      </c>
      <c r="E15" s="60">
        <v>12</v>
      </c>
      <c r="F15" s="59">
        <v>44168</v>
      </c>
      <c r="G15" s="59">
        <v>44533</v>
      </c>
      <c r="H15" s="60">
        <v>1000</v>
      </c>
      <c r="I15" s="60">
        <f t="shared" si="0"/>
        <v>33400</v>
      </c>
      <c r="J15" s="60" t="s">
        <v>50</v>
      </c>
      <c r="K15" s="60">
        <v>2700</v>
      </c>
      <c r="L15" s="60" t="s">
        <v>359</v>
      </c>
      <c r="M15" s="64" t="s">
        <v>417</v>
      </c>
      <c r="N15" s="27"/>
    </row>
    <row r="16" ht="24" customHeight="1" spans="2:14">
      <c r="B16" s="27"/>
      <c r="C16" s="59">
        <v>44522</v>
      </c>
      <c r="D16" s="60" t="s">
        <v>428</v>
      </c>
      <c r="E16" s="60">
        <v>1</v>
      </c>
      <c r="F16" s="59">
        <v>44504</v>
      </c>
      <c r="G16" s="59">
        <v>44534</v>
      </c>
      <c r="H16" s="60"/>
      <c r="I16" s="60">
        <f t="shared" si="0"/>
        <v>2700</v>
      </c>
      <c r="J16" s="60" t="s">
        <v>150</v>
      </c>
      <c r="K16" s="60">
        <v>2700</v>
      </c>
      <c r="L16" s="60" t="s">
        <v>359</v>
      </c>
      <c r="M16" s="64" t="s">
        <v>417</v>
      </c>
      <c r="N16" s="27"/>
    </row>
    <row r="17" s="2" customFormat="1" ht="24" customHeight="1" spans="2:14">
      <c r="B17" s="52"/>
      <c r="C17" s="59">
        <v>44523</v>
      </c>
      <c r="D17" s="60" t="s">
        <v>429</v>
      </c>
      <c r="E17" s="60">
        <v>18</v>
      </c>
      <c r="F17" s="59">
        <v>43987</v>
      </c>
      <c r="G17" s="59">
        <v>44535</v>
      </c>
      <c r="H17" s="60">
        <v>1000</v>
      </c>
      <c r="I17" s="60">
        <f t="shared" si="0"/>
        <v>49600</v>
      </c>
      <c r="J17" s="60" t="s">
        <v>66</v>
      </c>
      <c r="K17" s="60">
        <v>2700</v>
      </c>
      <c r="L17" s="60" t="s">
        <v>359</v>
      </c>
      <c r="M17" s="64" t="s">
        <v>417</v>
      </c>
      <c r="N17" s="27"/>
    </row>
    <row r="18" s="2" customFormat="1" ht="24" customHeight="1" spans="2:14">
      <c r="B18" s="27"/>
      <c r="C18" s="59">
        <v>44524</v>
      </c>
      <c r="D18" s="60" t="s">
        <v>430</v>
      </c>
      <c r="E18" s="60">
        <v>14</v>
      </c>
      <c r="F18" s="59">
        <v>44110</v>
      </c>
      <c r="G18" s="59">
        <v>44536</v>
      </c>
      <c r="H18" s="60">
        <v>1000</v>
      </c>
      <c r="I18" s="60">
        <f t="shared" si="0"/>
        <v>38800</v>
      </c>
      <c r="J18" s="60" t="s">
        <v>153</v>
      </c>
      <c r="K18" s="60">
        <v>2700</v>
      </c>
      <c r="L18" s="60" t="s">
        <v>359</v>
      </c>
      <c r="M18" s="64" t="s">
        <v>417</v>
      </c>
      <c r="N18" s="27"/>
    </row>
    <row r="19" s="2" customFormat="1" ht="24" customHeight="1" spans="2:14">
      <c r="B19" s="32"/>
      <c r="C19" s="59">
        <v>44525</v>
      </c>
      <c r="D19" s="60" t="s">
        <v>431</v>
      </c>
      <c r="E19" s="60">
        <v>7</v>
      </c>
      <c r="F19" s="59">
        <v>44316</v>
      </c>
      <c r="G19" s="59">
        <v>44530</v>
      </c>
      <c r="H19" s="60">
        <v>1000</v>
      </c>
      <c r="I19" s="60">
        <f t="shared" si="0"/>
        <v>19900</v>
      </c>
      <c r="J19" s="60" t="s">
        <v>155</v>
      </c>
      <c r="K19" s="60">
        <v>2700</v>
      </c>
      <c r="L19" s="60" t="s">
        <v>359</v>
      </c>
      <c r="M19" s="64" t="s">
        <v>417</v>
      </c>
      <c r="N19" s="32"/>
    </row>
    <row r="20" s="2" customFormat="1" ht="24" customHeight="1" spans="2:14">
      <c r="B20" s="33"/>
      <c r="C20" s="59">
        <v>44526</v>
      </c>
      <c r="D20" s="60" t="s">
        <v>432</v>
      </c>
      <c r="E20" s="60">
        <v>12</v>
      </c>
      <c r="F20" s="59">
        <v>44166</v>
      </c>
      <c r="G20" s="59">
        <v>44531</v>
      </c>
      <c r="H20" s="60">
        <v>1000</v>
      </c>
      <c r="I20" s="60">
        <f t="shared" si="0"/>
        <v>33400</v>
      </c>
      <c r="J20" s="60" t="s">
        <v>91</v>
      </c>
      <c r="K20" s="60">
        <v>2700</v>
      </c>
      <c r="L20" s="60" t="s">
        <v>359</v>
      </c>
      <c r="M20" s="64" t="s">
        <v>417</v>
      </c>
      <c r="N20" s="33"/>
    </row>
    <row r="21" s="2" customFormat="1" ht="24" customHeight="1" spans="2:14">
      <c r="B21" s="33"/>
      <c r="C21" s="59">
        <v>44527</v>
      </c>
      <c r="D21" s="60" t="s">
        <v>433</v>
      </c>
      <c r="E21" s="60">
        <v>4</v>
      </c>
      <c r="F21" s="59">
        <v>44410</v>
      </c>
      <c r="G21" s="59">
        <v>44532</v>
      </c>
      <c r="H21" s="60"/>
      <c r="I21" s="60">
        <f t="shared" si="0"/>
        <v>10800</v>
      </c>
      <c r="J21" s="60" t="s">
        <v>119</v>
      </c>
      <c r="K21" s="60">
        <v>2700</v>
      </c>
      <c r="L21" s="60" t="s">
        <v>359</v>
      </c>
      <c r="M21" s="64" t="s">
        <v>417</v>
      </c>
      <c r="N21" s="33"/>
    </row>
    <row r="22" s="2" customFormat="1" ht="24" customHeight="1" spans="2:14">
      <c r="B22" s="46"/>
      <c r="C22" s="59">
        <v>44528</v>
      </c>
      <c r="D22" s="60" t="s">
        <v>434</v>
      </c>
      <c r="E22" s="60">
        <v>20</v>
      </c>
      <c r="F22" s="59">
        <v>43924</v>
      </c>
      <c r="G22" s="59">
        <v>44533</v>
      </c>
      <c r="H22" s="60">
        <v>1000</v>
      </c>
      <c r="I22" s="60">
        <f t="shared" si="0"/>
        <v>55000</v>
      </c>
      <c r="J22" s="60" t="s">
        <v>121</v>
      </c>
      <c r="K22" s="60">
        <v>2700</v>
      </c>
      <c r="L22" s="60" t="s">
        <v>359</v>
      </c>
      <c r="M22" s="64" t="s">
        <v>417</v>
      </c>
      <c r="N22" s="46"/>
    </row>
    <row r="23" s="2" customFormat="1" ht="24" customHeight="1" spans="2:14">
      <c r="B23" s="27"/>
      <c r="C23" s="59">
        <v>44529</v>
      </c>
      <c r="D23" s="60" t="s">
        <v>435</v>
      </c>
      <c r="E23" s="60">
        <v>22</v>
      </c>
      <c r="F23" s="59">
        <v>43865</v>
      </c>
      <c r="G23" s="59">
        <v>44534</v>
      </c>
      <c r="H23" s="60">
        <v>1000</v>
      </c>
      <c r="I23" s="60">
        <f t="shared" si="0"/>
        <v>60400</v>
      </c>
      <c r="J23" s="60" t="s">
        <v>157</v>
      </c>
      <c r="K23" s="60">
        <v>2700</v>
      </c>
      <c r="L23" s="60" t="s">
        <v>359</v>
      </c>
      <c r="M23" s="64" t="s">
        <v>417</v>
      </c>
      <c r="N23" s="27"/>
    </row>
    <row r="24" s="2" customFormat="1" ht="24" customHeight="1" spans="2:14">
      <c r="B24" s="27"/>
      <c r="C24" s="59">
        <v>44530</v>
      </c>
      <c r="D24" s="60" t="s">
        <v>436</v>
      </c>
      <c r="E24" s="60">
        <v>20</v>
      </c>
      <c r="F24" s="59">
        <v>43926</v>
      </c>
      <c r="G24" s="59">
        <v>44535</v>
      </c>
      <c r="H24" s="60">
        <v>1000</v>
      </c>
      <c r="I24" s="60">
        <f t="shared" si="0"/>
        <v>55000</v>
      </c>
      <c r="J24" s="60" t="s">
        <v>135</v>
      </c>
      <c r="K24" s="60">
        <v>2700</v>
      </c>
      <c r="L24" s="60" t="s">
        <v>359</v>
      </c>
      <c r="M24" s="64" t="s">
        <v>417</v>
      </c>
      <c r="N24" s="27"/>
    </row>
    <row r="25" s="2" customFormat="1" ht="24" customHeight="1" spans="2:14">
      <c r="B25" s="32"/>
      <c r="C25" s="59">
        <v>44531</v>
      </c>
      <c r="D25" s="60" t="s">
        <v>437</v>
      </c>
      <c r="E25" s="60">
        <v>19</v>
      </c>
      <c r="F25" s="59">
        <v>43957</v>
      </c>
      <c r="G25" s="59">
        <v>44536</v>
      </c>
      <c r="H25" s="60">
        <v>1001</v>
      </c>
      <c r="I25" s="60">
        <f t="shared" si="0"/>
        <v>52320</v>
      </c>
      <c r="J25" s="60" t="s">
        <v>68</v>
      </c>
      <c r="K25" s="60">
        <v>2701</v>
      </c>
      <c r="L25" s="60" t="s">
        <v>363</v>
      </c>
      <c r="M25" s="64" t="s">
        <v>417</v>
      </c>
      <c r="N25" s="32"/>
    </row>
    <row r="26" s="2" customFormat="1" ht="24" customHeight="1" spans="2:14">
      <c r="B26" s="33"/>
      <c r="C26" s="59">
        <v>44532</v>
      </c>
      <c r="D26" s="60" t="s">
        <v>438</v>
      </c>
      <c r="E26" s="60">
        <v>2</v>
      </c>
      <c r="F26" s="59">
        <v>44469</v>
      </c>
      <c r="G26" s="59">
        <v>44530</v>
      </c>
      <c r="H26" s="60">
        <v>1002</v>
      </c>
      <c r="I26" s="60">
        <f t="shared" si="0"/>
        <v>6406</v>
      </c>
      <c r="J26" s="60" t="s">
        <v>93</v>
      </c>
      <c r="K26" s="60">
        <v>2702</v>
      </c>
      <c r="L26" s="60" t="s">
        <v>368</v>
      </c>
      <c r="M26" s="64" t="s">
        <v>417</v>
      </c>
      <c r="N26" s="33"/>
    </row>
    <row r="27" s="2" customFormat="1" ht="24" customHeight="1" spans="2:14">
      <c r="B27" s="33"/>
      <c r="C27" s="59">
        <v>44533</v>
      </c>
      <c r="D27" s="60" t="s">
        <v>439</v>
      </c>
      <c r="E27" s="60">
        <v>21</v>
      </c>
      <c r="F27" s="59">
        <v>43891</v>
      </c>
      <c r="G27" s="59">
        <v>44531</v>
      </c>
      <c r="H27" s="60">
        <v>1003</v>
      </c>
      <c r="I27" s="60">
        <f t="shared" si="0"/>
        <v>57766</v>
      </c>
      <c r="J27" s="60" t="s">
        <v>175</v>
      </c>
      <c r="K27" s="60">
        <v>2703</v>
      </c>
      <c r="L27" s="60" t="s">
        <v>373</v>
      </c>
      <c r="M27" s="64" t="s">
        <v>417</v>
      </c>
      <c r="N27" s="33"/>
    </row>
    <row r="28" s="2" customFormat="1" ht="24" customHeight="1" spans="2:14">
      <c r="B28" s="33"/>
      <c r="C28" s="59">
        <v>44534</v>
      </c>
      <c r="D28" s="60" t="s">
        <v>440</v>
      </c>
      <c r="E28" s="60">
        <v>7</v>
      </c>
      <c r="F28" s="59">
        <v>44318</v>
      </c>
      <c r="G28" s="59">
        <v>44532</v>
      </c>
      <c r="H28" s="60">
        <v>1004</v>
      </c>
      <c r="I28" s="60">
        <f t="shared" si="0"/>
        <v>19932</v>
      </c>
      <c r="J28" s="60" t="s">
        <v>122</v>
      </c>
      <c r="K28" s="60">
        <v>2704</v>
      </c>
      <c r="L28" s="60" t="s">
        <v>378</v>
      </c>
      <c r="M28" s="64" t="s">
        <v>417</v>
      </c>
      <c r="N28" s="33"/>
    </row>
    <row r="29" s="2" customFormat="1" ht="24" customHeight="1" spans="2:14">
      <c r="B29" s="33"/>
      <c r="C29" s="59">
        <v>44535</v>
      </c>
      <c r="D29" s="60" t="s">
        <v>441</v>
      </c>
      <c r="E29" s="60">
        <v>23</v>
      </c>
      <c r="F29" s="59">
        <v>43833</v>
      </c>
      <c r="G29" s="59">
        <v>44533</v>
      </c>
      <c r="H29" s="60">
        <v>1005</v>
      </c>
      <c r="I29" s="60">
        <f t="shared" si="0"/>
        <v>63220</v>
      </c>
      <c r="J29" s="60" t="s">
        <v>124</v>
      </c>
      <c r="K29" s="60">
        <v>2705</v>
      </c>
      <c r="L29" s="60" t="s">
        <v>383</v>
      </c>
      <c r="M29" s="64" t="s">
        <v>417</v>
      </c>
      <c r="N29" s="33"/>
    </row>
    <row r="30" s="2" customFormat="1" ht="24" customHeight="1" spans="2:14">
      <c r="B30" s="33"/>
      <c r="C30" s="59">
        <v>44536</v>
      </c>
      <c r="D30" s="60" t="s">
        <v>442</v>
      </c>
      <c r="E30" s="60">
        <v>1</v>
      </c>
      <c r="F30" s="59">
        <v>44504</v>
      </c>
      <c r="G30" s="59">
        <v>44534</v>
      </c>
      <c r="H30" s="60">
        <v>1006</v>
      </c>
      <c r="I30" s="60">
        <f t="shared" si="0"/>
        <v>3712</v>
      </c>
      <c r="J30" s="60" t="s">
        <v>158</v>
      </c>
      <c r="K30" s="60">
        <v>2706</v>
      </c>
      <c r="L30" s="60" t="s">
        <v>388</v>
      </c>
      <c r="M30" s="64" t="s">
        <v>417</v>
      </c>
      <c r="N30" s="33"/>
    </row>
    <row r="31" s="2" customFormat="1" ht="24" customHeight="1" spans="2:14">
      <c r="B31" s="33"/>
      <c r="C31" s="59">
        <v>44537</v>
      </c>
      <c r="D31" s="60" t="s">
        <v>443</v>
      </c>
      <c r="E31" s="60">
        <v>9</v>
      </c>
      <c r="F31" s="59">
        <v>44260</v>
      </c>
      <c r="G31" s="59">
        <v>44535</v>
      </c>
      <c r="H31" s="60">
        <v>1007</v>
      </c>
      <c r="I31" s="60">
        <f t="shared" si="0"/>
        <v>25370</v>
      </c>
      <c r="J31" s="60" t="s">
        <v>52</v>
      </c>
      <c r="K31" s="60">
        <v>2707</v>
      </c>
      <c r="L31" s="60" t="s">
        <v>393</v>
      </c>
      <c r="M31" s="64" t="s">
        <v>417</v>
      </c>
      <c r="N31" s="33"/>
    </row>
    <row r="32" s="2" customFormat="1" ht="24" customHeight="1" spans="2:14">
      <c r="B32" s="33"/>
      <c r="C32" s="59">
        <v>44538</v>
      </c>
      <c r="D32" s="60" t="s">
        <v>444</v>
      </c>
      <c r="E32" s="60">
        <v>6</v>
      </c>
      <c r="F32" s="59">
        <v>44353</v>
      </c>
      <c r="G32" s="59">
        <v>44536</v>
      </c>
      <c r="H32" s="60">
        <v>1008</v>
      </c>
      <c r="I32" s="60">
        <f t="shared" si="0"/>
        <v>17256</v>
      </c>
      <c r="J32" s="60" t="s">
        <v>159</v>
      </c>
      <c r="K32" s="60">
        <v>2708</v>
      </c>
      <c r="L32" s="60" t="s">
        <v>398</v>
      </c>
      <c r="M32" s="64" t="s">
        <v>417</v>
      </c>
      <c r="N32" s="33"/>
    </row>
    <row r="33" ht="24" customHeight="1" spans="2:14">
      <c r="B33" s="33"/>
      <c r="C33" s="59">
        <v>44539</v>
      </c>
      <c r="D33" s="60" t="s">
        <v>445</v>
      </c>
      <c r="E33" s="60">
        <v>20</v>
      </c>
      <c r="F33" s="59">
        <v>43920</v>
      </c>
      <c r="G33" s="59">
        <v>44530</v>
      </c>
      <c r="H33" s="60">
        <v>1009</v>
      </c>
      <c r="I33" s="60">
        <f t="shared" si="0"/>
        <v>55189</v>
      </c>
      <c r="J33" s="60" t="s">
        <v>70</v>
      </c>
      <c r="K33" s="60">
        <v>2709</v>
      </c>
      <c r="L33" s="60" t="s">
        <v>403</v>
      </c>
      <c r="M33" s="64" t="s">
        <v>417</v>
      </c>
      <c r="N33" s="33"/>
    </row>
    <row r="34" ht="24" customHeight="1" spans="2:14">
      <c r="B34" s="33"/>
      <c r="C34" s="59">
        <v>44540</v>
      </c>
      <c r="D34" s="60" t="s">
        <v>446</v>
      </c>
      <c r="E34" s="60">
        <v>13</v>
      </c>
      <c r="F34" s="59">
        <v>44136</v>
      </c>
      <c r="G34" s="59">
        <v>44531</v>
      </c>
      <c r="H34" s="60">
        <v>1010</v>
      </c>
      <c r="I34" s="60">
        <f t="shared" si="0"/>
        <v>36240</v>
      </c>
      <c r="J34" s="60" t="s">
        <v>160</v>
      </c>
      <c r="K34" s="60">
        <v>2710</v>
      </c>
      <c r="L34" s="60" t="s">
        <v>447</v>
      </c>
      <c r="M34" s="64" t="s">
        <v>417</v>
      </c>
      <c r="N34" s="33"/>
    </row>
    <row r="35" ht="24" customHeight="1" spans="2:14">
      <c r="B35" s="33"/>
      <c r="C35" s="59">
        <v>44541</v>
      </c>
      <c r="D35" s="60" t="s">
        <v>448</v>
      </c>
      <c r="E35" s="60">
        <v>13</v>
      </c>
      <c r="F35" s="59">
        <v>44137</v>
      </c>
      <c r="G35" s="59">
        <v>44532</v>
      </c>
      <c r="H35" s="60">
        <v>1011</v>
      </c>
      <c r="I35" s="60">
        <f t="shared" si="0"/>
        <v>36254</v>
      </c>
      <c r="J35" s="60" t="s">
        <v>161</v>
      </c>
      <c r="K35" s="60">
        <v>2711</v>
      </c>
      <c r="L35" s="60" t="s">
        <v>449</v>
      </c>
      <c r="M35" s="64" t="s">
        <v>417</v>
      </c>
      <c r="N35" s="33"/>
    </row>
    <row r="36" ht="24" customHeight="1" spans="2:14">
      <c r="B36" s="33"/>
      <c r="C36" s="59">
        <v>44542</v>
      </c>
      <c r="D36" s="60" t="s">
        <v>450</v>
      </c>
      <c r="E36" s="60">
        <v>10</v>
      </c>
      <c r="F36" s="59">
        <v>44230</v>
      </c>
      <c r="G36" s="59">
        <v>44533</v>
      </c>
      <c r="H36" s="60">
        <v>1012</v>
      </c>
      <c r="I36" s="60">
        <f t="shared" si="0"/>
        <v>28132</v>
      </c>
      <c r="J36" s="60" t="s">
        <v>95</v>
      </c>
      <c r="K36" s="60">
        <v>2712</v>
      </c>
      <c r="L36" s="60" t="s">
        <v>451</v>
      </c>
      <c r="M36" s="64" t="s">
        <v>417</v>
      </c>
      <c r="N36" s="33"/>
    </row>
    <row r="37" ht="24" customHeight="1" spans="2:14">
      <c r="B37" s="33"/>
      <c r="C37" s="59">
        <v>44543</v>
      </c>
      <c r="D37" s="60" t="s">
        <v>452</v>
      </c>
      <c r="E37" s="60">
        <v>2</v>
      </c>
      <c r="F37" s="59">
        <v>44473</v>
      </c>
      <c r="G37" s="59">
        <v>44534</v>
      </c>
      <c r="H37" s="60">
        <v>1013</v>
      </c>
      <c r="I37" s="60">
        <f t="shared" si="0"/>
        <v>6439</v>
      </c>
      <c r="J37" s="60" t="s">
        <v>126</v>
      </c>
      <c r="K37" s="60">
        <v>2713</v>
      </c>
      <c r="L37" s="60" t="s">
        <v>453</v>
      </c>
      <c r="M37" s="64" t="s">
        <v>417</v>
      </c>
      <c r="N37" s="33"/>
    </row>
    <row r="38" ht="24" customHeight="1" spans="2:14">
      <c r="B38" s="33"/>
      <c r="C38" s="59">
        <v>44544</v>
      </c>
      <c r="D38" s="60" t="s">
        <v>454</v>
      </c>
      <c r="E38" s="60">
        <v>9</v>
      </c>
      <c r="F38" s="59">
        <v>44260</v>
      </c>
      <c r="G38" s="59">
        <v>44535</v>
      </c>
      <c r="H38" s="60">
        <v>1014</v>
      </c>
      <c r="I38" s="60">
        <f t="shared" si="0"/>
        <v>25440</v>
      </c>
      <c r="J38" s="60" t="s">
        <v>127</v>
      </c>
      <c r="K38" s="60">
        <v>2714</v>
      </c>
      <c r="L38" s="60" t="s">
        <v>455</v>
      </c>
      <c r="M38" s="64" t="s">
        <v>417</v>
      </c>
      <c r="N38" s="33"/>
    </row>
    <row r="39" ht="24" customHeight="1" spans="2:14">
      <c r="B39" s="33"/>
      <c r="C39" s="59">
        <v>44545</v>
      </c>
      <c r="D39" s="60" t="s">
        <v>456</v>
      </c>
      <c r="E39" s="60">
        <v>12</v>
      </c>
      <c r="F39" s="59">
        <v>44171</v>
      </c>
      <c r="G39" s="59">
        <v>44536</v>
      </c>
      <c r="H39" s="60">
        <v>1015</v>
      </c>
      <c r="I39" s="60">
        <f t="shared" si="0"/>
        <v>33595</v>
      </c>
      <c r="J39" s="60" t="s">
        <v>164</v>
      </c>
      <c r="K39" s="60">
        <v>2715</v>
      </c>
      <c r="L39" s="60" t="s">
        <v>457</v>
      </c>
      <c r="M39" s="64" t="s">
        <v>417</v>
      </c>
      <c r="N39" s="33"/>
    </row>
    <row r="40" ht="24" customHeight="1" spans="2:14">
      <c r="B40" s="33"/>
      <c r="C40" s="59">
        <v>44546</v>
      </c>
      <c r="D40" s="60" t="s">
        <v>458</v>
      </c>
      <c r="E40" s="60">
        <v>6</v>
      </c>
      <c r="F40" s="59">
        <v>44371</v>
      </c>
      <c r="G40" s="59">
        <v>44554</v>
      </c>
      <c r="H40" s="60">
        <v>1016</v>
      </c>
      <c r="I40" s="60">
        <f t="shared" si="0"/>
        <v>17312</v>
      </c>
      <c r="J40" s="60" t="s">
        <v>137</v>
      </c>
      <c r="K40" s="60">
        <v>2716</v>
      </c>
      <c r="L40" s="60" t="s">
        <v>459</v>
      </c>
      <c r="M40" s="64" t="s">
        <v>417</v>
      </c>
      <c r="N40" s="33"/>
    </row>
    <row r="41" ht="24" customHeight="1" spans="2:14">
      <c r="B41" s="33"/>
      <c r="C41" s="59">
        <v>44547</v>
      </c>
      <c r="D41" s="60" t="s">
        <v>460</v>
      </c>
      <c r="E41" s="60">
        <v>15</v>
      </c>
      <c r="F41" s="59">
        <v>44099</v>
      </c>
      <c r="G41" s="59">
        <v>44555</v>
      </c>
      <c r="H41" s="60">
        <v>1017</v>
      </c>
      <c r="I41" s="60">
        <f t="shared" si="0"/>
        <v>41772</v>
      </c>
      <c r="J41" s="60" t="s">
        <v>76</v>
      </c>
      <c r="K41" s="60">
        <v>2717</v>
      </c>
      <c r="L41" s="60" t="s">
        <v>461</v>
      </c>
      <c r="M41" s="64" t="s">
        <v>417</v>
      </c>
      <c r="N41" s="33"/>
    </row>
    <row r="42" ht="24" customHeight="1" spans="2:14">
      <c r="B42" s="33"/>
      <c r="C42" s="59">
        <v>44548</v>
      </c>
      <c r="D42" s="60" t="s">
        <v>462</v>
      </c>
      <c r="E42" s="60">
        <v>6</v>
      </c>
      <c r="F42" s="59">
        <v>44373</v>
      </c>
      <c r="G42" s="59">
        <v>44556</v>
      </c>
      <c r="H42" s="60">
        <v>1018</v>
      </c>
      <c r="I42" s="60">
        <f t="shared" si="0"/>
        <v>17326</v>
      </c>
      <c r="J42" s="60" t="s">
        <v>100</v>
      </c>
      <c r="K42" s="60">
        <v>2718</v>
      </c>
      <c r="L42" s="60" t="s">
        <v>463</v>
      </c>
      <c r="M42" s="64" t="s">
        <v>417</v>
      </c>
      <c r="N42" s="33"/>
    </row>
    <row r="43" ht="24" customHeight="1" spans="2:14">
      <c r="B43" s="33"/>
      <c r="C43" s="59">
        <v>44549</v>
      </c>
      <c r="D43" s="60" t="s">
        <v>464</v>
      </c>
      <c r="E43" s="60">
        <v>6</v>
      </c>
      <c r="F43" s="59">
        <v>44374</v>
      </c>
      <c r="G43" s="59">
        <v>44557</v>
      </c>
      <c r="H43" s="60">
        <v>1019</v>
      </c>
      <c r="I43" s="60">
        <f t="shared" si="0"/>
        <v>17333</v>
      </c>
      <c r="J43" s="60" t="s">
        <v>177</v>
      </c>
      <c r="K43" s="60">
        <v>2719</v>
      </c>
      <c r="L43" s="60" t="s">
        <v>465</v>
      </c>
      <c r="M43" s="64" t="s">
        <v>417</v>
      </c>
      <c r="N43" s="33"/>
    </row>
    <row r="44" ht="24" customHeight="1" spans="2:14">
      <c r="B44" s="33"/>
      <c r="C44" s="59">
        <v>44550</v>
      </c>
      <c r="D44" s="60" t="s">
        <v>466</v>
      </c>
      <c r="E44" s="60">
        <v>1</v>
      </c>
      <c r="F44" s="59">
        <v>44528</v>
      </c>
      <c r="G44" s="59">
        <v>44558</v>
      </c>
      <c r="H44" s="60">
        <v>1020</v>
      </c>
      <c r="I44" s="60">
        <f t="shared" si="0"/>
        <v>3740</v>
      </c>
      <c r="J44" s="60" t="s">
        <v>128</v>
      </c>
      <c r="K44" s="60">
        <v>2720</v>
      </c>
      <c r="L44" s="60" t="s">
        <v>467</v>
      </c>
      <c r="M44" s="64" t="s">
        <v>417</v>
      </c>
      <c r="N44" s="33"/>
    </row>
    <row r="45" ht="24" customHeight="1" spans="2:14">
      <c r="B45" s="33"/>
      <c r="C45" s="59">
        <v>44551</v>
      </c>
      <c r="D45" s="60" t="s">
        <v>468</v>
      </c>
      <c r="E45" s="60">
        <v>20</v>
      </c>
      <c r="F45" s="59">
        <v>43950</v>
      </c>
      <c r="G45" s="59">
        <v>44559</v>
      </c>
      <c r="H45" s="60">
        <v>1021</v>
      </c>
      <c r="I45" s="60">
        <f t="shared" si="0"/>
        <v>55441</v>
      </c>
      <c r="J45" s="60" t="s">
        <v>469</v>
      </c>
      <c r="K45" s="60">
        <v>2721</v>
      </c>
      <c r="L45" s="60" t="s">
        <v>470</v>
      </c>
      <c r="M45" s="64" t="s">
        <v>417</v>
      </c>
      <c r="N45" s="33"/>
    </row>
    <row r="46" ht="24" customHeight="1" spans="2:14">
      <c r="B46" s="33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4"/>
      <c r="N46" s="33"/>
    </row>
    <row r="47" ht="24" customHeight="1" spans="2:14">
      <c r="B47" s="33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4"/>
      <c r="N47" s="33"/>
    </row>
    <row r="48" ht="24" customHeight="1" spans="2:14">
      <c r="B48" s="33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4"/>
      <c r="N48" s="33"/>
    </row>
    <row r="49" ht="24" customHeight="1" spans="2:14">
      <c r="B49" s="33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4"/>
      <c r="N49" s="33"/>
    </row>
    <row r="50" ht="24" customHeight="1" spans="2:14">
      <c r="B50" s="33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4"/>
      <c r="N50" s="33"/>
    </row>
    <row r="51" ht="24" customHeight="1" spans="2:14">
      <c r="B51" s="33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4"/>
      <c r="N51" s="33"/>
    </row>
    <row r="52" ht="24" customHeight="1" spans="2:14">
      <c r="B52" s="33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4"/>
      <c r="N52" s="33"/>
    </row>
    <row r="53" ht="24" customHeight="1" spans="2:14">
      <c r="B53" s="33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4"/>
      <c r="N53" s="33"/>
    </row>
    <row r="54" ht="24" customHeight="1" spans="2:14">
      <c r="B54" s="33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4"/>
      <c r="N54" s="33"/>
    </row>
    <row r="55" ht="24" customHeight="1" spans="2:14">
      <c r="B55" s="33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4"/>
      <c r="N55" s="33"/>
    </row>
    <row r="56" ht="24" customHeight="1" spans="2:14">
      <c r="B56" s="33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4"/>
      <c r="N56" s="33"/>
    </row>
    <row r="57" ht="24" customHeight="1" spans="2:14">
      <c r="B57" s="33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4"/>
      <c r="N57" s="33"/>
    </row>
    <row r="58" ht="24" customHeight="1" spans="2:14">
      <c r="B58" s="33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4"/>
      <c r="N58" s="33"/>
    </row>
    <row r="59" ht="24" customHeight="1" spans="2:14">
      <c r="B59" s="33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4"/>
      <c r="N59" s="33"/>
    </row>
    <row r="60" ht="24" customHeight="1" spans="2:14">
      <c r="B60" s="33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4"/>
      <c r="N60" s="33"/>
    </row>
    <row r="61" ht="24" customHeight="1" spans="2:14">
      <c r="B61" s="33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4"/>
      <c r="N61" s="33"/>
    </row>
    <row r="62" ht="24" customHeight="1" spans="2:14">
      <c r="B62" s="33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4"/>
      <c r="N62" s="33"/>
    </row>
    <row r="63" ht="24" customHeight="1" spans="2:14">
      <c r="B63" s="33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4"/>
      <c r="N63" s="33"/>
    </row>
    <row r="64" ht="24" customHeight="1" spans="2:14">
      <c r="B64" s="33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4"/>
      <c r="N64" s="33"/>
    </row>
    <row r="65" ht="24" customHeight="1" spans="2:14">
      <c r="B65" s="33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4"/>
      <c r="N65" s="33"/>
    </row>
    <row r="66" ht="24" customHeight="1" spans="2:14">
      <c r="B66" s="33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4"/>
      <c r="N66" s="33"/>
    </row>
    <row r="67" ht="24" customHeight="1" spans="2:14">
      <c r="B67" s="33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4"/>
      <c r="N67" s="33"/>
    </row>
    <row r="68" ht="24" customHeight="1" spans="2:14">
      <c r="B68" s="33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4"/>
      <c r="N68" s="33"/>
    </row>
    <row r="69" ht="24" customHeight="1" spans="2:14">
      <c r="B69" s="33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4"/>
      <c r="N69" s="33"/>
    </row>
    <row r="70" ht="24" customHeight="1" spans="2:14">
      <c r="B70" s="33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4"/>
      <c r="N70" s="33"/>
    </row>
    <row r="71" ht="24" customHeight="1" spans="2:14">
      <c r="B71" s="33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4"/>
      <c r="N71" s="33"/>
    </row>
    <row r="72" ht="24" customHeight="1" spans="2:14">
      <c r="B72" s="33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4"/>
      <c r="N72" s="33"/>
    </row>
    <row r="73" ht="24" customHeight="1" spans="2:14">
      <c r="B73" s="33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4"/>
      <c r="N73" s="33"/>
    </row>
    <row r="74" ht="24" customHeight="1" spans="2:14">
      <c r="B74" s="33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4"/>
      <c r="N74" s="33"/>
    </row>
    <row r="75" ht="24" customHeight="1" spans="2:14">
      <c r="B75" s="33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4"/>
      <c r="N75" s="33"/>
    </row>
    <row r="76" ht="24" customHeight="1" spans="2:14">
      <c r="B76" s="33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4"/>
      <c r="N76" s="33"/>
    </row>
    <row r="77" ht="24" customHeight="1" spans="2:14">
      <c r="B77" s="33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4"/>
      <c r="N77" s="33"/>
    </row>
    <row r="78" ht="24" customHeight="1" spans="2:14">
      <c r="B78" s="33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4"/>
      <c r="N78" s="33"/>
    </row>
    <row r="79" ht="24" customHeight="1" spans="2:14">
      <c r="B79" s="33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4"/>
      <c r="N79" s="33"/>
    </row>
    <row r="80" ht="24" customHeight="1" spans="2:14">
      <c r="B80" s="33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4"/>
      <c r="N80" s="33"/>
    </row>
    <row r="81" ht="24" customHeight="1" spans="2:14">
      <c r="B81" s="33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4"/>
      <c r="N81" s="33"/>
    </row>
    <row r="82" ht="24" customHeight="1" spans="2:14">
      <c r="B82" s="33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4"/>
      <c r="N82" s="33"/>
    </row>
    <row r="83" ht="24" customHeight="1" spans="2:14">
      <c r="B83" s="33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4"/>
      <c r="N83" s="33"/>
    </row>
    <row r="84" ht="24" customHeight="1" spans="2:14">
      <c r="B84" s="33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4"/>
      <c r="N84" s="33"/>
    </row>
    <row r="85" ht="24" customHeight="1" spans="2:14">
      <c r="B85" s="33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4"/>
      <c r="N85" s="33"/>
    </row>
    <row r="86" ht="24" customHeight="1" spans="2:14">
      <c r="B86" s="33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4"/>
      <c r="N86" s="33"/>
    </row>
    <row r="87" ht="24" customHeight="1" spans="2:14">
      <c r="B87" s="33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4"/>
      <c r="N87" s="33"/>
    </row>
    <row r="88" ht="24" customHeight="1" spans="2:14">
      <c r="B88" s="33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4"/>
      <c r="N88" s="33"/>
    </row>
    <row r="89" ht="24" customHeight="1" spans="2:14">
      <c r="B89" s="33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4"/>
      <c r="N89" s="33"/>
    </row>
    <row r="90" ht="24" customHeight="1" spans="2:14">
      <c r="B90" s="33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4"/>
      <c r="N90" s="33"/>
    </row>
    <row r="91" ht="24" customHeight="1" spans="2:14">
      <c r="B91" s="33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4"/>
      <c r="N91" s="33"/>
    </row>
    <row r="92" ht="24" customHeight="1" spans="2:14">
      <c r="B92" s="33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4"/>
      <c r="N92" s="33"/>
    </row>
    <row r="93" ht="24" customHeight="1" spans="2:14">
      <c r="B93" s="33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4"/>
      <c r="N93" s="33"/>
    </row>
    <row r="94" ht="24" customHeight="1" spans="2:14">
      <c r="B94" s="33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4"/>
      <c r="N94" s="33"/>
    </row>
    <row r="95" ht="24" customHeight="1" spans="2:14">
      <c r="B95" s="33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4"/>
      <c r="N95" s="33"/>
    </row>
    <row r="96" ht="24" customHeight="1" spans="2:14">
      <c r="B96" s="33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4"/>
      <c r="N96" s="33"/>
    </row>
    <row r="97" ht="24" customHeight="1" spans="2:14">
      <c r="B97" s="33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4"/>
      <c r="N97" s="33"/>
    </row>
    <row r="98" ht="24" customHeight="1" spans="2:14">
      <c r="B98" s="33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4"/>
      <c r="N98" s="33"/>
    </row>
    <row r="99" ht="24" customHeight="1" spans="2:14">
      <c r="B99" s="33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4"/>
      <c r="N99" s="33"/>
    </row>
    <row r="100" ht="24" customHeight="1" spans="2:14">
      <c r="B100" s="33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4"/>
      <c r="N100" s="33"/>
    </row>
    <row r="101" ht="24" customHeight="1" spans="2:14">
      <c r="B101" s="33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4"/>
      <c r="N101" s="33"/>
    </row>
    <row r="102" ht="24" customHeight="1" spans="2:14">
      <c r="B102" s="33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4"/>
      <c r="N102" s="33"/>
    </row>
    <row r="103" ht="24" customHeight="1" spans="2:14">
      <c r="B103" s="33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4"/>
      <c r="N103" s="33"/>
    </row>
    <row r="104" ht="24" customHeight="1" spans="2:14">
      <c r="B104" s="33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4"/>
      <c r="N104" s="33"/>
    </row>
    <row r="105" ht="24" customHeight="1" spans="2:14">
      <c r="B105" s="33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4"/>
      <c r="N105" s="33"/>
    </row>
    <row r="106" ht="24" customHeight="1" spans="2:14">
      <c r="B106" s="33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4"/>
      <c r="N106" s="33"/>
    </row>
    <row r="107" ht="24" customHeight="1" spans="2:14">
      <c r="B107" s="33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4"/>
      <c r="N107" s="33"/>
    </row>
    <row r="108" ht="24" customHeight="1" spans="2:14">
      <c r="B108" s="33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4"/>
      <c r="N108" s="33"/>
    </row>
    <row r="109" ht="24" customHeight="1" spans="2:14">
      <c r="B109" s="33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4"/>
      <c r="N109" s="33"/>
    </row>
    <row r="110" ht="24" customHeight="1" spans="2:14">
      <c r="B110" s="33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4"/>
      <c r="N110" s="33"/>
    </row>
    <row r="111" ht="24" customHeight="1" spans="2:14">
      <c r="B111" s="33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4"/>
      <c r="N111" s="33"/>
    </row>
    <row r="112" ht="24" customHeight="1" spans="2:14">
      <c r="B112" s="33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4"/>
      <c r="N112" s="33"/>
    </row>
    <row r="113" ht="24" customHeight="1" spans="2:14">
      <c r="B113" s="33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4"/>
      <c r="N113" s="33"/>
    </row>
    <row r="114" ht="24" customHeight="1" spans="2:14">
      <c r="B114" s="33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4"/>
      <c r="N114" s="33"/>
    </row>
    <row r="115" ht="24" customHeight="1" spans="2:14">
      <c r="B115" s="33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4"/>
      <c r="N115" s="33"/>
    </row>
    <row r="116" ht="24" customHeight="1" spans="2:14">
      <c r="B116" s="33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4"/>
      <c r="N116" s="33"/>
    </row>
    <row r="117" ht="24" customHeight="1" spans="2:14">
      <c r="B117" s="33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4"/>
      <c r="N117" s="33"/>
    </row>
    <row r="118" ht="24" customHeight="1" spans="2:14">
      <c r="B118" s="33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4"/>
      <c r="N118" s="33"/>
    </row>
    <row r="119" ht="24" customHeight="1" spans="2:14">
      <c r="B119" s="33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4"/>
      <c r="N119" s="33"/>
    </row>
    <row r="120" ht="24" customHeight="1" spans="2:14">
      <c r="B120" s="33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4"/>
      <c r="N120" s="33"/>
    </row>
    <row r="121" ht="24" customHeight="1" spans="2:14">
      <c r="B121" s="33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4"/>
      <c r="N121" s="33"/>
    </row>
    <row r="122" ht="24" customHeight="1" spans="2:14">
      <c r="B122" s="33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4"/>
      <c r="N122" s="33"/>
    </row>
    <row r="123" ht="24" customHeight="1" spans="2:14">
      <c r="B123" s="33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4"/>
      <c r="N123" s="33"/>
    </row>
    <row r="124" ht="24" customHeight="1" spans="2:14">
      <c r="B124" s="33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4"/>
      <c r="N124" s="33"/>
    </row>
    <row r="125" ht="24" customHeight="1" spans="2:14">
      <c r="B125" s="33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4"/>
      <c r="N125" s="33"/>
    </row>
    <row r="126" ht="24" customHeight="1" spans="2:14">
      <c r="B126" s="33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4"/>
      <c r="N126" s="33"/>
    </row>
    <row r="127" ht="24" customHeight="1" spans="2:14">
      <c r="B127" s="33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4"/>
      <c r="N127" s="33"/>
    </row>
    <row r="128" ht="24" customHeight="1" spans="2:14">
      <c r="B128" s="33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4"/>
      <c r="N128" s="33"/>
    </row>
    <row r="129" ht="24" customHeight="1" spans="2:14">
      <c r="B129" s="33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4"/>
      <c r="N129" s="33"/>
    </row>
    <row r="130" ht="24" customHeight="1" spans="2:14">
      <c r="B130" s="33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4"/>
      <c r="N130" s="33"/>
    </row>
    <row r="131" ht="24" customHeight="1" spans="2:14">
      <c r="B131" s="33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4"/>
      <c r="N131" s="33"/>
    </row>
    <row r="132" ht="24" customHeight="1" spans="2:14">
      <c r="B132" s="33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4"/>
      <c r="N132" s="33"/>
    </row>
    <row r="133" ht="24" customHeight="1" spans="2:14">
      <c r="B133" s="33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4"/>
      <c r="N133" s="33"/>
    </row>
    <row r="134" ht="24" customHeight="1" spans="2:14">
      <c r="B134" s="33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4"/>
      <c r="N134" s="33"/>
    </row>
    <row r="135" ht="24" customHeight="1" spans="2:14">
      <c r="B135" s="33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4"/>
      <c r="N135" s="33"/>
    </row>
    <row r="136" ht="24" customHeight="1" spans="2:14">
      <c r="B136" s="33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4"/>
      <c r="N136" s="33"/>
    </row>
    <row r="137" ht="24" customHeight="1" spans="2:14">
      <c r="B137" s="33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4"/>
      <c r="N137" s="33"/>
    </row>
    <row r="138" ht="24" customHeight="1" spans="2:14">
      <c r="B138" s="33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4"/>
      <c r="N138" s="33"/>
    </row>
    <row r="139" ht="24" customHeight="1" spans="2:14">
      <c r="B139" s="33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4"/>
      <c r="N139" s="33"/>
    </row>
    <row r="140" ht="24" customHeight="1" spans="2:14">
      <c r="B140" s="33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4"/>
      <c r="N140" s="33"/>
    </row>
    <row r="141" ht="24" customHeight="1" spans="2:14">
      <c r="B141" s="33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4"/>
      <c r="N141" s="33"/>
    </row>
    <row r="142" ht="24" customHeight="1" spans="2:14">
      <c r="B142" s="33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4"/>
      <c r="N142" s="33"/>
    </row>
    <row r="143" ht="24" customHeight="1" spans="2:14">
      <c r="B143" s="33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4"/>
      <c r="N143" s="33"/>
    </row>
    <row r="144" ht="24" customHeight="1" spans="2:14">
      <c r="B144" s="33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4"/>
      <c r="N144" s="33"/>
    </row>
    <row r="145" ht="24" customHeight="1" spans="2:14">
      <c r="B145" s="33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4"/>
      <c r="N145" s="33"/>
    </row>
    <row r="146" ht="24" customHeight="1" spans="2:14">
      <c r="B146" s="33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4"/>
      <c r="N146" s="33"/>
    </row>
    <row r="147" ht="24" customHeight="1" spans="2:14">
      <c r="B147" s="33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4"/>
      <c r="N147" s="33"/>
    </row>
    <row r="148" ht="24" customHeight="1" spans="2:14">
      <c r="B148" s="33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4"/>
      <c r="N148" s="33"/>
    </row>
    <row r="149" ht="24" customHeight="1" spans="2:14">
      <c r="B149" s="33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4"/>
      <c r="N149" s="33"/>
    </row>
    <row r="150" ht="24" customHeight="1" spans="2:14">
      <c r="B150" s="33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4"/>
      <c r="N150" s="33"/>
    </row>
    <row r="151" ht="24" customHeight="1" spans="2:14">
      <c r="B151" s="33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4"/>
      <c r="N151" s="33"/>
    </row>
    <row r="152" ht="24" customHeight="1" spans="2:14">
      <c r="B152" s="33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4"/>
      <c r="N152" s="33"/>
    </row>
    <row r="153" ht="24" customHeight="1" spans="2:14">
      <c r="B153" s="33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4"/>
      <c r="N153" s="33"/>
    </row>
    <row r="154" ht="24" customHeight="1" spans="2:14">
      <c r="B154" s="33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4"/>
      <c r="N154" s="33"/>
    </row>
    <row r="155" ht="24" customHeight="1" spans="2:14">
      <c r="B155" s="33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4"/>
      <c r="N155" s="33"/>
    </row>
    <row r="156" ht="24" customHeight="1" spans="2:14">
      <c r="B156" s="33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4"/>
      <c r="N156" s="33"/>
    </row>
    <row r="157" ht="24" customHeight="1" spans="2:14">
      <c r="B157" s="33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4"/>
      <c r="N157" s="33"/>
    </row>
    <row r="158" ht="24" customHeight="1" spans="2:14">
      <c r="B158" s="33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4"/>
      <c r="N158" s="33"/>
    </row>
    <row r="159" ht="24" customHeight="1" spans="2:14">
      <c r="B159" s="33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4"/>
      <c r="N159" s="33"/>
    </row>
    <row r="160" ht="24" customHeight="1" spans="2:14">
      <c r="B160" s="33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4"/>
      <c r="N160" s="33"/>
    </row>
    <row r="161" ht="24" customHeight="1" spans="2:14">
      <c r="B161" s="33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4"/>
      <c r="N161" s="33"/>
    </row>
    <row r="162" ht="24" customHeight="1" spans="2:14">
      <c r="B162" s="33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4"/>
      <c r="N162" s="33"/>
    </row>
    <row r="163" ht="24" customHeight="1" spans="2:14">
      <c r="B163" s="33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4"/>
      <c r="N163" s="33"/>
    </row>
    <row r="164" ht="24" customHeight="1" spans="2:14">
      <c r="B164" s="33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4"/>
      <c r="N164" s="33"/>
    </row>
    <row r="165" ht="24" customHeight="1" spans="2:14">
      <c r="B165" s="33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4"/>
      <c r="N165" s="33"/>
    </row>
    <row r="166" ht="24" customHeight="1" spans="2:14">
      <c r="B166" s="33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4"/>
      <c r="N166" s="33"/>
    </row>
    <row r="167" ht="24" customHeight="1" spans="2:14">
      <c r="B167" s="33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4"/>
      <c r="N167" s="33"/>
    </row>
    <row r="168" ht="24" customHeight="1" spans="2:14">
      <c r="B168" s="33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4"/>
      <c r="N168" s="33"/>
    </row>
    <row r="169" ht="24" customHeight="1" spans="2:14">
      <c r="B169" s="33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4"/>
      <c r="N169" s="33"/>
    </row>
    <row r="170" ht="24" customHeight="1" spans="2:14">
      <c r="B170" s="33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4"/>
      <c r="N170" s="33"/>
    </row>
    <row r="171" ht="24" customHeight="1" spans="2:14">
      <c r="B171" s="33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4"/>
      <c r="N171" s="33"/>
    </row>
    <row r="172" ht="24" customHeight="1" spans="2:14">
      <c r="B172" s="33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4"/>
      <c r="N172" s="33"/>
    </row>
    <row r="173" ht="24" customHeight="1" spans="2:14">
      <c r="B173" s="33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4"/>
      <c r="N173" s="33"/>
    </row>
    <row r="174" ht="24" customHeight="1" spans="2:14">
      <c r="B174" s="33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4"/>
      <c r="N174" s="33"/>
    </row>
    <row r="175" ht="24" customHeight="1" spans="2:14">
      <c r="B175" s="33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4"/>
      <c r="N175" s="33"/>
    </row>
    <row r="176" ht="24" customHeight="1" spans="2:14">
      <c r="B176" s="33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4"/>
      <c r="N176" s="33"/>
    </row>
    <row r="177" ht="24" customHeight="1" spans="2:14">
      <c r="B177" s="33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4"/>
      <c r="N177" s="33"/>
    </row>
    <row r="178" ht="24" customHeight="1" spans="2:14">
      <c r="B178" s="33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4"/>
      <c r="N178" s="33"/>
    </row>
    <row r="179" ht="24" customHeight="1" spans="2:14">
      <c r="B179" s="33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4"/>
      <c r="N179" s="33"/>
    </row>
    <row r="180" ht="24" customHeight="1" spans="2:14">
      <c r="B180" s="33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4"/>
      <c r="N180" s="33"/>
    </row>
    <row r="181" ht="24" customHeight="1" spans="2:14">
      <c r="B181" s="33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4"/>
      <c r="N181" s="33"/>
    </row>
    <row r="182" ht="24" customHeight="1" spans="2:14">
      <c r="B182" s="33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4"/>
      <c r="N182" s="33"/>
    </row>
    <row r="183" ht="24" customHeight="1" spans="2:14">
      <c r="B183" s="33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4"/>
      <c r="N183" s="33"/>
    </row>
    <row r="184" ht="24" customHeight="1" spans="2:14">
      <c r="B184" s="33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4"/>
      <c r="N184" s="33"/>
    </row>
    <row r="185" ht="24" customHeight="1" spans="2:14">
      <c r="B185" s="33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4"/>
      <c r="N185" s="33"/>
    </row>
    <row r="186" ht="24" customHeight="1" spans="2:14">
      <c r="B186" s="33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4"/>
      <c r="N186" s="33"/>
    </row>
    <row r="187" ht="24" customHeight="1" spans="2:14">
      <c r="B187" s="33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4"/>
      <c r="N187" s="33"/>
    </row>
    <row r="188" ht="24" customHeight="1" spans="2:14">
      <c r="B188" s="33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4"/>
      <c r="N188" s="33"/>
    </row>
    <row r="189" ht="24" customHeight="1" spans="2:14">
      <c r="B189" s="33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4"/>
      <c r="N189" s="33"/>
    </row>
    <row r="190" ht="24" customHeight="1" spans="2:14">
      <c r="B190" s="33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4"/>
      <c r="N190" s="33"/>
    </row>
    <row r="191" ht="24" customHeight="1" spans="2:14">
      <c r="B191" s="33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4"/>
      <c r="N191" s="33"/>
    </row>
    <row r="192" ht="24" customHeight="1" spans="2:14">
      <c r="B192" s="33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4"/>
      <c r="N192" s="33"/>
    </row>
    <row r="193" ht="24" customHeight="1" spans="2:14">
      <c r="B193" s="33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4"/>
      <c r="N193" s="33"/>
    </row>
    <row r="194" ht="24" customHeight="1" spans="2:14">
      <c r="B194" s="33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4"/>
      <c r="N194" s="33"/>
    </row>
    <row r="195" ht="24" customHeight="1" spans="2:14">
      <c r="B195" s="33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4"/>
      <c r="N195" s="33"/>
    </row>
    <row r="196" ht="24" customHeight="1" spans="2:14">
      <c r="B196" s="33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4"/>
      <c r="N196" s="33"/>
    </row>
    <row r="197" ht="24" customHeight="1" spans="2:14">
      <c r="B197" s="33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4"/>
      <c r="N197" s="33"/>
    </row>
    <row r="198" ht="24" customHeight="1" spans="2:14">
      <c r="B198" s="33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4"/>
      <c r="N198" s="33"/>
    </row>
    <row r="199" ht="24" customHeight="1" spans="2:14">
      <c r="B199" s="33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4"/>
      <c r="N199" s="33"/>
    </row>
    <row r="200" ht="24" customHeight="1" spans="2:14">
      <c r="B200" s="33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4"/>
      <c r="N200" s="33"/>
    </row>
    <row r="201" ht="24" customHeight="1" spans="2:14">
      <c r="B201" s="33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4"/>
      <c r="N201" s="33"/>
    </row>
    <row r="202" ht="24" customHeight="1" spans="2:14">
      <c r="B202" s="33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4"/>
      <c r="N202" s="33"/>
    </row>
    <row r="203" ht="24" customHeight="1" spans="2:14">
      <c r="B203" s="33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4"/>
      <c r="N203" s="33"/>
    </row>
    <row r="204" ht="24" customHeight="1" spans="2:14">
      <c r="B204" s="33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4"/>
      <c r="N204" s="33"/>
    </row>
    <row r="205" ht="24" customHeight="1" spans="2:14">
      <c r="B205" s="33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4"/>
      <c r="N205" s="33"/>
    </row>
    <row r="206" ht="24" customHeight="1" spans="2:14">
      <c r="B206" s="33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4"/>
      <c r="N206" s="33"/>
    </row>
    <row r="207" ht="24" customHeight="1" spans="2:14">
      <c r="B207" s="33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4"/>
      <c r="N207" s="33"/>
    </row>
    <row r="208" ht="24" customHeight="1" spans="2:14">
      <c r="B208" s="33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4"/>
      <c r="N208" s="33"/>
    </row>
    <row r="209" ht="24" customHeight="1" spans="2:14">
      <c r="B209" s="33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4"/>
      <c r="N209" s="33"/>
    </row>
    <row r="210" ht="24" customHeight="1" spans="2:14">
      <c r="B210" s="33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4"/>
      <c r="N210" s="33"/>
    </row>
    <row r="211" ht="24" customHeight="1" spans="2:14">
      <c r="B211" s="33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4"/>
      <c r="N211" s="33"/>
    </row>
    <row r="212" ht="24" customHeight="1" spans="2:14">
      <c r="B212" s="33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4"/>
      <c r="N212" s="33"/>
    </row>
    <row r="213" ht="24" customHeight="1" spans="2:14">
      <c r="B213" s="33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4"/>
      <c r="N213" s="33"/>
    </row>
    <row r="214" ht="24" customHeight="1" spans="2:14">
      <c r="B214" s="33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4"/>
      <c r="N214" s="33"/>
    </row>
    <row r="215" ht="24" customHeight="1" spans="2:14">
      <c r="B215" s="33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4"/>
      <c r="N215" s="33"/>
    </row>
    <row r="216" ht="24" customHeight="1" spans="2:14">
      <c r="B216" s="33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4"/>
      <c r="N216" s="33"/>
    </row>
    <row r="217" ht="24" customHeight="1" spans="2:14">
      <c r="B217" s="33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4"/>
      <c r="N217" s="33"/>
    </row>
    <row r="218" ht="24" customHeight="1" spans="2:14">
      <c r="B218" s="33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4"/>
      <c r="N218" s="33"/>
    </row>
    <row r="219" ht="24" customHeight="1" spans="2:14">
      <c r="B219" s="33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4"/>
      <c r="N219" s="33"/>
    </row>
    <row r="220" ht="24" customHeight="1" spans="2:14">
      <c r="B220" s="33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4"/>
      <c r="N220" s="33"/>
    </row>
    <row r="221" ht="24" customHeight="1" spans="2:14">
      <c r="B221" s="33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4"/>
      <c r="N221" s="33"/>
    </row>
    <row r="222" ht="24" customHeight="1" spans="2:14">
      <c r="B222" s="33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4"/>
      <c r="N222" s="33"/>
    </row>
    <row r="223" ht="24" customHeight="1" spans="2:14">
      <c r="B223" s="33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4"/>
      <c r="N223" s="33"/>
    </row>
    <row r="224" ht="24" customHeight="1" spans="2:14">
      <c r="B224" s="33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4"/>
      <c r="N224" s="33"/>
    </row>
    <row r="225" ht="24" customHeight="1" spans="2:14">
      <c r="B225" s="33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4"/>
      <c r="N225" s="33"/>
    </row>
    <row r="226" ht="24" customHeight="1" spans="2:14">
      <c r="B226" s="33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4"/>
      <c r="N226" s="33"/>
    </row>
    <row r="227" ht="24" customHeight="1" spans="2:14">
      <c r="B227" s="33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4"/>
      <c r="N227" s="33"/>
    </row>
    <row r="228" ht="24" customHeight="1" spans="2:14">
      <c r="B228" s="33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4"/>
      <c r="N228" s="33"/>
    </row>
    <row r="229" ht="24" customHeight="1" spans="2:14">
      <c r="B229" s="33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4"/>
      <c r="N229" s="33"/>
    </row>
    <row r="230" ht="24" customHeight="1" spans="2:14">
      <c r="B230" s="33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4"/>
      <c r="N230" s="33"/>
    </row>
    <row r="231" ht="24" customHeight="1" spans="2:14">
      <c r="B231" s="33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4"/>
      <c r="N231" s="33"/>
    </row>
    <row r="232" ht="24" customHeight="1" spans="2:14">
      <c r="B232" s="33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4"/>
      <c r="N232" s="33"/>
    </row>
    <row r="233" ht="24" customHeight="1" spans="2:14">
      <c r="B233" s="33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4"/>
      <c r="N233" s="33"/>
    </row>
    <row r="234" ht="24" customHeight="1" spans="2:14">
      <c r="B234" s="33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4"/>
      <c r="N234" s="33"/>
    </row>
    <row r="235" ht="24" customHeight="1" spans="2:14">
      <c r="B235" s="33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4"/>
      <c r="N235" s="33"/>
    </row>
    <row r="236" ht="24" customHeight="1" spans="2:14">
      <c r="B236" s="33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4"/>
      <c r="N236" s="33"/>
    </row>
    <row r="237" ht="24" customHeight="1" spans="2:14">
      <c r="B237" s="33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4"/>
      <c r="N237" s="33"/>
    </row>
    <row r="238" ht="24" customHeight="1" spans="2:14">
      <c r="B238" s="33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4"/>
      <c r="N238" s="33"/>
    </row>
    <row r="239" ht="24" customHeight="1" spans="2:14">
      <c r="B239" s="33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4"/>
      <c r="N239" s="33"/>
    </row>
    <row r="240" ht="24" customHeight="1" spans="2:14">
      <c r="B240" s="33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4"/>
      <c r="N240" s="33"/>
    </row>
    <row r="241" ht="24" customHeight="1" spans="2:14">
      <c r="B241" s="33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4"/>
      <c r="N241" s="33"/>
    </row>
    <row r="242" ht="24" customHeight="1" spans="2:14">
      <c r="B242" s="33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4"/>
      <c r="N242" s="33"/>
    </row>
    <row r="243" ht="24" customHeight="1" spans="2:14">
      <c r="B243" s="33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4"/>
      <c r="N243" s="33"/>
    </row>
    <row r="244" ht="24" customHeight="1" spans="2:14">
      <c r="B244" s="33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4"/>
      <c r="N244" s="33"/>
    </row>
    <row r="245" ht="24" customHeight="1" spans="2:14">
      <c r="B245" s="33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4"/>
      <c r="N245" s="33"/>
    </row>
    <row r="246" ht="24" customHeight="1" spans="2:14">
      <c r="B246" s="33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4"/>
      <c r="N246" s="33"/>
    </row>
    <row r="247" ht="24" customHeight="1" spans="2:14">
      <c r="B247" s="33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4"/>
      <c r="N247" s="33"/>
    </row>
    <row r="248" ht="24" customHeight="1" spans="2:14">
      <c r="B248" s="33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4"/>
      <c r="N248" s="33"/>
    </row>
    <row r="249" ht="24" customHeight="1" spans="2:14">
      <c r="B249" s="33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4"/>
      <c r="N249" s="33"/>
    </row>
    <row r="250" ht="24" customHeight="1" spans="2:14">
      <c r="B250" s="33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4"/>
      <c r="N250" s="33"/>
    </row>
    <row r="251" ht="24" customHeight="1" spans="2:14">
      <c r="B251" s="33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4"/>
      <c r="N251" s="33"/>
    </row>
    <row r="252" ht="24" customHeight="1" spans="2:14">
      <c r="B252" s="33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4"/>
      <c r="N252" s="33"/>
    </row>
    <row r="253" ht="24" customHeight="1" spans="2:14">
      <c r="B253" s="33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4"/>
      <c r="N253" s="33"/>
    </row>
    <row r="254" ht="24" customHeight="1" spans="2:14">
      <c r="B254" s="33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4"/>
      <c r="N254" s="33"/>
    </row>
    <row r="255" ht="24" customHeight="1" spans="2:14">
      <c r="B255" s="33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4"/>
      <c r="N255" s="33"/>
    </row>
    <row r="256" ht="24" customHeight="1" spans="2:14">
      <c r="B256" s="33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4"/>
      <c r="N256" s="33"/>
    </row>
    <row r="257" ht="24" customHeight="1" spans="2:14">
      <c r="B257" s="33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4"/>
      <c r="N257" s="33"/>
    </row>
    <row r="258" ht="24" customHeight="1" spans="2:14">
      <c r="B258" s="33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4"/>
      <c r="N258" s="33"/>
    </row>
    <row r="259" ht="24" customHeight="1" spans="2:14">
      <c r="B259" s="33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4"/>
      <c r="N259" s="33"/>
    </row>
    <row r="260" ht="24" customHeight="1" spans="2:14">
      <c r="B260" s="33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4"/>
      <c r="N260" s="33"/>
    </row>
    <row r="261" ht="24" customHeight="1" spans="2:14">
      <c r="B261" s="33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4"/>
      <c r="N261" s="33"/>
    </row>
    <row r="262" ht="24" customHeight="1" spans="2:14">
      <c r="B262" s="33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4"/>
      <c r="N262" s="33"/>
    </row>
    <row r="263" ht="24" customHeight="1" spans="2:14">
      <c r="B263" s="33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4"/>
      <c r="N263" s="33"/>
    </row>
    <row r="264" ht="24" customHeight="1" spans="2:14">
      <c r="B264" s="33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4"/>
      <c r="N264" s="33"/>
    </row>
    <row r="265" ht="24" customHeight="1" spans="2:14">
      <c r="B265" s="33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4"/>
      <c r="N265" s="33"/>
    </row>
    <row r="266" ht="24" customHeight="1" spans="2:14">
      <c r="B266" s="33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4"/>
      <c r="N266" s="33"/>
    </row>
    <row r="267" ht="24" customHeight="1" spans="2:14">
      <c r="B267" s="33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4"/>
      <c r="N267" s="33"/>
    </row>
    <row r="268" ht="24" customHeight="1" spans="2:14">
      <c r="B268" s="33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4"/>
      <c r="N268" s="33"/>
    </row>
    <row r="269" ht="24" customHeight="1" spans="2:14">
      <c r="B269" s="33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4"/>
      <c r="N269" s="33"/>
    </row>
    <row r="270" ht="24" customHeight="1" spans="2:14">
      <c r="B270" s="33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4"/>
      <c r="N270" s="33"/>
    </row>
    <row r="271" ht="24" customHeight="1" spans="2:14">
      <c r="B271" s="33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4"/>
      <c r="N271" s="33"/>
    </row>
    <row r="272" ht="24" customHeight="1" spans="2:14">
      <c r="B272" s="33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4"/>
      <c r="N272" s="33"/>
    </row>
    <row r="273" ht="24" customHeight="1" spans="2:14">
      <c r="B273" s="33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4"/>
      <c r="N273" s="33"/>
    </row>
    <row r="274" ht="24" customHeight="1" spans="2:14">
      <c r="B274" s="33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4"/>
      <c r="N274" s="33"/>
    </row>
    <row r="275" ht="24" customHeight="1" spans="2:14">
      <c r="B275" s="33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4"/>
      <c r="N275" s="33"/>
    </row>
    <row r="276" ht="24" customHeight="1" spans="2:14">
      <c r="B276" s="33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4"/>
      <c r="N276" s="33"/>
    </row>
    <row r="277" ht="24" customHeight="1" spans="2:14">
      <c r="B277" s="33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4"/>
      <c r="N277" s="33"/>
    </row>
    <row r="278" ht="24" customHeight="1" spans="2:14">
      <c r="B278" s="33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4"/>
      <c r="N278" s="33"/>
    </row>
    <row r="279" ht="24" customHeight="1" spans="2:14">
      <c r="B279" s="33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4"/>
      <c r="N279" s="33"/>
    </row>
    <row r="280" ht="24" customHeight="1" spans="2:14">
      <c r="B280" s="33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4"/>
      <c r="N280" s="33"/>
    </row>
    <row r="281" ht="24" customHeight="1" spans="2:14">
      <c r="B281" s="33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4"/>
      <c r="N281" s="33"/>
    </row>
    <row r="282" ht="24" customHeight="1" spans="2:14">
      <c r="B282" s="33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4"/>
      <c r="N282" s="33"/>
    </row>
    <row r="283" ht="24" customHeight="1" spans="2:14">
      <c r="B283" s="33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4"/>
      <c r="N283" s="33"/>
    </row>
    <row r="284" ht="24" customHeight="1" spans="2:14">
      <c r="B284" s="33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4"/>
      <c r="N284" s="33"/>
    </row>
    <row r="285" ht="24" customHeight="1" spans="2:14">
      <c r="B285" s="33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4"/>
      <c r="N285" s="33"/>
    </row>
    <row r="286" ht="24" customHeight="1" spans="2:14">
      <c r="B286" s="33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4"/>
      <c r="N286" s="33"/>
    </row>
    <row r="287" ht="24" customHeight="1" spans="2:14">
      <c r="B287" s="33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4"/>
      <c r="N287" s="33"/>
    </row>
    <row r="288" ht="24" customHeight="1" spans="2:14">
      <c r="B288" s="33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4"/>
      <c r="N288" s="33"/>
    </row>
    <row r="289" ht="24" customHeight="1" spans="2:14">
      <c r="B289" s="33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4"/>
      <c r="N289" s="33"/>
    </row>
    <row r="290" ht="24" customHeight="1" spans="2:14">
      <c r="B290" s="33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4"/>
      <c r="N290" s="33"/>
    </row>
    <row r="291" ht="24" customHeight="1" spans="2:14">
      <c r="B291" s="33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4"/>
      <c r="N291" s="33"/>
    </row>
    <row r="292" ht="24" customHeight="1" spans="2:14">
      <c r="B292" s="33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4"/>
      <c r="N292" s="33"/>
    </row>
    <row r="293" ht="24" customHeight="1" spans="2:14">
      <c r="B293" s="33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4"/>
      <c r="N293" s="33"/>
    </row>
    <row r="294" ht="24" customHeight="1" spans="2:14">
      <c r="B294" s="33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4"/>
      <c r="N294" s="33"/>
    </row>
    <row r="295" ht="24" customHeight="1" spans="2:14">
      <c r="B295" s="33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4"/>
      <c r="N295" s="33"/>
    </row>
    <row r="296" ht="24" customHeight="1" spans="2:14">
      <c r="B296" s="33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4"/>
      <c r="N296" s="33"/>
    </row>
    <row r="297" ht="24" customHeight="1" spans="2:14">
      <c r="B297" s="33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4"/>
      <c r="N297" s="33"/>
    </row>
    <row r="298" ht="24" customHeight="1" spans="2:14">
      <c r="B298" s="33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4"/>
      <c r="N298" s="33"/>
    </row>
    <row r="299" ht="24" customHeight="1" spans="2:14">
      <c r="B299" s="33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4"/>
      <c r="N299" s="33"/>
    </row>
    <row r="300" ht="24" customHeight="1" spans="2:14">
      <c r="B300" s="33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4"/>
      <c r="N300" s="33"/>
    </row>
    <row r="301" ht="24" customHeight="1" spans="2:14">
      <c r="B301" s="33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4"/>
      <c r="N301" s="33"/>
    </row>
    <row r="302" ht="24" customHeight="1" spans="2:14">
      <c r="B302" s="33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4"/>
      <c r="N302" s="33"/>
    </row>
    <row r="303" ht="24" customHeight="1" spans="2:14">
      <c r="B303" s="33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4"/>
      <c r="N303" s="33"/>
    </row>
    <row r="304" ht="24" customHeight="1" spans="2:14">
      <c r="B304" s="33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4"/>
      <c r="N304" s="33"/>
    </row>
    <row r="305" ht="24" customHeight="1" spans="2:14">
      <c r="B305" s="33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4"/>
      <c r="N305" s="33"/>
    </row>
    <row r="306" ht="24" customHeight="1" spans="2:14">
      <c r="B306" s="33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4"/>
      <c r="N306" s="33"/>
    </row>
    <row r="307" ht="24" customHeight="1" spans="2:14">
      <c r="B307" s="33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4"/>
      <c r="N307" s="33"/>
    </row>
    <row r="308" ht="24" customHeight="1" spans="2:14">
      <c r="B308" s="33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4"/>
      <c r="N308" s="33"/>
    </row>
    <row r="309" ht="24" customHeight="1" spans="2:14">
      <c r="B309" s="33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4"/>
      <c r="N309" s="33"/>
    </row>
    <row r="310" ht="24" customHeight="1" spans="2:14">
      <c r="B310" s="33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4"/>
      <c r="N310" s="33"/>
    </row>
    <row r="311" ht="24" customHeight="1" spans="2:14">
      <c r="B311" s="33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4"/>
      <c r="N311" s="33"/>
    </row>
    <row r="312" ht="24" customHeight="1" spans="2:14">
      <c r="B312" s="33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4"/>
      <c r="N312" s="33"/>
    </row>
    <row r="313" ht="24" customHeight="1" spans="2:14">
      <c r="B313" s="33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4"/>
      <c r="N313" s="33"/>
    </row>
    <row r="314" ht="24" customHeight="1" spans="2:14">
      <c r="B314" s="33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4"/>
      <c r="N314" s="33"/>
    </row>
    <row r="315" ht="24" customHeight="1" spans="2:14">
      <c r="B315" s="33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4"/>
      <c r="N315" s="33"/>
    </row>
    <row r="316" ht="24" customHeight="1" spans="2:14">
      <c r="B316" s="33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4"/>
      <c r="N316" s="33"/>
    </row>
    <row r="317" ht="24" customHeight="1" spans="2:14">
      <c r="B317" s="33"/>
      <c r="C317" s="60"/>
      <c r="D317" s="60"/>
      <c r="E317" s="60"/>
      <c r="F317" s="60"/>
      <c r="G317" s="60"/>
      <c r="H317" s="60"/>
      <c r="I317" s="60"/>
      <c r="J317" s="60"/>
      <c r="K317" s="60"/>
      <c r="L317" s="60"/>
      <c r="M317" s="64"/>
      <c r="N317" s="33"/>
    </row>
    <row r="318" ht="24" customHeight="1" spans="2:14">
      <c r="B318" s="33"/>
      <c r="C318" s="60"/>
      <c r="D318" s="60"/>
      <c r="E318" s="60"/>
      <c r="F318" s="60"/>
      <c r="G318" s="60"/>
      <c r="H318" s="60"/>
      <c r="I318" s="60"/>
      <c r="J318" s="60"/>
      <c r="K318" s="60"/>
      <c r="L318" s="60"/>
      <c r="M318" s="64"/>
      <c r="N318" s="33"/>
    </row>
    <row r="319" ht="24" customHeight="1" spans="2:14">
      <c r="B319" s="33"/>
      <c r="C319" s="60"/>
      <c r="D319" s="60"/>
      <c r="E319" s="60"/>
      <c r="F319" s="60"/>
      <c r="G319" s="60"/>
      <c r="H319" s="60"/>
      <c r="I319" s="60"/>
      <c r="J319" s="60"/>
      <c r="K319" s="60"/>
      <c r="L319" s="60"/>
      <c r="M319" s="64"/>
      <c r="N319" s="33"/>
    </row>
    <row r="320" ht="24" customHeight="1" spans="2:14">
      <c r="B320" s="33"/>
      <c r="C320" s="60"/>
      <c r="D320" s="60"/>
      <c r="E320" s="60"/>
      <c r="F320" s="60"/>
      <c r="G320" s="60"/>
      <c r="H320" s="60"/>
      <c r="I320" s="60"/>
      <c r="J320" s="60"/>
      <c r="K320" s="60"/>
      <c r="L320" s="60"/>
      <c r="M320" s="64"/>
      <c r="N320" s="33"/>
    </row>
    <row r="321" ht="24" customHeight="1" spans="2:14">
      <c r="B321" s="33"/>
      <c r="C321" s="60"/>
      <c r="D321" s="60"/>
      <c r="E321" s="60"/>
      <c r="F321" s="60"/>
      <c r="G321" s="60"/>
      <c r="H321" s="60"/>
      <c r="I321" s="60"/>
      <c r="J321" s="60"/>
      <c r="K321" s="60"/>
      <c r="L321" s="60"/>
      <c r="M321" s="64"/>
      <c r="N321" s="33"/>
    </row>
    <row r="322" ht="24" customHeight="1" spans="2:14">
      <c r="B322" s="33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4"/>
      <c r="N322" s="33"/>
    </row>
    <row r="323" ht="24" customHeight="1" spans="2:14">
      <c r="B323" s="33"/>
      <c r="C323" s="60"/>
      <c r="D323" s="60"/>
      <c r="E323" s="60"/>
      <c r="F323" s="60"/>
      <c r="G323" s="60"/>
      <c r="H323" s="60"/>
      <c r="I323" s="60"/>
      <c r="J323" s="60"/>
      <c r="K323" s="60"/>
      <c r="L323" s="60"/>
      <c r="M323" s="64"/>
      <c r="N323" s="33"/>
    </row>
    <row r="324" ht="24" customHeight="1" spans="2:14">
      <c r="B324" s="33"/>
      <c r="C324" s="60"/>
      <c r="D324" s="60"/>
      <c r="E324" s="60"/>
      <c r="F324" s="60"/>
      <c r="G324" s="60"/>
      <c r="H324" s="60"/>
      <c r="I324" s="60"/>
      <c r="J324" s="60"/>
      <c r="K324" s="60"/>
      <c r="L324" s="60"/>
      <c r="M324" s="64"/>
      <c r="N324" s="33"/>
    </row>
    <row r="325" ht="24" customHeight="1" spans="2:14">
      <c r="B325" s="33"/>
      <c r="C325" s="60"/>
      <c r="D325" s="60"/>
      <c r="E325" s="60"/>
      <c r="F325" s="60"/>
      <c r="G325" s="60"/>
      <c r="H325" s="60"/>
      <c r="I325" s="60"/>
      <c r="J325" s="60"/>
      <c r="K325" s="60"/>
      <c r="L325" s="60"/>
      <c r="M325" s="64"/>
      <c r="N325" s="33"/>
    </row>
    <row r="326" ht="24" customHeight="1" spans="2:14">
      <c r="B326" s="33"/>
      <c r="C326" s="60"/>
      <c r="D326" s="60"/>
      <c r="E326" s="60"/>
      <c r="F326" s="60"/>
      <c r="G326" s="60"/>
      <c r="H326" s="60"/>
      <c r="I326" s="60"/>
      <c r="J326" s="60"/>
      <c r="K326" s="60"/>
      <c r="L326" s="60"/>
      <c r="M326" s="64"/>
      <c r="N326" s="33"/>
    </row>
    <row r="327" ht="24" customHeight="1" spans="2:14">
      <c r="B327" s="33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4"/>
      <c r="N327" s="33"/>
    </row>
    <row r="328" ht="24" customHeight="1" spans="2:14">
      <c r="B328" s="33"/>
      <c r="C328" s="60"/>
      <c r="D328" s="60"/>
      <c r="E328" s="60"/>
      <c r="F328" s="60"/>
      <c r="G328" s="60"/>
      <c r="H328" s="60"/>
      <c r="I328" s="60"/>
      <c r="J328" s="60"/>
      <c r="K328" s="60"/>
      <c r="L328" s="60"/>
      <c r="M328" s="64"/>
      <c r="N328" s="33"/>
    </row>
    <row r="329" ht="24" customHeight="1" spans="2:14">
      <c r="B329" s="33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4"/>
      <c r="N329" s="33"/>
    </row>
    <row r="330" ht="24" customHeight="1" spans="2:14">
      <c r="B330" s="33"/>
      <c r="C330" s="60"/>
      <c r="D330" s="60"/>
      <c r="E330" s="60"/>
      <c r="F330" s="60"/>
      <c r="G330" s="60"/>
      <c r="H330" s="60"/>
      <c r="I330" s="60"/>
      <c r="J330" s="60"/>
      <c r="K330" s="60"/>
      <c r="L330" s="60"/>
      <c r="M330" s="64"/>
      <c r="N330" s="33"/>
    </row>
    <row r="331" ht="24" customHeight="1" spans="2:14">
      <c r="B331" s="33"/>
      <c r="C331" s="60"/>
      <c r="D331" s="60"/>
      <c r="E331" s="60"/>
      <c r="F331" s="60"/>
      <c r="G331" s="60"/>
      <c r="H331" s="60"/>
      <c r="I331" s="60"/>
      <c r="J331" s="60"/>
      <c r="K331" s="60"/>
      <c r="L331" s="60"/>
      <c r="M331" s="64"/>
      <c r="N331" s="33"/>
    </row>
    <row r="332" ht="24" customHeight="1" spans="2:14">
      <c r="B332" s="33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4"/>
      <c r="N332" s="33"/>
    </row>
    <row r="333" ht="24" customHeight="1" spans="2:14">
      <c r="B333" s="33"/>
      <c r="C333" s="60"/>
      <c r="D333" s="60"/>
      <c r="E333" s="60"/>
      <c r="F333" s="60"/>
      <c r="G333" s="60"/>
      <c r="H333" s="60"/>
      <c r="I333" s="60"/>
      <c r="J333" s="60"/>
      <c r="K333" s="60"/>
      <c r="L333" s="60"/>
      <c r="M333" s="64"/>
      <c r="N333" s="33"/>
    </row>
    <row r="334" ht="24" customHeight="1" spans="2:14">
      <c r="B334" s="33"/>
      <c r="C334" s="60"/>
      <c r="D334" s="60"/>
      <c r="E334" s="60"/>
      <c r="F334" s="60"/>
      <c r="G334" s="60"/>
      <c r="H334" s="60"/>
      <c r="I334" s="60"/>
      <c r="J334" s="60"/>
      <c r="K334" s="60"/>
      <c r="L334" s="60"/>
      <c r="M334" s="64"/>
      <c r="N334" s="33"/>
    </row>
    <row r="335" ht="24" customHeight="1" spans="2:14">
      <c r="B335" s="33"/>
      <c r="C335" s="60"/>
      <c r="D335" s="60"/>
      <c r="E335" s="60"/>
      <c r="F335" s="60"/>
      <c r="G335" s="60"/>
      <c r="H335" s="60"/>
      <c r="I335" s="60"/>
      <c r="J335" s="60"/>
      <c r="K335" s="60"/>
      <c r="L335" s="60"/>
      <c r="M335" s="64"/>
      <c r="N335" s="33"/>
    </row>
    <row r="336" ht="24" customHeight="1" spans="2:14">
      <c r="B336" s="33"/>
      <c r="C336" s="60"/>
      <c r="D336" s="60"/>
      <c r="E336" s="60"/>
      <c r="F336" s="60"/>
      <c r="G336" s="60"/>
      <c r="H336" s="60"/>
      <c r="I336" s="60"/>
      <c r="J336" s="60"/>
      <c r="K336" s="60"/>
      <c r="L336" s="60"/>
      <c r="M336" s="64"/>
      <c r="N336" s="33"/>
    </row>
    <row r="337" ht="24" customHeight="1" spans="2:14">
      <c r="B337" s="33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4"/>
      <c r="N337" s="33"/>
    </row>
    <row r="338" ht="24" customHeight="1" spans="2:14">
      <c r="B338" s="33"/>
      <c r="C338" s="60"/>
      <c r="D338" s="60"/>
      <c r="E338" s="60"/>
      <c r="F338" s="60"/>
      <c r="G338" s="60"/>
      <c r="H338" s="60"/>
      <c r="I338" s="60"/>
      <c r="J338" s="60"/>
      <c r="K338" s="60"/>
      <c r="L338" s="60"/>
      <c r="M338" s="64"/>
      <c r="N338" s="33"/>
    </row>
    <row r="339" ht="24" customHeight="1" spans="2:14">
      <c r="B339" s="33"/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4"/>
      <c r="N339" s="33"/>
    </row>
    <row r="340" ht="24" customHeight="1" spans="2:14">
      <c r="B340" s="33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4"/>
      <c r="N340" s="33"/>
    </row>
    <row r="341" ht="24" customHeight="1" spans="2:14">
      <c r="B341" s="33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4"/>
      <c r="N341" s="33"/>
    </row>
    <row r="342" ht="24" customHeight="1" spans="2:14">
      <c r="B342" s="33"/>
      <c r="C342" s="60"/>
      <c r="D342" s="60"/>
      <c r="E342" s="60"/>
      <c r="F342" s="60"/>
      <c r="G342" s="60"/>
      <c r="H342" s="60"/>
      <c r="I342" s="60"/>
      <c r="J342" s="60"/>
      <c r="K342" s="60"/>
      <c r="L342" s="60"/>
      <c r="M342" s="64"/>
      <c r="N342" s="33"/>
    </row>
    <row r="343" ht="24" customHeight="1" spans="2:14">
      <c r="B343" s="33"/>
      <c r="C343" s="60"/>
      <c r="D343" s="60"/>
      <c r="E343" s="60"/>
      <c r="F343" s="60"/>
      <c r="G343" s="60"/>
      <c r="H343" s="60"/>
      <c r="I343" s="60"/>
      <c r="J343" s="60"/>
      <c r="K343" s="60"/>
      <c r="L343" s="60"/>
      <c r="M343" s="64"/>
      <c r="N343" s="33"/>
    </row>
    <row r="344" ht="24" customHeight="1" spans="2:14">
      <c r="B344" s="33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4"/>
      <c r="N344" s="33"/>
    </row>
    <row r="345" ht="24" customHeight="1" spans="2:14">
      <c r="B345" s="33"/>
      <c r="C345" s="60"/>
      <c r="D345" s="60"/>
      <c r="E345" s="60"/>
      <c r="F345" s="60"/>
      <c r="G345" s="60"/>
      <c r="H345" s="60"/>
      <c r="I345" s="60"/>
      <c r="J345" s="60"/>
      <c r="K345" s="60"/>
      <c r="L345" s="60"/>
      <c r="M345" s="64"/>
      <c r="N345" s="33"/>
    </row>
    <row r="346" ht="24" customHeight="1" spans="2:14">
      <c r="B346" s="33"/>
      <c r="C346" s="60"/>
      <c r="D346" s="60"/>
      <c r="E346" s="60"/>
      <c r="F346" s="60"/>
      <c r="G346" s="60"/>
      <c r="H346" s="60"/>
      <c r="I346" s="60"/>
      <c r="J346" s="60"/>
      <c r="K346" s="60"/>
      <c r="L346" s="60"/>
      <c r="M346" s="64"/>
      <c r="N346" s="33"/>
    </row>
    <row r="347" ht="24" customHeight="1" spans="2:14">
      <c r="B347" s="33"/>
      <c r="C347" s="60"/>
      <c r="D347" s="60"/>
      <c r="E347" s="60"/>
      <c r="F347" s="60"/>
      <c r="G347" s="60"/>
      <c r="H347" s="60"/>
      <c r="I347" s="60"/>
      <c r="J347" s="60"/>
      <c r="K347" s="60"/>
      <c r="L347" s="60"/>
      <c r="M347" s="64"/>
      <c r="N347" s="33"/>
    </row>
    <row r="348" ht="24" customHeight="1" spans="2:14">
      <c r="B348" s="33"/>
      <c r="C348" s="60"/>
      <c r="D348" s="60"/>
      <c r="E348" s="60"/>
      <c r="F348" s="60"/>
      <c r="G348" s="60"/>
      <c r="H348" s="60"/>
      <c r="I348" s="60"/>
      <c r="J348" s="60"/>
      <c r="K348" s="60"/>
      <c r="L348" s="60"/>
      <c r="M348" s="64"/>
      <c r="N348" s="33"/>
    </row>
    <row r="349" ht="24" customHeight="1" spans="2:14">
      <c r="B349" s="33"/>
      <c r="C349" s="60"/>
      <c r="D349" s="60"/>
      <c r="E349" s="60"/>
      <c r="F349" s="60"/>
      <c r="G349" s="60"/>
      <c r="H349" s="60"/>
      <c r="I349" s="60"/>
      <c r="J349" s="60"/>
      <c r="K349" s="60"/>
      <c r="L349" s="60"/>
      <c r="M349" s="64"/>
      <c r="N349" s="33"/>
    </row>
    <row r="350" ht="24" customHeight="1" spans="2:14">
      <c r="B350" s="33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4"/>
      <c r="N350" s="33"/>
    </row>
    <row r="351" ht="24" customHeight="1" spans="2:14">
      <c r="B351" s="33"/>
      <c r="C351" s="60"/>
      <c r="D351" s="60"/>
      <c r="E351" s="60"/>
      <c r="F351" s="60"/>
      <c r="G351" s="60"/>
      <c r="H351" s="60"/>
      <c r="I351" s="60"/>
      <c r="J351" s="60"/>
      <c r="K351" s="60"/>
      <c r="L351" s="60"/>
      <c r="M351" s="64"/>
      <c r="N351" s="33"/>
    </row>
    <row r="352" ht="24" customHeight="1" spans="2:14">
      <c r="B352" s="33"/>
      <c r="C352" s="60"/>
      <c r="D352" s="60"/>
      <c r="E352" s="60"/>
      <c r="F352" s="60"/>
      <c r="G352" s="60"/>
      <c r="H352" s="60"/>
      <c r="I352" s="60"/>
      <c r="J352" s="60"/>
      <c r="K352" s="60"/>
      <c r="L352" s="60"/>
      <c r="M352" s="64"/>
      <c r="N352" s="33"/>
    </row>
    <row r="353" ht="24" customHeight="1" spans="2:14">
      <c r="B353" s="33"/>
      <c r="C353" s="60"/>
      <c r="D353" s="60"/>
      <c r="E353" s="60"/>
      <c r="F353" s="60"/>
      <c r="G353" s="60"/>
      <c r="H353" s="60"/>
      <c r="I353" s="60"/>
      <c r="J353" s="60"/>
      <c r="K353" s="60"/>
      <c r="L353" s="60"/>
      <c r="M353" s="64"/>
      <c r="N353" s="33"/>
    </row>
    <row r="354" ht="24" customHeight="1" spans="2:14">
      <c r="B354" s="33"/>
      <c r="C354" s="60"/>
      <c r="D354" s="60"/>
      <c r="E354" s="60"/>
      <c r="F354" s="60"/>
      <c r="G354" s="60"/>
      <c r="H354" s="60"/>
      <c r="I354" s="60"/>
      <c r="J354" s="60"/>
      <c r="K354" s="60"/>
      <c r="L354" s="60"/>
      <c r="M354" s="64"/>
      <c r="N354" s="33"/>
    </row>
    <row r="355" ht="24" customHeight="1" spans="2:14">
      <c r="B355" s="33"/>
      <c r="C355" s="60"/>
      <c r="D355" s="60"/>
      <c r="E355" s="60"/>
      <c r="F355" s="60"/>
      <c r="G355" s="60"/>
      <c r="H355" s="60"/>
      <c r="I355" s="60"/>
      <c r="J355" s="60"/>
      <c r="K355" s="60"/>
      <c r="L355" s="60"/>
      <c r="M355" s="64"/>
      <c r="N355" s="33"/>
    </row>
    <row r="356" ht="24" customHeight="1" spans="2:14">
      <c r="B356" s="33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4"/>
      <c r="N356" s="33"/>
    </row>
    <row r="357" ht="24" customHeight="1" spans="2:14">
      <c r="B357" s="33"/>
      <c r="C357" s="60"/>
      <c r="D357" s="60"/>
      <c r="E357" s="60"/>
      <c r="F357" s="60"/>
      <c r="G357" s="60"/>
      <c r="H357" s="60"/>
      <c r="I357" s="60"/>
      <c r="J357" s="60"/>
      <c r="K357" s="60"/>
      <c r="L357" s="60"/>
      <c r="M357" s="64"/>
      <c r="N357" s="33"/>
    </row>
    <row r="358" ht="24" customHeight="1" spans="2:14">
      <c r="B358" s="33"/>
      <c r="C358" s="60"/>
      <c r="D358" s="60"/>
      <c r="E358" s="60"/>
      <c r="F358" s="60"/>
      <c r="G358" s="60"/>
      <c r="H358" s="60"/>
      <c r="I358" s="60"/>
      <c r="J358" s="60"/>
      <c r="K358" s="60"/>
      <c r="L358" s="60"/>
      <c r="M358" s="64"/>
      <c r="N358" s="33"/>
    </row>
    <row r="359" ht="24" customHeight="1" spans="2:14">
      <c r="B359" s="33"/>
      <c r="C359" s="60"/>
      <c r="D359" s="60"/>
      <c r="E359" s="60"/>
      <c r="F359" s="60"/>
      <c r="G359" s="60"/>
      <c r="H359" s="60"/>
      <c r="I359" s="60"/>
      <c r="J359" s="60"/>
      <c r="K359" s="60"/>
      <c r="L359" s="60"/>
      <c r="M359" s="64"/>
      <c r="N359" s="33"/>
    </row>
    <row r="360" ht="24" customHeight="1" spans="2:14">
      <c r="B360" s="33"/>
      <c r="C360" s="60"/>
      <c r="D360" s="60"/>
      <c r="E360" s="60"/>
      <c r="F360" s="60"/>
      <c r="G360" s="60"/>
      <c r="H360" s="60"/>
      <c r="I360" s="60"/>
      <c r="J360" s="60"/>
      <c r="K360" s="60"/>
      <c r="L360" s="60"/>
      <c r="M360" s="64"/>
      <c r="N360" s="33"/>
    </row>
    <row r="361" ht="24" customHeight="1" spans="2:14">
      <c r="B361" s="33"/>
      <c r="C361" s="60"/>
      <c r="D361" s="60"/>
      <c r="E361" s="60"/>
      <c r="F361" s="60"/>
      <c r="G361" s="60"/>
      <c r="H361" s="60"/>
      <c r="I361" s="60"/>
      <c r="J361" s="60"/>
      <c r="K361" s="60"/>
      <c r="L361" s="60"/>
      <c r="M361" s="64"/>
      <c r="N361" s="33"/>
    </row>
    <row r="362" ht="24" customHeight="1" spans="2:14">
      <c r="B362" s="33"/>
      <c r="C362" s="60"/>
      <c r="D362" s="60"/>
      <c r="E362" s="60"/>
      <c r="F362" s="60"/>
      <c r="G362" s="60"/>
      <c r="H362" s="60"/>
      <c r="I362" s="60"/>
      <c r="J362" s="60"/>
      <c r="K362" s="60"/>
      <c r="L362" s="60"/>
      <c r="M362" s="64"/>
      <c r="N362" s="33"/>
    </row>
    <row r="363" ht="24" customHeight="1" spans="2:14">
      <c r="B363" s="33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4"/>
      <c r="N363" s="33"/>
    </row>
    <row r="364" ht="24" customHeight="1" spans="2:14">
      <c r="B364" s="33"/>
      <c r="C364" s="60"/>
      <c r="D364" s="60"/>
      <c r="E364" s="60"/>
      <c r="F364" s="60"/>
      <c r="G364" s="60"/>
      <c r="H364" s="60"/>
      <c r="I364" s="60"/>
      <c r="J364" s="60"/>
      <c r="K364" s="60"/>
      <c r="L364" s="60"/>
      <c r="M364" s="64"/>
      <c r="N364" s="33"/>
    </row>
    <row r="365" ht="24" customHeight="1" spans="2:14">
      <c r="B365" s="33"/>
      <c r="C365" s="60"/>
      <c r="D365" s="60"/>
      <c r="E365" s="60"/>
      <c r="F365" s="60"/>
      <c r="G365" s="60"/>
      <c r="H365" s="60"/>
      <c r="I365" s="60"/>
      <c r="J365" s="60"/>
      <c r="K365" s="60"/>
      <c r="L365" s="60"/>
      <c r="M365" s="64"/>
      <c r="N365" s="33"/>
    </row>
    <row r="366" ht="24" customHeight="1" spans="2:14">
      <c r="B366" s="33"/>
      <c r="C366" s="60"/>
      <c r="D366" s="60"/>
      <c r="E366" s="60"/>
      <c r="F366" s="60"/>
      <c r="G366" s="60"/>
      <c r="H366" s="60"/>
      <c r="I366" s="60"/>
      <c r="J366" s="60"/>
      <c r="K366" s="60"/>
      <c r="L366" s="60"/>
      <c r="M366" s="64"/>
      <c r="N366" s="33"/>
    </row>
    <row r="367" ht="24" customHeight="1" spans="2:14">
      <c r="B367" s="33"/>
      <c r="C367" s="60"/>
      <c r="D367" s="60"/>
      <c r="E367" s="60"/>
      <c r="F367" s="60"/>
      <c r="G367" s="60"/>
      <c r="H367" s="60"/>
      <c r="I367" s="60"/>
      <c r="J367" s="60"/>
      <c r="K367" s="60"/>
      <c r="L367" s="60"/>
      <c r="M367" s="64"/>
      <c r="N367" s="33"/>
    </row>
    <row r="368" ht="24" customHeight="1" spans="2:14">
      <c r="B368" s="33"/>
      <c r="C368" s="60"/>
      <c r="D368" s="60"/>
      <c r="E368" s="60"/>
      <c r="F368" s="60"/>
      <c r="G368" s="60"/>
      <c r="H368" s="60"/>
      <c r="I368" s="60"/>
      <c r="J368" s="60"/>
      <c r="K368" s="60"/>
      <c r="L368" s="60"/>
      <c r="M368" s="64"/>
      <c r="N368" s="33"/>
    </row>
    <row r="369" ht="24" customHeight="1" spans="2:14">
      <c r="B369" s="33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4"/>
      <c r="N369" s="33"/>
    </row>
    <row r="370" ht="24" customHeight="1" spans="2:14">
      <c r="B370" s="33"/>
      <c r="C370" s="60"/>
      <c r="D370" s="60"/>
      <c r="E370" s="60"/>
      <c r="F370" s="60"/>
      <c r="G370" s="60"/>
      <c r="H370" s="60"/>
      <c r="I370" s="60"/>
      <c r="J370" s="60"/>
      <c r="K370" s="60"/>
      <c r="L370" s="60"/>
      <c r="M370" s="64"/>
      <c r="N370" s="33"/>
    </row>
    <row r="371" ht="24" customHeight="1" spans="2:14">
      <c r="B371" s="33"/>
      <c r="C371" s="60"/>
      <c r="D371" s="60"/>
      <c r="E371" s="60"/>
      <c r="F371" s="60"/>
      <c r="G371" s="60"/>
      <c r="H371" s="60"/>
      <c r="I371" s="60"/>
      <c r="J371" s="60"/>
      <c r="K371" s="60"/>
      <c r="L371" s="60"/>
      <c r="M371" s="64"/>
      <c r="N371" s="33"/>
    </row>
    <row r="372" ht="24" customHeight="1" spans="2:14">
      <c r="B372" s="33"/>
      <c r="C372" s="60"/>
      <c r="D372" s="60"/>
      <c r="E372" s="60"/>
      <c r="F372" s="60"/>
      <c r="G372" s="60"/>
      <c r="H372" s="60"/>
      <c r="I372" s="60"/>
      <c r="J372" s="60"/>
      <c r="K372" s="60"/>
      <c r="L372" s="60"/>
      <c r="M372" s="64"/>
      <c r="N372" s="33"/>
    </row>
    <row r="373" ht="24" customHeight="1" spans="2:14">
      <c r="B373" s="33"/>
      <c r="C373" s="60"/>
      <c r="D373" s="60"/>
      <c r="E373" s="60"/>
      <c r="F373" s="60"/>
      <c r="G373" s="60"/>
      <c r="H373" s="60"/>
      <c r="I373" s="60"/>
      <c r="J373" s="60"/>
      <c r="K373" s="60"/>
      <c r="L373" s="60"/>
      <c r="M373" s="64"/>
      <c r="N373" s="33"/>
    </row>
    <row r="374" ht="24" customHeight="1" spans="2:14">
      <c r="B374" s="33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4"/>
      <c r="N374" s="33"/>
    </row>
    <row r="375" ht="24" customHeight="1" spans="2:14">
      <c r="B375" s="33"/>
      <c r="C375" s="60"/>
      <c r="D375" s="60"/>
      <c r="E375" s="60"/>
      <c r="F375" s="60"/>
      <c r="G375" s="60"/>
      <c r="H375" s="60"/>
      <c r="I375" s="60"/>
      <c r="J375" s="60"/>
      <c r="K375" s="60"/>
      <c r="L375" s="60"/>
      <c r="M375" s="64"/>
      <c r="N375" s="33"/>
    </row>
    <row r="376" ht="24" customHeight="1" spans="2:14">
      <c r="B376" s="33"/>
      <c r="C376" s="60"/>
      <c r="D376" s="60"/>
      <c r="E376" s="60"/>
      <c r="F376" s="60"/>
      <c r="G376" s="60"/>
      <c r="H376" s="60"/>
      <c r="I376" s="60"/>
      <c r="J376" s="60"/>
      <c r="K376" s="60"/>
      <c r="L376" s="60"/>
      <c r="M376" s="64"/>
      <c r="N376" s="33"/>
    </row>
    <row r="377" ht="24" customHeight="1" spans="2:14">
      <c r="B377" s="33"/>
      <c r="C377" s="60"/>
      <c r="D377" s="60"/>
      <c r="E377" s="60"/>
      <c r="F377" s="60"/>
      <c r="G377" s="60"/>
      <c r="H377" s="60"/>
      <c r="I377" s="60"/>
      <c r="J377" s="60"/>
      <c r="K377" s="60"/>
      <c r="L377" s="60"/>
      <c r="M377" s="64"/>
      <c r="N377" s="33"/>
    </row>
    <row r="378" ht="24" customHeight="1" spans="2:14">
      <c r="B378" s="33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4"/>
      <c r="N378" s="33"/>
    </row>
    <row r="379" ht="24" customHeight="1" spans="2:14">
      <c r="B379" s="33"/>
      <c r="C379" s="60"/>
      <c r="D379" s="60"/>
      <c r="E379" s="60"/>
      <c r="F379" s="60"/>
      <c r="G379" s="60"/>
      <c r="H379" s="60"/>
      <c r="I379" s="60"/>
      <c r="J379" s="60"/>
      <c r="K379" s="60"/>
      <c r="L379" s="60"/>
      <c r="M379" s="64"/>
      <c r="N379" s="33"/>
    </row>
    <row r="380" ht="24" customHeight="1" spans="2:14">
      <c r="B380" s="33"/>
      <c r="C380" s="60"/>
      <c r="D380" s="60"/>
      <c r="E380" s="60"/>
      <c r="F380" s="60"/>
      <c r="G380" s="60"/>
      <c r="H380" s="60"/>
      <c r="I380" s="60"/>
      <c r="J380" s="60"/>
      <c r="K380" s="60"/>
      <c r="L380" s="60"/>
      <c r="M380" s="64"/>
      <c r="N380" s="33"/>
    </row>
    <row r="381" ht="24" customHeight="1" spans="2:14">
      <c r="B381" s="33"/>
      <c r="C381" s="60"/>
      <c r="D381" s="60"/>
      <c r="E381" s="60"/>
      <c r="F381" s="60"/>
      <c r="G381" s="60"/>
      <c r="H381" s="60"/>
      <c r="I381" s="60"/>
      <c r="J381" s="60"/>
      <c r="K381" s="60"/>
      <c r="L381" s="60"/>
      <c r="M381" s="64"/>
      <c r="N381" s="33"/>
    </row>
    <row r="382" ht="24" customHeight="1" spans="2:14">
      <c r="B382" s="33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4"/>
      <c r="N382" s="33"/>
    </row>
    <row r="383" ht="24" customHeight="1" spans="2:14">
      <c r="B383" s="33"/>
      <c r="C383" s="60"/>
      <c r="D383" s="60"/>
      <c r="E383" s="60"/>
      <c r="F383" s="60"/>
      <c r="G383" s="60"/>
      <c r="H383" s="60"/>
      <c r="I383" s="60"/>
      <c r="J383" s="60"/>
      <c r="K383" s="60"/>
      <c r="L383" s="60"/>
      <c r="M383" s="64"/>
      <c r="N383" s="33"/>
    </row>
    <row r="384" ht="24" customHeight="1" spans="2:14">
      <c r="B384" s="33"/>
      <c r="C384" s="60"/>
      <c r="D384" s="60"/>
      <c r="E384" s="60"/>
      <c r="F384" s="60"/>
      <c r="G384" s="60"/>
      <c r="H384" s="60"/>
      <c r="I384" s="60"/>
      <c r="J384" s="60"/>
      <c r="K384" s="60"/>
      <c r="L384" s="60"/>
      <c r="M384" s="64"/>
      <c r="N384" s="33"/>
    </row>
    <row r="385" ht="24" customHeight="1" spans="2:14">
      <c r="B385" s="33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4"/>
      <c r="N385" s="33"/>
    </row>
    <row r="386" ht="24" customHeight="1" spans="2:14">
      <c r="B386" s="33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4"/>
      <c r="N386" s="33"/>
    </row>
    <row r="387" ht="24" customHeight="1" spans="2:14">
      <c r="B387" s="33"/>
      <c r="C387" s="60"/>
      <c r="D387" s="60"/>
      <c r="E387" s="60"/>
      <c r="F387" s="60"/>
      <c r="G387" s="60"/>
      <c r="H387" s="60"/>
      <c r="I387" s="60"/>
      <c r="J387" s="60"/>
      <c r="K387" s="60"/>
      <c r="L387" s="60"/>
      <c r="M387" s="64"/>
      <c r="N387" s="33"/>
    </row>
    <row r="388" ht="24" customHeight="1" spans="2:14">
      <c r="B388" s="33"/>
      <c r="C388" s="60"/>
      <c r="D388" s="60"/>
      <c r="E388" s="60"/>
      <c r="F388" s="60"/>
      <c r="G388" s="60"/>
      <c r="H388" s="60"/>
      <c r="I388" s="60"/>
      <c r="J388" s="60"/>
      <c r="K388" s="60"/>
      <c r="L388" s="60"/>
      <c r="M388" s="64"/>
      <c r="N388" s="33"/>
    </row>
    <row r="389" ht="24" customHeight="1" spans="2:14">
      <c r="B389" s="33"/>
      <c r="C389" s="60"/>
      <c r="D389" s="60"/>
      <c r="E389" s="60"/>
      <c r="F389" s="60"/>
      <c r="G389" s="60"/>
      <c r="H389" s="60"/>
      <c r="I389" s="60"/>
      <c r="J389" s="60"/>
      <c r="K389" s="60"/>
      <c r="L389" s="60"/>
      <c r="M389" s="64"/>
      <c r="N389" s="33"/>
    </row>
    <row r="390" ht="24" customHeight="1" spans="2:14">
      <c r="B390" s="33"/>
      <c r="C390" s="60"/>
      <c r="D390" s="60"/>
      <c r="E390" s="60"/>
      <c r="F390" s="60"/>
      <c r="G390" s="60"/>
      <c r="H390" s="60"/>
      <c r="I390" s="60"/>
      <c r="J390" s="60"/>
      <c r="K390" s="60"/>
      <c r="L390" s="60"/>
      <c r="M390" s="64"/>
      <c r="N390" s="33"/>
    </row>
    <row r="391" ht="24" customHeight="1" spans="2:14">
      <c r="B391" s="33"/>
      <c r="C391" s="60"/>
      <c r="D391" s="60"/>
      <c r="E391" s="60"/>
      <c r="F391" s="60"/>
      <c r="G391" s="60"/>
      <c r="H391" s="60"/>
      <c r="I391" s="60"/>
      <c r="J391" s="60"/>
      <c r="K391" s="60"/>
      <c r="L391" s="60"/>
      <c r="M391" s="64"/>
      <c r="N391" s="33"/>
    </row>
    <row r="392" ht="24" customHeight="1" spans="2:14">
      <c r="B392" s="33"/>
      <c r="C392" s="60"/>
      <c r="D392" s="60"/>
      <c r="E392" s="60"/>
      <c r="F392" s="60"/>
      <c r="G392" s="60"/>
      <c r="H392" s="60"/>
      <c r="I392" s="60"/>
      <c r="J392" s="60"/>
      <c r="K392" s="60"/>
      <c r="L392" s="60"/>
      <c r="M392" s="64"/>
      <c r="N392" s="33"/>
    </row>
    <row r="393" ht="24" customHeight="1" spans="2:14">
      <c r="B393" s="33"/>
      <c r="C393" s="60"/>
      <c r="D393" s="60"/>
      <c r="E393" s="60"/>
      <c r="F393" s="60"/>
      <c r="G393" s="60"/>
      <c r="H393" s="60"/>
      <c r="I393" s="60"/>
      <c r="J393" s="60"/>
      <c r="K393" s="60"/>
      <c r="L393" s="60"/>
      <c r="M393" s="64"/>
      <c r="N393" s="33"/>
    </row>
    <row r="394" ht="24" customHeight="1" spans="2:14">
      <c r="B394" s="33"/>
      <c r="C394" s="60"/>
      <c r="D394" s="60"/>
      <c r="E394" s="60"/>
      <c r="F394" s="60"/>
      <c r="G394" s="60"/>
      <c r="H394" s="60"/>
      <c r="I394" s="60"/>
      <c r="J394" s="60"/>
      <c r="K394" s="60"/>
      <c r="L394" s="60"/>
      <c r="M394" s="64"/>
      <c r="N394" s="33"/>
    </row>
    <row r="395" ht="24" customHeight="1" spans="2:14">
      <c r="B395" s="33"/>
      <c r="C395" s="60"/>
      <c r="D395" s="60"/>
      <c r="E395" s="60"/>
      <c r="F395" s="60"/>
      <c r="G395" s="60"/>
      <c r="H395" s="60"/>
      <c r="I395" s="60"/>
      <c r="J395" s="60"/>
      <c r="K395" s="60"/>
      <c r="L395" s="60"/>
      <c r="M395" s="64"/>
      <c r="N395" s="33"/>
    </row>
    <row r="396" ht="24" customHeight="1" spans="2:14">
      <c r="B396" s="33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4"/>
      <c r="N396" s="33"/>
    </row>
    <row r="397" ht="24" customHeight="1" spans="2:14">
      <c r="B397" s="33"/>
      <c r="C397" s="60"/>
      <c r="D397" s="60"/>
      <c r="E397" s="60"/>
      <c r="F397" s="60"/>
      <c r="G397" s="60"/>
      <c r="H397" s="60"/>
      <c r="I397" s="60"/>
      <c r="J397" s="60"/>
      <c r="K397" s="60"/>
      <c r="L397" s="60"/>
      <c r="M397" s="64"/>
      <c r="N397" s="33"/>
    </row>
    <row r="398" ht="24" customHeight="1" spans="2:14">
      <c r="B398" s="33"/>
      <c r="C398" s="60"/>
      <c r="D398" s="60"/>
      <c r="E398" s="60"/>
      <c r="F398" s="60"/>
      <c r="G398" s="60"/>
      <c r="H398" s="60"/>
      <c r="I398" s="60"/>
      <c r="J398" s="60"/>
      <c r="K398" s="60"/>
      <c r="L398" s="60"/>
      <c r="M398" s="64"/>
      <c r="N398" s="33"/>
    </row>
    <row r="399" ht="24" customHeight="1" spans="2:14">
      <c r="B399" s="33"/>
      <c r="C399" s="60"/>
      <c r="D399" s="60"/>
      <c r="E399" s="60"/>
      <c r="F399" s="60"/>
      <c r="G399" s="60"/>
      <c r="H399" s="60"/>
      <c r="I399" s="60"/>
      <c r="J399" s="60"/>
      <c r="K399" s="60"/>
      <c r="L399" s="60"/>
      <c r="M399" s="64"/>
      <c r="N399" s="33"/>
    </row>
    <row r="400" ht="24" customHeight="1" spans="2:14">
      <c r="B400" s="33"/>
      <c r="C400" s="60"/>
      <c r="D400" s="60"/>
      <c r="E400" s="60"/>
      <c r="F400" s="60"/>
      <c r="G400" s="60"/>
      <c r="H400" s="60"/>
      <c r="I400" s="60"/>
      <c r="J400" s="60"/>
      <c r="K400" s="60"/>
      <c r="L400" s="60"/>
      <c r="M400" s="64"/>
      <c r="N400" s="33"/>
    </row>
    <row r="401" ht="24" customHeight="1" spans="2:14">
      <c r="B401" s="33"/>
      <c r="C401" s="60"/>
      <c r="D401" s="60"/>
      <c r="E401" s="60"/>
      <c r="F401" s="60"/>
      <c r="G401" s="60"/>
      <c r="H401" s="60"/>
      <c r="I401" s="60"/>
      <c r="J401" s="60"/>
      <c r="K401" s="60"/>
      <c r="L401" s="60"/>
      <c r="M401" s="64"/>
      <c r="N401" s="33"/>
    </row>
    <row r="402" ht="24" customHeight="1" spans="2:14">
      <c r="B402" s="33"/>
      <c r="C402" s="60"/>
      <c r="D402" s="60"/>
      <c r="E402" s="60"/>
      <c r="F402" s="60"/>
      <c r="G402" s="60"/>
      <c r="H402" s="60"/>
      <c r="I402" s="60"/>
      <c r="J402" s="60"/>
      <c r="K402" s="60"/>
      <c r="L402" s="60"/>
      <c r="M402" s="64"/>
      <c r="N402" s="33"/>
    </row>
    <row r="403" ht="24" customHeight="1" spans="2:14">
      <c r="B403" s="33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4"/>
      <c r="N403" s="33"/>
    </row>
    <row r="404" ht="24" customHeight="1" spans="2:14">
      <c r="B404" s="33"/>
      <c r="C404" s="60"/>
      <c r="D404" s="60"/>
      <c r="E404" s="60"/>
      <c r="F404" s="60"/>
      <c r="G404" s="60"/>
      <c r="H404" s="60"/>
      <c r="I404" s="60"/>
      <c r="J404" s="60"/>
      <c r="K404" s="60"/>
      <c r="L404" s="60"/>
      <c r="M404" s="64"/>
      <c r="N404" s="33"/>
    </row>
    <row r="405" ht="24" customHeight="1" spans="2:14">
      <c r="B405" s="33"/>
      <c r="C405" s="60"/>
      <c r="D405" s="60"/>
      <c r="E405" s="60"/>
      <c r="F405" s="60"/>
      <c r="G405" s="60"/>
      <c r="H405" s="60"/>
      <c r="I405" s="60"/>
      <c r="J405" s="60"/>
      <c r="K405" s="60"/>
      <c r="L405" s="60"/>
      <c r="M405" s="64"/>
      <c r="N405" s="33"/>
    </row>
    <row r="406" ht="24" customHeight="1" spans="2:14">
      <c r="B406" s="33"/>
      <c r="C406" s="60"/>
      <c r="D406" s="60"/>
      <c r="E406" s="60"/>
      <c r="F406" s="60"/>
      <c r="G406" s="60"/>
      <c r="H406" s="60"/>
      <c r="I406" s="60"/>
      <c r="J406" s="60"/>
      <c r="K406" s="60"/>
      <c r="L406" s="60"/>
      <c r="M406" s="64"/>
      <c r="N406" s="33"/>
    </row>
    <row r="407" ht="24" customHeight="1" spans="2:14">
      <c r="B407" s="33"/>
      <c r="C407" s="60"/>
      <c r="D407" s="60"/>
      <c r="E407" s="60"/>
      <c r="F407" s="60"/>
      <c r="G407" s="60"/>
      <c r="H407" s="60"/>
      <c r="I407" s="60"/>
      <c r="J407" s="60"/>
      <c r="K407" s="60"/>
      <c r="L407" s="60"/>
      <c r="M407" s="64"/>
      <c r="N407" s="33"/>
    </row>
    <row r="408" ht="24" customHeight="1" spans="2:14">
      <c r="B408" s="33"/>
      <c r="C408" s="60"/>
      <c r="D408" s="60"/>
      <c r="E408" s="60"/>
      <c r="F408" s="60"/>
      <c r="G408" s="60"/>
      <c r="H408" s="60"/>
      <c r="I408" s="60"/>
      <c r="J408" s="60"/>
      <c r="K408" s="60"/>
      <c r="L408" s="60"/>
      <c r="M408" s="64"/>
      <c r="N408" s="33"/>
    </row>
    <row r="409" ht="24" customHeight="1" spans="2:14">
      <c r="B409" s="33"/>
      <c r="C409" s="60"/>
      <c r="D409" s="60"/>
      <c r="E409" s="60"/>
      <c r="F409" s="60"/>
      <c r="G409" s="60"/>
      <c r="H409" s="60"/>
      <c r="I409" s="60"/>
      <c r="J409" s="60"/>
      <c r="K409" s="60"/>
      <c r="L409" s="60"/>
      <c r="M409" s="64"/>
      <c r="N409" s="33"/>
    </row>
    <row r="410" ht="24" customHeight="1" spans="2:14">
      <c r="B410" s="33"/>
      <c r="C410" s="60"/>
      <c r="D410" s="60"/>
      <c r="E410" s="60"/>
      <c r="F410" s="60"/>
      <c r="G410" s="60"/>
      <c r="H410" s="60"/>
      <c r="I410" s="60"/>
      <c r="J410" s="60"/>
      <c r="K410" s="60"/>
      <c r="L410" s="60"/>
      <c r="M410" s="64"/>
      <c r="N410" s="33"/>
    </row>
    <row r="411" ht="24" customHeight="1" spans="2:14">
      <c r="B411" s="33"/>
      <c r="C411" s="60"/>
      <c r="D411" s="60"/>
      <c r="E411" s="60"/>
      <c r="F411" s="60"/>
      <c r="G411" s="60"/>
      <c r="H411" s="60"/>
      <c r="I411" s="60"/>
      <c r="J411" s="60"/>
      <c r="K411" s="60"/>
      <c r="L411" s="60"/>
      <c r="M411" s="64"/>
      <c r="N411" s="33"/>
    </row>
    <row r="412" ht="24" customHeight="1" spans="2:14">
      <c r="B412" s="33"/>
      <c r="C412" s="60"/>
      <c r="D412" s="60"/>
      <c r="E412" s="60"/>
      <c r="F412" s="60"/>
      <c r="G412" s="60"/>
      <c r="H412" s="60"/>
      <c r="I412" s="60"/>
      <c r="J412" s="60"/>
      <c r="K412" s="60"/>
      <c r="L412" s="60"/>
      <c r="M412" s="64"/>
      <c r="N412" s="33"/>
    </row>
    <row r="413" ht="24" customHeight="1" spans="2:14">
      <c r="B413" s="33"/>
      <c r="C413" s="60"/>
      <c r="D413" s="60"/>
      <c r="E413" s="60"/>
      <c r="F413" s="60"/>
      <c r="G413" s="60"/>
      <c r="H413" s="60"/>
      <c r="I413" s="60"/>
      <c r="J413" s="60"/>
      <c r="K413" s="60"/>
      <c r="L413" s="60"/>
      <c r="M413" s="64"/>
      <c r="N413" s="33"/>
    </row>
    <row r="414" ht="24" customHeight="1" spans="2:14">
      <c r="B414" s="33"/>
      <c r="C414" s="60"/>
      <c r="D414" s="60"/>
      <c r="E414" s="60"/>
      <c r="F414" s="60"/>
      <c r="G414" s="60"/>
      <c r="H414" s="60"/>
      <c r="I414" s="60"/>
      <c r="J414" s="60"/>
      <c r="K414" s="60"/>
      <c r="L414" s="60"/>
      <c r="M414" s="64"/>
      <c r="N414" s="33"/>
    </row>
    <row r="415" ht="24" customHeight="1" spans="2:14">
      <c r="B415" s="33"/>
      <c r="C415" s="60"/>
      <c r="D415" s="60"/>
      <c r="E415" s="60"/>
      <c r="F415" s="60"/>
      <c r="G415" s="60"/>
      <c r="H415" s="60"/>
      <c r="I415" s="60"/>
      <c r="J415" s="60"/>
      <c r="K415" s="60"/>
      <c r="L415" s="60"/>
      <c r="M415" s="64"/>
      <c r="N415" s="33"/>
    </row>
    <row r="416" ht="24" customHeight="1" spans="2:14">
      <c r="B416" s="33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4"/>
      <c r="N416" s="33"/>
    </row>
    <row r="417" ht="24" customHeight="1" spans="2:14">
      <c r="B417" s="33"/>
      <c r="C417" s="60"/>
      <c r="D417" s="60"/>
      <c r="E417" s="60"/>
      <c r="F417" s="60"/>
      <c r="G417" s="60"/>
      <c r="H417" s="60"/>
      <c r="I417" s="60"/>
      <c r="J417" s="60"/>
      <c r="K417" s="60"/>
      <c r="L417" s="60"/>
      <c r="M417" s="64"/>
      <c r="N417" s="33"/>
    </row>
    <row r="418" ht="24" customHeight="1" spans="2:14">
      <c r="B418" s="33"/>
      <c r="C418" s="60"/>
      <c r="D418" s="60"/>
      <c r="E418" s="60"/>
      <c r="F418" s="60"/>
      <c r="G418" s="60"/>
      <c r="H418" s="60"/>
      <c r="I418" s="60"/>
      <c r="J418" s="60"/>
      <c r="K418" s="60"/>
      <c r="L418" s="60"/>
      <c r="M418" s="64"/>
      <c r="N418" s="33"/>
    </row>
    <row r="419" ht="24" customHeight="1" spans="2:14">
      <c r="B419" s="33"/>
      <c r="C419" s="60"/>
      <c r="D419" s="60"/>
      <c r="E419" s="60"/>
      <c r="F419" s="60"/>
      <c r="G419" s="60"/>
      <c r="H419" s="60"/>
      <c r="I419" s="60"/>
      <c r="J419" s="60"/>
      <c r="K419" s="60"/>
      <c r="L419" s="60"/>
      <c r="M419" s="64"/>
      <c r="N419" s="33"/>
    </row>
    <row r="420" ht="24" customHeight="1" spans="2:14">
      <c r="B420" s="33"/>
      <c r="C420" s="60"/>
      <c r="D420" s="60"/>
      <c r="E420" s="60"/>
      <c r="F420" s="60"/>
      <c r="G420" s="60"/>
      <c r="H420" s="60"/>
      <c r="I420" s="60"/>
      <c r="J420" s="60"/>
      <c r="K420" s="60"/>
      <c r="L420" s="60"/>
      <c r="M420" s="64"/>
      <c r="N420" s="33"/>
    </row>
    <row r="421" ht="24" customHeight="1" spans="2:14">
      <c r="B421" s="33"/>
      <c r="C421" s="60"/>
      <c r="D421" s="60"/>
      <c r="E421" s="60"/>
      <c r="F421" s="60"/>
      <c r="G421" s="60"/>
      <c r="H421" s="60"/>
      <c r="I421" s="60"/>
      <c r="J421" s="60"/>
      <c r="K421" s="60"/>
      <c r="L421" s="60"/>
      <c r="M421" s="64"/>
      <c r="N421" s="33"/>
    </row>
    <row r="422" ht="24" customHeight="1" spans="2:14">
      <c r="B422" s="33"/>
      <c r="C422" s="60"/>
      <c r="D422" s="60"/>
      <c r="E422" s="60"/>
      <c r="F422" s="60"/>
      <c r="G422" s="60"/>
      <c r="H422" s="60"/>
      <c r="I422" s="60"/>
      <c r="J422" s="60"/>
      <c r="K422" s="60"/>
      <c r="L422" s="60"/>
      <c r="M422" s="64"/>
      <c r="N422" s="33"/>
    </row>
    <row r="423" ht="24" customHeight="1" spans="2:14">
      <c r="B423" s="33"/>
      <c r="C423" s="60"/>
      <c r="D423" s="60"/>
      <c r="E423" s="60"/>
      <c r="F423" s="60"/>
      <c r="G423" s="60"/>
      <c r="H423" s="60"/>
      <c r="I423" s="60"/>
      <c r="J423" s="60"/>
      <c r="K423" s="60"/>
      <c r="L423" s="60"/>
      <c r="M423" s="64"/>
      <c r="N423" s="33"/>
    </row>
    <row r="424" ht="24" customHeight="1" spans="2:14">
      <c r="B424" s="33"/>
      <c r="C424" s="60"/>
      <c r="D424" s="60"/>
      <c r="E424" s="60"/>
      <c r="F424" s="60"/>
      <c r="G424" s="60"/>
      <c r="H424" s="60"/>
      <c r="I424" s="60"/>
      <c r="J424" s="60"/>
      <c r="K424" s="60"/>
      <c r="L424" s="60"/>
      <c r="M424" s="64"/>
      <c r="N424" s="33"/>
    </row>
    <row r="425" ht="24" customHeight="1" spans="2:14">
      <c r="B425" s="33"/>
      <c r="C425" s="60"/>
      <c r="D425" s="60"/>
      <c r="E425" s="60"/>
      <c r="F425" s="60"/>
      <c r="G425" s="60"/>
      <c r="H425" s="60"/>
      <c r="I425" s="60"/>
      <c r="J425" s="60"/>
      <c r="K425" s="60"/>
      <c r="L425" s="60"/>
      <c r="M425" s="64"/>
      <c r="N425" s="33"/>
    </row>
    <row r="426" ht="24" customHeight="1" spans="2:14">
      <c r="B426" s="33"/>
      <c r="C426" s="60"/>
      <c r="D426" s="60"/>
      <c r="E426" s="60"/>
      <c r="F426" s="60"/>
      <c r="G426" s="60"/>
      <c r="H426" s="60"/>
      <c r="I426" s="60"/>
      <c r="J426" s="60"/>
      <c r="K426" s="60"/>
      <c r="L426" s="60"/>
      <c r="M426" s="64"/>
      <c r="N426" s="33"/>
    </row>
    <row r="427" ht="24" customHeight="1" spans="2:14">
      <c r="B427" s="33"/>
      <c r="C427" s="60"/>
      <c r="D427" s="60"/>
      <c r="E427" s="60"/>
      <c r="F427" s="60"/>
      <c r="G427" s="60"/>
      <c r="H427" s="60"/>
      <c r="I427" s="60"/>
      <c r="J427" s="60"/>
      <c r="K427" s="60"/>
      <c r="L427" s="60"/>
      <c r="M427" s="64"/>
      <c r="N427" s="33"/>
    </row>
    <row r="428" ht="24" customHeight="1" spans="2:14">
      <c r="B428" s="33"/>
      <c r="C428" s="60"/>
      <c r="D428" s="60"/>
      <c r="E428" s="60"/>
      <c r="F428" s="60"/>
      <c r="G428" s="60"/>
      <c r="H428" s="60"/>
      <c r="I428" s="60"/>
      <c r="J428" s="60"/>
      <c r="K428" s="60"/>
      <c r="L428" s="60"/>
      <c r="M428" s="64"/>
      <c r="N428" s="33"/>
    </row>
    <row r="429" ht="24" customHeight="1" spans="2:14">
      <c r="B429" s="33"/>
      <c r="C429" s="60"/>
      <c r="D429" s="60"/>
      <c r="E429" s="60"/>
      <c r="F429" s="60"/>
      <c r="G429" s="60"/>
      <c r="H429" s="60"/>
      <c r="I429" s="60"/>
      <c r="J429" s="60"/>
      <c r="K429" s="60"/>
      <c r="L429" s="60"/>
      <c r="M429" s="64"/>
      <c r="N429" s="33"/>
    </row>
    <row r="430" ht="24" customHeight="1" spans="2:14">
      <c r="B430" s="33"/>
      <c r="C430" s="60"/>
      <c r="D430" s="60"/>
      <c r="E430" s="60"/>
      <c r="F430" s="60"/>
      <c r="G430" s="60"/>
      <c r="H430" s="60"/>
      <c r="I430" s="60"/>
      <c r="J430" s="60"/>
      <c r="K430" s="60"/>
      <c r="L430" s="60"/>
      <c r="M430" s="64"/>
      <c r="N430" s="33"/>
    </row>
    <row r="431" ht="24" customHeight="1" spans="2:14">
      <c r="B431" s="33"/>
      <c r="C431" s="60"/>
      <c r="D431" s="60"/>
      <c r="E431" s="60"/>
      <c r="F431" s="60"/>
      <c r="G431" s="60"/>
      <c r="H431" s="60"/>
      <c r="I431" s="60"/>
      <c r="J431" s="60"/>
      <c r="K431" s="60"/>
      <c r="L431" s="60"/>
      <c r="M431" s="64"/>
      <c r="N431" s="33"/>
    </row>
    <row r="432" ht="24" customHeight="1" spans="2:14">
      <c r="B432" s="33"/>
      <c r="C432" s="60"/>
      <c r="D432" s="60"/>
      <c r="E432" s="60"/>
      <c r="F432" s="60"/>
      <c r="G432" s="60"/>
      <c r="H432" s="60"/>
      <c r="I432" s="60"/>
      <c r="J432" s="60"/>
      <c r="K432" s="60"/>
      <c r="L432" s="60"/>
      <c r="M432" s="64"/>
      <c r="N432" s="33"/>
    </row>
    <row r="433" ht="24" customHeight="1" spans="2:14">
      <c r="B433" s="33"/>
      <c r="C433" s="60"/>
      <c r="D433" s="60"/>
      <c r="E433" s="60"/>
      <c r="F433" s="60"/>
      <c r="G433" s="60"/>
      <c r="H433" s="60"/>
      <c r="I433" s="60"/>
      <c r="J433" s="60"/>
      <c r="K433" s="60"/>
      <c r="L433" s="60"/>
      <c r="M433" s="64"/>
      <c r="N433" s="33"/>
    </row>
    <row r="434" ht="24" customHeight="1" spans="2:14">
      <c r="B434" s="33"/>
      <c r="C434" s="60"/>
      <c r="D434" s="60"/>
      <c r="E434" s="60"/>
      <c r="F434" s="60"/>
      <c r="G434" s="60"/>
      <c r="H434" s="60"/>
      <c r="I434" s="60"/>
      <c r="J434" s="60"/>
      <c r="K434" s="60"/>
      <c r="L434" s="60"/>
      <c r="M434" s="64"/>
      <c r="N434" s="33"/>
    </row>
    <row r="435" ht="24" customHeight="1" spans="2:14">
      <c r="B435" s="33"/>
      <c r="C435" s="60"/>
      <c r="D435" s="60"/>
      <c r="E435" s="60"/>
      <c r="F435" s="60"/>
      <c r="G435" s="60"/>
      <c r="H435" s="60"/>
      <c r="I435" s="60"/>
      <c r="J435" s="60"/>
      <c r="K435" s="60"/>
      <c r="L435" s="60"/>
      <c r="M435" s="64"/>
      <c r="N435" s="33"/>
    </row>
    <row r="436" ht="24" customHeight="1" spans="2:14">
      <c r="B436" s="33"/>
      <c r="C436" s="60"/>
      <c r="D436" s="60"/>
      <c r="E436" s="60"/>
      <c r="F436" s="60"/>
      <c r="G436" s="60"/>
      <c r="H436" s="60"/>
      <c r="I436" s="60"/>
      <c r="J436" s="60"/>
      <c r="K436" s="60"/>
      <c r="L436" s="60"/>
      <c r="M436" s="64"/>
      <c r="N436" s="33"/>
    </row>
    <row r="437" ht="24" customHeight="1" spans="2:14">
      <c r="B437" s="33"/>
      <c r="C437" s="60"/>
      <c r="D437" s="60"/>
      <c r="E437" s="60"/>
      <c r="F437" s="60"/>
      <c r="G437" s="60"/>
      <c r="H437" s="60"/>
      <c r="I437" s="60"/>
      <c r="J437" s="60"/>
      <c r="K437" s="60"/>
      <c r="L437" s="60"/>
      <c r="M437" s="64"/>
      <c r="N437" s="33"/>
    </row>
    <row r="438" ht="24" customHeight="1" spans="2:14">
      <c r="B438" s="33"/>
      <c r="C438" s="60"/>
      <c r="D438" s="60"/>
      <c r="E438" s="60"/>
      <c r="F438" s="60"/>
      <c r="G438" s="60"/>
      <c r="H438" s="60"/>
      <c r="I438" s="60"/>
      <c r="J438" s="60"/>
      <c r="K438" s="60"/>
      <c r="L438" s="60"/>
      <c r="M438" s="64"/>
      <c r="N438" s="33"/>
    </row>
    <row r="439" ht="24" customHeight="1" spans="2:14">
      <c r="B439" s="33"/>
      <c r="C439" s="60"/>
      <c r="D439" s="60"/>
      <c r="E439" s="60"/>
      <c r="F439" s="60"/>
      <c r="G439" s="60"/>
      <c r="H439" s="60"/>
      <c r="I439" s="60"/>
      <c r="J439" s="60"/>
      <c r="K439" s="60"/>
      <c r="L439" s="60"/>
      <c r="M439" s="64"/>
      <c r="N439" s="33"/>
    </row>
    <row r="440" ht="24" customHeight="1" spans="2:14">
      <c r="B440" s="33"/>
      <c r="C440" s="60"/>
      <c r="D440" s="60"/>
      <c r="E440" s="60"/>
      <c r="F440" s="60"/>
      <c r="G440" s="60"/>
      <c r="H440" s="60"/>
      <c r="I440" s="60"/>
      <c r="J440" s="60"/>
      <c r="K440" s="60"/>
      <c r="L440" s="60"/>
      <c r="M440" s="64"/>
      <c r="N440" s="33"/>
    </row>
    <row r="441" ht="24" customHeight="1" spans="2:14">
      <c r="B441" s="33"/>
      <c r="C441" s="60"/>
      <c r="D441" s="60"/>
      <c r="E441" s="60"/>
      <c r="F441" s="60"/>
      <c r="G441" s="60"/>
      <c r="H441" s="60"/>
      <c r="I441" s="60"/>
      <c r="J441" s="60"/>
      <c r="K441" s="60"/>
      <c r="L441" s="60"/>
      <c r="M441" s="64"/>
      <c r="N441" s="33"/>
    </row>
    <row r="442" ht="24" customHeight="1" spans="2:14">
      <c r="B442" s="33"/>
      <c r="C442" s="60"/>
      <c r="D442" s="60"/>
      <c r="E442" s="60"/>
      <c r="F442" s="60"/>
      <c r="G442" s="60"/>
      <c r="H442" s="60"/>
      <c r="I442" s="60"/>
      <c r="J442" s="60"/>
      <c r="K442" s="60"/>
      <c r="L442" s="60"/>
      <c r="M442" s="64"/>
      <c r="N442" s="33"/>
    </row>
    <row r="443" ht="24" customHeight="1" spans="2:14">
      <c r="B443" s="33"/>
      <c r="C443" s="60"/>
      <c r="D443" s="60"/>
      <c r="E443" s="60"/>
      <c r="F443" s="60"/>
      <c r="G443" s="60"/>
      <c r="H443" s="60"/>
      <c r="I443" s="60"/>
      <c r="J443" s="60"/>
      <c r="K443" s="60"/>
      <c r="L443" s="60"/>
      <c r="M443" s="64"/>
      <c r="N443" s="33"/>
    </row>
    <row r="444" ht="24" customHeight="1" spans="2:14">
      <c r="B444" s="33"/>
      <c r="C444" s="60"/>
      <c r="D444" s="60"/>
      <c r="E444" s="60"/>
      <c r="F444" s="60"/>
      <c r="G444" s="60"/>
      <c r="H444" s="60"/>
      <c r="I444" s="60"/>
      <c r="J444" s="60"/>
      <c r="K444" s="60"/>
      <c r="L444" s="60"/>
      <c r="M444" s="64"/>
      <c r="N444" s="33"/>
    </row>
    <row r="445" ht="24" customHeight="1" spans="2:14">
      <c r="B445" s="33"/>
      <c r="C445" s="60"/>
      <c r="D445" s="60"/>
      <c r="E445" s="60"/>
      <c r="F445" s="60"/>
      <c r="G445" s="60"/>
      <c r="H445" s="60"/>
      <c r="I445" s="60"/>
      <c r="J445" s="60"/>
      <c r="K445" s="60"/>
      <c r="L445" s="60"/>
      <c r="M445" s="64"/>
      <c r="N445" s="33"/>
    </row>
    <row r="446" ht="24" customHeight="1" spans="2:14">
      <c r="B446" s="33"/>
      <c r="C446" s="60"/>
      <c r="D446" s="60"/>
      <c r="E446" s="60"/>
      <c r="F446" s="60"/>
      <c r="G446" s="60"/>
      <c r="H446" s="60"/>
      <c r="I446" s="60"/>
      <c r="J446" s="60"/>
      <c r="K446" s="60"/>
      <c r="L446" s="60"/>
      <c r="M446" s="64"/>
      <c r="N446" s="33"/>
    </row>
    <row r="447" ht="24" customHeight="1" spans="2:14">
      <c r="B447" s="33"/>
      <c r="C447" s="60"/>
      <c r="D447" s="60"/>
      <c r="E447" s="60"/>
      <c r="F447" s="60"/>
      <c r="G447" s="60"/>
      <c r="H447" s="60"/>
      <c r="I447" s="60"/>
      <c r="J447" s="60"/>
      <c r="K447" s="60"/>
      <c r="L447" s="60"/>
      <c r="M447" s="64"/>
      <c r="N447" s="33"/>
    </row>
    <row r="448" ht="24" customHeight="1" spans="2:14">
      <c r="B448" s="33"/>
      <c r="C448" s="60"/>
      <c r="D448" s="60"/>
      <c r="E448" s="60"/>
      <c r="F448" s="60"/>
      <c r="G448" s="60"/>
      <c r="H448" s="60"/>
      <c r="I448" s="60"/>
      <c r="J448" s="60"/>
      <c r="K448" s="60"/>
      <c r="L448" s="60"/>
      <c r="M448" s="64"/>
      <c r="N448" s="33"/>
    </row>
    <row r="449" ht="24" customHeight="1" spans="2:14">
      <c r="B449" s="33"/>
      <c r="C449" s="60"/>
      <c r="D449" s="60"/>
      <c r="E449" s="60"/>
      <c r="F449" s="60"/>
      <c r="G449" s="60"/>
      <c r="H449" s="60"/>
      <c r="I449" s="60"/>
      <c r="J449" s="60"/>
      <c r="K449" s="60"/>
      <c r="L449" s="60"/>
      <c r="M449" s="64"/>
      <c r="N449" s="33"/>
    </row>
    <row r="450" ht="24" customHeight="1" spans="2:14">
      <c r="B450" s="33"/>
      <c r="C450" s="60"/>
      <c r="D450" s="60"/>
      <c r="E450" s="60"/>
      <c r="F450" s="60"/>
      <c r="G450" s="60"/>
      <c r="H450" s="60"/>
      <c r="I450" s="60"/>
      <c r="J450" s="60"/>
      <c r="K450" s="60"/>
      <c r="L450" s="60"/>
      <c r="M450" s="64"/>
      <c r="N450" s="33"/>
    </row>
    <row r="451" ht="24" customHeight="1" spans="2:14">
      <c r="B451" s="33"/>
      <c r="C451" s="60"/>
      <c r="D451" s="60"/>
      <c r="E451" s="60"/>
      <c r="F451" s="60"/>
      <c r="G451" s="60"/>
      <c r="H451" s="60"/>
      <c r="I451" s="60"/>
      <c r="J451" s="60"/>
      <c r="K451" s="60"/>
      <c r="L451" s="60"/>
      <c r="M451" s="64"/>
      <c r="N451" s="33"/>
    </row>
    <row r="452" ht="24" customHeight="1" spans="2:14">
      <c r="B452" s="33"/>
      <c r="C452" s="60"/>
      <c r="D452" s="60"/>
      <c r="E452" s="60"/>
      <c r="F452" s="60"/>
      <c r="G452" s="60"/>
      <c r="H452" s="60"/>
      <c r="I452" s="60"/>
      <c r="J452" s="60"/>
      <c r="K452" s="60"/>
      <c r="L452" s="60"/>
      <c r="M452" s="64"/>
      <c r="N452" s="33"/>
    </row>
    <row r="453" ht="24" customHeight="1" spans="2:14">
      <c r="B453" s="33"/>
      <c r="C453" s="60"/>
      <c r="D453" s="60"/>
      <c r="E453" s="60"/>
      <c r="F453" s="60"/>
      <c r="G453" s="60"/>
      <c r="H453" s="60"/>
      <c r="I453" s="60"/>
      <c r="J453" s="60"/>
      <c r="K453" s="60"/>
      <c r="L453" s="60"/>
      <c r="M453" s="64"/>
      <c r="N453" s="33"/>
    </row>
    <row r="454" ht="24" customHeight="1" spans="2:14">
      <c r="B454" s="33"/>
      <c r="C454" s="60"/>
      <c r="D454" s="60"/>
      <c r="E454" s="60"/>
      <c r="F454" s="60"/>
      <c r="G454" s="60"/>
      <c r="H454" s="60"/>
      <c r="I454" s="60"/>
      <c r="J454" s="60"/>
      <c r="K454" s="60"/>
      <c r="L454" s="60"/>
      <c r="M454" s="64"/>
      <c r="N454" s="33"/>
    </row>
    <row r="455" ht="24" customHeight="1" spans="2:14">
      <c r="B455" s="33"/>
      <c r="C455" s="60"/>
      <c r="D455" s="60"/>
      <c r="E455" s="60"/>
      <c r="F455" s="60"/>
      <c r="G455" s="60"/>
      <c r="H455" s="60"/>
      <c r="I455" s="60"/>
      <c r="J455" s="60"/>
      <c r="K455" s="60"/>
      <c r="L455" s="60"/>
      <c r="M455" s="64"/>
      <c r="N455" s="33"/>
    </row>
    <row r="456" ht="24" customHeight="1" spans="2:14">
      <c r="B456" s="33"/>
      <c r="C456" s="60"/>
      <c r="D456" s="60"/>
      <c r="E456" s="60"/>
      <c r="F456" s="60"/>
      <c r="G456" s="60"/>
      <c r="H456" s="60"/>
      <c r="I456" s="60"/>
      <c r="J456" s="60"/>
      <c r="K456" s="60"/>
      <c r="L456" s="60"/>
      <c r="M456" s="64"/>
      <c r="N456" s="33"/>
    </row>
    <row r="457" ht="24" customHeight="1" spans="2:14">
      <c r="B457" s="33"/>
      <c r="C457" s="60"/>
      <c r="D457" s="60"/>
      <c r="E457" s="60"/>
      <c r="F457" s="60"/>
      <c r="G457" s="60"/>
      <c r="H457" s="60"/>
      <c r="I457" s="60"/>
      <c r="J457" s="60"/>
      <c r="K457" s="60"/>
      <c r="L457" s="60"/>
      <c r="M457" s="64"/>
      <c r="N457" s="33"/>
    </row>
    <row r="458" ht="24" customHeight="1" spans="2:14">
      <c r="B458" s="33"/>
      <c r="C458" s="60"/>
      <c r="D458" s="60"/>
      <c r="E458" s="60"/>
      <c r="F458" s="60"/>
      <c r="G458" s="60"/>
      <c r="H458" s="60"/>
      <c r="I458" s="60"/>
      <c r="J458" s="60"/>
      <c r="K458" s="60"/>
      <c r="L458" s="60"/>
      <c r="M458" s="64"/>
      <c r="N458" s="33"/>
    </row>
    <row r="459" ht="24" customHeight="1" spans="2:14">
      <c r="B459" s="33"/>
      <c r="C459" s="60"/>
      <c r="D459" s="60"/>
      <c r="E459" s="60"/>
      <c r="F459" s="60"/>
      <c r="G459" s="60"/>
      <c r="H459" s="60"/>
      <c r="I459" s="60"/>
      <c r="J459" s="60"/>
      <c r="K459" s="60"/>
      <c r="L459" s="60"/>
      <c r="M459" s="64"/>
      <c r="N459" s="33"/>
    </row>
    <row r="460" ht="24" customHeight="1" spans="2:14">
      <c r="B460" s="33"/>
      <c r="C460" s="60"/>
      <c r="D460" s="60"/>
      <c r="E460" s="60"/>
      <c r="F460" s="60"/>
      <c r="G460" s="60"/>
      <c r="H460" s="60"/>
      <c r="I460" s="60"/>
      <c r="J460" s="60"/>
      <c r="K460" s="60"/>
      <c r="L460" s="60"/>
      <c r="M460" s="64"/>
      <c r="N460" s="33"/>
    </row>
    <row r="461" ht="24" customHeight="1" spans="2:14">
      <c r="B461" s="33"/>
      <c r="C461" s="60"/>
      <c r="D461" s="60"/>
      <c r="E461" s="60"/>
      <c r="F461" s="60"/>
      <c r="G461" s="60"/>
      <c r="H461" s="60"/>
      <c r="I461" s="60"/>
      <c r="J461" s="60"/>
      <c r="K461" s="60"/>
      <c r="L461" s="60"/>
      <c r="M461" s="64"/>
      <c r="N461" s="33"/>
    </row>
    <row r="462" ht="24" customHeight="1" spans="2:14">
      <c r="B462" s="33"/>
      <c r="C462" s="60"/>
      <c r="D462" s="60"/>
      <c r="E462" s="60"/>
      <c r="F462" s="60"/>
      <c r="G462" s="60"/>
      <c r="H462" s="60"/>
      <c r="I462" s="60"/>
      <c r="J462" s="60"/>
      <c r="K462" s="60"/>
      <c r="L462" s="60"/>
      <c r="M462" s="64"/>
      <c r="N462" s="33"/>
    </row>
    <row r="463" ht="24" customHeight="1" spans="2:14">
      <c r="B463" s="33"/>
      <c r="C463" s="60"/>
      <c r="D463" s="60"/>
      <c r="E463" s="60"/>
      <c r="F463" s="60"/>
      <c r="G463" s="60"/>
      <c r="H463" s="60"/>
      <c r="I463" s="60"/>
      <c r="J463" s="60"/>
      <c r="K463" s="60"/>
      <c r="L463" s="60"/>
      <c r="M463" s="64"/>
      <c r="N463" s="33"/>
    </row>
    <row r="464" ht="24" customHeight="1" spans="2:14">
      <c r="B464" s="33"/>
      <c r="C464" s="60"/>
      <c r="D464" s="60"/>
      <c r="E464" s="60"/>
      <c r="F464" s="60"/>
      <c r="G464" s="60"/>
      <c r="H464" s="60"/>
      <c r="I464" s="60"/>
      <c r="J464" s="60"/>
      <c r="K464" s="60"/>
      <c r="L464" s="60"/>
      <c r="M464" s="64"/>
      <c r="N464" s="33"/>
    </row>
    <row r="465" ht="24" customHeight="1" spans="2:14">
      <c r="B465" s="33"/>
      <c r="C465" s="60"/>
      <c r="D465" s="60"/>
      <c r="E465" s="60"/>
      <c r="F465" s="60"/>
      <c r="G465" s="60"/>
      <c r="H465" s="60"/>
      <c r="I465" s="60"/>
      <c r="J465" s="60"/>
      <c r="K465" s="60"/>
      <c r="L465" s="60"/>
      <c r="M465" s="64"/>
      <c r="N465" s="33"/>
    </row>
    <row r="466" ht="24" customHeight="1" spans="2:14">
      <c r="B466" s="33"/>
      <c r="C466" s="60"/>
      <c r="D466" s="60"/>
      <c r="E466" s="60"/>
      <c r="F466" s="60"/>
      <c r="G466" s="60"/>
      <c r="H466" s="60"/>
      <c r="I466" s="60"/>
      <c r="J466" s="60"/>
      <c r="K466" s="60"/>
      <c r="L466" s="60"/>
      <c r="M466" s="64"/>
      <c r="N466" s="33"/>
    </row>
    <row r="467" ht="24" customHeight="1" spans="2:14">
      <c r="B467" s="33"/>
      <c r="C467" s="60"/>
      <c r="D467" s="60"/>
      <c r="E467" s="60"/>
      <c r="F467" s="60"/>
      <c r="G467" s="60"/>
      <c r="H467" s="60"/>
      <c r="I467" s="60"/>
      <c r="J467" s="60"/>
      <c r="K467" s="60"/>
      <c r="L467" s="60"/>
      <c r="M467" s="64"/>
      <c r="N467" s="33"/>
    </row>
    <row r="468" ht="24" customHeight="1" spans="2:14">
      <c r="B468" s="33"/>
      <c r="C468" s="60"/>
      <c r="D468" s="60"/>
      <c r="E468" s="60"/>
      <c r="F468" s="60"/>
      <c r="G468" s="60"/>
      <c r="H468" s="60"/>
      <c r="I468" s="60"/>
      <c r="J468" s="60"/>
      <c r="K468" s="60"/>
      <c r="L468" s="60"/>
      <c r="M468" s="64"/>
      <c r="N468" s="33"/>
    </row>
    <row r="469" ht="24" customHeight="1" spans="2:14">
      <c r="B469" s="33"/>
      <c r="C469" s="60"/>
      <c r="D469" s="60"/>
      <c r="E469" s="60"/>
      <c r="F469" s="60"/>
      <c r="G469" s="60"/>
      <c r="H469" s="60"/>
      <c r="I469" s="60"/>
      <c r="J469" s="60"/>
      <c r="K469" s="60"/>
      <c r="L469" s="60"/>
      <c r="M469" s="64"/>
      <c r="N469" s="33"/>
    </row>
    <row r="470" ht="24" customHeight="1" spans="2:14">
      <c r="B470" s="33"/>
      <c r="C470" s="60"/>
      <c r="D470" s="60"/>
      <c r="E470" s="60"/>
      <c r="F470" s="60"/>
      <c r="G470" s="60"/>
      <c r="H470" s="60"/>
      <c r="I470" s="60"/>
      <c r="J470" s="60"/>
      <c r="K470" s="60"/>
      <c r="L470" s="60"/>
      <c r="M470" s="64"/>
      <c r="N470" s="33"/>
    </row>
    <row r="471" ht="24" customHeight="1" spans="2:14">
      <c r="B471" s="33"/>
      <c r="C471" s="60"/>
      <c r="D471" s="60"/>
      <c r="E471" s="60"/>
      <c r="F471" s="60"/>
      <c r="G471" s="60"/>
      <c r="H471" s="60"/>
      <c r="I471" s="60"/>
      <c r="J471" s="60"/>
      <c r="K471" s="60"/>
      <c r="L471" s="60"/>
      <c r="M471" s="64"/>
      <c r="N471" s="33"/>
    </row>
    <row r="472" ht="24" customHeight="1" spans="2:14">
      <c r="B472" s="33"/>
      <c r="C472" s="60"/>
      <c r="D472" s="60"/>
      <c r="E472" s="60"/>
      <c r="F472" s="60"/>
      <c r="G472" s="60"/>
      <c r="H472" s="60"/>
      <c r="I472" s="60"/>
      <c r="J472" s="60"/>
      <c r="K472" s="60"/>
      <c r="L472" s="60"/>
      <c r="M472" s="64"/>
      <c r="N472" s="33"/>
    </row>
    <row r="473" ht="24" customHeight="1" spans="2:14">
      <c r="B473" s="33"/>
      <c r="C473" s="60"/>
      <c r="D473" s="60"/>
      <c r="E473" s="60"/>
      <c r="F473" s="60"/>
      <c r="G473" s="60"/>
      <c r="H473" s="60"/>
      <c r="I473" s="60"/>
      <c r="J473" s="60"/>
      <c r="K473" s="60"/>
      <c r="L473" s="60"/>
      <c r="M473" s="64"/>
      <c r="N473" s="33"/>
    </row>
    <row r="474" ht="24" customHeight="1" spans="2:14">
      <c r="B474" s="33"/>
      <c r="C474" s="60"/>
      <c r="D474" s="60"/>
      <c r="E474" s="60"/>
      <c r="F474" s="60"/>
      <c r="G474" s="60"/>
      <c r="H474" s="60"/>
      <c r="I474" s="60"/>
      <c r="J474" s="60"/>
      <c r="K474" s="60"/>
      <c r="L474" s="60"/>
      <c r="M474" s="64"/>
      <c r="N474" s="33"/>
    </row>
    <row r="475" ht="24" customHeight="1" spans="2:14">
      <c r="B475" s="33"/>
      <c r="C475" s="60"/>
      <c r="D475" s="60"/>
      <c r="E475" s="60"/>
      <c r="F475" s="60"/>
      <c r="G475" s="60"/>
      <c r="H475" s="60"/>
      <c r="I475" s="60"/>
      <c r="J475" s="60"/>
      <c r="K475" s="60"/>
      <c r="L475" s="60"/>
      <c r="M475" s="64"/>
      <c r="N475" s="33"/>
    </row>
    <row r="476" ht="24" customHeight="1" spans="2:14">
      <c r="B476" s="33"/>
      <c r="C476" s="60"/>
      <c r="D476" s="60"/>
      <c r="E476" s="60"/>
      <c r="F476" s="60"/>
      <c r="G476" s="60"/>
      <c r="H476" s="60"/>
      <c r="I476" s="60"/>
      <c r="J476" s="60"/>
      <c r="K476" s="60"/>
      <c r="L476" s="60"/>
      <c r="M476" s="64"/>
      <c r="N476" s="33"/>
    </row>
    <row r="477" ht="24" customHeight="1" spans="2:14">
      <c r="B477" s="33"/>
      <c r="C477" s="60"/>
      <c r="D477" s="60"/>
      <c r="E477" s="60"/>
      <c r="F477" s="60"/>
      <c r="G477" s="60"/>
      <c r="H477" s="60"/>
      <c r="I477" s="60"/>
      <c r="J477" s="60"/>
      <c r="K477" s="60"/>
      <c r="L477" s="60"/>
      <c r="M477" s="64"/>
      <c r="N477" s="33"/>
    </row>
    <row r="478" ht="24" customHeight="1" spans="2:14">
      <c r="B478" s="33"/>
      <c r="C478" s="60"/>
      <c r="D478" s="60"/>
      <c r="E478" s="60"/>
      <c r="F478" s="60"/>
      <c r="G478" s="60"/>
      <c r="H478" s="60"/>
      <c r="I478" s="60"/>
      <c r="J478" s="60"/>
      <c r="K478" s="60"/>
      <c r="L478" s="60"/>
      <c r="M478" s="64"/>
      <c r="N478" s="33"/>
    </row>
    <row r="479" ht="24" customHeight="1" spans="2:14">
      <c r="B479" s="33"/>
      <c r="C479" s="60"/>
      <c r="D479" s="60"/>
      <c r="E479" s="60"/>
      <c r="F479" s="60"/>
      <c r="G479" s="60"/>
      <c r="H479" s="60"/>
      <c r="I479" s="60"/>
      <c r="J479" s="60"/>
      <c r="K479" s="60"/>
      <c r="L479" s="60"/>
      <c r="M479" s="64"/>
      <c r="N479" s="33"/>
    </row>
    <row r="480" ht="24" customHeight="1" spans="2:14">
      <c r="B480" s="33"/>
      <c r="C480" s="60"/>
      <c r="D480" s="60"/>
      <c r="E480" s="60"/>
      <c r="F480" s="60"/>
      <c r="G480" s="60"/>
      <c r="H480" s="60"/>
      <c r="I480" s="60"/>
      <c r="J480" s="60"/>
      <c r="K480" s="60"/>
      <c r="L480" s="60"/>
      <c r="M480" s="64"/>
      <c r="N480" s="33"/>
    </row>
    <row r="481" ht="24" customHeight="1" spans="2:14">
      <c r="B481" s="33"/>
      <c r="C481" s="60"/>
      <c r="D481" s="60"/>
      <c r="E481" s="60"/>
      <c r="F481" s="60"/>
      <c r="G481" s="60"/>
      <c r="H481" s="60"/>
      <c r="I481" s="60"/>
      <c r="J481" s="60"/>
      <c r="K481" s="60"/>
      <c r="L481" s="60"/>
      <c r="M481" s="64"/>
      <c r="N481" s="33"/>
    </row>
    <row r="482" ht="24" customHeight="1" spans="2:14">
      <c r="B482" s="33"/>
      <c r="C482" s="60"/>
      <c r="D482" s="60"/>
      <c r="E482" s="60"/>
      <c r="F482" s="60"/>
      <c r="G482" s="60"/>
      <c r="H482" s="60"/>
      <c r="I482" s="60"/>
      <c r="J482" s="60"/>
      <c r="K482" s="60"/>
      <c r="L482" s="60"/>
      <c r="M482" s="64"/>
      <c r="N482" s="33"/>
    </row>
    <row r="483" ht="24" customHeight="1" spans="2:14">
      <c r="B483" s="33"/>
      <c r="C483" s="60"/>
      <c r="D483" s="60"/>
      <c r="E483" s="60"/>
      <c r="F483" s="60"/>
      <c r="G483" s="60"/>
      <c r="H483" s="60"/>
      <c r="I483" s="60"/>
      <c r="J483" s="60"/>
      <c r="K483" s="60"/>
      <c r="L483" s="60"/>
      <c r="M483" s="64"/>
      <c r="N483" s="33"/>
    </row>
    <row r="484" ht="24" customHeight="1" spans="2:14">
      <c r="B484" s="33"/>
      <c r="C484" s="60"/>
      <c r="D484" s="60"/>
      <c r="E484" s="60"/>
      <c r="F484" s="60"/>
      <c r="G484" s="60"/>
      <c r="H484" s="60"/>
      <c r="I484" s="60"/>
      <c r="J484" s="60"/>
      <c r="K484" s="60"/>
      <c r="L484" s="60"/>
      <c r="M484" s="64"/>
      <c r="N484" s="33"/>
    </row>
    <row r="485" ht="24" customHeight="1" spans="2:14">
      <c r="B485" s="33"/>
      <c r="C485" s="60"/>
      <c r="D485" s="60"/>
      <c r="E485" s="60"/>
      <c r="F485" s="60"/>
      <c r="G485" s="60"/>
      <c r="H485" s="60"/>
      <c r="I485" s="60"/>
      <c r="J485" s="60"/>
      <c r="K485" s="60"/>
      <c r="L485" s="60"/>
      <c r="M485" s="64"/>
      <c r="N485" s="33"/>
    </row>
    <row r="486" ht="24" customHeight="1" spans="2:14">
      <c r="B486" s="33"/>
      <c r="C486" s="60"/>
      <c r="D486" s="60"/>
      <c r="E486" s="60"/>
      <c r="F486" s="60"/>
      <c r="G486" s="60"/>
      <c r="H486" s="60"/>
      <c r="I486" s="60"/>
      <c r="J486" s="60"/>
      <c r="K486" s="60"/>
      <c r="L486" s="60"/>
      <c r="M486" s="64"/>
      <c r="N486" s="33"/>
    </row>
    <row r="487" ht="24" customHeight="1" spans="2:14">
      <c r="B487" s="33"/>
      <c r="C487" s="60"/>
      <c r="D487" s="60"/>
      <c r="E487" s="60"/>
      <c r="F487" s="60"/>
      <c r="G487" s="60"/>
      <c r="H487" s="60"/>
      <c r="I487" s="60"/>
      <c r="J487" s="60"/>
      <c r="K487" s="60"/>
      <c r="L487" s="60"/>
      <c r="M487" s="64"/>
      <c r="N487" s="33"/>
    </row>
    <row r="488" ht="24" customHeight="1" spans="2:14">
      <c r="B488" s="33"/>
      <c r="C488" s="60"/>
      <c r="D488" s="60"/>
      <c r="E488" s="60"/>
      <c r="F488" s="60"/>
      <c r="G488" s="60"/>
      <c r="H488" s="60"/>
      <c r="I488" s="60"/>
      <c r="J488" s="60"/>
      <c r="K488" s="60"/>
      <c r="L488" s="60"/>
      <c r="M488" s="64"/>
      <c r="N488" s="33"/>
    </row>
    <row r="489" ht="24" customHeight="1" spans="2:14">
      <c r="B489" s="33"/>
      <c r="C489" s="60"/>
      <c r="D489" s="60"/>
      <c r="E489" s="60"/>
      <c r="F489" s="60"/>
      <c r="G489" s="60"/>
      <c r="H489" s="60"/>
      <c r="I489" s="60"/>
      <c r="J489" s="60"/>
      <c r="K489" s="60"/>
      <c r="L489" s="60"/>
      <c r="M489" s="64"/>
      <c r="N489" s="33"/>
    </row>
    <row r="490" ht="24" customHeight="1" spans="2:14">
      <c r="B490" s="33"/>
      <c r="C490" s="60"/>
      <c r="D490" s="60"/>
      <c r="E490" s="60"/>
      <c r="F490" s="60"/>
      <c r="G490" s="60"/>
      <c r="H490" s="60"/>
      <c r="I490" s="60"/>
      <c r="J490" s="60"/>
      <c r="K490" s="60"/>
      <c r="L490" s="60"/>
      <c r="M490" s="64"/>
      <c r="N490" s="33"/>
    </row>
    <row r="491" ht="24" customHeight="1" spans="2:14">
      <c r="B491" s="33"/>
      <c r="C491" s="60"/>
      <c r="D491" s="60"/>
      <c r="E491" s="60"/>
      <c r="F491" s="60"/>
      <c r="G491" s="60"/>
      <c r="H491" s="60"/>
      <c r="I491" s="60"/>
      <c r="J491" s="60"/>
      <c r="K491" s="60"/>
      <c r="L491" s="60"/>
      <c r="M491" s="64"/>
      <c r="N491" s="33"/>
    </row>
    <row r="492" ht="24" customHeight="1" spans="2:14">
      <c r="B492" s="33"/>
      <c r="C492" s="60"/>
      <c r="D492" s="60"/>
      <c r="E492" s="60"/>
      <c r="F492" s="60"/>
      <c r="G492" s="60"/>
      <c r="H492" s="60"/>
      <c r="I492" s="60"/>
      <c r="J492" s="60"/>
      <c r="K492" s="60"/>
      <c r="L492" s="60"/>
      <c r="M492" s="64"/>
      <c r="N492" s="33"/>
    </row>
    <row r="493" ht="24" customHeight="1" spans="2:14">
      <c r="B493" s="33"/>
      <c r="C493" s="60"/>
      <c r="D493" s="60"/>
      <c r="E493" s="60"/>
      <c r="F493" s="60"/>
      <c r="G493" s="60"/>
      <c r="H493" s="60"/>
      <c r="I493" s="60"/>
      <c r="J493" s="60"/>
      <c r="K493" s="60"/>
      <c r="L493" s="60"/>
      <c r="M493" s="64"/>
      <c r="N493" s="33"/>
    </row>
    <row r="494" ht="24" customHeight="1" spans="2:14">
      <c r="B494" s="33"/>
      <c r="C494" s="60"/>
      <c r="D494" s="60"/>
      <c r="E494" s="60"/>
      <c r="F494" s="60"/>
      <c r="G494" s="60"/>
      <c r="H494" s="60"/>
      <c r="I494" s="60"/>
      <c r="J494" s="60"/>
      <c r="K494" s="60"/>
      <c r="L494" s="60"/>
      <c r="M494" s="64"/>
      <c r="N494" s="33"/>
    </row>
    <row r="495" ht="24" customHeight="1" spans="2:14">
      <c r="B495" s="33"/>
      <c r="C495" s="60"/>
      <c r="D495" s="60"/>
      <c r="E495" s="60"/>
      <c r="F495" s="60"/>
      <c r="G495" s="60"/>
      <c r="H495" s="60"/>
      <c r="I495" s="60"/>
      <c r="J495" s="60"/>
      <c r="K495" s="60"/>
      <c r="L495" s="60"/>
      <c r="M495" s="64"/>
      <c r="N495" s="33"/>
    </row>
    <row r="496" ht="24" customHeight="1" spans="2:14">
      <c r="B496" s="33"/>
      <c r="C496" s="60"/>
      <c r="D496" s="60"/>
      <c r="E496" s="60"/>
      <c r="F496" s="60"/>
      <c r="G496" s="60"/>
      <c r="H496" s="60"/>
      <c r="I496" s="60"/>
      <c r="J496" s="60"/>
      <c r="K496" s="60"/>
      <c r="L496" s="60"/>
      <c r="M496" s="64"/>
      <c r="N496" s="33"/>
    </row>
    <row r="497" ht="24" customHeight="1" spans="2:14">
      <c r="B497" s="33"/>
      <c r="C497" s="60"/>
      <c r="D497" s="60"/>
      <c r="E497" s="60"/>
      <c r="F497" s="60"/>
      <c r="G497" s="60"/>
      <c r="H497" s="60"/>
      <c r="I497" s="60"/>
      <c r="J497" s="60"/>
      <c r="K497" s="60"/>
      <c r="L497" s="60"/>
      <c r="M497" s="64"/>
      <c r="N497" s="33"/>
    </row>
    <row r="498" ht="24" customHeight="1" spans="2:14">
      <c r="B498" s="33"/>
      <c r="C498" s="60"/>
      <c r="D498" s="60"/>
      <c r="E498" s="60"/>
      <c r="F498" s="60"/>
      <c r="G498" s="60"/>
      <c r="H498" s="60"/>
      <c r="I498" s="60"/>
      <c r="J498" s="60"/>
      <c r="K498" s="60"/>
      <c r="L498" s="60"/>
      <c r="M498" s="64"/>
      <c r="N498" s="33"/>
    </row>
    <row r="499" ht="24" customHeight="1" spans="2:14">
      <c r="B499" s="33"/>
      <c r="C499" s="60"/>
      <c r="D499" s="60"/>
      <c r="E499" s="60"/>
      <c r="F499" s="60"/>
      <c r="G499" s="60"/>
      <c r="H499" s="60"/>
      <c r="I499" s="60"/>
      <c r="J499" s="60"/>
      <c r="K499" s="60"/>
      <c r="L499" s="60"/>
      <c r="M499" s="64"/>
      <c r="N499" s="33"/>
    </row>
    <row r="500" ht="24" customHeight="1" spans="2:14">
      <c r="B500" s="33"/>
      <c r="C500" s="60"/>
      <c r="D500" s="60"/>
      <c r="E500" s="60"/>
      <c r="F500" s="60"/>
      <c r="G500" s="60"/>
      <c r="H500" s="60"/>
      <c r="I500" s="60"/>
      <c r="J500" s="60"/>
      <c r="K500" s="60"/>
      <c r="L500" s="60"/>
      <c r="M500" s="64"/>
      <c r="N500" s="33"/>
    </row>
    <row r="501" ht="24" customHeight="1" spans="2:14">
      <c r="B501" s="33"/>
      <c r="C501" s="60"/>
      <c r="D501" s="60"/>
      <c r="E501" s="60"/>
      <c r="F501" s="60"/>
      <c r="G501" s="60"/>
      <c r="H501" s="60"/>
      <c r="I501" s="60"/>
      <c r="J501" s="60"/>
      <c r="K501" s="60"/>
      <c r="L501" s="60"/>
      <c r="M501" s="64"/>
      <c r="N501" s="33"/>
    </row>
    <row r="502" ht="24" customHeight="1" spans="2:14">
      <c r="B502" s="33"/>
      <c r="C502" s="60"/>
      <c r="D502" s="60"/>
      <c r="E502" s="60"/>
      <c r="F502" s="60"/>
      <c r="G502" s="60"/>
      <c r="H502" s="60"/>
      <c r="I502" s="60"/>
      <c r="J502" s="60"/>
      <c r="K502" s="60"/>
      <c r="L502" s="60"/>
      <c r="M502" s="64"/>
      <c r="N502" s="33"/>
    </row>
    <row r="503" ht="24" customHeight="1" spans="2:14">
      <c r="B503" s="33"/>
      <c r="C503" s="60"/>
      <c r="D503" s="60"/>
      <c r="E503" s="60"/>
      <c r="F503" s="60"/>
      <c r="G503" s="60"/>
      <c r="H503" s="60"/>
      <c r="I503" s="60"/>
      <c r="J503" s="60"/>
      <c r="K503" s="60"/>
      <c r="L503" s="60"/>
      <c r="M503" s="64"/>
      <c r="N503" s="33"/>
    </row>
    <row r="504" ht="24" customHeight="1" spans="2:14">
      <c r="B504" s="33"/>
      <c r="C504" s="60"/>
      <c r="D504" s="60"/>
      <c r="E504" s="60"/>
      <c r="F504" s="60"/>
      <c r="G504" s="60"/>
      <c r="H504" s="60"/>
      <c r="I504" s="60"/>
      <c r="J504" s="60"/>
      <c r="K504" s="60"/>
      <c r="L504" s="60"/>
      <c r="M504" s="64"/>
      <c r="N504" s="33"/>
    </row>
    <row r="505" ht="24" customHeight="1" spans="2:14">
      <c r="B505" s="33"/>
      <c r="C505" s="60"/>
      <c r="D505" s="60"/>
      <c r="E505" s="60"/>
      <c r="F505" s="60"/>
      <c r="G505" s="60"/>
      <c r="H505" s="60"/>
      <c r="I505" s="60"/>
      <c r="J505" s="60"/>
      <c r="K505" s="60"/>
      <c r="L505" s="60"/>
      <c r="M505" s="64"/>
      <c r="N505" s="33"/>
    </row>
    <row r="506" ht="24" customHeight="1" spans="2:14">
      <c r="B506" s="33"/>
      <c r="C506" s="60"/>
      <c r="D506" s="60"/>
      <c r="E506" s="60"/>
      <c r="F506" s="60"/>
      <c r="G506" s="60"/>
      <c r="H506" s="60"/>
      <c r="I506" s="60"/>
      <c r="J506" s="60"/>
      <c r="K506" s="60"/>
      <c r="L506" s="60"/>
      <c r="M506" s="64"/>
      <c r="N506" s="33"/>
    </row>
    <row r="507" ht="24" customHeight="1" spans="2:14">
      <c r="B507" s="33"/>
      <c r="C507" s="60"/>
      <c r="D507" s="60"/>
      <c r="E507" s="60"/>
      <c r="F507" s="60"/>
      <c r="G507" s="60"/>
      <c r="H507" s="60"/>
      <c r="I507" s="60"/>
      <c r="J507" s="60"/>
      <c r="K507" s="60"/>
      <c r="L507" s="60"/>
      <c r="M507" s="64"/>
      <c r="N507" s="33"/>
    </row>
    <row r="508" ht="24" customHeight="1" spans="2:14">
      <c r="B508" s="33"/>
      <c r="C508" s="60"/>
      <c r="D508" s="60"/>
      <c r="E508" s="60"/>
      <c r="F508" s="60"/>
      <c r="G508" s="60"/>
      <c r="H508" s="60"/>
      <c r="I508" s="60"/>
      <c r="J508" s="60"/>
      <c r="K508" s="60"/>
      <c r="L508" s="60"/>
      <c r="M508" s="64"/>
      <c r="N508" s="33"/>
    </row>
    <row r="509" ht="24" customHeight="1" spans="2:14">
      <c r="B509" s="33"/>
      <c r="C509" s="60"/>
      <c r="D509" s="60"/>
      <c r="E509" s="60"/>
      <c r="F509" s="60"/>
      <c r="G509" s="60"/>
      <c r="H509" s="60"/>
      <c r="I509" s="60"/>
      <c r="J509" s="60"/>
      <c r="K509" s="60"/>
      <c r="L509" s="60"/>
      <c r="M509" s="64"/>
      <c r="N509" s="33"/>
    </row>
    <row r="510" ht="24" customHeight="1" spans="2:14">
      <c r="B510" s="33"/>
      <c r="C510" s="60"/>
      <c r="D510" s="60"/>
      <c r="E510" s="60"/>
      <c r="F510" s="60"/>
      <c r="G510" s="60"/>
      <c r="H510" s="60"/>
      <c r="I510" s="60"/>
      <c r="J510" s="60"/>
      <c r="K510" s="60"/>
      <c r="L510" s="60"/>
      <c r="M510" s="64"/>
      <c r="N510" s="33"/>
    </row>
    <row r="511" ht="24" customHeight="1" spans="2:14">
      <c r="B511" s="33"/>
      <c r="C511" s="60"/>
      <c r="D511" s="60"/>
      <c r="E511" s="60"/>
      <c r="F511" s="60"/>
      <c r="G511" s="60"/>
      <c r="H511" s="60"/>
      <c r="I511" s="60"/>
      <c r="J511" s="60"/>
      <c r="K511" s="60"/>
      <c r="L511" s="60"/>
      <c r="M511" s="64"/>
      <c r="N511" s="33"/>
    </row>
    <row r="512" ht="24" customHeight="1" spans="2:14">
      <c r="B512" s="33"/>
      <c r="C512" s="60"/>
      <c r="D512" s="60"/>
      <c r="E512" s="60"/>
      <c r="F512" s="60"/>
      <c r="G512" s="60"/>
      <c r="H512" s="60"/>
      <c r="I512" s="60"/>
      <c r="J512" s="60"/>
      <c r="K512" s="60"/>
      <c r="L512" s="60"/>
      <c r="M512" s="64"/>
      <c r="N512" s="33"/>
    </row>
    <row r="513" ht="24" customHeight="1" spans="2:14">
      <c r="B513" s="33"/>
      <c r="C513" s="60"/>
      <c r="D513" s="60"/>
      <c r="E513" s="60"/>
      <c r="F513" s="60"/>
      <c r="G513" s="60"/>
      <c r="H513" s="60"/>
      <c r="I513" s="60"/>
      <c r="J513" s="60"/>
      <c r="K513" s="60"/>
      <c r="L513" s="60"/>
      <c r="M513" s="64"/>
      <c r="N513" s="33"/>
    </row>
    <row r="514" ht="24" customHeight="1" spans="2:14">
      <c r="B514" s="33"/>
      <c r="C514" s="60"/>
      <c r="D514" s="60"/>
      <c r="E514" s="60"/>
      <c r="F514" s="60"/>
      <c r="G514" s="60"/>
      <c r="H514" s="60"/>
      <c r="I514" s="60"/>
      <c r="J514" s="60"/>
      <c r="K514" s="60"/>
      <c r="L514" s="60"/>
      <c r="M514" s="64"/>
      <c r="N514" s="33"/>
    </row>
    <row r="515" ht="24" customHeight="1" spans="2:14">
      <c r="B515" s="33"/>
      <c r="C515" s="60"/>
      <c r="D515" s="60"/>
      <c r="E515" s="60"/>
      <c r="F515" s="60"/>
      <c r="G515" s="60"/>
      <c r="H515" s="60"/>
      <c r="I515" s="60"/>
      <c r="J515" s="60"/>
      <c r="K515" s="60"/>
      <c r="L515" s="60"/>
      <c r="M515" s="64"/>
      <c r="N515" s="33"/>
    </row>
    <row r="516" ht="24" customHeight="1" spans="2:14">
      <c r="B516" s="33"/>
      <c r="C516" s="60"/>
      <c r="D516" s="60"/>
      <c r="E516" s="60"/>
      <c r="F516" s="60"/>
      <c r="G516" s="60"/>
      <c r="H516" s="60"/>
      <c r="I516" s="60"/>
      <c r="J516" s="60"/>
      <c r="K516" s="60"/>
      <c r="L516" s="60"/>
      <c r="M516" s="64"/>
      <c r="N516" s="33"/>
    </row>
    <row r="517" ht="24" customHeight="1" spans="2:14">
      <c r="B517" s="33"/>
      <c r="C517" s="60"/>
      <c r="D517" s="60"/>
      <c r="E517" s="60"/>
      <c r="F517" s="60"/>
      <c r="G517" s="60"/>
      <c r="H517" s="60"/>
      <c r="I517" s="60"/>
      <c r="J517" s="60"/>
      <c r="K517" s="60"/>
      <c r="L517" s="60"/>
      <c r="M517" s="64"/>
      <c r="N517" s="33"/>
    </row>
    <row r="518" ht="24" customHeight="1" spans="2:14">
      <c r="B518" s="33"/>
      <c r="C518" s="60"/>
      <c r="D518" s="60"/>
      <c r="E518" s="60"/>
      <c r="F518" s="60"/>
      <c r="G518" s="60"/>
      <c r="H518" s="60"/>
      <c r="I518" s="60"/>
      <c r="J518" s="60"/>
      <c r="K518" s="60"/>
      <c r="L518" s="60"/>
      <c r="M518" s="64"/>
      <c r="N518" s="33"/>
    </row>
    <row r="519" ht="24" customHeight="1" spans="2:14">
      <c r="B519" s="33"/>
      <c r="C519" s="60"/>
      <c r="D519" s="60"/>
      <c r="E519" s="60"/>
      <c r="F519" s="60"/>
      <c r="G519" s="60"/>
      <c r="H519" s="60"/>
      <c r="I519" s="60"/>
      <c r="J519" s="60"/>
      <c r="K519" s="60"/>
      <c r="L519" s="60"/>
      <c r="M519" s="64"/>
      <c r="N519" s="33"/>
    </row>
    <row r="520" ht="24" customHeight="1" spans="2:14">
      <c r="B520" s="33"/>
      <c r="C520" s="60"/>
      <c r="D520" s="60"/>
      <c r="E520" s="60"/>
      <c r="F520" s="60"/>
      <c r="G520" s="60"/>
      <c r="H520" s="60"/>
      <c r="I520" s="60"/>
      <c r="J520" s="60"/>
      <c r="K520" s="60"/>
      <c r="L520" s="60"/>
      <c r="M520" s="64"/>
      <c r="N520" s="33"/>
    </row>
    <row r="521" ht="24" customHeight="1" spans="2:14">
      <c r="B521" s="33"/>
      <c r="C521" s="60"/>
      <c r="D521" s="60"/>
      <c r="E521" s="60"/>
      <c r="F521" s="60"/>
      <c r="G521" s="60"/>
      <c r="H521" s="60"/>
      <c r="I521" s="60"/>
      <c r="J521" s="60"/>
      <c r="K521" s="60"/>
      <c r="L521" s="60"/>
      <c r="M521" s="64"/>
      <c r="N521" s="33"/>
    </row>
    <row r="522" ht="24" customHeight="1" spans="2:14">
      <c r="B522" s="33"/>
      <c r="C522" s="60"/>
      <c r="D522" s="60"/>
      <c r="E522" s="60"/>
      <c r="F522" s="60"/>
      <c r="G522" s="60"/>
      <c r="H522" s="60"/>
      <c r="I522" s="60"/>
      <c r="J522" s="60"/>
      <c r="K522" s="60"/>
      <c r="L522" s="60"/>
      <c r="M522" s="64"/>
      <c r="N522" s="33"/>
    </row>
    <row r="523" ht="24" customHeight="1" spans="2:14">
      <c r="B523" s="33"/>
      <c r="C523" s="60"/>
      <c r="D523" s="60"/>
      <c r="E523" s="60"/>
      <c r="F523" s="60"/>
      <c r="G523" s="60"/>
      <c r="H523" s="60"/>
      <c r="I523" s="60"/>
      <c r="J523" s="60"/>
      <c r="K523" s="60"/>
      <c r="L523" s="60"/>
      <c r="M523" s="64"/>
      <c r="N523" s="33"/>
    </row>
    <row r="524" ht="24" customHeight="1" spans="2:14">
      <c r="B524" s="33"/>
      <c r="C524" s="60"/>
      <c r="D524" s="60"/>
      <c r="E524" s="60"/>
      <c r="F524" s="60"/>
      <c r="G524" s="60"/>
      <c r="H524" s="60"/>
      <c r="I524" s="60"/>
      <c r="J524" s="60"/>
      <c r="K524" s="60"/>
      <c r="L524" s="60"/>
      <c r="M524" s="64"/>
      <c r="N524" s="33"/>
    </row>
    <row r="525" ht="24" customHeight="1" spans="2:14">
      <c r="B525" s="33"/>
      <c r="C525" s="60"/>
      <c r="D525" s="60"/>
      <c r="E525" s="60"/>
      <c r="F525" s="60"/>
      <c r="G525" s="60"/>
      <c r="H525" s="60"/>
      <c r="I525" s="60"/>
      <c r="J525" s="60"/>
      <c r="K525" s="60"/>
      <c r="L525" s="60"/>
      <c r="M525" s="64"/>
      <c r="N525" s="33"/>
    </row>
    <row r="526" ht="24" customHeight="1" spans="2:14">
      <c r="B526" s="33"/>
      <c r="C526" s="60"/>
      <c r="D526" s="60"/>
      <c r="E526" s="60"/>
      <c r="F526" s="60"/>
      <c r="G526" s="60"/>
      <c r="H526" s="60"/>
      <c r="I526" s="60"/>
      <c r="J526" s="60"/>
      <c r="K526" s="60"/>
      <c r="L526" s="60"/>
      <c r="M526" s="64"/>
      <c r="N526" s="33"/>
    </row>
    <row r="527" ht="24" customHeight="1" spans="2:14">
      <c r="B527" s="33"/>
      <c r="C527" s="60"/>
      <c r="D527" s="60"/>
      <c r="E527" s="60"/>
      <c r="F527" s="60"/>
      <c r="G527" s="60"/>
      <c r="H527" s="60"/>
      <c r="I527" s="60"/>
      <c r="J527" s="60"/>
      <c r="K527" s="60"/>
      <c r="L527" s="60"/>
      <c r="M527" s="64"/>
      <c r="N527" s="33"/>
    </row>
    <row r="528" ht="24" customHeight="1" spans="2:14">
      <c r="B528" s="33"/>
      <c r="C528" s="60"/>
      <c r="D528" s="60"/>
      <c r="E528" s="60"/>
      <c r="F528" s="60"/>
      <c r="G528" s="60"/>
      <c r="H528" s="60"/>
      <c r="I528" s="60"/>
      <c r="J528" s="60"/>
      <c r="K528" s="60"/>
      <c r="L528" s="60"/>
      <c r="M528" s="64"/>
      <c r="N528" s="33"/>
    </row>
    <row r="529" ht="24" customHeight="1" spans="2:14">
      <c r="B529" s="33"/>
      <c r="C529" s="60"/>
      <c r="D529" s="60"/>
      <c r="E529" s="60"/>
      <c r="F529" s="60"/>
      <c r="G529" s="60"/>
      <c r="H529" s="60"/>
      <c r="I529" s="60"/>
      <c r="J529" s="60"/>
      <c r="K529" s="60"/>
      <c r="L529" s="60"/>
      <c r="M529" s="64"/>
      <c r="N529" s="33"/>
    </row>
    <row r="530" ht="24" customHeight="1" spans="2:14">
      <c r="B530" s="33"/>
      <c r="C530" s="60"/>
      <c r="D530" s="60"/>
      <c r="E530" s="60"/>
      <c r="F530" s="60"/>
      <c r="G530" s="60"/>
      <c r="H530" s="60"/>
      <c r="I530" s="60"/>
      <c r="J530" s="60"/>
      <c r="K530" s="60"/>
      <c r="L530" s="60"/>
      <c r="M530" s="64"/>
      <c r="N530" s="33"/>
    </row>
    <row r="531" ht="24" customHeight="1" spans="2:14">
      <c r="B531" s="33"/>
      <c r="C531" s="60"/>
      <c r="D531" s="60"/>
      <c r="E531" s="60"/>
      <c r="F531" s="60"/>
      <c r="G531" s="60"/>
      <c r="H531" s="60"/>
      <c r="I531" s="60"/>
      <c r="J531" s="60"/>
      <c r="K531" s="60"/>
      <c r="L531" s="60"/>
      <c r="M531" s="64"/>
      <c r="N531" s="33"/>
    </row>
    <row r="532" ht="24" customHeight="1" spans="2:14">
      <c r="B532" s="33"/>
      <c r="C532" s="60"/>
      <c r="D532" s="60"/>
      <c r="E532" s="60"/>
      <c r="F532" s="60"/>
      <c r="G532" s="60"/>
      <c r="H532" s="60"/>
      <c r="I532" s="60"/>
      <c r="J532" s="60"/>
      <c r="K532" s="60"/>
      <c r="L532" s="60"/>
      <c r="M532" s="64"/>
      <c r="N532" s="33"/>
    </row>
    <row r="533" ht="24" customHeight="1" spans="2:14">
      <c r="B533" s="33"/>
      <c r="C533" s="60"/>
      <c r="D533" s="60"/>
      <c r="E533" s="60"/>
      <c r="F533" s="60"/>
      <c r="G533" s="60"/>
      <c r="H533" s="60"/>
      <c r="I533" s="60"/>
      <c r="J533" s="60"/>
      <c r="K533" s="60"/>
      <c r="L533" s="60"/>
      <c r="M533" s="64"/>
      <c r="N533" s="33"/>
    </row>
    <row r="534" ht="24" customHeight="1" spans="2:14">
      <c r="B534" s="33"/>
      <c r="C534" s="60"/>
      <c r="D534" s="60"/>
      <c r="E534" s="60"/>
      <c r="F534" s="60"/>
      <c r="G534" s="60"/>
      <c r="H534" s="60"/>
      <c r="I534" s="60"/>
      <c r="J534" s="60"/>
      <c r="K534" s="60"/>
      <c r="L534" s="60"/>
      <c r="M534" s="64"/>
      <c r="N534" s="33"/>
    </row>
    <row r="535" ht="24" customHeight="1" spans="2:14">
      <c r="B535" s="33"/>
      <c r="C535" s="60"/>
      <c r="D535" s="60"/>
      <c r="E535" s="60"/>
      <c r="F535" s="60"/>
      <c r="G535" s="60"/>
      <c r="H535" s="60"/>
      <c r="I535" s="60"/>
      <c r="J535" s="60"/>
      <c r="K535" s="60"/>
      <c r="L535" s="60"/>
      <c r="M535" s="64"/>
      <c r="N535" s="33"/>
    </row>
    <row r="536" ht="24" customHeight="1" spans="2:14">
      <c r="B536" s="33"/>
      <c r="C536" s="60"/>
      <c r="D536" s="60"/>
      <c r="E536" s="60"/>
      <c r="F536" s="60"/>
      <c r="G536" s="60"/>
      <c r="H536" s="60"/>
      <c r="I536" s="60"/>
      <c r="J536" s="60"/>
      <c r="K536" s="60"/>
      <c r="L536" s="60"/>
      <c r="M536" s="64"/>
      <c r="N536" s="33"/>
    </row>
    <row r="537" ht="24" customHeight="1" spans="2:14">
      <c r="B537" s="33"/>
      <c r="C537" s="60"/>
      <c r="D537" s="60"/>
      <c r="E537" s="60"/>
      <c r="F537" s="60"/>
      <c r="G537" s="60"/>
      <c r="H537" s="60"/>
      <c r="I537" s="60"/>
      <c r="J537" s="60"/>
      <c r="K537" s="60"/>
      <c r="L537" s="60"/>
      <c r="M537" s="64"/>
      <c r="N537" s="33"/>
    </row>
    <row r="538" ht="24" customHeight="1" spans="2:14">
      <c r="B538" s="33"/>
      <c r="C538" s="60"/>
      <c r="D538" s="60"/>
      <c r="E538" s="60"/>
      <c r="F538" s="60"/>
      <c r="G538" s="60"/>
      <c r="H538" s="60"/>
      <c r="I538" s="60"/>
      <c r="J538" s="60"/>
      <c r="K538" s="60"/>
      <c r="L538" s="60"/>
      <c r="M538" s="64"/>
      <c r="N538" s="33"/>
    </row>
    <row r="539" ht="24" customHeight="1" spans="2:14">
      <c r="B539" s="33"/>
      <c r="C539" s="60"/>
      <c r="D539" s="60"/>
      <c r="E539" s="60"/>
      <c r="F539" s="60"/>
      <c r="G539" s="60"/>
      <c r="H539" s="60"/>
      <c r="I539" s="60"/>
      <c r="J539" s="60"/>
      <c r="K539" s="60"/>
      <c r="L539" s="60"/>
      <c r="M539" s="64"/>
      <c r="N539" s="33"/>
    </row>
    <row r="540" ht="24" customHeight="1" spans="2:14">
      <c r="B540" s="33"/>
      <c r="C540" s="60"/>
      <c r="D540" s="60"/>
      <c r="E540" s="60"/>
      <c r="F540" s="60"/>
      <c r="G540" s="60"/>
      <c r="H540" s="60"/>
      <c r="I540" s="60"/>
      <c r="J540" s="60"/>
      <c r="K540" s="60"/>
      <c r="L540" s="60"/>
      <c r="M540" s="64"/>
      <c r="N540" s="33"/>
    </row>
    <row r="541" ht="24" customHeight="1" spans="2:14">
      <c r="B541" s="33"/>
      <c r="C541" s="60"/>
      <c r="D541" s="60"/>
      <c r="E541" s="60"/>
      <c r="F541" s="60"/>
      <c r="G541" s="60"/>
      <c r="H541" s="60"/>
      <c r="I541" s="60"/>
      <c r="J541" s="60"/>
      <c r="K541" s="60"/>
      <c r="L541" s="60"/>
      <c r="M541" s="64"/>
      <c r="N541" s="33"/>
    </row>
    <row r="542" ht="24" customHeight="1" spans="2:14">
      <c r="B542" s="33"/>
      <c r="C542" s="60"/>
      <c r="D542" s="60"/>
      <c r="E542" s="60"/>
      <c r="F542" s="60"/>
      <c r="G542" s="60"/>
      <c r="H542" s="60"/>
      <c r="I542" s="60"/>
      <c r="J542" s="60"/>
      <c r="K542" s="60"/>
      <c r="L542" s="60"/>
      <c r="M542" s="64"/>
      <c r="N542" s="33"/>
    </row>
    <row r="543" ht="24" customHeight="1" spans="2:14">
      <c r="B543" s="33"/>
      <c r="C543" s="60"/>
      <c r="D543" s="60"/>
      <c r="E543" s="60"/>
      <c r="F543" s="60"/>
      <c r="G543" s="60"/>
      <c r="H543" s="60"/>
      <c r="I543" s="60"/>
      <c r="J543" s="60"/>
      <c r="K543" s="60"/>
      <c r="L543" s="60"/>
      <c r="M543" s="64"/>
      <c r="N543" s="33"/>
    </row>
    <row r="544" ht="24" customHeight="1" spans="2:14">
      <c r="B544" s="33"/>
      <c r="C544" s="60"/>
      <c r="D544" s="60"/>
      <c r="E544" s="60"/>
      <c r="F544" s="60"/>
      <c r="G544" s="60"/>
      <c r="H544" s="60"/>
      <c r="I544" s="60"/>
      <c r="J544" s="60"/>
      <c r="K544" s="60"/>
      <c r="L544" s="60"/>
      <c r="M544" s="64"/>
      <c r="N544" s="33"/>
    </row>
    <row r="545" ht="24" customHeight="1" spans="2:14">
      <c r="B545" s="33"/>
      <c r="C545" s="60"/>
      <c r="D545" s="60"/>
      <c r="E545" s="60"/>
      <c r="F545" s="60"/>
      <c r="G545" s="60"/>
      <c r="H545" s="60"/>
      <c r="I545" s="60"/>
      <c r="J545" s="60"/>
      <c r="K545" s="60"/>
      <c r="L545" s="60"/>
      <c r="M545" s="64"/>
      <c r="N545" s="33"/>
    </row>
    <row r="546" ht="24" customHeight="1" spans="2:14">
      <c r="B546" s="33"/>
      <c r="C546" s="60"/>
      <c r="D546" s="60"/>
      <c r="E546" s="60"/>
      <c r="F546" s="60"/>
      <c r="G546" s="60"/>
      <c r="H546" s="60"/>
      <c r="I546" s="60"/>
      <c r="J546" s="60"/>
      <c r="K546" s="60"/>
      <c r="L546" s="60"/>
      <c r="M546" s="64"/>
      <c r="N546" s="33"/>
    </row>
    <row r="547" ht="24" customHeight="1" spans="2:14">
      <c r="B547" s="33"/>
      <c r="C547" s="60"/>
      <c r="D547" s="60"/>
      <c r="E547" s="60"/>
      <c r="F547" s="60"/>
      <c r="G547" s="60"/>
      <c r="H547" s="60"/>
      <c r="I547" s="60"/>
      <c r="J547" s="60"/>
      <c r="K547" s="60"/>
      <c r="L547" s="60"/>
      <c r="M547" s="64"/>
      <c r="N547" s="33"/>
    </row>
    <row r="548" ht="24" customHeight="1" spans="2:14">
      <c r="B548" s="33"/>
      <c r="C548" s="60"/>
      <c r="D548" s="60"/>
      <c r="E548" s="60"/>
      <c r="F548" s="60"/>
      <c r="G548" s="60"/>
      <c r="H548" s="60"/>
      <c r="I548" s="60"/>
      <c r="J548" s="60"/>
      <c r="K548" s="60"/>
      <c r="L548" s="60"/>
      <c r="M548" s="64"/>
      <c r="N548" s="33"/>
    </row>
    <row r="549" ht="24" customHeight="1" spans="2:14">
      <c r="B549" s="33"/>
      <c r="C549" s="60"/>
      <c r="D549" s="60"/>
      <c r="E549" s="60"/>
      <c r="F549" s="60"/>
      <c r="G549" s="60"/>
      <c r="H549" s="60"/>
      <c r="I549" s="60"/>
      <c r="J549" s="60"/>
      <c r="K549" s="60"/>
      <c r="L549" s="60"/>
      <c r="M549" s="64"/>
      <c r="N549" s="33"/>
    </row>
    <row r="550" ht="24" customHeight="1" spans="2:14">
      <c r="B550" s="33"/>
      <c r="C550" s="60"/>
      <c r="D550" s="60"/>
      <c r="E550" s="60"/>
      <c r="F550" s="60"/>
      <c r="G550" s="60"/>
      <c r="H550" s="60"/>
      <c r="I550" s="60"/>
      <c r="J550" s="60"/>
      <c r="K550" s="60"/>
      <c r="L550" s="60"/>
      <c r="M550" s="64"/>
      <c r="N550" s="33"/>
    </row>
    <row r="551" ht="24" customHeight="1" spans="2:14">
      <c r="B551" s="33"/>
      <c r="C551" s="60"/>
      <c r="D551" s="60"/>
      <c r="E551" s="60"/>
      <c r="F551" s="60"/>
      <c r="G551" s="60"/>
      <c r="H551" s="60"/>
      <c r="I551" s="60"/>
      <c r="J551" s="60"/>
      <c r="K551" s="60"/>
      <c r="L551" s="60"/>
      <c r="M551" s="64"/>
      <c r="N551" s="33"/>
    </row>
    <row r="552" ht="24" customHeight="1" spans="2:14">
      <c r="B552" s="33"/>
      <c r="C552" s="60"/>
      <c r="D552" s="60"/>
      <c r="E552" s="60"/>
      <c r="F552" s="60"/>
      <c r="G552" s="60"/>
      <c r="H552" s="60"/>
      <c r="I552" s="60"/>
      <c r="J552" s="60"/>
      <c r="K552" s="60"/>
      <c r="L552" s="60"/>
      <c r="M552" s="64"/>
      <c r="N552" s="33"/>
    </row>
    <row r="553" ht="24" customHeight="1" spans="2:14">
      <c r="B553" s="33"/>
      <c r="C553" s="60"/>
      <c r="D553" s="60"/>
      <c r="E553" s="60"/>
      <c r="F553" s="60"/>
      <c r="G553" s="60"/>
      <c r="H553" s="60"/>
      <c r="I553" s="60"/>
      <c r="J553" s="60"/>
      <c r="K553" s="60"/>
      <c r="L553" s="60"/>
      <c r="M553" s="64"/>
      <c r="N553" s="33"/>
    </row>
    <row r="554" ht="24" customHeight="1" spans="2:14">
      <c r="B554" s="33"/>
      <c r="C554" s="60"/>
      <c r="D554" s="60"/>
      <c r="E554" s="60"/>
      <c r="F554" s="60"/>
      <c r="G554" s="60"/>
      <c r="H554" s="60"/>
      <c r="I554" s="60"/>
      <c r="J554" s="60"/>
      <c r="K554" s="60"/>
      <c r="L554" s="60"/>
      <c r="M554" s="64"/>
      <c r="N554" s="33"/>
    </row>
    <row r="555" ht="24" customHeight="1" spans="2:14">
      <c r="B555" s="33"/>
      <c r="C555" s="60"/>
      <c r="D555" s="60"/>
      <c r="E555" s="60"/>
      <c r="F555" s="60"/>
      <c r="G555" s="60"/>
      <c r="H555" s="60"/>
      <c r="I555" s="60"/>
      <c r="J555" s="60"/>
      <c r="K555" s="60"/>
      <c r="L555" s="60"/>
      <c r="M555" s="64"/>
      <c r="N555" s="33"/>
    </row>
    <row r="556" ht="24" customHeight="1" spans="2:14">
      <c r="B556" s="33"/>
      <c r="C556" s="60"/>
      <c r="D556" s="60"/>
      <c r="E556" s="60"/>
      <c r="F556" s="60"/>
      <c r="G556" s="60"/>
      <c r="H556" s="60"/>
      <c r="I556" s="60"/>
      <c r="J556" s="60"/>
      <c r="K556" s="60"/>
      <c r="L556" s="60"/>
      <c r="M556" s="64"/>
      <c r="N556" s="33"/>
    </row>
    <row r="557" ht="24" customHeight="1" spans="2:14">
      <c r="B557" s="33"/>
      <c r="C557" s="60"/>
      <c r="D557" s="60"/>
      <c r="E557" s="60"/>
      <c r="F557" s="60"/>
      <c r="G557" s="60"/>
      <c r="H557" s="60"/>
      <c r="I557" s="60"/>
      <c r="J557" s="60"/>
      <c r="K557" s="60"/>
      <c r="L557" s="60"/>
      <c r="M557" s="64"/>
      <c r="N557" s="33"/>
    </row>
    <row r="558" ht="24" customHeight="1" spans="2:14">
      <c r="B558" s="33"/>
      <c r="C558" s="60"/>
      <c r="D558" s="60"/>
      <c r="E558" s="60"/>
      <c r="F558" s="60"/>
      <c r="G558" s="60"/>
      <c r="H558" s="60"/>
      <c r="I558" s="60"/>
      <c r="J558" s="60"/>
      <c r="K558" s="60"/>
      <c r="L558" s="60"/>
      <c r="M558" s="64"/>
      <c r="N558" s="33"/>
    </row>
    <row r="559" ht="24" customHeight="1" spans="2:14">
      <c r="B559" s="33"/>
      <c r="C559" s="60"/>
      <c r="D559" s="60"/>
      <c r="E559" s="60"/>
      <c r="F559" s="60"/>
      <c r="G559" s="60"/>
      <c r="H559" s="60"/>
      <c r="I559" s="60"/>
      <c r="J559" s="60"/>
      <c r="K559" s="60"/>
      <c r="L559" s="60"/>
      <c r="M559" s="64"/>
      <c r="N559" s="33"/>
    </row>
    <row r="560" ht="24" customHeight="1" spans="2:14">
      <c r="B560" s="33"/>
      <c r="C560" s="60"/>
      <c r="D560" s="60"/>
      <c r="E560" s="60"/>
      <c r="F560" s="60"/>
      <c r="G560" s="60"/>
      <c r="H560" s="60"/>
      <c r="I560" s="60"/>
      <c r="J560" s="60"/>
      <c r="K560" s="60"/>
      <c r="L560" s="60"/>
      <c r="M560" s="64"/>
      <c r="N560" s="33"/>
    </row>
    <row r="561" ht="24" customHeight="1" spans="2:14">
      <c r="B561" s="33"/>
      <c r="C561" s="60"/>
      <c r="D561" s="60"/>
      <c r="E561" s="60"/>
      <c r="F561" s="60"/>
      <c r="G561" s="60"/>
      <c r="H561" s="60"/>
      <c r="I561" s="60"/>
      <c r="J561" s="60"/>
      <c r="K561" s="60"/>
      <c r="L561" s="60"/>
      <c r="M561" s="64"/>
      <c r="N561" s="33"/>
    </row>
    <row r="562" ht="24" customHeight="1" spans="2:14">
      <c r="B562" s="33"/>
      <c r="C562" s="60"/>
      <c r="D562" s="60"/>
      <c r="E562" s="60"/>
      <c r="F562" s="60"/>
      <c r="G562" s="60"/>
      <c r="H562" s="60"/>
      <c r="I562" s="60"/>
      <c r="J562" s="60"/>
      <c r="K562" s="60"/>
      <c r="L562" s="60"/>
      <c r="M562" s="64"/>
      <c r="N562" s="33"/>
    </row>
    <row r="563" ht="24" customHeight="1" spans="2:14">
      <c r="B563" s="33"/>
      <c r="C563" s="60"/>
      <c r="D563" s="60"/>
      <c r="E563" s="60"/>
      <c r="F563" s="60"/>
      <c r="G563" s="60"/>
      <c r="H563" s="60"/>
      <c r="I563" s="60"/>
      <c r="J563" s="60"/>
      <c r="K563" s="60"/>
      <c r="L563" s="60"/>
      <c r="M563" s="64"/>
      <c r="N563" s="33"/>
    </row>
    <row r="564" ht="24" customHeight="1" spans="2:14">
      <c r="B564" s="33"/>
      <c r="C564" s="60"/>
      <c r="D564" s="60"/>
      <c r="E564" s="60"/>
      <c r="F564" s="60"/>
      <c r="G564" s="60"/>
      <c r="H564" s="60"/>
      <c r="I564" s="60"/>
      <c r="J564" s="60"/>
      <c r="K564" s="60"/>
      <c r="L564" s="60"/>
      <c r="M564" s="64"/>
      <c r="N564" s="33"/>
    </row>
    <row r="565" ht="24" customHeight="1" spans="2:14">
      <c r="B565" s="33"/>
      <c r="C565" s="60"/>
      <c r="D565" s="60"/>
      <c r="E565" s="60"/>
      <c r="F565" s="60"/>
      <c r="G565" s="60"/>
      <c r="H565" s="60"/>
      <c r="I565" s="60"/>
      <c r="J565" s="60"/>
      <c r="K565" s="60"/>
      <c r="L565" s="60"/>
      <c r="M565" s="64"/>
      <c r="N565" s="33"/>
    </row>
    <row r="566" ht="24" customHeight="1" spans="2:14">
      <c r="B566" s="33"/>
      <c r="C566" s="60"/>
      <c r="D566" s="60"/>
      <c r="E566" s="60"/>
      <c r="F566" s="60"/>
      <c r="G566" s="60"/>
      <c r="H566" s="60"/>
      <c r="I566" s="60"/>
      <c r="J566" s="60"/>
      <c r="K566" s="60"/>
      <c r="L566" s="60"/>
      <c r="M566" s="64"/>
      <c r="N566" s="33"/>
    </row>
    <row r="567" ht="24" customHeight="1" spans="2:14">
      <c r="B567" s="33"/>
      <c r="C567" s="60"/>
      <c r="D567" s="60"/>
      <c r="E567" s="60"/>
      <c r="F567" s="60"/>
      <c r="G567" s="60"/>
      <c r="H567" s="60"/>
      <c r="I567" s="60"/>
      <c r="J567" s="60"/>
      <c r="K567" s="60"/>
      <c r="L567" s="60"/>
      <c r="M567" s="64"/>
      <c r="N567" s="33"/>
    </row>
    <row r="568" ht="24" customHeight="1" spans="2:14">
      <c r="B568" s="33"/>
      <c r="C568" s="60"/>
      <c r="D568" s="60"/>
      <c r="E568" s="60"/>
      <c r="F568" s="60"/>
      <c r="G568" s="60"/>
      <c r="H568" s="60"/>
      <c r="I568" s="60"/>
      <c r="J568" s="60"/>
      <c r="K568" s="60"/>
      <c r="L568" s="60"/>
      <c r="M568" s="64"/>
      <c r="N568" s="33"/>
    </row>
    <row r="569" ht="24" customHeight="1" spans="2:14">
      <c r="B569" s="33"/>
      <c r="C569" s="60"/>
      <c r="D569" s="60"/>
      <c r="E569" s="60"/>
      <c r="F569" s="60"/>
      <c r="G569" s="60"/>
      <c r="H569" s="60"/>
      <c r="I569" s="60"/>
      <c r="J569" s="60"/>
      <c r="K569" s="60"/>
      <c r="L569" s="60"/>
      <c r="M569" s="64"/>
      <c r="N569" s="33"/>
    </row>
    <row r="570" ht="24" customHeight="1" spans="2:14">
      <c r="B570" s="33"/>
      <c r="C570" s="60"/>
      <c r="D570" s="60"/>
      <c r="E570" s="60"/>
      <c r="F570" s="60"/>
      <c r="G570" s="60"/>
      <c r="H570" s="60"/>
      <c r="I570" s="60"/>
      <c r="J570" s="60"/>
      <c r="K570" s="60"/>
      <c r="L570" s="60"/>
      <c r="M570" s="64"/>
      <c r="N570" s="33"/>
    </row>
    <row r="571" ht="24" customHeight="1" spans="2:14">
      <c r="B571" s="33"/>
      <c r="C571" s="60"/>
      <c r="D571" s="60"/>
      <c r="E571" s="60"/>
      <c r="F571" s="60"/>
      <c r="G571" s="60"/>
      <c r="H571" s="60"/>
      <c r="I571" s="60"/>
      <c r="J571" s="60"/>
      <c r="K571" s="60"/>
      <c r="L571" s="60"/>
      <c r="M571" s="64"/>
      <c r="N571" s="33"/>
    </row>
    <row r="572" ht="24" customHeight="1" spans="2:14">
      <c r="B572" s="33"/>
      <c r="C572" s="60"/>
      <c r="D572" s="60"/>
      <c r="E572" s="60"/>
      <c r="F572" s="60"/>
      <c r="G572" s="60"/>
      <c r="H572" s="60"/>
      <c r="I572" s="60"/>
      <c r="J572" s="60"/>
      <c r="K572" s="60"/>
      <c r="L572" s="60"/>
      <c r="M572" s="64"/>
      <c r="N572" s="33"/>
    </row>
    <row r="573" ht="24" customHeight="1" spans="2:14">
      <c r="B573" s="33"/>
      <c r="C573" s="60"/>
      <c r="D573" s="60"/>
      <c r="E573" s="60"/>
      <c r="F573" s="60"/>
      <c r="G573" s="60"/>
      <c r="H573" s="60"/>
      <c r="I573" s="60"/>
      <c r="J573" s="60"/>
      <c r="K573" s="60"/>
      <c r="L573" s="60"/>
      <c r="M573" s="64"/>
      <c r="N573" s="33"/>
    </row>
    <row r="574" ht="24" customHeight="1" spans="2:14">
      <c r="B574" s="33"/>
      <c r="C574" s="60"/>
      <c r="D574" s="60"/>
      <c r="E574" s="60"/>
      <c r="F574" s="60"/>
      <c r="G574" s="60"/>
      <c r="H574" s="60"/>
      <c r="I574" s="60"/>
      <c r="J574" s="60"/>
      <c r="K574" s="60"/>
      <c r="L574" s="60"/>
      <c r="M574" s="64"/>
      <c r="N574" s="33"/>
    </row>
    <row r="575" ht="24" customHeight="1" spans="2:14">
      <c r="B575" s="33"/>
      <c r="C575" s="60"/>
      <c r="D575" s="60"/>
      <c r="E575" s="60"/>
      <c r="F575" s="60"/>
      <c r="G575" s="60"/>
      <c r="H575" s="60"/>
      <c r="I575" s="60"/>
      <c r="J575" s="60"/>
      <c r="K575" s="60"/>
      <c r="L575" s="60"/>
      <c r="M575" s="64"/>
      <c r="N575" s="33"/>
    </row>
    <row r="576" ht="24" customHeight="1" spans="2:14">
      <c r="B576" s="33"/>
      <c r="C576" s="60"/>
      <c r="D576" s="60"/>
      <c r="E576" s="60"/>
      <c r="F576" s="60"/>
      <c r="G576" s="60"/>
      <c r="H576" s="60"/>
      <c r="I576" s="60"/>
      <c r="J576" s="60"/>
      <c r="K576" s="60"/>
      <c r="L576" s="60"/>
      <c r="M576" s="64"/>
      <c r="N576" s="33"/>
    </row>
    <row r="577" ht="24" customHeight="1" spans="2:14">
      <c r="B577" s="33"/>
      <c r="C577" s="60"/>
      <c r="D577" s="60"/>
      <c r="E577" s="60"/>
      <c r="F577" s="60"/>
      <c r="G577" s="60"/>
      <c r="H577" s="60"/>
      <c r="I577" s="60"/>
      <c r="J577" s="60"/>
      <c r="K577" s="60"/>
      <c r="L577" s="60"/>
      <c r="M577" s="64"/>
      <c r="N577" s="33"/>
    </row>
    <row r="578" ht="24" customHeight="1" spans="2:14">
      <c r="B578" s="33"/>
      <c r="C578" s="60"/>
      <c r="D578" s="60"/>
      <c r="E578" s="60"/>
      <c r="F578" s="60"/>
      <c r="G578" s="60"/>
      <c r="H578" s="60"/>
      <c r="I578" s="60"/>
      <c r="J578" s="60"/>
      <c r="K578" s="60"/>
      <c r="L578" s="60"/>
      <c r="M578" s="64"/>
      <c r="N578" s="33"/>
    </row>
    <row r="579" ht="24" customHeight="1" spans="2:14">
      <c r="B579" s="33"/>
      <c r="C579" s="60"/>
      <c r="D579" s="60"/>
      <c r="E579" s="60"/>
      <c r="F579" s="60"/>
      <c r="G579" s="60"/>
      <c r="H579" s="60"/>
      <c r="I579" s="60"/>
      <c r="J579" s="60"/>
      <c r="K579" s="60"/>
      <c r="L579" s="60"/>
      <c r="M579" s="64"/>
      <c r="N579" s="33"/>
    </row>
    <row r="580" ht="24" customHeight="1" spans="2:14">
      <c r="B580" s="33"/>
      <c r="C580" s="60"/>
      <c r="D580" s="60"/>
      <c r="E580" s="60"/>
      <c r="F580" s="60"/>
      <c r="G580" s="60"/>
      <c r="H580" s="60"/>
      <c r="I580" s="60"/>
      <c r="J580" s="60"/>
      <c r="K580" s="60"/>
      <c r="L580" s="60"/>
      <c r="M580" s="64"/>
      <c r="N580" s="33"/>
    </row>
    <row r="581" ht="24" customHeight="1" spans="2:14">
      <c r="B581" s="33"/>
      <c r="C581" s="60"/>
      <c r="D581" s="60"/>
      <c r="E581" s="60"/>
      <c r="F581" s="60"/>
      <c r="G581" s="60"/>
      <c r="H581" s="60"/>
      <c r="I581" s="60"/>
      <c r="J581" s="60"/>
      <c r="K581" s="60"/>
      <c r="L581" s="60"/>
      <c r="M581" s="64"/>
      <c r="N581" s="33"/>
    </row>
    <row r="582" ht="24" customHeight="1" spans="2:14">
      <c r="B582" s="33"/>
      <c r="C582" s="60"/>
      <c r="D582" s="60"/>
      <c r="E582" s="60"/>
      <c r="F582" s="60"/>
      <c r="G582" s="60"/>
      <c r="H582" s="60"/>
      <c r="I582" s="60"/>
      <c r="J582" s="60"/>
      <c r="K582" s="60"/>
      <c r="L582" s="60"/>
      <c r="M582" s="64"/>
      <c r="N582" s="33"/>
    </row>
    <row r="583" ht="24" customHeight="1" spans="2:14">
      <c r="B583" s="33"/>
      <c r="C583" s="60"/>
      <c r="D583" s="60"/>
      <c r="E583" s="60"/>
      <c r="F583" s="60"/>
      <c r="G583" s="60"/>
      <c r="H583" s="60"/>
      <c r="I583" s="60"/>
      <c r="J583" s="60"/>
      <c r="K583" s="60"/>
      <c r="L583" s="60"/>
      <c r="M583" s="64"/>
      <c r="N583" s="33"/>
    </row>
    <row r="584" ht="24" customHeight="1" spans="2:14">
      <c r="B584" s="33"/>
      <c r="C584" s="60"/>
      <c r="D584" s="60"/>
      <c r="E584" s="60"/>
      <c r="F584" s="60"/>
      <c r="G584" s="60"/>
      <c r="H584" s="60"/>
      <c r="I584" s="60"/>
      <c r="J584" s="60"/>
      <c r="K584" s="60"/>
      <c r="L584" s="60"/>
      <c r="M584" s="64"/>
      <c r="N584" s="33"/>
    </row>
    <row r="585" ht="24" customHeight="1" spans="2:14">
      <c r="B585" s="33"/>
      <c r="C585" s="60"/>
      <c r="D585" s="60"/>
      <c r="E585" s="60"/>
      <c r="F585" s="60"/>
      <c r="G585" s="60"/>
      <c r="H585" s="60"/>
      <c r="I585" s="60"/>
      <c r="J585" s="60"/>
      <c r="K585" s="60"/>
      <c r="L585" s="60"/>
      <c r="M585" s="64"/>
      <c r="N585" s="33"/>
    </row>
    <row r="586" ht="24" customHeight="1" spans="2:14">
      <c r="B586" s="33"/>
      <c r="C586" s="60"/>
      <c r="D586" s="60"/>
      <c r="E586" s="60"/>
      <c r="F586" s="60"/>
      <c r="G586" s="60"/>
      <c r="H586" s="60"/>
      <c r="I586" s="60"/>
      <c r="J586" s="60"/>
      <c r="K586" s="60"/>
      <c r="L586" s="60"/>
      <c r="M586" s="64"/>
      <c r="N586" s="33"/>
    </row>
    <row r="587" ht="24" customHeight="1" spans="2:14">
      <c r="B587" s="33"/>
      <c r="C587" s="60"/>
      <c r="D587" s="60"/>
      <c r="E587" s="60"/>
      <c r="F587" s="60"/>
      <c r="G587" s="60"/>
      <c r="H587" s="60"/>
      <c r="I587" s="60"/>
      <c r="J587" s="60"/>
      <c r="K587" s="60"/>
      <c r="L587" s="60"/>
      <c r="M587" s="64"/>
      <c r="N587" s="33"/>
    </row>
    <row r="588" ht="24" customHeight="1" spans="2:14">
      <c r="B588" s="33"/>
      <c r="C588" s="60"/>
      <c r="D588" s="60"/>
      <c r="E588" s="60"/>
      <c r="F588" s="60"/>
      <c r="G588" s="60"/>
      <c r="H588" s="60"/>
      <c r="I588" s="60"/>
      <c r="J588" s="60"/>
      <c r="K588" s="60"/>
      <c r="L588" s="60"/>
      <c r="M588" s="64"/>
      <c r="N588" s="33"/>
    </row>
    <row r="589" ht="24" customHeight="1" spans="2:14">
      <c r="B589" s="33"/>
      <c r="C589" s="60"/>
      <c r="D589" s="60"/>
      <c r="E589" s="60"/>
      <c r="F589" s="60"/>
      <c r="G589" s="60"/>
      <c r="H589" s="60"/>
      <c r="I589" s="60"/>
      <c r="J589" s="60"/>
      <c r="K589" s="60"/>
      <c r="L589" s="60"/>
      <c r="M589" s="64"/>
      <c r="N589" s="33"/>
    </row>
    <row r="590" ht="24" customHeight="1" spans="2:14">
      <c r="B590" s="33"/>
      <c r="C590" s="60"/>
      <c r="D590" s="60"/>
      <c r="E590" s="60"/>
      <c r="F590" s="60"/>
      <c r="G590" s="60"/>
      <c r="H590" s="60"/>
      <c r="I590" s="60"/>
      <c r="J590" s="60"/>
      <c r="K590" s="60"/>
      <c r="L590" s="60"/>
      <c r="M590" s="64"/>
      <c r="N590" s="33"/>
    </row>
    <row r="591" ht="24" customHeight="1" spans="2:14">
      <c r="B591" s="33"/>
      <c r="C591" s="60"/>
      <c r="D591" s="60"/>
      <c r="E591" s="60"/>
      <c r="F591" s="60"/>
      <c r="G591" s="60"/>
      <c r="H591" s="60"/>
      <c r="I591" s="60"/>
      <c r="J591" s="60"/>
      <c r="K591" s="60"/>
      <c r="L591" s="60"/>
      <c r="M591" s="64"/>
      <c r="N591" s="33"/>
    </row>
    <row r="592" ht="24" customHeight="1" spans="2:14">
      <c r="B592" s="33"/>
      <c r="C592" s="60"/>
      <c r="D592" s="60"/>
      <c r="E592" s="60"/>
      <c r="F592" s="60"/>
      <c r="G592" s="60"/>
      <c r="H592" s="60"/>
      <c r="I592" s="60"/>
      <c r="J592" s="60"/>
      <c r="K592" s="60"/>
      <c r="L592" s="60"/>
      <c r="M592" s="64"/>
      <c r="N592" s="33"/>
    </row>
    <row r="593" ht="24" customHeight="1" spans="2:14">
      <c r="B593" s="33"/>
      <c r="C593" s="60"/>
      <c r="D593" s="60"/>
      <c r="E593" s="60"/>
      <c r="F593" s="60"/>
      <c r="G593" s="60"/>
      <c r="H593" s="60"/>
      <c r="I593" s="60"/>
      <c r="J593" s="60"/>
      <c r="K593" s="60"/>
      <c r="L593" s="60"/>
      <c r="M593" s="64"/>
      <c r="N593" s="33"/>
    </row>
    <row r="594" ht="24" customHeight="1" spans="2:14">
      <c r="B594" s="33"/>
      <c r="C594" s="60"/>
      <c r="D594" s="60"/>
      <c r="E594" s="60"/>
      <c r="F594" s="60"/>
      <c r="G594" s="60"/>
      <c r="H594" s="60"/>
      <c r="I594" s="60"/>
      <c r="J594" s="60"/>
      <c r="K594" s="60"/>
      <c r="L594" s="60"/>
      <c r="M594" s="64"/>
      <c r="N594" s="33"/>
    </row>
    <row r="595" ht="24" customHeight="1" spans="2:14">
      <c r="B595" s="33"/>
      <c r="C595" s="60"/>
      <c r="D595" s="60"/>
      <c r="E595" s="60"/>
      <c r="F595" s="60"/>
      <c r="G595" s="60"/>
      <c r="H595" s="60"/>
      <c r="I595" s="60"/>
      <c r="J595" s="60"/>
      <c r="K595" s="60"/>
      <c r="L595" s="60"/>
      <c r="M595" s="64"/>
      <c r="N595" s="33"/>
    </row>
    <row r="596" ht="24" customHeight="1" spans="2:14">
      <c r="B596" s="33"/>
      <c r="C596" s="60"/>
      <c r="D596" s="60"/>
      <c r="E596" s="60"/>
      <c r="F596" s="60"/>
      <c r="G596" s="60"/>
      <c r="H596" s="60"/>
      <c r="I596" s="60"/>
      <c r="J596" s="60"/>
      <c r="K596" s="60"/>
      <c r="L596" s="60"/>
      <c r="M596" s="64"/>
      <c r="N596" s="33"/>
    </row>
    <row r="597" ht="24" customHeight="1" spans="2:14">
      <c r="B597" s="33"/>
      <c r="C597" s="60"/>
      <c r="D597" s="60"/>
      <c r="E597" s="60"/>
      <c r="F597" s="60"/>
      <c r="G597" s="60"/>
      <c r="H597" s="60"/>
      <c r="I597" s="60"/>
      <c r="J597" s="60"/>
      <c r="K597" s="60"/>
      <c r="L597" s="60"/>
      <c r="M597" s="64"/>
      <c r="N597" s="33"/>
    </row>
    <row r="598" ht="24" customHeight="1" spans="2:14">
      <c r="B598" s="33"/>
      <c r="C598" s="60"/>
      <c r="D598" s="60"/>
      <c r="E598" s="60"/>
      <c r="F598" s="60"/>
      <c r="G598" s="60"/>
      <c r="H598" s="60"/>
      <c r="I598" s="60"/>
      <c r="J598" s="60"/>
      <c r="K598" s="60"/>
      <c r="L598" s="60"/>
      <c r="M598" s="64"/>
      <c r="N598" s="33"/>
    </row>
    <row r="599" ht="24" customHeight="1" spans="2:14">
      <c r="B599" s="33"/>
      <c r="C599" s="60"/>
      <c r="D599" s="60"/>
      <c r="E599" s="60"/>
      <c r="F599" s="60"/>
      <c r="G599" s="60"/>
      <c r="H599" s="60"/>
      <c r="I599" s="60"/>
      <c r="J599" s="60"/>
      <c r="K599" s="60"/>
      <c r="L599" s="60"/>
      <c r="M599" s="64"/>
      <c r="N599" s="33"/>
    </row>
    <row r="600" ht="24" customHeight="1" spans="2:14">
      <c r="B600" s="33"/>
      <c r="C600" s="60"/>
      <c r="D600" s="60"/>
      <c r="E600" s="60"/>
      <c r="F600" s="60"/>
      <c r="G600" s="60"/>
      <c r="H600" s="60"/>
      <c r="I600" s="60"/>
      <c r="J600" s="60"/>
      <c r="K600" s="60"/>
      <c r="L600" s="60"/>
      <c r="M600" s="64"/>
      <c r="N600" s="33"/>
    </row>
    <row r="601" ht="24" customHeight="1" spans="2:14">
      <c r="B601" s="33"/>
      <c r="C601" s="60"/>
      <c r="D601" s="60"/>
      <c r="E601" s="60"/>
      <c r="F601" s="60"/>
      <c r="G601" s="60"/>
      <c r="H601" s="60"/>
      <c r="I601" s="60"/>
      <c r="J601" s="60"/>
      <c r="K601" s="60"/>
      <c r="L601" s="60"/>
      <c r="M601" s="64"/>
      <c r="N601" s="33"/>
    </row>
    <row r="602" ht="24" customHeight="1" spans="2:14">
      <c r="B602" s="33"/>
      <c r="C602" s="60"/>
      <c r="D602" s="60"/>
      <c r="E602" s="60"/>
      <c r="F602" s="60"/>
      <c r="G602" s="60"/>
      <c r="H602" s="60"/>
      <c r="I602" s="60"/>
      <c r="J602" s="60"/>
      <c r="K602" s="60"/>
      <c r="L602" s="60"/>
      <c r="M602" s="64"/>
      <c r="N602" s="33"/>
    </row>
    <row r="603" ht="24" customHeight="1" spans="2:14">
      <c r="B603" s="33"/>
      <c r="C603" s="60"/>
      <c r="D603" s="60"/>
      <c r="E603" s="60"/>
      <c r="F603" s="60"/>
      <c r="G603" s="60"/>
      <c r="H603" s="60"/>
      <c r="I603" s="60"/>
      <c r="J603" s="60"/>
      <c r="K603" s="60"/>
      <c r="L603" s="60"/>
      <c r="M603" s="64"/>
      <c r="N603" s="33"/>
    </row>
    <row r="604" ht="24" customHeight="1" spans="2:14">
      <c r="B604" s="33"/>
      <c r="C604" s="60"/>
      <c r="D604" s="60"/>
      <c r="E604" s="60"/>
      <c r="F604" s="60"/>
      <c r="G604" s="60"/>
      <c r="H604" s="60"/>
      <c r="I604" s="60"/>
      <c r="J604" s="60"/>
      <c r="K604" s="60"/>
      <c r="L604" s="60"/>
      <c r="M604" s="64"/>
      <c r="N604" s="33"/>
    </row>
    <row r="605" ht="24" customHeight="1" spans="2:14">
      <c r="B605" s="33"/>
      <c r="C605" s="60"/>
      <c r="D605" s="60"/>
      <c r="E605" s="60"/>
      <c r="F605" s="60"/>
      <c r="G605" s="60"/>
      <c r="H605" s="60"/>
      <c r="I605" s="60"/>
      <c r="J605" s="60"/>
      <c r="K605" s="60"/>
      <c r="L605" s="60"/>
      <c r="M605" s="64"/>
      <c r="N605" s="33"/>
    </row>
    <row r="606" ht="24" customHeight="1" spans="2:14">
      <c r="B606" s="33"/>
      <c r="C606" s="60"/>
      <c r="D606" s="60"/>
      <c r="E606" s="60"/>
      <c r="F606" s="60"/>
      <c r="G606" s="60"/>
      <c r="H606" s="60"/>
      <c r="I606" s="60"/>
      <c r="J606" s="60"/>
      <c r="K606" s="60"/>
      <c r="L606" s="60"/>
      <c r="M606" s="64"/>
      <c r="N606" s="33"/>
    </row>
    <row r="607" ht="24" customHeight="1" spans="2:14">
      <c r="B607" s="33"/>
      <c r="C607" s="60"/>
      <c r="D607" s="60"/>
      <c r="E607" s="60"/>
      <c r="F607" s="60"/>
      <c r="G607" s="60"/>
      <c r="H607" s="60"/>
      <c r="I607" s="60"/>
      <c r="J607" s="60"/>
      <c r="K607" s="60"/>
      <c r="L607" s="60"/>
      <c r="M607" s="64"/>
      <c r="N607" s="33"/>
    </row>
    <row r="608" ht="24" customHeight="1" spans="2:14">
      <c r="B608" s="33"/>
      <c r="C608" s="60"/>
      <c r="D608" s="60"/>
      <c r="E608" s="60"/>
      <c r="F608" s="60"/>
      <c r="G608" s="60"/>
      <c r="H608" s="60"/>
      <c r="I608" s="60"/>
      <c r="J608" s="60"/>
      <c r="K608" s="60"/>
      <c r="L608" s="60"/>
      <c r="M608" s="64"/>
      <c r="N608" s="33"/>
    </row>
    <row r="609" ht="24" customHeight="1" spans="2:14">
      <c r="B609" s="33"/>
      <c r="C609" s="60"/>
      <c r="D609" s="60"/>
      <c r="E609" s="60"/>
      <c r="F609" s="60"/>
      <c r="G609" s="60"/>
      <c r="H609" s="60"/>
      <c r="I609" s="60"/>
      <c r="J609" s="60"/>
      <c r="K609" s="60"/>
      <c r="L609" s="60"/>
      <c r="M609" s="64"/>
      <c r="N609" s="33"/>
    </row>
    <row r="610" ht="24" customHeight="1" spans="2:14">
      <c r="B610" s="33"/>
      <c r="C610" s="60"/>
      <c r="D610" s="60"/>
      <c r="E610" s="60"/>
      <c r="F610" s="60"/>
      <c r="G610" s="60"/>
      <c r="H610" s="60"/>
      <c r="I610" s="60"/>
      <c r="J610" s="60"/>
      <c r="K610" s="60"/>
      <c r="L610" s="60"/>
      <c r="M610" s="64"/>
      <c r="N610" s="33"/>
    </row>
    <row r="611" ht="24" customHeight="1" spans="2:14">
      <c r="B611" s="33"/>
      <c r="C611" s="60"/>
      <c r="D611" s="60"/>
      <c r="E611" s="60"/>
      <c r="F611" s="60"/>
      <c r="G611" s="60"/>
      <c r="H611" s="60"/>
      <c r="I611" s="60"/>
      <c r="J611" s="60"/>
      <c r="K611" s="60"/>
      <c r="L611" s="60"/>
      <c r="M611" s="64"/>
      <c r="N611" s="33"/>
    </row>
    <row r="612" ht="24" customHeight="1" spans="2:14">
      <c r="B612" s="33"/>
      <c r="C612" s="60"/>
      <c r="D612" s="60"/>
      <c r="E612" s="60"/>
      <c r="F612" s="60"/>
      <c r="G612" s="60"/>
      <c r="H612" s="60"/>
      <c r="I612" s="60"/>
      <c r="J612" s="60"/>
      <c r="K612" s="60"/>
      <c r="L612" s="60"/>
      <c r="M612" s="64"/>
      <c r="N612" s="33"/>
    </row>
    <row r="613" ht="24" customHeight="1" spans="2:14">
      <c r="B613" s="33"/>
      <c r="C613" s="60"/>
      <c r="D613" s="60"/>
      <c r="E613" s="60"/>
      <c r="F613" s="60"/>
      <c r="G613" s="60"/>
      <c r="H613" s="60"/>
      <c r="I613" s="60"/>
      <c r="J613" s="60"/>
      <c r="K613" s="60"/>
      <c r="L613" s="60"/>
      <c r="M613" s="64"/>
      <c r="N613" s="33"/>
    </row>
    <row r="614" ht="24" customHeight="1" spans="2:14">
      <c r="B614" s="33"/>
      <c r="C614" s="60"/>
      <c r="D614" s="60"/>
      <c r="E614" s="60"/>
      <c r="F614" s="60"/>
      <c r="G614" s="60"/>
      <c r="H614" s="60"/>
      <c r="I614" s="60"/>
      <c r="J614" s="60"/>
      <c r="K614" s="60"/>
      <c r="L614" s="60"/>
      <c r="M614" s="64"/>
      <c r="N614" s="33"/>
    </row>
    <row r="615" ht="24" customHeight="1" spans="2:14">
      <c r="B615" s="33"/>
      <c r="C615" s="60"/>
      <c r="D615" s="60"/>
      <c r="E615" s="60"/>
      <c r="F615" s="60"/>
      <c r="G615" s="60"/>
      <c r="H615" s="60"/>
      <c r="I615" s="60"/>
      <c r="J615" s="60"/>
      <c r="K615" s="60"/>
      <c r="L615" s="60"/>
      <c r="M615" s="64"/>
      <c r="N615" s="33"/>
    </row>
    <row r="616" ht="24" customHeight="1" spans="2:14">
      <c r="B616" s="33"/>
      <c r="C616" s="60"/>
      <c r="D616" s="60"/>
      <c r="E616" s="60"/>
      <c r="F616" s="60"/>
      <c r="G616" s="60"/>
      <c r="H616" s="60"/>
      <c r="I616" s="60"/>
      <c r="J616" s="60"/>
      <c r="K616" s="60"/>
      <c r="L616" s="60"/>
      <c r="M616" s="64"/>
      <c r="N616" s="33"/>
    </row>
    <row r="617" ht="24" customHeight="1" spans="2:14">
      <c r="B617" s="33"/>
      <c r="C617" s="60"/>
      <c r="D617" s="60"/>
      <c r="E617" s="60"/>
      <c r="F617" s="60"/>
      <c r="G617" s="60"/>
      <c r="H617" s="60"/>
      <c r="I617" s="60"/>
      <c r="J617" s="60"/>
      <c r="K617" s="60"/>
      <c r="L617" s="60"/>
      <c r="M617" s="64"/>
      <c r="N617" s="33"/>
    </row>
    <row r="618" ht="24" customHeight="1" spans="2:14">
      <c r="B618" s="33"/>
      <c r="C618" s="60"/>
      <c r="D618" s="60"/>
      <c r="E618" s="60"/>
      <c r="F618" s="60"/>
      <c r="G618" s="60"/>
      <c r="H618" s="60"/>
      <c r="I618" s="60"/>
      <c r="J618" s="60"/>
      <c r="K618" s="60"/>
      <c r="L618" s="60"/>
      <c r="M618" s="64"/>
      <c r="N618" s="33"/>
    </row>
    <row r="619" ht="24" customHeight="1" spans="2:14">
      <c r="B619" s="33"/>
      <c r="C619" s="60"/>
      <c r="D619" s="60"/>
      <c r="E619" s="60"/>
      <c r="F619" s="60"/>
      <c r="G619" s="60"/>
      <c r="H619" s="60"/>
      <c r="I619" s="60"/>
      <c r="J619" s="60"/>
      <c r="K619" s="60"/>
      <c r="L619" s="60"/>
      <c r="M619" s="64"/>
      <c r="N619" s="33"/>
    </row>
    <row r="620" ht="24" customHeight="1" spans="2:14">
      <c r="B620" s="33"/>
      <c r="C620" s="60"/>
      <c r="D620" s="60"/>
      <c r="E620" s="60"/>
      <c r="F620" s="60"/>
      <c r="G620" s="60"/>
      <c r="H620" s="60"/>
      <c r="I620" s="60"/>
      <c r="J620" s="60"/>
      <c r="K620" s="60"/>
      <c r="L620" s="60"/>
      <c r="M620" s="64"/>
      <c r="N620" s="33"/>
    </row>
    <row r="621" ht="24" customHeight="1" spans="2:14">
      <c r="B621" s="33"/>
      <c r="C621" s="60"/>
      <c r="D621" s="60"/>
      <c r="E621" s="60"/>
      <c r="F621" s="60"/>
      <c r="G621" s="60"/>
      <c r="H621" s="60"/>
      <c r="I621" s="60"/>
      <c r="J621" s="60"/>
      <c r="K621" s="60"/>
      <c r="L621" s="60"/>
      <c r="M621" s="64"/>
      <c r="N621" s="33"/>
    </row>
    <row r="622" ht="24" customHeight="1" spans="2:14">
      <c r="B622" s="33"/>
      <c r="C622" s="60"/>
      <c r="D622" s="60"/>
      <c r="E622" s="60"/>
      <c r="F622" s="60"/>
      <c r="G622" s="60"/>
      <c r="H622" s="60"/>
      <c r="I622" s="60"/>
      <c r="J622" s="60"/>
      <c r="K622" s="60"/>
      <c r="L622" s="60"/>
      <c r="M622" s="64"/>
      <c r="N622" s="33"/>
    </row>
    <row r="623" ht="24" customHeight="1" spans="2:14">
      <c r="B623" s="33"/>
      <c r="C623" s="60"/>
      <c r="D623" s="60"/>
      <c r="E623" s="60"/>
      <c r="F623" s="60"/>
      <c r="G623" s="60"/>
      <c r="H623" s="60"/>
      <c r="I623" s="60"/>
      <c r="J623" s="60"/>
      <c r="K623" s="60"/>
      <c r="L623" s="60"/>
      <c r="M623" s="64"/>
      <c r="N623" s="33"/>
    </row>
    <row r="624" ht="24" customHeight="1" spans="2:14">
      <c r="B624" s="33"/>
      <c r="C624" s="60"/>
      <c r="D624" s="60"/>
      <c r="E624" s="60"/>
      <c r="F624" s="60"/>
      <c r="G624" s="60"/>
      <c r="H624" s="60"/>
      <c r="I624" s="60"/>
      <c r="J624" s="60"/>
      <c r="K624" s="60"/>
      <c r="L624" s="60"/>
      <c r="M624" s="64"/>
      <c r="N624" s="33"/>
    </row>
    <row r="625" ht="24" customHeight="1" spans="2:14">
      <c r="B625" s="33"/>
      <c r="C625" s="60"/>
      <c r="D625" s="60"/>
      <c r="E625" s="60"/>
      <c r="F625" s="60"/>
      <c r="G625" s="60"/>
      <c r="H625" s="60"/>
      <c r="I625" s="60"/>
      <c r="J625" s="60"/>
      <c r="K625" s="60"/>
      <c r="L625" s="60"/>
      <c r="M625" s="64"/>
      <c r="N625" s="33"/>
    </row>
    <row r="626" ht="24" customHeight="1" spans="2:14">
      <c r="B626" s="33"/>
      <c r="C626" s="60"/>
      <c r="D626" s="60"/>
      <c r="E626" s="60"/>
      <c r="F626" s="60"/>
      <c r="G626" s="60"/>
      <c r="H626" s="60"/>
      <c r="I626" s="60"/>
      <c r="J626" s="60"/>
      <c r="K626" s="60"/>
      <c r="L626" s="60"/>
      <c r="M626" s="64"/>
      <c r="N626" s="33"/>
    </row>
    <row r="627" ht="24" customHeight="1" spans="2:14">
      <c r="B627" s="33"/>
      <c r="C627" s="60"/>
      <c r="D627" s="60"/>
      <c r="E627" s="60"/>
      <c r="F627" s="60"/>
      <c r="G627" s="60"/>
      <c r="H627" s="60"/>
      <c r="I627" s="60"/>
      <c r="J627" s="60"/>
      <c r="K627" s="60"/>
      <c r="L627" s="60"/>
      <c r="M627" s="64"/>
      <c r="N627" s="33"/>
    </row>
    <row r="628" ht="24" customHeight="1" spans="2:14">
      <c r="B628" s="33"/>
      <c r="C628" s="60"/>
      <c r="D628" s="60"/>
      <c r="E628" s="60"/>
      <c r="F628" s="60"/>
      <c r="G628" s="60"/>
      <c r="H628" s="60"/>
      <c r="I628" s="60"/>
      <c r="J628" s="60"/>
      <c r="K628" s="60"/>
      <c r="L628" s="60"/>
      <c r="M628" s="64"/>
      <c r="N628" s="33"/>
    </row>
    <row r="629" ht="24" customHeight="1" spans="2:14">
      <c r="B629" s="33"/>
      <c r="C629" s="60"/>
      <c r="D629" s="60"/>
      <c r="E629" s="60"/>
      <c r="F629" s="60"/>
      <c r="G629" s="60"/>
      <c r="H629" s="60"/>
      <c r="I629" s="60"/>
      <c r="J629" s="60"/>
      <c r="K629" s="60"/>
      <c r="L629" s="60"/>
      <c r="M629" s="64"/>
      <c r="N629" s="33"/>
    </row>
    <row r="630" ht="24" customHeight="1" spans="2:14">
      <c r="B630" s="33"/>
      <c r="C630" s="60"/>
      <c r="D630" s="60"/>
      <c r="E630" s="60"/>
      <c r="F630" s="60"/>
      <c r="G630" s="60"/>
      <c r="H630" s="60"/>
      <c r="I630" s="60"/>
      <c r="J630" s="60"/>
      <c r="K630" s="60"/>
      <c r="L630" s="60"/>
      <c r="M630" s="64"/>
      <c r="N630" s="33"/>
    </row>
    <row r="631" ht="24" customHeight="1" spans="2:14">
      <c r="B631" s="33"/>
      <c r="C631" s="60"/>
      <c r="D631" s="60"/>
      <c r="E631" s="60"/>
      <c r="F631" s="60"/>
      <c r="G631" s="60"/>
      <c r="H631" s="60"/>
      <c r="I631" s="60"/>
      <c r="J631" s="60"/>
      <c r="K631" s="60"/>
      <c r="L631" s="60"/>
      <c r="M631" s="64"/>
      <c r="N631" s="33"/>
    </row>
    <row r="632" ht="24" customHeight="1" spans="2:14">
      <c r="B632" s="33"/>
      <c r="C632" s="60"/>
      <c r="D632" s="60"/>
      <c r="E632" s="60"/>
      <c r="F632" s="60"/>
      <c r="G632" s="60"/>
      <c r="H632" s="60"/>
      <c r="I632" s="60"/>
      <c r="J632" s="60"/>
      <c r="K632" s="60"/>
      <c r="L632" s="60"/>
      <c r="M632" s="64"/>
      <c r="N632" s="33"/>
    </row>
    <row r="633" ht="24" customHeight="1" spans="2:14">
      <c r="B633" s="33"/>
      <c r="C633" s="60"/>
      <c r="D633" s="60"/>
      <c r="E633" s="60"/>
      <c r="F633" s="60"/>
      <c r="G633" s="60"/>
      <c r="H633" s="60"/>
      <c r="I633" s="60"/>
      <c r="J633" s="60"/>
      <c r="K633" s="60"/>
      <c r="L633" s="60"/>
      <c r="M633" s="64"/>
      <c r="N633" s="33"/>
    </row>
    <row r="634" ht="24" customHeight="1" spans="2:14">
      <c r="B634" s="33"/>
      <c r="C634" s="60"/>
      <c r="D634" s="60"/>
      <c r="E634" s="60"/>
      <c r="F634" s="60"/>
      <c r="G634" s="60"/>
      <c r="H634" s="60"/>
      <c r="I634" s="60"/>
      <c r="J634" s="60"/>
      <c r="K634" s="60"/>
      <c r="L634" s="60"/>
      <c r="M634" s="64"/>
      <c r="N634" s="33"/>
    </row>
    <row r="635" ht="24" customHeight="1" spans="2:14">
      <c r="B635" s="33"/>
      <c r="C635" s="60"/>
      <c r="D635" s="60"/>
      <c r="E635" s="60"/>
      <c r="F635" s="60"/>
      <c r="G635" s="60"/>
      <c r="H635" s="60"/>
      <c r="I635" s="60"/>
      <c r="J635" s="60"/>
      <c r="K635" s="60"/>
      <c r="L635" s="60"/>
      <c r="M635" s="64"/>
      <c r="N635" s="33"/>
    </row>
    <row r="636" ht="24" customHeight="1" spans="2:14">
      <c r="B636" s="33"/>
      <c r="C636" s="60"/>
      <c r="D636" s="60"/>
      <c r="E636" s="60"/>
      <c r="F636" s="60"/>
      <c r="G636" s="60"/>
      <c r="H636" s="60"/>
      <c r="I636" s="60"/>
      <c r="J636" s="60"/>
      <c r="K636" s="60"/>
      <c r="L636" s="60"/>
      <c r="M636" s="64"/>
      <c r="N636" s="33"/>
    </row>
    <row r="637" ht="24" customHeight="1" spans="2:14">
      <c r="B637" s="33"/>
      <c r="C637" s="60"/>
      <c r="D637" s="60"/>
      <c r="E637" s="60"/>
      <c r="F637" s="60"/>
      <c r="G637" s="60"/>
      <c r="H637" s="60"/>
      <c r="I637" s="60"/>
      <c r="J637" s="60"/>
      <c r="K637" s="60"/>
      <c r="L637" s="60"/>
      <c r="M637" s="64"/>
      <c r="N637" s="33"/>
    </row>
    <row r="638" ht="24" customHeight="1" spans="2:14">
      <c r="B638" s="33"/>
      <c r="C638" s="60"/>
      <c r="D638" s="60"/>
      <c r="E638" s="60"/>
      <c r="F638" s="60"/>
      <c r="G638" s="60"/>
      <c r="H638" s="60"/>
      <c r="I638" s="60"/>
      <c r="J638" s="60"/>
      <c r="K638" s="60"/>
      <c r="L638" s="60"/>
      <c r="M638" s="64"/>
      <c r="N638" s="33"/>
    </row>
    <row r="639" ht="24" customHeight="1" spans="2:14">
      <c r="B639" s="33"/>
      <c r="C639" s="60"/>
      <c r="D639" s="60"/>
      <c r="E639" s="60"/>
      <c r="F639" s="60"/>
      <c r="G639" s="60"/>
      <c r="H639" s="60"/>
      <c r="I639" s="60"/>
      <c r="J639" s="60"/>
      <c r="K639" s="60"/>
      <c r="L639" s="60"/>
      <c r="M639" s="64"/>
      <c r="N639" s="33"/>
    </row>
    <row r="640" ht="24" customHeight="1" spans="2:14">
      <c r="B640" s="33"/>
      <c r="C640" s="60"/>
      <c r="D640" s="60"/>
      <c r="E640" s="60"/>
      <c r="F640" s="60"/>
      <c r="G640" s="60"/>
      <c r="H640" s="60"/>
      <c r="I640" s="60"/>
      <c r="J640" s="60"/>
      <c r="K640" s="60"/>
      <c r="L640" s="60"/>
      <c r="M640" s="64"/>
      <c r="N640" s="33"/>
    </row>
    <row r="641" ht="24" customHeight="1" spans="2:14">
      <c r="B641" s="33"/>
      <c r="C641" s="60"/>
      <c r="D641" s="60"/>
      <c r="E641" s="60"/>
      <c r="F641" s="60"/>
      <c r="G641" s="60"/>
      <c r="H641" s="60"/>
      <c r="I641" s="60"/>
      <c r="J641" s="60"/>
      <c r="K641" s="60"/>
      <c r="L641" s="60"/>
      <c r="M641" s="64"/>
      <c r="N641" s="33"/>
    </row>
    <row r="642" ht="24" customHeight="1" spans="2:14">
      <c r="B642" s="33"/>
      <c r="C642" s="60"/>
      <c r="D642" s="60"/>
      <c r="E642" s="60"/>
      <c r="F642" s="60"/>
      <c r="G642" s="60"/>
      <c r="H642" s="60"/>
      <c r="I642" s="60"/>
      <c r="J642" s="60"/>
      <c r="K642" s="60"/>
      <c r="L642" s="60"/>
      <c r="M642" s="64"/>
      <c r="N642" s="33"/>
    </row>
    <row r="643" ht="24" customHeight="1" spans="2:14">
      <c r="B643" s="33"/>
      <c r="C643" s="60"/>
      <c r="D643" s="60"/>
      <c r="E643" s="60"/>
      <c r="F643" s="60"/>
      <c r="G643" s="60"/>
      <c r="H643" s="60"/>
      <c r="I643" s="60"/>
      <c r="J643" s="60"/>
      <c r="K643" s="60"/>
      <c r="L643" s="60"/>
      <c r="M643" s="64"/>
      <c r="N643" s="33"/>
    </row>
    <row r="644" ht="24" customHeight="1" spans="2:14">
      <c r="B644" s="33"/>
      <c r="C644" s="60"/>
      <c r="D644" s="60"/>
      <c r="E644" s="60"/>
      <c r="F644" s="60"/>
      <c r="G644" s="60"/>
      <c r="H644" s="60"/>
      <c r="I644" s="60"/>
      <c r="J644" s="60"/>
      <c r="K644" s="60"/>
      <c r="L644" s="60"/>
      <c r="M644" s="64"/>
      <c r="N644" s="33"/>
    </row>
    <row r="645" ht="24" customHeight="1" spans="2:14">
      <c r="B645" s="33"/>
      <c r="C645" s="60"/>
      <c r="D645" s="60"/>
      <c r="E645" s="60"/>
      <c r="F645" s="60"/>
      <c r="G645" s="60"/>
      <c r="H645" s="60"/>
      <c r="I645" s="60"/>
      <c r="J645" s="60"/>
      <c r="K645" s="60"/>
      <c r="L645" s="60"/>
      <c r="M645" s="64"/>
      <c r="N645" s="33"/>
    </row>
    <row r="646" ht="24" customHeight="1" spans="2:14">
      <c r="B646" s="33"/>
      <c r="C646" s="60"/>
      <c r="D646" s="60"/>
      <c r="E646" s="60"/>
      <c r="F646" s="60"/>
      <c r="G646" s="60"/>
      <c r="H646" s="60"/>
      <c r="I646" s="60"/>
      <c r="J646" s="60"/>
      <c r="K646" s="60"/>
      <c r="L646" s="60"/>
      <c r="M646" s="64"/>
      <c r="N646" s="33"/>
    </row>
    <row r="647" ht="24" customHeight="1" spans="2:14">
      <c r="B647" s="33"/>
      <c r="C647" s="60"/>
      <c r="D647" s="60"/>
      <c r="E647" s="60"/>
      <c r="F647" s="60"/>
      <c r="G647" s="60"/>
      <c r="H647" s="60"/>
      <c r="I647" s="60"/>
      <c r="J647" s="60"/>
      <c r="K647" s="60"/>
      <c r="L647" s="60"/>
      <c r="M647" s="64"/>
      <c r="N647" s="33"/>
    </row>
    <row r="648" ht="24" customHeight="1" spans="2:14">
      <c r="B648" s="33"/>
      <c r="C648" s="60"/>
      <c r="D648" s="60"/>
      <c r="E648" s="60"/>
      <c r="F648" s="60"/>
      <c r="G648" s="60"/>
      <c r="H648" s="60"/>
      <c r="I648" s="60"/>
      <c r="J648" s="60"/>
      <c r="K648" s="60"/>
      <c r="L648" s="60"/>
      <c r="M648" s="64"/>
      <c r="N648" s="33"/>
    </row>
    <row r="649" ht="24" customHeight="1" spans="2:14">
      <c r="B649" s="33"/>
      <c r="C649" s="60"/>
      <c r="D649" s="60"/>
      <c r="E649" s="60"/>
      <c r="F649" s="60"/>
      <c r="G649" s="60"/>
      <c r="H649" s="60"/>
      <c r="I649" s="60"/>
      <c r="J649" s="60"/>
      <c r="K649" s="60"/>
      <c r="L649" s="60"/>
      <c r="M649" s="64"/>
      <c r="N649" s="33"/>
    </row>
    <row r="650" ht="24" customHeight="1" spans="2:14">
      <c r="B650" s="33"/>
      <c r="C650" s="60"/>
      <c r="D650" s="60"/>
      <c r="E650" s="60"/>
      <c r="F650" s="60"/>
      <c r="G650" s="60"/>
      <c r="H650" s="60"/>
      <c r="I650" s="60"/>
      <c r="J650" s="60"/>
      <c r="K650" s="60"/>
      <c r="L650" s="60"/>
      <c r="M650" s="64"/>
      <c r="N650" s="33"/>
    </row>
    <row r="651" ht="24" customHeight="1" spans="2:14">
      <c r="B651" s="33"/>
      <c r="C651" s="60"/>
      <c r="D651" s="60"/>
      <c r="E651" s="60"/>
      <c r="F651" s="60"/>
      <c r="G651" s="60"/>
      <c r="H651" s="60"/>
      <c r="I651" s="60"/>
      <c r="J651" s="60"/>
      <c r="K651" s="60"/>
      <c r="L651" s="60"/>
      <c r="M651" s="64"/>
      <c r="N651" s="33"/>
    </row>
    <row r="652" ht="24" customHeight="1" spans="2:14">
      <c r="B652" s="33"/>
      <c r="C652" s="60"/>
      <c r="D652" s="60"/>
      <c r="E652" s="60"/>
      <c r="F652" s="60"/>
      <c r="G652" s="60"/>
      <c r="H652" s="60"/>
      <c r="I652" s="60"/>
      <c r="J652" s="60"/>
      <c r="K652" s="60"/>
      <c r="L652" s="60"/>
      <c r="M652" s="64"/>
      <c r="N652" s="33"/>
    </row>
    <row r="653" ht="24" customHeight="1" spans="2:14">
      <c r="B653" s="33"/>
      <c r="C653" s="60"/>
      <c r="D653" s="60"/>
      <c r="E653" s="60"/>
      <c r="F653" s="60"/>
      <c r="G653" s="60"/>
      <c r="H653" s="60"/>
      <c r="I653" s="60"/>
      <c r="J653" s="60"/>
      <c r="K653" s="60"/>
      <c r="L653" s="60"/>
      <c r="M653" s="64"/>
      <c r="N653" s="33"/>
    </row>
    <row r="654" ht="24" customHeight="1" spans="2:14">
      <c r="B654" s="33"/>
      <c r="C654" s="60"/>
      <c r="D654" s="60"/>
      <c r="E654" s="60"/>
      <c r="F654" s="60"/>
      <c r="G654" s="60"/>
      <c r="H654" s="60"/>
      <c r="I654" s="60"/>
      <c r="J654" s="60"/>
      <c r="K654" s="60"/>
      <c r="L654" s="60"/>
      <c r="M654" s="64"/>
      <c r="N654" s="33"/>
    </row>
    <row r="655" ht="24" customHeight="1" spans="2:14">
      <c r="B655" s="33"/>
      <c r="C655" s="60"/>
      <c r="D655" s="60"/>
      <c r="E655" s="60"/>
      <c r="F655" s="60"/>
      <c r="G655" s="60"/>
      <c r="H655" s="60"/>
      <c r="I655" s="60"/>
      <c r="J655" s="60"/>
      <c r="K655" s="60"/>
      <c r="L655" s="60"/>
      <c r="M655" s="64"/>
      <c r="N655" s="33"/>
    </row>
    <row r="656" ht="24" customHeight="1" spans="2:14">
      <c r="B656" s="33"/>
      <c r="C656" s="60"/>
      <c r="D656" s="60"/>
      <c r="E656" s="60"/>
      <c r="F656" s="60"/>
      <c r="G656" s="60"/>
      <c r="H656" s="60"/>
      <c r="I656" s="60"/>
      <c r="J656" s="60"/>
      <c r="K656" s="60"/>
      <c r="L656" s="60"/>
      <c r="M656" s="64"/>
      <c r="N656" s="33"/>
    </row>
    <row r="657" ht="24" customHeight="1" spans="2:14">
      <c r="B657" s="33"/>
      <c r="C657" s="60"/>
      <c r="D657" s="60"/>
      <c r="E657" s="60"/>
      <c r="F657" s="60"/>
      <c r="G657" s="60"/>
      <c r="H657" s="60"/>
      <c r="I657" s="60"/>
      <c r="J657" s="60"/>
      <c r="K657" s="60"/>
      <c r="L657" s="60"/>
      <c r="M657" s="64"/>
      <c r="N657" s="33"/>
    </row>
    <row r="658" ht="24" customHeight="1" spans="2:14">
      <c r="B658" s="33"/>
      <c r="C658" s="60"/>
      <c r="D658" s="60"/>
      <c r="E658" s="60"/>
      <c r="F658" s="60"/>
      <c r="G658" s="60"/>
      <c r="H658" s="60"/>
      <c r="I658" s="60"/>
      <c r="J658" s="60"/>
      <c r="K658" s="60"/>
      <c r="L658" s="60"/>
      <c r="M658" s="64"/>
      <c r="N658" s="33"/>
    </row>
    <row r="659" ht="24" customHeight="1" spans="2:14">
      <c r="B659" s="33"/>
      <c r="C659" s="60"/>
      <c r="D659" s="60"/>
      <c r="E659" s="60"/>
      <c r="F659" s="60"/>
      <c r="G659" s="60"/>
      <c r="H659" s="60"/>
      <c r="I659" s="60"/>
      <c r="J659" s="60"/>
      <c r="K659" s="60"/>
      <c r="L659" s="60"/>
      <c r="M659" s="64"/>
      <c r="N659" s="33"/>
    </row>
    <row r="660" ht="24" customHeight="1" spans="2:14">
      <c r="B660" s="33"/>
      <c r="C660" s="60"/>
      <c r="D660" s="60"/>
      <c r="E660" s="60"/>
      <c r="F660" s="60"/>
      <c r="G660" s="60"/>
      <c r="H660" s="60"/>
      <c r="I660" s="60"/>
      <c r="J660" s="60"/>
      <c r="K660" s="60"/>
      <c r="L660" s="60"/>
      <c r="M660" s="64"/>
      <c r="N660" s="33"/>
    </row>
    <row r="661" ht="24" customHeight="1" spans="2:14">
      <c r="B661" s="33"/>
      <c r="C661" s="60"/>
      <c r="D661" s="60"/>
      <c r="E661" s="60"/>
      <c r="F661" s="60"/>
      <c r="G661" s="60"/>
      <c r="H661" s="60"/>
      <c r="I661" s="60"/>
      <c r="J661" s="60"/>
      <c r="K661" s="60"/>
      <c r="L661" s="60"/>
      <c r="M661" s="64"/>
      <c r="N661" s="33"/>
    </row>
    <row r="662" ht="24" customHeight="1" spans="2:14">
      <c r="B662" s="33"/>
      <c r="C662" s="60"/>
      <c r="D662" s="60"/>
      <c r="E662" s="60"/>
      <c r="F662" s="60"/>
      <c r="G662" s="60"/>
      <c r="H662" s="60"/>
      <c r="I662" s="60"/>
      <c r="J662" s="60"/>
      <c r="K662" s="60"/>
      <c r="L662" s="60"/>
      <c r="M662" s="64"/>
      <c r="N662" s="33"/>
    </row>
    <row r="663" ht="24" customHeight="1" spans="2:14">
      <c r="B663" s="33"/>
      <c r="C663" s="60"/>
      <c r="D663" s="60"/>
      <c r="E663" s="60"/>
      <c r="F663" s="60"/>
      <c r="G663" s="60"/>
      <c r="H663" s="60"/>
      <c r="I663" s="60"/>
      <c r="J663" s="60"/>
      <c r="K663" s="60"/>
      <c r="L663" s="60"/>
      <c r="M663" s="64"/>
      <c r="N663" s="33"/>
    </row>
    <row r="664" ht="24" customHeight="1" spans="2:14">
      <c r="B664" s="33"/>
      <c r="C664" s="60"/>
      <c r="D664" s="60"/>
      <c r="E664" s="60"/>
      <c r="F664" s="60"/>
      <c r="G664" s="60"/>
      <c r="H664" s="60"/>
      <c r="I664" s="60"/>
      <c r="J664" s="60"/>
      <c r="K664" s="60"/>
      <c r="L664" s="60"/>
      <c r="M664" s="64"/>
      <c r="N664" s="33"/>
    </row>
    <row r="665" ht="24" customHeight="1" spans="2:14">
      <c r="B665" s="33"/>
      <c r="C665" s="60"/>
      <c r="D665" s="60"/>
      <c r="E665" s="60"/>
      <c r="F665" s="60"/>
      <c r="G665" s="60"/>
      <c r="H665" s="60"/>
      <c r="I665" s="60"/>
      <c r="J665" s="60"/>
      <c r="K665" s="60"/>
      <c r="L665" s="60"/>
      <c r="M665" s="64"/>
      <c r="N665" s="33"/>
    </row>
    <row r="666" ht="24" customHeight="1" spans="2:14">
      <c r="B666" s="33"/>
      <c r="C666" s="60"/>
      <c r="D666" s="60"/>
      <c r="E666" s="60"/>
      <c r="F666" s="60"/>
      <c r="G666" s="60"/>
      <c r="H666" s="60"/>
      <c r="I666" s="60"/>
      <c r="J666" s="60"/>
      <c r="K666" s="60"/>
      <c r="L666" s="60"/>
      <c r="M666" s="64"/>
      <c r="N666" s="33"/>
    </row>
    <row r="667" ht="24" customHeight="1" spans="2:14">
      <c r="B667" s="33"/>
      <c r="C667" s="60"/>
      <c r="D667" s="60"/>
      <c r="E667" s="60"/>
      <c r="F667" s="60"/>
      <c r="G667" s="60"/>
      <c r="H667" s="60"/>
      <c r="I667" s="60"/>
      <c r="J667" s="60"/>
      <c r="K667" s="60"/>
      <c r="L667" s="60"/>
      <c r="M667" s="64"/>
      <c r="N667" s="33"/>
    </row>
    <row r="668" ht="24" customHeight="1" spans="2:14">
      <c r="B668" s="33"/>
      <c r="C668" s="60"/>
      <c r="D668" s="60"/>
      <c r="E668" s="60"/>
      <c r="F668" s="60"/>
      <c r="G668" s="60"/>
      <c r="H668" s="60"/>
      <c r="I668" s="60"/>
      <c r="J668" s="60"/>
      <c r="K668" s="60"/>
      <c r="L668" s="60"/>
      <c r="M668" s="64"/>
      <c r="N668" s="33"/>
    </row>
    <row r="669" ht="24" customHeight="1" spans="2:14">
      <c r="B669" s="33"/>
      <c r="C669" s="60"/>
      <c r="D669" s="60"/>
      <c r="E669" s="60"/>
      <c r="F669" s="60"/>
      <c r="G669" s="60"/>
      <c r="H669" s="60"/>
      <c r="I669" s="60"/>
      <c r="J669" s="60"/>
      <c r="K669" s="60"/>
      <c r="L669" s="60"/>
      <c r="M669" s="64"/>
      <c r="N669" s="33"/>
    </row>
    <row r="670" ht="24" customHeight="1" spans="2:14">
      <c r="B670" s="33"/>
      <c r="C670" s="60"/>
      <c r="D670" s="60"/>
      <c r="E670" s="60"/>
      <c r="F670" s="60"/>
      <c r="G670" s="60"/>
      <c r="H670" s="60"/>
      <c r="I670" s="60"/>
      <c r="J670" s="60"/>
      <c r="K670" s="60"/>
      <c r="L670" s="60"/>
      <c r="M670" s="64"/>
      <c r="N670" s="33"/>
    </row>
    <row r="671" ht="24" customHeight="1" spans="2:14">
      <c r="B671" s="33"/>
      <c r="C671" s="60"/>
      <c r="D671" s="60"/>
      <c r="E671" s="60"/>
      <c r="F671" s="60"/>
      <c r="G671" s="60"/>
      <c r="H671" s="60"/>
      <c r="I671" s="60"/>
      <c r="J671" s="60"/>
      <c r="K671" s="60"/>
      <c r="L671" s="60"/>
      <c r="M671" s="64"/>
      <c r="N671" s="33"/>
    </row>
    <row r="672" ht="24" customHeight="1" spans="2:14">
      <c r="B672" s="33"/>
      <c r="C672" s="60"/>
      <c r="D672" s="60"/>
      <c r="E672" s="60"/>
      <c r="F672" s="60"/>
      <c r="G672" s="60"/>
      <c r="H672" s="60"/>
      <c r="I672" s="60"/>
      <c r="J672" s="60"/>
      <c r="K672" s="60"/>
      <c r="L672" s="60"/>
      <c r="M672" s="64"/>
      <c r="N672" s="33"/>
    </row>
    <row r="673" ht="24" customHeight="1" spans="2:14">
      <c r="B673" s="33"/>
      <c r="C673" s="60"/>
      <c r="D673" s="60"/>
      <c r="E673" s="60"/>
      <c r="F673" s="60"/>
      <c r="G673" s="60"/>
      <c r="H673" s="60"/>
      <c r="I673" s="60"/>
      <c r="J673" s="60"/>
      <c r="K673" s="60"/>
      <c r="L673" s="60"/>
      <c r="M673" s="64"/>
      <c r="N673" s="33"/>
    </row>
    <row r="674" ht="24" customHeight="1" spans="2:14">
      <c r="B674" s="33"/>
      <c r="C674" s="60"/>
      <c r="D674" s="60"/>
      <c r="E674" s="60"/>
      <c r="F674" s="60"/>
      <c r="G674" s="60"/>
      <c r="H674" s="60"/>
      <c r="I674" s="60"/>
      <c r="J674" s="60"/>
      <c r="K674" s="60"/>
      <c r="L674" s="60"/>
      <c r="M674" s="64"/>
      <c r="N674" s="33"/>
    </row>
    <row r="675" ht="24" customHeight="1" spans="2:14">
      <c r="B675" s="33"/>
      <c r="C675" s="60"/>
      <c r="D675" s="60"/>
      <c r="E675" s="60"/>
      <c r="F675" s="60"/>
      <c r="G675" s="60"/>
      <c r="H675" s="60"/>
      <c r="I675" s="60"/>
      <c r="J675" s="60"/>
      <c r="K675" s="60"/>
      <c r="L675" s="60"/>
      <c r="M675" s="64"/>
      <c r="N675" s="33"/>
    </row>
    <row r="676" ht="24" customHeight="1" spans="2:14">
      <c r="B676" s="33"/>
      <c r="C676" s="60"/>
      <c r="D676" s="60"/>
      <c r="E676" s="60"/>
      <c r="F676" s="60"/>
      <c r="G676" s="60"/>
      <c r="H676" s="60"/>
      <c r="I676" s="60"/>
      <c r="J676" s="60"/>
      <c r="K676" s="60"/>
      <c r="L676" s="60"/>
      <c r="M676" s="64"/>
      <c r="N676" s="33"/>
    </row>
    <row r="677" ht="24" customHeight="1" spans="2:14">
      <c r="B677" s="33"/>
      <c r="C677" s="60"/>
      <c r="D677" s="60"/>
      <c r="E677" s="60"/>
      <c r="F677" s="60"/>
      <c r="G677" s="60"/>
      <c r="H677" s="60"/>
      <c r="I677" s="60"/>
      <c r="J677" s="60"/>
      <c r="K677" s="60"/>
      <c r="L677" s="60"/>
      <c r="M677" s="64"/>
      <c r="N677" s="33"/>
    </row>
    <row r="678" ht="24" customHeight="1" spans="2:14">
      <c r="B678" s="33"/>
      <c r="C678" s="60"/>
      <c r="D678" s="60"/>
      <c r="E678" s="60"/>
      <c r="F678" s="60"/>
      <c r="G678" s="60"/>
      <c r="H678" s="60"/>
      <c r="I678" s="60"/>
      <c r="J678" s="60"/>
      <c r="K678" s="60"/>
      <c r="L678" s="60"/>
      <c r="M678" s="64"/>
      <c r="N678" s="33"/>
    </row>
    <row r="679" ht="24" customHeight="1" spans="2:14">
      <c r="B679" s="33"/>
      <c r="C679" s="60"/>
      <c r="D679" s="60"/>
      <c r="E679" s="60"/>
      <c r="F679" s="60"/>
      <c r="G679" s="60"/>
      <c r="H679" s="60"/>
      <c r="I679" s="60"/>
      <c r="J679" s="60"/>
      <c r="K679" s="60"/>
      <c r="L679" s="60"/>
      <c r="M679" s="64"/>
      <c r="N679" s="33"/>
    </row>
    <row r="680" ht="24" customHeight="1" spans="2:14">
      <c r="B680" s="33"/>
      <c r="C680" s="60"/>
      <c r="D680" s="60"/>
      <c r="E680" s="60"/>
      <c r="F680" s="60"/>
      <c r="G680" s="60"/>
      <c r="H680" s="60"/>
      <c r="I680" s="60"/>
      <c r="J680" s="60"/>
      <c r="K680" s="60"/>
      <c r="L680" s="60"/>
      <c r="M680" s="64"/>
      <c r="N680" s="33"/>
    </row>
    <row r="681" ht="24" customHeight="1" spans="2:14">
      <c r="B681" s="33"/>
      <c r="C681" s="60"/>
      <c r="D681" s="60"/>
      <c r="E681" s="60"/>
      <c r="F681" s="60"/>
      <c r="G681" s="60"/>
      <c r="H681" s="60"/>
      <c r="I681" s="60"/>
      <c r="J681" s="60"/>
      <c r="K681" s="60"/>
      <c r="L681" s="60"/>
      <c r="M681" s="64"/>
      <c r="N681" s="33"/>
    </row>
    <row r="682" ht="24" customHeight="1" spans="2:14">
      <c r="B682" s="33"/>
      <c r="C682" s="60"/>
      <c r="D682" s="60"/>
      <c r="E682" s="60"/>
      <c r="F682" s="60"/>
      <c r="G682" s="60"/>
      <c r="H682" s="60"/>
      <c r="I682" s="60"/>
      <c r="J682" s="60"/>
      <c r="K682" s="60"/>
      <c r="L682" s="60"/>
      <c r="M682" s="64"/>
      <c r="N682" s="33"/>
    </row>
    <row r="683" ht="24" customHeight="1" spans="2:14">
      <c r="B683" s="33"/>
      <c r="C683" s="60"/>
      <c r="D683" s="60"/>
      <c r="E683" s="60"/>
      <c r="F683" s="60"/>
      <c r="G683" s="60"/>
      <c r="H683" s="60"/>
      <c r="I683" s="60"/>
      <c r="J683" s="60"/>
      <c r="K683" s="60"/>
      <c r="L683" s="60"/>
      <c r="M683" s="64"/>
      <c r="N683" s="33"/>
    </row>
    <row r="684" ht="24" customHeight="1" spans="2:14">
      <c r="B684" s="33"/>
      <c r="C684" s="60"/>
      <c r="D684" s="60"/>
      <c r="E684" s="60"/>
      <c r="F684" s="60"/>
      <c r="G684" s="60"/>
      <c r="H684" s="60"/>
      <c r="I684" s="60"/>
      <c r="J684" s="60"/>
      <c r="K684" s="60"/>
      <c r="L684" s="60"/>
      <c r="M684" s="64"/>
      <c r="N684" s="33"/>
    </row>
    <row r="685" ht="24" customHeight="1" spans="2:14">
      <c r="B685" s="33"/>
      <c r="C685" s="60"/>
      <c r="D685" s="60"/>
      <c r="E685" s="60"/>
      <c r="F685" s="60"/>
      <c r="G685" s="60"/>
      <c r="H685" s="60"/>
      <c r="I685" s="60"/>
      <c r="J685" s="60"/>
      <c r="K685" s="60"/>
      <c r="L685" s="60"/>
      <c r="M685" s="64"/>
      <c r="N685" s="33"/>
    </row>
    <row r="686" ht="24" customHeight="1" spans="2:14">
      <c r="B686" s="33"/>
      <c r="C686" s="60"/>
      <c r="D686" s="60"/>
      <c r="E686" s="60"/>
      <c r="F686" s="60"/>
      <c r="G686" s="60"/>
      <c r="H686" s="60"/>
      <c r="I686" s="60"/>
      <c r="J686" s="60"/>
      <c r="K686" s="60"/>
      <c r="L686" s="60"/>
      <c r="M686" s="64"/>
      <c r="N686" s="33"/>
    </row>
    <row r="687" ht="24" customHeight="1" spans="2:14">
      <c r="B687" s="33"/>
      <c r="C687" s="60"/>
      <c r="D687" s="60"/>
      <c r="E687" s="60"/>
      <c r="F687" s="60"/>
      <c r="G687" s="60"/>
      <c r="H687" s="60"/>
      <c r="I687" s="60"/>
      <c r="J687" s="60"/>
      <c r="K687" s="60"/>
      <c r="L687" s="60"/>
      <c r="M687" s="64"/>
      <c r="N687" s="33"/>
    </row>
    <row r="688" ht="24" customHeight="1" spans="2:14">
      <c r="B688" s="33"/>
      <c r="C688" s="60"/>
      <c r="D688" s="60"/>
      <c r="E688" s="60"/>
      <c r="F688" s="60"/>
      <c r="G688" s="60"/>
      <c r="H688" s="60"/>
      <c r="I688" s="60"/>
      <c r="J688" s="60"/>
      <c r="K688" s="60"/>
      <c r="L688" s="60"/>
      <c r="M688" s="64"/>
      <c r="N688" s="33"/>
    </row>
    <row r="689" ht="24" customHeight="1" spans="2:14">
      <c r="B689" s="33"/>
      <c r="C689" s="60"/>
      <c r="D689" s="60"/>
      <c r="E689" s="60"/>
      <c r="F689" s="60"/>
      <c r="G689" s="60"/>
      <c r="H689" s="60"/>
      <c r="I689" s="60"/>
      <c r="J689" s="60"/>
      <c r="K689" s="60"/>
      <c r="L689" s="60"/>
      <c r="M689" s="64"/>
      <c r="N689" s="33"/>
    </row>
    <row r="690" ht="24" customHeight="1" spans="2:14">
      <c r="B690" s="33"/>
      <c r="C690" s="60"/>
      <c r="D690" s="60"/>
      <c r="E690" s="60"/>
      <c r="F690" s="60"/>
      <c r="G690" s="60"/>
      <c r="H690" s="60"/>
      <c r="I690" s="60"/>
      <c r="J690" s="60"/>
      <c r="K690" s="60"/>
      <c r="L690" s="60"/>
      <c r="M690" s="64"/>
      <c r="N690" s="33"/>
    </row>
    <row r="691" ht="24" customHeight="1" spans="2:14">
      <c r="B691" s="33"/>
      <c r="C691" s="60"/>
      <c r="D691" s="60"/>
      <c r="E691" s="60"/>
      <c r="F691" s="60"/>
      <c r="G691" s="60"/>
      <c r="H691" s="60"/>
      <c r="I691" s="60"/>
      <c r="J691" s="60"/>
      <c r="K691" s="60"/>
      <c r="L691" s="60"/>
      <c r="M691" s="64"/>
      <c r="N691" s="33"/>
    </row>
    <row r="692" ht="24" customHeight="1" spans="2:14">
      <c r="B692" s="33"/>
      <c r="C692" s="60"/>
      <c r="D692" s="60"/>
      <c r="E692" s="60"/>
      <c r="F692" s="60"/>
      <c r="G692" s="60"/>
      <c r="H692" s="60"/>
      <c r="I692" s="60"/>
      <c r="J692" s="60"/>
      <c r="K692" s="60"/>
      <c r="L692" s="60"/>
      <c r="M692" s="64"/>
      <c r="N692" s="33"/>
    </row>
    <row r="693" ht="24" customHeight="1" spans="2:14">
      <c r="B693" s="33"/>
      <c r="C693" s="60"/>
      <c r="D693" s="60"/>
      <c r="E693" s="60"/>
      <c r="F693" s="60"/>
      <c r="G693" s="60"/>
      <c r="H693" s="60"/>
      <c r="I693" s="60"/>
      <c r="J693" s="60"/>
      <c r="K693" s="60"/>
      <c r="L693" s="60"/>
      <c r="M693" s="64"/>
      <c r="N693" s="33"/>
    </row>
    <row r="694" ht="24" customHeight="1" spans="2:14">
      <c r="B694" s="33"/>
      <c r="C694" s="60"/>
      <c r="D694" s="60"/>
      <c r="E694" s="60"/>
      <c r="F694" s="60"/>
      <c r="G694" s="60"/>
      <c r="H694" s="60"/>
      <c r="I694" s="60"/>
      <c r="J694" s="60"/>
      <c r="K694" s="60"/>
      <c r="L694" s="60"/>
      <c r="M694" s="64"/>
      <c r="N694" s="33"/>
    </row>
    <row r="695" ht="24" customHeight="1" spans="2:14">
      <c r="B695" s="33"/>
      <c r="C695" s="60"/>
      <c r="D695" s="60"/>
      <c r="E695" s="60"/>
      <c r="F695" s="60"/>
      <c r="G695" s="60"/>
      <c r="H695" s="60"/>
      <c r="I695" s="60"/>
      <c r="J695" s="60"/>
      <c r="K695" s="60"/>
      <c r="L695" s="60"/>
      <c r="M695" s="64"/>
      <c r="N695" s="33"/>
    </row>
    <row r="696" ht="24" customHeight="1" spans="2:14">
      <c r="B696" s="33"/>
      <c r="C696" s="60"/>
      <c r="D696" s="60"/>
      <c r="E696" s="60"/>
      <c r="F696" s="60"/>
      <c r="G696" s="60"/>
      <c r="H696" s="60"/>
      <c r="I696" s="60"/>
      <c r="J696" s="60"/>
      <c r="K696" s="60"/>
      <c r="L696" s="60"/>
      <c r="M696" s="64"/>
      <c r="N696" s="33"/>
    </row>
    <row r="697" ht="24" customHeight="1" spans="2:14">
      <c r="B697" s="33"/>
      <c r="C697" s="60"/>
      <c r="D697" s="60"/>
      <c r="E697" s="60"/>
      <c r="F697" s="60"/>
      <c r="G697" s="60"/>
      <c r="H697" s="60"/>
      <c r="I697" s="60"/>
      <c r="J697" s="60"/>
      <c r="K697" s="60"/>
      <c r="L697" s="60"/>
      <c r="M697" s="64"/>
      <c r="N697" s="33"/>
    </row>
    <row r="698" ht="24" customHeight="1" spans="2:14">
      <c r="B698" s="33"/>
      <c r="C698" s="60"/>
      <c r="D698" s="60"/>
      <c r="E698" s="60"/>
      <c r="F698" s="60"/>
      <c r="G698" s="60"/>
      <c r="H698" s="60"/>
      <c r="I698" s="60"/>
      <c r="J698" s="60"/>
      <c r="K698" s="60"/>
      <c r="L698" s="60"/>
      <c r="M698" s="64"/>
      <c r="N698" s="33"/>
    </row>
    <row r="699" ht="24" customHeight="1" spans="2:14">
      <c r="B699" s="33"/>
      <c r="C699" s="60"/>
      <c r="D699" s="60"/>
      <c r="E699" s="60"/>
      <c r="F699" s="60"/>
      <c r="G699" s="60"/>
      <c r="H699" s="60"/>
      <c r="I699" s="60"/>
      <c r="J699" s="60"/>
      <c r="K699" s="60"/>
      <c r="L699" s="60"/>
      <c r="M699" s="64"/>
      <c r="N699" s="33"/>
    </row>
    <row r="700" ht="24" customHeight="1" spans="2:14">
      <c r="B700" s="33"/>
      <c r="C700" s="60"/>
      <c r="D700" s="60"/>
      <c r="E700" s="60"/>
      <c r="F700" s="60"/>
      <c r="G700" s="60"/>
      <c r="H700" s="60"/>
      <c r="I700" s="60"/>
      <c r="J700" s="60"/>
      <c r="K700" s="60"/>
      <c r="L700" s="60"/>
      <c r="M700" s="64"/>
      <c r="N700" s="33"/>
    </row>
    <row r="701" ht="24" customHeight="1" spans="2:14">
      <c r="B701" s="33"/>
      <c r="C701" s="60"/>
      <c r="D701" s="60"/>
      <c r="E701" s="60"/>
      <c r="F701" s="60"/>
      <c r="G701" s="60"/>
      <c r="H701" s="60"/>
      <c r="I701" s="60"/>
      <c r="J701" s="60"/>
      <c r="K701" s="60"/>
      <c r="L701" s="60"/>
      <c r="M701" s="64"/>
      <c r="N701" s="33"/>
    </row>
    <row r="702" ht="24" customHeight="1" spans="2:14">
      <c r="B702" s="33"/>
      <c r="C702" s="60"/>
      <c r="D702" s="60"/>
      <c r="E702" s="60"/>
      <c r="F702" s="60"/>
      <c r="G702" s="60"/>
      <c r="H702" s="60"/>
      <c r="I702" s="60"/>
      <c r="J702" s="60"/>
      <c r="K702" s="60"/>
      <c r="L702" s="60"/>
      <c r="M702" s="64"/>
      <c r="N702" s="33"/>
    </row>
    <row r="703" ht="24" customHeight="1" spans="2:14">
      <c r="B703" s="33"/>
      <c r="C703" s="60"/>
      <c r="D703" s="60"/>
      <c r="E703" s="60"/>
      <c r="F703" s="60"/>
      <c r="G703" s="60"/>
      <c r="H703" s="60"/>
      <c r="I703" s="60"/>
      <c r="J703" s="60"/>
      <c r="K703" s="60"/>
      <c r="L703" s="60"/>
      <c r="M703" s="64"/>
      <c r="N703" s="33"/>
    </row>
    <row r="704" ht="24" customHeight="1" spans="2:14">
      <c r="B704" s="33"/>
      <c r="C704" s="60"/>
      <c r="D704" s="60"/>
      <c r="E704" s="60"/>
      <c r="F704" s="60"/>
      <c r="G704" s="60"/>
      <c r="H704" s="60"/>
      <c r="I704" s="60"/>
      <c r="J704" s="60"/>
      <c r="K704" s="60"/>
      <c r="L704" s="60"/>
      <c r="M704" s="64"/>
      <c r="N704" s="33"/>
    </row>
    <row r="705" ht="24" customHeight="1" spans="2:14">
      <c r="B705" s="33"/>
      <c r="C705" s="60"/>
      <c r="D705" s="60"/>
      <c r="E705" s="60"/>
      <c r="F705" s="60"/>
      <c r="G705" s="60"/>
      <c r="H705" s="60"/>
      <c r="I705" s="60"/>
      <c r="J705" s="60"/>
      <c r="K705" s="60"/>
      <c r="L705" s="60"/>
      <c r="M705" s="64"/>
      <c r="N705" s="33"/>
    </row>
    <row r="706" ht="24" customHeight="1" spans="2:14">
      <c r="B706" s="33"/>
      <c r="C706" s="60"/>
      <c r="D706" s="60"/>
      <c r="E706" s="60"/>
      <c r="F706" s="60"/>
      <c r="G706" s="60"/>
      <c r="H706" s="60"/>
      <c r="I706" s="60"/>
      <c r="J706" s="60"/>
      <c r="K706" s="60"/>
      <c r="L706" s="60"/>
      <c r="M706" s="64"/>
      <c r="N706" s="33"/>
    </row>
    <row r="707" ht="24" customHeight="1" spans="2:14">
      <c r="B707" s="33"/>
      <c r="C707" s="60"/>
      <c r="D707" s="60"/>
      <c r="E707" s="60"/>
      <c r="F707" s="60"/>
      <c r="G707" s="60"/>
      <c r="H707" s="60"/>
      <c r="I707" s="60"/>
      <c r="J707" s="60"/>
      <c r="K707" s="60"/>
      <c r="L707" s="60"/>
      <c r="M707" s="64"/>
      <c r="N707" s="33"/>
    </row>
    <row r="708" ht="24" customHeight="1" spans="2:14">
      <c r="B708" s="33"/>
      <c r="C708" s="60"/>
      <c r="D708" s="60"/>
      <c r="E708" s="60"/>
      <c r="F708" s="60"/>
      <c r="G708" s="60"/>
      <c r="H708" s="60"/>
      <c r="I708" s="60"/>
      <c r="J708" s="60"/>
      <c r="K708" s="60"/>
      <c r="L708" s="60"/>
      <c r="M708" s="64"/>
      <c r="N708" s="33"/>
    </row>
    <row r="709" ht="24" customHeight="1" spans="2:14">
      <c r="B709" s="33"/>
      <c r="C709" s="60"/>
      <c r="D709" s="60"/>
      <c r="E709" s="60"/>
      <c r="F709" s="60"/>
      <c r="G709" s="60"/>
      <c r="H709" s="60"/>
      <c r="I709" s="60"/>
      <c r="J709" s="60"/>
      <c r="K709" s="60"/>
      <c r="L709" s="60"/>
      <c r="M709" s="64"/>
      <c r="N709" s="33"/>
    </row>
    <row r="710" ht="24" customHeight="1" spans="2:14">
      <c r="B710" s="33"/>
      <c r="C710" s="60"/>
      <c r="D710" s="60"/>
      <c r="E710" s="60"/>
      <c r="F710" s="60"/>
      <c r="G710" s="60"/>
      <c r="H710" s="60"/>
      <c r="I710" s="60"/>
      <c r="J710" s="60"/>
      <c r="K710" s="60"/>
      <c r="L710" s="60"/>
      <c r="M710" s="64"/>
      <c r="N710" s="33"/>
    </row>
    <row r="711" ht="24" customHeight="1" spans="2:14">
      <c r="B711" s="33"/>
      <c r="C711" s="60"/>
      <c r="D711" s="60"/>
      <c r="E711" s="60"/>
      <c r="F711" s="60"/>
      <c r="G711" s="60"/>
      <c r="H711" s="60"/>
      <c r="I711" s="60"/>
      <c r="J711" s="60"/>
      <c r="K711" s="60"/>
      <c r="L711" s="60"/>
      <c r="M711" s="64"/>
      <c r="N711" s="33"/>
    </row>
    <row r="712" ht="24" customHeight="1" spans="2:14">
      <c r="B712" s="33"/>
      <c r="C712" s="60"/>
      <c r="D712" s="60"/>
      <c r="E712" s="60"/>
      <c r="F712" s="60"/>
      <c r="G712" s="60"/>
      <c r="H712" s="60"/>
      <c r="I712" s="60"/>
      <c r="J712" s="60"/>
      <c r="K712" s="60"/>
      <c r="L712" s="60"/>
      <c r="M712" s="64"/>
      <c r="N712" s="33"/>
    </row>
    <row r="713" ht="24" customHeight="1" spans="2:14">
      <c r="B713" s="33"/>
      <c r="C713" s="60"/>
      <c r="D713" s="60"/>
      <c r="E713" s="60"/>
      <c r="F713" s="60"/>
      <c r="G713" s="60"/>
      <c r="H713" s="60"/>
      <c r="I713" s="60"/>
      <c r="J713" s="60"/>
      <c r="K713" s="60"/>
      <c r="L713" s="60"/>
      <c r="M713" s="64"/>
      <c r="N713" s="33"/>
    </row>
    <row r="714" ht="24" customHeight="1" spans="2:14">
      <c r="B714" s="33"/>
      <c r="C714" s="60"/>
      <c r="D714" s="60"/>
      <c r="E714" s="60"/>
      <c r="F714" s="60"/>
      <c r="G714" s="60"/>
      <c r="H714" s="60"/>
      <c r="I714" s="60"/>
      <c r="J714" s="60"/>
      <c r="K714" s="60"/>
      <c r="L714" s="60"/>
      <c r="M714" s="64"/>
      <c r="N714" s="33"/>
    </row>
    <row r="715" ht="24" customHeight="1" spans="2:14">
      <c r="B715" s="33"/>
      <c r="C715" s="60"/>
      <c r="D715" s="60"/>
      <c r="E715" s="60"/>
      <c r="F715" s="60"/>
      <c r="G715" s="60"/>
      <c r="H715" s="60"/>
      <c r="I715" s="60"/>
      <c r="J715" s="60"/>
      <c r="K715" s="60"/>
      <c r="L715" s="60"/>
      <c r="M715" s="64"/>
      <c r="N715" s="33"/>
    </row>
    <row r="716" ht="24" customHeight="1" spans="2:14">
      <c r="B716" s="33"/>
      <c r="C716" s="60"/>
      <c r="D716" s="60"/>
      <c r="E716" s="60"/>
      <c r="F716" s="60"/>
      <c r="G716" s="60"/>
      <c r="H716" s="60"/>
      <c r="I716" s="60"/>
      <c r="J716" s="60"/>
      <c r="K716" s="60"/>
      <c r="L716" s="60"/>
      <c r="M716" s="64"/>
      <c r="N716" s="33"/>
    </row>
    <row r="717" ht="24" customHeight="1" spans="2:14">
      <c r="B717" s="33"/>
      <c r="C717" s="60"/>
      <c r="D717" s="60"/>
      <c r="E717" s="60"/>
      <c r="F717" s="60"/>
      <c r="G717" s="60"/>
      <c r="H717" s="60"/>
      <c r="I717" s="60"/>
      <c r="J717" s="60"/>
      <c r="K717" s="60"/>
      <c r="L717" s="60"/>
      <c r="M717" s="64"/>
      <c r="N717" s="33"/>
    </row>
    <row r="718" ht="24" customHeight="1" spans="2:14">
      <c r="B718" s="33"/>
      <c r="C718" s="60"/>
      <c r="D718" s="60"/>
      <c r="E718" s="60"/>
      <c r="F718" s="60"/>
      <c r="G718" s="60"/>
      <c r="H718" s="60"/>
      <c r="I718" s="60"/>
      <c r="J718" s="60"/>
      <c r="K718" s="60"/>
      <c r="L718" s="60"/>
      <c r="M718" s="64"/>
      <c r="N718" s="33"/>
    </row>
    <row r="719" ht="24" customHeight="1" spans="2:14">
      <c r="B719" s="33"/>
      <c r="C719" s="60"/>
      <c r="D719" s="60"/>
      <c r="E719" s="60"/>
      <c r="F719" s="60"/>
      <c r="G719" s="60"/>
      <c r="H719" s="60"/>
      <c r="I719" s="60"/>
      <c r="J719" s="60"/>
      <c r="K719" s="60"/>
      <c r="L719" s="60"/>
      <c r="M719" s="64"/>
      <c r="N719" s="33"/>
    </row>
    <row r="720" ht="24" customHeight="1" spans="2:14">
      <c r="B720" s="33"/>
      <c r="C720" s="60"/>
      <c r="D720" s="60"/>
      <c r="E720" s="60"/>
      <c r="F720" s="60"/>
      <c r="G720" s="60"/>
      <c r="H720" s="60"/>
      <c r="I720" s="60"/>
      <c r="J720" s="60"/>
      <c r="K720" s="60"/>
      <c r="L720" s="60"/>
      <c r="M720" s="64"/>
      <c r="N720" s="33"/>
    </row>
    <row r="721" ht="24" customHeight="1" spans="2:14">
      <c r="B721" s="33"/>
      <c r="C721" s="60"/>
      <c r="D721" s="60"/>
      <c r="E721" s="60"/>
      <c r="F721" s="60"/>
      <c r="G721" s="60"/>
      <c r="H721" s="60"/>
      <c r="I721" s="60"/>
      <c r="J721" s="60"/>
      <c r="K721" s="60"/>
      <c r="L721" s="60"/>
      <c r="M721" s="64"/>
      <c r="N721" s="33"/>
    </row>
    <row r="722" ht="24" customHeight="1" spans="2:14">
      <c r="B722" s="33"/>
      <c r="C722" s="60"/>
      <c r="D722" s="60"/>
      <c r="E722" s="60"/>
      <c r="F722" s="60"/>
      <c r="G722" s="60"/>
      <c r="H722" s="60"/>
      <c r="I722" s="60"/>
      <c r="J722" s="60"/>
      <c r="K722" s="60"/>
      <c r="L722" s="60"/>
      <c r="M722" s="64"/>
      <c r="N722" s="33"/>
    </row>
    <row r="723" ht="24" customHeight="1" spans="2:14">
      <c r="B723" s="33"/>
      <c r="C723" s="60"/>
      <c r="D723" s="60"/>
      <c r="E723" s="60"/>
      <c r="F723" s="60"/>
      <c r="G723" s="60"/>
      <c r="H723" s="60"/>
      <c r="I723" s="60"/>
      <c r="J723" s="60"/>
      <c r="K723" s="60"/>
      <c r="L723" s="60"/>
      <c r="M723" s="64"/>
      <c r="N723" s="33"/>
    </row>
    <row r="724" ht="24" customHeight="1" spans="2:14">
      <c r="B724" s="33"/>
      <c r="C724" s="60"/>
      <c r="D724" s="60"/>
      <c r="E724" s="60"/>
      <c r="F724" s="60"/>
      <c r="G724" s="60"/>
      <c r="H724" s="60"/>
      <c r="I724" s="60"/>
      <c r="J724" s="60"/>
      <c r="K724" s="60"/>
      <c r="L724" s="60"/>
      <c r="M724" s="64"/>
      <c r="N724" s="33"/>
    </row>
    <row r="725" ht="24" customHeight="1" spans="2:14">
      <c r="B725" s="33"/>
      <c r="C725" s="60"/>
      <c r="D725" s="60"/>
      <c r="E725" s="60"/>
      <c r="F725" s="60"/>
      <c r="G725" s="60"/>
      <c r="H725" s="60"/>
      <c r="I725" s="60"/>
      <c r="J725" s="60"/>
      <c r="K725" s="60"/>
      <c r="L725" s="60"/>
      <c r="M725" s="64"/>
      <c r="N725" s="33"/>
    </row>
    <row r="726" ht="24" customHeight="1" spans="2:14">
      <c r="B726" s="33"/>
      <c r="C726" s="60"/>
      <c r="D726" s="60"/>
      <c r="E726" s="60"/>
      <c r="F726" s="60"/>
      <c r="G726" s="60"/>
      <c r="H726" s="60"/>
      <c r="I726" s="60"/>
      <c r="J726" s="60"/>
      <c r="K726" s="60"/>
      <c r="L726" s="60"/>
      <c r="M726" s="64"/>
      <c r="N726" s="33"/>
    </row>
    <row r="727" ht="24" customHeight="1" spans="2:14">
      <c r="B727" s="33"/>
      <c r="C727" s="60"/>
      <c r="D727" s="60"/>
      <c r="E727" s="60"/>
      <c r="F727" s="60"/>
      <c r="G727" s="60"/>
      <c r="H727" s="60"/>
      <c r="I727" s="60"/>
      <c r="J727" s="60"/>
      <c r="K727" s="60"/>
      <c r="L727" s="60"/>
      <c r="M727" s="64"/>
      <c r="N727" s="33"/>
    </row>
    <row r="728" ht="24" customHeight="1" spans="2:14">
      <c r="B728" s="33"/>
      <c r="C728" s="60"/>
      <c r="D728" s="60"/>
      <c r="E728" s="60"/>
      <c r="F728" s="60"/>
      <c r="G728" s="60"/>
      <c r="H728" s="60"/>
      <c r="I728" s="60"/>
      <c r="J728" s="60"/>
      <c r="K728" s="60"/>
      <c r="L728" s="60"/>
      <c r="M728" s="64"/>
      <c r="N728" s="33"/>
    </row>
    <row r="729" ht="24" customHeight="1" spans="2:14">
      <c r="B729" s="33"/>
      <c r="C729" s="60"/>
      <c r="D729" s="60"/>
      <c r="E729" s="60"/>
      <c r="F729" s="60"/>
      <c r="G729" s="60"/>
      <c r="H729" s="60"/>
      <c r="I729" s="60"/>
      <c r="J729" s="60"/>
      <c r="K729" s="60"/>
      <c r="L729" s="60"/>
      <c r="M729" s="64"/>
      <c r="N729" s="33"/>
    </row>
    <row r="730" ht="24" customHeight="1" spans="2:14">
      <c r="B730" s="33"/>
      <c r="C730" s="60"/>
      <c r="D730" s="60"/>
      <c r="E730" s="60"/>
      <c r="F730" s="60"/>
      <c r="G730" s="60"/>
      <c r="H730" s="60"/>
      <c r="I730" s="60"/>
      <c r="J730" s="60"/>
      <c r="K730" s="60"/>
      <c r="L730" s="60"/>
      <c r="M730" s="64"/>
      <c r="N730" s="33"/>
    </row>
    <row r="731" ht="24" customHeight="1" spans="2:14">
      <c r="B731" s="33"/>
      <c r="C731" s="60"/>
      <c r="D731" s="60"/>
      <c r="E731" s="60"/>
      <c r="F731" s="60"/>
      <c r="G731" s="60"/>
      <c r="H731" s="60"/>
      <c r="I731" s="60"/>
      <c r="J731" s="60"/>
      <c r="K731" s="60"/>
      <c r="L731" s="60"/>
      <c r="M731" s="64"/>
      <c r="N731" s="33"/>
    </row>
    <row r="732" ht="24" customHeight="1" spans="2:14">
      <c r="B732" s="33"/>
      <c r="C732" s="60"/>
      <c r="D732" s="60"/>
      <c r="E732" s="60"/>
      <c r="F732" s="60"/>
      <c r="G732" s="60"/>
      <c r="H732" s="60"/>
      <c r="I732" s="60"/>
      <c r="J732" s="60"/>
      <c r="K732" s="60"/>
      <c r="L732" s="60"/>
      <c r="M732" s="64"/>
      <c r="N732" s="33"/>
    </row>
    <row r="733" ht="24" customHeight="1" spans="2:14">
      <c r="B733" s="33"/>
      <c r="C733" s="60"/>
      <c r="D733" s="60"/>
      <c r="E733" s="60"/>
      <c r="F733" s="60"/>
      <c r="G733" s="60"/>
      <c r="H733" s="60"/>
      <c r="I733" s="60"/>
      <c r="J733" s="60"/>
      <c r="K733" s="60"/>
      <c r="L733" s="60"/>
      <c r="M733" s="64"/>
      <c r="N733" s="33"/>
    </row>
    <row r="734" ht="24" customHeight="1" spans="2:14">
      <c r="B734" s="33"/>
      <c r="C734" s="60"/>
      <c r="D734" s="60"/>
      <c r="E734" s="60"/>
      <c r="F734" s="60"/>
      <c r="G734" s="60"/>
      <c r="H734" s="60"/>
      <c r="I734" s="60"/>
      <c r="J734" s="60"/>
      <c r="K734" s="60"/>
      <c r="L734" s="60"/>
      <c r="M734" s="64"/>
      <c r="N734" s="33"/>
    </row>
    <row r="735" ht="24" customHeight="1" spans="2:14">
      <c r="B735" s="33"/>
      <c r="C735" s="60"/>
      <c r="D735" s="60"/>
      <c r="E735" s="60"/>
      <c r="F735" s="60"/>
      <c r="G735" s="60"/>
      <c r="H735" s="60"/>
      <c r="I735" s="60"/>
      <c r="J735" s="60"/>
      <c r="K735" s="60"/>
      <c r="L735" s="60"/>
      <c r="M735" s="64"/>
      <c r="N735" s="33"/>
    </row>
    <row r="736" ht="24" customHeight="1" spans="2:14">
      <c r="B736" s="33"/>
      <c r="C736" s="60"/>
      <c r="D736" s="60"/>
      <c r="E736" s="60"/>
      <c r="F736" s="60"/>
      <c r="G736" s="60"/>
      <c r="H736" s="60"/>
      <c r="I736" s="60"/>
      <c r="J736" s="60"/>
      <c r="K736" s="60"/>
      <c r="L736" s="60"/>
      <c r="M736" s="64"/>
      <c r="N736" s="33"/>
    </row>
    <row r="737" ht="24" customHeight="1" spans="2:14">
      <c r="B737" s="33"/>
      <c r="C737" s="60"/>
      <c r="D737" s="60"/>
      <c r="E737" s="60"/>
      <c r="F737" s="60"/>
      <c r="G737" s="60"/>
      <c r="H737" s="60"/>
      <c r="I737" s="60"/>
      <c r="J737" s="60"/>
      <c r="K737" s="60"/>
      <c r="L737" s="60"/>
      <c r="M737" s="64"/>
      <c r="N737" s="33"/>
    </row>
    <row r="738" ht="24" customHeight="1" spans="2:14">
      <c r="B738" s="33"/>
      <c r="C738" s="60"/>
      <c r="D738" s="60"/>
      <c r="E738" s="60"/>
      <c r="F738" s="60"/>
      <c r="G738" s="60"/>
      <c r="H738" s="60"/>
      <c r="I738" s="60"/>
      <c r="J738" s="60"/>
      <c r="K738" s="60"/>
      <c r="L738" s="60"/>
      <c r="M738" s="64"/>
      <c r="N738" s="33"/>
    </row>
    <row r="739" ht="24" customHeight="1" spans="2:14">
      <c r="B739" s="33"/>
      <c r="C739" s="60"/>
      <c r="D739" s="60"/>
      <c r="E739" s="60"/>
      <c r="F739" s="60"/>
      <c r="G739" s="60"/>
      <c r="H739" s="60"/>
      <c r="I739" s="60"/>
      <c r="J739" s="60"/>
      <c r="K739" s="60"/>
      <c r="L739" s="60"/>
      <c r="M739" s="64"/>
      <c r="N739" s="33"/>
    </row>
    <row r="740" ht="24" customHeight="1" spans="2:14">
      <c r="B740" s="33"/>
      <c r="C740" s="60"/>
      <c r="D740" s="60"/>
      <c r="E740" s="60"/>
      <c r="F740" s="60"/>
      <c r="G740" s="60"/>
      <c r="H740" s="60"/>
      <c r="I740" s="60"/>
      <c r="J740" s="60"/>
      <c r="K740" s="60"/>
      <c r="L740" s="60"/>
      <c r="M740" s="64"/>
      <c r="N740" s="33"/>
    </row>
    <row r="741" ht="24" customHeight="1" spans="2:14">
      <c r="B741" s="33"/>
      <c r="C741" s="60"/>
      <c r="D741" s="60"/>
      <c r="E741" s="60"/>
      <c r="F741" s="60"/>
      <c r="G741" s="60"/>
      <c r="H741" s="60"/>
      <c r="I741" s="60"/>
      <c r="J741" s="60"/>
      <c r="K741" s="60"/>
      <c r="L741" s="60"/>
      <c r="M741" s="64"/>
      <c r="N741" s="33"/>
    </row>
    <row r="742" ht="24" customHeight="1" spans="2:14">
      <c r="B742" s="33"/>
      <c r="C742" s="60"/>
      <c r="D742" s="60"/>
      <c r="E742" s="60"/>
      <c r="F742" s="60"/>
      <c r="G742" s="60"/>
      <c r="H742" s="60"/>
      <c r="I742" s="60"/>
      <c r="J742" s="60"/>
      <c r="K742" s="60"/>
      <c r="L742" s="60"/>
      <c r="M742" s="64"/>
      <c r="N742" s="33"/>
    </row>
    <row r="743" ht="24" customHeight="1" spans="2:14">
      <c r="B743" s="33"/>
      <c r="C743" s="60"/>
      <c r="D743" s="60"/>
      <c r="E743" s="60"/>
      <c r="F743" s="60"/>
      <c r="G743" s="60"/>
      <c r="H743" s="60"/>
      <c r="I743" s="60"/>
      <c r="J743" s="60"/>
      <c r="K743" s="60"/>
      <c r="L743" s="60"/>
      <c r="M743" s="64"/>
      <c r="N743" s="33"/>
    </row>
    <row r="744" ht="24" customHeight="1" spans="2:14">
      <c r="B744" s="33"/>
      <c r="C744" s="60"/>
      <c r="D744" s="60"/>
      <c r="E744" s="60"/>
      <c r="F744" s="60"/>
      <c r="G744" s="60"/>
      <c r="H744" s="60"/>
      <c r="I744" s="60"/>
      <c r="J744" s="60"/>
      <c r="K744" s="60"/>
      <c r="L744" s="60"/>
      <c r="M744" s="64"/>
      <c r="N744" s="33"/>
    </row>
    <row r="745" ht="24" customHeight="1" spans="2:14">
      <c r="B745" s="33"/>
      <c r="C745" s="60"/>
      <c r="D745" s="60"/>
      <c r="E745" s="60"/>
      <c r="F745" s="60"/>
      <c r="G745" s="60"/>
      <c r="H745" s="60"/>
      <c r="I745" s="60"/>
      <c r="J745" s="60"/>
      <c r="K745" s="60"/>
      <c r="L745" s="60"/>
      <c r="M745" s="64"/>
      <c r="N745" s="33"/>
    </row>
    <row r="746" ht="24" customHeight="1" spans="2:14">
      <c r="B746" s="33"/>
      <c r="C746" s="60"/>
      <c r="D746" s="60"/>
      <c r="E746" s="60"/>
      <c r="F746" s="60"/>
      <c r="G746" s="60"/>
      <c r="H746" s="60"/>
      <c r="I746" s="60"/>
      <c r="J746" s="60"/>
      <c r="K746" s="60"/>
      <c r="L746" s="60"/>
      <c r="M746" s="64"/>
      <c r="N746" s="33"/>
    </row>
    <row r="747" ht="24" customHeight="1" spans="2:14">
      <c r="B747" s="33"/>
      <c r="C747" s="60"/>
      <c r="D747" s="60"/>
      <c r="E747" s="60"/>
      <c r="F747" s="60"/>
      <c r="G747" s="60"/>
      <c r="H747" s="60"/>
      <c r="I747" s="60"/>
      <c r="J747" s="60"/>
      <c r="K747" s="60"/>
      <c r="L747" s="60"/>
      <c r="M747" s="64"/>
      <c r="N747" s="33"/>
    </row>
    <row r="748" ht="24" customHeight="1" spans="2:14">
      <c r="B748" s="33"/>
      <c r="C748" s="60"/>
      <c r="D748" s="60"/>
      <c r="E748" s="60"/>
      <c r="F748" s="60"/>
      <c r="G748" s="60"/>
      <c r="H748" s="60"/>
      <c r="I748" s="60"/>
      <c r="J748" s="60"/>
      <c r="K748" s="60"/>
      <c r="L748" s="60"/>
      <c r="M748" s="64"/>
      <c r="N748" s="33"/>
    </row>
    <row r="749" ht="24" customHeight="1" spans="2:14">
      <c r="B749" s="33"/>
      <c r="C749" s="60"/>
      <c r="D749" s="60"/>
      <c r="E749" s="60"/>
      <c r="F749" s="60"/>
      <c r="G749" s="60"/>
      <c r="H749" s="60"/>
      <c r="I749" s="60"/>
      <c r="J749" s="60"/>
      <c r="K749" s="60"/>
      <c r="L749" s="60"/>
      <c r="M749" s="64"/>
      <c r="N749" s="33"/>
    </row>
    <row r="750" ht="24" customHeight="1" spans="2:14">
      <c r="B750" s="33"/>
      <c r="C750" s="60"/>
      <c r="D750" s="60"/>
      <c r="E750" s="60"/>
      <c r="F750" s="60"/>
      <c r="G750" s="60"/>
      <c r="H750" s="60"/>
      <c r="I750" s="60"/>
      <c r="J750" s="60"/>
      <c r="K750" s="60"/>
      <c r="L750" s="60"/>
      <c r="M750" s="64"/>
      <c r="N750" s="33"/>
    </row>
    <row r="751" ht="24" customHeight="1" spans="2:14">
      <c r="B751" s="33"/>
      <c r="C751" s="60"/>
      <c r="D751" s="60"/>
      <c r="E751" s="60"/>
      <c r="F751" s="60"/>
      <c r="G751" s="60"/>
      <c r="H751" s="60"/>
      <c r="I751" s="60"/>
      <c r="J751" s="60"/>
      <c r="K751" s="60"/>
      <c r="L751" s="60"/>
      <c r="M751" s="64"/>
      <c r="N751" s="33"/>
    </row>
    <row r="752" ht="24" customHeight="1" spans="2:14">
      <c r="B752" s="33"/>
      <c r="C752" s="60"/>
      <c r="D752" s="60"/>
      <c r="E752" s="60"/>
      <c r="F752" s="60"/>
      <c r="G752" s="60"/>
      <c r="H752" s="60"/>
      <c r="I752" s="60"/>
      <c r="J752" s="60"/>
      <c r="K752" s="60"/>
      <c r="L752" s="60"/>
      <c r="M752" s="64"/>
      <c r="N752" s="33"/>
    </row>
    <row r="753" ht="24" customHeight="1" spans="2:14">
      <c r="B753" s="33"/>
      <c r="C753" s="60"/>
      <c r="D753" s="60"/>
      <c r="E753" s="60"/>
      <c r="F753" s="60"/>
      <c r="G753" s="60"/>
      <c r="H753" s="60"/>
      <c r="I753" s="60"/>
      <c r="J753" s="60"/>
      <c r="K753" s="60"/>
      <c r="L753" s="60"/>
      <c r="M753" s="64"/>
      <c r="N753" s="33"/>
    </row>
    <row r="754" ht="24" customHeight="1" spans="2:14">
      <c r="B754" s="33"/>
      <c r="C754" s="60"/>
      <c r="D754" s="60"/>
      <c r="E754" s="60"/>
      <c r="F754" s="60"/>
      <c r="G754" s="60"/>
      <c r="H754" s="60"/>
      <c r="I754" s="60"/>
      <c r="J754" s="60"/>
      <c r="K754" s="60"/>
      <c r="L754" s="60"/>
      <c r="M754" s="64"/>
      <c r="N754" s="33"/>
    </row>
    <row r="755" ht="24" customHeight="1" spans="2:14">
      <c r="B755" s="33"/>
      <c r="C755" s="60"/>
      <c r="D755" s="60"/>
      <c r="E755" s="60"/>
      <c r="F755" s="60"/>
      <c r="G755" s="60"/>
      <c r="H755" s="60"/>
      <c r="I755" s="60"/>
      <c r="J755" s="60"/>
      <c r="K755" s="60"/>
      <c r="L755" s="60"/>
      <c r="M755" s="64"/>
      <c r="N755" s="33"/>
    </row>
    <row r="756" ht="24" customHeight="1" spans="2:14">
      <c r="B756" s="33"/>
      <c r="C756" s="60"/>
      <c r="D756" s="60"/>
      <c r="E756" s="60"/>
      <c r="F756" s="60"/>
      <c r="G756" s="60"/>
      <c r="H756" s="60"/>
      <c r="I756" s="60"/>
      <c r="J756" s="60"/>
      <c r="K756" s="60"/>
      <c r="L756" s="60"/>
      <c r="M756" s="64"/>
      <c r="N756" s="33"/>
    </row>
    <row r="757" ht="24" customHeight="1" spans="2:14">
      <c r="B757" s="33"/>
      <c r="C757" s="60"/>
      <c r="D757" s="60"/>
      <c r="E757" s="60"/>
      <c r="F757" s="60"/>
      <c r="G757" s="60"/>
      <c r="H757" s="60"/>
      <c r="I757" s="60"/>
      <c r="J757" s="60"/>
      <c r="K757" s="60"/>
      <c r="L757" s="60"/>
      <c r="M757" s="64"/>
      <c r="N757" s="33"/>
    </row>
    <row r="758" ht="24" customHeight="1" spans="2:14">
      <c r="B758" s="33"/>
      <c r="C758" s="60"/>
      <c r="D758" s="60"/>
      <c r="E758" s="60"/>
      <c r="F758" s="60"/>
      <c r="G758" s="60"/>
      <c r="H758" s="60"/>
      <c r="I758" s="60"/>
      <c r="J758" s="60"/>
      <c r="K758" s="60"/>
      <c r="L758" s="60"/>
      <c r="M758" s="64"/>
      <c r="N758" s="33"/>
    </row>
    <row r="759" ht="24" customHeight="1" spans="2:14">
      <c r="B759" s="33"/>
      <c r="C759" s="60"/>
      <c r="D759" s="60"/>
      <c r="E759" s="60"/>
      <c r="F759" s="60"/>
      <c r="G759" s="60"/>
      <c r="H759" s="60"/>
      <c r="I759" s="60"/>
      <c r="J759" s="60"/>
      <c r="K759" s="60"/>
      <c r="L759" s="60"/>
      <c r="M759" s="64"/>
      <c r="N759" s="33"/>
    </row>
    <row r="760" ht="24" customHeight="1" spans="2:14">
      <c r="B760" s="33"/>
      <c r="C760" s="60"/>
      <c r="D760" s="60"/>
      <c r="E760" s="60"/>
      <c r="F760" s="60"/>
      <c r="G760" s="60"/>
      <c r="H760" s="60"/>
      <c r="I760" s="60"/>
      <c r="J760" s="60"/>
      <c r="K760" s="60"/>
      <c r="L760" s="60"/>
      <c r="M760" s="64"/>
      <c r="N760" s="33"/>
    </row>
    <row r="761" ht="24" customHeight="1" spans="2:14">
      <c r="B761" s="33"/>
      <c r="C761" s="60"/>
      <c r="D761" s="60"/>
      <c r="E761" s="60"/>
      <c r="F761" s="60"/>
      <c r="G761" s="60"/>
      <c r="H761" s="60"/>
      <c r="I761" s="60"/>
      <c r="J761" s="60"/>
      <c r="K761" s="60"/>
      <c r="L761" s="60"/>
      <c r="M761" s="64"/>
      <c r="N761" s="33"/>
    </row>
    <row r="762" ht="24" customHeight="1" spans="2:14">
      <c r="B762" s="33"/>
      <c r="C762" s="60"/>
      <c r="D762" s="60"/>
      <c r="E762" s="60"/>
      <c r="F762" s="60"/>
      <c r="G762" s="60"/>
      <c r="H762" s="60"/>
      <c r="I762" s="60"/>
      <c r="J762" s="60"/>
      <c r="K762" s="60"/>
      <c r="L762" s="60"/>
      <c r="M762" s="64"/>
      <c r="N762" s="33"/>
    </row>
    <row r="763" ht="24" customHeight="1" spans="2:14">
      <c r="B763" s="33"/>
      <c r="C763" s="60"/>
      <c r="D763" s="60"/>
      <c r="E763" s="60"/>
      <c r="F763" s="60"/>
      <c r="G763" s="60"/>
      <c r="H763" s="60"/>
      <c r="I763" s="60"/>
      <c r="J763" s="60"/>
      <c r="K763" s="60"/>
      <c r="L763" s="60"/>
      <c r="M763" s="64"/>
      <c r="N763" s="33"/>
    </row>
    <row r="764" ht="24" customHeight="1" spans="2:14">
      <c r="B764" s="33"/>
      <c r="C764" s="60"/>
      <c r="D764" s="60"/>
      <c r="E764" s="60"/>
      <c r="F764" s="60"/>
      <c r="G764" s="60"/>
      <c r="H764" s="60"/>
      <c r="I764" s="60"/>
      <c r="J764" s="60"/>
      <c r="K764" s="60"/>
      <c r="L764" s="60"/>
      <c r="M764" s="64"/>
      <c r="N764" s="33"/>
    </row>
    <row r="765" ht="24" customHeight="1" spans="2:14">
      <c r="B765" s="33"/>
      <c r="C765" s="60"/>
      <c r="D765" s="60"/>
      <c r="E765" s="60"/>
      <c r="F765" s="60"/>
      <c r="G765" s="60"/>
      <c r="H765" s="60"/>
      <c r="I765" s="60"/>
      <c r="J765" s="60"/>
      <c r="K765" s="60"/>
      <c r="L765" s="60"/>
      <c r="M765" s="64"/>
      <c r="N765" s="33"/>
    </row>
    <row r="766" ht="24" customHeight="1" spans="2:14">
      <c r="B766" s="33"/>
      <c r="C766" s="60"/>
      <c r="D766" s="60"/>
      <c r="E766" s="60"/>
      <c r="F766" s="60"/>
      <c r="G766" s="60"/>
      <c r="H766" s="60"/>
      <c r="I766" s="60"/>
      <c r="J766" s="60"/>
      <c r="K766" s="60"/>
      <c r="L766" s="60"/>
      <c r="M766" s="64"/>
      <c r="N766" s="33"/>
    </row>
    <row r="767" ht="24" customHeight="1" spans="2:14">
      <c r="B767" s="33"/>
      <c r="C767" s="60"/>
      <c r="D767" s="60"/>
      <c r="E767" s="60"/>
      <c r="F767" s="60"/>
      <c r="G767" s="60"/>
      <c r="H767" s="60"/>
      <c r="I767" s="60"/>
      <c r="J767" s="60"/>
      <c r="K767" s="60"/>
      <c r="L767" s="60"/>
      <c r="M767" s="64"/>
      <c r="N767" s="33"/>
    </row>
    <row r="768" ht="24" customHeight="1" spans="2:14">
      <c r="B768" s="33"/>
      <c r="C768" s="60"/>
      <c r="D768" s="60"/>
      <c r="E768" s="60"/>
      <c r="F768" s="60"/>
      <c r="G768" s="60"/>
      <c r="H768" s="60"/>
      <c r="I768" s="60"/>
      <c r="J768" s="60"/>
      <c r="K768" s="60"/>
      <c r="L768" s="60"/>
      <c r="M768" s="64"/>
      <c r="N768" s="33"/>
    </row>
    <row r="769" ht="24" customHeight="1" spans="2:14">
      <c r="B769" s="33"/>
      <c r="C769" s="60"/>
      <c r="D769" s="60"/>
      <c r="E769" s="60"/>
      <c r="F769" s="60"/>
      <c r="G769" s="60"/>
      <c r="H769" s="60"/>
      <c r="I769" s="60"/>
      <c r="J769" s="60"/>
      <c r="K769" s="60"/>
      <c r="L769" s="60"/>
      <c r="M769" s="64"/>
      <c r="N769" s="33"/>
    </row>
    <row r="770" ht="24" customHeight="1" spans="2:14">
      <c r="B770" s="33"/>
      <c r="C770" s="60"/>
      <c r="D770" s="60"/>
      <c r="E770" s="60"/>
      <c r="F770" s="60"/>
      <c r="G770" s="60"/>
      <c r="H770" s="60"/>
      <c r="I770" s="60"/>
      <c r="J770" s="60"/>
      <c r="K770" s="60"/>
      <c r="L770" s="60"/>
      <c r="M770" s="64"/>
      <c r="N770" s="33"/>
    </row>
    <row r="771" ht="24" customHeight="1" spans="2:14">
      <c r="B771" s="33"/>
      <c r="C771" s="60"/>
      <c r="D771" s="60"/>
      <c r="E771" s="60"/>
      <c r="F771" s="60"/>
      <c r="G771" s="60"/>
      <c r="H771" s="60"/>
      <c r="I771" s="60"/>
      <c r="J771" s="60"/>
      <c r="K771" s="60"/>
      <c r="L771" s="60"/>
      <c r="M771" s="64"/>
      <c r="N771" s="33"/>
    </row>
    <row r="772" ht="24" customHeight="1" spans="2:14">
      <c r="B772" s="33"/>
      <c r="C772" s="60"/>
      <c r="D772" s="60"/>
      <c r="E772" s="60"/>
      <c r="F772" s="60"/>
      <c r="G772" s="60"/>
      <c r="H772" s="60"/>
      <c r="I772" s="60"/>
      <c r="J772" s="60"/>
      <c r="K772" s="60"/>
      <c r="L772" s="60"/>
      <c r="M772" s="64"/>
      <c r="N772" s="33"/>
    </row>
    <row r="773" ht="24" customHeight="1" spans="2:14">
      <c r="B773" s="33"/>
      <c r="C773" s="60"/>
      <c r="D773" s="60"/>
      <c r="E773" s="60"/>
      <c r="F773" s="60"/>
      <c r="G773" s="60"/>
      <c r="H773" s="60"/>
      <c r="I773" s="60"/>
      <c r="J773" s="60"/>
      <c r="K773" s="60"/>
      <c r="L773" s="60"/>
      <c r="M773" s="64"/>
      <c r="N773" s="33"/>
    </row>
    <row r="774" ht="24" customHeight="1" spans="2:14">
      <c r="B774" s="33"/>
      <c r="C774" s="60"/>
      <c r="D774" s="60"/>
      <c r="E774" s="60"/>
      <c r="F774" s="60"/>
      <c r="G774" s="60"/>
      <c r="H774" s="60"/>
      <c r="I774" s="60"/>
      <c r="J774" s="60"/>
      <c r="K774" s="60"/>
      <c r="L774" s="60"/>
      <c r="M774" s="64"/>
      <c r="N774" s="33"/>
    </row>
    <row r="775" ht="24" customHeight="1" spans="2:14">
      <c r="B775" s="33"/>
      <c r="C775" s="60"/>
      <c r="D775" s="60"/>
      <c r="E775" s="60"/>
      <c r="F775" s="60"/>
      <c r="G775" s="60"/>
      <c r="H775" s="60"/>
      <c r="I775" s="60"/>
      <c r="J775" s="60"/>
      <c r="K775" s="60"/>
      <c r="L775" s="60"/>
      <c r="M775" s="64"/>
      <c r="N775" s="33"/>
    </row>
    <row r="776" ht="24" customHeight="1" spans="2:14">
      <c r="B776" s="33"/>
      <c r="C776" s="60"/>
      <c r="D776" s="60"/>
      <c r="E776" s="60"/>
      <c r="F776" s="60"/>
      <c r="G776" s="60"/>
      <c r="H776" s="60"/>
      <c r="I776" s="60"/>
      <c r="J776" s="60"/>
      <c r="K776" s="60"/>
      <c r="L776" s="60"/>
      <c r="M776" s="64"/>
      <c r="N776" s="33"/>
    </row>
    <row r="777" ht="24" customHeight="1" spans="2:14">
      <c r="B777" s="33"/>
      <c r="C777" s="60"/>
      <c r="D777" s="60"/>
      <c r="E777" s="60"/>
      <c r="F777" s="60"/>
      <c r="G777" s="60"/>
      <c r="H777" s="60"/>
      <c r="I777" s="60"/>
      <c r="J777" s="60"/>
      <c r="K777" s="60"/>
      <c r="L777" s="60"/>
      <c r="M777" s="64"/>
      <c r="N777" s="33"/>
    </row>
    <row r="778" ht="24" customHeight="1" spans="2:14">
      <c r="B778" s="33"/>
      <c r="C778" s="60"/>
      <c r="D778" s="60"/>
      <c r="E778" s="60"/>
      <c r="F778" s="60"/>
      <c r="G778" s="60"/>
      <c r="H778" s="60"/>
      <c r="I778" s="60"/>
      <c r="J778" s="60"/>
      <c r="K778" s="60"/>
      <c r="L778" s="60"/>
      <c r="M778" s="64"/>
      <c r="N778" s="33"/>
    </row>
    <row r="779" ht="24" customHeight="1" spans="2:14">
      <c r="B779" s="33"/>
      <c r="C779" s="60"/>
      <c r="D779" s="60"/>
      <c r="E779" s="60"/>
      <c r="F779" s="60"/>
      <c r="G779" s="60"/>
      <c r="H779" s="60"/>
      <c r="I779" s="60"/>
      <c r="J779" s="60"/>
      <c r="K779" s="60"/>
      <c r="L779" s="60"/>
      <c r="M779" s="64"/>
      <c r="N779" s="33"/>
    </row>
    <row r="780" ht="24" customHeight="1" spans="2:14">
      <c r="B780" s="33"/>
      <c r="C780" s="60"/>
      <c r="D780" s="60"/>
      <c r="E780" s="60"/>
      <c r="F780" s="60"/>
      <c r="G780" s="60"/>
      <c r="H780" s="60"/>
      <c r="I780" s="60"/>
      <c r="J780" s="60"/>
      <c r="K780" s="60"/>
      <c r="L780" s="60"/>
      <c r="M780" s="64"/>
      <c r="N780" s="33"/>
    </row>
    <row r="781" ht="24" customHeight="1" spans="2:14">
      <c r="B781" s="33"/>
      <c r="C781" s="60"/>
      <c r="D781" s="60"/>
      <c r="E781" s="60"/>
      <c r="F781" s="60"/>
      <c r="G781" s="60"/>
      <c r="H781" s="60"/>
      <c r="I781" s="60"/>
      <c r="J781" s="60"/>
      <c r="K781" s="60"/>
      <c r="L781" s="60"/>
      <c r="M781" s="64"/>
      <c r="N781" s="33"/>
    </row>
    <row r="782" ht="24" customHeight="1" spans="2:14">
      <c r="B782" s="33"/>
      <c r="C782" s="60"/>
      <c r="D782" s="60"/>
      <c r="E782" s="60"/>
      <c r="F782" s="60"/>
      <c r="G782" s="60"/>
      <c r="H782" s="60"/>
      <c r="I782" s="60"/>
      <c r="J782" s="60"/>
      <c r="K782" s="60"/>
      <c r="L782" s="60"/>
      <c r="M782" s="64"/>
      <c r="N782" s="33"/>
    </row>
    <row r="783" ht="24" customHeight="1" spans="2:14">
      <c r="B783" s="33"/>
      <c r="C783" s="60"/>
      <c r="D783" s="60"/>
      <c r="E783" s="60"/>
      <c r="F783" s="60"/>
      <c r="G783" s="60"/>
      <c r="H783" s="60"/>
      <c r="I783" s="60"/>
      <c r="J783" s="60"/>
      <c r="K783" s="60"/>
      <c r="L783" s="60"/>
      <c r="M783" s="64"/>
      <c r="N783" s="33"/>
    </row>
    <row r="784" ht="24" customHeight="1" spans="2:14">
      <c r="B784" s="33"/>
      <c r="C784" s="60"/>
      <c r="D784" s="60"/>
      <c r="E784" s="60"/>
      <c r="F784" s="60"/>
      <c r="G784" s="60"/>
      <c r="H784" s="60"/>
      <c r="I784" s="60"/>
      <c r="J784" s="60"/>
      <c r="K784" s="60"/>
      <c r="L784" s="60"/>
      <c r="M784" s="64"/>
      <c r="N784" s="33"/>
    </row>
    <row r="785" ht="24" customHeight="1" spans="2:14">
      <c r="B785" s="33"/>
      <c r="C785" s="60"/>
      <c r="D785" s="60"/>
      <c r="E785" s="60"/>
      <c r="F785" s="60"/>
      <c r="G785" s="60"/>
      <c r="H785" s="60"/>
      <c r="I785" s="60"/>
      <c r="J785" s="60"/>
      <c r="K785" s="60"/>
      <c r="L785" s="60"/>
      <c r="M785" s="64"/>
      <c r="N785" s="33"/>
    </row>
    <row r="786" ht="24" customHeight="1" spans="2:14">
      <c r="B786" s="33"/>
      <c r="C786" s="60"/>
      <c r="D786" s="60"/>
      <c r="E786" s="60"/>
      <c r="F786" s="60"/>
      <c r="G786" s="60"/>
      <c r="H786" s="60"/>
      <c r="I786" s="60"/>
      <c r="J786" s="60"/>
      <c r="K786" s="60"/>
      <c r="L786" s="60"/>
      <c r="M786" s="64"/>
      <c r="N786" s="33"/>
    </row>
    <row r="787" ht="24" customHeight="1" spans="2:14">
      <c r="B787" s="33"/>
      <c r="C787" s="60"/>
      <c r="D787" s="60"/>
      <c r="E787" s="60"/>
      <c r="F787" s="60"/>
      <c r="G787" s="60"/>
      <c r="H787" s="60"/>
      <c r="I787" s="60"/>
      <c r="J787" s="60"/>
      <c r="K787" s="60"/>
      <c r="L787" s="60"/>
      <c r="M787" s="64"/>
      <c r="N787" s="33"/>
    </row>
    <row r="788" ht="24" customHeight="1" spans="2:14">
      <c r="B788" s="33"/>
      <c r="C788" s="60"/>
      <c r="D788" s="60"/>
      <c r="E788" s="60"/>
      <c r="F788" s="60"/>
      <c r="G788" s="60"/>
      <c r="H788" s="60"/>
      <c r="I788" s="60"/>
      <c r="J788" s="60"/>
      <c r="K788" s="60"/>
      <c r="L788" s="60"/>
      <c r="M788" s="64"/>
      <c r="N788" s="33"/>
    </row>
    <row r="789" ht="24" customHeight="1" spans="2:14">
      <c r="B789" s="33"/>
      <c r="C789" s="60"/>
      <c r="D789" s="60"/>
      <c r="E789" s="60"/>
      <c r="F789" s="60"/>
      <c r="G789" s="60"/>
      <c r="H789" s="60"/>
      <c r="I789" s="60"/>
      <c r="J789" s="60"/>
      <c r="K789" s="60"/>
      <c r="L789" s="60"/>
      <c r="M789" s="64"/>
      <c r="N789" s="33"/>
    </row>
    <row r="790" ht="24" customHeight="1" spans="2:14">
      <c r="B790" s="33"/>
      <c r="C790" s="60"/>
      <c r="D790" s="60"/>
      <c r="E790" s="60"/>
      <c r="F790" s="60"/>
      <c r="G790" s="60"/>
      <c r="H790" s="60"/>
      <c r="I790" s="60"/>
      <c r="J790" s="60"/>
      <c r="K790" s="60"/>
      <c r="L790" s="60"/>
      <c r="M790" s="64"/>
      <c r="N790" s="33"/>
    </row>
    <row r="791" ht="24" customHeight="1" spans="2:14">
      <c r="B791" s="33"/>
      <c r="C791" s="60"/>
      <c r="D791" s="60"/>
      <c r="E791" s="60"/>
      <c r="F791" s="60"/>
      <c r="G791" s="60"/>
      <c r="H791" s="60"/>
      <c r="I791" s="60"/>
      <c r="J791" s="60"/>
      <c r="K791" s="60"/>
      <c r="L791" s="60"/>
      <c r="M791" s="64"/>
      <c r="N791" s="33"/>
    </row>
    <row r="792" ht="24" customHeight="1" spans="2:14">
      <c r="B792" s="33"/>
      <c r="C792" s="60"/>
      <c r="D792" s="60"/>
      <c r="E792" s="60"/>
      <c r="F792" s="60"/>
      <c r="G792" s="60"/>
      <c r="H792" s="60"/>
      <c r="I792" s="60"/>
      <c r="J792" s="60"/>
      <c r="K792" s="60"/>
      <c r="L792" s="60"/>
      <c r="M792" s="64"/>
      <c r="N792" s="33"/>
    </row>
    <row r="793" ht="24" customHeight="1" spans="2:14">
      <c r="B793" s="33"/>
      <c r="C793" s="60"/>
      <c r="D793" s="60"/>
      <c r="E793" s="60"/>
      <c r="F793" s="60"/>
      <c r="G793" s="60"/>
      <c r="H793" s="60"/>
      <c r="I793" s="60"/>
      <c r="J793" s="60"/>
      <c r="K793" s="60"/>
      <c r="L793" s="60"/>
      <c r="M793" s="64"/>
      <c r="N793" s="33"/>
    </row>
    <row r="794" ht="24" customHeight="1" spans="2:14">
      <c r="B794" s="33"/>
      <c r="C794" s="60"/>
      <c r="D794" s="60"/>
      <c r="E794" s="60"/>
      <c r="F794" s="60"/>
      <c r="G794" s="60"/>
      <c r="H794" s="60"/>
      <c r="I794" s="60"/>
      <c r="J794" s="60"/>
      <c r="K794" s="60"/>
      <c r="L794" s="60"/>
      <c r="M794" s="64"/>
      <c r="N794" s="33"/>
    </row>
    <row r="795" ht="24" customHeight="1" spans="2:14">
      <c r="B795" s="33"/>
      <c r="C795" s="60"/>
      <c r="D795" s="60"/>
      <c r="E795" s="60"/>
      <c r="F795" s="60"/>
      <c r="G795" s="60"/>
      <c r="H795" s="60"/>
      <c r="I795" s="60"/>
      <c r="J795" s="60"/>
      <c r="K795" s="60"/>
      <c r="L795" s="60"/>
      <c r="M795" s="64"/>
      <c r="N795" s="33"/>
    </row>
    <row r="796" ht="24" customHeight="1" spans="2:14">
      <c r="B796" s="33"/>
      <c r="C796" s="60"/>
      <c r="D796" s="60"/>
      <c r="E796" s="60"/>
      <c r="F796" s="60"/>
      <c r="G796" s="60"/>
      <c r="H796" s="60"/>
      <c r="I796" s="60"/>
      <c r="J796" s="60"/>
      <c r="K796" s="60"/>
      <c r="L796" s="60"/>
      <c r="M796" s="64"/>
      <c r="N796" s="33"/>
    </row>
    <row r="797" ht="24" customHeight="1" spans="2:14">
      <c r="B797" s="33"/>
      <c r="C797" s="60"/>
      <c r="D797" s="60"/>
      <c r="E797" s="60"/>
      <c r="F797" s="60"/>
      <c r="G797" s="60"/>
      <c r="H797" s="60"/>
      <c r="I797" s="60"/>
      <c r="J797" s="60"/>
      <c r="K797" s="60"/>
      <c r="L797" s="60"/>
      <c r="M797" s="64"/>
      <c r="N797" s="33"/>
    </row>
    <row r="798" ht="24" customHeight="1" spans="2:14">
      <c r="B798" s="33"/>
      <c r="C798" s="60"/>
      <c r="D798" s="60"/>
      <c r="E798" s="60"/>
      <c r="F798" s="60"/>
      <c r="G798" s="60"/>
      <c r="H798" s="60"/>
      <c r="I798" s="60"/>
      <c r="J798" s="60"/>
      <c r="K798" s="60"/>
      <c r="L798" s="60"/>
      <c r="M798" s="64"/>
      <c r="N798" s="33"/>
    </row>
    <row r="799" ht="24" customHeight="1" spans="2:14">
      <c r="B799" s="33"/>
      <c r="C799" s="60"/>
      <c r="D799" s="60"/>
      <c r="E799" s="60"/>
      <c r="F799" s="60"/>
      <c r="G799" s="60"/>
      <c r="H799" s="60"/>
      <c r="I799" s="60"/>
      <c r="J799" s="60"/>
      <c r="K799" s="60"/>
      <c r="L799" s="60"/>
      <c r="M799" s="64"/>
      <c r="N799" s="33"/>
    </row>
    <row r="800" ht="24" customHeight="1" spans="2:14">
      <c r="B800" s="33"/>
      <c r="C800" s="60"/>
      <c r="D800" s="60"/>
      <c r="E800" s="60"/>
      <c r="F800" s="60"/>
      <c r="G800" s="60"/>
      <c r="H800" s="60"/>
      <c r="I800" s="60"/>
      <c r="J800" s="60"/>
      <c r="K800" s="60"/>
      <c r="L800" s="60"/>
      <c r="M800" s="64"/>
      <c r="N800" s="33"/>
    </row>
    <row r="801" ht="24" customHeight="1" spans="2:14">
      <c r="B801" s="33"/>
      <c r="C801" s="60"/>
      <c r="D801" s="60"/>
      <c r="E801" s="60"/>
      <c r="F801" s="60"/>
      <c r="G801" s="60"/>
      <c r="H801" s="60"/>
      <c r="I801" s="60"/>
      <c r="J801" s="60"/>
      <c r="K801" s="60"/>
      <c r="L801" s="60"/>
      <c r="M801" s="64"/>
      <c r="N801" s="33"/>
    </row>
    <row r="802" ht="24" customHeight="1" spans="2:14">
      <c r="B802" s="33"/>
      <c r="C802" s="60"/>
      <c r="D802" s="60"/>
      <c r="E802" s="60"/>
      <c r="F802" s="60"/>
      <c r="G802" s="60"/>
      <c r="H802" s="60"/>
      <c r="I802" s="60"/>
      <c r="J802" s="60"/>
      <c r="K802" s="60"/>
      <c r="L802" s="60"/>
      <c r="M802" s="64"/>
      <c r="N802" s="33"/>
    </row>
    <row r="803" ht="24" customHeight="1" spans="2:14">
      <c r="B803" s="33"/>
      <c r="C803" s="60"/>
      <c r="D803" s="60"/>
      <c r="E803" s="60"/>
      <c r="F803" s="60"/>
      <c r="G803" s="60"/>
      <c r="H803" s="60"/>
      <c r="I803" s="60"/>
      <c r="J803" s="60"/>
      <c r="K803" s="60"/>
      <c r="L803" s="60"/>
      <c r="M803" s="64"/>
      <c r="N803" s="33"/>
    </row>
    <row r="804" ht="24" customHeight="1" spans="2:14">
      <c r="B804" s="33"/>
      <c r="C804" s="60"/>
      <c r="D804" s="60"/>
      <c r="E804" s="60"/>
      <c r="F804" s="60"/>
      <c r="G804" s="60"/>
      <c r="H804" s="60"/>
      <c r="I804" s="60"/>
      <c r="J804" s="60"/>
      <c r="K804" s="60"/>
      <c r="L804" s="60"/>
      <c r="M804" s="64"/>
      <c r="N804" s="33"/>
    </row>
    <row r="805" ht="24" customHeight="1" spans="2:14">
      <c r="B805" s="33"/>
      <c r="C805" s="60"/>
      <c r="D805" s="60"/>
      <c r="E805" s="60"/>
      <c r="F805" s="60"/>
      <c r="G805" s="60"/>
      <c r="H805" s="60"/>
      <c r="I805" s="60"/>
      <c r="J805" s="60"/>
      <c r="K805" s="60"/>
      <c r="L805" s="60"/>
      <c r="M805" s="64"/>
      <c r="N805" s="33"/>
    </row>
    <row r="806" ht="24" customHeight="1" spans="2:14">
      <c r="B806" s="33"/>
      <c r="C806" s="60"/>
      <c r="D806" s="60"/>
      <c r="E806" s="60"/>
      <c r="F806" s="60"/>
      <c r="G806" s="60"/>
      <c r="H806" s="60"/>
      <c r="I806" s="60"/>
      <c r="J806" s="60"/>
      <c r="K806" s="60"/>
      <c r="L806" s="60"/>
      <c r="M806" s="64"/>
      <c r="N806" s="33"/>
    </row>
    <row r="807" ht="24" customHeight="1" spans="2:14">
      <c r="B807" s="33"/>
      <c r="C807" s="60"/>
      <c r="D807" s="60"/>
      <c r="E807" s="60"/>
      <c r="F807" s="60"/>
      <c r="G807" s="60"/>
      <c r="H807" s="60"/>
      <c r="I807" s="60"/>
      <c r="J807" s="60"/>
      <c r="K807" s="60"/>
      <c r="L807" s="60"/>
      <c r="M807" s="64"/>
      <c r="N807" s="33"/>
    </row>
    <row r="808" ht="24" customHeight="1" spans="2:14">
      <c r="B808" s="33"/>
      <c r="C808" s="60"/>
      <c r="D808" s="60"/>
      <c r="E808" s="60"/>
      <c r="F808" s="60"/>
      <c r="G808" s="60"/>
      <c r="H808" s="60"/>
      <c r="I808" s="60"/>
      <c r="J808" s="60"/>
      <c r="K808" s="60"/>
      <c r="L808" s="60"/>
      <c r="M808" s="64"/>
      <c r="N808" s="33"/>
    </row>
    <row r="809" ht="24" customHeight="1" spans="2:14">
      <c r="B809" s="33"/>
      <c r="C809" s="60"/>
      <c r="D809" s="60"/>
      <c r="E809" s="60"/>
      <c r="F809" s="60"/>
      <c r="G809" s="60"/>
      <c r="H809" s="60"/>
      <c r="I809" s="60"/>
      <c r="J809" s="60"/>
      <c r="K809" s="60"/>
      <c r="L809" s="60"/>
      <c r="M809" s="64"/>
      <c r="N809" s="33"/>
    </row>
    <row r="810" ht="24" customHeight="1" spans="2:14">
      <c r="B810" s="33"/>
      <c r="C810" s="60"/>
      <c r="D810" s="60"/>
      <c r="E810" s="60"/>
      <c r="F810" s="60"/>
      <c r="G810" s="60"/>
      <c r="H810" s="60"/>
      <c r="I810" s="60"/>
      <c r="J810" s="60"/>
      <c r="K810" s="60"/>
      <c r="L810" s="60"/>
      <c r="M810" s="64"/>
      <c r="N810" s="33"/>
    </row>
    <row r="811" ht="24" customHeight="1" spans="2:14">
      <c r="B811" s="33"/>
      <c r="C811" s="60"/>
      <c r="D811" s="60"/>
      <c r="E811" s="60"/>
      <c r="F811" s="60"/>
      <c r="G811" s="60"/>
      <c r="H811" s="60"/>
      <c r="I811" s="60"/>
      <c r="J811" s="60"/>
      <c r="K811" s="60"/>
      <c r="L811" s="60"/>
      <c r="M811" s="64"/>
      <c r="N811" s="33"/>
    </row>
    <row r="812" ht="24" customHeight="1" spans="2:14">
      <c r="B812" s="33"/>
      <c r="C812" s="60"/>
      <c r="D812" s="60"/>
      <c r="E812" s="60"/>
      <c r="F812" s="60"/>
      <c r="G812" s="60"/>
      <c r="H812" s="60"/>
      <c r="I812" s="60"/>
      <c r="J812" s="60"/>
      <c r="K812" s="60"/>
      <c r="L812" s="60"/>
      <c r="M812" s="64"/>
      <c r="N812" s="33"/>
    </row>
    <row r="813" ht="24" customHeight="1" spans="2:14">
      <c r="B813" s="33"/>
      <c r="C813" s="60"/>
      <c r="D813" s="60"/>
      <c r="E813" s="60"/>
      <c r="F813" s="60"/>
      <c r="G813" s="60"/>
      <c r="H813" s="60"/>
      <c r="I813" s="60"/>
      <c r="J813" s="60"/>
      <c r="K813" s="60"/>
      <c r="L813" s="60"/>
      <c r="M813" s="64"/>
      <c r="N813" s="33"/>
    </row>
    <row r="814" ht="24" customHeight="1" spans="2:14">
      <c r="B814" s="33"/>
      <c r="C814" s="60"/>
      <c r="D814" s="60"/>
      <c r="E814" s="60"/>
      <c r="F814" s="60"/>
      <c r="G814" s="60"/>
      <c r="H814" s="60"/>
      <c r="I814" s="60"/>
      <c r="J814" s="60"/>
      <c r="K814" s="60"/>
      <c r="L814" s="60"/>
      <c r="M814" s="64"/>
      <c r="N814" s="33"/>
    </row>
    <row r="815" ht="24" customHeight="1" spans="2:14">
      <c r="B815" s="33"/>
      <c r="C815" s="60"/>
      <c r="D815" s="60"/>
      <c r="E815" s="60"/>
      <c r="F815" s="60"/>
      <c r="G815" s="60"/>
      <c r="H815" s="60"/>
      <c r="I815" s="60"/>
      <c r="J815" s="60"/>
      <c r="K815" s="60"/>
      <c r="L815" s="60"/>
      <c r="M815" s="64"/>
      <c r="N815" s="33"/>
    </row>
    <row r="816" ht="24" customHeight="1" spans="2:14">
      <c r="B816" s="33"/>
      <c r="C816" s="60"/>
      <c r="D816" s="60"/>
      <c r="E816" s="60"/>
      <c r="F816" s="60"/>
      <c r="G816" s="60"/>
      <c r="H816" s="60"/>
      <c r="I816" s="60"/>
      <c r="J816" s="60"/>
      <c r="K816" s="60"/>
      <c r="L816" s="60"/>
      <c r="M816" s="64"/>
      <c r="N816" s="33"/>
    </row>
    <row r="817" ht="24" customHeight="1" spans="2:14">
      <c r="B817" s="33"/>
      <c r="C817" s="60"/>
      <c r="D817" s="60"/>
      <c r="E817" s="60"/>
      <c r="F817" s="60"/>
      <c r="G817" s="60"/>
      <c r="H817" s="60"/>
      <c r="I817" s="60"/>
      <c r="J817" s="60"/>
      <c r="K817" s="60"/>
      <c r="L817" s="60"/>
      <c r="M817" s="64"/>
      <c r="N817" s="33"/>
    </row>
    <row r="818" ht="24" customHeight="1" spans="2:14">
      <c r="B818" s="33"/>
      <c r="C818" s="60"/>
      <c r="D818" s="60"/>
      <c r="E818" s="60"/>
      <c r="F818" s="60"/>
      <c r="G818" s="60"/>
      <c r="H818" s="60"/>
      <c r="I818" s="60"/>
      <c r="J818" s="60"/>
      <c r="K818" s="60"/>
      <c r="L818" s="60"/>
      <c r="M818" s="64"/>
      <c r="N818" s="33"/>
    </row>
    <row r="819" ht="24" customHeight="1" spans="2:14">
      <c r="B819" s="33"/>
      <c r="C819" s="60"/>
      <c r="D819" s="60"/>
      <c r="E819" s="60"/>
      <c r="F819" s="60"/>
      <c r="G819" s="60"/>
      <c r="H819" s="60"/>
      <c r="I819" s="60"/>
      <c r="J819" s="60"/>
      <c r="K819" s="60"/>
      <c r="L819" s="60"/>
      <c r="M819" s="64"/>
      <c r="N819" s="33"/>
    </row>
    <row r="820" ht="24" customHeight="1" spans="2:14">
      <c r="B820" s="33"/>
      <c r="C820" s="60"/>
      <c r="D820" s="60"/>
      <c r="E820" s="60"/>
      <c r="F820" s="60"/>
      <c r="G820" s="60"/>
      <c r="H820" s="60"/>
      <c r="I820" s="60"/>
      <c r="J820" s="60"/>
      <c r="K820" s="60"/>
      <c r="L820" s="60"/>
      <c r="M820" s="64"/>
      <c r="N820" s="33"/>
    </row>
    <row r="821" ht="24" customHeight="1" spans="2:14">
      <c r="B821" s="33"/>
      <c r="C821" s="60"/>
      <c r="D821" s="60"/>
      <c r="E821" s="60"/>
      <c r="F821" s="60"/>
      <c r="G821" s="60"/>
      <c r="H821" s="60"/>
      <c r="I821" s="60"/>
      <c r="J821" s="60"/>
      <c r="K821" s="60"/>
      <c r="L821" s="60"/>
      <c r="M821" s="64"/>
      <c r="N821" s="33"/>
    </row>
    <row r="822" ht="24" customHeight="1" spans="2:14">
      <c r="B822" s="33"/>
      <c r="C822" s="60"/>
      <c r="D822" s="60"/>
      <c r="E822" s="60"/>
      <c r="F822" s="60"/>
      <c r="G822" s="60"/>
      <c r="H822" s="60"/>
      <c r="I822" s="60"/>
      <c r="J822" s="60"/>
      <c r="K822" s="60"/>
      <c r="L822" s="60"/>
      <c r="M822" s="64"/>
      <c r="N822" s="33"/>
    </row>
    <row r="823" ht="24" customHeight="1" spans="2:14">
      <c r="B823" s="33"/>
      <c r="C823" s="60"/>
      <c r="D823" s="60"/>
      <c r="E823" s="60"/>
      <c r="F823" s="60"/>
      <c r="G823" s="60"/>
      <c r="H823" s="60"/>
      <c r="I823" s="60"/>
      <c r="J823" s="60"/>
      <c r="K823" s="60"/>
      <c r="L823" s="60"/>
      <c r="M823" s="64"/>
      <c r="N823" s="33"/>
    </row>
    <row r="824" ht="24" customHeight="1" spans="2:14">
      <c r="B824" s="33"/>
      <c r="C824" s="60"/>
      <c r="D824" s="60"/>
      <c r="E824" s="60"/>
      <c r="F824" s="60"/>
      <c r="G824" s="60"/>
      <c r="H824" s="60"/>
      <c r="I824" s="60"/>
      <c r="J824" s="60"/>
      <c r="K824" s="60"/>
      <c r="L824" s="60"/>
      <c r="M824" s="64"/>
      <c r="N824" s="33"/>
    </row>
    <row r="825" ht="24" customHeight="1" spans="2:14">
      <c r="B825" s="33"/>
      <c r="C825" s="60"/>
      <c r="D825" s="60"/>
      <c r="E825" s="60"/>
      <c r="F825" s="60"/>
      <c r="G825" s="60"/>
      <c r="H825" s="60"/>
      <c r="I825" s="60"/>
      <c r="J825" s="60"/>
      <c r="K825" s="60"/>
      <c r="L825" s="60"/>
      <c r="M825" s="64"/>
      <c r="N825" s="33"/>
    </row>
    <row r="826" ht="24" customHeight="1" spans="2:14">
      <c r="B826" s="33"/>
      <c r="C826" s="60"/>
      <c r="D826" s="60"/>
      <c r="E826" s="60"/>
      <c r="F826" s="60"/>
      <c r="G826" s="60"/>
      <c r="H826" s="60"/>
      <c r="I826" s="60"/>
      <c r="J826" s="60"/>
      <c r="K826" s="60"/>
      <c r="L826" s="60"/>
      <c r="M826" s="64"/>
      <c r="N826" s="33"/>
    </row>
    <row r="827" ht="24" customHeight="1" spans="2:14">
      <c r="B827" s="33"/>
      <c r="C827" s="60"/>
      <c r="D827" s="60"/>
      <c r="E827" s="60"/>
      <c r="F827" s="60"/>
      <c r="G827" s="60"/>
      <c r="H827" s="60"/>
      <c r="I827" s="60"/>
      <c r="J827" s="60"/>
      <c r="K827" s="60"/>
      <c r="L827" s="60"/>
      <c r="M827" s="64"/>
      <c r="N827" s="33"/>
    </row>
    <row r="828" ht="24" customHeight="1" spans="2:14">
      <c r="B828" s="33"/>
      <c r="C828" s="60"/>
      <c r="D828" s="60"/>
      <c r="E828" s="60"/>
      <c r="F828" s="60"/>
      <c r="G828" s="60"/>
      <c r="H828" s="60"/>
      <c r="I828" s="60"/>
      <c r="J828" s="60"/>
      <c r="K828" s="60"/>
      <c r="L828" s="60"/>
      <c r="M828" s="64"/>
      <c r="N828" s="33"/>
    </row>
    <row r="829" ht="24" customHeight="1" spans="2:14">
      <c r="B829" s="33"/>
      <c r="C829" s="60"/>
      <c r="D829" s="60"/>
      <c r="E829" s="60"/>
      <c r="F829" s="60"/>
      <c r="G829" s="60"/>
      <c r="H829" s="60"/>
      <c r="I829" s="60"/>
      <c r="J829" s="60"/>
      <c r="K829" s="60"/>
      <c r="L829" s="60"/>
      <c r="M829" s="64"/>
      <c r="N829" s="33"/>
    </row>
    <row r="830" ht="24" customHeight="1" spans="2:14">
      <c r="B830" s="33"/>
      <c r="C830" s="60"/>
      <c r="D830" s="60"/>
      <c r="E830" s="60"/>
      <c r="F830" s="60"/>
      <c r="G830" s="60"/>
      <c r="H830" s="60"/>
      <c r="I830" s="60"/>
      <c r="J830" s="60"/>
      <c r="K830" s="60"/>
      <c r="L830" s="60"/>
      <c r="M830" s="64"/>
      <c r="N830" s="33"/>
    </row>
    <row r="831" ht="24" customHeight="1" spans="2:14">
      <c r="B831" s="33"/>
      <c r="C831" s="60"/>
      <c r="D831" s="60"/>
      <c r="E831" s="60"/>
      <c r="F831" s="60"/>
      <c r="G831" s="60"/>
      <c r="H831" s="60"/>
      <c r="I831" s="60"/>
      <c r="J831" s="60"/>
      <c r="K831" s="60"/>
      <c r="L831" s="60"/>
      <c r="M831" s="64"/>
      <c r="N831" s="33"/>
    </row>
    <row r="832" ht="24" customHeight="1" spans="2:14">
      <c r="B832" s="33"/>
      <c r="C832" s="60"/>
      <c r="D832" s="60"/>
      <c r="E832" s="60"/>
      <c r="F832" s="60"/>
      <c r="G832" s="60"/>
      <c r="H832" s="60"/>
      <c r="I832" s="60"/>
      <c r="J832" s="60"/>
      <c r="K832" s="60"/>
      <c r="L832" s="60"/>
      <c r="M832" s="64"/>
      <c r="N832" s="33"/>
    </row>
    <row r="833" ht="24" customHeight="1" spans="2:14">
      <c r="B833" s="33"/>
      <c r="C833" s="60"/>
      <c r="D833" s="60"/>
      <c r="E833" s="60"/>
      <c r="F833" s="60"/>
      <c r="G833" s="60"/>
      <c r="H833" s="60"/>
      <c r="I833" s="60"/>
      <c r="J833" s="60"/>
      <c r="K833" s="60"/>
      <c r="L833" s="60"/>
      <c r="M833" s="64"/>
      <c r="N833" s="33"/>
    </row>
    <row r="834" ht="24" customHeight="1" spans="2:14">
      <c r="B834" s="33"/>
      <c r="C834" s="60"/>
      <c r="D834" s="60"/>
      <c r="E834" s="60"/>
      <c r="F834" s="60"/>
      <c r="G834" s="60"/>
      <c r="H834" s="60"/>
      <c r="I834" s="60"/>
      <c r="J834" s="60"/>
      <c r="K834" s="60"/>
      <c r="L834" s="60"/>
      <c r="M834" s="64"/>
      <c r="N834" s="33"/>
    </row>
    <row r="835" ht="24" customHeight="1" spans="2:14">
      <c r="B835" s="33"/>
      <c r="C835" s="60"/>
      <c r="D835" s="60"/>
      <c r="E835" s="60"/>
      <c r="F835" s="60"/>
      <c r="G835" s="60"/>
      <c r="H835" s="60"/>
      <c r="I835" s="60"/>
      <c r="J835" s="60"/>
      <c r="K835" s="60"/>
      <c r="L835" s="60"/>
      <c r="M835" s="64"/>
      <c r="N835" s="33"/>
    </row>
    <row r="836" ht="24" customHeight="1" spans="2:14">
      <c r="B836" s="33"/>
      <c r="C836" s="60"/>
      <c r="D836" s="60"/>
      <c r="E836" s="60"/>
      <c r="F836" s="60"/>
      <c r="G836" s="60"/>
      <c r="H836" s="60"/>
      <c r="I836" s="60"/>
      <c r="J836" s="60"/>
      <c r="K836" s="60"/>
      <c r="L836" s="60"/>
      <c r="M836" s="64"/>
      <c r="N836" s="33"/>
    </row>
    <row r="837" ht="24" customHeight="1" spans="2:14">
      <c r="B837" s="33"/>
      <c r="C837" s="60"/>
      <c r="D837" s="60"/>
      <c r="E837" s="60"/>
      <c r="F837" s="60"/>
      <c r="G837" s="60"/>
      <c r="H837" s="60"/>
      <c r="I837" s="60"/>
      <c r="J837" s="60"/>
      <c r="K837" s="60"/>
      <c r="L837" s="60"/>
      <c r="M837" s="64"/>
      <c r="N837" s="33"/>
    </row>
    <row r="838" ht="24" customHeight="1" spans="2:14">
      <c r="B838" s="33"/>
      <c r="C838" s="60"/>
      <c r="D838" s="60"/>
      <c r="E838" s="60"/>
      <c r="F838" s="60"/>
      <c r="G838" s="60"/>
      <c r="H838" s="60"/>
      <c r="I838" s="60"/>
      <c r="J838" s="60"/>
      <c r="K838" s="60"/>
      <c r="L838" s="60"/>
      <c r="M838" s="64"/>
      <c r="N838" s="33"/>
    </row>
    <row r="839" ht="24" customHeight="1" spans="2:14">
      <c r="B839" s="33"/>
      <c r="C839" s="60"/>
      <c r="D839" s="60"/>
      <c r="E839" s="60"/>
      <c r="F839" s="60"/>
      <c r="G839" s="60"/>
      <c r="H839" s="60"/>
      <c r="I839" s="60"/>
      <c r="J839" s="60"/>
      <c r="K839" s="60"/>
      <c r="L839" s="60"/>
      <c r="M839" s="64"/>
      <c r="N839" s="33"/>
    </row>
    <row r="840" ht="24" customHeight="1" spans="2:14">
      <c r="B840" s="33"/>
      <c r="C840" s="60"/>
      <c r="D840" s="60"/>
      <c r="E840" s="60"/>
      <c r="F840" s="60"/>
      <c r="G840" s="60"/>
      <c r="H840" s="60"/>
      <c r="I840" s="60"/>
      <c r="J840" s="60"/>
      <c r="K840" s="60"/>
      <c r="L840" s="60"/>
      <c r="M840" s="64"/>
      <c r="N840" s="33"/>
    </row>
    <row r="841" ht="24" customHeight="1" spans="2:14">
      <c r="B841" s="33"/>
      <c r="C841" s="60"/>
      <c r="D841" s="60"/>
      <c r="E841" s="60"/>
      <c r="F841" s="60"/>
      <c r="G841" s="60"/>
      <c r="H841" s="60"/>
      <c r="I841" s="60"/>
      <c r="J841" s="60"/>
      <c r="K841" s="60"/>
      <c r="L841" s="60"/>
      <c r="M841" s="64"/>
      <c r="N841" s="33"/>
    </row>
    <row r="842" ht="24" customHeight="1" spans="2:14">
      <c r="B842" s="33"/>
      <c r="C842" s="60"/>
      <c r="D842" s="60"/>
      <c r="E842" s="60"/>
      <c r="F842" s="60"/>
      <c r="G842" s="60"/>
      <c r="H842" s="60"/>
      <c r="I842" s="60"/>
      <c r="J842" s="60"/>
      <c r="K842" s="60"/>
      <c r="L842" s="60"/>
      <c r="M842" s="64"/>
      <c r="N842" s="33"/>
    </row>
    <row r="843" ht="24" customHeight="1" spans="2:14">
      <c r="B843" s="33"/>
      <c r="C843" s="60"/>
      <c r="D843" s="60"/>
      <c r="E843" s="60"/>
      <c r="F843" s="60"/>
      <c r="G843" s="60"/>
      <c r="H843" s="60"/>
      <c r="I843" s="60"/>
      <c r="J843" s="60"/>
      <c r="K843" s="60"/>
      <c r="L843" s="60"/>
      <c r="M843" s="64"/>
      <c r="N843" s="33"/>
    </row>
    <row r="844" ht="24" customHeight="1" spans="2:14">
      <c r="B844" s="33"/>
      <c r="C844" s="60"/>
      <c r="D844" s="60"/>
      <c r="E844" s="60"/>
      <c r="F844" s="60"/>
      <c r="G844" s="60"/>
      <c r="H844" s="60"/>
      <c r="I844" s="60"/>
      <c r="J844" s="60"/>
      <c r="K844" s="60"/>
      <c r="L844" s="60"/>
      <c r="M844" s="64"/>
      <c r="N844" s="33"/>
    </row>
    <row r="845" ht="24" customHeight="1" spans="2:14">
      <c r="B845" s="33"/>
      <c r="C845" s="60"/>
      <c r="D845" s="60"/>
      <c r="E845" s="60"/>
      <c r="F845" s="60"/>
      <c r="G845" s="60"/>
      <c r="H845" s="60"/>
      <c r="I845" s="60"/>
      <c r="J845" s="60"/>
      <c r="K845" s="60"/>
      <c r="L845" s="60"/>
      <c r="M845" s="64"/>
      <c r="N845" s="33"/>
    </row>
    <row r="846" ht="24" customHeight="1" spans="2:14">
      <c r="B846" s="33"/>
      <c r="C846" s="60"/>
      <c r="D846" s="60"/>
      <c r="E846" s="60"/>
      <c r="F846" s="60"/>
      <c r="G846" s="60"/>
      <c r="H846" s="60"/>
      <c r="I846" s="60"/>
      <c r="J846" s="60"/>
      <c r="K846" s="60"/>
      <c r="L846" s="60"/>
      <c r="M846" s="64"/>
      <c r="N846" s="33"/>
    </row>
    <row r="847" ht="24" customHeight="1" spans="2:14">
      <c r="B847" s="33"/>
      <c r="C847" s="60"/>
      <c r="D847" s="60"/>
      <c r="E847" s="60"/>
      <c r="F847" s="60"/>
      <c r="G847" s="60"/>
      <c r="H847" s="60"/>
      <c r="I847" s="60"/>
      <c r="J847" s="60"/>
      <c r="K847" s="60"/>
      <c r="L847" s="60"/>
      <c r="M847" s="64"/>
      <c r="N847" s="33"/>
    </row>
    <row r="848" ht="24" customHeight="1" spans="2:14">
      <c r="B848" s="33"/>
      <c r="C848" s="60"/>
      <c r="D848" s="60"/>
      <c r="E848" s="60"/>
      <c r="F848" s="60"/>
      <c r="G848" s="60"/>
      <c r="H848" s="60"/>
      <c r="I848" s="60"/>
      <c r="J848" s="60"/>
      <c r="K848" s="60"/>
      <c r="L848" s="60"/>
      <c r="M848" s="64"/>
      <c r="N848" s="33"/>
    </row>
    <row r="849" ht="24" customHeight="1" spans="2:14">
      <c r="B849" s="33"/>
      <c r="C849" s="60"/>
      <c r="D849" s="60"/>
      <c r="E849" s="60"/>
      <c r="F849" s="60"/>
      <c r="G849" s="60"/>
      <c r="H849" s="60"/>
      <c r="I849" s="60"/>
      <c r="J849" s="60"/>
      <c r="K849" s="60"/>
      <c r="L849" s="60"/>
      <c r="M849" s="64"/>
      <c r="N849" s="33"/>
    </row>
    <row r="850" ht="24" customHeight="1" spans="2:14">
      <c r="B850" s="33"/>
      <c r="C850" s="60"/>
      <c r="D850" s="60"/>
      <c r="E850" s="60"/>
      <c r="F850" s="60"/>
      <c r="G850" s="60"/>
      <c r="H850" s="60"/>
      <c r="I850" s="60"/>
      <c r="J850" s="60"/>
      <c r="K850" s="60"/>
      <c r="L850" s="60"/>
      <c r="M850" s="64"/>
      <c r="N850" s="33"/>
    </row>
    <row r="851" ht="24" customHeight="1" spans="2:14">
      <c r="B851" s="33"/>
      <c r="C851" s="60"/>
      <c r="D851" s="60"/>
      <c r="E851" s="60"/>
      <c r="F851" s="60"/>
      <c r="G851" s="60"/>
      <c r="H851" s="60"/>
      <c r="I851" s="60"/>
      <c r="J851" s="60"/>
      <c r="K851" s="60"/>
      <c r="L851" s="60"/>
      <c r="M851" s="64"/>
      <c r="N851" s="33"/>
    </row>
    <row r="852" ht="24" customHeight="1" spans="2:14">
      <c r="B852" s="33"/>
      <c r="C852" s="60"/>
      <c r="D852" s="60"/>
      <c r="E852" s="60"/>
      <c r="F852" s="60"/>
      <c r="G852" s="60"/>
      <c r="H852" s="60"/>
      <c r="I852" s="60"/>
      <c r="J852" s="60"/>
      <c r="K852" s="60"/>
      <c r="L852" s="60"/>
      <c r="M852" s="64"/>
      <c r="N852" s="33"/>
    </row>
    <row r="853" ht="24" customHeight="1" spans="2:14">
      <c r="B853" s="33"/>
      <c r="C853" s="60"/>
      <c r="D853" s="60"/>
      <c r="E853" s="60"/>
      <c r="F853" s="60"/>
      <c r="G853" s="60"/>
      <c r="H853" s="60"/>
      <c r="I853" s="60"/>
      <c r="J853" s="60"/>
      <c r="K853" s="60"/>
      <c r="L853" s="60"/>
      <c r="M853" s="64"/>
      <c r="N853" s="33"/>
    </row>
    <row r="854" ht="24" customHeight="1" spans="2:14">
      <c r="B854" s="33"/>
      <c r="C854" s="60"/>
      <c r="D854" s="60"/>
      <c r="E854" s="60"/>
      <c r="F854" s="60"/>
      <c r="G854" s="60"/>
      <c r="H854" s="60"/>
      <c r="I854" s="60"/>
      <c r="J854" s="60"/>
      <c r="K854" s="60"/>
      <c r="L854" s="60"/>
      <c r="M854" s="64"/>
      <c r="N854" s="33"/>
    </row>
    <row r="855" ht="24" customHeight="1" spans="2:14">
      <c r="B855" s="33"/>
      <c r="C855" s="60"/>
      <c r="D855" s="60"/>
      <c r="E855" s="60"/>
      <c r="F855" s="60"/>
      <c r="G855" s="60"/>
      <c r="H855" s="60"/>
      <c r="I855" s="60"/>
      <c r="J855" s="60"/>
      <c r="K855" s="60"/>
      <c r="L855" s="60"/>
      <c r="M855" s="64"/>
      <c r="N855" s="33"/>
    </row>
    <row r="856" ht="24" customHeight="1" spans="2:14">
      <c r="B856" s="33"/>
      <c r="C856" s="60"/>
      <c r="D856" s="60"/>
      <c r="E856" s="60"/>
      <c r="F856" s="60"/>
      <c r="G856" s="60"/>
      <c r="H856" s="60"/>
      <c r="I856" s="60"/>
      <c r="J856" s="60"/>
      <c r="K856" s="60"/>
      <c r="L856" s="60"/>
      <c r="M856" s="64"/>
      <c r="N856" s="33"/>
    </row>
    <row r="857" ht="24" customHeight="1" spans="2:14">
      <c r="B857" s="33"/>
      <c r="C857" s="60"/>
      <c r="D857" s="60"/>
      <c r="E857" s="60"/>
      <c r="F857" s="60"/>
      <c r="G857" s="60"/>
      <c r="H857" s="60"/>
      <c r="I857" s="60"/>
      <c r="J857" s="60"/>
      <c r="K857" s="60"/>
      <c r="L857" s="60"/>
      <c r="M857" s="64"/>
      <c r="N857" s="33"/>
    </row>
    <row r="858" ht="24" customHeight="1" spans="2:14">
      <c r="B858" s="33"/>
      <c r="C858" s="60"/>
      <c r="D858" s="60"/>
      <c r="E858" s="60"/>
      <c r="F858" s="60"/>
      <c r="G858" s="60"/>
      <c r="H858" s="60"/>
      <c r="I858" s="60"/>
      <c r="J858" s="60"/>
      <c r="K858" s="60"/>
      <c r="L858" s="60"/>
      <c r="M858" s="64"/>
      <c r="N858" s="33"/>
    </row>
    <row r="859" ht="24" customHeight="1" spans="2:14">
      <c r="B859" s="33"/>
      <c r="C859" s="60"/>
      <c r="D859" s="60"/>
      <c r="E859" s="60"/>
      <c r="F859" s="60"/>
      <c r="G859" s="60"/>
      <c r="H859" s="60"/>
      <c r="I859" s="60"/>
      <c r="J859" s="60"/>
      <c r="K859" s="60"/>
      <c r="L859" s="60"/>
      <c r="M859" s="64"/>
      <c r="N859" s="33"/>
    </row>
    <row r="860" ht="24" customHeight="1" spans="2:14">
      <c r="B860" s="33"/>
      <c r="C860" s="60"/>
      <c r="D860" s="60"/>
      <c r="E860" s="60"/>
      <c r="F860" s="60"/>
      <c r="G860" s="60"/>
      <c r="H860" s="60"/>
      <c r="I860" s="60"/>
      <c r="J860" s="60"/>
      <c r="K860" s="60"/>
      <c r="L860" s="60"/>
      <c r="M860" s="64"/>
      <c r="N860" s="33"/>
    </row>
    <row r="861" ht="24" customHeight="1" spans="2:14">
      <c r="B861" s="33"/>
      <c r="C861" s="60"/>
      <c r="D861" s="60"/>
      <c r="E861" s="60"/>
      <c r="F861" s="60"/>
      <c r="G861" s="60"/>
      <c r="H861" s="60"/>
      <c r="I861" s="60"/>
      <c r="J861" s="60"/>
      <c r="K861" s="60"/>
      <c r="L861" s="60"/>
      <c r="M861" s="64"/>
      <c r="N861" s="33"/>
    </row>
    <row r="862" ht="24" customHeight="1" spans="2:14">
      <c r="B862" s="33"/>
      <c r="C862" s="60"/>
      <c r="D862" s="60"/>
      <c r="E862" s="60"/>
      <c r="F862" s="60"/>
      <c r="G862" s="60"/>
      <c r="H862" s="60"/>
      <c r="I862" s="60"/>
      <c r="J862" s="60"/>
      <c r="K862" s="60"/>
      <c r="L862" s="60"/>
      <c r="M862" s="64"/>
      <c r="N862" s="33"/>
    </row>
    <row r="863" ht="24" customHeight="1" spans="2:14">
      <c r="B863" s="33"/>
      <c r="C863" s="60"/>
      <c r="D863" s="60"/>
      <c r="E863" s="60"/>
      <c r="F863" s="60"/>
      <c r="G863" s="60"/>
      <c r="H863" s="60"/>
      <c r="I863" s="60"/>
      <c r="J863" s="60"/>
      <c r="K863" s="60"/>
      <c r="L863" s="60"/>
      <c r="M863" s="64"/>
      <c r="N863" s="33"/>
    </row>
    <row r="864" ht="24" customHeight="1" spans="2:14">
      <c r="B864" s="33"/>
      <c r="C864" s="60"/>
      <c r="D864" s="60"/>
      <c r="E864" s="60"/>
      <c r="F864" s="60"/>
      <c r="G864" s="60"/>
      <c r="H864" s="60"/>
      <c r="I864" s="60"/>
      <c r="J864" s="60"/>
      <c r="K864" s="60"/>
      <c r="L864" s="60"/>
      <c r="M864" s="64"/>
      <c r="N864" s="33"/>
    </row>
    <row r="865" ht="24" customHeight="1" spans="2:14">
      <c r="B865" s="33"/>
      <c r="C865" s="60"/>
      <c r="D865" s="60"/>
      <c r="E865" s="60"/>
      <c r="F865" s="60"/>
      <c r="G865" s="60"/>
      <c r="H865" s="60"/>
      <c r="I865" s="60"/>
      <c r="J865" s="60"/>
      <c r="K865" s="60"/>
      <c r="L865" s="60"/>
      <c r="M865" s="64"/>
      <c r="N865" s="33"/>
    </row>
    <row r="866" ht="24" customHeight="1" spans="2:14">
      <c r="B866" s="33"/>
      <c r="C866" s="60"/>
      <c r="D866" s="60"/>
      <c r="E866" s="60"/>
      <c r="F866" s="60"/>
      <c r="G866" s="60"/>
      <c r="H866" s="60"/>
      <c r="I866" s="60"/>
      <c r="J866" s="60"/>
      <c r="K866" s="60"/>
      <c r="L866" s="60"/>
      <c r="M866" s="64"/>
      <c r="N866" s="33"/>
    </row>
    <row r="867" ht="24" customHeight="1" spans="2:14">
      <c r="B867" s="33"/>
      <c r="C867" s="60"/>
      <c r="D867" s="60"/>
      <c r="E867" s="60"/>
      <c r="F867" s="60"/>
      <c r="G867" s="60"/>
      <c r="H867" s="60"/>
      <c r="I867" s="60"/>
      <c r="J867" s="60"/>
      <c r="K867" s="60"/>
      <c r="L867" s="60"/>
      <c r="M867" s="64"/>
      <c r="N867" s="33"/>
    </row>
    <row r="868" ht="24" customHeight="1" spans="2:14">
      <c r="B868" s="33"/>
      <c r="C868" s="60"/>
      <c r="D868" s="60"/>
      <c r="E868" s="60"/>
      <c r="F868" s="60"/>
      <c r="G868" s="60"/>
      <c r="H868" s="60"/>
      <c r="I868" s="60"/>
      <c r="J868" s="60"/>
      <c r="K868" s="60"/>
      <c r="L868" s="60"/>
      <c r="M868" s="64"/>
      <c r="N868" s="33"/>
    </row>
    <row r="869" ht="24" customHeight="1" spans="2:14">
      <c r="B869" s="33"/>
      <c r="C869" s="60"/>
      <c r="D869" s="60"/>
      <c r="E869" s="60"/>
      <c r="F869" s="60"/>
      <c r="G869" s="60"/>
      <c r="H869" s="60"/>
      <c r="I869" s="60"/>
      <c r="J869" s="60"/>
      <c r="K869" s="60"/>
      <c r="L869" s="60"/>
      <c r="M869" s="64"/>
      <c r="N869" s="33"/>
    </row>
    <row r="870" ht="24" customHeight="1" spans="2:14">
      <c r="B870" s="33"/>
      <c r="C870" s="60"/>
      <c r="D870" s="60"/>
      <c r="E870" s="60"/>
      <c r="F870" s="60"/>
      <c r="G870" s="60"/>
      <c r="H870" s="60"/>
      <c r="I870" s="60"/>
      <c r="J870" s="60"/>
      <c r="K870" s="60"/>
      <c r="L870" s="60"/>
      <c r="M870" s="64"/>
      <c r="N870" s="33"/>
    </row>
    <row r="871" ht="24" customHeight="1" spans="2:14">
      <c r="B871" s="33"/>
      <c r="C871" s="60"/>
      <c r="D871" s="60"/>
      <c r="E871" s="60"/>
      <c r="F871" s="60"/>
      <c r="G871" s="60"/>
      <c r="H871" s="60"/>
      <c r="I871" s="60"/>
      <c r="J871" s="60"/>
      <c r="K871" s="60"/>
      <c r="L871" s="60"/>
      <c r="M871" s="64"/>
      <c r="N871" s="33"/>
    </row>
    <row r="872" ht="24" customHeight="1" spans="2:14">
      <c r="B872" s="33"/>
      <c r="C872" s="60"/>
      <c r="D872" s="60"/>
      <c r="E872" s="60"/>
      <c r="F872" s="60"/>
      <c r="G872" s="60"/>
      <c r="H872" s="60"/>
      <c r="I872" s="60"/>
      <c r="J872" s="60"/>
      <c r="K872" s="60"/>
      <c r="L872" s="60"/>
      <c r="M872" s="64"/>
      <c r="N872" s="33"/>
    </row>
    <row r="873" ht="24" customHeight="1" spans="2:14">
      <c r="B873" s="33"/>
      <c r="C873" s="60"/>
      <c r="D873" s="60"/>
      <c r="E873" s="60"/>
      <c r="F873" s="60"/>
      <c r="G873" s="60"/>
      <c r="H873" s="60"/>
      <c r="I873" s="60"/>
      <c r="J873" s="60"/>
      <c r="K873" s="60"/>
      <c r="L873" s="60"/>
      <c r="M873" s="64"/>
      <c r="N873" s="33"/>
    </row>
    <row r="874" ht="24" customHeight="1" spans="2:14">
      <c r="B874" s="33"/>
      <c r="C874" s="60"/>
      <c r="D874" s="60"/>
      <c r="E874" s="60"/>
      <c r="F874" s="60"/>
      <c r="G874" s="60"/>
      <c r="H874" s="60"/>
      <c r="I874" s="60"/>
      <c r="J874" s="60"/>
      <c r="K874" s="60"/>
      <c r="L874" s="60"/>
      <c r="M874" s="64"/>
      <c r="N874" s="33"/>
    </row>
    <row r="875" ht="24" customHeight="1" spans="2:14">
      <c r="B875" s="33"/>
      <c r="C875" s="60"/>
      <c r="D875" s="60"/>
      <c r="E875" s="60"/>
      <c r="F875" s="60"/>
      <c r="G875" s="60"/>
      <c r="H875" s="60"/>
      <c r="I875" s="60"/>
      <c r="J875" s="60"/>
      <c r="K875" s="60"/>
      <c r="L875" s="60"/>
      <c r="M875" s="64"/>
      <c r="N875" s="33"/>
    </row>
    <row r="876" ht="24" customHeight="1" spans="2:14">
      <c r="B876" s="33"/>
      <c r="C876" s="60"/>
      <c r="D876" s="60"/>
      <c r="E876" s="60"/>
      <c r="F876" s="60"/>
      <c r="G876" s="60"/>
      <c r="H876" s="60"/>
      <c r="I876" s="60"/>
      <c r="J876" s="60"/>
      <c r="K876" s="60"/>
      <c r="L876" s="60"/>
      <c r="M876" s="64"/>
      <c r="N876" s="33"/>
    </row>
    <row r="877" ht="24" customHeight="1" spans="2:14">
      <c r="B877" s="33"/>
      <c r="C877" s="60"/>
      <c r="D877" s="60"/>
      <c r="E877" s="60"/>
      <c r="F877" s="60"/>
      <c r="G877" s="60"/>
      <c r="H877" s="60"/>
      <c r="I877" s="60"/>
      <c r="J877" s="60"/>
      <c r="K877" s="60"/>
      <c r="L877" s="60"/>
      <c r="M877" s="64"/>
      <c r="N877" s="33"/>
    </row>
    <row r="878" ht="24" customHeight="1" spans="2:14">
      <c r="B878" s="33"/>
      <c r="C878" s="60"/>
      <c r="D878" s="60"/>
      <c r="E878" s="60"/>
      <c r="F878" s="60"/>
      <c r="G878" s="60"/>
      <c r="H878" s="60"/>
      <c r="I878" s="60"/>
      <c r="J878" s="60"/>
      <c r="K878" s="60"/>
      <c r="L878" s="60"/>
      <c r="M878" s="64"/>
      <c r="N878" s="33"/>
    </row>
    <row r="879" ht="24" customHeight="1" spans="2:14">
      <c r="B879" s="33"/>
      <c r="C879" s="60"/>
      <c r="D879" s="60"/>
      <c r="E879" s="60"/>
      <c r="F879" s="60"/>
      <c r="G879" s="60"/>
      <c r="H879" s="60"/>
      <c r="I879" s="60"/>
      <c r="J879" s="60"/>
      <c r="K879" s="60"/>
      <c r="L879" s="60"/>
      <c r="M879" s="64"/>
      <c r="N879" s="33"/>
    </row>
    <row r="880" ht="24" customHeight="1" spans="2:14">
      <c r="B880" s="33"/>
      <c r="C880" s="60"/>
      <c r="D880" s="60"/>
      <c r="E880" s="60"/>
      <c r="F880" s="60"/>
      <c r="G880" s="60"/>
      <c r="H880" s="60"/>
      <c r="I880" s="60"/>
      <c r="J880" s="60"/>
      <c r="K880" s="60"/>
      <c r="L880" s="60"/>
      <c r="M880" s="64"/>
      <c r="N880" s="33"/>
    </row>
    <row r="881" ht="24" customHeight="1" spans="2:14">
      <c r="B881" s="33"/>
      <c r="C881" s="60"/>
      <c r="D881" s="60"/>
      <c r="E881" s="60"/>
      <c r="F881" s="60"/>
      <c r="G881" s="60"/>
      <c r="H881" s="60"/>
      <c r="I881" s="60"/>
      <c r="J881" s="60"/>
      <c r="K881" s="60"/>
      <c r="L881" s="60"/>
      <c r="M881" s="64"/>
      <c r="N881" s="33"/>
    </row>
    <row r="882" ht="24" customHeight="1" spans="2:14">
      <c r="B882" s="33"/>
      <c r="C882" s="60"/>
      <c r="D882" s="60"/>
      <c r="E882" s="60"/>
      <c r="F882" s="60"/>
      <c r="G882" s="60"/>
      <c r="H882" s="60"/>
      <c r="I882" s="60"/>
      <c r="J882" s="60"/>
      <c r="K882" s="60"/>
      <c r="L882" s="60"/>
      <c r="M882" s="64"/>
      <c r="N882" s="33"/>
    </row>
    <row r="883" ht="24" customHeight="1" spans="2:14">
      <c r="B883" s="33"/>
      <c r="C883" s="60"/>
      <c r="D883" s="60"/>
      <c r="E883" s="60"/>
      <c r="F883" s="60"/>
      <c r="G883" s="60"/>
      <c r="H883" s="60"/>
      <c r="I883" s="60"/>
      <c r="J883" s="60"/>
      <c r="K883" s="60"/>
      <c r="L883" s="60"/>
      <c r="M883" s="64"/>
      <c r="N883" s="33"/>
    </row>
    <row r="884" ht="24" customHeight="1" spans="2:14">
      <c r="B884" s="33"/>
      <c r="C884" s="60"/>
      <c r="D884" s="60"/>
      <c r="E884" s="60"/>
      <c r="F884" s="60"/>
      <c r="G884" s="60"/>
      <c r="H884" s="60"/>
      <c r="I884" s="60"/>
      <c r="J884" s="60"/>
      <c r="K884" s="60"/>
      <c r="L884" s="60"/>
      <c r="M884" s="64"/>
      <c r="N884" s="33"/>
    </row>
    <row r="885" ht="24" customHeight="1" spans="2:14">
      <c r="B885" s="33"/>
      <c r="C885" s="60"/>
      <c r="D885" s="60"/>
      <c r="E885" s="60"/>
      <c r="F885" s="60"/>
      <c r="G885" s="60"/>
      <c r="H885" s="60"/>
      <c r="I885" s="60"/>
      <c r="J885" s="60"/>
      <c r="K885" s="60"/>
      <c r="L885" s="60"/>
      <c r="M885" s="64"/>
      <c r="N885" s="33"/>
    </row>
    <row r="886" ht="24" customHeight="1" spans="2:14">
      <c r="B886" s="33"/>
      <c r="C886" s="60"/>
      <c r="D886" s="60"/>
      <c r="E886" s="60"/>
      <c r="F886" s="60"/>
      <c r="G886" s="60"/>
      <c r="H886" s="60"/>
      <c r="I886" s="60"/>
      <c r="J886" s="60"/>
      <c r="K886" s="60"/>
      <c r="L886" s="60"/>
      <c r="M886" s="64"/>
      <c r="N886" s="33"/>
    </row>
    <row r="887" ht="24" customHeight="1" spans="2:14">
      <c r="B887" s="33"/>
      <c r="C887" s="60"/>
      <c r="D887" s="60"/>
      <c r="E887" s="60"/>
      <c r="F887" s="60"/>
      <c r="G887" s="60"/>
      <c r="H887" s="60"/>
      <c r="I887" s="60"/>
      <c r="J887" s="60"/>
      <c r="K887" s="60"/>
      <c r="L887" s="60"/>
      <c r="M887" s="64"/>
      <c r="N887" s="33"/>
    </row>
    <row r="888" ht="24" customHeight="1" spans="2:14">
      <c r="B888" s="33"/>
      <c r="C888" s="60"/>
      <c r="D888" s="60"/>
      <c r="E888" s="60"/>
      <c r="F888" s="60"/>
      <c r="G888" s="60"/>
      <c r="H888" s="60"/>
      <c r="I888" s="60"/>
      <c r="J888" s="60"/>
      <c r="K888" s="60"/>
      <c r="L888" s="60"/>
      <c r="M888" s="64"/>
      <c r="N888" s="33"/>
    </row>
    <row r="889" ht="24" customHeight="1" spans="2:14">
      <c r="B889" s="33"/>
      <c r="C889" s="60"/>
      <c r="D889" s="60"/>
      <c r="E889" s="60"/>
      <c r="F889" s="60"/>
      <c r="G889" s="60"/>
      <c r="H889" s="60"/>
      <c r="I889" s="60"/>
      <c r="J889" s="60"/>
      <c r="K889" s="60"/>
      <c r="L889" s="60"/>
      <c r="M889" s="64"/>
      <c r="N889" s="33"/>
    </row>
    <row r="890" ht="24" customHeight="1" spans="2:14">
      <c r="B890" s="33"/>
      <c r="C890" s="60"/>
      <c r="D890" s="60"/>
      <c r="E890" s="60"/>
      <c r="F890" s="60"/>
      <c r="G890" s="60"/>
      <c r="H890" s="60"/>
      <c r="I890" s="60"/>
      <c r="J890" s="60"/>
      <c r="K890" s="60"/>
      <c r="L890" s="60"/>
      <c r="M890" s="64"/>
      <c r="N890" s="33"/>
    </row>
    <row r="891" ht="24" customHeight="1" spans="2:14">
      <c r="B891" s="33"/>
      <c r="C891" s="60"/>
      <c r="D891" s="60"/>
      <c r="E891" s="60"/>
      <c r="F891" s="60"/>
      <c r="G891" s="60"/>
      <c r="H891" s="60"/>
      <c r="I891" s="60"/>
      <c r="J891" s="60"/>
      <c r="K891" s="60"/>
      <c r="L891" s="60"/>
      <c r="M891" s="64"/>
      <c r="N891" s="33"/>
    </row>
    <row r="892" ht="24" customHeight="1" spans="2:14">
      <c r="B892" s="33"/>
      <c r="C892" s="60"/>
      <c r="D892" s="60"/>
      <c r="E892" s="60"/>
      <c r="F892" s="60"/>
      <c r="G892" s="60"/>
      <c r="H892" s="60"/>
      <c r="I892" s="60"/>
      <c r="J892" s="60"/>
      <c r="K892" s="60"/>
      <c r="L892" s="60"/>
      <c r="M892" s="64"/>
      <c r="N892" s="33"/>
    </row>
    <row r="893" ht="24" customHeight="1" spans="2:14">
      <c r="B893" s="33"/>
      <c r="C893" s="60"/>
      <c r="D893" s="60"/>
      <c r="E893" s="60"/>
      <c r="F893" s="60"/>
      <c r="G893" s="60"/>
      <c r="H893" s="60"/>
      <c r="I893" s="60"/>
      <c r="J893" s="60"/>
      <c r="K893" s="60"/>
      <c r="L893" s="60"/>
      <c r="M893" s="64"/>
      <c r="N893" s="33"/>
    </row>
    <row r="894" ht="24" customHeight="1" spans="2:14">
      <c r="B894" s="33"/>
      <c r="C894" s="60"/>
      <c r="D894" s="60"/>
      <c r="E894" s="60"/>
      <c r="F894" s="60"/>
      <c r="G894" s="60"/>
      <c r="H894" s="60"/>
      <c r="I894" s="60"/>
      <c r="J894" s="60"/>
      <c r="K894" s="60"/>
      <c r="L894" s="60"/>
      <c r="M894" s="64"/>
      <c r="N894" s="33"/>
    </row>
    <row r="895" ht="24" customHeight="1" spans="2:14">
      <c r="B895" s="33"/>
      <c r="C895" s="60"/>
      <c r="D895" s="60"/>
      <c r="E895" s="60"/>
      <c r="F895" s="60"/>
      <c r="G895" s="60"/>
      <c r="H895" s="60"/>
      <c r="I895" s="60"/>
      <c r="J895" s="60"/>
      <c r="K895" s="60"/>
      <c r="L895" s="60"/>
      <c r="M895" s="64"/>
      <c r="N895" s="33"/>
    </row>
    <row r="896" ht="24" customHeight="1" spans="2:14">
      <c r="B896" s="33"/>
      <c r="C896" s="60"/>
      <c r="D896" s="60"/>
      <c r="E896" s="60"/>
      <c r="F896" s="60"/>
      <c r="G896" s="60"/>
      <c r="H896" s="60"/>
      <c r="I896" s="60"/>
      <c r="J896" s="60"/>
      <c r="K896" s="60"/>
      <c r="L896" s="60"/>
      <c r="M896" s="64"/>
      <c r="N896" s="33"/>
    </row>
    <row r="897" ht="24" customHeight="1" spans="2:14">
      <c r="B897" s="33"/>
      <c r="C897" s="60"/>
      <c r="D897" s="60"/>
      <c r="E897" s="60"/>
      <c r="F897" s="60"/>
      <c r="G897" s="60"/>
      <c r="H897" s="60"/>
      <c r="I897" s="60"/>
      <c r="J897" s="60"/>
      <c r="K897" s="60"/>
      <c r="L897" s="60"/>
      <c r="M897" s="64"/>
      <c r="N897" s="33"/>
    </row>
    <row r="898" ht="24" customHeight="1" spans="2:14">
      <c r="B898" s="33"/>
      <c r="C898" s="60"/>
      <c r="D898" s="60"/>
      <c r="E898" s="60"/>
      <c r="F898" s="60"/>
      <c r="G898" s="60"/>
      <c r="H898" s="60"/>
      <c r="I898" s="60"/>
      <c r="J898" s="60"/>
      <c r="K898" s="60"/>
      <c r="L898" s="60"/>
      <c r="M898" s="64"/>
      <c r="N898" s="33"/>
    </row>
    <row r="899" ht="24" customHeight="1" spans="2:14">
      <c r="B899" s="33"/>
      <c r="C899" s="60"/>
      <c r="D899" s="60"/>
      <c r="E899" s="60"/>
      <c r="F899" s="60"/>
      <c r="G899" s="60"/>
      <c r="H899" s="60"/>
      <c r="I899" s="60"/>
      <c r="J899" s="60"/>
      <c r="K899" s="60"/>
      <c r="L899" s="60"/>
      <c r="M899" s="64"/>
      <c r="N899" s="33"/>
    </row>
    <row r="900" ht="24" customHeight="1" spans="2:14">
      <c r="B900" s="33"/>
      <c r="C900" s="60"/>
      <c r="D900" s="60"/>
      <c r="E900" s="60"/>
      <c r="F900" s="60"/>
      <c r="G900" s="60"/>
      <c r="H900" s="60"/>
      <c r="I900" s="60"/>
      <c r="J900" s="60"/>
      <c r="K900" s="60"/>
      <c r="L900" s="60"/>
      <c r="M900" s="64"/>
      <c r="N900" s="33"/>
    </row>
    <row r="901" ht="24" customHeight="1" spans="2:14">
      <c r="B901" s="33"/>
      <c r="C901" s="60"/>
      <c r="D901" s="60"/>
      <c r="E901" s="60"/>
      <c r="F901" s="60"/>
      <c r="G901" s="60"/>
      <c r="H901" s="60"/>
      <c r="I901" s="60"/>
      <c r="J901" s="60"/>
      <c r="K901" s="60"/>
      <c r="L901" s="60"/>
      <c r="M901" s="64"/>
      <c r="N901" s="33"/>
    </row>
    <row r="902" ht="24" customHeight="1" spans="2:14">
      <c r="B902" s="33"/>
      <c r="C902" s="60"/>
      <c r="D902" s="60"/>
      <c r="E902" s="60"/>
      <c r="F902" s="60"/>
      <c r="G902" s="60"/>
      <c r="H902" s="60"/>
      <c r="I902" s="60"/>
      <c r="J902" s="60"/>
      <c r="K902" s="60"/>
      <c r="L902" s="60"/>
      <c r="M902" s="64"/>
      <c r="N902" s="33"/>
    </row>
    <row r="903" ht="24" customHeight="1" spans="2:14">
      <c r="B903" s="33"/>
      <c r="C903" s="60"/>
      <c r="D903" s="60"/>
      <c r="E903" s="60"/>
      <c r="F903" s="60"/>
      <c r="G903" s="60"/>
      <c r="H903" s="60"/>
      <c r="I903" s="60"/>
      <c r="J903" s="60"/>
      <c r="K903" s="60"/>
      <c r="L903" s="60"/>
      <c r="M903" s="64"/>
      <c r="N903" s="33"/>
    </row>
    <row r="904" ht="24" customHeight="1" spans="2:14">
      <c r="B904" s="33"/>
      <c r="C904" s="60"/>
      <c r="D904" s="60"/>
      <c r="E904" s="60"/>
      <c r="F904" s="60"/>
      <c r="G904" s="60"/>
      <c r="H904" s="60"/>
      <c r="I904" s="60"/>
      <c r="J904" s="60"/>
      <c r="K904" s="60"/>
      <c r="L904" s="60"/>
      <c r="M904" s="64"/>
      <c r="N904" s="33"/>
    </row>
    <row r="905" ht="24" customHeight="1" spans="2:14">
      <c r="B905" s="33"/>
      <c r="C905" s="60"/>
      <c r="D905" s="60"/>
      <c r="E905" s="60"/>
      <c r="F905" s="60"/>
      <c r="G905" s="60"/>
      <c r="H905" s="60"/>
      <c r="I905" s="60"/>
      <c r="J905" s="60"/>
      <c r="K905" s="60"/>
      <c r="L905" s="60"/>
      <c r="M905" s="64"/>
      <c r="N905" s="33"/>
    </row>
    <row r="906" ht="24" customHeight="1" spans="2:14">
      <c r="B906" s="33"/>
      <c r="C906" s="60"/>
      <c r="D906" s="60"/>
      <c r="E906" s="60"/>
      <c r="F906" s="60"/>
      <c r="G906" s="60"/>
      <c r="H906" s="60"/>
      <c r="I906" s="60"/>
      <c r="J906" s="60"/>
      <c r="K906" s="60"/>
      <c r="L906" s="60"/>
      <c r="M906" s="64"/>
      <c r="N906" s="33"/>
    </row>
    <row r="907" ht="24" customHeight="1" spans="2:14">
      <c r="B907" s="33"/>
      <c r="C907" s="60"/>
      <c r="D907" s="60"/>
      <c r="E907" s="60"/>
      <c r="F907" s="60"/>
      <c r="G907" s="60"/>
      <c r="H907" s="60"/>
      <c r="I907" s="60"/>
      <c r="J907" s="60"/>
      <c r="K907" s="60"/>
      <c r="L907" s="60"/>
      <c r="M907" s="64"/>
      <c r="N907" s="33"/>
    </row>
    <row r="908" ht="24" customHeight="1" spans="2:14">
      <c r="B908" s="33"/>
      <c r="C908" s="60"/>
      <c r="D908" s="60"/>
      <c r="E908" s="60"/>
      <c r="F908" s="60"/>
      <c r="G908" s="60"/>
      <c r="H908" s="60"/>
      <c r="I908" s="60"/>
      <c r="J908" s="60"/>
      <c r="K908" s="60"/>
      <c r="L908" s="60"/>
      <c r="M908" s="64"/>
      <c r="N908" s="33"/>
    </row>
    <row r="909" ht="24" customHeight="1" spans="2:14">
      <c r="B909" s="33"/>
      <c r="C909" s="60"/>
      <c r="D909" s="60"/>
      <c r="E909" s="60"/>
      <c r="F909" s="60"/>
      <c r="G909" s="60"/>
      <c r="H909" s="60"/>
      <c r="I909" s="60"/>
      <c r="J909" s="60"/>
      <c r="K909" s="60"/>
      <c r="L909" s="60"/>
      <c r="M909" s="64"/>
      <c r="N909" s="33"/>
    </row>
    <row r="910" ht="24" customHeight="1" spans="2:14">
      <c r="B910" s="33"/>
      <c r="C910" s="60"/>
      <c r="D910" s="60"/>
      <c r="E910" s="60"/>
      <c r="F910" s="60"/>
      <c r="G910" s="60"/>
      <c r="H910" s="60"/>
      <c r="I910" s="60"/>
      <c r="J910" s="60"/>
      <c r="K910" s="60"/>
      <c r="L910" s="60"/>
      <c r="M910" s="64"/>
      <c r="N910" s="33"/>
    </row>
    <row r="911" ht="24" customHeight="1" spans="2:14">
      <c r="B911" s="33"/>
      <c r="C911" s="60"/>
      <c r="D911" s="60"/>
      <c r="E911" s="60"/>
      <c r="F911" s="60"/>
      <c r="G911" s="60"/>
      <c r="H911" s="60"/>
      <c r="I911" s="60"/>
      <c r="J911" s="60"/>
      <c r="K911" s="60"/>
      <c r="L911" s="60"/>
      <c r="M911" s="64"/>
      <c r="N911" s="33"/>
    </row>
    <row r="912" ht="24" customHeight="1" spans="2:14">
      <c r="B912" s="33"/>
      <c r="C912" s="60"/>
      <c r="D912" s="60"/>
      <c r="E912" s="60"/>
      <c r="F912" s="60"/>
      <c r="G912" s="60"/>
      <c r="H912" s="60"/>
      <c r="I912" s="60"/>
      <c r="J912" s="60"/>
      <c r="K912" s="60"/>
      <c r="L912" s="60"/>
      <c r="M912" s="64"/>
      <c r="N912" s="33"/>
    </row>
    <row r="913" ht="24" customHeight="1" spans="2:14">
      <c r="B913" s="33"/>
      <c r="C913" s="60"/>
      <c r="D913" s="60"/>
      <c r="E913" s="60"/>
      <c r="F913" s="60"/>
      <c r="G913" s="60"/>
      <c r="H913" s="60"/>
      <c r="I913" s="60"/>
      <c r="J913" s="60"/>
      <c r="K913" s="60"/>
      <c r="L913" s="60"/>
      <c r="M913" s="64"/>
      <c r="N913" s="33"/>
    </row>
    <row r="914" ht="24" customHeight="1" spans="2:14">
      <c r="B914" s="33"/>
      <c r="C914" s="60"/>
      <c r="D914" s="60"/>
      <c r="E914" s="60"/>
      <c r="F914" s="60"/>
      <c r="G914" s="60"/>
      <c r="H914" s="60"/>
      <c r="I914" s="60"/>
      <c r="J914" s="60"/>
      <c r="K914" s="60"/>
      <c r="L914" s="60"/>
      <c r="M914" s="64"/>
      <c r="N914" s="33"/>
    </row>
    <row r="915" ht="24" customHeight="1" spans="2:14">
      <c r="B915" s="33"/>
      <c r="C915" s="60"/>
      <c r="D915" s="60"/>
      <c r="E915" s="60"/>
      <c r="F915" s="60"/>
      <c r="G915" s="60"/>
      <c r="H915" s="60"/>
      <c r="I915" s="60"/>
      <c r="J915" s="60"/>
      <c r="K915" s="60"/>
      <c r="L915" s="60"/>
      <c r="M915" s="64"/>
      <c r="N915" s="33"/>
    </row>
    <row r="916" ht="24" customHeight="1" spans="2:14">
      <c r="B916" s="33"/>
      <c r="C916" s="60"/>
      <c r="D916" s="60"/>
      <c r="E916" s="60"/>
      <c r="F916" s="60"/>
      <c r="G916" s="60"/>
      <c r="H916" s="60"/>
      <c r="I916" s="60"/>
      <c r="J916" s="60"/>
      <c r="K916" s="60"/>
      <c r="L916" s="60"/>
      <c r="M916" s="64"/>
      <c r="N916" s="33"/>
    </row>
    <row r="917" ht="24" customHeight="1" spans="2:14">
      <c r="B917" s="33"/>
      <c r="C917" s="60"/>
      <c r="D917" s="60"/>
      <c r="E917" s="60"/>
      <c r="F917" s="60"/>
      <c r="G917" s="60"/>
      <c r="H917" s="60"/>
      <c r="I917" s="60"/>
      <c r="J917" s="60"/>
      <c r="K917" s="60"/>
      <c r="L917" s="60"/>
      <c r="M917" s="64"/>
      <c r="N917" s="33"/>
    </row>
    <row r="918" ht="24" customHeight="1" spans="2:14">
      <c r="B918" s="33"/>
      <c r="C918" s="60"/>
      <c r="D918" s="60"/>
      <c r="E918" s="60"/>
      <c r="F918" s="60"/>
      <c r="G918" s="60"/>
      <c r="H918" s="60"/>
      <c r="I918" s="60"/>
      <c r="J918" s="60"/>
      <c r="K918" s="60"/>
      <c r="L918" s="60"/>
      <c r="M918" s="64"/>
      <c r="N918" s="33"/>
    </row>
    <row r="919" ht="24" customHeight="1" spans="2:14">
      <c r="B919" s="33"/>
      <c r="C919" s="60"/>
      <c r="D919" s="60"/>
      <c r="E919" s="60"/>
      <c r="F919" s="60"/>
      <c r="G919" s="60"/>
      <c r="H919" s="60"/>
      <c r="I919" s="60"/>
      <c r="J919" s="60"/>
      <c r="K919" s="60"/>
      <c r="L919" s="60"/>
      <c r="M919" s="64"/>
      <c r="N919" s="33"/>
    </row>
    <row r="920" ht="24" customHeight="1" spans="2:14">
      <c r="B920" s="33"/>
      <c r="C920" s="60"/>
      <c r="D920" s="60"/>
      <c r="E920" s="60"/>
      <c r="F920" s="60"/>
      <c r="G920" s="60"/>
      <c r="H920" s="60"/>
      <c r="I920" s="60"/>
      <c r="J920" s="60"/>
      <c r="K920" s="60"/>
      <c r="L920" s="60"/>
      <c r="M920" s="64"/>
      <c r="N920" s="33"/>
    </row>
    <row r="921" ht="24" customHeight="1" spans="2:14">
      <c r="B921" s="33"/>
      <c r="C921" s="60"/>
      <c r="D921" s="60"/>
      <c r="E921" s="60"/>
      <c r="F921" s="60"/>
      <c r="G921" s="60"/>
      <c r="H921" s="60"/>
      <c r="I921" s="60"/>
      <c r="J921" s="60"/>
      <c r="K921" s="60"/>
      <c r="L921" s="60"/>
      <c r="M921" s="64"/>
      <c r="N921" s="33"/>
    </row>
    <row r="922" ht="24" customHeight="1" spans="2:14">
      <c r="B922" s="33"/>
      <c r="C922" s="60"/>
      <c r="D922" s="60"/>
      <c r="E922" s="60"/>
      <c r="F922" s="60"/>
      <c r="G922" s="60"/>
      <c r="H922" s="60"/>
      <c r="I922" s="60"/>
      <c r="J922" s="60"/>
      <c r="K922" s="60"/>
      <c r="L922" s="60"/>
      <c r="M922" s="64"/>
      <c r="N922" s="33"/>
    </row>
    <row r="923" ht="24" customHeight="1" spans="2:14">
      <c r="B923" s="33"/>
      <c r="C923" s="60"/>
      <c r="D923" s="60"/>
      <c r="E923" s="60"/>
      <c r="F923" s="60"/>
      <c r="G923" s="60"/>
      <c r="H923" s="60"/>
      <c r="I923" s="60"/>
      <c r="J923" s="60"/>
      <c r="K923" s="60"/>
      <c r="L923" s="60"/>
      <c r="M923" s="64"/>
      <c r="N923" s="33"/>
    </row>
    <row r="924" ht="24" customHeight="1" spans="2:14">
      <c r="B924" s="33"/>
      <c r="C924" s="60"/>
      <c r="D924" s="60"/>
      <c r="E924" s="60"/>
      <c r="F924" s="60"/>
      <c r="G924" s="60"/>
      <c r="H924" s="60"/>
      <c r="I924" s="60"/>
      <c r="J924" s="60"/>
      <c r="K924" s="60"/>
      <c r="L924" s="60"/>
      <c r="M924" s="64"/>
      <c r="N924" s="33"/>
    </row>
    <row r="925" ht="24" customHeight="1" spans="2:14">
      <c r="B925" s="33"/>
      <c r="C925" s="60"/>
      <c r="D925" s="60"/>
      <c r="E925" s="60"/>
      <c r="F925" s="60"/>
      <c r="G925" s="60"/>
      <c r="H925" s="60"/>
      <c r="I925" s="60"/>
      <c r="J925" s="60"/>
      <c r="K925" s="60"/>
      <c r="L925" s="60"/>
      <c r="M925" s="64"/>
      <c r="N925" s="33"/>
    </row>
    <row r="926" ht="24" customHeight="1" spans="2:14">
      <c r="B926" s="33"/>
      <c r="C926" s="60"/>
      <c r="D926" s="60"/>
      <c r="E926" s="60"/>
      <c r="F926" s="60"/>
      <c r="G926" s="60"/>
      <c r="H926" s="60"/>
      <c r="I926" s="60"/>
      <c r="J926" s="60"/>
      <c r="K926" s="60"/>
      <c r="L926" s="60"/>
      <c r="M926" s="64"/>
      <c r="N926" s="33"/>
    </row>
    <row r="927" ht="24" customHeight="1" spans="2:14">
      <c r="B927" s="33"/>
      <c r="C927" s="60"/>
      <c r="D927" s="60"/>
      <c r="E927" s="60"/>
      <c r="F927" s="60"/>
      <c r="G927" s="60"/>
      <c r="H927" s="60"/>
      <c r="I927" s="60"/>
      <c r="J927" s="60"/>
      <c r="K927" s="60"/>
      <c r="L927" s="60"/>
      <c r="M927" s="64"/>
      <c r="N927" s="33"/>
    </row>
    <row r="928" ht="24" customHeight="1" spans="2:14">
      <c r="B928" s="33"/>
      <c r="C928" s="60"/>
      <c r="D928" s="60"/>
      <c r="E928" s="60"/>
      <c r="F928" s="60"/>
      <c r="G928" s="60"/>
      <c r="H928" s="60"/>
      <c r="I928" s="60"/>
      <c r="J928" s="60"/>
      <c r="K928" s="60"/>
      <c r="L928" s="60"/>
      <c r="M928" s="64"/>
      <c r="N928" s="33"/>
    </row>
    <row r="929" ht="24" customHeight="1" spans="2:14">
      <c r="B929" s="33"/>
      <c r="C929" s="60"/>
      <c r="D929" s="60"/>
      <c r="E929" s="60"/>
      <c r="F929" s="60"/>
      <c r="G929" s="60"/>
      <c r="H929" s="60"/>
      <c r="I929" s="60"/>
      <c r="J929" s="60"/>
      <c r="K929" s="60"/>
      <c r="L929" s="60"/>
      <c r="M929" s="64"/>
      <c r="N929" s="33"/>
    </row>
    <row r="930" ht="24" customHeight="1" spans="2:14">
      <c r="B930" s="33"/>
      <c r="C930" s="60"/>
      <c r="D930" s="60"/>
      <c r="E930" s="60"/>
      <c r="F930" s="60"/>
      <c r="G930" s="60"/>
      <c r="H930" s="60"/>
      <c r="I930" s="60"/>
      <c r="J930" s="60"/>
      <c r="K930" s="60"/>
      <c r="L930" s="60"/>
      <c r="M930" s="64"/>
      <c r="N930" s="33"/>
    </row>
    <row r="931" ht="24" customHeight="1" spans="2:14">
      <c r="B931" s="33"/>
      <c r="C931" s="60"/>
      <c r="D931" s="60"/>
      <c r="E931" s="60"/>
      <c r="F931" s="60"/>
      <c r="G931" s="60"/>
      <c r="H931" s="60"/>
      <c r="I931" s="60"/>
      <c r="J931" s="60"/>
      <c r="K931" s="60"/>
      <c r="L931" s="60"/>
      <c r="M931" s="64"/>
      <c r="N931" s="33"/>
    </row>
    <row r="932" ht="24" customHeight="1" spans="2:14">
      <c r="B932" s="33"/>
      <c r="C932" s="60"/>
      <c r="D932" s="60"/>
      <c r="E932" s="60"/>
      <c r="F932" s="60"/>
      <c r="G932" s="60"/>
      <c r="H932" s="60"/>
      <c r="I932" s="60"/>
      <c r="J932" s="60"/>
      <c r="K932" s="60"/>
      <c r="L932" s="60"/>
      <c r="M932" s="64"/>
      <c r="N932" s="33"/>
    </row>
    <row r="933" ht="24" customHeight="1" spans="2:14">
      <c r="B933" s="33"/>
      <c r="C933" s="60"/>
      <c r="D933" s="60"/>
      <c r="E933" s="60"/>
      <c r="F933" s="60"/>
      <c r="G933" s="60"/>
      <c r="H933" s="60"/>
      <c r="I933" s="60"/>
      <c r="J933" s="60"/>
      <c r="K933" s="60"/>
      <c r="L933" s="60"/>
      <c r="M933" s="64"/>
      <c r="N933" s="33"/>
    </row>
    <row r="934" ht="24" customHeight="1" spans="2:14">
      <c r="B934" s="33"/>
      <c r="C934" s="60"/>
      <c r="D934" s="60"/>
      <c r="E934" s="60"/>
      <c r="F934" s="60"/>
      <c r="G934" s="60"/>
      <c r="H934" s="60"/>
      <c r="I934" s="60"/>
      <c r="J934" s="60"/>
      <c r="K934" s="60"/>
      <c r="L934" s="60"/>
      <c r="M934" s="64"/>
      <c r="N934" s="33"/>
    </row>
    <row r="935" ht="24" customHeight="1" spans="2:14">
      <c r="B935" s="33"/>
      <c r="C935" s="60"/>
      <c r="D935" s="60"/>
      <c r="E935" s="60"/>
      <c r="F935" s="60"/>
      <c r="G935" s="60"/>
      <c r="H935" s="60"/>
      <c r="I935" s="60"/>
      <c r="J935" s="60"/>
      <c r="K935" s="60"/>
      <c r="L935" s="60"/>
      <c r="M935" s="64"/>
      <c r="N935" s="33"/>
    </row>
    <row r="936" ht="24" customHeight="1" spans="2:14">
      <c r="B936" s="33"/>
      <c r="C936" s="60"/>
      <c r="D936" s="60"/>
      <c r="E936" s="60"/>
      <c r="F936" s="60"/>
      <c r="G936" s="60"/>
      <c r="H936" s="60"/>
      <c r="I936" s="60"/>
      <c r="J936" s="60"/>
      <c r="K936" s="60"/>
      <c r="L936" s="60"/>
      <c r="M936" s="64"/>
      <c r="N936" s="33"/>
    </row>
    <row r="937" ht="24" customHeight="1" spans="2:14">
      <c r="B937" s="33"/>
      <c r="C937" s="60"/>
      <c r="D937" s="60"/>
      <c r="E937" s="60"/>
      <c r="F937" s="60"/>
      <c r="G937" s="60"/>
      <c r="H937" s="60"/>
      <c r="I937" s="60"/>
      <c r="J937" s="60"/>
      <c r="K937" s="60"/>
      <c r="L937" s="60"/>
      <c r="M937" s="64"/>
      <c r="N937" s="33"/>
    </row>
    <row r="938" ht="24" customHeight="1" spans="2:14">
      <c r="B938" s="33"/>
      <c r="C938" s="60"/>
      <c r="D938" s="60"/>
      <c r="E938" s="60"/>
      <c r="F938" s="60"/>
      <c r="G938" s="60"/>
      <c r="H938" s="60"/>
      <c r="I938" s="60"/>
      <c r="J938" s="60"/>
      <c r="K938" s="60"/>
      <c r="L938" s="60"/>
      <c r="M938" s="64"/>
      <c r="N938" s="33"/>
    </row>
    <row r="939" ht="24" customHeight="1" spans="2:14">
      <c r="B939" s="33"/>
      <c r="C939" s="60"/>
      <c r="D939" s="60"/>
      <c r="E939" s="60"/>
      <c r="F939" s="60"/>
      <c r="G939" s="60"/>
      <c r="H939" s="60"/>
      <c r="I939" s="60"/>
      <c r="J939" s="60"/>
      <c r="K939" s="60"/>
      <c r="L939" s="60"/>
      <c r="M939" s="64"/>
      <c r="N939" s="33"/>
    </row>
    <row r="940" ht="24" customHeight="1" spans="2:14">
      <c r="B940" s="33"/>
      <c r="C940" s="60"/>
      <c r="D940" s="60"/>
      <c r="E940" s="60"/>
      <c r="F940" s="60"/>
      <c r="G940" s="60"/>
      <c r="H940" s="60"/>
      <c r="I940" s="60"/>
      <c r="J940" s="60"/>
      <c r="K940" s="60"/>
      <c r="L940" s="60"/>
      <c r="M940" s="64"/>
      <c r="N940" s="33"/>
    </row>
    <row r="941" ht="24" customHeight="1" spans="2:14">
      <c r="B941" s="33"/>
      <c r="C941" s="60"/>
      <c r="D941" s="60"/>
      <c r="E941" s="60"/>
      <c r="F941" s="60"/>
      <c r="G941" s="60"/>
      <c r="H941" s="60"/>
      <c r="I941" s="60"/>
      <c r="J941" s="60"/>
      <c r="K941" s="60"/>
      <c r="L941" s="60"/>
      <c r="M941" s="64"/>
      <c r="N941" s="33"/>
    </row>
    <row r="942" ht="24" customHeight="1" spans="2:14">
      <c r="B942" s="33"/>
      <c r="C942" s="60"/>
      <c r="D942" s="60"/>
      <c r="E942" s="60"/>
      <c r="F942" s="60"/>
      <c r="G942" s="60"/>
      <c r="H942" s="60"/>
      <c r="I942" s="60"/>
      <c r="J942" s="60"/>
      <c r="K942" s="60"/>
      <c r="L942" s="60"/>
      <c r="M942" s="64"/>
      <c r="N942" s="33"/>
    </row>
    <row r="943" ht="24" customHeight="1" spans="2:14">
      <c r="B943" s="33"/>
      <c r="C943" s="60"/>
      <c r="D943" s="60"/>
      <c r="E943" s="60"/>
      <c r="F943" s="60"/>
      <c r="G943" s="60"/>
      <c r="H943" s="60"/>
      <c r="I943" s="60"/>
      <c r="J943" s="60"/>
      <c r="K943" s="60"/>
      <c r="L943" s="60"/>
      <c r="M943" s="64"/>
      <c r="N943" s="33"/>
    </row>
    <row r="944" ht="24" customHeight="1" spans="2:14">
      <c r="B944" s="33"/>
      <c r="C944" s="60"/>
      <c r="D944" s="60"/>
      <c r="E944" s="60"/>
      <c r="F944" s="60"/>
      <c r="G944" s="60"/>
      <c r="H944" s="60"/>
      <c r="I944" s="60"/>
      <c r="J944" s="60"/>
      <c r="K944" s="60"/>
      <c r="L944" s="60"/>
      <c r="M944" s="64"/>
      <c r="N944" s="33"/>
    </row>
    <row r="945" ht="24" customHeight="1" spans="2:14">
      <c r="B945" s="33"/>
      <c r="C945" s="60"/>
      <c r="D945" s="60"/>
      <c r="E945" s="60"/>
      <c r="F945" s="60"/>
      <c r="G945" s="60"/>
      <c r="H945" s="60"/>
      <c r="I945" s="60"/>
      <c r="J945" s="60"/>
      <c r="K945" s="60"/>
      <c r="L945" s="60"/>
      <c r="M945" s="64"/>
      <c r="N945" s="33"/>
    </row>
    <row r="946" ht="24" customHeight="1" spans="2:14">
      <c r="B946" s="33"/>
      <c r="C946" s="60"/>
      <c r="D946" s="60"/>
      <c r="E946" s="60"/>
      <c r="F946" s="60"/>
      <c r="G946" s="60"/>
      <c r="H946" s="60"/>
      <c r="I946" s="60"/>
      <c r="J946" s="60"/>
      <c r="K946" s="60"/>
      <c r="L946" s="60"/>
      <c r="M946" s="64"/>
      <c r="N946" s="33"/>
    </row>
    <row r="947" ht="24" customHeight="1" spans="2:14">
      <c r="B947" s="33"/>
      <c r="C947" s="60"/>
      <c r="D947" s="60"/>
      <c r="E947" s="60"/>
      <c r="F947" s="60"/>
      <c r="G947" s="60"/>
      <c r="H947" s="60"/>
      <c r="I947" s="60"/>
      <c r="J947" s="60"/>
      <c r="K947" s="60"/>
      <c r="L947" s="60"/>
      <c r="M947" s="64"/>
      <c r="N947" s="33"/>
    </row>
    <row r="948" ht="24" customHeight="1" spans="2:14">
      <c r="B948" s="33"/>
      <c r="C948" s="60"/>
      <c r="D948" s="60"/>
      <c r="E948" s="60"/>
      <c r="F948" s="60"/>
      <c r="G948" s="60"/>
      <c r="H948" s="60"/>
      <c r="I948" s="60"/>
      <c r="J948" s="60"/>
      <c r="K948" s="60"/>
      <c r="L948" s="60"/>
      <c r="M948" s="64"/>
      <c r="N948" s="33"/>
    </row>
    <row r="949" ht="24" customHeight="1" spans="2:14">
      <c r="B949" s="33"/>
      <c r="C949" s="60"/>
      <c r="D949" s="60"/>
      <c r="E949" s="60"/>
      <c r="F949" s="60"/>
      <c r="G949" s="60"/>
      <c r="H949" s="60"/>
      <c r="I949" s="60"/>
      <c r="J949" s="60"/>
      <c r="K949" s="60"/>
      <c r="L949" s="60"/>
      <c r="M949" s="64"/>
      <c r="N949" s="33"/>
    </row>
    <row r="950" ht="24" customHeight="1" spans="2:14">
      <c r="B950" s="33"/>
      <c r="C950" s="60"/>
      <c r="D950" s="60"/>
      <c r="E950" s="60"/>
      <c r="F950" s="60"/>
      <c r="G950" s="60"/>
      <c r="H950" s="60"/>
      <c r="I950" s="60"/>
      <c r="J950" s="60"/>
      <c r="K950" s="60"/>
      <c r="L950" s="60"/>
      <c r="M950" s="64"/>
      <c r="N950" s="33"/>
    </row>
    <row r="951" ht="24" customHeight="1" spans="2:14">
      <c r="B951" s="33"/>
      <c r="C951" s="60"/>
      <c r="D951" s="60"/>
      <c r="E951" s="60"/>
      <c r="F951" s="60"/>
      <c r="G951" s="60"/>
      <c r="H951" s="60"/>
      <c r="I951" s="60"/>
      <c r="J951" s="60"/>
      <c r="K951" s="60"/>
      <c r="L951" s="60"/>
      <c r="M951" s="64"/>
      <c r="N951" s="33"/>
    </row>
    <row r="952" ht="24" customHeight="1" spans="2:14">
      <c r="B952" s="33"/>
      <c r="C952" s="60"/>
      <c r="D952" s="60"/>
      <c r="E952" s="60"/>
      <c r="F952" s="60"/>
      <c r="G952" s="60"/>
      <c r="H952" s="60"/>
      <c r="I952" s="60"/>
      <c r="J952" s="60"/>
      <c r="K952" s="60"/>
      <c r="L952" s="60"/>
      <c r="M952" s="64"/>
      <c r="N952" s="33"/>
    </row>
    <row r="953" ht="24" customHeight="1" spans="2:14">
      <c r="B953" s="33"/>
      <c r="C953" s="60"/>
      <c r="D953" s="60"/>
      <c r="E953" s="60"/>
      <c r="F953" s="60"/>
      <c r="G953" s="60"/>
      <c r="H953" s="60"/>
      <c r="I953" s="60"/>
      <c r="J953" s="60"/>
      <c r="K953" s="60"/>
      <c r="L953" s="60"/>
      <c r="M953" s="64"/>
      <c r="N953" s="33"/>
    </row>
    <row r="954" ht="24" customHeight="1" spans="2:14">
      <c r="B954" s="33"/>
      <c r="C954" s="60"/>
      <c r="D954" s="60"/>
      <c r="E954" s="60"/>
      <c r="F954" s="60"/>
      <c r="G954" s="60"/>
      <c r="H954" s="60"/>
      <c r="I954" s="60"/>
      <c r="J954" s="60"/>
      <c r="K954" s="60"/>
      <c r="L954" s="60"/>
      <c r="M954" s="64"/>
      <c r="N954" s="33"/>
    </row>
    <row r="955" ht="24" customHeight="1" spans="2:14">
      <c r="B955" s="33"/>
      <c r="C955" s="60"/>
      <c r="D955" s="60"/>
      <c r="E955" s="60"/>
      <c r="F955" s="60"/>
      <c r="G955" s="60"/>
      <c r="H955" s="60"/>
      <c r="I955" s="60"/>
      <c r="J955" s="60"/>
      <c r="K955" s="60"/>
      <c r="L955" s="60"/>
      <c r="M955" s="64"/>
      <c r="N955" s="33"/>
    </row>
    <row r="956" ht="24" customHeight="1" spans="2:14">
      <c r="B956" s="33"/>
      <c r="C956" s="60"/>
      <c r="D956" s="60"/>
      <c r="E956" s="60"/>
      <c r="F956" s="60"/>
      <c r="G956" s="60"/>
      <c r="H956" s="60"/>
      <c r="I956" s="60"/>
      <c r="J956" s="60"/>
      <c r="K956" s="60"/>
      <c r="L956" s="60"/>
      <c r="M956" s="64"/>
      <c r="N956" s="33"/>
    </row>
    <row r="957" ht="24" customHeight="1" spans="2:14">
      <c r="B957" s="33"/>
      <c r="C957" s="60"/>
      <c r="D957" s="60"/>
      <c r="E957" s="60"/>
      <c r="F957" s="60"/>
      <c r="G957" s="60"/>
      <c r="H957" s="60"/>
      <c r="I957" s="60"/>
      <c r="J957" s="60"/>
      <c r="K957" s="60"/>
      <c r="L957" s="60"/>
      <c r="M957" s="64"/>
      <c r="N957" s="33"/>
    </row>
    <row r="958" ht="24" customHeight="1" spans="2:14">
      <c r="B958" s="33"/>
      <c r="C958" s="60"/>
      <c r="D958" s="60"/>
      <c r="E958" s="60"/>
      <c r="F958" s="60"/>
      <c r="G958" s="60"/>
      <c r="H958" s="60"/>
      <c r="I958" s="60"/>
      <c r="J958" s="60"/>
      <c r="K958" s="60"/>
      <c r="L958" s="60"/>
      <c r="M958" s="64"/>
      <c r="N958" s="33"/>
    </row>
    <row r="959" ht="24" customHeight="1" spans="2:14">
      <c r="B959" s="33"/>
      <c r="C959" s="60"/>
      <c r="D959" s="60"/>
      <c r="E959" s="60"/>
      <c r="F959" s="60"/>
      <c r="G959" s="60"/>
      <c r="H959" s="60"/>
      <c r="I959" s="60"/>
      <c r="J959" s="60"/>
      <c r="K959" s="60"/>
      <c r="L959" s="60"/>
      <c r="M959" s="64"/>
      <c r="N959" s="33"/>
    </row>
    <row r="960" ht="24" customHeight="1" spans="2:14">
      <c r="B960" s="33"/>
      <c r="C960" s="60"/>
      <c r="D960" s="60"/>
      <c r="E960" s="60"/>
      <c r="F960" s="60"/>
      <c r="G960" s="60"/>
      <c r="H960" s="60"/>
      <c r="I960" s="60"/>
      <c r="J960" s="60"/>
      <c r="K960" s="60"/>
      <c r="L960" s="60"/>
      <c r="M960" s="64"/>
      <c r="N960" s="33"/>
    </row>
    <row r="961" ht="24" customHeight="1" spans="2:14">
      <c r="B961" s="33"/>
      <c r="C961" s="60"/>
      <c r="D961" s="60"/>
      <c r="E961" s="60"/>
      <c r="F961" s="60"/>
      <c r="G961" s="60"/>
      <c r="H961" s="60"/>
      <c r="I961" s="60"/>
      <c r="J961" s="60"/>
      <c r="K961" s="60"/>
      <c r="L961" s="60"/>
      <c r="M961" s="64"/>
      <c r="N961" s="33"/>
    </row>
    <row r="962" ht="24" customHeight="1" spans="2:14">
      <c r="B962" s="33"/>
      <c r="C962" s="60"/>
      <c r="D962" s="60"/>
      <c r="E962" s="60"/>
      <c r="F962" s="60"/>
      <c r="G962" s="60"/>
      <c r="H962" s="60"/>
      <c r="I962" s="60"/>
      <c r="J962" s="60"/>
      <c r="K962" s="60"/>
      <c r="L962" s="60"/>
      <c r="M962" s="64"/>
      <c r="N962" s="33"/>
    </row>
    <row r="963" ht="24" customHeight="1" spans="2:14">
      <c r="B963" s="33"/>
      <c r="C963" s="60"/>
      <c r="D963" s="60"/>
      <c r="E963" s="60"/>
      <c r="F963" s="60"/>
      <c r="G963" s="60"/>
      <c r="H963" s="60"/>
      <c r="I963" s="60"/>
      <c r="J963" s="60"/>
      <c r="K963" s="60"/>
      <c r="L963" s="60"/>
      <c r="M963" s="64"/>
      <c r="N963" s="33"/>
    </row>
    <row r="964" ht="24" customHeight="1" spans="2:14">
      <c r="B964" s="33"/>
      <c r="C964" s="60"/>
      <c r="D964" s="60"/>
      <c r="E964" s="60"/>
      <c r="F964" s="60"/>
      <c r="G964" s="60"/>
      <c r="H964" s="60"/>
      <c r="I964" s="60"/>
      <c r="J964" s="60"/>
      <c r="K964" s="60"/>
      <c r="L964" s="60"/>
      <c r="M964" s="64"/>
      <c r="N964" s="33"/>
    </row>
    <row r="965" ht="24" customHeight="1" spans="2:14">
      <c r="B965" s="33"/>
      <c r="C965" s="60"/>
      <c r="D965" s="60"/>
      <c r="E965" s="60"/>
      <c r="F965" s="60"/>
      <c r="G965" s="60"/>
      <c r="H965" s="60"/>
      <c r="I965" s="60"/>
      <c r="J965" s="60"/>
      <c r="K965" s="60"/>
      <c r="L965" s="60"/>
      <c r="M965" s="64"/>
      <c r="N965" s="33"/>
    </row>
    <row r="966" ht="24" customHeight="1" spans="2:14">
      <c r="B966" s="33"/>
      <c r="C966" s="60"/>
      <c r="D966" s="60"/>
      <c r="E966" s="60"/>
      <c r="F966" s="60"/>
      <c r="G966" s="60"/>
      <c r="H966" s="60"/>
      <c r="I966" s="60"/>
      <c r="J966" s="60"/>
      <c r="K966" s="60"/>
      <c r="L966" s="60"/>
      <c r="M966" s="64"/>
      <c r="N966" s="33"/>
    </row>
    <row r="967" ht="24" customHeight="1" spans="2:14">
      <c r="B967" s="33"/>
      <c r="C967" s="60"/>
      <c r="D967" s="60"/>
      <c r="E967" s="60"/>
      <c r="F967" s="60"/>
      <c r="G967" s="60"/>
      <c r="H967" s="60"/>
      <c r="I967" s="60"/>
      <c r="J967" s="60"/>
      <c r="K967" s="60"/>
      <c r="L967" s="60"/>
      <c r="M967" s="64"/>
      <c r="N967" s="33"/>
    </row>
    <row r="968" ht="24" customHeight="1" spans="2:14">
      <c r="B968" s="33"/>
      <c r="C968" s="60"/>
      <c r="D968" s="60"/>
      <c r="E968" s="60"/>
      <c r="F968" s="60"/>
      <c r="G968" s="60"/>
      <c r="H968" s="60"/>
      <c r="I968" s="60"/>
      <c r="J968" s="60"/>
      <c r="K968" s="60"/>
      <c r="L968" s="60"/>
      <c r="M968" s="64"/>
      <c r="N968" s="33"/>
    </row>
    <row r="969" ht="24" customHeight="1" spans="2:14">
      <c r="B969" s="33"/>
      <c r="C969" s="60"/>
      <c r="D969" s="60"/>
      <c r="E969" s="60"/>
      <c r="F969" s="60"/>
      <c r="G969" s="60"/>
      <c r="H969" s="60"/>
      <c r="I969" s="60"/>
      <c r="J969" s="60"/>
      <c r="K969" s="60"/>
      <c r="L969" s="60"/>
      <c r="M969" s="64"/>
      <c r="N969" s="33"/>
    </row>
    <row r="970" ht="24" customHeight="1" spans="2:14">
      <c r="B970" s="33"/>
      <c r="C970" s="60"/>
      <c r="D970" s="60"/>
      <c r="E970" s="60"/>
      <c r="F970" s="60"/>
      <c r="G970" s="60"/>
      <c r="H970" s="60"/>
      <c r="I970" s="60"/>
      <c r="J970" s="60"/>
      <c r="K970" s="60"/>
      <c r="L970" s="60"/>
      <c r="M970" s="64"/>
      <c r="N970" s="33"/>
    </row>
    <row r="971" ht="24" customHeight="1" spans="2:14">
      <c r="B971" s="33"/>
      <c r="C971" s="60"/>
      <c r="D971" s="60"/>
      <c r="E971" s="60"/>
      <c r="F971" s="60"/>
      <c r="G971" s="60"/>
      <c r="H971" s="60"/>
      <c r="I971" s="60"/>
      <c r="J971" s="60"/>
      <c r="K971" s="60"/>
      <c r="L971" s="60"/>
      <c r="M971" s="64"/>
      <c r="N971" s="33"/>
    </row>
    <row r="972" ht="24" customHeight="1" spans="2:14">
      <c r="B972" s="33"/>
      <c r="C972" s="60"/>
      <c r="D972" s="60"/>
      <c r="E972" s="60"/>
      <c r="F972" s="60"/>
      <c r="G972" s="60"/>
      <c r="H972" s="60"/>
      <c r="I972" s="60"/>
      <c r="J972" s="60"/>
      <c r="K972" s="60"/>
      <c r="L972" s="60"/>
      <c r="M972" s="64"/>
      <c r="N972" s="33"/>
    </row>
    <row r="973" ht="24" customHeight="1" spans="2:14">
      <c r="B973" s="33"/>
      <c r="C973" s="60"/>
      <c r="D973" s="60"/>
      <c r="E973" s="60"/>
      <c r="F973" s="60"/>
      <c r="G973" s="60"/>
      <c r="H973" s="60"/>
      <c r="I973" s="60"/>
      <c r="J973" s="60"/>
      <c r="K973" s="60"/>
      <c r="L973" s="60"/>
      <c r="M973" s="64"/>
      <c r="N973" s="33"/>
    </row>
    <row r="974" ht="24" customHeight="1" spans="2:14">
      <c r="B974" s="33"/>
      <c r="C974" s="60"/>
      <c r="D974" s="60"/>
      <c r="E974" s="60"/>
      <c r="F974" s="60"/>
      <c r="G974" s="60"/>
      <c r="H974" s="60"/>
      <c r="I974" s="60"/>
      <c r="J974" s="60"/>
      <c r="K974" s="60"/>
      <c r="L974" s="60"/>
      <c r="M974" s="64"/>
      <c r="N974" s="33"/>
    </row>
    <row r="975" ht="24" customHeight="1" spans="2:14">
      <c r="B975" s="33"/>
      <c r="C975" s="60"/>
      <c r="D975" s="60"/>
      <c r="E975" s="60"/>
      <c r="F975" s="60"/>
      <c r="G975" s="60"/>
      <c r="H975" s="60"/>
      <c r="I975" s="60"/>
      <c r="J975" s="60"/>
      <c r="K975" s="60"/>
      <c r="L975" s="60"/>
      <c r="M975" s="64"/>
      <c r="N975" s="33"/>
    </row>
    <row r="976" ht="24" customHeight="1" spans="2:14">
      <c r="B976" s="33"/>
      <c r="C976" s="60"/>
      <c r="D976" s="60"/>
      <c r="E976" s="60"/>
      <c r="F976" s="60"/>
      <c r="G976" s="60"/>
      <c r="H976" s="60"/>
      <c r="I976" s="60"/>
      <c r="J976" s="60"/>
      <c r="K976" s="60"/>
      <c r="L976" s="60"/>
      <c r="M976" s="64"/>
      <c r="N976" s="33"/>
    </row>
    <row r="977" ht="24" customHeight="1" spans="2:14">
      <c r="B977" s="33"/>
      <c r="C977" s="60"/>
      <c r="D977" s="60"/>
      <c r="E977" s="60"/>
      <c r="F977" s="60"/>
      <c r="G977" s="60"/>
      <c r="H977" s="60"/>
      <c r="I977" s="60"/>
      <c r="J977" s="60"/>
      <c r="K977" s="60"/>
      <c r="L977" s="60"/>
      <c r="M977" s="64"/>
      <c r="N977" s="33"/>
    </row>
    <row r="978" ht="24" customHeight="1" spans="2:14">
      <c r="B978" s="33"/>
      <c r="C978" s="60"/>
      <c r="D978" s="60"/>
      <c r="E978" s="60"/>
      <c r="F978" s="60"/>
      <c r="G978" s="60"/>
      <c r="H978" s="60"/>
      <c r="I978" s="60"/>
      <c r="J978" s="60"/>
      <c r="K978" s="60"/>
      <c r="L978" s="60"/>
      <c r="M978" s="64"/>
      <c r="N978" s="33"/>
    </row>
    <row r="979" ht="24" customHeight="1" spans="2:14">
      <c r="B979" s="33"/>
      <c r="C979" s="60"/>
      <c r="D979" s="60"/>
      <c r="E979" s="60"/>
      <c r="F979" s="60"/>
      <c r="G979" s="60"/>
      <c r="H979" s="60"/>
      <c r="I979" s="60"/>
      <c r="J979" s="60"/>
      <c r="K979" s="60"/>
      <c r="L979" s="60"/>
      <c r="M979" s="64"/>
      <c r="N979" s="33"/>
    </row>
    <row r="980" ht="24" customHeight="1" spans="2:14">
      <c r="B980" s="33"/>
      <c r="C980" s="60"/>
      <c r="D980" s="60"/>
      <c r="E980" s="60"/>
      <c r="F980" s="60"/>
      <c r="G980" s="60"/>
      <c r="H980" s="60"/>
      <c r="I980" s="60"/>
      <c r="J980" s="60"/>
      <c r="K980" s="60"/>
      <c r="L980" s="60"/>
      <c r="M980" s="64"/>
      <c r="N980" s="33"/>
    </row>
    <row r="981" ht="24" customHeight="1" spans="2:14">
      <c r="B981" s="33"/>
      <c r="C981" s="60"/>
      <c r="D981" s="60"/>
      <c r="E981" s="60"/>
      <c r="F981" s="60"/>
      <c r="G981" s="60"/>
      <c r="H981" s="60"/>
      <c r="I981" s="60"/>
      <c r="J981" s="60"/>
      <c r="K981" s="60"/>
      <c r="L981" s="60"/>
      <c r="M981" s="64"/>
      <c r="N981" s="33"/>
    </row>
    <row r="982" ht="24" customHeight="1" spans="2:14">
      <c r="B982" s="33"/>
      <c r="C982" s="60"/>
      <c r="D982" s="60"/>
      <c r="E982" s="60"/>
      <c r="F982" s="60"/>
      <c r="G982" s="60"/>
      <c r="H982" s="60"/>
      <c r="I982" s="60"/>
      <c r="J982" s="60"/>
      <c r="K982" s="60"/>
      <c r="L982" s="60"/>
      <c r="M982" s="64"/>
      <c r="N982" s="33"/>
    </row>
    <row r="983" ht="24" customHeight="1" spans="2:14">
      <c r="B983" s="33"/>
      <c r="C983" s="60"/>
      <c r="D983" s="60"/>
      <c r="E983" s="60"/>
      <c r="F983" s="60"/>
      <c r="G983" s="60"/>
      <c r="H983" s="60"/>
      <c r="I983" s="60"/>
      <c r="J983" s="60"/>
      <c r="K983" s="60"/>
      <c r="L983" s="60"/>
      <c r="M983" s="64"/>
      <c r="N983" s="33"/>
    </row>
    <row r="984" ht="24" customHeight="1" spans="2:14">
      <c r="B984" s="33"/>
      <c r="C984" s="60"/>
      <c r="D984" s="60"/>
      <c r="E984" s="60"/>
      <c r="F984" s="60"/>
      <c r="G984" s="60"/>
      <c r="H984" s="60"/>
      <c r="I984" s="60"/>
      <c r="J984" s="60"/>
      <c r="K984" s="60"/>
      <c r="L984" s="60"/>
      <c r="M984" s="64"/>
      <c r="N984" s="33"/>
    </row>
    <row r="985" ht="24" customHeight="1" spans="2:14">
      <c r="B985" s="33"/>
      <c r="C985" s="60"/>
      <c r="D985" s="60"/>
      <c r="E985" s="60"/>
      <c r="F985" s="60"/>
      <c r="G985" s="60"/>
      <c r="H985" s="60"/>
      <c r="I985" s="60"/>
      <c r="J985" s="60"/>
      <c r="K985" s="60"/>
      <c r="L985" s="60"/>
      <c r="M985" s="64"/>
      <c r="N985" s="33"/>
    </row>
    <row r="986" ht="24" customHeight="1" spans="2:14">
      <c r="B986" s="33"/>
      <c r="C986" s="60"/>
      <c r="D986" s="60"/>
      <c r="E986" s="60"/>
      <c r="F986" s="60"/>
      <c r="G986" s="60"/>
      <c r="H986" s="60"/>
      <c r="I986" s="60"/>
      <c r="J986" s="60"/>
      <c r="K986" s="60"/>
      <c r="L986" s="60"/>
      <c r="M986" s="64"/>
      <c r="N986" s="33"/>
    </row>
    <row r="987" ht="24" customHeight="1" spans="2:14">
      <c r="B987" s="33"/>
      <c r="C987" s="60"/>
      <c r="D987" s="60"/>
      <c r="E987" s="60"/>
      <c r="F987" s="60"/>
      <c r="G987" s="60"/>
      <c r="H987" s="60"/>
      <c r="I987" s="60"/>
      <c r="J987" s="60"/>
      <c r="K987" s="60"/>
      <c r="L987" s="60"/>
      <c r="M987" s="64"/>
      <c r="N987" s="33"/>
    </row>
    <row r="988" ht="24" customHeight="1" spans="2:14">
      <c r="B988" s="33"/>
      <c r="C988" s="60"/>
      <c r="D988" s="60"/>
      <c r="E988" s="60"/>
      <c r="F988" s="60"/>
      <c r="G988" s="60"/>
      <c r="H988" s="60"/>
      <c r="I988" s="60"/>
      <c r="J988" s="60"/>
      <c r="K988" s="60"/>
      <c r="L988" s="60"/>
      <c r="M988" s="64"/>
      <c r="N988" s="33"/>
    </row>
    <row r="989" ht="24" customHeight="1" spans="2:14">
      <c r="B989" s="33"/>
      <c r="C989" s="60"/>
      <c r="D989" s="60"/>
      <c r="E989" s="60"/>
      <c r="F989" s="60"/>
      <c r="G989" s="60"/>
      <c r="H989" s="60"/>
      <c r="I989" s="60"/>
      <c r="J989" s="60"/>
      <c r="K989" s="60"/>
      <c r="L989" s="60"/>
      <c r="M989" s="64"/>
      <c r="N989" s="33"/>
    </row>
    <row r="990" ht="24" customHeight="1" spans="2:14">
      <c r="B990" s="33"/>
      <c r="C990" s="60"/>
      <c r="D990" s="60"/>
      <c r="E990" s="60"/>
      <c r="F990" s="60"/>
      <c r="G990" s="60"/>
      <c r="H990" s="60"/>
      <c r="I990" s="60"/>
      <c r="J990" s="60"/>
      <c r="K990" s="60"/>
      <c r="L990" s="60"/>
      <c r="M990" s="64"/>
      <c r="N990" s="33"/>
    </row>
    <row r="991" ht="24" customHeight="1" spans="2:14">
      <c r="B991" s="33"/>
      <c r="C991" s="60"/>
      <c r="D991" s="60"/>
      <c r="E991" s="60"/>
      <c r="F991" s="60"/>
      <c r="G991" s="60"/>
      <c r="H991" s="60"/>
      <c r="I991" s="60"/>
      <c r="J991" s="60"/>
      <c r="K991" s="60"/>
      <c r="L991" s="60"/>
      <c r="M991" s="64"/>
      <c r="N991" s="33"/>
    </row>
    <row r="992" ht="24" customHeight="1" spans="2:14">
      <c r="B992" s="33"/>
      <c r="C992" s="60"/>
      <c r="D992" s="60"/>
      <c r="E992" s="60"/>
      <c r="F992" s="60"/>
      <c r="G992" s="60"/>
      <c r="H992" s="60"/>
      <c r="I992" s="60"/>
      <c r="J992" s="60"/>
      <c r="K992" s="60"/>
      <c r="L992" s="60"/>
      <c r="M992" s="64"/>
      <c r="N992" s="33"/>
    </row>
    <row r="993" ht="24" customHeight="1" spans="2:14">
      <c r="B993" s="33"/>
      <c r="C993" s="60"/>
      <c r="D993" s="60"/>
      <c r="E993" s="60"/>
      <c r="F993" s="60"/>
      <c r="G993" s="60"/>
      <c r="H993" s="60"/>
      <c r="I993" s="60"/>
      <c r="J993" s="60"/>
      <c r="K993" s="60"/>
      <c r="L993" s="60"/>
      <c r="M993" s="64"/>
      <c r="N993" s="33"/>
    </row>
    <row r="994" ht="24" customHeight="1" spans="2:14">
      <c r="B994" s="33"/>
      <c r="C994" s="60"/>
      <c r="D994" s="60"/>
      <c r="E994" s="60"/>
      <c r="F994" s="60"/>
      <c r="G994" s="60"/>
      <c r="H994" s="60"/>
      <c r="I994" s="60"/>
      <c r="J994" s="60"/>
      <c r="K994" s="60"/>
      <c r="L994" s="60"/>
      <c r="M994" s="64"/>
      <c r="N994" s="33"/>
    </row>
    <row r="995" ht="24" customHeight="1" spans="2:14">
      <c r="B995" s="33"/>
      <c r="C995" s="60"/>
      <c r="D995" s="60"/>
      <c r="E995" s="60"/>
      <c r="F995" s="60"/>
      <c r="G995" s="60"/>
      <c r="H995" s="60"/>
      <c r="I995" s="60"/>
      <c r="J995" s="60"/>
      <c r="K995" s="60"/>
      <c r="L995" s="60"/>
      <c r="M995" s="64"/>
      <c r="N995" s="33"/>
    </row>
    <row r="996" ht="24" customHeight="1" spans="2:14">
      <c r="B996" s="33"/>
      <c r="C996" s="60"/>
      <c r="D996" s="60"/>
      <c r="E996" s="60"/>
      <c r="F996" s="60"/>
      <c r="G996" s="60"/>
      <c r="H996" s="60"/>
      <c r="I996" s="60"/>
      <c r="J996" s="60"/>
      <c r="K996" s="60"/>
      <c r="L996" s="60"/>
      <c r="M996" s="64"/>
      <c r="N996" s="33"/>
    </row>
    <row r="997" ht="24" customHeight="1" spans="2:14">
      <c r="B997" s="33"/>
      <c r="C997" s="60"/>
      <c r="D997" s="60"/>
      <c r="E997" s="60"/>
      <c r="F997" s="60"/>
      <c r="G997" s="60"/>
      <c r="H997" s="60"/>
      <c r="I997" s="60"/>
      <c r="J997" s="60"/>
      <c r="K997" s="60"/>
      <c r="L997" s="60"/>
      <c r="M997" s="64"/>
      <c r="N997" s="33"/>
    </row>
    <row r="998" ht="24" customHeight="1" spans="2:14">
      <c r="B998" s="33"/>
      <c r="C998" s="60"/>
      <c r="D998" s="60"/>
      <c r="E998" s="60"/>
      <c r="F998" s="60"/>
      <c r="G998" s="60"/>
      <c r="H998" s="60"/>
      <c r="I998" s="60"/>
      <c r="J998" s="60"/>
      <c r="K998" s="60"/>
      <c r="L998" s="60"/>
      <c r="M998" s="64"/>
      <c r="N998" s="33"/>
    </row>
    <row r="999" ht="24" customHeight="1" spans="2:14">
      <c r="B999" s="33"/>
      <c r="C999" s="60"/>
      <c r="D999" s="60"/>
      <c r="E999" s="60"/>
      <c r="F999" s="60"/>
      <c r="G999" s="60"/>
      <c r="H999" s="60"/>
      <c r="I999" s="60"/>
      <c r="J999" s="60"/>
      <c r="K999" s="60"/>
      <c r="L999" s="60"/>
      <c r="M999" s="64"/>
      <c r="N999" s="33"/>
    </row>
    <row r="1000" ht="24" customHeight="1" spans="2:14">
      <c r="B1000" s="33"/>
      <c r="C1000" s="60"/>
      <c r="D1000" s="60"/>
      <c r="E1000" s="60"/>
      <c r="F1000" s="60"/>
      <c r="G1000" s="60"/>
      <c r="H1000" s="60"/>
      <c r="I1000" s="60"/>
      <c r="J1000" s="60"/>
      <c r="K1000" s="60"/>
      <c r="L1000" s="60"/>
      <c r="M1000" s="64"/>
      <c r="N1000" s="33"/>
    </row>
    <row r="1001" ht="24" customHeight="1" spans="2:14">
      <c r="B1001" s="33"/>
      <c r="C1001" s="60"/>
      <c r="D1001" s="60"/>
      <c r="E1001" s="60"/>
      <c r="F1001" s="60"/>
      <c r="G1001" s="60"/>
      <c r="H1001" s="60"/>
      <c r="I1001" s="60"/>
      <c r="J1001" s="60"/>
      <c r="K1001" s="60"/>
      <c r="L1001" s="60"/>
      <c r="M1001" s="64"/>
      <c r="N1001" s="33"/>
    </row>
    <row r="1002" ht="24" customHeight="1" spans="2:14">
      <c r="B1002" s="33"/>
      <c r="C1002" s="60"/>
      <c r="D1002" s="60"/>
      <c r="E1002" s="60"/>
      <c r="F1002" s="60"/>
      <c r="G1002" s="60"/>
      <c r="H1002" s="60"/>
      <c r="I1002" s="60"/>
      <c r="J1002" s="60"/>
      <c r="K1002" s="60"/>
      <c r="L1002" s="60"/>
      <c r="M1002" s="64"/>
      <c r="N1002" s="33"/>
    </row>
    <row r="1003" ht="24" customHeight="1" spans="2:14">
      <c r="B1003" s="33"/>
      <c r="C1003" s="60"/>
      <c r="D1003" s="60"/>
      <c r="E1003" s="60"/>
      <c r="F1003" s="60"/>
      <c r="G1003" s="60"/>
      <c r="H1003" s="60"/>
      <c r="I1003" s="60"/>
      <c r="J1003" s="60"/>
      <c r="K1003" s="60"/>
      <c r="L1003" s="60"/>
      <c r="M1003" s="64"/>
      <c r="N1003" s="33"/>
    </row>
    <row r="1004" ht="24" customHeight="1" spans="2:14">
      <c r="B1004" s="33"/>
      <c r="C1004" s="60"/>
      <c r="D1004" s="60"/>
      <c r="E1004" s="60"/>
      <c r="F1004" s="60"/>
      <c r="G1004" s="60"/>
      <c r="H1004" s="60"/>
      <c r="I1004" s="60"/>
      <c r="J1004" s="60"/>
      <c r="K1004" s="60"/>
      <c r="L1004" s="60"/>
      <c r="M1004" s="64"/>
      <c r="N1004" s="33"/>
    </row>
    <row r="1005" ht="24" customHeight="1" spans="2:14">
      <c r="B1005" s="33"/>
      <c r="C1005" s="60"/>
      <c r="D1005" s="60"/>
      <c r="E1005" s="60"/>
      <c r="F1005" s="60"/>
      <c r="G1005" s="60"/>
      <c r="H1005" s="60"/>
      <c r="I1005" s="60"/>
      <c r="J1005" s="60"/>
      <c r="K1005" s="60"/>
      <c r="L1005" s="60"/>
      <c r="M1005" s="64"/>
      <c r="N1005" s="33"/>
    </row>
    <row r="1006" ht="24" customHeight="1" spans="2:14">
      <c r="B1006" s="33"/>
      <c r="C1006" s="60"/>
      <c r="D1006" s="60"/>
      <c r="E1006" s="60"/>
      <c r="F1006" s="60"/>
      <c r="G1006" s="60"/>
      <c r="H1006" s="60"/>
      <c r="I1006" s="60"/>
      <c r="J1006" s="60"/>
      <c r="K1006" s="60"/>
      <c r="L1006" s="60"/>
      <c r="M1006" s="64"/>
      <c r="N1006" s="33"/>
    </row>
    <row r="1007" ht="24" customHeight="1" spans="2:14">
      <c r="B1007" s="33"/>
      <c r="C1007" s="60"/>
      <c r="D1007" s="60"/>
      <c r="E1007" s="60"/>
      <c r="F1007" s="60"/>
      <c r="G1007" s="60"/>
      <c r="H1007" s="60"/>
      <c r="I1007" s="60"/>
      <c r="J1007" s="60"/>
      <c r="K1007" s="60"/>
      <c r="L1007" s="60"/>
      <c r="M1007" s="64"/>
      <c r="N1007" s="33"/>
    </row>
    <row r="1008" ht="24" customHeight="1" spans="2:14">
      <c r="B1008" s="33"/>
      <c r="C1008" s="60"/>
      <c r="D1008" s="60"/>
      <c r="E1008" s="60"/>
      <c r="F1008" s="60"/>
      <c r="G1008" s="60"/>
      <c r="H1008" s="60"/>
      <c r="I1008" s="60"/>
      <c r="J1008" s="60"/>
      <c r="K1008" s="60"/>
      <c r="L1008" s="60"/>
      <c r="M1008" s="64"/>
      <c r="N1008" s="33"/>
    </row>
    <row r="1009" ht="24" customHeight="1" spans="2:14">
      <c r="B1009" s="33"/>
      <c r="C1009" s="60"/>
      <c r="D1009" s="60"/>
      <c r="E1009" s="60"/>
      <c r="F1009" s="60"/>
      <c r="G1009" s="60"/>
      <c r="H1009" s="60"/>
      <c r="I1009" s="60"/>
      <c r="J1009" s="60"/>
      <c r="K1009" s="60"/>
      <c r="L1009" s="60"/>
      <c r="M1009" s="64"/>
      <c r="N1009" s="33"/>
    </row>
    <row r="1010" ht="24" customHeight="1" spans="2:14">
      <c r="B1010" s="33"/>
      <c r="C1010" s="60"/>
      <c r="D1010" s="60"/>
      <c r="E1010" s="60"/>
      <c r="F1010" s="60"/>
      <c r="G1010" s="60"/>
      <c r="H1010" s="60"/>
      <c r="I1010" s="60"/>
      <c r="J1010" s="60"/>
      <c r="K1010" s="60"/>
      <c r="L1010" s="60"/>
      <c r="M1010" s="64"/>
      <c r="N1010" s="33"/>
    </row>
    <row r="1011" ht="24" customHeight="1" spans="2:14">
      <c r="B1011" s="33"/>
      <c r="C1011" s="60"/>
      <c r="D1011" s="60"/>
      <c r="E1011" s="60"/>
      <c r="F1011" s="60"/>
      <c r="G1011" s="60"/>
      <c r="H1011" s="60"/>
      <c r="I1011" s="60"/>
      <c r="J1011" s="60"/>
      <c r="K1011" s="60"/>
      <c r="L1011" s="60"/>
      <c r="M1011" s="64"/>
      <c r="N1011" s="33"/>
    </row>
    <row r="1012" ht="24" customHeight="1" spans="2:14">
      <c r="B1012" s="33"/>
      <c r="C1012" s="60"/>
      <c r="D1012" s="60"/>
      <c r="E1012" s="60"/>
      <c r="F1012" s="60"/>
      <c r="G1012" s="60"/>
      <c r="H1012" s="60"/>
      <c r="I1012" s="60"/>
      <c r="J1012" s="60"/>
      <c r="K1012" s="60"/>
      <c r="L1012" s="60"/>
      <c r="M1012" s="64"/>
      <c r="N1012" s="33"/>
    </row>
    <row r="1013" ht="24" customHeight="1" spans="2:14">
      <c r="B1013" s="33"/>
      <c r="C1013" s="60"/>
      <c r="D1013" s="60"/>
      <c r="E1013" s="60"/>
      <c r="F1013" s="60"/>
      <c r="G1013" s="60"/>
      <c r="H1013" s="60"/>
      <c r="I1013" s="60"/>
      <c r="J1013" s="60"/>
      <c r="K1013" s="60"/>
      <c r="L1013" s="60"/>
      <c r="M1013" s="64"/>
      <c r="N1013" s="33"/>
    </row>
    <row r="1014" ht="24" customHeight="1" spans="2:14">
      <c r="B1014" s="33"/>
      <c r="C1014" s="60"/>
      <c r="D1014" s="60"/>
      <c r="E1014" s="60"/>
      <c r="F1014" s="60"/>
      <c r="G1014" s="60"/>
      <c r="H1014" s="60"/>
      <c r="I1014" s="60"/>
      <c r="J1014" s="60"/>
      <c r="K1014" s="60"/>
      <c r="L1014" s="60"/>
      <c r="M1014" s="64"/>
      <c r="N1014" s="33"/>
    </row>
    <row r="1015" ht="24" customHeight="1" spans="2:14">
      <c r="B1015" s="33"/>
      <c r="C1015" s="60"/>
      <c r="D1015" s="60"/>
      <c r="E1015" s="60"/>
      <c r="F1015" s="60"/>
      <c r="G1015" s="60"/>
      <c r="H1015" s="60"/>
      <c r="I1015" s="60"/>
      <c r="J1015" s="60"/>
      <c r="K1015" s="60"/>
      <c r="L1015" s="60"/>
      <c r="M1015" s="64"/>
      <c r="N1015" s="33"/>
    </row>
    <row r="1016" ht="24" customHeight="1" spans="2:14">
      <c r="B1016" s="33"/>
      <c r="C1016" s="60"/>
      <c r="D1016" s="60"/>
      <c r="E1016" s="60"/>
      <c r="F1016" s="60"/>
      <c r="G1016" s="60"/>
      <c r="H1016" s="60"/>
      <c r="I1016" s="60"/>
      <c r="J1016" s="60"/>
      <c r="K1016" s="60"/>
      <c r="L1016" s="60"/>
      <c r="M1016" s="64"/>
      <c r="N1016" s="33"/>
    </row>
    <row r="1017" ht="24" customHeight="1" spans="2:14">
      <c r="B1017" s="33"/>
      <c r="C1017" s="60"/>
      <c r="D1017" s="60"/>
      <c r="E1017" s="60"/>
      <c r="F1017" s="60"/>
      <c r="G1017" s="60"/>
      <c r="H1017" s="60"/>
      <c r="I1017" s="60"/>
      <c r="J1017" s="60"/>
      <c r="K1017" s="60"/>
      <c r="L1017" s="60"/>
      <c r="M1017" s="64"/>
      <c r="N1017" s="33"/>
    </row>
    <row r="1018" ht="24" customHeight="1" spans="2:14">
      <c r="B1018" s="33"/>
      <c r="C1018" s="60"/>
      <c r="D1018" s="60"/>
      <c r="E1018" s="60"/>
      <c r="F1018" s="60"/>
      <c r="G1018" s="60"/>
      <c r="H1018" s="60"/>
      <c r="I1018" s="60"/>
      <c r="J1018" s="60"/>
      <c r="K1018" s="60"/>
      <c r="L1018" s="60"/>
      <c r="M1018" s="64"/>
      <c r="N1018" s="33"/>
    </row>
    <row r="1019" ht="24" customHeight="1" spans="2:14">
      <c r="B1019" s="33"/>
      <c r="C1019" s="60"/>
      <c r="D1019" s="60"/>
      <c r="E1019" s="60"/>
      <c r="F1019" s="60"/>
      <c r="G1019" s="60"/>
      <c r="H1019" s="60"/>
      <c r="I1019" s="60"/>
      <c r="J1019" s="60"/>
      <c r="K1019" s="60"/>
      <c r="L1019" s="60"/>
      <c r="M1019" s="64"/>
      <c r="N1019" s="33"/>
    </row>
    <row r="1020" ht="24" customHeight="1" spans="2:14">
      <c r="B1020" s="33"/>
      <c r="C1020" s="60"/>
      <c r="D1020" s="60"/>
      <c r="E1020" s="60"/>
      <c r="F1020" s="60"/>
      <c r="G1020" s="60"/>
      <c r="H1020" s="60"/>
      <c r="I1020" s="60"/>
      <c r="J1020" s="60"/>
      <c r="K1020" s="60"/>
      <c r="L1020" s="60"/>
      <c r="M1020" s="64"/>
      <c r="N1020" s="33"/>
    </row>
    <row r="1021" ht="24" customHeight="1" spans="2:14">
      <c r="B1021" s="33"/>
      <c r="C1021" s="60"/>
      <c r="D1021" s="60"/>
      <c r="E1021" s="60"/>
      <c r="F1021" s="60"/>
      <c r="G1021" s="60"/>
      <c r="H1021" s="60"/>
      <c r="I1021" s="60"/>
      <c r="J1021" s="60"/>
      <c r="K1021" s="60"/>
      <c r="L1021" s="60"/>
      <c r="M1021" s="64"/>
      <c r="N1021" s="33"/>
    </row>
    <row r="1022" ht="24" customHeight="1" spans="2:14">
      <c r="B1022" s="33"/>
      <c r="C1022" s="60"/>
      <c r="D1022" s="60"/>
      <c r="E1022" s="60"/>
      <c r="F1022" s="60"/>
      <c r="G1022" s="60"/>
      <c r="H1022" s="60"/>
      <c r="I1022" s="60"/>
      <c r="J1022" s="60"/>
      <c r="K1022" s="60"/>
      <c r="L1022" s="60"/>
      <c r="M1022" s="64"/>
      <c r="N1022" s="33"/>
    </row>
    <row r="1023" ht="24" customHeight="1" spans="2:14">
      <c r="B1023" s="33"/>
      <c r="C1023" s="60"/>
      <c r="D1023" s="60"/>
      <c r="E1023" s="60"/>
      <c r="F1023" s="60"/>
      <c r="G1023" s="60"/>
      <c r="H1023" s="60"/>
      <c r="I1023" s="60"/>
      <c r="J1023" s="60"/>
      <c r="K1023" s="60"/>
      <c r="L1023" s="60"/>
      <c r="M1023" s="64"/>
      <c r="N1023" s="33"/>
    </row>
    <row r="1024" ht="24" customHeight="1" spans="2:14">
      <c r="B1024" s="33"/>
      <c r="C1024" s="60"/>
      <c r="D1024" s="60"/>
      <c r="E1024" s="60"/>
      <c r="F1024" s="60"/>
      <c r="G1024" s="60"/>
      <c r="H1024" s="60"/>
      <c r="I1024" s="60"/>
      <c r="J1024" s="60"/>
      <c r="K1024" s="60"/>
      <c r="L1024" s="60"/>
      <c r="M1024" s="64"/>
      <c r="N1024" s="33"/>
    </row>
    <row r="1025" ht="24" customHeight="1" spans="2:14">
      <c r="B1025" s="33"/>
      <c r="C1025" s="60"/>
      <c r="D1025" s="60"/>
      <c r="E1025" s="60"/>
      <c r="F1025" s="60"/>
      <c r="G1025" s="60"/>
      <c r="H1025" s="60"/>
      <c r="I1025" s="60"/>
      <c r="J1025" s="60"/>
      <c r="K1025" s="60"/>
      <c r="L1025" s="60"/>
      <c r="M1025" s="64"/>
      <c r="N1025" s="33"/>
    </row>
    <row r="1026" ht="24" customHeight="1" spans="2:14">
      <c r="B1026" s="33"/>
      <c r="C1026" s="60"/>
      <c r="D1026" s="60"/>
      <c r="E1026" s="60"/>
      <c r="F1026" s="60"/>
      <c r="G1026" s="60"/>
      <c r="H1026" s="60"/>
      <c r="I1026" s="60"/>
      <c r="J1026" s="60"/>
      <c r="K1026" s="60"/>
      <c r="L1026" s="60"/>
      <c r="M1026" s="64"/>
      <c r="N1026" s="33"/>
    </row>
    <row r="1027" ht="24" customHeight="1" spans="2:14">
      <c r="B1027" s="33"/>
      <c r="C1027" s="60"/>
      <c r="D1027" s="60"/>
      <c r="E1027" s="60"/>
      <c r="F1027" s="60"/>
      <c r="G1027" s="60"/>
      <c r="H1027" s="60"/>
      <c r="I1027" s="60"/>
      <c r="J1027" s="60"/>
      <c r="K1027" s="60"/>
      <c r="L1027" s="60"/>
      <c r="M1027" s="64"/>
      <c r="N1027" s="33"/>
    </row>
    <row r="1028" ht="24" customHeight="1" spans="2:14">
      <c r="B1028" s="33"/>
      <c r="C1028" s="60"/>
      <c r="D1028" s="60"/>
      <c r="E1028" s="60"/>
      <c r="F1028" s="60"/>
      <c r="G1028" s="60"/>
      <c r="H1028" s="60"/>
      <c r="I1028" s="60"/>
      <c r="J1028" s="60"/>
      <c r="K1028" s="60"/>
      <c r="L1028" s="60"/>
      <c r="M1028" s="64"/>
      <c r="N1028" s="33"/>
    </row>
    <row r="1029" ht="24" customHeight="1" spans="2:14">
      <c r="B1029" s="33"/>
      <c r="C1029" s="60"/>
      <c r="D1029" s="60"/>
      <c r="E1029" s="60"/>
      <c r="F1029" s="60"/>
      <c r="G1029" s="60"/>
      <c r="H1029" s="60"/>
      <c r="I1029" s="60"/>
      <c r="J1029" s="60"/>
      <c r="K1029" s="60"/>
      <c r="L1029" s="60"/>
      <c r="M1029" s="64"/>
      <c r="N1029" s="33"/>
    </row>
    <row r="1030" ht="24" customHeight="1" spans="2:14">
      <c r="B1030" s="33"/>
      <c r="C1030" s="60"/>
      <c r="D1030" s="60"/>
      <c r="E1030" s="60"/>
      <c r="F1030" s="60"/>
      <c r="G1030" s="60"/>
      <c r="H1030" s="60"/>
      <c r="I1030" s="60"/>
      <c r="J1030" s="60"/>
      <c r="K1030" s="60"/>
      <c r="L1030" s="60"/>
      <c r="M1030" s="64"/>
      <c r="N1030" s="33"/>
    </row>
    <row r="1031" ht="24" customHeight="1" spans="2:14">
      <c r="B1031" s="33"/>
      <c r="C1031" s="60"/>
      <c r="D1031" s="60"/>
      <c r="E1031" s="60"/>
      <c r="F1031" s="60"/>
      <c r="G1031" s="60"/>
      <c r="H1031" s="60"/>
      <c r="I1031" s="60"/>
      <c r="J1031" s="60"/>
      <c r="K1031" s="60"/>
      <c r="L1031" s="60"/>
      <c r="M1031" s="64"/>
      <c r="N1031" s="33"/>
    </row>
    <row r="1032" ht="24" customHeight="1" spans="2:14">
      <c r="B1032" s="33"/>
      <c r="C1032" s="60"/>
      <c r="D1032" s="60"/>
      <c r="E1032" s="60"/>
      <c r="F1032" s="60"/>
      <c r="G1032" s="60"/>
      <c r="H1032" s="60"/>
      <c r="I1032" s="60"/>
      <c r="J1032" s="60"/>
      <c r="K1032" s="60"/>
      <c r="L1032" s="60"/>
      <c r="M1032" s="64"/>
      <c r="N1032" s="33"/>
    </row>
    <row r="1033" ht="24" customHeight="1" spans="2:14">
      <c r="B1033" s="33"/>
      <c r="C1033" s="60"/>
      <c r="D1033" s="60"/>
      <c r="E1033" s="60"/>
      <c r="F1033" s="60"/>
      <c r="G1033" s="60"/>
      <c r="H1033" s="60"/>
      <c r="I1033" s="60"/>
      <c r="J1033" s="60"/>
      <c r="K1033" s="60"/>
      <c r="L1033" s="60"/>
      <c r="M1033" s="64"/>
      <c r="N1033" s="33"/>
    </row>
    <row r="1034" ht="24" customHeight="1" spans="2:14">
      <c r="B1034" s="33"/>
      <c r="C1034" s="60"/>
      <c r="D1034" s="60"/>
      <c r="E1034" s="60"/>
      <c r="F1034" s="60"/>
      <c r="G1034" s="60"/>
      <c r="H1034" s="60"/>
      <c r="I1034" s="60"/>
      <c r="J1034" s="60"/>
      <c r="K1034" s="60"/>
      <c r="L1034" s="60"/>
      <c r="M1034" s="64"/>
      <c r="N1034" s="33"/>
    </row>
    <row r="1035" ht="24" customHeight="1" spans="2:14">
      <c r="B1035" s="33"/>
      <c r="C1035" s="60"/>
      <c r="D1035" s="60"/>
      <c r="E1035" s="60"/>
      <c r="F1035" s="60"/>
      <c r="G1035" s="60"/>
      <c r="H1035" s="60"/>
      <c r="I1035" s="60"/>
      <c r="J1035" s="60"/>
      <c r="K1035" s="60"/>
      <c r="L1035" s="60"/>
      <c r="M1035" s="64"/>
      <c r="N1035" s="33"/>
    </row>
    <row r="1036" ht="24" customHeight="1" spans="2:14">
      <c r="B1036" s="33"/>
      <c r="C1036" s="60"/>
      <c r="D1036" s="60"/>
      <c r="E1036" s="60"/>
      <c r="F1036" s="60"/>
      <c r="G1036" s="60"/>
      <c r="H1036" s="60"/>
      <c r="I1036" s="60"/>
      <c r="J1036" s="60"/>
      <c r="K1036" s="60"/>
      <c r="L1036" s="60"/>
      <c r="M1036" s="64"/>
      <c r="N1036" s="33"/>
    </row>
    <row r="1037" ht="24" customHeight="1" spans="2:14">
      <c r="B1037" s="33"/>
      <c r="C1037" s="60"/>
      <c r="D1037" s="60"/>
      <c r="E1037" s="60"/>
      <c r="F1037" s="60"/>
      <c r="G1037" s="60"/>
      <c r="H1037" s="60"/>
      <c r="I1037" s="60"/>
      <c r="J1037" s="60"/>
      <c r="K1037" s="60"/>
      <c r="L1037" s="60"/>
      <c r="M1037" s="64"/>
      <c r="N1037" s="33"/>
    </row>
    <row r="1038" ht="24" customHeight="1" spans="2:14">
      <c r="B1038" s="33"/>
      <c r="C1038" s="60"/>
      <c r="D1038" s="60"/>
      <c r="E1038" s="60"/>
      <c r="F1038" s="60"/>
      <c r="G1038" s="60"/>
      <c r="H1038" s="60"/>
      <c r="I1038" s="60"/>
      <c r="J1038" s="60"/>
      <c r="K1038" s="60"/>
      <c r="L1038" s="60"/>
      <c r="M1038" s="64"/>
      <c r="N1038" s="33"/>
    </row>
    <row r="1039" ht="24" customHeight="1" spans="2:14">
      <c r="B1039" s="33"/>
      <c r="C1039" s="60"/>
      <c r="D1039" s="60"/>
      <c r="E1039" s="60"/>
      <c r="F1039" s="60"/>
      <c r="G1039" s="60"/>
      <c r="H1039" s="60"/>
      <c r="I1039" s="60"/>
      <c r="J1039" s="60"/>
      <c r="K1039" s="60"/>
      <c r="L1039" s="60"/>
      <c r="M1039" s="64"/>
      <c r="N1039" s="33"/>
    </row>
    <row r="1040" ht="24" customHeight="1" spans="2:14">
      <c r="B1040" s="33"/>
      <c r="C1040" s="60"/>
      <c r="D1040" s="60"/>
      <c r="E1040" s="60"/>
      <c r="F1040" s="60"/>
      <c r="G1040" s="60"/>
      <c r="H1040" s="60"/>
      <c r="I1040" s="60"/>
      <c r="J1040" s="60"/>
      <c r="K1040" s="60"/>
      <c r="L1040" s="60"/>
      <c r="M1040" s="64"/>
      <c r="N1040" s="33"/>
    </row>
    <row r="1041" ht="24" customHeight="1" spans="2:14">
      <c r="B1041" s="33"/>
      <c r="C1041" s="60"/>
      <c r="D1041" s="60"/>
      <c r="E1041" s="60"/>
      <c r="F1041" s="60"/>
      <c r="G1041" s="60"/>
      <c r="H1041" s="60"/>
      <c r="I1041" s="60"/>
      <c r="J1041" s="60"/>
      <c r="K1041" s="60"/>
      <c r="L1041" s="60"/>
      <c r="M1041" s="64"/>
      <c r="N1041" s="33"/>
    </row>
    <row r="1042" ht="24" customHeight="1" spans="2:14">
      <c r="B1042" s="33"/>
      <c r="C1042" s="60"/>
      <c r="D1042" s="60"/>
      <c r="E1042" s="60"/>
      <c r="F1042" s="60"/>
      <c r="G1042" s="60"/>
      <c r="H1042" s="60"/>
      <c r="I1042" s="60"/>
      <c r="J1042" s="60"/>
      <c r="K1042" s="60"/>
      <c r="L1042" s="60"/>
      <c r="M1042" s="64"/>
      <c r="N1042" s="33"/>
    </row>
    <row r="1043" ht="24" customHeight="1" spans="2:14">
      <c r="B1043" s="33"/>
      <c r="C1043" s="60"/>
      <c r="D1043" s="60"/>
      <c r="E1043" s="60"/>
      <c r="F1043" s="60"/>
      <c r="G1043" s="60"/>
      <c r="H1043" s="60"/>
      <c r="I1043" s="60"/>
      <c r="J1043" s="60"/>
      <c r="K1043" s="60"/>
      <c r="L1043" s="60"/>
      <c r="M1043" s="64"/>
      <c r="N1043" s="33"/>
    </row>
    <row r="1044" ht="24" customHeight="1" spans="2:14">
      <c r="B1044" s="33"/>
      <c r="C1044" s="60"/>
      <c r="D1044" s="60"/>
      <c r="E1044" s="60"/>
      <c r="F1044" s="60"/>
      <c r="G1044" s="60"/>
      <c r="H1044" s="60"/>
      <c r="I1044" s="60"/>
      <c r="J1044" s="60"/>
      <c r="K1044" s="60"/>
      <c r="L1044" s="60"/>
      <c r="M1044" s="64"/>
      <c r="N1044" s="33"/>
    </row>
    <row r="1045" ht="24" customHeight="1" spans="2:14">
      <c r="B1045" s="33"/>
      <c r="C1045" s="60"/>
      <c r="D1045" s="60"/>
      <c r="E1045" s="60"/>
      <c r="F1045" s="60"/>
      <c r="G1045" s="60"/>
      <c r="H1045" s="60"/>
      <c r="I1045" s="60"/>
      <c r="J1045" s="60"/>
      <c r="K1045" s="60"/>
      <c r="L1045" s="60"/>
      <c r="M1045" s="64"/>
      <c r="N1045" s="33"/>
    </row>
    <row r="1046" ht="24" customHeight="1" spans="2:14">
      <c r="B1046" s="33"/>
      <c r="C1046" s="60"/>
      <c r="D1046" s="60"/>
      <c r="E1046" s="60"/>
      <c r="F1046" s="60"/>
      <c r="G1046" s="60"/>
      <c r="H1046" s="60"/>
      <c r="I1046" s="60"/>
      <c r="J1046" s="60"/>
      <c r="K1046" s="60"/>
      <c r="L1046" s="60"/>
      <c r="M1046" s="64"/>
      <c r="N1046" s="33"/>
    </row>
    <row r="1047" ht="24" customHeight="1" spans="2:14">
      <c r="B1047" s="33"/>
      <c r="C1047" s="60"/>
      <c r="D1047" s="60"/>
      <c r="E1047" s="60"/>
      <c r="F1047" s="60"/>
      <c r="G1047" s="60"/>
      <c r="H1047" s="60"/>
      <c r="I1047" s="60"/>
      <c r="J1047" s="60"/>
      <c r="K1047" s="60"/>
      <c r="L1047" s="60"/>
      <c r="M1047" s="64"/>
      <c r="N1047" s="33"/>
    </row>
    <row r="1048" ht="24" customHeight="1" spans="2:14">
      <c r="B1048" s="33"/>
      <c r="C1048" s="60"/>
      <c r="D1048" s="60"/>
      <c r="E1048" s="60"/>
      <c r="F1048" s="60"/>
      <c r="G1048" s="60"/>
      <c r="H1048" s="60"/>
      <c r="I1048" s="60"/>
      <c r="J1048" s="60"/>
      <c r="K1048" s="60"/>
      <c r="L1048" s="60"/>
      <c r="M1048" s="64"/>
      <c r="N1048" s="33"/>
    </row>
    <row r="1049" ht="24" customHeight="1" spans="2:14">
      <c r="B1049" s="33"/>
      <c r="C1049" s="60"/>
      <c r="D1049" s="60"/>
      <c r="E1049" s="60"/>
      <c r="F1049" s="60"/>
      <c r="G1049" s="60"/>
      <c r="H1049" s="60"/>
      <c r="I1049" s="60"/>
      <c r="J1049" s="60"/>
      <c r="K1049" s="60"/>
      <c r="L1049" s="60"/>
      <c r="M1049" s="64"/>
      <c r="N1049" s="33"/>
    </row>
    <row r="1050" ht="24" customHeight="1" spans="2:14">
      <c r="B1050" s="33"/>
      <c r="C1050" s="60"/>
      <c r="D1050" s="60"/>
      <c r="E1050" s="60"/>
      <c r="F1050" s="60"/>
      <c r="G1050" s="60"/>
      <c r="H1050" s="60"/>
      <c r="I1050" s="60"/>
      <c r="J1050" s="60"/>
      <c r="K1050" s="60"/>
      <c r="L1050" s="60"/>
      <c r="M1050" s="64"/>
      <c r="N1050" s="33"/>
    </row>
    <row r="1051" ht="24" customHeight="1" spans="2:14">
      <c r="B1051" s="33"/>
      <c r="C1051" s="60"/>
      <c r="D1051" s="60"/>
      <c r="E1051" s="60"/>
      <c r="F1051" s="60"/>
      <c r="G1051" s="60"/>
      <c r="H1051" s="60"/>
      <c r="I1051" s="60"/>
      <c r="J1051" s="60"/>
      <c r="K1051" s="60"/>
      <c r="L1051" s="60"/>
      <c r="M1051" s="64"/>
      <c r="N1051" s="33"/>
    </row>
    <row r="1052" ht="24" customHeight="1" spans="2:14">
      <c r="B1052" s="33"/>
      <c r="C1052" s="60"/>
      <c r="D1052" s="60"/>
      <c r="E1052" s="60"/>
      <c r="F1052" s="60"/>
      <c r="G1052" s="60"/>
      <c r="H1052" s="60"/>
      <c r="I1052" s="60"/>
      <c r="J1052" s="60"/>
      <c r="K1052" s="60"/>
      <c r="L1052" s="60"/>
      <c r="M1052" s="64"/>
      <c r="N1052" s="33"/>
    </row>
    <row r="1053" ht="24" customHeight="1" spans="2:14">
      <c r="B1053" s="33"/>
      <c r="C1053" s="60"/>
      <c r="D1053" s="60"/>
      <c r="E1053" s="60"/>
      <c r="F1053" s="60"/>
      <c r="G1053" s="60"/>
      <c r="H1053" s="60"/>
      <c r="I1053" s="60"/>
      <c r="J1053" s="60"/>
      <c r="K1053" s="60"/>
      <c r="L1053" s="60"/>
      <c r="M1053" s="64"/>
      <c r="N1053" s="33"/>
    </row>
    <row r="1054" ht="24" customHeight="1" spans="2:14">
      <c r="B1054" s="33"/>
      <c r="C1054" s="60"/>
      <c r="D1054" s="60"/>
      <c r="E1054" s="60"/>
      <c r="F1054" s="60"/>
      <c r="G1054" s="60"/>
      <c r="H1054" s="60"/>
      <c r="I1054" s="60"/>
      <c r="J1054" s="60"/>
      <c r="K1054" s="60"/>
      <c r="L1054" s="60"/>
      <c r="M1054" s="64"/>
      <c r="N1054" s="33"/>
    </row>
    <row r="1055" ht="24" customHeight="1" spans="2:14">
      <c r="B1055" s="33"/>
      <c r="C1055" s="60"/>
      <c r="D1055" s="60"/>
      <c r="E1055" s="60"/>
      <c r="F1055" s="60"/>
      <c r="G1055" s="60"/>
      <c r="H1055" s="60"/>
      <c r="I1055" s="60"/>
      <c r="J1055" s="60"/>
      <c r="K1055" s="60"/>
      <c r="L1055" s="60"/>
      <c r="M1055" s="64"/>
      <c r="N1055" s="33"/>
    </row>
    <row r="1056" ht="24" customHeight="1" spans="2:14">
      <c r="B1056" s="33"/>
      <c r="C1056" s="60"/>
      <c r="D1056" s="60"/>
      <c r="E1056" s="60"/>
      <c r="F1056" s="60"/>
      <c r="G1056" s="60"/>
      <c r="H1056" s="60"/>
      <c r="I1056" s="60"/>
      <c r="J1056" s="60"/>
      <c r="K1056" s="60"/>
      <c r="L1056" s="60"/>
      <c r="M1056" s="64"/>
      <c r="N1056" s="33"/>
    </row>
    <row r="1057" ht="24" customHeight="1" spans="2:14">
      <c r="B1057" s="33"/>
      <c r="C1057" s="60"/>
      <c r="D1057" s="60"/>
      <c r="E1057" s="60"/>
      <c r="F1057" s="60"/>
      <c r="G1057" s="60"/>
      <c r="H1057" s="60"/>
      <c r="I1057" s="60"/>
      <c r="J1057" s="60"/>
      <c r="K1057" s="60"/>
      <c r="L1057" s="60"/>
      <c r="M1057" s="64"/>
      <c r="N1057" s="33"/>
    </row>
    <row r="1058" ht="24" customHeight="1" spans="2:14">
      <c r="B1058" s="33"/>
      <c r="C1058" s="60"/>
      <c r="D1058" s="60"/>
      <c r="E1058" s="60"/>
      <c r="F1058" s="60"/>
      <c r="G1058" s="60"/>
      <c r="H1058" s="60"/>
      <c r="I1058" s="60"/>
      <c r="J1058" s="60"/>
      <c r="K1058" s="60"/>
      <c r="L1058" s="60"/>
      <c r="M1058" s="64"/>
      <c r="N1058" s="33"/>
    </row>
    <row r="1059" ht="24" customHeight="1" spans="2:14">
      <c r="B1059" s="33"/>
      <c r="C1059" s="60"/>
      <c r="D1059" s="60"/>
      <c r="E1059" s="60"/>
      <c r="F1059" s="60"/>
      <c r="G1059" s="60"/>
      <c r="H1059" s="60"/>
      <c r="I1059" s="60"/>
      <c r="J1059" s="60"/>
      <c r="K1059" s="60"/>
      <c r="L1059" s="60"/>
      <c r="M1059" s="64"/>
      <c r="N1059" s="33"/>
    </row>
    <row r="1060" ht="24" customHeight="1" spans="2:14">
      <c r="B1060" s="33"/>
      <c r="C1060" s="60"/>
      <c r="D1060" s="60"/>
      <c r="E1060" s="60"/>
      <c r="F1060" s="60"/>
      <c r="G1060" s="60"/>
      <c r="H1060" s="60"/>
      <c r="I1060" s="60"/>
      <c r="J1060" s="60"/>
      <c r="K1060" s="60"/>
      <c r="L1060" s="60"/>
      <c r="M1060" s="64"/>
      <c r="N1060" s="33"/>
    </row>
    <row r="1061" ht="24" customHeight="1" spans="2:14">
      <c r="B1061" s="33"/>
      <c r="C1061" s="60"/>
      <c r="D1061" s="60"/>
      <c r="E1061" s="60"/>
      <c r="F1061" s="60"/>
      <c r="G1061" s="60"/>
      <c r="H1061" s="60"/>
      <c r="I1061" s="60"/>
      <c r="J1061" s="60"/>
      <c r="K1061" s="60"/>
      <c r="L1061" s="60"/>
      <c r="M1061" s="64"/>
      <c r="N1061" s="33"/>
    </row>
    <row r="1062" ht="24" customHeight="1" spans="2:14">
      <c r="B1062" s="33"/>
      <c r="C1062" s="60"/>
      <c r="D1062" s="60"/>
      <c r="E1062" s="60"/>
      <c r="F1062" s="60"/>
      <c r="G1062" s="60"/>
      <c r="H1062" s="60"/>
      <c r="I1062" s="60"/>
      <c r="J1062" s="60"/>
      <c r="K1062" s="60"/>
      <c r="L1062" s="60"/>
      <c r="M1062" s="64"/>
      <c r="N1062" s="33"/>
    </row>
    <row r="1063" ht="24" customHeight="1" spans="2:14">
      <c r="B1063" s="33"/>
      <c r="C1063" s="60"/>
      <c r="D1063" s="60"/>
      <c r="E1063" s="60"/>
      <c r="F1063" s="60"/>
      <c r="G1063" s="60"/>
      <c r="H1063" s="60"/>
      <c r="I1063" s="60"/>
      <c r="J1063" s="60"/>
      <c r="K1063" s="60"/>
      <c r="L1063" s="60"/>
      <c r="M1063" s="64"/>
      <c r="N1063" s="33"/>
    </row>
    <row r="1064" ht="24" customHeight="1" spans="2:14">
      <c r="B1064" s="33"/>
      <c r="C1064" s="60"/>
      <c r="D1064" s="60"/>
      <c r="E1064" s="60"/>
      <c r="F1064" s="60"/>
      <c r="G1064" s="60"/>
      <c r="H1064" s="60"/>
      <c r="I1064" s="60"/>
      <c r="J1064" s="60"/>
      <c r="K1064" s="60"/>
      <c r="L1064" s="60"/>
      <c r="M1064" s="64"/>
      <c r="N1064" s="33"/>
    </row>
    <row r="1065" ht="24" customHeight="1" spans="2:14">
      <c r="B1065" s="33"/>
      <c r="C1065" s="60"/>
      <c r="D1065" s="60"/>
      <c r="E1065" s="60"/>
      <c r="F1065" s="60"/>
      <c r="G1065" s="60"/>
      <c r="H1065" s="60"/>
      <c r="I1065" s="60"/>
      <c r="J1065" s="60"/>
      <c r="K1065" s="60"/>
      <c r="L1065" s="60"/>
      <c r="M1065" s="64"/>
      <c r="N1065" s="33"/>
    </row>
    <row r="1066" ht="24" customHeight="1" spans="2:14">
      <c r="B1066" s="33"/>
      <c r="C1066" s="60"/>
      <c r="D1066" s="60"/>
      <c r="E1066" s="60"/>
      <c r="F1066" s="60"/>
      <c r="G1066" s="60"/>
      <c r="H1066" s="60"/>
      <c r="I1066" s="60"/>
      <c r="J1066" s="60"/>
      <c r="K1066" s="60"/>
      <c r="L1066" s="60"/>
      <c r="M1066" s="64"/>
      <c r="N1066" s="33"/>
    </row>
    <row r="1067" ht="24" customHeight="1" spans="2:14">
      <c r="B1067" s="33"/>
      <c r="C1067" s="60"/>
      <c r="D1067" s="60"/>
      <c r="E1067" s="60"/>
      <c r="F1067" s="60"/>
      <c r="G1067" s="60"/>
      <c r="H1067" s="60"/>
      <c r="I1067" s="60"/>
      <c r="J1067" s="60"/>
      <c r="K1067" s="60"/>
      <c r="L1067" s="60"/>
      <c r="M1067" s="64"/>
      <c r="N1067" s="33"/>
    </row>
    <row r="1068" ht="24" customHeight="1" spans="2:14">
      <c r="B1068" s="33"/>
      <c r="C1068" s="60"/>
      <c r="D1068" s="60"/>
      <c r="E1068" s="60"/>
      <c r="F1068" s="60"/>
      <c r="G1068" s="60"/>
      <c r="H1068" s="60"/>
      <c r="I1068" s="60"/>
      <c r="J1068" s="60"/>
      <c r="K1068" s="60"/>
      <c r="L1068" s="60"/>
      <c r="M1068" s="64"/>
      <c r="N1068" s="33"/>
    </row>
    <row r="1069" ht="24" customHeight="1" spans="2:14">
      <c r="B1069" s="33"/>
      <c r="C1069" s="60"/>
      <c r="D1069" s="60"/>
      <c r="E1069" s="60"/>
      <c r="F1069" s="60"/>
      <c r="G1069" s="60"/>
      <c r="H1069" s="60"/>
      <c r="I1069" s="60"/>
      <c r="J1069" s="60"/>
      <c r="K1069" s="60"/>
      <c r="L1069" s="60"/>
      <c r="M1069" s="64"/>
      <c r="N1069" s="33"/>
    </row>
    <row r="1070" ht="24" customHeight="1" spans="2:14">
      <c r="B1070" s="33"/>
      <c r="C1070" s="60"/>
      <c r="D1070" s="60"/>
      <c r="E1070" s="60"/>
      <c r="F1070" s="60"/>
      <c r="G1070" s="60"/>
      <c r="H1070" s="60"/>
      <c r="I1070" s="60"/>
      <c r="J1070" s="60"/>
      <c r="K1070" s="60"/>
      <c r="L1070" s="60"/>
      <c r="M1070" s="64"/>
      <c r="N1070" s="33"/>
    </row>
    <row r="1071" ht="24" customHeight="1" spans="2:14">
      <c r="B1071" s="33"/>
      <c r="C1071" s="60"/>
      <c r="D1071" s="60"/>
      <c r="E1071" s="60"/>
      <c r="F1071" s="60"/>
      <c r="G1071" s="60"/>
      <c r="H1071" s="60"/>
      <c r="I1071" s="60"/>
      <c r="J1071" s="60"/>
      <c r="K1071" s="60"/>
      <c r="L1071" s="60"/>
      <c r="M1071" s="64"/>
      <c r="N1071" s="33"/>
    </row>
    <row r="1072" ht="24" customHeight="1" spans="2:14">
      <c r="B1072" s="33"/>
      <c r="C1072" s="60"/>
      <c r="D1072" s="60"/>
      <c r="E1072" s="60"/>
      <c r="F1072" s="60"/>
      <c r="G1072" s="60"/>
      <c r="H1072" s="60"/>
      <c r="I1072" s="60"/>
      <c r="J1072" s="60"/>
      <c r="K1072" s="60"/>
      <c r="L1072" s="60"/>
      <c r="M1072" s="64"/>
      <c r="N1072" s="33"/>
    </row>
    <row r="1073" ht="24" customHeight="1" spans="2:14">
      <c r="B1073" s="33"/>
      <c r="C1073" s="60"/>
      <c r="D1073" s="60"/>
      <c r="E1073" s="60"/>
      <c r="F1073" s="60"/>
      <c r="G1073" s="60"/>
      <c r="H1073" s="60"/>
      <c r="I1073" s="60"/>
      <c r="J1073" s="60"/>
      <c r="K1073" s="60"/>
      <c r="L1073" s="60"/>
      <c r="M1073" s="64"/>
      <c r="N1073" s="33"/>
    </row>
    <row r="1074" ht="24" customHeight="1" spans="2:14">
      <c r="B1074" s="33"/>
      <c r="C1074" s="60"/>
      <c r="D1074" s="60"/>
      <c r="E1074" s="60"/>
      <c r="F1074" s="60"/>
      <c r="G1074" s="60"/>
      <c r="H1074" s="60"/>
      <c r="I1074" s="60"/>
      <c r="J1074" s="60"/>
      <c r="K1074" s="60"/>
      <c r="L1074" s="60"/>
      <c r="M1074" s="64"/>
      <c r="N1074" s="33"/>
    </row>
    <row r="1075" ht="24" customHeight="1" spans="2:14">
      <c r="B1075" s="33"/>
      <c r="C1075" s="60"/>
      <c r="D1075" s="60"/>
      <c r="E1075" s="60"/>
      <c r="F1075" s="60"/>
      <c r="G1075" s="60"/>
      <c r="H1075" s="60"/>
      <c r="I1075" s="60"/>
      <c r="J1075" s="60"/>
      <c r="K1075" s="60"/>
      <c r="L1075" s="60"/>
      <c r="M1075" s="64"/>
      <c r="N1075" s="33"/>
    </row>
    <row r="1076" ht="24" customHeight="1" spans="2:14">
      <c r="B1076" s="33"/>
      <c r="C1076" s="60"/>
      <c r="D1076" s="60"/>
      <c r="E1076" s="60"/>
      <c r="F1076" s="60"/>
      <c r="G1076" s="60"/>
      <c r="H1076" s="60"/>
      <c r="I1076" s="60"/>
      <c r="J1076" s="60"/>
      <c r="K1076" s="60"/>
      <c r="L1076" s="60"/>
      <c r="M1076" s="64"/>
      <c r="N1076" s="33"/>
    </row>
    <row r="1077" ht="24" customHeight="1" spans="2:14">
      <c r="B1077" s="33"/>
      <c r="C1077" s="60"/>
      <c r="D1077" s="60"/>
      <c r="E1077" s="60"/>
      <c r="F1077" s="60"/>
      <c r="G1077" s="60"/>
      <c r="H1077" s="60"/>
      <c r="I1077" s="60"/>
      <c r="J1077" s="60"/>
      <c r="K1077" s="60"/>
      <c r="L1077" s="60"/>
      <c r="M1077" s="64"/>
      <c r="N1077" s="33"/>
    </row>
    <row r="1078" ht="24" customHeight="1" spans="2:14">
      <c r="B1078" s="33"/>
      <c r="C1078" s="60"/>
      <c r="D1078" s="60"/>
      <c r="E1078" s="60"/>
      <c r="F1078" s="60"/>
      <c r="G1078" s="60"/>
      <c r="H1078" s="60"/>
      <c r="I1078" s="60"/>
      <c r="J1078" s="60"/>
      <c r="K1078" s="60"/>
      <c r="L1078" s="60"/>
      <c r="M1078" s="64"/>
      <c r="N1078" s="33"/>
    </row>
    <row r="1079" ht="24" customHeight="1" spans="2:14">
      <c r="B1079" s="33"/>
      <c r="C1079" s="60"/>
      <c r="D1079" s="60"/>
      <c r="E1079" s="60"/>
      <c r="F1079" s="60"/>
      <c r="G1079" s="60"/>
      <c r="H1079" s="60"/>
      <c r="I1079" s="60"/>
      <c r="J1079" s="60"/>
      <c r="K1079" s="60"/>
      <c r="L1079" s="60"/>
      <c r="M1079" s="64"/>
      <c r="N1079" s="33"/>
    </row>
    <row r="1080" ht="24" customHeight="1" spans="2:14">
      <c r="B1080" s="33"/>
      <c r="C1080" s="60"/>
      <c r="D1080" s="60"/>
      <c r="E1080" s="60"/>
      <c r="F1080" s="60"/>
      <c r="G1080" s="60"/>
      <c r="H1080" s="60"/>
      <c r="I1080" s="60"/>
      <c r="J1080" s="60"/>
      <c r="K1080" s="60"/>
      <c r="L1080" s="60"/>
      <c r="M1080" s="64"/>
      <c r="N1080" s="33"/>
    </row>
    <row r="1081" ht="24" customHeight="1" spans="2:14">
      <c r="B1081" s="33"/>
      <c r="C1081" s="60"/>
      <c r="D1081" s="60"/>
      <c r="E1081" s="60"/>
      <c r="F1081" s="60"/>
      <c r="G1081" s="60"/>
      <c r="H1081" s="60"/>
      <c r="I1081" s="60"/>
      <c r="J1081" s="60"/>
      <c r="K1081" s="60"/>
      <c r="L1081" s="60"/>
      <c r="M1081" s="64"/>
      <c r="N1081" s="33"/>
    </row>
    <row r="1082" ht="24" customHeight="1" spans="2:14">
      <c r="B1082" s="33"/>
      <c r="C1082" s="60"/>
      <c r="D1082" s="60"/>
      <c r="E1082" s="60"/>
      <c r="F1082" s="60"/>
      <c r="G1082" s="60"/>
      <c r="H1082" s="60"/>
      <c r="I1082" s="60"/>
      <c r="J1082" s="60"/>
      <c r="K1082" s="60"/>
      <c r="L1082" s="60"/>
      <c r="M1082" s="64"/>
      <c r="N1082" s="33"/>
    </row>
    <row r="1083" ht="24" customHeight="1" spans="2:14">
      <c r="B1083" s="33"/>
      <c r="C1083" s="60"/>
      <c r="D1083" s="60"/>
      <c r="E1083" s="60"/>
      <c r="F1083" s="60"/>
      <c r="G1083" s="60"/>
      <c r="H1083" s="60"/>
      <c r="I1083" s="60"/>
      <c r="J1083" s="60"/>
      <c r="K1083" s="60"/>
      <c r="L1083" s="60"/>
      <c r="M1083" s="64"/>
      <c r="N1083" s="33"/>
    </row>
    <row r="1084" ht="24" customHeight="1" spans="2:14">
      <c r="B1084" s="33"/>
      <c r="C1084" s="60"/>
      <c r="D1084" s="60"/>
      <c r="E1084" s="60"/>
      <c r="F1084" s="60"/>
      <c r="G1084" s="60"/>
      <c r="H1084" s="60"/>
      <c r="I1084" s="60"/>
      <c r="J1084" s="60"/>
      <c r="K1084" s="60"/>
      <c r="L1084" s="60"/>
      <c r="M1084" s="64"/>
      <c r="N1084" s="33"/>
    </row>
    <row r="1085" ht="24" customHeight="1" spans="2:14">
      <c r="B1085" s="33"/>
      <c r="C1085" s="60"/>
      <c r="D1085" s="60"/>
      <c r="E1085" s="60"/>
      <c r="F1085" s="60"/>
      <c r="G1085" s="60"/>
      <c r="H1085" s="60"/>
      <c r="I1085" s="60"/>
      <c r="J1085" s="60"/>
      <c r="K1085" s="60"/>
      <c r="L1085" s="60"/>
      <c r="M1085" s="64"/>
      <c r="N1085" s="33"/>
    </row>
    <row r="1086" ht="24" customHeight="1" spans="2:14">
      <c r="B1086" s="33"/>
      <c r="C1086" s="60"/>
      <c r="D1086" s="60"/>
      <c r="E1086" s="60"/>
      <c r="F1086" s="60"/>
      <c r="G1086" s="60"/>
      <c r="H1086" s="60"/>
      <c r="I1086" s="60"/>
      <c r="J1086" s="60"/>
      <c r="K1086" s="60"/>
      <c r="L1086" s="60"/>
      <c r="M1086" s="64"/>
      <c r="N1086" s="33"/>
    </row>
    <row r="1087" ht="24" customHeight="1" spans="2:14">
      <c r="B1087" s="33"/>
      <c r="C1087" s="60"/>
      <c r="D1087" s="60"/>
      <c r="E1087" s="60"/>
      <c r="F1087" s="60"/>
      <c r="G1087" s="60"/>
      <c r="H1087" s="60"/>
      <c r="I1087" s="60"/>
      <c r="J1087" s="60"/>
      <c r="K1087" s="60"/>
      <c r="L1087" s="60"/>
      <c r="M1087" s="64"/>
      <c r="N1087" s="33"/>
    </row>
    <row r="1088" ht="24" customHeight="1" spans="2:14">
      <c r="B1088" s="33"/>
      <c r="C1088" s="60"/>
      <c r="D1088" s="60"/>
      <c r="E1088" s="60"/>
      <c r="F1088" s="60"/>
      <c r="G1088" s="60"/>
      <c r="H1088" s="60"/>
      <c r="I1088" s="60"/>
      <c r="J1088" s="60"/>
      <c r="K1088" s="60"/>
      <c r="L1088" s="60"/>
      <c r="M1088" s="64"/>
      <c r="N1088" s="33"/>
    </row>
    <row r="1089" ht="24" customHeight="1" spans="2:14">
      <c r="B1089" s="33"/>
      <c r="C1089" s="60"/>
      <c r="D1089" s="60"/>
      <c r="E1089" s="60"/>
      <c r="F1089" s="60"/>
      <c r="G1089" s="60"/>
      <c r="H1089" s="60"/>
      <c r="I1089" s="60"/>
      <c r="J1089" s="60"/>
      <c r="K1089" s="60"/>
      <c r="L1089" s="60"/>
      <c r="M1089" s="64"/>
      <c r="N1089" s="33"/>
    </row>
    <row r="1090" ht="24" customHeight="1" spans="2:14">
      <c r="B1090" s="33"/>
      <c r="C1090" s="60"/>
      <c r="D1090" s="60"/>
      <c r="E1090" s="60"/>
      <c r="F1090" s="60"/>
      <c r="G1090" s="60"/>
      <c r="H1090" s="60"/>
      <c r="I1090" s="60"/>
      <c r="J1090" s="60"/>
      <c r="K1090" s="60"/>
      <c r="L1090" s="60"/>
      <c r="M1090" s="64"/>
      <c r="N1090" s="33"/>
    </row>
    <row r="1091" ht="24" customHeight="1" spans="2:14">
      <c r="B1091" s="33"/>
      <c r="C1091" s="60"/>
      <c r="D1091" s="60"/>
      <c r="E1091" s="60"/>
      <c r="F1091" s="60"/>
      <c r="G1091" s="60"/>
      <c r="H1091" s="60"/>
      <c r="I1091" s="60"/>
      <c r="J1091" s="60"/>
      <c r="K1091" s="60"/>
      <c r="L1091" s="60"/>
      <c r="M1091" s="64"/>
      <c r="N1091" s="33"/>
    </row>
    <row r="1092" ht="24" customHeight="1" spans="2:14">
      <c r="B1092" s="33"/>
      <c r="C1092" s="60"/>
      <c r="D1092" s="60"/>
      <c r="E1092" s="60"/>
      <c r="F1092" s="60"/>
      <c r="G1092" s="60"/>
      <c r="H1092" s="60"/>
      <c r="I1092" s="60"/>
      <c r="J1092" s="60"/>
      <c r="K1092" s="60"/>
      <c r="L1092" s="60"/>
      <c r="M1092" s="64"/>
      <c r="N1092" s="33"/>
    </row>
    <row r="1093" ht="24" customHeight="1" spans="2:14">
      <c r="B1093" s="33"/>
      <c r="C1093" s="60"/>
      <c r="D1093" s="60"/>
      <c r="E1093" s="60"/>
      <c r="F1093" s="60"/>
      <c r="G1093" s="60"/>
      <c r="H1093" s="60"/>
      <c r="I1093" s="60"/>
      <c r="J1093" s="60"/>
      <c r="K1093" s="60"/>
      <c r="L1093" s="60"/>
      <c r="M1093" s="64"/>
      <c r="N1093" s="33"/>
    </row>
    <row r="1094" ht="24" customHeight="1" spans="2:14">
      <c r="B1094" s="33"/>
      <c r="C1094" s="60"/>
      <c r="D1094" s="60"/>
      <c r="E1094" s="60"/>
      <c r="F1094" s="60"/>
      <c r="G1094" s="60"/>
      <c r="H1094" s="60"/>
      <c r="I1094" s="60"/>
      <c r="J1094" s="60"/>
      <c r="K1094" s="60"/>
      <c r="L1094" s="60"/>
      <c r="M1094" s="64"/>
      <c r="N1094" s="33"/>
    </row>
    <row r="1095" ht="24" customHeight="1" spans="2:14">
      <c r="B1095" s="33"/>
      <c r="C1095" s="60"/>
      <c r="D1095" s="60"/>
      <c r="E1095" s="60"/>
      <c r="F1095" s="60"/>
      <c r="G1095" s="60"/>
      <c r="H1095" s="60"/>
      <c r="I1095" s="60"/>
      <c r="J1095" s="60"/>
      <c r="K1095" s="60"/>
      <c r="L1095" s="60"/>
      <c r="M1095" s="64"/>
      <c r="N1095" s="33"/>
    </row>
    <row r="1096" ht="24" customHeight="1" spans="2:14">
      <c r="B1096" s="33"/>
      <c r="C1096" s="60"/>
      <c r="D1096" s="60"/>
      <c r="E1096" s="60"/>
      <c r="F1096" s="60"/>
      <c r="G1096" s="60"/>
      <c r="H1096" s="60"/>
      <c r="I1096" s="60"/>
      <c r="J1096" s="60"/>
      <c r="K1096" s="60"/>
      <c r="L1096" s="60"/>
      <c r="M1096" s="64"/>
      <c r="N1096" s="33"/>
    </row>
    <row r="1097" ht="24" customHeight="1" spans="2:14">
      <c r="B1097" s="33"/>
      <c r="C1097" s="60"/>
      <c r="D1097" s="60"/>
      <c r="E1097" s="60"/>
      <c r="F1097" s="60"/>
      <c r="G1097" s="60"/>
      <c r="H1097" s="60"/>
      <c r="I1097" s="60"/>
      <c r="J1097" s="60"/>
      <c r="K1097" s="60"/>
      <c r="L1097" s="60"/>
      <c r="M1097" s="64"/>
      <c r="N1097" s="33"/>
    </row>
    <row r="1098" ht="24" customHeight="1" spans="2:14">
      <c r="B1098" s="33"/>
      <c r="C1098" s="60"/>
      <c r="D1098" s="60"/>
      <c r="E1098" s="60"/>
      <c r="F1098" s="60"/>
      <c r="G1098" s="60"/>
      <c r="H1098" s="60"/>
      <c r="I1098" s="60"/>
      <c r="J1098" s="60"/>
      <c r="K1098" s="60"/>
      <c r="L1098" s="60"/>
      <c r="M1098" s="64"/>
      <c r="N1098" s="33"/>
    </row>
    <row r="1099" ht="24" customHeight="1" spans="2:14">
      <c r="B1099" s="33"/>
      <c r="C1099" s="60"/>
      <c r="D1099" s="60"/>
      <c r="E1099" s="60"/>
      <c r="F1099" s="60"/>
      <c r="G1099" s="60"/>
      <c r="H1099" s="60"/>
      <c r="I1099" s="60"/>
      <c r="J1099" s="60"/>
      <c r="K1099" s="60"/>
      <c r="L1099" s="60"/>
      <c r="M1099" s="64"/>
      <c r="N1099" s="33"/>
    </row>
    <row r="1100" ht="24" customHeight="1" spans="2:14">
      <c r="B1100" s="33"/>
      <c r="C1100" s="60"/>
      <c r="D1100" s="60"/>
      <c r="E1100" s="60"/>
      <c r="F1100" s="60"/>
      <c r="G1100" s="60"/>
      <c r="H1100" s="60"/>
      <c r="I1100" s="60"/>
      <c r="J1100" s="60"/>
      <c r="K1100" s="60"/>
      <c r="L1100" s="60"/>
      <c r="M1100" s="64"/>
      <c r="N1100" s="33"/>
    </row>
    <row r="1101" ht="24" customHeight="1" spans="2:14">
      <c r="B1101" s="33"/>
      <c r="C1101" s="60"/>
      <c r="D1101" s="60"/>
      <c r="E1101" s="60"/>
      <c r="F1101" s="60"/>
      <c r="G1101" s="60"/>
      <c r="H1101" s="60"/>
      <c r="I1101" s="60"/>
      <c r="J1101" s="60"/>
      <c r="K1101" s="60"/>
      <c r="L1101" s="60"/>
      <c r="M1101" s="64"/>
      <c r="N1101" s="33"/>
    </row>
    <row r="1102" ht="24" customHeight="1" spans="2:14">
      <c r="B1102" s="33"/>
      <c r="C1102" s="60"/>
      <c r="D1102" s="60"/>
      <c r="E1102" s="60"/>
      <c r="F1102" s="60"/>
      <c r="G1102" s="60"/>
      <c r="H1102" s="60"/>
      <c r="I1102" s="60"/>
      <c r="J1102" s="60"/>
      <c r="K1102" s="60"/>
      <c r="L1102" s="60"/>
      <c r="M1102" s="64"/>
      <c r="N1102" s="33"/>
    </row>
    <row r="1103" ht="24" customHeight="1" spans="2:14">
      <c r="B1103" s="33"/>
      <c r="C1103" s="60"/>
      <c r="D1103" s="60"/>
      <c r="E1103" s="60"/>
      <c r="F1103" s="60"/>
      <c r="G1103" s="60"/>
      <c r="H1103" s="60"/>
      <c r="I1103" s="60"/>
      <c r="J1103" s="60"/>
      <c r="K1103" s="60"/>
      <c r="L1103" s="60"/>
      <c r="M1103" s="64"/>
      <c r="N1103" s="33"/>
    </row>
    <row r="1104" ht="24" customHeight="1" spans="2:14">
      <c r="B1104" s="33"/>
      <c r="C1104" s="60"/>
      <c r="D1104" s="60"/>
      <c r="E1104" s="60"/>
      <c r="F1104" s="60"/>
      <c r="G1104" s="60"/>
      <c r="H1104" s="60"/>
      <c r="I1104" s="60"/>
      <c r="J1104" s="60"/>
      <c r="K1104" s="60"/>
      <c r="L1104" s="60"/>
      <c r="M1104" s="64"/>
      <c r="N1104" s="33"/>
    </row>
    <row r="1105" ht="24" customHeight="1" spans="2:14">
      <c r="B1105" s="33"/>
      <c r="C1105" s="60"/>
      <c r="D1105" s="60"/>
      <c r="E1105" s="60"/>
      <c r="F1105" s="60"/>
      <c r="G1105" s="60"/>
      <c r="H1105" s="60"/>
      <c r="I1105" s="60"/>
      <c r="J1105" s="60"/>
      <c r="K1105" s="60"/>
      <c r="L1105" s="60"/>
      <c r="M1105" s="64"/>
      <c r="N1105" s="33"/>
    </row>
    <row r="1106" ht="24" customHeight="1" spans="2:14">
      <c r="B1106" s="33"/>
      <c r="C1106" s="60"/>
      <c r="D1106" s="60"/>
      <c r="E1106" s="60"/>
      <c r="F1106" s="60"/>
      <c r="G1106" s="60"/>
      <c r="H1106" s="60"/>
      <c r="I1106" s="60"/>
      <c r="J1106" s="60"/>
      <c r="K1106" s="60"/>
      <c r="L1106" s="60"/>
      <c r="M1106" s="64"/>
      <c r="N1106" s="33"/>
    </row>
    <row r="1107" ht="24" customHeight="1" spans="2:14">
      <c r="B1107" s="33"/>
      <c r="C1107" s="60"/>
      <c r="D1107" s="60"/>
      <c r="E1107" s="60"/>
      <c r="F1107" s="60"/>
      <c r="G1107" s="60"/>
      <c r="H1107" s="60"/>
      <c r="I1107" s="60"/>
      <c r="J1107" s="60"/>
      <c r="K1107" s="60"/>
      <c r="L1107" s="60"/>
      <c r="M1107" s="64"/>
      <c r="N1107" s="33"/>
    </row>
    <row r="1108" ht="24" customHeight="1" spans="2:14">
      <c r="B1108" s="33"/>
      <c r="C1108" s="60"/>
      <c r="D1108" s="60"/>
      <c r="E1108" s="60"/>
      <c r="F1108" s="60"/>
      <c r="G1108" s="60"/>
      <c r="H1108" s="60"/>
      <c r="I1108" s="60"/>
      <c r="J1108" s="60"/>
      <c r="K1108" s="60"/>
      <c r="L1108" s="60"/>
      <c r="M1108" s="64"/>
      <c r="N1108" s="33"/>
    </row>
    <row r="1109" ht="24" customHeight="1" spans="2:14">
      <c r="B1109" s="33"/>
      <c r="C1109" s="60"/>
      <c r="D1109" s="60"/>
      <c r="E1109" s="60"/>
      <c r="F1109" s="60"/>
      <c r="G1109" s="60"/>
      <c r="H1109" s="60"/>
      <c r="I1109" s="60"/>
      <c r="J1109" s="60"/>
      <c r="K1109" s="60"/>
      <c r="L1109" s="60"/>
      <c r="M1109" s="64"/>
      <c r="N1109" s="33"/>
    </row>
    <row r="1110" ht="24" customHeight="1" spans="2:14">
      <c r="B1110" s="33"/>
      <c r="C1110" s="60"/>
      <c r="D1110" s="60"/>
      <c r="E1110" s="60"/>
      <c r="F1110" s="60"/>
      <c r="G1110" s="60"/>
      <c r="H1110" s="60"/>
      <c r="I1110" s="60"/>
      <c r="J1110" s="60"/>
      <c r="K1110" s="60"/>
      <c r="L1110" s="60"/>
      <c r="M1110" s="64"/>
      <c r="N1110" s="33"/>
    </row>
    <row r="1111" ht="24" customHeight="1" spans="2:14">
      <c r="B1111" s="33"/>
      <c r="C1111" s="60"/>
      <c r="D1111" s="60"/>
      <c r="E1111" s="60"/>
      <c r="F1111" s="60"/>
      <c r="G1111" s="60"/>
      <c r="H1111" s="60"/>
      <c r="I1111" s="60"/>
      <c r="J1111" s="60"/>
      <c r="K1111" s="60"/>
      <c r="L1111" s="60"/>
      <c r="M1111" s="64"/>
      <c r="N1111" s="33"/>
    </row>
    <row r="1112" ht="24" customHeight="1" spans="2:14">
      <c r="B1112" s="33"/>
      <c r="C1112" s="60"/>
      <c r="D1112" s="60"/>
      <c r="E1112" s="60"/>
      <c r="F1112" s="60"/>
      <c r="G1112" s="60"/>
      <c r="H1112" s="60"/>
      <c r="I1112" s="60"/>
      <c r="J1112" s="60"/>
      <c r="K1112" s="60"/>
      <c r="L1112" s="60"/>
      <c r="M1112" s="64"/>
      <c r="N1112" s="33"/>
    </row>
    <row r="1113" ht="24" customHeight="1" spans="2:14">
      <c r="B1113" s="33"/>
      <c r="C1113" s="60"/>
      <c r="D1113" s="60"/>
      <c r="E1113" s="60"/>
      <c r="F1113" s="60"/>
      <c r="G1113" s="60"/>
      <c r="H1113" s="60"/>
      <c r="I1113" s="60"/>
      <c r="J1113" s="60"/>
      <c r="K1113" s="60"/>
      <c r="L1113" s="60"/>
      <c r="M1113" s="64"/>
      <c r="N1113" s="33"/>
    </row>
    <row r="1114" ht="24" customHeight="1" spans="2:14">
      <c r="B1114" s="33"/>
      <c r="C1114" s="60"/>
      <c r="D1114" s="60"/>
      <c r="E1114" s="60"/>
      <c r="F1114" s="60"/>
      <c r="G1114" s="60"/>
      <c r="H1114" s="60"/>
      <c r="I1114" s="60"/>
      <c r="J1114" s="60"/>
      <c r="K1114" s="60"/>
      <c r="L1114" s="60"/>
      <c r="M1114" s="64"/>
      <c r="N1114" s="33"/>
    </row>
    <row r="1115" ht="24" customHeight="1" spans="2:14">
      <c r="B1115" s="33"/>
      <c r="C1115" s="60"/>
      <c r="D1115" s="60"/>
      <c r="E1115" s="60"/>
      <c r="F1115" s="60"/>
      <c r="G1115" s="60"/>
      <c r="H1115" s="60"/>
      <c r="I1115" s="60"/>
      <c r="J1115" s="60"/>
      <c r="K1115" s="60"/>
      <c r="L1115" s="60"/>
      <c r="M1115" s="64"/>
      <c r="N1115" s="33"/>
    </row>
    <row r="1116" ht="24" customHeight="1" spans="2:14">
      <c r="B1116" s="33"/>
      <c r="C1116" s="60"/>
      <c r="D1116" s="60"/>
      <c r="E1116" s="60"/>
      <c r="F1116" s="60"/>
      <c r="G1116" s="60"/>
      <c r="H1116" s="60"/>
      <c r="I1116" s="60"/>
      <c r="J1116" s="60"/>
      <c r="K1116" s="60"/>
      <c r="L1116" s="60"/>
      <c r="M1116" s="64"/>
      <c r="N1116" s="33"/>
    </row>
    <row r="1117" ht="24" customHeight="1" spans="2:14">
      <c r="B1117" s="33"/>
      <c r="C1117" s="60"/>
      <c r="D1117" s="60"/>
      <c r="E1117" s="60"/>
      <c r="F1117" s="60"/>
      <c r="G1117" s="60"/>
      <c r="H1117" s="60"/>
      <c r="I1117" s="60"/>
      <c r="J1117" s="60"/>
      <c r="K1117" s="60"/>
      <c r="L1117" s="60"/>
      <c r="M1117" s="64"/>
      <c r="N1117" s="33"/>
    </row>
    <row r="1118" ht="24" customHeight="1" spans="2:14">
      <c r="B1118" s="33"/>
      <c r="C1118" s="60"/>
      <c r="D1118" s="60"/>
      <c r="E1118" s="60"/>
      <c r="F1118" s="60"/>
      <c r="G1118" s="60"/>
      <c r="H1118" s="60"/>
      <c r="I1118" s="60"/>
      <c r="J1118" s="60"/>
      <c r="K1118" s="60"/>
      <c r="L1118" s="60"/>
      <c r="M1118" s="64"/>
      <c r="N1118" s="33"/>
    </row>
    <row r="1119" ht="24" customHeight="1" spans="2:14">
      <c r="B1119" s="33"/>
      <c r="C1119" s="60"/>
      <c r="D1119" s="60"/>
      <c r="E1119" s="60"/>
      <c r="F1119" s="60"/>
      <c r="G1119" s="60"/>
      <c r="H1119" s="60"/>
      <c r="I1119" s="60"/>
      <c r="J1119" s="60"/>
      <c r="K1119" s="60"/>
      <c r="L1119" s="60"/>
      <c r="M1119" s="64"/>
      <c r="N1119" s="33"/>
    </row>
    <row r="1120" ht="24" customHeight="1" spans="2:14">
      <c r="B1120" s="33"/>
      <c r="C1120" s="60"/>
      <c r="D1120" s="60"/>
      <c r="E1120" s="60"/>
      <c r="F1120" s="60"/>
      <c r="G1120" s="60"/>
      <c r="H1120" s="60"/>
      <c r="I1120" s="60"/>
      <c r="J1120" s="60"/>
      <c r="K1120" s="60"/>
      <c r="L1120" s="60"/>
      <c r="M1120" s="64"/>
      <c r="N1120" s="33"/>
    </row>
    <row r="1121" ht="24" customHeight="1" spans="2:14">
      <c r="B1121" s="33"/>
      <c r="C1121" s="60"/>
      <c r="D1121" s="60"/>
      <c r="E1121" s="60"/>
      <c r="F1121" s="60"/>
      <c r="G1121" s="60"/>
      <c r="H1121" s="60"/>
      <c r="I1121" s="60"/>
      <c r="J1121" s="60"/>
      <c r="K1121" s="60"/>
      <c r="L1121" s="60"/>
      <c r="M1121" s="64"/>
      <c r="N1121" s="33"/>
    </row>
    <row r="1122" ht="24" customHeight="1" spans="2:14">
      <c r="B1122" s="33"/>
      <c r="C1122" s="60"/>
      <c r="D1122" s="60"/>
      <c r="E1122" s="60"/>
      <c r="F1122" s="60"/>
      <c r="G1122" s="60"/>
      <c r="H1122" s="60"/>
      <c r="I1122" s="60"/>
      <c r="J1122" s="60"/>
      <c r="K1122" s="60"/>
      <c r="L1122" s="60"/>
      <c r="M1122" s="64"/>
      <c r="N1122" s="33"/>
    </row>
    <row r="1123" ht="24" customHeight="1" spans="2:14">
      <c r="B1123" s="33"/>
      <c r="C1123" s="60"/>
      <c r="D1123" s="60"/>
      <c r="E1123" s="60"/>
      <c r="F1123" s="60"/>
      <c r="G1123" s="60"/>
      <c r="H1123" s="60"/>
      <c r="I1123" s="60"/>
      <c r="J1123" s="60"/>
      <c r="K1123" s="60"/>
      <c r="L1123" s="60"/>
      <c r="M1123" s="64"/>
      <c r="N1123" s="33"/>
    </row>
    <row r="1124" ht="24" customHeight="1" spans="2:14">
      <c r="B1124" s="33"/>
      <c r="C1124" s="60"/>
      <c r="D1124" s="60"/>
      <c r="E1124" s="60"/>
      <c r="F1124" s="60"/>
      <c r="G1124" s="60"/>
      <c r="H1124" s="60"/>
      <c r="I1124" s="60"/>
      <c r="J1124" s="60"/>
      <c r="K1124" s="60"/>
      <c r="L1124" s="60"/>
      <c r="M1124" s="64"/>
      <c r="N1124" s="33"/>
    </row>
    <row r="1125" ht="24" customHeight="1" spans="2:14">
      <c r="B1125" s="33"/>
      <c r="C1125" s="60"/>
      <c r="D1125" s="60"/>
      <c r="E1125" s="60"/>
      <c r="F1125" s="60"/>
      <c r="G1125" s="60"/>
      <c r="H1125" s="60"/>
      <c r="I1125" s="60"/>
      <c r="J1125" s="60"/>
      <c r="K1125" s="60"/>
      <c r="L1125" s="60"/>
      <c r="M1125" s="64"/>
      <c r="N1125" s="33"/>
    </row>
    <row r="1126" ht="24" customHeight="1" spans="2:14">
      <c r="B1126" s="33"/>
      <c r="C1126" s="60"/>
      <c r="D1126" s="60"/>
      <c r="E1126" s="60"/>
      <c r="F1126" s="60"/>
      <c r="G1126" s="60"/>
      <c r="H1126" s="60"/>
      <c r="I1126" s="60"/>
      <c r="J1126" s="60"/>
      <c r="K1126" s="60"/>
      <c r="L1126" s="60"/>
      <c r="M1126" s="64"/>
      <c r="N1126" s="33"/>
    </row>
    <row r="1127" ht="24" customHeight="1" spans="2:14">
      <c r="B1127" s="33"/>
      <c r="C1127" s="60"/>
      <c r="D1127" s="60"/>
      <c r="E1127" s="60"/>
      <c r="F1127" s="60"/>
      <c r="G1127" s="60"/>
      <c r="H1127" s="60"/>
      <c r="I1127" s="60"/>
      <c r="J1127" s="60"/>
      <c r="K1127" s="60"/>
      <c r="L1127" s="60"/>
      <c r="M1127" s="64"/>
      <c r="N1127" s="33"/>
    </row>
    <row r="1128" ht="24" customHeight="1" spans="2:14">
      <c r="B1128" s="33"/>
      <c r="C1128" s="60"/>
      <c r="D1128" s="60"/>
      <c r="E1128" s="60"/>
      <c r="F1128" s="60"/>
      <c r="G1128" s="60"/>
      <c r="H1128" s="60"/>
      <c r="I1128" s="60"/>
      <c r="J1128" s="60"/>
      <c r="K1128" s="60"/>
      <c r="L1128" s="60"/>
      <c r="M1128" s="64"/>
      <c r="N1128" s="33"/>
    </row>
    <row r="1129" ht="24" customHeight="1" spans="2:14">
      <c r="B1129" s="33"/>
      <c r="C1129" s="60"/>
      <c r="D1129" s="60"/>
      <c r="E1129" s="60"/>
      <c r="F1129" s="60"/>
      <c r="G1129" s="60"/>
      <c r="H1129" s="60"/>
      <c r="I1129" s="60"/>
      <c r="J1129" s="60"/>
      <c r="K1129" s="60"/>
      <c r="L1129" s="60"/>
      <c r="M1129" s="64"/>
      <c r="N1129" s="33"/>
    </row>
    <row r="1130" ht="24" customHeight="1" spans="2:14">
      <c r="B1130" s="33"/>
      <c r="C1130" s="60"/>
      <c r="D1130" s="60"/>
      <c r="E1130" s="60"/>
      <c r="F1130" s="60"/>
      <c r="G1130" s="60"/>
      <c r="H1130" s="60"/>
      <c r="I1130" s="60"/>
      <c r="J1130" s="60"/>
      <c r="K1130" s="60"/>
      <c r="L1130" s="60"/>
      <c r="M1130" s="64"/>
      <c r="N1130" s="33"/>
    </row>
    <row r="1131" ht="24" customHeight="1" spans="2:14">
      <c r="B1131" s="33"/>
      <c r="C1131" s="60"/>
      <c r="D1131" s="60"/>
      <c r="E1131" s="60"/>
      <c r="F1131" s="60"/>
      <c r="G1131" s="60"/>
      <c r="H1131" s="60"/>
      <c r="I1131" s="60"/>
      <c r="J1131" s="60"/>
      <c r="K1131" s="60"/>
      <c r="L1131" s="60"/>
      <c r="M1131" s="64"/>
      <c r="N1131" s="33"/>
    </row>
    <row r="1132" ht="24" customHeight="1" spans="2:14">
      <c r="B1132" s="33"/>
      <c r="C1132" s="60"/>
      <c r="D1132" s="60"/>
      <c r="E1132" s="60"/>
      <c r="F1132" s="60"/>
      <c r="G1132" s="60"/>
      <c r="H1132" s="60"/>
      <c r="I1132" s="60"/>
      <c r="J1132" s="60"/>
      <c r="K1132" s="60"/>
      <c r="L1132" s="60"/>
      <c r="M1132" s="64"/>
      <c r="N1132" s="33"/>
    </row>
    <row r="1133" ht="24" customHeight="1" spans="2:14">
      <c r="B1133" s="33"/>
      <c r="C1133" s="60"/>
      <c r="D1133" s="60"/>
      <c r="E1133" s="60"/>
      <c r="F1133" s="60"/>
      <c r="G1133" s="60"/>
      <c r="H1133" s="60"/>
      <c r="I1133" s="60"/>
      <c r="J1133" s="60"/>
      <c r="K1133" s="60"/>
      <c r="L1133" s="60"/>
      <c r="M1133" s="64"/>
      <c r="N1133" s="33"/>
    </row>
    <row r="1134" ht="24" customHeight="1" spans="2:14">
      <c r="B1134" s="33"/>
      <c r="C1134" s="60"/>
      <c r="D1134" s="60"/>
      <c r="E1134" s="60"/>
      <c r="F1134" s="60"/>
      <c r="G1134" s="60"/>
      <c r="H1134" s="60"/>
      <c r="I1134" s="60"/>
      <c r="J1134" s="60"/>
      <c r="K1134" s="60"/>
      <c r="L1134" s="60"/>
      <c r="M1134" s="64"/>
      <c r="N1134" s="33"/>
    </row>
    <row r="1135" ht="24" customHeight="1" spans="2:14">
      <c r="B1135" s="33"/>
      <c r="C1135" s="60"/>
      <c r="D1135" s="60"/>
      <c r="E1135" s="60"/>
      <c r="F1135" s="60"/>
      <c r="G1135" s="60"/>
      <c r="H1135" s="60"/>
      <c r="I1135" s="60"/>
      <c r="J1135" s="60"/>
      <c r="K1135" s="60"/>
      <c r="L1135" s="60"/>
      <c r="M1135" s="64"/>
      <c r="N1135" s="33"/>
    </row>
    <row r="1136" ht="24" customHeight="1" spans="2:14">
      <c r="B1136" s="33"/>
      <c r="C1136" s="60"/>
      <c r="D1136" s="60"/>
      <c r="E1136" s="60"/>
      <c r="F1136" s="60"/>
      <c r="G1136" s="60"/>
      <c r="H1136" s="60"/>
      <c r="I1136" s="60"/>
      <c r="J1136" s="60"/>
      <c r="K1136" s="60"/>
      <c r="L1136" s="60"/>
      <c r="M1136" s="64"/>
      <c r="N1136" s="33"/>
    </row>
    <row r="1137" ht="24" customHeight="1" spans="2:14">
      <c r="B1137" s="33"/>
      <c r="C1137" s="60"/>
      <c r="D1137" s="60"/>
      <c r="E1137" s="60"/>
      <c r="F1137" s="60"/>
      <c r="G1137" s="60"/>
      <c r="H1137" s="60"/>
      <c r="I1137" s="60"/>
      <c r="J1137" s="60"/>
      <c r="K1137" s="60"/>
      <c r="L1137" s="60"/>
      <c r="M1137" s="64"/>
      <c r="N1137" s="33"/>
    </row>
    <row r="1138" ht="24" customHeight="1" spans="2:14">
      <c r="B1138" s="33"/>
      <c r="C1138" s="60"/>
      <c r="D1138" s="60"/>
      <c r="E1138" s="60"/>
      <c r="F1138" s="60"/>
      <c r="G1138" s="60"/>
      <c r="H1138" s="60"/>
      <c r="I1138" s="60"/>
      <c r="J1138" s="60"/>
      <c r="K1138" s="60"/>
      <c r="L1138" s="60"/>
      <c r="M1138" s="64"/>
      <c r="N1138" s="33"/>
    </row>
    <row r="1139" ht="24" customHeight="1" spans="2:14">
      <c r="B1139" s="33"/>
      <c r="C1139" s="60"/>
      <c r="D1139" s="60"/>
      <c r="E1139" s="60"/>
      <c r="F1139" s="60"/>
      <c r="G1139" s="60"/>
      <c r="H1139" s="60"/>
      <c r="I1139" s="60"/>
      <c r="J1139" s="60"/>
      <c r="K1139" s="60"/>
      <c r="L1139" s="60"/>
      <c r="M1139" s="64"/>
      <c r="N1139" s="33"/>
    </row>
    <row r="1140" ht="24" customHeight="1" spans="2:14">
      <c r="B1140" s="33"/>
      <c r="C1140" s="60"/>
      <c r="D1140" s="60"/>
      <c r="E1140" s="60"/>
      <c r="F1140" s="60"/>
      <c r="G1140" s="60"/>
      <c r="H1140" s="60"/>
      <c r="I1140" s="60"/>
      <c r="J1140" s="60"/>
      <c r="K1140" s="60"/>
      <c r="L1140" s="60"/>
      <c r="M1140" s="64"/>
      <c r="N1140" s="33"/>
    </row>
    <row r="1141" ht="24" customHeight="1" spans="2:14">
      <c r="B1141" s="33"/>
      <c r="C1141" s="60"/>
      <c r="D1141" s="60"/>
      <c r="E1141" s="60"/>
      <c r="F1141" s="60"/>
      <c r="G1141" s="60"/>
      <c r="H1141" s="60"/>
      <c r="I1141" s="60"/>
      <c r="J1141" s="60"/>
      <c r="K1141" s="60"/>
      <c r="L1141" s="60"/>
      <c r="M1141" s="64"/>
      <c r="N1141" s="33"/>
    </row>
    <row r="1142" ht="24" customHeight="1" spans="2:14">
      <c r="B1142" s="33"/>
      <c r="C1142" s="60"/>
      <c r="D1142" s="60"/>
      <c r="E1142" s="60"/>
      <c r="F1142" s="60"/>
      <c r="G1142" s="60"/>
      <c r="H1142" s="60"/>
      <c r="I1142" s="60"/>
      <c r="J1142" s="60"/>
      <c r="K1142" s="60"/>
      <c r="L1142" s="60"/>
      <c r="M1142" s="64"/>
      <c r="N1142" s="33"/>
    </row>
    <row r="1143" ht="24" customHeight="1" spans="2:14">
      <c r="B1143" s="33"/>
      <c r="C1143" s="60"/>
      <c r="D1143" s="60"/>
      <c r="E1143" s="60"/>
      <c r="F1143" s="60"/>
      <c r="G1143" s="60"/>
      <c r="H1143" s="60"/>
      <c r="I1143" s="60"/>
      <c r="J1143" s="60"/>
      <c r="K1143" s="60"/>
      <c r="L1143" s="60"/>
      <c r="M1143" s="64"/>
      <c r="N1143" s="33"/>
    </row>
    <row r="1144" ht="24" customHeight="1" spans="2:14">
      <c r="B1144" s="33"/>
      <c r="C1144" s="60"/>
      <c r="D1144" s="60"/>
      <c r="E1144" s="60"/>
      <c r="F1144" s="60"/>
      <c r="G1144" s="60"/>
      <c r="H1144" s="60"/>
      <c r="I1144" s="60"/>
      <c r="J1144" s="60"/>
      <c r="K1144" s="60"/>
      <c r="L1144" s="60"/>
      <c r="M1144" s="64"/>
      <c r="N1144" s="33"/>
    </row>
    <row r="1145" ht="24" customHeight="1" spans="2:14">
      <c r="B1145" s="33"/>
      <c r="C1145" s="60"/>
      <c r="D1145" s="60"/>
      <c r="E1145" s="60"/>
      <c r="F1145" s="60"/>
      <c r="G1145" s="60"/>
      <c r="H1145" s="60"/>
      <c r="I1145" s="60"/>
      <c r="J1145" s="60"/>
      <c r="K1145" s="60"/>
      <c r="L1145" s="60"/>
      <c r="M1145" s="64"/>
      <c r="N1145" s="33"/>
    </row>
    <row r="1146" ht="24" customHeight="1" spans="2:14">
      <c r="B1146" s="33"/>
      <c r="C1146" s="60"/>
      <c r="D1146" s="60"/>
      <c r="E1146" s="60"/>
      <c r="F1146" s="60"/>
      <c r="G1146" s="60"/>
      <c r="H1146" s="60"/>
      <c r="I1146" s="60"/>
      <c r="J1146" s="60"/>
      <c r="K1146" s="60"/>
      <c r="L1146" s="60"/>
      <c r="M1146" s="64"/>
      <c r="N1146" s="33"/>
    </row>
    <row r="1147" ht="24" customHeight="1" spans="2:14">
      <c r="B1147" s="33"/>
      <c r="C1147" s="60"/>
      <c r="D1147" s="60"/>
      <c r="E1147" s="60"/>
      <c r="F1147" s="60"/>
      <c r="G1147" s="60"/>
      <c r="H1147" s="60"/>
      <c r="I1147" s="60"/>
      <c r="J1147" s="60"/>
      <c r="K1147" s="60"/>
      <c r="L1147" s="60"/>
      <c r="M1147" s="64"/>
      <c r="N1147" s="33"/>
    </row>
    <row r="1148" ht="24" customHeight="1" spans="2:14">
      <c r="B1148" s="33"/>
      <c r="C1148" s="60"/>
      <c r="D1148" s="60"/>
      <c r="E1148" s="60"/>
      <c r="F1148" s="60"/>
      <c r="G1148" s="60"/>
      <c r="H1148" s="60"/>
      <c r="I1148" s="60"/>
      <c r="J1148" s="60"/>
      <c r="K1148" s="60"/>
      <c r="L1148" s="60"/>
      <c r="M1148" s="64"/>
      <c r="N1148" s="33"/>
    </row>
    <row r="1149" ht="24" customHeight="1" spans="2:14">
      <c r="B1149" s="33"/>
      <c r="C1149" s="60"/>
      <c r="D1149" s="60"/>
      <c r="E1149" s="60"/>
      <c r="F1149" s="60"/>
      <c r="G1149" s="60"/>
      <c r="H1149" s="60"/>
      <c r="I1149" s="60"/>
      <c r="J1149" s="60"/>
      <c r="K1149" s="60"/>
      <c r="L1149" s="60"/>
      <c r="M1149" s="64"/>
      <c r="N1149" s="33"/>
    </row>
    <row r="1150" ht="24" customHeight="1" spans="2:14">
      <c r="B1150" s="33"/>
      <c r="C1150" s="60"/>
      <c r="D1150" s="60"/>
      <c r="E1150" s="60"/>
      <c r="F1150" s="60"/>
      <c r="G1150" s="60"/>
      <c r="H1150" s="60"/>
      <c r="I1150" s="60"/>
      <c r="J1150" s="60"/>
      <c r="K1150" s="60"/>
      <c r="L1150" s="60"/>
      <c r="M1150" s="64"/>
      <c r="N1150" s="33"/>
    </row>
    <row r="1151" ht="24" customHeight="1" spans="2:14">
      <c r="B1151" s="33"/>
      <c r="C1151" s="60"/>
      <c r="D1151" s="60"/>
      <c r="E1151" s="60"/>
      <c r="F1151" s="60"/>
      <c r="G1151" s="60"/>
      <c r="H1151" s="60"/>
      <c r="I1151" s="60"/>
      <c r="J1151" s="60"/>
      <c r="K1151" s="60"/>
      <c r="L1151" s="60"/>
      <c r="M1151" s="64"/>
      <c r="N1151" s="33"/>
    </row>
    <row r="1152" ht="24" customHeight="1" spans="2:14">
      <c r="B1152" s="33"/>
      <c r="C1152" s="60"/>
      <c r="D1152" s="60"/>
      <c r="E1152" s="60"/>
      <c r="F1152" s="60"/>
      <c r="G1152" s="60"/>
      <c r="H1152" s="60"/>
      <c r="I1152" s="60"/>
      <c r="J1152" s="60"/>
      <c r="K1152" s="60"/>
      <c r="L1152" s="60"/>
      <c r="M1152" s="64"/>
      <c r="N1152" s="33"/>
    </row>
    <row r="1153" ht="24" customHeight="1" spans="2:14">
      <c r="B1153" s="33"/>
      <c r="C1153" s="60"/>
      <c r="D1153" s="60"/>
      <c r="E1153" s="60"/>
      <c r="F1153" s="60"/>
      <c r="G1153" s="60"/>
      <c r="H1153" s="60"/>
      <c r="I1153" s="60"/>
      <c r="J1153" s="60"/>
      <c r="K1153" s="60"/>
      <c r="L1153" s="60"/>
      <c r="M1153" s="64"/>
      <c r="N1153" s="33"/>
    </row>
    <row r="1154" ht="24" customHeight="1" spans="2:14">
      <c r="B1154" s="33"/>
      <c r="C1154" s="60"/>
      <c r="D1154" s="60"/>
      <c r="E1154" s="60"/>
      <c r="F1154" s="60"/>
      <c r="G1154" s="60"/>
      <c r="H1154" s="60"/>
      <c r="I1154" s="60"/>
      <c r="J1154" s="60"/>
      <c r="K1154" s="60"/>
      <c r="L1154" s="60"/>
      <c r="M1154" s="64"/>
      <c r="N1154" s="33"/>
    </row>
    <row r="1155" ht="24" customHeight="1" spans="2:14">
      <c r="B1155" s="33"/>
      <c r="C1155" s="60"/>
      <c r="D1155" s="60"/>
      <c r="E1155" s="60"/>
      <c r="F1155" s="60"/>
      <c r="G1155" s="60"/>
      <c r="H1155" s="60"/>
      <c r="I1155" s="60"/>
      <c r="J1155" s="60"/>
      <c r="K1155" s="60"/>
      <c r="L1155" s="60"/>
      <c r="M1155" s="64"/>
      <c r="N1155" s="33"/>
    </row>
    <row r="1156" ht="24" customHeight="1" spans="2:14">
      <c r="B1156" s="33"/>
      <c r="C1156" s="60"/>
      <c r="D1156" s="60"/>
      <c r="E1156" s="60"/>
      <c r="F1156" s="60"/>
      <c r="G1156" s="60"/>
      <c r="H1156" s="60"/>
      <c r="I1156" s="60"/>
      <c r="J1156" s="60"/>
      <c r="K1156" s="60"/>
      <c r="L1156" s="60"/>
      <c r="M1156" s="64"/>
      <c r="N1156" s="33"/>
    </row>
    <row r="1157" ht="24" customHeight="1" spans="2:14">
      <c r="B1157" s="33"/>
      <c r="C1157" s="60"/>
      <c r="D1157" s="60"/>
      <c r="E1157" s="60"/>
      <c r="F1157" s="60"/>
      <c r="G1157" s="60"/>
      <c r="H1157" s="60"/>
      <c r="I1157" s="60"/>
      <c r="J1157" s="60"/>
      <c r="K1157" s="60"/>
      <c r="L1157" s="60"/>
      <c r="M1157" s="64"/>
      <c r="N1157" s="33"/>
    </row>
    <row r="1158" ht="24" customHeight="1" spans="2:14">
      <c r="B1158" s="33"/>
      <c r="C1158" s="60"/>
      <c r="D1158" s="60"/>
      <c r="E1158" s="60"/>
      <c r="F1158" s="60"/>
      <c r="G1158" s="60"/>
      <c r="H1158" s="60"/>
      <c r="I1158" s="60"/>
      <c r="J1158" s="60"/>
      <c r="K1158" s="60"/>
      <c r="L1158" s="60"/>
      <c r="M1158" s="64"/>
      <c r="N1158" s="33"/>
    </row>
    <row r="1159" ht="24" customHeight="1" spans="2:14">
      <c r="B1159" s="33"/>
      <c r="C1159" s="60"/>
      <c r="D1159" s="60"/>
      <c r="E1159" s="60"/>
      <c r="F1159" s="60"/>
      <c r="G1159" s="60"/>
      <c r="H1159" s="60"/>
      <c r="I1159" s="60"/>
      <c r="J1159" s="60"/>
      <c r="K1159" s="60"/>
      <c r="L1159" s="60"/>
      <c r="M1159" s="64"/>
      <c r="N1159" s="33"/>
    </row>
    <row r="1160" ht="24" customHeight="1" spans="2:14">
      <c r="B1160" s="33"/>
      <c r="C1160" s="60"/>
      <c r="D1160" s="60"/>
      <c r="E1160" s="60"/>
      <c r="F1160" s="60"/>
      <c r="G1160" s="60"/>
      <c r="H1160" s="60"/>
      <c r="I1160" s="60"/>
      <c r="J1160" s="60"/>
      <c r="K1160" s="60"/>
      <c r="L1160" s="60"/>
      <c r="M1160" s="64"/>
      <c r="N1160" s="33"/>
    </row>
    <row r="1161" ht="24" customHeight="1" spans="2:14">
      <c r="B1161" s="33"/>
      <c r="C1161" s="60"/>
      <c r="D1161" s="60"/>
      <c r="E1161" s="60"/>
      <c r="F1161" s="60"/>
      <c r="G1161" s="60"/>
      <c r="H1161" s="60"/>
      <c r="I1161" s="60"/>
      <c r="J1161" s="60"/>
      <c r="K1161" s="60"/>
      <c r="L1161" s="60"/>
      <c r="M1161" s="64"/>
      <c r="N1161" s="33"/>
    </row>
    <row r="1162" ht="24" customHeight="1" spans="2:14">
      <c r="B1162" s="33"/>
      <c r="C1162" s="60"/>
      <c r="D1162" s="60"/>
      <c r="E1162" s="60"/>
      <c r="F1162" s="60"/>
      <c r="G1162" s="60"/>
      <c r="H1162" s="60"/>
      <c r="I1162" s="60"/>
      <c r="J1162" s="60"/>
      <c r="K1162" s="60"/>
      <c r="L1162" s="60"/>
      <c r="M1162" s="64"/>
      <c r="N1162" s="33"/>
    </row>
    <row r="1163" ht="24" customHeight="1" spans="2:14">
      <c r="B1163" s="33"/>
      <c r="C1163" s="60"/>
      <c r="D1163" s="60"/>
      <c r="E1163" s="60"/>
      <c r="F1163" s="60"/>
      <c r="G1163" s="60"/>
      <c r="H1163" s="60"/>
      <c r="I1163" s="60"/>
      <c r="J1163" s="60"/>
      <c r="K1163" s="60"/>
      <c r="L1163" s="60"/>
      <c r="M1163" s="64"/>
      <c r="N1163" s="33"/>
    </row>
    <row r="1164" ht="24" customHeight="1" spans="2:14">
      <c r="B1164" s="33"/>
      <c r="C1164" s="60"/>
      <c r="D1164" s="60"/>
      <c r="E1164" s="60"/>
      <c r="F1164" s="60"/>
      <c r="G1164" s="60"/>
      <c r="H1164" s="60"/>
      <c r="I1164" s="60"/>
      <c r="J1164" s="60"/>
      <c r="K1164" s="60"/>
      <c r="L1164" s="60"/>
      <c r="M1164" s="64"/>
      <c r="N1164" s="33"/>
    </row>
    <row r="1165" ht="24" customHeight="1" spans="2:14">
      <c r="B1165" s="33"/>
      <c r="C1165" s="60"/>
      <c r="D1165" s="60"/>
      <c r="E1165" s="60"/>
      <c r="F1165" s="60"/>
      <c r="G1165" s="60"/>
      <c r="H1165" s="60"/>
      <c r="I1165" s="60"/>
      <c r="J1165" s="60"/>
      <c r="K1165" s="60"/>
      <c r="L1165" s="60"/>
      <c r="M1165" s="64"/>
      <c r="N1165" s="33"/>
    </row>
    <row r="1166" ht="24" customHeight="1" spans="2:14">
      <c r="B1166" s="33"/>
      <c r="C1166" s="60"/>
      <c r="D1166" s="60"/>
      <c r="E1166" s="60"/>
      <c r="F1166" s="60"/>
      <c r="G1166" s="60"/>
      <c r="H1166" s="60"/>
      <c r="I1166" s="60"/>
      <c r="J1166" s="60"/>
      <c r="K1166" s="60"/>
      <c r="L1166" s="60"/>
      <c r="M1166" s="64"/>
      <c r="N1166" s="33"/>
    </row>
    <row r="1167" ht="24" customHeight="1" spans="2:14">
      <c r="B1167" s="33"/>
      <c r="C1167" s="60"/>
      <c r="D1167" s="60"/>
      <c r="E1167" s="60"/>
      <c r="F1167" s="60"/>
      <c r="G1167" s="60"/>
      <c r="H1167" s="60"/>
      <c r="I1167" s="60"/>
      <c r="J1167" s="60"/>
      <c r="K1167" s="60"/>
      <c r="L1167" s="60"/>
      <c r="M1167" s="64"/>
      <c r="N1167" s="33"/>
    </row>
    <row r="1168" ht="24" customHeight="1" spans="2:14">
      <c r="B1168" s="33"/>
      <c r="C1168" s="60"/>
      <c r="D1168" s="60"/>
      <c r="E1168" s="60"/>
      <c r="F1168" s="60"/>
      <c r="G1168" s="60"/>
      <c r="H1168" s="60"/>
      <c r="I1168" s="60"/>
      <c r="J1168" s="60"/>
      <c r="K1168" s="60"/>
      <c r="L1168" s="60"/>
      <c r="M1168" s="64"/>
      <c r="N1168" s="33"/>
    </row>
    <row r="1169" ht="24" customHeight="1" spans="2:14">
      <c r="B1169" s="33"/>
      <c r="C1169" s="60"/>
      <c r="D1169" s="60"/>
      <c r="E1169" s="60"/>
      <c r="F1169" s="60"/>
      <c r="G1169" s="60"/>
      <c r="H1169" s="60"/>
      <c r="I1169" s="60"/>
      <c r="J1169" s="60"/>
      <c r="K1169" s="60"/>
      <c r="L1169" s="60"/>
      <c r="M1169" s="64"/>
      <c r="N1169" s="33"/>
    </row>
    <row r="1170" ht="24" customHeight="1" spans="2:14">
      <c r="B1170" s="33"/>
      <c r="C1170" s="60"/>
      <c r="D1170" s="60"/>
      <c r="E1170" s="60"/>
      <c r="F1170" s="60"/>
      <c r="G1170" s="60"/>
      <c r="H1170" s="60"/>
      <c r="I1170" s="60"/>
      <c r="J1170" s="60"/>
      <c r="K1170" s="60"/>
      <c r="L1170" s="60"/>
      <c r="M1170" s="64"/>
      <c r="N1170" s="33"/>
    </row>
    <row r="1171" ht="24" customHeight="1" spans="2:14">
      <c r="B1171" s="33"/>
      <c r="C1171" s="60"/>
      <c r="D1171" s="60"/>
      <c r="E1171" s="60"/>
      <c r="F1171" s="60"/>
      <c r="G1171" s="60"/>
      <c r="H1171" s="60"/>
      <c r="I1171" s="60"/>
      <c r="J1171" s="60"/>
      <c r="K1171" s="60"/>
      <c r="L1171" s="60"/>
      <c r="M1171" s="64"/>
      <c r="N1171" s="33"/>
    </row>
    <row r="1172" ht="24" customHeight="1" spans="2:14">
      <c r="B1172" s="33"/>
      <c r="C1172" s="60"/>
      <c r="D1172" s="60"/>
      <c r="E1172" s="60"/>
      <c r="F1172" s="60"/>
      <c r="G1172" s="60"/>
      <c r="H1172" s="60"/>
      <c r="I1172" s="60"/>
      <c r="J1172" s="60"/>
      <c r="K1172" s="60"/>
      <c r="L1172" s="60"/>
      <c r="M1172" s="64"/>
      <c r="N1172" s="33"/>
    </row>
    <row r="1173" ht="24" customHeight="1" spans="2:14">
      <c r="B1173" s="33"/>
      <c r="C1173" s="60"/>
      <c r="D1173" s="60"/>
      <c r="E1173" s="60"/>
      <c r="F1173" s="60"/>
      <c r="G1173" s="60"/>
      <c r="H1173" s="60"/>
      <c r="I1173" s="60"/>
      <c r="J1173" s="60"/>
      <c r="K1173" s="60"/>
      <c r="L1173" s="60"/>
      <c r="M1173" s="64"/>
      <c r="N1173" s="33"/>
    </row>
    <row r="1174" ht="24" customHeight="1" spans="2:14">
      <c r="B1174" s="33"/>
      <c r="C1174" s="60"/>
      <c r="D1174" s="60"/>
      <c r="E1174" s="60"/>
      <c r="F1174" s="60"/>
      <c r="G1174" s="60"/>
      <c r="H1174" s="60"/>
      <c r="I1174" s="60"/>
      <c r="J1174" s="60"/>
      <c r="K1174" s="60"/>
      <c r="L1174" s="60"/>
      <c r="M1174" s="64"/>
      <c r="N1174" s="33"/>
    </row>
    <row r="1175" ht="24" customHeight="1" spans="2:14">
      <c r="B1175" s="33"/>
      <c r="C1175" s="60"/>
      <c r="D1175" s="60"/>
      <c r="E1175" s="60"/>
      <c r="F1175" s="60"/>
      <c r="G1175" s="60"/>
      <c r="H1175" s="60"/>
      <c r="I1175" s="60"/>
      <c r="J1175" s="60"/>
      <c r="K1175" s="60"/>
      <c r="L1175" s="60"/>
      <c r="M1175" s="64"/>
      <c r="N1175" s="33"/>
    </row>
    <row r="1176" ht="24" customHeight="1" spans="2:14">
      <c r="B1176" s="33"/>
      <c r="C1176" s="60"/>
      <c r="D1176" s="60"/>
      <c r="E1176" s="60"/>
      <c r="F1176" s="60"/>
      <c r="G1176" s="60"/>
      <c r="H1176" s="60"/>
      <c r="I1176" s="60"/>
      <c r="J1176" s="60"/>
      <c r="K1176" s="60"/>
      <c r="L1176" s="60"/>
      <c r="M1176" s="64"/>
      <c r="N1176" s="33"/>
    </row>
    <row r="1177" ht="24" customHeight="1" spans="2:14">
      <c r="B1177" s="33"/>
      <c r="C1177" s="60"/>
      <c r="D1177" s="60"/>
      <c r="E1177" s="60"/>
      <c r="F1177" s="60"/>
      <c r="G1177" s="60"/>
      <c r="H1177" s="60"/>
      <c r="I1177" s="60"/>
      <c r="J1177" s="60"/>
      <c r="K1177" s="60"/>
      <c r="L1177" s="60"/>
      <c r="M1177" s="64"/>
      <c r="N1177" s="33"/>
    </row>
    <row r="1178" ht="24" customHeight="1" spans="2:14">
      <c r="B1178" s="33"/>
      <c r="C1178" s="60"/>
      <c r="D1178" s="60"/>
      <c r="E1178" s="60"/>
      <c r="F1178" s="60"/>
      <c r="G1178" s="60"/>
      <c r="H1178" s="60"/>
      <c r="I1178" s="60"/>
      <c r="J1178" s="60"/>
      <c r="K1178" s="60"/>
      <c r="L1178" s="60"/>
      <c r="M1178" s="64"/>
      <c r="N1178" s="33"/>
    </row>
    <row r="1179" ht="24" customHeight="1" spans="2:14">
      <c r="B1179" s="33"/>
      <c r="C1179" s="60"/>
      <c r="D1179" s="60"/>
      <c r="E1179" s="60"/>
      <c r="F1179" s="60"/>
      <c r="G1179" s="60"/>
      <c r="H1179" s="60"/>
      <c r="I1179" s="60"/>
      <c r="J1179" s="60"/>
      <c r="K1179" s="60"/>
      <c r="L1179" s="60"/>
      <c r="M1179" s="64"/>
      <c r="N1179" s="33"/>
    </row>
    <row r="1180" ht="24" customHeight="1" spans="2:14">
      <c r="B1180" s="33"/>
      <c r="C1180" s="60"/>
      <c r="D1180" s="60"/>
      <c r="E1180" s="60"/>
      <c r="F1180" s="60"/>
      <c r="G1180" s="60"/>
      <c r="H1180" s="60"/>
      <c r="I1180" s="60"/>
      <c r="J1180" s="60"/>
      <c r="K1180" s="60"/>
      <c r="L1180" s="60"/>
      <c r="M1180" s="64"/>
      <c r="N1180" s="33"/>
    </row>
    <row r="1181" ht="24" customHeight="1" spans="2:14">
      <c r="B1181" s="33"/>
      <c r="C1181" s="60"/>
      <c r="D1181" s="60"/>
      <c r="E1181" s="60"/>
      <c r="F1181" s="60"/>
      <c r="G1181" s="60"/>
      <c r="H1181" s="60"/>
      <c r="I1181" s="60"/>
      <c r="J1181" s="60"/>
      <c r="K1181" s="60"/>
      <c r="L1181" s="60"/>
      <c r="M1181" s="64"/>
      <c r="N1181" s="33"/>
    </row>
    <row r="1182" ht="24" customHeight="1" spans="2:14">
      <c r="B1182" s="33"/>
      <c r="C1182" s="60"/>
      <c r="D1182" s="60"/>
      <c r="E1182" s="60"/>
      <c r="F1182" s="60"/>
      <c r="G1182" s="60"/>
      <c r="H1182" s="60"/>
      <c r="I1182" s="60"/>
      <c r="J1182" s="60"/>
      <c r="K1182" s="60"/>
      <c r="L1182" s="60"/>
      <c r="M1182" s="64"/>
      <c r="N1182" s="33"/>
    </row>
    <row r="1183" ht="24" customHeight="1" spans="2:14">
      <c r="B1183" s="33"/>
      <c r="C1183" s="60"/>
      <c r="D1183" s="60"/>
      <c r="E1183" s="60"/>
      <c r="F1183" s="60"/>
      <c r="G1183" s="60"/>
      <c r="H1183" s="60"/>
      <c r="I1183" s="60"/>
      <c r="J1183" s="60"/>
      <c r="K1183" s="60"/>
      <c r="L1183" s="60"/>
      <c r="M1183" s="64"/>
      <c r="N1183" s="33"/>
    </row>
    <row r="1184" ht="24" customHeight="1" spans="2:14">
      <c r="B1184" s="33"/>
      <c r="C1184" s="60"/>
      <c r="D1184" s="60"/>
      <c r="E1184" s="60"/>
      <c r="F1184" s="60"/>
      <c r="G1184" s="60"/>
      <c r="H1184" s="60"/>
      <c r="I1184" s="60"/>
      <c r="J1184" s="60"/>
      <c r="K1184" s="60"/>
      <c r="L1184" s="60"/>
      <c r="M1184" s="64"/>
      <c r="N1184" s="33"/>
    </row>
    <row r="1185" ht="24" customHeight="1" spans="2:14">
      <c r="B1185" s="33"/>
      <c r="C1185" s="60"/>
      <c r="D1185" s="60"/>
      <c r="E1185" s="60"/>
      <c r="F1185" s="60"/>
      <c r="G1185" s="60"/>
      <c r="H1185" s="60"/>
      <c r="I1185" s="60"/>
      <c r="J1185" s="60"/>
      <c r="K1185" s="60"/>
      <c r="L1185" s="60"/>
      <c r="M1185" s="64"/>
      <c r="N1185" s="33"/>
    </row>
    <row r="1186" ht="24" customHeight="1" spans="2:14">
      <c r="B1186" s="33"/>
      <c r="C1186" s="60"/>
      <c r="D1186" s="60"/>
      <c r="E1186" s="60"/>
      <c r="F1186" s="60"/>
      <c r="G1186" s="60"/>
      <c r="H1186" s="60"/>
      <c r="I1186" s="60"/>
      <c r="J1186" s="60"/>
      <c r="K1186" s="60"/>
      <c r="L1186" s="60"/>
      <c r="M1186" s="64"/>
      <c r="N1186" s="33"/>
    </row>
    <row r="1187" ht="24" customHeight="1" spans="2:14">
      <c r="B1187" s="33"/>
      <c r="C1187" s="60"/>
      <c r="D1187" s="60"/>
      <c r="E1187" s="60"/>
      <c r="F1187" s="60"/>
      <c r="G1187" s="60"/>
      <c r="H1187" s="60"/>
      <c r="I1187" s="60"/>
      <c r="J1187" s="60"/>
      <c r="K1187" s="60"/>
      <c r="L1187" s="60"/>
      <c r="M1187" s="64"/>
      <c r="N1187" s="33"/>
    </row>
    <row r="1188" ht="24" customHeight="1" spans="2:14">
      <c r="B1188" s="33"/>
      <c r="C1188" s="60"/>
      <c r="D1188" s="60"/>
      <c r="E1188" s="60"/>
      <c r="F1188" s="60"/>
      <c r="G1188" s="60"/>
      <c r="H1188" s="60"/>
      <c r="I1188" s="60"/>
      <c r="J1188" s="60"/>
      <c r="K1188" s="60"/>
      <c r="L1188" s="60"/>
      <c r="M1188" s="64"/>
      <c r="N1188" s="33"/>
    </row>
    <row r="1189" ht="24" customHeight="1" spans="2:14">
      <c r="B1189" s="33"/>
      <c r="C1189" s="60"/>
      <c r="D1189" s="60"/>
      <c r="E1189" s="60"/>
      <c r="F1189" s="60"/>
      <c r="G1189" s="60"/>
      <c r="H1189" s="60"/>
      <c r="I1189" s="60"/>
      <c r="J1189" s="60"/>
      <c r="K1189" s="60"/>
      <c r="L1189" s="60"/>
      <c r="M1189" s="64"/>
      <c r="N1189" s="33"/>
    </row>
    <row r="1190" ht="24" customHeight="1" spans="2:14">
      <c r="B1190" s="33"/>
      <c r="C1190" s="60"/>
      <c r="D1190" s="60"/>
      <c r="E1190" s="60"/>
      <c r="F1190" s="60"/>
      <c r="G1190" s="60"/>
      <c r="H1190" s="60"/>
      <c r="I1190" s="60"/>
      <c r="J1190" s="60"/>
      <c r="K1190" s="60"/>
      <c r="L1190" s="60"/>
      <c r="M1190" s="64"/>
      <c r="N1190" s="33"/>
    </row>
    <row r="1191" ht="24" customHeight="1" spans="2:14">
      <c r="B1191" s="33"/>
      <c r="C1191" s="60"/>
      <c r="D1191" s="60"/>
      <c r="E1191" s="60"/>
      <c r="F1191" s="60"/>
      <c r="G1191" s="60"/>
      <c r="H1191" s="60"/>
      <c r="I1191" s="60"/>
      <c r="J1191" s="60"/>
      <c r="K1191" s="60"/>
      <c r="L1191" s="60"/>
      <c r="M1191" s="64"/>
      <c r="N1191" s="33"/>
    </row>
    <row r="1192" ht="24" customHeight="1" spans="2:14">
      <c r="B1192" s="33"/>
      <c r="C1192" s="60"/>
      <c r="D1192" s="60"/>
      <c r="E1192" s="60"/>
      <c r="F1192" s="60"/>
      <c r="G1192" s="60"/>
      <c r="H1192" s="60"/>
      <c r="I1192" s="60"/>
      <c r="J1192" s="60"/>
      <c r="K1192" s="60"/>
      <c r="L1192" s="60"/>
      <c r="M1192" s="64"/>
      <c r="N1192" s="33"/>
    </row>
    <row r="1193" ht="24" customHeight="1" spans="2:14">
      <c r="B1193" s="33"/>
      <c r="C1193" s="60"/>
      <c r="D1193" s="60"/>
      <c r="E1193" s="60"/>
      <c r="F1193" s="60"/>
      <c r="G1193" s="60"/>
      <c r="H1193" s="60"/>
      <c r="I1193" s="60"/>
      <c r="J1193" s="60"/>
      <c r="K1193" s="60"/>
      <c r="L1193" s="60"/>
      <c r="M1193" s="64"/>
      <c r="N1193" s="33"/>
    </row>
    <row r="1194" ht="24" customHeight="1" spans="2:14">
      <c r="B1194" s="33"/>
      <c r="C1194" s="60"/>
      <c r="D1194" s="60"/>
      <c r="E1194" s="60"/>
      <c r="F1194" s="60"/>
      <c r="G1194" s="60"/>
      <c r="H1194" s="60"/>
      <c r="I1194" s="60"/>
      <c r="J1194" s="60"/>
      <c r="K1194" s="60"/>
      <c r="L1194" s="60"/>
      <c r="M1194" s="64"/>
      <c r="N1194" s="33"/>
    </row>
    <row r="1195" ht="24" customHeight="1" spans="2:14">
      <c r="B1195" s="33"/>
      <c r="C1195" s="60"/>
      <c r="D1195" s="60"/>
      <c r="E1195" s="60"/>
      <c r="F1195" s="60"/>
      <c r="G1195" s="60"/>
      <c r="H1195" s="60"/>
      <c r="I1195" s="60"/>
      <c r="J1195" s="60"/>
      <c r="K1195" s="60"/>
      <c r="L1195" s="60"/>
      <c r="M1195" s="64"/>
      <c r="N1195" s="33"/>
    </row>
    <row r="1196" ht="24" customHeight="1" spans="2:14">
      <c r="B1196" s="33"/>
      <c r="C1196" s="60"/>
      <c r="D1196" s="60"/>
      <c r="E1196" s="60"/>
      <c r="F1196" s="60"/>
      <c r="G1196" s="60"/>
      <c r="H1196" s="60"/>
      <c r="I1196" s="60"/>
      <c r="J1196" s="60"/>
      <c r="K1196" s="60"/>
      <c r="L1196" s="60"/>
      <c r="M1196" s="64"/>
      <c r="N1196" s="33"/>
    </row>
    <row r="1197" ht="24" customHeight="1" spans="2:14">
      <c r="B1197" s="33"/>
      <c r="C1197" s="60"/>
      <c r="D1197" s="60"/>
      <c r="E1197" s="60"/>
      <c r="F1197" s="60"/>
      <c r="G1197" s="60"/>
      <c r="H1197" s="60"/>
      <c r="I1197" s="60"/>
      <c r="J1197" s="60"/>
      <c r="K1197" s="60"/>
      <c r="L1197" s="60"/>
      <c r="M1197" s="64"/>
      <c r="N1197" s="33"/>
    </row>
    <row r="1198" ht="24" customHeight="1" spans="2:14">
      <c r="B1198" s="33"/>
      <c r="C1198" s="60"/>
      <c r="D1198" s="60"/>
      <c r="E1198" s="60"/>
      <c r="F1198" s="60"/>
      <c r="G1198" s="60"/>
      <c r="H1198" s="60"/>
      <c r="I1198" s="60"/>
      <c r="J1198" s="60"/>
      <c r="K1198" s="60"/>
      <c r="L1198" s="60"/>
      <c r="M1198" s="64"/>
      <c r="N1198" s="33"/>
    </row>
    <row r="1199" ht="24" customHeight="1" spans="2:14">
      <c r="B1199" s="33"/>
      <c r="C1199" s="60"/>
      <c r="D1199" s="60"/>
      <c r="E1199" s="60"/>
      <c r="F1199" s="60"/>
      <c r="G1199" s="60"/>
      <c r="H1199" s="60"/>
      <c r="I1199" s="60"/>
      <c r="J1199" s="60"/>
      <c r="K1199" s="60"/>
      <c r="L1199" s="60"/>
      <c r="M1199" s="64"/>
      <c r="N1199" s="33"/>
    </row>
    <row r="1200" ht="24" customHeight="1" spans="2:14">
      <c r="B1200" s="33"/>
      <c r="C1200" s="60"/>
      <c r="D1200" s="60"/>
      <c r="E1200" s="60"/>
      <c r="F1200" s="60"/>
      <c r="G1200" s="60"/>
      <c r="H1200" s="60"/>
      <c r="I1200" s="60"/>
      <c r="J1200" s="60"/>
      <c r="K1200" s="60"/>
      <c r="L1200" s="60"/>
      <c r="M1200" s="64"/>
      <c r="N1200" s="33"/>
    </row>
    <row r="1201" ht="24" customHeight="1" spans="2:14">
      <c r="B1201" s="33"/>
      <c r="C1201" s="60"/>
      <c r="D1201" s="60"/>
      <c r="E1201" s="60"/>
      <c r="F1201" s="60"/>
      <c r="G1201" s="60"/>
      <c r="H1201" s="60"/>
      <c r="I1201" s="60"/>
      <c r="J1201" s="60"/>
      <c r="K1201" s="60"/>
      <c r="L1201" s="60"/>
      <c r="M1201" s="64"/>
      <c r="N1201" s="33"/>
    </row>
    <row r="1202" ht="24" customHeight="1" spans="2:14">
      <c r="B1202" s="33"/>
      <c r="C1202" s="60"/>
      <c r="D1202" s="60"/>
      <c r="E1202" s="60"/>
      <c r="F1202" s="60"/>
      <c r="G1202" s="60"/>
      <c r="H1202" s="60"/>
      <c r="I1202" s="60"/>
      <c r="J1202" s="60"/>
      <c r="K1202" s="60"/>
      <c r="L1202" s="60"/>
      <c r="M1202" s="64"/>
      <c r="N1202" s="33"/>
    </row>
    <row r="1203" ht="24" customHeight="1" spans="2:14">
      <c r="B1203" s="33"/>
      <c r="C1203" s="60"/>
      <c r="D1203" s="60"/>
      <c r="E1203" s="60"/>
      <c r="F1203" s="60"/>
      <c r="G1203" s="60"/>
      <c r="H1203" s="60"/>
      <c r="I1203" s="60"/>
      <c r="J1203" s="60"/>
      <c r="K1203" s="60"/>
      <c r="L1203" s="60"/>
      <c r="M1203" s="64"/>
      <c r="N1203" s="33"/>
    </row>
    <row r="1204" ht="24" customHeight="1" spans="2:14">
      <c r="B1204" s="33"/>
      <c r="C1204" s="60"/>
      <c r="D1204" s="60"/>
      <c r="E1204" s="60"/>
      <c r="F1204" s="60"/>
      <c r="G1204" s="60"/>
      <c r="H1204" s="60"/>
      <c r="I1204" s="60"/>
      <c r="J1204" s="60"/>
      <c r="K1204" s="60"/>
      <c r="L1204" s="60"/>
      <c r="M1204" s="64"/>
      <c r="N1204" s="33"/>
    </row>
    <row r="1205" ht="24" customHeight="1" spans="2:14">
      <c r="B1205" s="33"/>
      <c r="C1205" s="60"/>
      <c r="D1205" s="60"/>
      <c r="E1205" s="60"/>
      <c r="F1205" s="60"/>
      <c r="G1205" s="60"/>
      <c r="H1205" s="60"/>
      <c r="I1205" s="60"/>
      <c r="J1205" s="60"/>
      <c r="K1205" s="60"/>
      <c r="L1205" s="60"/>
      <c r="M1205" s="64"/>
      <c r="N1205" s="33"/>
    </row>
    <row r="1206" ht="24" customHeight="1" spans="2:14">
      <c r="B1206" s="33"/>
      <c r="C1206" s="60"/>
      <c r="D1206" s="60"/>
      <c r="E1206" s="60"/>
      <c r="F1206" s="60"/>
      <c r="G1206" s="60"/>
      <c r="H1206" s="60"/>
      <c r="I1206" s="60"/>
      <c r="J1206" s="60"/>
      <c r="K1206" s="60"/>
      <c r="L1206" s="60"/>
      <c r="M1206" s="64"/>
      <c r="N1206" s="33"/>
    </row>
    <row r="1207" ht="24" customHeight="1" spans="2:14">
      <c r="B1207" s="33"/>
      <c r="C1207" s="60"/>
      <c r="D1207" s="60"/>
      <c r="E1207" s="60"/>
      <c r="F1207" s="60"/>
      <c r="G1207" s="60"/>
      <c r="H1207" s="60"/>
      <c r="I1207" s="60"/>
      <c r="J1207" s="60"/>
      <c r="K1207" s="60"/>
      <c r="L1207" s="60"/>
      <c r="M1207" s="64"/>
      <c r="N1207" s="33"/>
    </row>
    <row r="1208" ht="24" customHeight="1" spans="2:14">
      <c r="B1208" s="33"/>
      <c r="C1208" s="60"/>
      <c r="D1208" s="60"/>
      <c r="E1208" s="60"/>
      <c r="F1208" s="60"/>
      <c r="G1208" s="60"/>
      <c r="H1208" s="60"/>
      <c r="I1208" s="60"/>
      <c r="J1208" s="60"/>
      <c r="K1208" s="60"/>
      <c r="L1208" s="60"/>
      <c r="M1208" s="64"/>
      <c r="N1208" s="33"/>
    </row>
    <row r="1209" ht="24" customHeight="1" spans="2:14">
      <c r="B1209" s="33"/>
      <c r="C1209" s="60"/>
      <c r="D1209" s="60"/>
      <c r="E1209" s="60"/>
      <c r="F1209" s="60"/>
      <c r="G1209" s="60"/>
      <c r="H1209" s="60"/>
      <c r="I1209" s="60"/>
      <c r="J1209" s="60"/>
      <c r="K1209" s="60"/>
      <c r="L1209" s="60"/>
      <c r="M1209" s="64"/>
      <c r="N1209" s="33"/>
    </row>
    <row r="1210" ht="24" customHeight="1" spans="2:14">
      <c r="B1210" s="33"/>
      <c r="C1210" s="60"/>
      <c r="D1210" s="60"/>
      <c r="E1210" s="60"/>
      <c r="F1210" s="60"/>
      <c r="G1210" s="60"/>
      <c r="H1210" s="60"/>
      <c r="I1210" s="60"/>
      <c r="J1210" s="60"/>
      <c r="K1210" s="60"/>
      <c r="L1210" s="60"/>
      <c r="M1210" s="64"/>
      <c r="N1210" s="33"/>
    </row>
    <row r="1211" ht="24" customHeight="1" spans="2:14">
      <c r="B1211" s="33"/>
      <c r="C1211" s="60"/>
      <c r="D1211" s="60"/>
      <c r="E1211" s="60"/>
      <c r="F1211" s="60"/>
      <c r="G1211" s="60"/>
      <c r="H1211" s="60"/>
      <c r="I1211" s="60"/>
      <c r="J1211" s="60"/>
      <c r="K1211" s="60"/>
      <c r="L1211" s="60"/>
      <c r="M1211" s="64"/>
      <c r="N1211" s="33"/>
    </row>
    <row r="1212" ht="24" customHeight="1" spans="2:14">
      <c r="B1212" s="33"/>
      <c r="C1212" s="60"/>
      <c r="D1212" s="60"/>
      <c r="E1212" s="60"/>
      <c r="F1212" s="60"/>
      <c r="G1212" s="60"/>
      <c r="H1212" s="60"/>
      <c r="I1212" s="60"/>
      <c r="J1212" s="60"/>
      <c r="K1212" s="60"/>
      <c r="L1212" s="60"/>
      <c r="M1212" s="64"/>
      <c r="N1212" s="33"/>
    </row>
    <row r="1213" ht="24" customHeight="1" spans="2:14">
      <c r="B1213" s="33"/>
      <c r="C1213" s="60"/>
      <c r="D1213" s="60"/>
      <c r="E1213" s="60"/>
      <c r="F1213" s="60"/>
      <c r="G1213" s="60"/>
      <c r="H1213" s="60"/>
      <c r="I1213" s="60"/>
      <c r="J1213" s="60"/>
      <c r="K1213" s="60"/>
      <c r="L1213" s="60"/>
      <c r="M1213" s="64"/>
      <c r="N1213" s="33"/>
    </row>
    <row r="1214" ht="24" customHeight="1" spans="2:14">
      <c r="B1214" s="33"/>
      <c r="C1214" s="60"/>
      <c r="D1214" s="60"/>
      <c r="E1214" s="60"/>
      <c r="F1214" s="60"/>
      <c r="G1214" s="60"/>
      <c r="H1214" s="60"/>
      <c r="I1214" s="60"/>
      <c r="J1214" s="60"/>
      <c r="K1214" s="60"/>
      <c r="L1214" s="60"/>
      <c r="M1214" s="64"/>
      <c r="N1214" s="33"/>
    </row>
    <row r="1215" ht="24" customHeight="1" spans="2:14">
      <c r="B1215" s="33"/>
      <c r="C1215" s="60"/>
      <c r="D1215" s="60"/>
      <c r="E1215" s="60"/>
      <c r="F1215" s="60"/>
      <c r="G1215" s="60"/>
      <c r="H1215" s="60"/>
      <c r="I1215" s="60"/>
      <c r="J1215" s="60"/>
      <c r="K1215" s="60"/>
      <c r="L1215" s="60"/>
      <c r="M1215" s="64"/>
      <c r="N1215" s="33"/>
    </row>
    <row r="1216" ht="24" customHeight="1" spans="2:14">
      <c r="B1216" s="33"/>
      <c r="C1216" s="60"/>
      <c r="D1216" s="60"/>
      <c r="E1216" s="60"/>
      <c r="F1216" s="60"/>
      <c r="G1216" s="60"/>
      <c r="H1216" s="60"/>
      <c r="I1216" s="60"/>
      <c r="J1216" s="60"/>
      <c r="K1216" s="60"/>
      <c r="L1216" s="60"/>
      <c r="M1216" s="64"/>
      <c r="N1216" s="33"/>
    </row>
    <row r="1217" ht="24" customHeight="1" spans="2:14">
      <c r="B1217" s="33"/>
      <c r="C1217" s="60"/>
      <c r="D1217" s="60"/>
      <c r="E1217" s="60"/>
      <c r="F1217" s="60"/>
      <c r="G1217" s="60"/>
      <c r="H1217" s="60"/>
      <c r="I1217" s="60"/>
      <c r="J1217" s="60"/>
      <c r="K1217" s="60"/>
      <c r="L1217" s="60"/>
      <c r="M1217" s="64"/>
      <c r="N1217" s="33"/>
    </row>
    <row r="1218" ht="24" customHeight="1" spans="2:14">
      <c r="B1218" s="33"/>
      <c r="C1218" s="60"/>
      <c r="D1218" s="60"/>
      <c r="E1218" s="60"/>
      <c r="F1218" s="60"/>
      <c r="G1218" s="60"/>
      <c r="H1218" s="60"/>
      <c r="I1218" s="60"/>
      <c r="J1218" s="60"/>
      <c r="K1218" s="60"/>
      <c r="L1218" s="60"/>
      <c r="M1218" s="64"/>
      <c r="N1218" s="33"/>
    </row>
    <row r="1219" ht="24" customHeight="1" spans="2:14">
      <c r="B1219" s="33"/>
      <c r="C1219" s="60"/>
      <c r="D1219" s="60"/>
      <c r="E1219" s="60"/>
      <c r="F1219" s="60"/>
      <c r="G1219" s="60"/>
      <c r="H1219" s="60"/>
      <c r="I1219" s="60"/>
      <c r="J1219" s="60"/>
      <c r="K1219" s="60"/>
      <c r="L1219" s="60"/>
      <c r="M1219" s="64"/>
      <c r="N1219" s="33"/>
    </row>
    <row r="1220" ht="24" customHeight="1" spans="2:14">
      <c r="B1220" s="33"/>
      <c r="C1220" s="60"/>
      <c r="D1220" s="60"/>
      <c r="E1220" s="60"/>
      <c r="F1220" s="60"/>
      <c r="G1220" s="60"/>
      <c r="H1220" s="60"/>
      <c r="I1220" s="60"/>
      <c r="J1220" s="60"/>
      <c r="K1220" s="60"/>
      <c r="L1220" s="60"/>
      <c r="M1220" s="64"/>
      <c r="N1220" s="33"/>
    </row>
    <row r="1221" ht="24" customHeight="1" spans="2:14">
      <c r="B1221" s="33"/>
      <c r="C1221" s="60"/>
      <c r="D1221" s="60"/>
      <c r="E1221" s="60"/>
      <c r="F1221" s="60"/>
      <c r="G1221" s="60"/>
      <c r="H1221" s="60"/>
      <c r="I1221" s="60"/>
      <c r="J1221" s="60"/>
      <c r="K1221" s="60"/>
      <c r="L1221" s="60"/>
      <c r="M1221" s="64"/>
      <c r="N1221" s="33"/>
    </row>
    <row r="1222" ht="24" customHeight="1" spans="2:14">
      <c r="B1222" s="33"/>
      <c r="C1222" s="60"/>
      <c r="D1222" s="60"/>
      <c r="E1222" s="60"/>
      <c r="F1222" s="60"/>
      <c r="G1222" s="60"/>
      <c r="H1222" s="60"/>
      <c r="I1222" s="60"/>
      <c r="J1222" s="60"/>
      <c r="K1222" s="60"/>
      <c r="L1222" s="60"/>
      <c r="M1222" s="64"/>
      <c r="N1222" s="33"/>
    </row>
    <row r="1223" ht="24" customHeight="1" spans="2:14">
      <c r="B1223" s="33"/>
      <c r="C1223" s="60"/>
      <c r="D1223" s="60"/>
      <c r="E1223" s="60"/>
      <c r="F1223" s="60"/>
      <c r="G1223" s="60"/>
      <c r="H1223" s="60"/>
      <c r="I1223" s="60"/>
      <c r="J1223" s="60"/>
      <c r="K1223" s="60"/>
      <c r="L1223" s="60"/>
      <c r="M1223" s="64"/>
      <c r="N1223" s="33"/>
    </row>
    <row r="1224" ht="24" customHeight="1" spans="2:14">
      <c r="B1224" s="33"/>
      <c r="C1224" s="60"/>
      <c r="D1224" s="60"/>
      <c r="E1224" s="60"/>
      <c r="F1224" s="60"/>
      <c r="G1224" s="60"/>
      <c r="H1224" s="60"/>
      <c r="I1224" s="60"/>
      <c r="J1224" s="60"/>
      <c r="K1224" s="60"/>
      <c r="L1224" s="60"/>
      <c r="M1224" s="64"/>
      <c r="N1224" s="33"/>
    </row>
    <row r="1225" ht="24" customHeight="1" spans="2:14">
      <c r="B1225" s="33"/>
      <c r="C1225" s="60"/>
      <c r="D1225" s="60"/>
      <c r="E1225" s="60"/>
      <c r="F1225" s="60"/>
      <c r="G1225" s="60"/>
      <c r="H1225" s="60"/>
      <c r="I1225" s="60"/>
      <c r="J1225" s="60"/>
      <c r="K1225" s="60"/>
      <c r="L1225" s="60"/>
      <c r="M1225" s="64"/>
      <c r="N1225" s="33"/>
    </row>
    <row r="1226" ht="24" customHeight="1" spans="2:14">
      <c r="B1226" s="33"/>
      <c r="C1226" s="60"/>
      <c r="D1226" s="60"/>
      <c r="E1226" s="60"/>
      <c r="F1226" s="60"/>
      <c r="G1226" s="60"/>
      <c r="H1226" s="60"/>
      <c r="I1226" s="60"/>
      <c r="J1226" s="60"/>
      <c r="K1226" s="60"/>
      <c r="L1226" s="60"/>
      <c r="M1226" s="64"/>
      <c r="N1226" s="33"/>
    </row>
    <row r="1227" ht="24" customHeight="1" spans="2:14">
      <c r="B1227" s="33"/>
      <c r="C1227" s="60"/>
      <c r="D1227" s="60"/>
      <c r="E1227" s="60"/>
      <c r="F1227" s="60"/>
      <c r="G1227" s="60"/>
      <c r="H1227" s="60"/>
      <c r="I1227" s="60"/>
      <c r="J1227" s="60"/>
      <c r="K1227" s="60"/>
      <c r="L1227" s="60"/>
      <c r="M1227" s="64"/>
      <c r="N1227" s="33"/>
    </row>
    <row r="1228" ht="24" customHeight="1" spans="2:14">
      <c r="B1228" s="33"/>
      <c r="C1228" s="60"/>
      <c r="D1228" s="60"/>
      <c r="E1228" s="60"/>
      <c r="F1228" s="60"/>
      <c r="G1228" s="60"/>
      <c r="H1228" s="60"/>
      <c r="I1228" s="60"/>
      <c r="J1228" s="60"/>
      <c r="K1228" s="60"/>
      <c r="L1228" s="60"/>
      <c r="M1228" s="64"/>
      <c r="N1228" s="33"/>
    </row>
    <row r="1229" ht="24" customHeight="1" spans="2:14">
      <c r="B1229" s="33"/>
      <c r="C1229" s="60"/>
      <c r="D1229" s="60"/>
      <c r="E1229" s="60"/>
      <c r="F1229" s="60"/>
      <c r="G1229" s="60"/>
      <c r="H1229" s="60"/>
      <c r="I1229" s="60"/>
      <c r="J1229" s="60"/>
      <c r="K1229" s="60"/>
      <c r="L1229" s="60"/>
      <c r="M1229" s="64"/>
      <c r="N1229" s="33"/>
    </row>
    <row r="1230" ht="24" customHeight="1" spans="2:14">
      <c r="B1230" s="33"/>
      <c r="C1230" s="60"/>
      <c r="D1230" s="60"/>
      <c r="E1230" s="60"/>
      <c r="F1230" s="60"/>
      <c r="G1230" s="60"/>
      <c r="H1230" s="60"/>
      <c r="I1230" s="60"/>
      <c r="J1230" s="60"/>
      <c r="K1230" s="60"/>
      <c r="L1230" s="60"/>
      <c r="M1230" s="64"/>
      <c r="N1230" s="33"/>
    </row>
    <row r="1231" ht="24" customHeight="1" spans="2:14">
      <c r="B1231" s="33"/>
      <c r="C1231" s="60"/>
      <c r="D1231" s="60"/>
      <c r="E1231" s="60"/>
      <c r="F1231" s="60"/>
      <c r="G1231" s="60"/>
      <c r="H1231" s="60"/>
      <c r="I1231" s="60"/>
      <c r="J1231" s="60"/>
      <c r="K1231" s="60"/>
      <c r="L1231" s="60"/>
      <c r="M1231" s="64"/>
      <c r="N1231" s="33"/>
    </row>
    <row r="1232" ht="24" customHeight="1" spans="2:14">
      <c r="B1232" s="33"/>
      <c r="C1232" s="60"/>
      <c r="D1232" s="60"/>
      <c r="E1232" s="60"/>
      <c r="F1232" s="60"/>
      <c r="G1232" s="60"/>
      <c r="H1232" s="60"/>
      <c r="I1232" s="60"/>
      <c r="J1232" s="60"/>
      <c r="K1232" s="60"/>
      <c r="L1232" s="60"/>
      <c r="M1232" s="64"/>
      <c r="N1232" s="33"/>
    </row>
    <row r="1233" ht="24" customHeight="1" spans="2:14">
      <c r="B1233" s="33"/>
      <c r="C1233" s="60"/>
      <c r="D1233" s="60"/>
      <c r="E1233" s="60"/>
      <c r="F1233" s="60"/>
      <c r="G1233" s="60"/>
      <c r="H1233" s="60"/>
      <c r="I1233" s="60"/>
      <c r="J1233" s="60"/>
      <c r="K1233" s="60"/>
      <c r="L1233" s="60"/>
      <c r="M1233" s="64"/>
      <c r="N1233" s="33"/>
    </row>
    <row r="1234" ht="24" customHeight="1" spans="2:14">
      <c r="B1234" s="33"/>
      <c r="C1234" s="60"/>
      <c r="D1234" s="60"/>
      <c r="E1234" s="60"/>
      <c r="F1234" s="60"/>
      <c r="G1234" s="60"/>
      <c r="H1234" s="60"/>
      <c r="I1234" s="60"/>
      <c r="J1234" s="60"/>
      <c r="K1234" s="60"/>
      <c r="L1234" s="60"/>
      <c r="M1234" s="64"/>
      <c r="N1234" s="33"/>
    </row>
    <row r="1235" ht="24" customHeight="1" spans="2:14">
      <c r="B1235" s="33"/>
      <c r="C1235" s="60"/>
      <c r="D1235" s="60"/>
      <c r="E1235" s="60"/>
      <c r="F1235" s="60"/>
      <c r="G1235" s="60"/>
      <c r="H1235" s="60"/>
      <c r="I1235" s="60"/>
      <c r="J1235" s="60"/>
      <c r="K1235" s="60"/>
      <c r="L1235" s="60"/>
      <c r="M1235" s="64"/>
      <c r="N1235" s="33"/>
    </row>
    <row r="1236" ht="24" customHeight="1" spans="2:14">
      <c r="B1236" s="33"/>
      <c r="C1236" s="60"/>
      <c r="D1236" s="60"/>
      <c r="E1236" s="60"/>
      <c r="F1236" s="60"/>
      <c r="G1236" s="60"/>
      <c r="H1236" s="60"/>
      <c r="I1236" s="60"/>
      <c r="J1236" s="60"/>
      <c r="K1236" s="60"/>
      <c r="L1236" s="60"/>
      <c r="M1236" s="64"/>
      <c r="N1236" s="33"/>
    </row>
    <row r="1237" ht="24" customHeight="1" spans="2:14">
      <c r="B1237" s="33"/>
      <c r="C1237" s="60"/>
      <c r="D1237" s="60"/>
      <c r="E1237" s="60"/>
      <c r="F1237" s="60"/>
      <c r="G1237" s="60"/>
      <c r="H1237" s="60"/>
      <c r="I1237" s="60"/>
      <c r="J1237" s="60"/>
      <c r="K1237" s="60"/>
      <c r="L1237" s="60"/>
      <c r="M1237" s="64"/>
      <c r="N1237" s="33"/>
    </row>
    <row r="1238" ht="24" customHeight="1" spans="2:14">
      <c r="B1238" s="33"/>
      <c r="C1238" s="60"/>
      <c r="D1238" s="60"/>
      <c r="E1238" s="60"/>
      <c r="F1238" s="60"/>
      <c r="G1238" s="60"/>
      <c r="H1238" s="60"/>
      <c r="I1238" s="60"/>
      <c r="J1238" s="60"/>
      <c r="K1238" s="60"/>
      <c r="L1238" s="60"/>
      <c r="M1238" s="64"/>
      <c r="N1238" s="33"/>
    </row>
    <row r="1239" ht="24" customHeight="1" spans="2:14">
      <c r="B1239" s="33"/>
      <c r="C1239" s="60"/>
      <c r="D1239" s="60"/>
      <c r="E1239" s="60"/>
      <c r="F1239" s="60"/>
      <c r="G1239" s="60"/>
      <c r="H1239" s="60"/>
      <c r="I1239" s="60"/>
      <c r="J1239" s="60"/>
      <c r="K1239" s="60"/>
      <c r="L1239" s="60"/>
      <c r="M1239" s="64"/>
      <c r="N1239" s="33"/>
    </row>
    <row r="1240" ht="24" customHeight="1" spans="2:14">
      <c r="B1240" s="33"/>
      <c r="C1240" s="60"/>
      <c r="D1240" s="60"/>
      <c r="E1240" s="60"/>
      <c r="F1240" s="60"/>
      <c r="G1240" s="60"/>
      <c r="H1240" s="60"/>
      <c r="I1240" s="60"/>
      <c r="J1240" s="60"/>
      <c r="K1240" s="60"/>
      <c r="L1240" s="60"/>
      <c r="M1240" s="64"/>
      <c r="N1240" s="33"/>
    </row>
    <row r="1241" ht="24" customHeight="1" spans="2:14">
      <c r="B1241" s="33"/>
      <c r="C1241" s="60"/>
      <c r="D1241" s="60"/>
      <c r="E1241" s="60"/>
      <c r="F1241" s="60"/>
      <c r="G1241" s="60"/>
      <c r="H1241" s="60"/>
      <c r="I1241" s="60"/>
      <c r="J1241" s="60"/>
      <c r="K1241" s="60"/>
      <c r="L1241" s="60"/>
      <c r="M1241" s="64"/>
      <c r="N1241" s="33"/>
    </row>
    <row r="1242" ht="24" customHeight="1" spans="2:14">
      <c r="B1242" s="33"/>
      <c r="C1242" s="60"/>
      <c r="D1242" s="60"/>
      <c r="E1242" s="60"/>
      <c r="F1242" s="60"/>
      <c r="G1242" s="60"/>
      <c r="H1242" s="60"/>
      <c r="I1242" s="60"/>
      <c r="J1242" s="60"/>
      <c r="K1242" s="60"/>
      <c r="L1242" s="60"/>
      <c r="M1242" s="64"/>
      <c r="N1242" s="33"/>
    </row>
    <row r="1243" ht="24" customHeight="1" spans="2:14">
      <c r="B1243" s="33"/>
      <c r="C1243" s="60"/>
      <c r="D1243" s="60"/>
      <c r="E1243" s="60"/>
      <c r="F1243" s="60"/>
      <c r="G1243" s="60"/>
      <c r="H1243" s="60"/>
      <c r="I1243" s="60"/>
      <c r="J1243" s="60"/>
      <c r="K1243" s="60"/>
      <c r="L1243" s="60"/>
      <c r="M1243" s="64"/>
      <c r="N1243" s="33"/>
    </row>
    <row r="1244" ht="24" customHeight="1" spans="2:14">
      <c r="B1244" s="33"/>
      <c r="C1244" s="60"/>
      <c r="D1244" s="60"/>
      <c r="E1244" s="60"/>
      <c r="F1244" s="60"/>
      <c r="G1244" s="60"/>
      <c r="H1244" s="60"/>
      <c r="I1244" s="60"/>
      <c r="J1244" s="60"/>
      <c r="K1244" s="60"/>
      <c r="L1244" s="60"/>
      <c r="M1244" s="64"/>
      <c r="N1244" s="33"/>
    </row>
    <row r="1245" ht="24" customHeight="1" spans="2:14">
      <c r="B1245" s="33"/>
      <c r="C1245" s="60"/>
      <c r="D1245" s="60"/>
      <c r="E1245" s="60"/>
      <c r="F1245" s="60"/>
      <c r="G1245" s="60"/>
      <c r="H1245" s="60"/>
      <c r="I1245" s="60"/>
      <c r="J1245" s="60"/>
      <c r="K1245" s="60"/>
      <c r="L1245" s="60"/>
      <c r="M1245" s="64"/>
      <c r="N1245" s="33"/>
    </row>
    <row r="1246" ht="24" customHeight="1" spans="2:14">
      <c r="B1246" s="33"/>
      <c r="C1246" s="60"/>
      <c r="D1246" s="60"/>
      <c r="E1246" s="60"/>
      <c r="F1246" s="60"/>
      <c r="G1246" s="60"/>
      <c r="H1246" s="60"/>
      <c r="I1246" s="60"/>
      <c r="J1246" s="60"/>
      <c r="K1246" s="60"/>
      <c r="L1246" s="60"/>
      <c r="M1246" s="64"/>
      <c r="N1246" s="33"/>
    </row>
    <row r="1247" ht="24" customHeight="1" spans="2:14">
      <c r="B1247" s="33"/>
      <c r="C1247" s="60"/>
      <c r="D1247" s="60"/>
      <c r="E1247" s="60"/>
      <c r="F1247" s="60"/>
      <c r="G1247" s="60"/>
      <c r="H1247" s="60"/>
      <c r="I1247" s="60"/>
      <c r="J1247" s="60"/>
      <c r="K1247" s="60"/>
      <c r="L1247" s="60"/>
      <c r="M1247" s="64"/>
      <c r="N1247" s="33"/>
    </row>
    <row r="1248" ht="24" customHeight="1" spans="2:14">
      <c r="B1248" s="33"/>
      <c r="C1248" s="60"/>
      <c r="D1248" s="60"/>
      <c r="E1248" s="60"/>
      <c r="F1248" s="60"/>
      <c r="G1248" s="60"/>
      <c r="H1248" s="60"/>
      <c r="I1248" s="60"/>
      <c r="J1248" s="60"/>
      <c r="K1248" s="60"/>
      <c r="L1248" s="60"/>
      <c r="M1248" s="64"/>
      <c r="N1248" s="33"/>
    </row>
    <row r="1249" ht="24" customHeight="1" spans="2:14">
      <c r="B1249" s="33"/>
      <c r="C1249" s="60"/>
      <c r="D1249" s="60"/>
      <c r="E1249" s="60"/>
      <c r="F1249" s="60"/>
      <c r="G1249" s="60"/>
      <c r="H1249" s="60"/>
      <c r="I1249" s="60"/>
      <c r="J1249" s="60"/>
      <c r="K1249" s="60"/>
      <c r="L1249" s="60"/>
      <c r="M1249" s="64"/>
      <c r="N1249" s="33"/>
    </row>
    <row r="1250" ht="24" customHeight="1" spans="2:14">
      <c r="B1250" s="33"/>
      <c r="C1250" s="60"/>
      <c r="D1250" s="60"/>
      <c r="E1250" s="60"/>
      <c r="F1250" s="60"/>
      <c r="G1250" s="60"/>
      <c r="H1250" s="60"/>
      <c r="I1250" s="60"/>
      <c r="J1250" s="60"/>
      <c r="K1250" s="60"/>
      <c r="L1250" s="60"/>
      <c r="M1250" s="64"/>
      <c r="N1250" s="33"/>
    </row>
    <row r="1251" ht="24" customHeight="1" spans="2:14">
      <c r="B1251" s="33"/>
      <c r="C1251" s="60"/>
      <c r="D1251" s="60"/>
      <c r="E1251" s="60"/>
      <c r="F1251" s="60"/>
      <c r="G1251" s="60"/>
      <c r="H1251" s="60"/>
      <c r="I1251" s="60"/>
      <c r="J1251" s="60"/>
      <c r="K1251" s="60"/>
      <c r="L1251" s="60"/>
      <c r="M1251" s="64"/>
      <c r="N1251" s="33"/>
    </row>
    <row r="1252" ht="24" customHeight="1" spans="2:14">
      <c r="B1252" s="33"/>
      <c r="C1252" s="60"/>
      <c r="D1252" s="60"/>
      <c r="E1252" s="60"/>
      <c r="F1252" s="60"/>
      <c r="G1252" s="60"/>
      <c r="H1252" s="60"/>
      <c r="I1252" s="60"/>
      <c r="J1252" s="60"/>
      <c r="K1252" s="60"/>
      <c r="L1252" s="60"/>
      <c r="M1252" s="64"/>
      <c r="N1252" s="33"/>
    </row>
    <row r="1253" ht="24" customHeight="1" spans="2:14">
      <c r="B1253" s="33"/>
      <c r="C1253" s="60"/>
      <c r="D1253" s="60"/>
      <c r="E1253" s="60"/>
      <c r="F1253" s="60"/>
      <c r="G1253" s="60"/>
      <c r="H1253" s="60"/>
      <c r="I1253" s="60"/>
      <c r="J1253" s="60"/>
      <c r="K1253" s="60"/>
      <c r="L1253" s="60"/>
      <c r="M1253" s="64"/>
      <c r="N1253" s="33"/>
    </row>
    <row r="1254" ht="24" customHeight="1" spans="2:14">
      <c r="B1254" s="33"/>
      <c r="C1254" s="60"/>
      <c r="D1254" s="60"/>
      <c r="E1254" s="60"/>
      <c r="F1254" s="60"/>
      <c r="G1254" s="60"/>
      <c r="H1254" s="60"/>
      <c r="I1254" s="60"/>
      <c r="J1254" s="60"/>
      <c r="K1254" s="60"/>
      <c r="L1254" s="60"/>
      <c r="M1254" s="64"/>
      <c r="N1254" s="33"/>
    </row>
    <row r="1255" ht="24" customHeight="1" spans="2:14">
      <c r="B1255" s="33"/>
      <c r="C1255" s="60"/>
      <c r="D1255" s="60"/>
      <c r="E1255" s="60"/>
      <c r="F1255" s="60"/>
      <c r="G1255" s="60"/>
      <c r="H1255" s="60"/>
      <c r="I1255" s="60"/>
      <c r="J1255" s="60"/>
      <c r="K1255" s="60"/>
      <c r="L1255" s="60"/>
      <c r="M1255" s="64"/>
      <c r="N1255" s="33"/>
    </row>
    <row r="1256" ht="24" customHeight="1" spans="2:14">
      <c r="B1256" s="33"/>
      <c r="C1256" s="60"/>
      <c r="D1256" s="60"/>
      <c r="E1256" s="60"/>
      <c r="F1256" s="60"/>
      <c r="G1256" s="60"/>
      <c r="H1256" s="60"/>
      <c r="I1256" s="60"/>
      <c r="J1256" s="60"/>
      <c r="K1256" s="60"/>
      <c r="L1256" s="60"/>
      <c r="M1256" s="64"/>
      <c r="N1256" s="33"/>
    </row>
    <row r="1257" ht="24" customHeight="1" spans="2:14">
      <c r="B1257" s="33"/>
      <c r="C1257" s="60"/>
      <c r="D1257" s="60"/>
      <c r="E1257" s="60"/>
      <c r="F1257" s="60"/>
      <c r="G1257" s="60"/>
      <c r="H1257" s="60"/>
      <c r="I1257" s="60"/>
      <c r="J1257" s="60"/>
      <c r="K1257" s="60"/>
      <c r="L1257" s="60"/>
      <c r="M1257" s="64"/>
      <c r="N1257" s="33"/>
    </row>
    <row r="1258" ht="24" customHeight="1" spans="2:14">
      <c r="B1258" s="33"/>
      <c r="C1258" s="60"/>
      <c r="D1258" s="60"/>
      <c r="E1258" s="60"/>
      <c r="F1258" s="60"/>
      <c r="G1258" s="60"/>
      <c r="H1258" s="60"/>
      <c r="I1258" s="60"/>
      <c r="J1258" s="60"/>
      <c r="K1258" s="60"/>
      <c r="L1258" s="60"/>
      <c r="M1258" s="64"/>
      <c r="N1258" s="33"/>
    </row>
    <row r="1259" ht="24" customHeight="1" spans="2:14">
      <c r="B1259" s="33"/>
      <c r="C1259" s="60"/>
      <c r="D1259" s="60"/>
      <c r="E1259" s="60"/>
      <c r="F1259" s="60"/>
      <c r="G1259" s="60"/>
      <c r="H1259" s="60"/>
      <c r="I1259" s="60"/>
      <c r="J1259" s="60"/>
      <c r="K1259" s="60"/>
      <c r="L1259" s="60"/>
      <c r="M1259" s="64"/>
      <c r="N1259" s="33"/>
    </row>
    <row r="1260" ht="24" customHeight="1" spans="2:14">
      <c r="B1260" s="33"/>
      <c r="C1260" s="60"/>
      <c r="D1260" s="60"/>
      <c r="E1260" s="60"/>
      <c r="F1260" s="60"/>
      <c r="G1260" s="60"/>
      <c r="H1260" s="60"/>
      <c r="I1260" s="60"/>
      <c r="J1260" s="60"/>
      <c r="K1260" s="60"/>
      <c r="L1260" s="60"/>
      <c r="M1260" s="64"/>
      <c r="N1260" s="33"/>
    </row>
    <row r="1261" ht="24" customHeight="1" spans="2:14">
      <c r="B1261" s="33"/>
      <c r="C1261" s="60"/>
      <c r="D1261" s="60"/>
      <c r="E1261" s="60"/>
      <c r="F1261" s="60"/>
      <c r="G1261" s="60"/>
      <c r="H1261" s="60"/>
      <c r="I1261" s="60"/>
      <c r="J1261" s="60"/>
      <c r="K1261" s="60"/>
      <c r="L1261" s="60"/>
      <c r="M1261" s="64"/>
      <c r="N1261" s="33"/>
    </row>
    <row r="1262" ht="24" customHeight="1" spans="2:14">
      <c r="B1262" s="33"/>
      <c r="C1262" s="60"/>
      <c r="D1262" s="60"/>
      <c r="E1262" s="60"/>
      <c r="F1262" s="60"/>
      <c r="G1262" s="60"/>
      <c r="H1262" s="60"/>
      <c r="I1262" s="60"/>
      <c r="J1262" s="60"/>
      <c r="K1262" s="60"/>
      <c r="L1262" s="60"/>
      <c r="M1262" s="64"/>
      <c r="N1262" s="33"/>
    </row>
    <row r="1263" ht="24" customHeight="1" spans="2:14">
      <c r="B1263" s="33"/>
      <c r="C1263" s="60"/>
      <c r="D1263" s="60"/>
      <c r="E1263" s="60"/>
      <c r="F1263" s="60"/>
      <c r="G1263" s="60"/>
      <c r="H1263" s="60"/>
      <c r="I1263" s="60"/>
      <c r="J1263" s="60"/>
      <c r="K1263" s="60"/>
      <c r="L1263" s="60"/>
      <c r="M1263" s="64"/>
      <c r="N1263" s="33"/>
    </row>
    <row r="1264" ht="24" customHeight="1" spans="2:14">
      <c r="B1264" s="33"/>
      <c r="C1264" s="60"/>
      <c r="D1264" s="60"/>
      <c r="E1264" s="60"/>
      <c r="F1264" s="60"/>
      <c r="G1264" s="60"/>
      <c r="H1264" s="60"/>
      <c r="I1264" s="60"/>
      <c r="J1264" s="60"/>
      <c r="K1264" s="60"/>
      <c r="L1264" s="60"/>
      <c r="M1264" s="64"/>
      <c r="N1264" s="33"/>
    </row>
    <row r="1265" ht="24" customHeight="1" spans="2:14">
      <c r="B1265" s="33"/>
      <c r="C1265" s="60"/>
      <c r="D1265" s="60"/>
      <c r="E1265" s="60"/>
      <c r="F1265" s="60"/>
      <c r="G1265" s="60"/>
      <c r="H1265" s="60"/>
      <c r="I1265" s="60"/>
      <c r="J1265" s="60"/>
      <c r="K1265" s="60"/>
      <c r="L1265" s="60"/>
      <c r="M1265" s="64"/>
      <c r="N1265" s="33"/>
    </row>
    <row r="1266" ht="24" customHeight="1" spans="2:14">
      <c r="B1266" s="33"/>
      <c r="C1266" s="60"/>
      <c r="D1266" s="60"/>
      <c r="E1266" s="60"/>
      <c r="F1266" s="60"/>
      <c r="G1266" s="60"/>
      <c r="H1266" s="60"/>
      <c r="I1266" s="60"/>
      <c r="J1266" s="60"/>
      <c r="K1266" s="60"/>
      <c r="L1266" s="60"/>
      <c r="M1266" s="64"/>
      <c r="N1266" s="33"/>
    </row>
    <row r="1267" ht="24" customHeight="1" spans="2:14">
      <c r="B1267" s="33"/>
      <c r="C1267" s="60"/>
      <c r="D1267" s="60"/>
      <c r="E1267" s="60"/>
      <c r="F1267" s="60"/>
      <c r="G1267" s="60"/>
      <c r="H1267" s="60"/>
      <c r="I1267" s="60"/>
      <c r="J1267" s="60"/>
      <c r="K1267" s="60"/>
      <c r="L1267" s="60"/>
      <c r="M1267" s="64"/>
      <c r="N1267" s="33"/>
    </row>
    <row r="1268" ht="24" customHeight="1" spans="2:14">
      <c r="B1268" s="33"/>
      <c r="C1268" s="60"/>
      <c r="D1268" s="60"/>
      <c r="E1268" s="60"/>
      <c r="F1268" s="60"/>
      <c r="G1268" s="60"/>
      <c r="H1268" s="60"/>
      <c r="I1268" s="60"/>
      <c r="J1268" s="60"/>
      <c r="K1268" s="60"/>
      <c r="L1268" s="60"/>
      <c r="M1268" s="64"/>
      <c r="N1268" s="33"/>
    </row>
    <row r="1269" ht="24" customHeight="1" spans="2:14">
      <c r="B1269" s="33"/>
      <c r="C1269" s="60"/>
      <c r="D1269" s="60"/>
      <c r="E1269" s="60"/>
      <c r="F1269" s="60"/>
      <c r="G1269" s="60"/>
      <c r="H1269" s="60"/>
      <c r="I1269" s="60"/>
      <c r="J1269" s="60"/>
      <c r="K1269" s="60"/>
      <c r="L1269" s="60"/>
      <c r="M1269" s="64"/>
      <c r="N1269" s="33"/>
    </row>
    <row r="1270" ht="24" customHeight="1" spans="2:14">
      <c r="B1270" s="33"/>
      <c r="C1270" s="60"/>
      <c r="D1270" s="60"/>
      <c r="E1270" s="60"/>
      <c r="F1270" s="60"/>
      <c r="G1270" s="60"/>
      <c r="H1270" s="60"/>
      <c r="I1270" s="60"/>
      <c r="J1270" s="60"/>
      <c r="K1270" s="60"/>
      <c r="L1270" s="60"/>
      <c r="M1270" s="64"/>
      <c r="N1270" s="33"/>
    </row>
    <row r="1271" ht="24" customHeight="1" spans="2:14">
      <c r="B1271" s="33"/>
      <c r="C1271" s="60"/>
      <c r="D1271" s="60"/>
      <c r="E1271" s="60"/>
      <c r="F1271" s="60"/>
      <c r="G1271" s="60"/>
      <c r="H1271" s="60"/>
      <c r="I1271" s="60"/>
      <c r="J1271" s="60"/>
      <c r="K1271" s="60"/>
      <c r="L1271" s="60"/>
      <c r="M1271" s="64"/>
      <c r="N1271" s="33"/>
    </row>
    <row r="1272" ht="24" customHeight="1" spans="2:14">
      <c r="B1272" s="33"/>
      <c r="C1272" s="60"/>
      <c r="D1272" s="60"/>
      <c r="E1272" s="60"/>
      <c r="F1272" s="60"/>
      <c r="G1272" s="60"/>
      <c r="H1272" s="60"/>
      <c r="I1272" s="60"/>
      <c r="J1272" s="60"/>
      <c r="K1272" s="60"/>
      <c r="L1272" s="60"/>
      <c r="M1272" s="64"/>
      <c r="N1272" s="33"/>
    </row>
    <row r="1273" ht="24" customHeight="1" spans="2:14">
      <c r="B1273" s="33"/>
      <c r="C1273" s="60"/>
      <c r="D1273" s="60"/>
      <c r="E1273" s="60"/>
      <c r="F1273" s="60"/>
      <c r="G1273" s="60"/>
      <c r="H1273" s="60"/>
      <c r="I1273" s="60"/>
      <c r="J1273" s="60"/>
      <c r="K1273" s="60"/>
      <c r="L1273" s="60"/>
      <c r="M1273" s="64"/>
      <c r="N1273" s="33"/>
    </row>
    <row r="1274" ht="24" customHeight="1" spans="2:14">
      <c r="B1274" s="33"/>
      <c r="C1274" s="60"/>
      <c r="D1274" s="60"/>
      <c r="E1274" s="60"/>
      <c r="F1274" s="60"/>
      <c r="G1274" s="60"/>
      <c r="H1274" s="60"/>
      <c r="I1274" s="60"/>
      <c r="J1274" s="60"/>
      <c r="K1274" s="60"/>
      <c r="L1274" s="60"/>
      <c r="M1274" s="64"/>
      <c r="N1274" s="33"/>
    </row>
    <row r="1275" ht="24" customHeight="1" spans="2:14">
      <c r="B1275" s="33"/>
      <c r="C1275" s="60"/>
      <c r="D1275" s="60"/>
      <c r="E1275" s="60"/>
      <c r="F1275" s="60"/>
      <c r="G1275" s="60"/>
      <c r="H1275" s="60"/>
      <c r="I1275" s="60"/>
      <c r="J1275" s="60"/>
      <c r="K1275" s="60"/>
      <c r="L1275" s="60"/>
      <c r="M1275" s="64"/>
      <c r="N1275" s="33"/>
    </row>
    <row r="1276" ht="24" customHeight="1" spans="2:14">
      <c r="B1276" s="33"/>
      <c r="C1276" s="60"/>
      <c r="D1276" s="60"/>
      <c r="E1276" s="60"/>
      <c r="F1276" s="60"/>
      <c r="G1276" s="60"/>
      <c r="H1276" s="60"/>
      <c r="I1276" s="60"/>
      <c r="J1276" s="60"/>
      <c r="K1276" s="60"/>
      <c r="L1276" s="60"/>
      <c r="M1276" s="64"/>
      <c r="N1276" s="33"/>
    </row>
    <row r="1277" ht="24" customHeight="1" spans="2:14">
      <c r="B1277" s="33"/>
      <c r="C1277" s="60"/>
      <c r="D1277" s="60"/>
      <c r="E1277" s="60"/>
      <c r="F1277" s="60"/>
      <c r="G1277" s="60"/>
      <c r="H1277" s="60"/>
      <c r="I1277" s="60"/>
      <c r="J1277" s="60"/>
      <c r="K1277" s="60"/>
      <c r="L1277" s="60"/>
      <c r="M1277" s="64"/>
      <c r="N1277" s="33"/>
    </row>
    <row r="1278" ht="24" customHeight="1" spans="2:14">
      <c r="B1278" s="33"/>
      <c r="C1278" s="60"/>
      <c r="D1278" s="60"/>
      <c r="E1278" s="60"/>
      <c r="F1278" s="60"/>
      <c r="G1278" s="60"/>
      <c r="H1278" s="60"/>
      <c r="I1278" s="60"/>
      <c r="J1278" s="60"/>
      <c r="K1278" s="60"/>
      <c r="L1278" s="60"/>
      <c r="M1278" s="64"/>
      <c r="N1278" s="33"/>
    </row>
    <row r="1279" ht="24" customHeight="1" spans="2:14">
      <c r="B1279" s="33"/>
      <c r="C1279" s="60"/>
      <c r="D1279" s="60"/>
      <c r="E1279" s="60"/>
      <c r="F1279" s="60"/>
      <c r="G1279" s="60"/>
      <c r="H1279" s="60"/>
      <c r="I1279" s="60"/>
      <c r="J1279" s="60"/>
      <c r="K1279" s="60"/>
      <c r="L1279" s="60"/>
      <c r="M1279" s="64"/>
      <c r="N1279" s="33"/>
    </row>
    <row r="1280" ht="24" customHeight="1" spans="2:14">
      <c r="B1280" s="33"/>
      <c r="C1280" s="60"/>
      <c r="D1280" s="60"/>
      <c r="E1280" s="60"/>
      <c r="F1280" s="60"/>
      <c r="G1280" s="60"/>
      <c r="H1280" s="60"/>
      <c r="I1280" s="60"/>
      <c r="J1280" s="60"/>
      <c r="K1280" s="60"/>
      <c r="L1280" s="60"/>
      <c r="M1280" s="64"/>
      <c r="N1280" s="33"/>
    </row>
    <row r="1281" ht="24" customHeight="1" spans="2:14">
      <c r="B1281" s="33"/>
      <c r="C1281" s="60"/>
      <c r="D1281" s="60"/>
      <c r="E1281" s="60"/>
      <c r="F1281" s="60"/>
      <c r="G1281" s="60"/>
      <c r="H1281" s="60"/>
      <c r="I1281" s="60"/>
      <c r="J1281" s="60"/>
      <c r="K1281" s="60"/>
      <c r="L1281" s="60"/>
      <c r="M1281" s="64"/>
      <c r="N1281" s="33"/>
    </row>
    <row r="1282" ht="24" customHeight="1" spans="2:14">
      <c r="B1282" s="33"/>
      <c r="C1282" s="60"/>
      <c r="D1282" s="60"/>
      <c r="E1282" s="60"/>
      <c r="F1282" s="60"/>
      <c r="G1282" s="60"/>
      <c r="H1282" s="60"/>
      <c r="I1282" s="60"/>
      <c r="J1282" s="60"/>
      <c r="K1282" s="60"/>
      <c r="L1282" s="60"/>
      <c r="M1282" s="64"/>
      <c r="N1282" s="33"/>
    </row>
    <row r="1283" ht="24" customHeight="1" spans="2:14">
      <c r="B1283" s="33"/>
      <c r="C1283" s="60"/>
      <c r="D1283" s="60"/>
      <c r="E1283" s="60"/>
      <c r="F1283" s="60"/>
      <c r="G1283" s="60"/>
      <c r="H1283" s="60"/>
      <c r="I1283" s="60"/>
      <c r="J1283" s="60"/>
      <c r="K1283" s="60"/>
      <c r="L1283" s="60"/>
      <c r="M1283" s="64"/>
      <c r="N1283" s="33"/>
    </row>
    <row r="1284" ht="24" customHeight="1" spans="2:14">
      <c r="B1284" s="33"/>
      <c r="C1284" s="60"/>
      <c r="D1284" s="60"/>
      <c r="E1284" s="60"/>
      <c r="F1284" s="60"/>
      <c r="G1284" s="60"/>
      <c r="H1284" s="60"/>
      <c r="I1284" s="60"/>
      <c r="J1284" s="60"/>
      <c r="K1284" s="60"/>
      <c r="L1284" s="60"/>
      <c r="M1284" s="64"/>
      <c r="N1284" s="33"/>
    </row>
    <row r="1285" ht="24" customHeight="1" spans="2:14">
      <c r="B1285" s="33"/>
      <c r="C1285" s="60"/>
      <c r="D1285" s="60"/>
      <c r="E1285" s="60"/>
      <c r="F1285" s="60"/>
      <c r="G1285" s="60"/>
      <c r="H1285" s="60"/>
      <c r="I1285" s="60"/>
      <c r="J1285" s="60"/>
      <c r="K1285" s="60"/>
      <c r="L1285" s="60"/>
      <c r="M1285" s="64"/>
      <c r="N1285" s="33"/>
    </row>
    <row r="1286" ht="24" customHeight="1" spans="2:14">
      <c r="B1286" s="33"/>
      <c r="C1286" s="60"/>
      <c r="D1286" s="60"/>
      <c r="E1286" s="60"/>
      <c r="F1286" s="60"/>
      <c r="G1286" s="60"/>
      <c r="H1286" s="60"/>
      <c r="I1286" s="60"/>
      <c r="J1286" s="60"/>
      <c r="K1286" s="60"/>
      <c r="L1286" s="60"/>
      <c r="M1286" s="64"/>
      <c r="N1286" s="33"/>
    </row>
    <row r="1287" ht="24" customHeight="1" spans="2:14">
      <c r="B1287" s="33"/>
      <c r="C1287" s="60"/>
      <c r="D1287" s="60"/>
      <c r="E1287" s="60"/>
      <c r="F1287" s="60"/>
      <c r="G1287" s="60"/>
      <c r="H1287" s="60"/>
      <c r="I1287" s="60"/>
      <c r="J1287" s="60"/>
      <c r="K1287" s="60"/>
      <c r="L1287" s="60"/>
      <c r="M1287" s="64"/>
      <c r="N1287" s="33"/>
    </row>
    <row r="1288" ht="24" customHeight="1" spans="2:14">
      <c r="B1288" s="33"/>
      <c r="C1288" s="60"/>
      <c r="D1288" s="60"/>
      <c r="E1288" s="60"/>
      <c r="F1288" s="60"/>
      <c r="G1288" s="60"/>
      <c r="H1288" s="60"/>
      <c r="I1288" s="60"/>
      <c r="J1288" s="60"/>
      <c r="K1288" s="60"/>
      <c r="L1288" s="60"/>
      <c r="M1288" s="64"/>
      <c r="N1288" s="33"/>
    </row>
    <row r="1289" ht="24" customHeight="1" spans="2:14">
      <c r="B1289" s="33"/>
      <c r="C1289" s="60"/>
      <c r="D1289" s="60"/>
      <c r="E1289" s="60"/>
      <c r="F1289" s="60"/>
      <c r="G1289" s="60"/>
      <c r="H1289" s="60"/>
      <c r="I1289" s="60"/>
      <c r="J1289" s="60"/>
      <c r="K1289" s="60"/>
      <c r="L1289" s="60"/>
      <c r="M1289" s="64"/>
      <c r="N1289" s="33"/>
    </row>
    <row r="1290" ht="24" customHeight="1" spans="2:14">
      <c r="B1290" s="33"/>
      <c r="C1290" s="60"/>
      <c r="D1290" s="60"/>
      <c r="E1290" s="60"/>
      <c r="F1290" s="60"/>
      <c r="G1290" s="60"/>
      <c r="H1290" s="60"/>
      <c r="I1290" s="60"/>
      <c r="J1290" s="60"/>
      <c r="K1290" s="60"/>
      <c r="L1290" s="60"/>
      <c r="M1290" s="64"/>
      <c r="N1290" s="33"/>
    </row>
    <row r="1291" ht="24" customHeight="1" spans="2:14">
      <c r="B1291" s="33"/>
      <c r="C1291" s="60"/>
      <c r="D1291" s="60"/>
      <c r="E1291" s="60"/>
      <c r="F1291" s="60"/>
      <c r="G1291" s="60"/>
      <c r="H1291" s="60"/>
      <c r="I1291" s="60"/>
      <c r="J1291" s="60"/>
      <c r="K1291" s="60"/>
      <c r="L1291" s="60"/>
      <c r="M1291" s="64"/>
      <c r="N1291" s="33"/>
    </row>
    <row r="1292" ht="24" customHeight="1" spans="2:14">
      <c r="B1292" s="33"/>
      <c r="C1292" s="60"/>
      <c r="D1292" s="60"/>
      <c r="E1292" s="60"/>
      <c r="F1292" s="60"/>
      <c r="G1292" s="60"/>
      <c r="H1292" s="60"/>
      <c r="I1292" s="60"/>
      <c r="J1292" s="60"/>
      <c r="K1292" s="60"/>
      <c r="L1292" s="60"/>
      <c r="M1292" s="64"/>
      <c r="N1292" s="33"/>
    </row>
    <row r="1293" ht="24" customHeight="1" spans="2:14">
      <c r="B1293" s="33"/>
      <c r="C1293" s="60"/>
      <c r="D1293" s="60"/>
      <c r="E1293" s="60"/>
      <c r="F1293" s="60"/>
      <c r="G1293" s="60"/>
      <c r="H1293" s="60"/>
      <c r="I1293" s="60"/>
      <c r="J1293" s="60"/>
      <c r="K1293" s="60"/>
      <c r="L1293" s="60"/>
      <c r="M1293" s="64"/>
      <c r="N1293" s="33"/>
    </row>
    <row r="1294" ht="24" customHeight="1" spans="2:14">
      <c r="B1294" s="33"/>
      <c r="C1294" s="60"/>
      <c r="D1294" s="60"/>
      <c r="E1294" s="60"/>
      <c r="F1294" s="60"/>
      <c r="G1294" s="60"/>
      <c r="H1294" s="60"/>
      <c r="I1294" s="60"/>
      <c r="J1294" s="60"/>
      <c r="K1294" s="60"/>
      <c r="L1294" s="60"/>
      <c r="M1294" s="64"/>
      <c r="N1294" s="33"/>
    </row>
    <row r="1295" ht="24" customHeight="1" spans="2:14">
      <c r="B1295" s="33"/>
      <c r="C1295" s="60"/>
      <c r="D1295" s="60"/>
      <c r="E1295" s="60"/>
      <c r="F1295" s="60"/>
      <c r="G1295" s="60"/>
      <c r="H1295" s="60"/>
      <c r="I1295" s="60"/>
      <c r="J1295" s="60"/>
      <c r="K1295" s="60"/>
      <c r="L1295" s="60"/>
      <c r="M1295" s="64"/>
      <c r="N1295" s="33"/>
    </row>
    <row r="1296" ht="24" customHeight="1" spans="2:14">
      <c r="B1296" s="33"/>
      <c r="C1296" s="60"/>
      <c r="D1296" s="60"/>
      <c r="E1296" s="60"/>
      <c r="F1296" s="60"/>
      <c r="G1296" s="60"/>
      <c r="H1296" s="60"/>
      <c r="I1296" s="60"/>
      <c r="J1296" s="60"/>
      <c r="K1296" s="60"/>
      <c r="L1296" s="60"/>
      <c r="M1296" s="64"/>
      <c r="N1296" s="33"/>
    </row>
    <row r="1297" ht="24" customHeight="1" spans="2:14">
      <c r="B1297" s="33"/>
      <c r="C1297" s="60"/>
      <c r="D1297" s="60"/>
      <c r="E1297" s="60"/>
      <c r="F1297" s="60"/>
      <c r="G1297" s="60"/>
      <c r="H1297" s="60"/>
      <c r="I1297" s="60"/>
      <c r="J1297" s="60"/>
      <c r="K1297" s="60"/>
      <c r="L1297" s="60"/>
      <c r="M1297" s="64"/>
      <c r="N1297" s="33"/>
    </row>
    <row r="1298" ht="24" customHeight="1" spans="2:14">
      <c r="B1298" s="33"/>
      <c r="C1298" s="60"/>
      <c r="D1298" s="60"/>
      <c r="E1298" s="60"/>
      <c r="F1298" s="60"/>
      <c r="G1298" s="60"/>
      <c r="H1298" s="60"/>
      <c r="I1298" s="60"/>
      <c r="J1298" s="60"/>
      <c r="K1298" s="60"/>
      <c r="L1298" s="60"/>
      <c r="M1298" s="64"/>
      <c r="N1298" s="33"/>
    </row>
    <row r="1299" ht="24" customHeight="1" spans="2:14">
      <c r="B1299" s="33"/>
      <c r="C1299" s="60"/>
      <c r="D1299" s="60"/>
      <c r="E1299" s="60"/>
      <c r="F1299" s="60"/>
      <c r="G1299" s="60"/>
      <c r="H1299" s="60"/>
      <c r="I1299" s="60"/>
      <c r="J1299" s="60"/>
      <c r="K1299" s="60"/>
      <c r="L1299" s="60"/>
      <c r="M1299" s="64"/>
      <c r="N1299" s="33"/>
    </row>
    <row r="1300" ht="24" customHeight="1" spans="2:14">
      <c r="B1300" s="33"/>
      <c r="C1300" s="60"/>
      <c r="D1300" s="60"/>
      <c r="E1300" s="60"/>
      <c r="F1300" s="60"/>
      <c r="G1300" s="60"/>
      <c r="H1300" s="60"/>
      <c r="I1300" s="60"/>
      <c r="J1300" s="60"/>
      <c r="K1300" s="60"/>
      <c r="L1300" s="60"/>
      <c r="M1300" s="64"/>
      <c r="N1300" s="33"/>
    </row>
    <row r="1301" ht="24" customHeight="1" spans="2:14">
      <c r="B1301" s="33"/>
      <c r="C1301" s="60"/>
      <c r="D1301" s="60"/>
      <c r="E1301" s="60"/>
      <c r="F1301" s="60"/>
      <c r="G1301" s="60"/>
      <c r="H1301" s="60"/>
      <c r="I1301" s="60"/>
      <c r="J1301" s="60"/>
      <c r="K1301" s="60"/>
      <c r="L1301" s="60"/>
      <c r="M1301" s="64"/>
      <c r="N1301" s="33"/>
    </row>
    <row r="1302" ht="24" customHeight="1" spans="2:14">
      <c r="B1302" s="33"/>
      <c r="C1302" s="60"/>
      <c r="D1302" s="60"/>
      <c r="E1302" s="60"/>
      <c r="F1302" s="60"/>
      <c r="G1302" s="60"/>
      <c r="H1302" s="60"/>
      <c r="I1302" s="60"/>
      <c r="J1302" s="60"/>
      <c r="K1302" s="60"/>
      <c r="L1302" s="60"/>
      <c r="M1302" s="64"/>
      <c r="N1302" s="33"/>
    </row>
    <row r="1303" ht="24" customHeight="1" spans="2:14">
      <c r="B1303" s="33"/>
      <c r="C1303" s="60"/>
      <c r="D1303" s="60"/>
      <c r="E1303" s="60"/>
      <c r="F1303" s="60"/>
      <c r="G1303" s="60"/>
      <c r="H1303" s="60"/>
      <c r="I1303" s="60"/>
      <c r="J1303" s="60"/>
      <c r="K1303" s="60"/>
      <c r="L1303" s="60"/>
      <c r="M1303" s="64"/>
      <c r="N1303" s="33"/>
    </row>
    <row r="1304" ht="24" customHeight="1" spans="2:14">
      <c r="B1304" s="33"/>
      <c r="C1304" s="60"/>
      <c r="D1304" s="60"/>
      <c r="E1304" s="60"/>
      <c r="F1304" s="60"/>
      <c r="G1304" s="60"/>
      <c r="H1304" s="60"/>
      <c r="I1304" s="60"/>
      <c r="J1304" s="60"/>
      <c r="K1304" s="60"/>
      <c r="L1304" s="60"/>
      <c r="M1304" s="64"/>
      <c r="N1304" s="33"/>
    </row>
    <row r="1305" ht="24" customHeight="1" spans="2:14">
      <c r="B1305" s="33"/>
      <c r="C1305" s="60"/>
      <c r="D1305" s="60"/>
      <c r="E1305" s="60"/>
      <c r="F1305" s="60"/>
      <c r="G1305" s="60"/>
      <c r="H1305" s="60"/>
      <c r="I1305" s="60"/>
      <c r="J1305" s="60"/>
      <c r="K1305" s="60"/>
      <c r="L1305" s="60"/>
      <c r="M1305" s="64"/>
      <c r="N1305" s="33"/>
    </row>
    <row r="1306" ht="24" customHeight="1" spans="2:14">
      <c r="B1306" s="33"/>
      <c r="C1306" s="60"/>
      <c r="D1306" s="60"/>
      <c r="E1306" s="60"/>
      <c r="F1306" s="60"/>
      <c r="G1306" s="60"/>
      <c r="H1306" s="60"/>
      <c r="I1306" s="60"/>
      <c r="J1306" s="60"/>
      <c r="K1306" s="60"/>
      <c r="L1306" s="60"/>
      <c r="M1306" s="64"/>
      <c r="N1306" s="33"/>
    </row>
    <row r="1307" ht="24" customHeight="1" spans="2:14">
      <c r="B1307" s="33"/>
      <c r="C1307" s="60"/>
      <c r="D1307" s="60"/>
      <c r="E1307" s="60"/>
      <c r="F1307" s="60"/>
      <c r="G1307" s="60"/>
      <c r="H1307" s="60"/>
      <c r="I1307" s="60"/>
      <c r="J1307" s="60"/>
      <c r="K1307" s="60"/>
      <c r="L1307" s="60"/>
      <c r="M1307" s="64"/>
      <c r="N1307" s="33"/>
    </row>
    <row r="1308" ht="24" customHeight="1" spans="2:14">
      <c r="B1308" s="33"/>
      <c r="C1308" s="60"/>
      <c r="D1308" s="60"/>
      <c r="E1308" s="60"/>
      <c r="F1308" s="60"/>
      <c r="G1308" s="60"/>
      <c r="H1308" s="60"/>
      <c r="I1308" s="60"/>
      <c r="J1308" s="60"/>
      <c r="K1308" s="60"/>
      <c r="L1308" s="60"/>
      <c r="M1308" s="64"/>
      <c r="N1308" s="33"/>
    </row>
    <row r="1309" ht="24" customHeight="1" spans="2:14">
      <c r="B1309" s="33"/>
      <c r="C1309" s="60"/>
      <c r="D1309" s="60"/>
      <c r="E1309" s="60"/>
      <c r="F1309" s="60"/>
      <c r="G1309" s="60"/>
      <c r="H1309" s="60"/>
      <c r="I1309" s="60"/>
      <c r="J1309" s="60"/>
      <c r="K1309" s="60"/>
      <c r="L1309" s="60"/>
      <c r="M1309" s="64"/>
      <c r="N1309" s="33"/>
    </row>
    <row r="1310" ht="24" customHeight="1" spans="2:14">
      <c r="B1310" s="33"/>
      <c r="C1310" s="60"/>
      <c r="D1310" s="60"/>
      <c r="E1310" s="60"/>
      <c r="F1310" s="60"/>
      <c r="G1310" s="60"/>
      <c r="H1310" s="60"/>
      <c r="I1310" s="60"/>
      <c r="J1310" s="60"/>
      <c r="K1310" s="60"/>
      <c r="L1310" s="60"/>
      <c r="M1310" s="64"/>
      <c r="N1310" s="33"/>
    </row>
    <row r="1311" ht="24" customHeight="1" spans="2:14">
      <c r="B1311" s="33"/>
      <c r="C1311" s="60"/>
      <c r="D1311" s="60"/>
      <c r="E1311" s="60"/>
      <c r="F1311" s="60"/>
      <c r="G1311" s="60"/>
      <c r="H1311" s="60"/>
      <c r="I1311" s="60"/>
      <c r="J1311" s="60"/>
      <c r="K1311" s="60"/>
      <c r="L1311" s="60"/>
      <c r="M1311" s="64"/>
      <c r="N1311" s="33"/>
    </row>
    <row r="1312" ht="24" customHeight="1" spans="2:14">
      <c r="B1312" s="33"/>
      <c r="C1312" s="60"/>
      <c r="D1312" s="60"/>
      <c r="E1312" s="60"/>
      <c r="F1312" s="60"/>
      <c r="G1312" s="60"/>
      <c r="H1312" s="60"/>
      <c r="I1312" s="60"/>
      <c r="J1312" s="60"/>
      <c r="K1312" s="60"/>
      <c r="L1312" s="60"/>
      <c r="M1312" s="64"/>
      <c r="N1312" s="33"/>
    </row>
    <row r="1313" ht="24" customHeight="1" spans="2:14">
      <c r="B1313" s="33"/>
      <c r="C1313" s="60"/>
      <c r="D1313" s="60"/>
      <c r="E1313" s="60"/>
      <c r="F1313" s="60"/>
      <c r="G1313" s="60"/>
      <c r="H1313" s="60"/>
      <c r="I1313" s="60"/>
      <c r="J1313" s="60"/>
      <c r="K1313" s="60"/>
      <c r="L1313" s="60"/>
      <c r="M1313" s="64"/>
      <c r="N1313" s="33"/>
    </row>
    <row r="1314" ht="24" customHeight="1" spans="2:14">
      <c r="B1314" s="33"/>
      <c r="C1314" s="60"/>
      <c r="D1314" s="60"/>
      <c r="E1314" s="60"/>
      <c r="F1314" s="60"/>
      <c r="G1314" s="60"/>
      <c r="H1314" s="60"/>
      <c r="I1314" s="60"/>
      <c r="J1314" s="60"/>
      <c r="K1314" s="60"/>
      <c r="L1314" s="60"/>
      <c r="M1314" s="64"/>
      <c r="N1314" s="33"/>
    </row>
    <row r="1315" ht="24" customHeight="1" spans="2:14">
      <c r="B1315" s="33"/>
      <c r="C1315" s="60"/>
      <c r="D1315" s="60"/>
      <c r="E1315" s="60"/>
      <c r="F1315" s="60"/>
      <c r="G1315" s="60"/>
      <c r="H1315" s="60"/>
      <c r="I1315" s="60"/>
      <c r="J1315" s="60"/>
      <c r="K1315" s="60"/>
      <c r="L1315" s="60"/>
      <c r="M1315" s="64"/>
      <c r="N1315" s="33"/>
    </row>
    <row r="1316" ht="24" customHeight="1" spans="2:14">
      <c r="B1316" s="33"/>
      <c r="C1316" s="60"/>
      <c r="D1316" s="60"/>
      <c r="E1316" s="60"/>
      <c r="F1316" s="60"/>
      <c r="G1316" s="60"/>
      <c r="H1316" s="60"/>
      <c r="I1316" s="60"/>
      <c r="J1316" s="60"/>
      <c r="K1316" s="60"/>
      <c r="L1316" s="60"/>
      <c r="M1316" s="64"/>
      <c r="N1316" s="33"/>
    </row>
    <row r="1317" ht="24" customHeight="1" spans="2:14">
      <c r="B1317" s="33"/>
      <c r="C1317" s="60"/>
      <c r="D1317" s="60"/>
      <c r="E1317" s="60"/>
      <c r="F1317" s="60"/>
      <c r="G1317" s="60"/>
      <c r="H1317" s="60"/>
      <c r="I1317" s="60"/>
      <c r="J1317" s="60"/>
      <c r="K1317" s="60"/>
      <c r="L1317" s="60"/>
      <c r="M1317" s="64"/>
      <c r="N1317" s="33"/>
    </row>
    <row r="1318" ht="24" customHeight="1" spans="2:14">
      <c r="B1318" s="33"/>
      <c r="C1318" s="60"/>
      <c r="D1318" s="60"/>
      <c r="E1318" s="60"/>
      <c r="F1318" s="60"/>
      <c r="G1318" s="60"/>
      <c r="H1318" s="60"/>
      <c r="I1318" s="60"/>
      <c r="J1318" s="60"/>
      <c r="K1318" s="60"/>
      <c r="L1318" s="60"/>
      <c r="M1318" s="64"/>
      <c r="N1318" s="33"/>
    </row>
    <row r="1319" ht="24" customHeight="1" spans="2:14">
      <c r="B1319" s="33"/>
      <c r="C1319" s="60"/>
      <c r="D1319" s="60"/>
      <c r="E1319" s="60"/>
      <c r="F1319" s="60"/>
      <c r="G1319" s="60"/>
      <c r="H1319" s="60"/>
      <c r="I1319" s="60"/>
      <c r="J1319" s="60"/>
      <c r="K1319" s="60"/>
      <c r="L1319" s="60"/>
      <c r="M1319" s="64"/>
      <c r="N1319" s="33"/>
    </row>
    <row r="1320" ht="24" customHeight="1" spans="2:14">
      <c r="B1320" s="33"/>
      <c r="C1320" s="60"/>
      <c r="D1320" s="60"/>
      <c r="E1320" s="60"/>
      <c r="F1320" s="60"/>
      <c r="G1320" s="60"/>
      <c r="H1320" s="60"/>
      <c r="I1320" s="60"/>
      <c r="J1320" s="60"/>
      <c r="K1320" s="60"/>
      <c r="L1320" s="60"/>
      <c r="M1320" s="64"/>
      <c r="N1320" s="33"/>
    </row>
    <row r="1321" ht="24" customHeight="1" spans="2:14">
      <c r="B1321" s="33"/>
      <c r="C1321" s="60"/>
      <c r="D1321" s="60"/>
      <c r="E1321" s="60"/>
      <c r="F1321" s="60"/>
      <c r="G1321" s="60"/>
      <c r="H1321" s="60"/>
      <c r="I1321" s="60"/>
      <c r="J1321" s="60"/>
      <c r="K1321" s="60"/>
      <c r="L1321" s="60"/>
      <c r="M1321" s="64"/>
      <c r="N1321" s="33"/>
    </row>
    <row r="1322" ht="24" customHeight="1" spans="2:14">
      <c r="B1322" s="33"/>
      <c r="C1322" s="60"/>
      <c r="D1322" s="60"/>
      <c r="E1322" s="60"/>
      <c r="F1322" s="60"/>
      <c r="G1322" s="60"/>
      <c r="H1322" s="60"/>
      <c r="I1322" s="60"/>
      <c r="J1322" s="60"/>
      <c r="K1322" s="60"/>
      <c r="L1322" s="60"/>
      <c r="M1322" s="64"/>
      <c r="N1322" s="33"/>
    </row>
    <row r="1323" ht="24" customHeight="1" spans="2:14">
      <c r="B1323" s="33"/>
      <c r="C1323" s="60"/>
      <c r="D1323" s="60"/>
      <c r="E1323" s="60"/>
      <c r="F1323" s="60"/>
      <c r="G1323" s="60"/>
      <c r="H1323" s="60"/>
      <c r="I1323" s="60"/>
      <c r="J1323" s="60"/>
      <c r="K1323" s="60"/>
      <c r="L1323" s="60"/>
      <c r="M1323" s="64"/>
      <c r="N1323" s="33"/>
    </row>
    <row r="1324" ht="24" customHeight="1" spans="2:14">
      <c r="B1324" s="33"/>
      <c r="C1324" s="60"/>
      <c r="D1324" s="60"/>
      <c r="E1324" s="60"/>
      <c r="F1324" s="60"/>
      <c r="G1324" s="60"/>
      <c r="H1324" s="60"/>
      <c r="I1324" s="60"/>
      <c r="J1324" s="60"/>
      <c r="K1324" s="60"/>
      <c r="L1324" s="60"/>
      <c r="M1324" s="64"/>
      <c r="N1324" s="33"/>
    </row>
    <row r="1325" ht="24" customHeight="1" spans="2:14">
      <c r="B1325" s="33"/>
      <c r="C1325" s="60"/>
      <c r="D1325" s="60"/>
      <c r="E1325" s="60"/>
      <c r="F1325" s="60"/>
      <c r="G1325" s="60"/>
      <c r="H1325" s="60"/>
      <c r="I1325" s="60"/>
      <c r="J1325" s="60"/>
      <c r="K1325" s="60"/>
      <c r="L1325" s="60"/>
      <c r="M1325" s="64"/>
      <c r="N1325" s="33"/>
    </row>
    <row r="1326" ht="24" customHeight="1" spans="2:14">
      <c r="B1326" s="33"/>
      <c r="C1326" s="60"/>
      <c r="D1326" s="60"/>
      <c r="E1326" s="60"/>
      <c r="F1326" s="60"/>
      <c r="G1326" s="60"/>
      <c r="H1326" s="60"/>
      <c r="I1326" s="60"/>
      <c r="J1326" s="60"/>
      <c r="K1326" s="60"/>
      <c r="L1326" s="60"/>
      <c r="M1326" s="64"/>
      <c r="N1326" s="33"/>
    </row>
    <row r="1327" ht="24" customHeight="1" spans="2:14">
      <c r="B1327" s="33"/>
      <c r="C1327" s="60"/>
      <c r="D1327" s="60"/>
      <c r="E1327" s="60"/>
      <c r="F1327" s="60"/>
      <c r="G1327" s="60"/>
      <c r="H1327" s="60"/>
      <c r="I1327" s="60"/>
      <c r="J1327" s="60"/>
      <c r="K1327" s="60"/>
      <c r="L1327" s="60"/>
      <c r="M1327" s="64"/>
      <c r="N1327" s="33"/>
    </row>
    <row r="1328" ht="24" customHeight="1" spans="2:14">
      <c r="B1328" s="33"/>
      <c r="C1328" s="60"/>
      <c r="D1328" s="60"/>
      <c r="E1328" s="60"/>
      <c r="F1328" s="60"/>
      <c r="G1328" s="60"/>
      <c r="H1328" s="60"/>
      <c r="I1328" s="60"/>
      <c r="J1328" s="60"/>
      <c r="K1328" s="60"/>
      <c r="L1328" s="60"/>
      <c r="M1328" s="64"/>
      <c r="N1328" s="33"/>
    </row>
    <row r="1329" ht="24" customHeight="1" spans="2:14">
      <c r="B1329" s="33"/>
      <c r="C1329" s="60"/>
      <c r="D1329" s="60"/>
      <c r="E1329" s="60"/>
      <c r="F1329" s="60"/>
      <c r="G1329" s="60"/>
      <c r="H1329" s="60"/>
      <c r="I1329" s="60"/>
      <c r="J1329" s="60"/>
      <c r="K1329" s="60"/>
      <c r="L1329" s="60"/>
      <c r="M1329" s="64"/>
      <c r="N1329" s="33"/>
    </row>
    <row r="1330" ht="24" customHeight="1" spans="2:14">
      <c r="B1330" s="33"/>
      <c r="C1330" s="60"/>
      <c r="D1330" s="60"/>
      <c r="E1330" s="60"/>
      <c r="F1330" s="60"/>
      <c r="G1330" s="60"/>
      <c r="H1330" s="60"/>
      <c r="I1330" s="60"/>
      <c r="J1330" s="60"/>
      <c r="K1330" s="60"/>
      <c r="L1330" s="60"/>
      <c r="M1330" s="64"/>
      <c r="N1330" s="33"/>
    </row>
    <row r="1331" ht="24" customHeight="1" spans="2:14">
      <c r="B1331" s="33"/>
      <c r="C1331" s="60"/>
      <c r="D1331" s="60"/>
      <c r="E1331" s="60"/>
      <c r="F1331" s="60"/>
      <c r="G1331" s="60"/>
      <c r="H1331" s="60"/>
      <c r="I1331" s="60"/>
      <c r="J1331" s="60"/>
      <c r="K1331" s="60"/>
      <c r="L1331" s="60"/>
      <c r="M1331" s="64"/>
      <c r="N1331" s="33"/>
    </row>
    <row r="1332" ht="24" customHeight="1" spans="2:14">
      <c r="B1332" s="33"/>
      <c r="C1332" s="60"/>
      <c r="D1332" s="60"/>
      <c r="E1332" s="60"/>
      <c r="F1332" s="60"/>
      <c r="G1332" s="60"/>
      <c r="H1332" s="60"/>
      <c r="I1332" s="60"/>
      <c r="J1332" s="60"/>
      <c r="K1332" s="60"/>
      <c r="L1332" s="60"/>
      <c r="M1332" s="64"/>
      <c r="N1332" s="33"/>
    </row>
    <row r="1333" ht="24" customHeight="1" spans="2:14">
      <c r="B1333" s="33"/>
      <c r="C1333" s="60"/>
      <c r="D1333" s="60"/>
      <c r="E1333" s="60"/>
      <c r="F1333" s="60"/>
      <c r="G1333" s="60"/>
      <c r="H1333" s="60"/>
      <c r="I1333" s="60"/>
      <c r="J1333" s="60"/>
      <c r="K1333" s="60"/>
      <c r="L1333" s="60"/>
      <c r="M1333" s="64"/>
      <c r="N1333" s="33"/>
    </row>
    <row r="1334" ht="24" customHeight="1" spans="2:14">
      <c r="B1334" s="33"/>
      <c r="C1334" s="60"/>
      <c r="D1334" s="60"/>
      <c r="E1334" s="60"/>
      <c r="F1334" s="60"/>
      <c r="G1334" s="60"/>
      <c r="H1334" s="60"/>
      <c r="I1334" s="60"/>
      <c r="J1334" s="60"/>
      <c r="K1334" s="60"/>
      <c r="L1334" s="60"/>
      <c r="M1334" s="64"/>
      <c r="N1334" s="33"/>
    </row>
    <row r="1335" ht="24" customHeight="1" spans="2:14">
      <c r="B1335" s="33"/>
      <c r="C1335" s="60"/>
      <c r="D1335" s="60"/>
      <c r="E1335" s="60"/>
      <c r="F1335" s="60"/>
      <c r="G1335" s="60"/>
      <c r="H1335" s="60"/>
      <c r="I1335" s="60"/>
      <c r="J1335" s="60"/>
      <c r="K1335" s="60"/>
      <c r="L1335" s="60"/>
      <c r="M1335" s="64"/>
      <c r="N1335" s="33"/>
    </row>
    <row r="1336" ht="24" customHeight="1" spans="2:14">
      <c r="B1336" s="33"/>
      <c r="C1336" s="60"/>
      <c r="D1336" s="60"/>
      <c r="E1336" s="60"/>
      <c r="F1336" s="60"/>
      <c r="G1336" s="60"/>
      <c r="H1336" s="60"/>
      <c r="I1336" s="60"/>
      <c r="J1336" s="60"/>
      <c r="K1336" s="60"/>
      <c r="L1336" s="60"/>
      <c r="M1336" s="64"/>
      <c r="N1336" s="33"/>
    </row>
    <row r="1337" ht="24" customHeight="1" spans="2:14">
      <c r="B1337" s="33"/>
      <c r="C1337" s="60"/>
      <c r="D1337" s="60"/>
      <c r="E1337" s="60"/>
      <c r="F1337" s="60"/>
      <c r="G1337" s="60"/>
      <c r="H1337" s="60"/>
      <c r="I1337" s="60"/>
      <c r="J1337" s="60"/>
      <c r="K1337" s="60"/>
      <c r="L1337" s="60"/>
      <c r="M1337" s="64"/>
      <c r="N1337" s="33"/>
    </row>
    <row r="1338" ht="24" customHeight="1" spans="2:14">
      <c r="B1338" s="33"/>
      <c r="C1338" s="60"/>
      <c r="D1338" s="60"/>
      <c r="E1338" s="60"/>
      <c r="F1338" s="60"/>
      <c r="G1338" s="60"/>
      <c r="H1338" s="60"/>
      <c r="I1338" s="60"/>
      <c r="J1338" s="60"/>
      <c r="K1338" s="60"/>
      <c r="L1338" s="60"/>
      <c r="M1338" s="64"/>
      <c r="N1338" s="33"/>
    </row>
    <row r="1339" ht="24" customHeight="1" spans="2:14">
      <c r="B1339" s="33"/>
      <c r="C1339" s="60"/>
      <c r="D1339" s="60"/>
      <c r="E1339" s="60"/>
      <c r="F1339" s="60"/>
      <c r="G1339" s="60"/>
      <c r="H1339" s="60"/>
      <c r="I1339" s="60"/>
      <c r="J1339" s="60"/>
      <c r="K1339" s="60"/>
      <c r="L1339" s="60"/>
      <c r="M1339" s="64"/>
      <c r="N1339" s="33"/>
    </row>
    <row r="1340" ht="24" customHeight="1" spans="2:14">
      <c r="B1340" s="33"/>
      <c r="C1340" s="60"/>
      <c r="D1340" s="60"/>
      <c r="E1340" s="60"/>
      <c r="F1340" s="60"/>
      <c r="G1340" s="60"/>
      <c r="H1340" s="60"/>
      <c r="I1340" s="60"/>
      <c r="J1340" s="60"/>
      <c r="K1340" s="60"/>
      <c r="L1340" s="60"/>
      <c r="M1340" s="64"/>
      <c r="N1340" s="33"/>
    </row>
    <row r="1341" ht="24" customHeight="1" spans="2:14">
      <c r="B1341" s="33"/>
      <c r="C1341" s="60"/>
      <c r="D1341" s="60"/>
      <c r="E1341" s="60"/>
      <c r="F1341" s="60"/>
      <c r="G1341" s="60"/>
      <c r="H1341" s="60"/>
      <c r="I1341" s="60"/>
      <c r="J1341" s="60"/>
      <c r="K1341" s="60"/>
      <c r="L1341" s="60"/>
      <c r="M1341" s="64"/>
      <c r="N1341" s="33"/>
    </row>
    <row r="1342" ht="24" customHeight="1" spans="2:14">
      <c r="B1342" s="33"/>
      <c r="C1342" s="60"/>
      <c r="D1342" s="60"/>
      <c r="E1342" s="60"/>
      <c r="F1342" s="60"/>
      <c r="G1342" s="60"/>
      <c r="H1342" s="60"/>
      <c r="I1342" s="60"/>
      <c r="J1342" s="60"/>
      <c r="K1342" s="60"/>
      <c r="L1342" s="60"/>
      <c r="M1342" s="64"/>
      <c r="N1342" s="33"/>
    </row>
    <row r="1343" ht="24" customHeight="1" spans="2:14">
      <c r="B1343" s="33"/>
      <c r="C1343" s="60"/>
      <c r="D1343" s="60"/>
      <c r="E1343" s="60"/>
      <c r="F1343" s="60"/>
      <c r="G1343" s="60"/>
      <c r="H1343" s="60"/>
      <c r="I1343" s="60"/>
      <c r="J1343" s="60"/>
      <c r="K1343" s="60"/>
      <c r="L1343" s="60"/>
      <c r="M1343" s="64"/>
      <c r="N1343" s="33"/>
    </row>
    <row r="1344" ht="24" customHeight="1" spans="2:14">
      <c r="B1344" s="33"/>
      <c r="C1344" s="60"/>
      <c r="D1344" s="60"/>
      <c r="E1344" s="60"/>
      <c r="F1344" s="60"/>
      <c r="G1344" s="60"/>
      <c r="H1344" s="60"/>
      <c r="I1344" s="60"/>
      <c r="J1344" s="60"/>
      <c r="K1344" s="60"/>
      <c r="L1344" s="60"/>
      <c r="M1344" s="64"/>
      <c r="N1344" s="33"/>
    </row>
    <row r="1345" ht="24" customHeight="1" spans="2:14">
      <c r="B1345" s="33"/>
      <c r="C1345" s="60"/>
      <c r="D1345" s="60"/>
      <c r="E1345" s="60"/>
      <c r="F1345" s="60"/>
      <c r="G1345" s="60"/>
      <c r="H1345" s="60"/>
      <c r="I1345" s="60"/>
      <c r="J1345" s="60"/>
      <c r="K1345" s="60"/>
      <c r="L1345" s="60"/>
      <c r="M1345" s="64"/>
      <c r="N1345" s="33"/>
    </row>
    <row r="1346" ht="24" customHeight="1" spans="2:14">
      <c r="B1346" s="33"/>
      <c r="C1346" s="60"/>
      <c r="D1346" s="60"/>
      <c r="E1346" s="60"/>
      <c r="F1346" s="60"/>
      <c r="G1346" s="60"/>
      <c r="H1346" s="60"/>
      <c r="I1346" s="60"/>
      <c r="J1346" s="60"/>
      <c r="K1346" s="60"/>
      <c r="L1346" s="60"/>
      <c r="M1346" s="64"/>
      <c r="N1346" s="33"/>
    </row>
    <row r="1347" ht="24" customHeight="1" spans="2:14">
      <c r="B1347" s="33"/>
      <c r="C1347" s="60"/>
      <c r="D1347" s="60"/>
      <c r="E1347" s="60"/>
      <c r="F1347" s="60"/>
      <c r="G1347" s="60"/>
      <c r="H1347" s="60"/>
      <c r="I1347" s="60"/>
      <c r="J1347" s="60"/>
      <c r="K1347" s="60"/>
      <c r="L1347" s="60"/>
      <c r="M1347" s="64"/>
      <c r="N1347" s="33"/>
    </row>
    <row r="1348" ht="24" customHeight="1" spans="2:14">
      <c r="B1348" s="33"/>
      <c r="C1348" s="60"/>
      <c r="D1348" s="60"/>
      <c r="E1348" s="60"/>
      <c r="F1348" s="60"/>
      <c r="G1348" s="60"/>
      <c r="H1348" s="60"/>
      <c r="I1348" s="60"/>
      <c r="J1348" s="60"/>
      <c r="K1348" s="60"/>
      <c r="L1348" s="60"/>
      <c r="M1348" s="64"/>
      <c r="N1348" s="33"/>
    </row>
    <row r="1349" ht="24" customHeight="1" spans="2:14">
      <c r="B1349" s="33"/>
      <c r="C1349" s="60"/>
      <c r="D1349" s="60"/>
      <c r="E1349" s="60"/>
      <c r="F1349" s="60"/>
      <c r="G1349" s="60"/>
      <c r="H1349" s="60"/>
      <c r="I1349" s="60"/>
      <c r="J1349" s="60"/>
      <c r="K1349" s="60"/>
      <c r="L1349" s="60"/>
      <c r="M1349" s="64"/>
      <c r="N1349" s="33"/>
    </row>
    <row r="1350" ht="24" customHeight="1" spans="2:14">
      <c r="B1350" s="33"/>
      <c r="C1350" s="60"/>
      <c r="D1350" s="60"/>
      <c r="E1350" s="60"/>
      <c r="F1350" s="60"/>
      <c r="G1350" s="60"/>
      <c r="H1350" s="60"/>
      <c r="I1350" s="60"/>
      <c r="J1350" s="60"/>
      <c r="K1350" s="60"/>
      <c r="L1350" s="60"/>
      <c r="M1350" s="64"/>
      <c r="N1350" s="33"/>
    </row>
    <row r="1351" ht="24" customHeight="1" spans="2:14">
      <c r="B1351" s="33"/>
      <c r="C1351" s="60"/>
      <c r="D1351" s="60"/>
      <c r="E1351" s="60"/>
      <c r="F1351" s="60"/>
      <c r="G1351" s="60"/>
      <c r="H1351" s="60"/>
      <c r="I1351" s="60"/>
      <c r="J1351" s="60"/>
      <c r="K1351" s="60"/>
      <c r="L1351" s="60"/>
      <c r="M1351" s="64"/>
      <c r="N1351" s="33"/>
    </row>
    <row r="1352" ht="24" customHeight="1" spans="2:14">
      <c r="B1352" s="33"/>
      <c r="C1352" s="60"/>
      <c r="D1352" s="60"/>
      <c r="E1352" s="60"/>
      <c r="F1352" s="60"/>
      <c r="G1352" s="60"/>
      <c r="H1352" s="60"/>
      <c r="I1352" s="60"/>
      <c r="J1352" s="60"/>
      <c r="K1352" s="60"/>
      <c r="L1352" s="60"/>
      <c r="M1352" s="64"/>
      <c r="N1352" s="33"/>
    </row>
    <row r="1353" ht="24" customHeight="1" spans="2:14">
      <c r="B1353" s="33"/>
      <c r="C1353" s="60"/>
      <c r="D1353" s="60"/>
      <c r="E1353" s="60"/>
      <c r="F1353" s="60"/>
      <c r="G1353" s="60"/>
      <c r="H1353" s="60"/>
      <c r="I1353" s="60"/>
      <c r="J1353" s="60"/>
      <c r="K1353" s="60"/>
      <c r="L1353" s="60"/>
      <c r="M1353" s="64"/>
      <c r="N1353" s="33"/>
    </row>
    <row r="1354" ht="24" customHeight="1" spans="2:14">
      <c r="B1354" s="33"/>
      <c r="C1354" s="60"/>
      <c r="D1354" s="60"/>
      <c r="E1354" s="60"/>
      <c r="F1354" s="60"/>
      <c r="G1354" s="60"/>
      <c r="H1354" s="60"/>
      <c r="I1354" s="60"/>
      <c r="J1354" s="60"/>
      <c r="K1354" s="60"/>
      <c r="L1354" s="60"/>
      <c r="M1354" s="64"/>
      <c r="N1354" s="33"/>
    </row>
    <row r="1355" ht="24" customHeight="1" spans="2:14">
      <c r="B1355" s="33"/>
      <c r="C1355" s="60"/>
      <c r="D1355" s="60"/>
      <c r="E1355" s="60"/>
      <c r="F1355" s="60"/>
      <c r="G1355" s="60"/>
      <c r="H1355" s="60"/>
      <c r="I1355" s="60"/>
      <c r="J1355" s="60"/>
      <c r="K1355" s="60"/>
      <c r="L1355" s="60"/>
      <c r="M1355" s="64"/>
      <c r="N1355" s="33"/>
    </row>
    <row r="1356" ht="24" customHeight="1" spans="2:14">
      <c r="B1356" s="33"/>
      <c r="C1356" s="60"/>
      <c r="D1356" s="60"/>
      <c r="E1356" s="60"/>
      <c r="F1356" s="60"/>
      <c r="G1356" s="60"/>
      <c r="H1356" s="60"/>
      <c r="I1356" s="60"/>
      <c r="J1356" s="60"/>
      <c r="K1356" s="60"/>
      <c r="L1356" s="60"/>
      <c r="M1356" s="64"/>
      <c r="N1356" s="33"/>
    </row>
    <row r="1357" ht="24" customHeight="1" spans="2:14">
      <c r="B1357" s="33"/>
      <c r="C1357" s="60"/>
      <c r="D1357" s="60"/>
      <c r="E1357" s="60"/>
      <c r="F1357" s="60"/>
      <c r="G1357" s="60"/>
      <c r="H1357" s="60"/>
      <c r="I1357" s="60"/>
      <c r="J1357" s="60"/>
      <c r="K1357" s="60"/>
      <c r="L1357" s="60"/>
      <c r="M1357" s="64"/>
      <c r="N1357" s="33"/>
    </row>
    <row r="1358" ht="24" customHeight="1" spans="2:14">
      <c r="B1358" s="33"/>
      <c r="C1358" s="60"/>
      <c r="D1358" s="60"/>
      <c r="E1358" s="60"/>
      <c r="F1358" s="60"/>
      <c r="G1358" s="60"/>
      <c r="H1358" s="60"/>
      <c r="I1358" s="60"/>
      <c r="J1358" s="60"/>
      <c r="K1358" s="60"/>
      <c r="L1358" s="60"/>
      <c r="M1358" s="64"/>
      <c r="N1358" s="33"/>
    </row>
    <row r="1359" ht="24" customHeight="1" spans="2:14">
      <c r="B1359" s="33"/>
      <c r="C1359" s="60"/>
      <c r="D1359" s="60"/>
      <c r="E1359" s="60"/>
      <c r="F1359" s="60"/>
      <c r="G1359" s="60"/>
      <c r="H1359" s="60"/>
      <c r="I1359" s="60"/>
      <c r="J1359" s="60"/>
      <c r="K1359" s="60"/>
      <c r="L1359" s="60"/>
      <c r="M1359" s="64"/>
      <c r="N1359" s="33"/>
    </row>
    <row r="1360" ht="24" customHeight="1" spans="2:14">
      <c r="B1360" s="33"/>
      <c r="C1360" s="60"/>
      <c r="D1360" s="60"/>
      <c r="E1360" s="60"/>
      <c r="F1360" s="60"/>
      <c r="G1360" s="60"/>
      <c r="H1360" s="60"/>
      <c r="I1360" s="60"/>
      <c r="J1360" s="60"/>
      <c r="K1360" s="60"/>
      <c r="L1360" s="60"/>
      <c r="M1360" s="64"/>
      <c r="N1360" s="33"/>
    </row>
    <row r="1361" ht="24" customHeight="1" spans="2:14">
      <c r="B1361" s="33"/>
      <c r="C1361" s="60"/>
      <c r="D1361" s="60"/>
      <c r="E1361" s="60"/>
      <c r="F1361" s="60"/>
      <c r="G1361" s="60"/>
      <c r="H1361" s="60"/>
      <c r="I1361" s="60"/>
      <c r="J1361" s="60"/>
      <c r="K1361" s="60"/>
      <c r="L1361" s="60"/>
      <c r="M1361" s="64"/>
      <c r="N1361" s="33"/>
    </row>
    <row r="1362" ht="24" customHeight="1" spans="2:14">
      <c r="B1362" s="33"/>
      <c r="C1362" s="60"/>
      <c r="D1362" s="60"/>
      <c r="E1362" s="60"/>
      <c r="F1362" s="60"/>
      <c r="G1362" s="60"/>
      <c r="H1362" s="60"/>
      <c r="I1362" s="60"/>
      <c r="J1362" s="60"/>
      <c r="K1362" s="60"/>
      <c r="L1362" s="60"/>
      <c r="M1362" s="64"/>
      <c r="N1362" s="33"/>
    </row>
    <row r="1363" ht="24" customHeight="1" spans="2:14">
      <c r="B1363" s="33"/>
      <c r="C1363" s="60"/>
      <c r="D1363" s="60"/>
      <c r="E1363" s="60"/>
      <c r="F1363" s="60"/>
      <c r="G1363" s="60"/>
      <c r="H1363" s="60"/>
      <c r="I1363" s="60"/>
      <c r="J1363" s="60"/>
      <c r="K1363" s="60"/>
      <c r="L1363" s="60"/>
      <c r="M1363" s="64"/>
      <c r="N1363" s="33"/>
    </row>
    <row r="1364" ht="24" customHeight="1" spans="2:14">
      <c r="B1364" s="33"/>
      <c r="C1364" s="60"/>
      <c r="D1364" s="60"/>
      <c r="E1364" s="60"/>
      <c r="F1364" s="60"/>
      <c r="G1364" s="60"/>
      <c r="H1364" s="60"/>
      <c r="I1364" s="60"/>
      <c r="J1364" s="60"/>
      <c r="K1364" s="60"/>
      <c r="L1364" s="60"/>
      <c r="M1364" s="64"/>
      <c r="N1364" s="33"/>
    </row>
    <row r="1365" ht="24" customHeight="1" spans="2:14">
      <c r="B1365" s="33"/>
      <c r="C1365" s="60"/>
      <c r="D1365" s="60"/>
      <c r="E1365" s="60"/>
      <c r="F1365" s="60"/>
      <c r="G1365" s="60"/>
      <c r="H1365" s="60"/>
      <c r="I1365" s="60"/>
      <c r="J1365" s="60"/>
      <c r="K1365" s="60"/>
      <c r="L1365" s="60"/>
      <c r="M1365" s="64"/>
      <c r="N1365" s="33"/>
    </row>
    <row r="1366" ht="24" customHeight="1" spans="2:14">
      <c r="B1366" s="33"/>
      <c r="C1366" s="60"/>
      <c r="D1366" s="60"/>
      <c r="E1366" s="60"/>
      <c r="F1366" s="60"/>
      <c r="G1366" s="60"/>
      <c r="H1366" s="60"/>
      <c r="I1366" s="60"/>
      <c r="J1366" s="60"/>
      <c r="K1366" s="60"/>
      <c r="L1366" s="60"/>
      <c r="M1366" s="64"/>
      <c r="N1366" s="33"/>
    </row>
    <row r="1367" ht="24" customHeight="1" spans="2:14">
      <c r="B1367" s="33"/>
      <c r="C1367" s="60"/>
      <c r="D1367" s="60"/>
      <c r="E1367" s="60"/>
      <c r="F1367" s="60"/>
      <c r="G1367" s="60"/>
      <c r="H1367" s="60"/>
      <c r="I1367" s="60"/>
      <c r="J1367" s="60"/>
      <c r="K1367" s="60"/>
      <c r="L1367" s="60"/>
      <c r="M1367" s="64"/>
      <c r="N1367" s="33"/>
    </row>
    <row r="1368" ht="24" customHeight="1" spans="2:14">
      <c r="B1368" s="33"/>
      <c r="C1368" s="60"/>
      <c r="D1368" s="60"/>
      <c r="E1368" s="60"/>
      <c r="F1368" s="60"/>
      <c r="G1368" s="60"/>
      <c r="H1368" s="60"/>
      <c r="I1368" s="60"/>
      <c r="J1368" s="60"/>
      <c r="K1368" s="60"/>
      <c r="L1368" s="60"/>
      <c r="M1368" s="64"/>
      <c r="N1368" s="33"/>
    </row>
    <row r="1369" ht="24" customHeight="1" spans="2:14">
      <c r="B1369" s="33"/>
      <c r="C1369" s="60"/>
      <c r="D1369" s="60"/>
      <c r="E1369" s="60"/>
      <c r="F1369" s="60"/>
      <c r="G1369" s="60"/>
      <c r="H1369" s="60"/>
      <c r="I1369" s="60"/>
      <c r="J1369" s="60"/>
      <c r="K1369" s="60"/>
      <c r="L1369" s="60"/>
      <c r="M1369" s="64"/>
      <c r="N1369" s="33"/>
    </row>
    <row r="1370" ht="24" customHeight="1" spans="2:14">
      <c r="B1370" s="33"/>
      <c r="C1370" s="60"/>
      <c r="D1370" s="60"/>
      <c r="E1370" s="60"/>
      <c r="F1370" s="60"/>
      <c r="G1370" s="60"/>
      <c r="H1370" s="60"/>
      <c r="I1370" s="60"/>
      <c r="J1370" s="60"/>
      <c r="K1370" s="60"/>
      <c r="L1370" s="60"/>
      <c r="M1370" s="64"/>
      <c r="N1370" s="33"/>
    </row>
    <row r="1371" ht="24" customHeight="1" spans="2:14">
      <c r="B1371" s="33"/>
      <c r="C1371" s="60"/>
      <c r="D1371" s="60"/>
      <c r="E1371" s="60"/>
      <c r="F1371" s="60"/>
      <c r="G1371" s="60"/>
      <c r="H1371" s="60"/>
      <c r="I1371" s="60"/>
      <c r="J1371" s="60"/>
      <c r="K1371" s="60"/>
      <c r="L1371" s="60"/>
      <c r="M1371" s="64"/>
      <c r="N1371" s="33"/>
    </row>
    <row r="1372" ht="24" customHeight="1" spans="2:14">
      <c r="B1372" s="33"/>
      <c r="C1372" s="60"/>
      <c r="D1372" s="60"/>
      <c r="E1372" s="60"/>
      <c r="F1372" s="60"/>
      <c r="G1372" s="60"/>
      <c r="H1372" s="60"/>
      <c r="I1372" s="60"/>
      <c r="J1372" s="60"/>
      <c r="K1372" s="60"/>
      <c r="L1372" s="60"/>
      <c r="M1372" s="64"/>
      <c r="N1372" s="33"/>
    </row>
    <row r="1373" ht="24" customHeight="1" spans="2:14">
      <c r="B1373" s="33"/>
      <c r="C1373" s="60"/>
      <c r="D1373" s="60"/>
      <c r="E1373" s="60"/>
      <c r="F1373" s="60"/>
      <c r="G1373" s="60"/>
      <c r="H1373" s="60"/>
      <c r="I1373" s="60"/>
      <c r="J1373" s="60"/>
      <c r="K1373" s="60"/>
      <c r="L1373" s="60"/>
      <c r="M1373" s="64"/>
      <c r="N1373" s="33"/>
    </row>
    <row r="1374" ht="24" customHeight="1" spans="2:14">
      <c r="B1374" s="33"/>
      <c r="C1374" s="60"/>
      <c r="D1374" s="60"/>
      <c r="E1374" s="60"/>
      <c r="F1374" s="60"/>
      <c r="G1374" s="60"/>
      <c r="H1374" s="60"/>
      <c r="I1374" s="60"/>
      <c r="J1374" s="60"/>
      <c r="K1374" s="60"/>
      <c r="L1374" s="60"/>
      <c r="M1374" s="64"/>
      <c r="N1374" s="33"/>
    </row>
    <row r="1375" ht="24" customHeight="1" spans="2:14">
      <c r="B1375" s="33"/>
      <c r="C1375" s="60"/>
      <c r="D1375" s="60"/>
      <c r="E1375" s="60"/>
      <c r="F1375" s="60"/>
      <c r="G1375" s="60"/>
      <c r="H1375" s="60"/>
      <c r="I1375" s="60"/>
      <c r="J1375" s="60"/>
      <c r="K1375" s="60"/>
      <c r="L1375" s="60"/>
      <c r="M1375" s="64"/>
      <c r="N1375" s="33"/>
    </row>
    <row r="1376" ht="24" customHeight="1" spans="2:14">
      <c r="B1376" s="33"/>
      <c r="C1376" s="60"/>
      <c r="D1376" s="60"/>
      <c r="E1376" s="60"/>
      <c r="F1376" s="60"/>
      <c r="G1376" s="60"/>
      <c r="H1376" s="60"/>
      <c r="I1376" s="60"/>
      <c r="J1376" s="60"/>
      <c r="K1376" s="60"/>
      <c r="L1376" s="60"/>
      <c r="M1376" s="64"/>
      <c r="N1376" s="33"/>
    </row>
    <row r="1377" ht="24" customHeight="1" spans="2:14">
      <c r="B1377" s="33"/>
      <c r="C1377" s="60"/>
      <c r="D1377" s="60"/>
      <c r="E1377" s="60"/>
      <c r="F1377" s="60"/>
      <c r="G1377" s="60"/>
      <c r="H1377" s="60"/>
      <c r="I1377" s="60"/>
      <c r="J1377" s="60"/>
      <c r="K1377" s="60"/>
      <c r="L1377" s="60"/>
      <c r="M1377" s="64"/>
      <c r="N1377" s="33"/>
    </row>
    <row r="1378" ht="24" customHeight="1" spans="2:14">
      <c r="B1378" s="33"/>
      <c r="C1378" s="60"/>
      <c r="D1378" s="60"/>
      <c r="E1378" s="60"/>
      <c r="F1378" s="60"/>
      <c r="G1378" s="60"/>
      <c r="H1378" s="60"/>
      <c r="I1378" s="60"/>
      <c r="J1378" s="60"/>
      <c r="K1378" s="60"/>
      <c r="L1378" s="60"/>
      <c r="M1378" s="64"/>
      <c r="N1378" s="33"/>
    </row>
    <row r="1379" ht="24" customHeight="1" spans="2:14">
      <c r="B1379" s="33"/>
      <c r="C1379" s="60"/>
      <c r="D1379" s="60"/>
      <c r="E1379" s="60"/>
      <c r="F1379" s="60"/>
      <c r="G1379" s="60"/>
      <c r="H1379" s="60"/>
      <c r="I1379" s="60"/>
      <c r="J1379" s="60"/>
      <c r="K1379" s="60"/>
      <c r="L1379" s="60"/>
      <c r="M1379" s="64"/>
      <c r="N1379" s="33"/>
    </row>
    <row r="1380" ht="24" customHeight="1" spans="2:14">
      <c r="B1380" s="33"/>
      <c r="C1380" s="60"/>
      <c r="D1380" s="60"/>
      <c r="E1380" s="60"/>
      <c r="F1380" s="60"/>
      <c r="G1380" s="60"/>
      <c r="H1380" s="60"/>
      <c r="I1380" s="60"/>
      <c r="J1380" s="60"/>
      <c r="K1380" s="60"/>
      <c r="L1380" s="60"/>
      <c r="M1380" s="64"/>
      <c r="N1380" s="33"/>
    </row>
    <row r="1381" ht="24" customHeight="1" spans="2:14">
      <c r="B1381" s="33"/>
      <c r="C1381" s="60"/>
      <c r="D1381" s="60"/>
      <c r="E1381" s="60"/>
      <c r="F1381" s="60"/>
      <c r="G1381" s="60"/>
      <c r="H1381" s="60"/>
      <c r="I1381" s="60"/>
      <c r="J1381" s="60"/>
      <c r="K1381" s="60"/>
      <c r="L1381" s="60"/>
      <c r="M1381" s="64"/>
      <c r="N1381" s="33"/>
    </row>
    <row r="1382" ht="24" customHeight="1" spans="2:14">
      <c r="B1382" s="33"/>
      <c r="C1382" s="60"/>
      <c r="D1382" s="60"/>
      <c r="E1382" s="60"/>
      <c r="F1382" s="60"/>
      <c r="G1382" s="60"/>
      <c r="H1382" s="60"/>
      <c r="I1382" s="60"/>
      <c r="J1382" s="60"/>
      <c r="K1382" s="60"/>
      <c r="L1382" s="60"/>
      <c r="M1382" s="64"/>
      <c r="N1382" s="33"/>
    </row>
    <row r="1383" ht="24" customHeight="1" spans="2:14">
      <c r="B1383" s="33"/>
      <c r="C1383" s="60"/>
      <c r="D1383" s="60"/>
      <c r="E1383" s="60"/>
      <c r="F1383" s="60"/>
      <c r="G1383" s="60"/>
      <c r="H1383" s="60"/>
      <c r="I1383" s="60"/>
      <c r="J1383" s="60"/>
      <c r="K1383" s="60"/>
      <c r="L1383" s="60"/>
      <c r="M1383" s="64"/>
      <c r="N1383" s="33"/>
    </row>
    <row r="1384" ht="24" customHeight="1" spans="2:14">
      <c r="B1384" s="33"/>
      <c r="C1384" s="60"/>
      <c r="D1384" s="60"/>
      <c r="E1384" s="60"/>
      <c r="F1384" s="60"/>
      <c r="G1384" s="60"/>
      <c r="H1384" s="60"/>
      <c r="I1384" s="60"/>
      <c r="J1384" s="60"/>
      <c r="K1384" s="60"/>
      <c r="L1384" s="60"/>
      <c r="M1384" s="64"/>
      <c r="N1384" s="33"/>
    </row>
    <row r="1385" ht="24" customHeight="1" spans="2:14">
      <c r="B1385" s="33"/>
      <c r="C1385" s="60"/>
      <c r="D1385" s="60"/>
      <c r="E1385" s="60"/>
      <c r="F1385" s="60"/>
      <c r="G1385" s="60"/>
      <c r="H1385" s="60"/>
      <c r="I1385" s="60"/>
      <c r="J1385" s="60"/>
      <c r="K1385" s="60"/>
      <c r="L1385" s="60"/>
      <c r="M1385" s="64"/>
      <c r="N1385" s="33"/>
    </row>
    <row r="1386" ht="24" customHeight="1" spans="2:14">
      <c r="B1386" s="33"/>
      <c r="C1386" s="60"/>
      <c r="D1386" s="60"/>
      <c r="E1386" s="60"/>
      <c r="F1386" s="60"/>
      <c r="G1386" s="60"/>
      <c r="H1386" s="60"/>
      <c r="I1386" s="60"/>
      <c r="J1386" s="60"/>
      <c r="K1386" s="60"/>
      <c r="L1386" s="60"/>
      <c r="M1386" s="64"/>
      <c r="N1386" s="33"/>
    </row>
    <row r="1387" ht="24" customHeight="1" spans="2:14">
      <c r="B1387" s="33"/>
      <c r="C1387" s="60"/>
      <c r="D1387" s="60"/>
      <c r="E1387" s="60"/>
      <c r="F1387" s="60"/>
      <c r="G1387" s="60"/>
      <c r="H1387" s="60"/>
      <c r="I1387" s="60"/>
      <c r="J1387" s="60"/>
      <c r="K1387" s="60"/>
      <c r="L1387" s="60"/>
      <c r="M1387" s="64"/>
      <c r="N1387" s="33"/>
    </row>
    <row r="1388" ht="24" customHeight="1" spans="2:14">
      <c r="B1388" s="33"/>
      <c r="C1388" s="60"/>
      <c r="D1388" s="60"/>
      <c r="E1388" s="60"/>
      <c r="F1388" s="60"/>
      <c r="G1388" s="60"/>
      <c r="H1388" s="60"/>
      <c r="I1388" s="60"/>
      <c r="J1388" s="60"/>
      <c r="K1388" s="60"/>
      <c r="L1388" s="60"/>
      <c r="M1388" s="64"/>
      <c r="N1388" s="33"/>
    </row>
    <row r="1389" ht="24" customHeight="1" spans="2:14">
      <c r="B1389" s="33"/>
      <c r="C1389" s="60"/>
      <c r="D1389" s="60"/>
      <c r="E1389" s="60"/>
      <c r="F1389" s="60"/>
      <c r="G1389" s="60"/>
      <c r="H1389" s="60"/>
      <c r="I1389" s="60"/>
      <c r="J1389" s="60"/>
      <c r="K1389" s="60"/>
      <c r="L1389" s="60"/>
      <c r="M1389" s="64"/>
      <c r="N1389" s="33"/>
    </row>
    <row r="1390" ht="24" customHeight="1" spans="2:14">
      <c r="B1390" s="33"/>
      <c r="C1390" s="60"/>
      <c r="D1390" s="60"/>
      <c r="E1390" s="60"/>
      <c r="F1390" s="60"/>
      <c r="G1390" s="60"/>
      <c r="H1390" s="60"/>
      <c r="I1390" s="60"/>
      <c r="J1390" s="60"/>
      <c r="K1390" s="60"/>
      <c r="L1390" s="60"/>
      <c r="M1390" s="64"/>
      <c r="N1390" s="33"/>
    </row>
    <row r="1391" ht="24" customHeight="1" spans="2:14">
      <c r="B1391" s="33"/>
      <c r="C1391" s="60"/>
      <c r="D1391" s="60"/>
      <c r="E1391" s="60"/>
      <c r="F1391" s="60"/>
      <c r="G1391" s="60"/>
      <c r="H1391" s="60"/>
      <c r="I1391" s="60"/>
      <c r="J1391" s="60"/>
      <c r="K1391" s="60"/>
      <c r="L1391" s="60"/>
      <c r="M1391" s="64"/>
      <c r="N1391" s="33"/>
    </row>
    <row r="1392" ht="24" customHeight="1" spans="2:14">
      <c r="B1392" s="33"/>
      <c r="C1392" s="60"/>
      <c r="D1392" s="60"/>
      <c r="E1392" s="60"/>
      <c r="F1392" s="60"/>
      <c r="G1392" s="60"/>
      <c r="H1392" s="60"/>
      <c r="I1392" s="60"/>
      <c r="J1392" s="60"/>
      <c r="K1392" s="60"/>
      <c r="L1392" s="60"/>
      <c r="M1392" s="64"/>
      <c r="N1392" s="33"/>
    </row>
    <row r="1393" ht="24" customHeight="1" spans="2:14">
      <c r="B1393" s="33"/>
      <c r="C1393" s="60"/>
      <c r="D1393" s="60"/>
      <c r="E1393" s="60"/>
      <c r="F1393" s="60"/>
      <c r="G1393" s="60"/>
      <c r="H1393" s="60"/>
      <c r="I1393" s="60"/>
      <c r="J1393" s="60"/>
      <c r="K1393" s="60"/>
      <c r="L1393" s="60"/>
      <c r="M1393" s="64"/>
      <c r="N1393" s="33"/>
    </row>
    <row r="1394" ht="24" customHeight="1" spans="2:14">
      <c r="B1394" s="33"/>
      <c r="C1394" s="60"/>
      <c r="D1394" s="60"/>
      <c r="E1394" s="60"/>
      <c r="F1394" s="60"/>
      <c r="G1394" s="60"/>
      <c r="H1394" s="60"/>
      <c r="I1394" s="60"/>
      <c r="J1394" s="60"/>
      <c r="K1394" s="60"/>
      <c r="L1394" s="60"/>
      <c r="M1394" s="64"/>
      <c r="N1394" s="33"/>
    </row>
    <row r="1395" ht="24" customHeight="1" spans="2:14">
      <c r="B1395" s="33"/>
      <c r="C1395" s="60"/>
      <c r="D1395" s="60"/>
      <c r="E1395" s="60"/>
      <c r="F1395" s="60"/>
      <c r="G1395" s="60"/>
      <c r="H1395" s="60"/>
      <c r="I1395" s="60"/>
      <c r="J1395" s="60"/>
      <c r="K1395" s="60"/>
      <c r="L1395" s="60"/>
      <c r="M1395" s="64"/>
      <c r="N1395" s="33"/>
    </row>
    <row r="1396" ht="24" customHeight="1" spans="2:14">
      <c r="B1396" s="33"/>
      <c r="C1396" s="60"/>
      <c r="D1396" s="60"/>
      <c r="E1396" s="60"/>
      <c r="F1396" s="60"/>
      <c r="G1396" s="60"/>
      <c r="H1396" s="60"/>
      <c r="I1396" s="60"/>
      <c r="J1396" s="60"/>
      <c r="K1396" s="60"/>
      <c r="L1396" s="60"/>
      <c r="M1396" s="64"/>
      <c r="N1396" s="33"/>
    </row>
    <row r="1397" ht="24" customHeight="1" spans="2:14">
      <c r="B1397" s="33"/>
      <c r="C1397" s="60"/>
      <c r="D1397" s="60"/>
      <c r="E1397" s="60"/>
      <c r="F1397" s="60"/>
      <c r="G1397" s="60"/>
      <c r="H1397" s="60"/>
      <c r="I1397" s="60"/>
      <c r="J1397" s="60"/>
      <c r="K1397" s="60"/>
      <c r="L1397" s="60"/>
      <c r="M1397" s="64"/>
      <c r="N1397" s="33"/>
    </row>
    <row r="1398" ht="24" customHeight="1" spans="2:14">
      <c r="B1398" s="33"/>
      <c r="C1398" s="60"/>
      <c r="D1398" s="60"/>
      <c r="E1398" s="60"/>
      <c r="F1398" s="60"/>
      <c r="G1398" s="60"/>
      <c r="H1398" s="60"/>
      <c r="I1398" s="60"/>
      <c r="J1398" s="60"/>
      <c r="K1398" s="60"/>
      <c r="L1398" s="60"/>
      <c r="M1398" s="64"/>
      <c r="N1398" s="33"/>
    </row>
    <row r="1399" ht="24" customHeight="1" spans="2:14">
      <c r="B1399" s="33"/>
      <c r="C1399" s="60"/>
      <c r="D1399" s="60"/>
      <c r="E1399" s="60"/>
      <c r="F1399" s="60"/>
      <c r="G1399" s="60"/>
      <c r="H1399" s="60"/>
      <c r="I1399" s="60"/>
      <c r="J1399" s="60"/>
      <c r="K1399" s="60"/>
      <c r="L1399" s="60"/>
      <c r="M1399" s="64"/>
      <c r="N1399" s="33"/>
    </row>
    <row r="1400" ht="24" customHeight="1" spans="2:14">
      <c r="B1400" s="33"/>
      <c r="C1400" s="60"/>
      <c r="D1400" s="60"/>
      <c r="E1400" s="60"/>
      <c r="F1400" s="60"/>
      <c r="G1400" s="60"/>
      <c r="H1400" s="60"/>
      <c r="I1400" s="60"/>
      <c r="J1400" s="60"/>
      <c r="K1400" s="60"/>
      <c r="L1400" s="60"/>
      <c r="M1400" s="64"/>
      <c r="N1400" s="33"/>
    </row>
    <row r="1401" ht="24" customHeight="1" spans="2:14">
      <c r="B1401" s="33"/>
      <c r="C1401" s="60"/>
      <c r="D1401" s="60"/>
      <c r="E1401" s="60"/>
      <c r="F1401" s="60"/>
      <c r="G1401" s="60"/>
      <c r="H1401" s="60"/>
      <c r="I1401" s="60"/>
      <c r="J1401" s="60"/>
      <c r="K1401" s="60"/>
      <c r="L1401" s="60"/>
      <c r="M1401" s="64"/>
      <c r="N1401" s="33"/>
    </row>
    <row r="1402" ht="24" customHeight="1" spans="2:14">
      <c r="B1402" s="33"/>
      <c r="C1402" s="60"/>
      <c r="D1402" s="60"/>
      <c r="E1402" s="60"/>
      <c r="F1402" s="60"/>
      <c r="G1402" s="60"/>
      <c r="H1402" s="60"/>
      <c r="I1402" s="60"/>
      <c r="J1402" s="60"/>
      <c r="K1402" s="60"/>
      <c r="L1402" s="60"/>
      <c r="M1402" s="64"/>
      <c r="N1402" s="33"/>
    </row>
    <row r="1403" ht="24" customHeight="1" spans="2:14">
      <c r="B1403" s="33"/>
      <c r="C1403" s="60"/>
      <c r="D1403" s="60"/>
      <c r="E1403" s="60"/>
      <c r="F1403" s="60"/>
      <c r="G1403" s="60"/>
      <c r="H1403" s="60"/>
      <c r="I1403" s="60"/>
      <c r="J1403" s="60"/>
      <c r="K1403" s="60"/>
      <c r="L1403" s="60"/>
      <c r="M1403" s="64"/>
      <c r="N1403" s="33"/>
    </row>
    <row r="1404" ht="24" customHeight="1" spans="2:14">
      <c r="B1404" s="33"/>
      <c r="C1404" s="60"/>
      <c r="D1404" s="60"/>
      <c r="E1404" s="60"/>
      <c r="F1404" s="60"/>
      <c r="G1404" s="60"/>
      <c r="H1404" s="60"/>
      <c r="I1404" s="60"/>
      <c r="J1404" s="60"/>
      <c r="K1404" s="60"/>
      <c r="L1404" s="60"/>
      <c r="M1404" s="64"/>
      <c r="N1404" s="33"/>
    </row>
    <row r="1405" ht="24" customHeight="1" spans="2:14">
      <c r="B1405" s="33"/>
      <c r="C1405" s="60"/>
      <c r="D1405" s="60"/>
      <c r="E1405" s="60"/>
      <c r="F1405" s="60"/>
      <c r="G1405" s="60"/>
      <c r="H1405" s="60"/>
      <c r="I1405" s="60"/>
      <c r="J1405" s="60"/>
      <c r="K1405" s="60"/>
      <c r="L1405" s="60"/>
      <c r="M1405" s="64"/>
      <c r="N1405" s="33"/>
    </row>
    <row r="1406" ht="24" customHeight="1" spans="2:14">
      <c r="B1406" s="33"/>
      <c r="C1406" s="60"/>
      <c r="D1406" s="60"/>
      <c r="E1406" s="60"/>
      <c r="F1406" s="60"/>
      <c r="G1406" s="60"/>
      <c r="H1406" s="60"/>
      <c r="I1406" s="60"/>
      <c r="J1406" s="60"/>
      <c r="K1406" s="60"/>
      <c r="L1406" s="60"/>
      <c r="M1406" s="64"/>
      <c r="N1406" s="33"/>
    </row>
    <row r="1407" ht="24" customHeight="1" spans="2:14">
      <c r="B1407" s="33"/>
      <c r="C1407" s="60"/>
      <c r="D1407" s="60"/>
      <c r="E1407" s="60"/>
      <c r="F1407" s="60"/>
      <c r="G1407" s="60"/>
      <c r="H1407" s="60"/>
      <c r="I1407" s="60"/>
      <c r="J1407" s="60"/>
      <c r="K1407" s="60"/>
      <c r="L1407" s="60"/>
      <c r="M1407" s="64"/>
      <c r="N1407" s="33"/>
    </row>
    <row r="1408" ht="24" customHeight="1" spans="2:14">
      <c r="B1408" s="33"/>
      <c r="C1408" s="60"/>
      <c r="D1408" s="60"/>
      <c r="E1408" s="60"/>
      <c r="F1408" s="60"/>
      <c r="G1408" s="60"/>
      <c r="H1408" s="60"/>
      <c r="I1408" s="60"/>
      <c r="J1408" s="60"/>
      <c r="K1408" s="60"/>
      <c r="L1408" s="60"/>
      <c r="M1408" s="64"/>
      <c r="N1408" s="33"/>
    </row>
    <row r="1409" ht="24" customHeight="1" spans="2:14">
      <c r="B1409" s="33"/>
      <c r="C1409" s="60"/>
      <c r="D1409" s="60"/>
      <c r="E1409" s="60"/>
      <c r="F1409" s="60"/>
      <c r="G1409" s="60"/>
      <c r="H1409" s="60"/>
      <c r="I1409" s="60"/>
      <c r="J1409" s="60"/>
      <c r="K1409" s="60"/>
      <c r="L1409" s="60"/>
      <c r="M1409" s="64"/>
      <c r="N1409" s="33"/>
    </row>
    <row r="1410" ht="24" customHeight="1" spans="2:14">
      <c r="B1410" s="33"/>
      <c r="C1410" s="60"/>
      <c r="D1410" s="60"/>
      <c r="E1410" s="60"/>
      <c r="F1410" s="60"/>
      <c r="G1410" s="60"/>
      <c r="H1410" s="60"/>
      <c r="I1410" s="60"/>
      <c r="J1410" s="60"/>
      <c r="K1410" s="60"/>
      <c r="L1410" s="60"/>
      <c r="M1410" s="64"/>
      <c r="N1410" s="33"/>
    </row>
    <row r="1411" ht="24" customHeight="1" spans="2:14">
      <c r="B1411" s="33"/>
      <c r="C1411" s="60"/>
      <c r="D1411" s="60"/>
      <c r="E1411" s="60"/>
      <c r="F1411" s="60"/>
      <c r="G1411" s="60"/>
      <c r="H1411" s="60"/>
      <c r="I1411" s="60"/>
      <c r="J1411" s="60"/>
      <c r="K1411" s="60"/>
      <c r="L1411" s="60"/>
      <c r="M1411" s="64"/>
      <c r="N1411" s="33"/>
    </row>
    <row r="1412" ht="24" customHeight="1" spans="2:14">
      <c r="B1412" s="33"/>
      <c r="C1412" s="60"/>
      <c r="D1412" s="60"/>
      <c r="E1412" s="60"/>
      <c r="F1412" s="60"/>
      <c r="G1412" s="60"/>
      <c r="H1412" s="60"/>
      <c r="I1412" s="60"/>
      <c r="J1412" s="60"/>
      <c r="K1412" s="60"/>
      <c r="L1412" s="60"/>
      <c r="M1412" s="64"/>
      <c r="N1412" s="33"/>
    </row>
    <row r="1413" ht="24" customHeight="1" spans="2:14">
      <c r="B1413" s="33"/>
      <c r="C1413" s="60"/>
      <c r="D1413" s="60"/>
      <c r="E1413" s="60"/>
      <c r="F1413" s="60"/>
      <c r="G1413" s="60"/>
      <c r="H1413" s="60"/>
      <c r="I1413" s="60"/>
      <c r="J1413" s="60"/>
      <c r="K1413" s="60"/>
      <c r="L1413" s="60"/>
      <c r="M1413" s="64"/>
      <c r="N1413" s="33"/>
    </row>
    <row r="1414" ht="24" customHeight="1" spans="2:14">
      <c r="B1414" s="33"/>
      <c r="C1414" s="60"/>
      <c r="D1414" s="60"/>
      <c r="E1414" s="60"/>
      <c r="F1414" s="60"/>
      <c r="G1414" s="60"/>
      <c r="H1414" s="60"/>
      <c r="I1414" s="60"/>
      <c r="J1414" s="60"/>
      <c r="K1414" s="60"/>
      <c r="L1414" s="60"/>
      <c r="M1414" s="64"/>
      <c r="N1414" s="33"/>
    </row>
    <row r="1415" ht="24" customHeight="1" spans="2:14">
      <c r="B1415" s="33"/>
      <c r="C1415" s="60"/>
      <c r="D1415" s="60"/>
      <c r="E1415" s="60"/>
      <c r="F1415" s="60"/>
      <c r="G1415" s="60"/>
      <c r="H1415" s="60"/>
      <c r="I1415" s="60"/>
      <c r="J1415" s="60"/>
      <c r="K1415" s="60"/>
      <c r="L1415" s="60"/>
      <c r="M1415" s="64"/>
      <c r="N1415" s="33"/>
    </row>
    <row r="1416" ht="24" customHeight="1" spans="2:14">
      <c r="B1416" s="33"/>
      <c r="C1416" s="60"/>
      <c r="D1416" s="60"/>
      <c r="E1416" s="60"/>
      <c r="F1416" s="60"/>
      <c r="G1416" s="60"/>
      <c r="H1416" s="60"/>
      <c r="I1416" s="60"/>
      <c r="J1416" s="60"/>
      <c r="K1416" s="60"/>
      <c r="L1416" s="60"/>
      <c r="M1416" s="64"/>
      <c r="N1416" s="33"/>
    </row>
    <row r="1417" ht="24" customHeight="1" spans="2:14">
      <c r="B1417" s="33"/>
      <c r="C1417" s="60"/>
      <c r="D1417" s="60"/>
      <c r="E1417" s="60"/>
      <c r="F1417" s="60"/>
      <c r="G1417" s="60"/>
      <c r="H1417" s="60"/>
      <c r="I1417" s="60"/>
      <c r="J1417" s="60"/>
      <c r="K1417" s="60"/>
      <c r="L1417" s="60"/>
      <c r="M1417" s="64"/>
      <c r="N1417" s="33"/>
    </row>
    <row r="1418" ht="24" customHeight="1" spans="2:14">
      <c r="B1418" s="33"/>
      <c r="C1418" s="60"/>
      <c r="D1418" s="60"/>
      <c r="E1418" s="60"/>
      <c r="F1418" s="60"/>
      <c r="G1418" s="60"/>
      <c r="H1418" s="60"/>
      <c r="I1418" s="60"/>
      <c r="J1418" s="60"/>
      <c r="K1418" s="60"/>
      <c r="L1418" s="60"/>
      <c r="M1418" s="64"/>
      <c r="N1418" s="33"/>
    </row>
    <row r="1419" ht="24" customHeight="1" spans="2:14">
      <c r="B1419" s="33"/>
      <c r="C1419" s="60"/>
      <c r="D1419" s="60"/>
      <c r="E1419" s="60"/>
      <c r="F1419" s="60"/>
      <c r="G1419" s="60"/>
      <c r="H1419" s="60"/>
      <c r="I1419" s="60"/>
      <c r="J1419" s="60"/>
      <c r="K1419" s="60"/>
      <c r="L1419" s="60"/>
      <c r="M1419" s="64"/>
      <c r="N1419" s="33"/>
    </row>
    <row r="1420" ht="24" customHeight="1" spans="2:14">
      <c r="B1420" s="33"/>
      <c r="C1420" s="60"/>
      <c r="D1420" s="60"/>
      <c r="E1420" s="60"/>
      <c r="F1420" s="60"/>
      <c r="G1420" s="60"/>
      <c r="H1420" s="60"/>
      <c r="I1420" s="60"/>
      <c r="J1420" s="60"/>
      <c r="K1420" s="60"/>
      <c r="L1420" s="60"/>
      <c r="M1420" s="64"/>
      <c r="N1420" s="33"/>
    </row>
    <row r="1421" ht="24" customHeight="1" spans="2:14">
      <c r="B1421" s="33"/>
      <c r="C1421" s="60"/>
      <c r="D1421" s="60"/>
      <c r="E1421" s="60"/>
      <c r="F1421" s="60"/>
      <c r="G1421" s="60"/>
      <c r="H1421" s="60"/>
      <c r="I1421" s="60"/>
      <c r="J1421" s="60"/>
      <c r="K1421" s="60"/>
      <c r="L1421" s="60"/>
      <c r="M1421" s="64"/>
      <c r="N1421" s="33"/>
    </row>
    <row r="1422" ht="24" customHeight="1" spans="2:14">
      <c r="B1422" s="33"/>
      <c r="C1422" s="60"/>
      <c r="D1422" s="60"/>
      <c r="E1422" s="60"/>
      <c r="F1422" s="60"/>
      <c r="G1422" s="60"/>
      <c r="H1422" s="60"/>
      <c r="I1422" s="60"/>
      <c r="J1422" s="60"/>
      <c r="K1422" s="60"/>
      <c r="L1422" s="60"/>
      <c r="M1422" s="64"/>
      <c r="N1422" s="33"/>
    </row>
    <row r="1423" ht="24" customHeight="1" spans="2:14">
      <c r="B1423" s="33"/>
      <c r="C1423" s="60"/>
      <c r="D1423" s="60"/>
      <c r="E1423" s="60"/>
      <c r="F1423" s="60"/>
      <c r="G1423" s="60"/>
      <c r="H1423" s="60"/>
      <c r="I1423" s="60"/>
      <c r="J1423" s="60"/>
      <c r="K1423" s="60"/>
      <c r="L1423" s="60"/>
      <c r="M1423" s="64"/>
      <c r="N1423" s="33"/>
    </row>
    <row r="1424" ht="24" customHeight="1" spans="2:14">
      <c r="B1424" s="33"/>
      <c r="C1424" s="60"/>
      <c r="D1424" s="60"/>
      <c r="E1424" s="60"/>
      <c r="F1424" s="60"/>
      <c r="G1424" s="60"/>
      <c r="H1424" s="60"/>
      <c r="I1424" s="60"/>
      <c r="J1424" s="60"/>
      <c r="K1424" s="60"/>
      <c r="L1424" s="60"/>
      <c r="M1424" s="64"/>
      <c r="N1424" s="33"/>
    </row>
    <row r="1425" ht="24" customHeight="1" spans="2:14">
      <c r="B1425" s="33"/>
      <c r="C1425" s="60"/>
      <c r="D1425" s="60"/>
      <c r="E1425" s="60"/>
      <c r="F1425" s="60"/>
      <c r="G1425" s="60"/>
      <c r="H1425" s="60"/>
      <c r="I1425" s="60"/>
      <c r="J1425" s="60"/>
      <c r="K1425" s="60"/>
      <c r="L1425" s="60"/>
      <c r="M1425" s="64"/>
      <c r="N1425" s="33"/>
    </row>
    <row r="1426" ht="24" customHeight="1" spans="2:14">
      <c r="B1426" s="33"/>
      <c r="C1426" s="60"/>
      <c r="D1426" s="60"/>
      <c r="E1426" s="60"/>
      <c r="F1426" s="60"/>
      <c r="G1426" s="60"/>
      <c r="H1426" s="60"/>
      <c r="I1426" s="60"/>
      <c r="J1426" s="60"/>
      <c r="K1426" s="60"/>
      <c r="L1426" s="60"/>
      <c r="M1426" s="64"/>
      <c r="N1426" s="33"/>
    </row>
    <row r="1427" ht="24" customHeight="1" spans="2:14">
      <c r="B1427" s="33"/>
      <c r="C1427" s="60"/>
      <c r="D1427" s="60"/>
      <c r="E1427" s="60"/>
      <c r="F1427" s="60"/>
      <c r="G1427" s="60"/>
      <c r="H1427" s="60"/>
      <c r="I1427" s="60"/>
      <c r="J1427" s="60"/>
      <c r="K1427" s="60"/>
      <c r="L1427" s="60"/>
      <c r="M1427" s="64"/>
      <c r="N1427" s="33"/>
    </row>
    <row r="1428" ht="24" customHeight="1" spans="2:14">
      <c r="B1428" s="33"/>
      <c r="C1428" s="60"/>
      <c r="D1428" s="60"/>
      <c r="E1428" s="60"/>
      <c r="F1428" s="60"/>
      <c r="G1428" s="60"/>
      <c r="H1428" s="60"/>
      <c r="I1428" s="60"/>
      <c r="J1428" s="60"/>
      <c r="K1428" s="60"/>
      <c r="L1428" s="60"/>
      <c r="M1428" s="64"/>
      <c r="N1428" s="33"/>
    </row>
    <row r="1429" ht="24" customHeight="1" spans="2:14">
      <c r="B1429" s="33"/>
      <c r="C1429" s="60"/>
      <c r="D1429" s="60"/>
      <c r="E1429" s="60"/>
      <c r="F1429" s="60"/>
      <c r="G1429" s="60"/>
      <c r="H1429" s="60"/>
      <c r="I1429" s="60"/>
      <c r="J1429" s="60"/>
      <c r="K1429" s="60"/>
      <c r="L1429" s="60"/>
      <c r="M1429" s="64"/>
      <c r="N1429" s="33"/>
    </row>
    <row r="1430" ht="24" customHeight="1" spans="2:14">
      <c r="B1430" s="33"/>
      <c r="C1430" s="60"/>
      <c r="D1430" s="60"/>
      <c r="E1430" s="60"/>
      <c r="F1430" s="60"/>
      <c r="G1430" s="60"/>
      <c r="H1430" s="60"/>
      <c r="I1430" s="60"/>
      <c r="J1430" s="60"/>
      <c r="K1430" s="60"/>
      <c r="L1430" s="60"/>
      <c r="M1430" s="64"/>
      <c r="N1430" s="33"/>
    </row>
    <row r="1431" ht="24" customHeight="1" spans="2:14">
      <c r="B1431" s="33"/>
      <c r="C1431" s="60"/>
      <c r="D1431" s="60"/>
      <c r="E1431" s="60"/>
      <c r="F1431" s="60"/>
      <c r="G1431" s="60"/>
      <c r="H1431" s="60"/>
      <c r="I1431" s="60"/>
      <c r="J1431" s="60"/>
      <c r="K1431" s="60"/>
      <c r="L1431" s="60"/>
      <c r="M1431" s="64"/>
      <c r="N1431" s="33"/>
    </row>
    <row r="1432" ht="24" customHeight="1" spans="2:14">
      <c r="B1432" s="33"/>
      <c r="C1432" s="60"/>
      <c r="D1432" s="60"/>
      <c r="E1432" s="60"/>
      <c r="F1432" s="60"/>
      <c r="G1432" s="60"/>
      <c r="H1432" s="60"/>
      <c r="I1432" s="60"/>
      <c r="J1432" s="60"/>
      <c r="K1432" s="60"/>
      <c r="L1432" s="60"/>
      <c r="M1432" s="64"/>
      <c r="N1432" s="33"/>
    </row>
    <row r="1433" ht="24" customHeight="1" spans="2:14">
      <c r="B1433" s="33"/>
      <c r="C1433" s="60"/>
      <c r="D1433" s="60"/>
      <c r="E1433" s="60"/>
      <c r="F1433" s="60"/>
      <c r="G1433" s="60"/>
      <c r="H1433" s="60"/>
      <c r="I1433" s="60"/>
      <c r="J1433" s="60"/>
      <c r="K1433" s="60"/>
      <c r="L1433" s="60"/>
      <c r="M1433" s="64"/>
      <c r="N1433" s="33"/>
    </row>
    <row r="1434" ht="24" customHeight="1" spans="2:14">
      <c r="B1434" s="33"/>
      <c r="C1434" s="60"/>
      <c r="D1434" s="60"/>
      <c r="E1434" s="60"/>
      <c r="F1434" s="60"/>
      <c r="G1434" s="60"/>
      <c r="H1434" s="60"/>
      <c r="I1434" s="60"/>
      <c r="J1434" s="60"/>
      <c r="K1434" s="60"/>
      <c r="L1434" s="60"/>
      <c r="M1434" s="64"/>
      <c r="N1434" s="33"/>
    </row>
    <row r="1435" ht="24" customHeight="1" spans="2:14">
      <c r="B1435" s="33"/>
      <c r="C1435" s="60"/>
      <c r="D1435" s="60"/>
      <c r="E1435" s="60"/>
      <c r="F1435" s="60"/>
      <c r="G1435" s="60"/>
      <c r="H1435" s="60"/>
      <c r="I1435" s="60"/>
      <c r="J1435" s="60"/>
      <c r="K1435" s="60"/>
      <c r="L1435" s="60"/>
      <c r="M1435" s="64"/>
      <c r="N1435" s="33"/>
    </row>
    <row r="1436" ht="24" customHeight="1" spans="2:14">
      <c r="B1436" s="33"/>
      <c r="C1436" s="60"/>
      <c r="D1436" s="60"/>
      <c r="E1436" s="60"/>
      <c r="F1436" s="60"/>
      <c r="G1436" s="60"/>
      <c r="H1436" s="60"/>
      <c r="I1436" s="60"/>
      <c r="J1436" s="60"/>
      <c r="K1436" s="60"/>
      <c r="L1436" s="60"/>
      <c r="M1436" s="64"/>
      <c r="N1436" s="33"/>
    </row>
    <row r="1437" ht="24" customHeight="1" spans="2:14">
      <c r="B1437" s="33"/>
      <c r="C1437" s="60"/>
      <c r="D1437" s="60"/>
      <c r="E1437" s="60"/>
      <c r="F1437" s="60"/>
      <c r="G1437" s="60"/>
      <c r="H1437" s="60"/>
      <c r="I1437" s="60"/>
      <c r="J1437" s="60"/>
      <c r="K1437" s="60"/>
      <c r="L1437" s="60"/>
      <c r="M1437" s="64"/>
      <c r="N1437" s="33"/>
    </row>
    <row r="1438" ht="24" customHeight="1" spans="2:14">
      <c r="B1438" s="33"/>
      <c r="C1438" s="60"/>
      <c r="D1438" s="60"/>
      <c r="E1438" s="60"/>
      <c r="F1438" s="60"/>
      <c r="G1438" s="60"/>
      <c r="H1438" s="60"/>
      <c r="I1438" s="60"/>
      <c r="J1438" s="60"/>
      <c r="K1438" s="60"/>
      <c r="L1438" s="60"/>
      <c r="M1438" s="64"/>
      <c r="N1438" s="33"/>
    </row>
    <row r="1439" ht="24" customHeight="1" spans="2:14">
      <c r="B1439" s="33"/>
      <c r="C1439" s="60"/>
      <c r="D1439" s="60"/>
      <c r="E1439" s="60"/>
      <c r="F1439" s="60"/>
      <c r="G1439" s="60"/>
      <c r="H1439" s="60"/>
      <c r="I1439" s="60"/>
      <c r="J1439" s="60"/>
      <c r="K1439" s="60"/>
      <c r="L1439" s="60"/>
      <c r="M1439" s="64"/>
      <c r="N1439" s="33"/>
    </row>
    <row r="1440" ht="24" customHeight="1" spans="2:14">
      <c r="B1440" s="33"/>
      <c r="C1440" s="60"/>
      <c r="D1440" s="60"/>
      <c r="E1440" s="60"/>
      <c r="F1440" s="60"/>
      <c r="G1440" s="60"/>
      <c r="H1440" s="60"/>
      <c r="I1440" s="60"/>
      <c r="J1440" s="60"/>
      <c r="K1440" s="60"/>
      <c r="L1440" s="60"/>
      <c r="M1440" s="64"/>
      <c r="N1440" s="33"/>
    </row>
    <row r="1441" ht="24" customHeight="1" spans="2:14">
      <c r="B1441" s="33"/>
      <c r="C1441" s="60"/>
      <c r="D1441" s="60"/>
      <c r="E1441" s="60"/>
      <c r="F1441" s="60"/>
      <c r="G1441" s="60"/>
      <c r="H1441" s="60"/>
      <c r="I1441" s="60"/>
      <c r="J1441" s="60"/>
      <c r="K1441" s="60"/>
      <c r="L1441" s="60"/>
      <c r="M1441" s="64"/>
      <c r="N1441" s="33"/>
    </row>
    <row r="1442" ht="24" customHeight="1" spans="2:14">
      <c r="B1442" s="33"/>
      <c r="C1442" s="60"/>
      <c r="D1442" s="60"/>
      <c r="E1442" s="60"/>
      <c r="F1442" s="60"/>
      <c r="G1442" s="60"/>
      <c r="H1442" s="60"/>
      <c r="I1442" s="60"/>
      <c r="J1442" s="60"/>
      <c r="K1442" s="60"/>
      <c r="L1442" s="60"/>
      <c r="M1442" s="64"/>
      <c r="N1442" s="33"/>
    </row>
    <row r="1443" ht="24" customHeight="1" spans="2:14">
      <c r="B1443" s="33"/>
      <c r="C1443" s="60"/>
      <c r="D1443" s="60"/>
      <c r="E1443" s="60"/>
      <c r="F1443" s="60"/>
      <c r="G1443" s="60"/>
      <c r="H1443" s="60"/>
      <c r="I1443" s="60"/>
      <c r="J1443" s="60"/>
      <c r="K1443" s="60"/>
      <c r="L1443" s="60"/>
      <c r="M1443" s="64"/>
      <c r="N1443" s="33"/>
    </row>
    <row r="1444" ht="24" customHeight="1" spans="2:14">
      <c r="B1444" s="33"/>
      <c r="C1444" s="60"/>
      <c r="D1444" s="60"/>
      <c r="E1444" s="60"/>
      <c r="F1444" s="60"/>
      <c r="G1444" s="60"/>
      <c r="H1444" s="60"/>
      <c r="I1444" s="60"/>
      <c r="J1444" s="60"/>
      <c r="K1444" s="60"/>
      <c r="L1444" s="60"/>
      <c r="M1444" s="64"/>
      <c r="N1444" s="33"/>
    </row>
    <row r="1445" ht="24" customHeight="1" spans="2:14">
      <c r="B1445" s="33"/>
      <c r="C1445" s="60"/>
      <c r="D1445" s="60"/>
      <c r="E1445" s="60"/>
      <c r="F1445" s="60"/>
      <c r="G1445" s="60"/>
      <c r="H1445" s="60"/>
      <c r="I1445" s="60"/>
      <c r="J1445" s="60"/>
      <c r="K1445" s="60"/>
      <c r="L1445" s="60"/>
      <c r="M1445" s="64"/>
      <c r="N1445" s="33"/>
    </row>
    <row r="1446" ht="24" customHeight="1" spans="2:14">
      <c r="B1446" s="33"/>
      <c r="C1446" s="60"/>
      <c r="D1446" s="60"/>
      <c r="E1446" s="60"/>
      <c r="F1446" s="60"/>
      <c r="G1446" s="60"/>
      <c r="H1446" s="60"/>
      <c r="I1446" s="60"/>
      <c r="J1446" s="60"/>
      <c r="K1446" s="60"/>
      <c r="L1446" s="60"/>
      <c r="M1446" s="64"/>
      <c r="N1446" s="33"/>
    </row>
    <row r="1447" ht="24" customHeight="1" spans="2:14">
      <c r="B1447" s="33"/>
      <c r="C1447" s="60"/>
      <c r="D1447" s="60"/>
      <c r="E1447" s="60"/>
      <c r="F1447" s="60"/>
      <c r="G1447" s="60"/>
      <c r="H1447" s="60"/>
      <c r="I1447" s="60"/>
      <c r="J1447" s="60"/>
      <c r="K1447" s="60"/>
      <c r="L1447" s="60"/>
      <c r="M1447" s="64"/>
      <c r="N1447" s="33"/>
    </row>
    <row r="1448" ht="24" customHeight="1" spans="2:14">
      <c r="B1448" s="33"/>
      <c r="C1448" s="60"/>
      <c r="D1448" s="60"/>
      <c r="E1448" s="60"/>
      <c r="F1448" s="60"/>
      <c r="G1448" s="60"/>
      <c r="H1448" s="60"/>
      <c r="I1448" s="60"/>
      <c r="J1448" s="60"/>
      <c r="K1448" s="60"/>
      <c r="L1448" s="60"/>
      <c r="M1448" s="64"/>
      <c r="N1448" s="33"/>
    </row>
    <row r="1449" ht="24" customHeight="1" spans="2:14">
      <c r="B1449" s="33"/>
      <c r="C1449" s="60"/>
      <c r="D1449" s="60"/>
      <c r="E1449" s="60"/>
      <c r="F1449" s="60"/>
      <c r="G1449" s="60"/>
      <c r="H1449" s="60"/>
      <c r="I1449" s="60"/>
      <c r="J1449" s="60"/>
      <c r="K1449" s="60"/>
      <c r="L1449" s="60"/>
      <c r="M1449" s="64"/>
      <c r="N1449" s="33"/>
    </row>
    <row r="1450" ht="24" customHeight="1" spans="2:14">
      <c r="B1450" s="33"/>
      <c r="C1450" s="60"/>
      <c r="D1450" s="60"/>
      <c r="E1450" s="60"/>
      <c r="F1450" s="60"/>
      <c r="G1450" s="60"/>
      <c r="H1450" s="60"/>
      <c r="I1450" s="60"/>
      <c r="J1450" s="60"/>
      <c r="K1450" s="60"/>
      <c r="L1450" s="60"/>
      <c r="M1450" s="64"/>
      <c r="N1450" s="33"/>
    </row>
    <row r="1451" ht="24" customHeight="1" spans="2:14">
      <c r="B1451" s="33"/>
      <c r="C1451" s="60"/>
      <c r="D1451" s="60"/>
      <c r="E1451" s="60"/>
      <c r="F1451" s="60"/>
      <c r="G1451" s="60"/>
      <c r="H1451" s="60"/>
      <c r="I1451" s="60"/>
      <c r="J1451" s="60"/>
      <c r="K1451" s="60"/>
      <c r="L1451" s="60"/>
      <c r="M1451" s="64"/>
      <c r="N1451" s="33"/>
    </row>
    <row r="1452" ht="24" customHeight="1" spans="2:14">
      <c r="B1452" s="33"/>
      <c r="C1452" s="60"/>
      <c r="D1452" s="60"/>
      <c r="E1452" s="60"/>
      <c r="F1452" s="60"/>
      <c r="G1452" s="60"/>
      <c r="H1452" s="60"/>
      <c r="I1452" s="60"/>
      <c r="J1452" s="60"/>
      <c r="K1452" s="60"/>
      <c r="L1452" s="60"/>
      <c r="M1452" s="64"/>
      <c r="N1452" s="33"/>
    </row>
    <row r="1453" ht="24" customHeight="1" spans="2:14">
      <c r="B1453" s="33"/>
      <c r="C1453" s="60"/>
      <c r="D1453" s="60"/>
      <c r="E1453" s="60"/>
      <c r="F1453" s="60"/>
      <c r="G1453" s="60"/>
      <c r="H1453" s="60"/>
      <c r="I1453" s="60"/>
      <c r="J1453" s="60"/>
      <c r="K1453" s="60"/>
      <c r="L1453" s="60"/>
      <c r="M1453" s="64"/>
      <c r="N1453" s="33"/>
    </row>
    <row r="1454" ht="24" customHeight="1" spans="2:14">
      <c r="B1454" s="33"/>
      <c r="C1454" s="60"/>
      <c r="D1454" s="60"/>
      <c r="E1454" s="60"/>
      <c r="F1454" s="60"/>
      <c r="G1454" s="60"/>
      <c r="H1454" s="60"/>
      <c r="I1454" s="60"/>
      <c r="J1454" s="60"/>
      <c r="K1454" s="60"/>
      <c r="L1454" s="60"/>
      <c r="M1454" s="64"/>
      <c r="N1454" s="33"/>
    </row>
    <row r="1455" ht="24" customHeight="1" spans="2:14">
      <c r="B1455" s="33"/>
      <c r="C1455" s="60"/>
      <c r="D1455" s="60"/>
      <c r="E1455" s="60"/>
      <c r="F1455" s="60"/>
      <c r="G1455" s="60"/>
      <c r="H1455" s="60"/>
      <c r="I1455" s="60"/>
      <c r="J1455" s="60"/>
      <c r="K1455" s="60"/>
      <c r="L1455" s="60"/>
      <c r="M1455" s="64"/>
      <c r="N1455" s="33"/>
    </row>
    <row r="1456" ht="24" customHeight="1" spans="2:14">
      <c r="B1456" s="33"/>
      <c r="C1456" s="60"/>
      <c r="D1456" s="60"/>
      <c r="E1456" s="60"/>
      <c r="F1456" s="60"/>
      <c r="G1456" s="60"/>
      <c r="H1456" s="60"/>
      <c r="I1456" s="60"/>
      <c r="J1456" s="60"/>
      <c r="K1456" s="60"/>
      <c r="L1456" s="60"/>
      <c r="M1456" s="64"/>
      <c r="N1456" s="33"/>
    </row>
    <row r="1457" ht="24" customHeight="1" spans="2:14">
      <c r="B1457" s="33"/>
      <c r="C1457" s="60"/>
      <c r="D1457" s="60"/>
      <c r="E1457" s="60"/>
      <c r="F1457" s="60"/>
      <c r="G1457" s="60"/>
      <c r="H1457" s="60"/>
      <c r="I1457" s="60"/>
      <c r="J1457" s="60"/>
      <c r="K1457" s="60"/>
      <c r="L1457" s="60"/>
      <c r="M1457" s="64"/>
      <c r="N1457" s="33"/>
    </row>
    <row r="1458" ht="24" customHeight="1" spans="2:14">
      <c r="B1458" s="33"/>
      <c r="C1458" s="60"/>
      <c r="D1458" s="60"/>
      <c r="E1458" s="60"/>
      <c r="F1458" s="60"/>
      <c r="G1458" s="60"/>
      <c r="H1458" s="60"/>
      <c r="I1458" s="60"/>
      <c r="J1458" s="60"/>
      <c r="K1458" s="60"/>
      <c r="L1458" s="60"/>
      <c r="M1458" s="64"/>
      <c r="N1458" s="33"/>
    </row>
    <row r="1459" ht="24" customHeight="1" spans="2:14">
      <c r="B1459" s="33"/>
      <c r="C1459" s="60"/>
      <c r="D1459" s="60"/>
      <c r="E1459" s="60"/>
      <c r="F1459" s="60"/>
      <c r="G1459" s="60"/>
      <c r="H1459" s="60"/>
      <c r="I1459" s="60"/>
      <c r="J1459" s="60"/>
      <c r="K1459" s="60"/>
      <c r="L1459" s="60"/>
      <c r="M1459" s="64"/>
      <c r="N1459" s="33"/>
    </row>
    <row r="1460" ht="24" customHeight="1" spans="2:14">
      <c r="B1460" s="33"/>
      <c r="C1460" s="60"/>
      <c r="D1460" s="60"/>
      <c r="E1460" s="60"/>
      <c r="F1460" s="60"/>
      <c r="G1460" s="60"/>
      <c r="H1460" s="60"/>
      <c r="I1460" s="60"/>
      <c r="J1460" s="60"/>
      <c r="K1460" s="60"/>
      <c r="L1460" s="60"/>
      <c r="M1460" s="64"/>
      <c r="N1460" s="33"/>
    </row>
    <row r="1461" ht="24" customHeight="1" spans="2:14">
      <c r="B1461" s="33"/>
      <c r="C1461" s="60"/>
      <c r="D1461" s="60"/>
      <c r="E1461" s="60"/>
      <c r="F1461" s="60"/>
      <c r="G1461" s="60"/>
      <c r="H1461" s="60"/>
      <c r="I1461" s="60"/>
      <c r="J1461" s="60"/>
      <c r="K1461" s="60"/>
      <c r="L1461" s="60"/>
      <c r="M1461" s="64"/>
      <c r="N1461" s="33"/>
    </row>
    <row r="1462" ht="24" customHeight="1" spans="2:14">
      <c r="B1462" s="33"/>
      <c r="C1462" s="60"/>
      <c r="D1462" s="60"/>
      <c r="E1462" s="60"/>
      <c r="F1462" s="60"/>
      <c r="G1462" s="60"/>
      <c r="H1462" s="60"/>
      <c r="I1462" s="60"/>
      <c r="J1462" s="60"/>
      <c r="K1462" s="60"/>
      <c r="L1462" s="60"/>
      <c r="M1462" s="64"/>
      <c r="N1462" s="33"/>
    </row>
    <row r="1463" ht="24" customHeight="1" spans="2:14">
      <c r="B1463" s="33"/>
      <c r="C1463" s="60"/>
      <c r="D1463" s="60"/>
      <c r="E1463" s="60"/>
      <c r="F1463" s="60"/>
      <c r="G1463" s="60"/>
      <c r="H1463" s="60"/>
      <c r="I1463" s="60"/>
      <c r="J1463" s="60"/>
      <c r="K1463" s="60"/>
      <c r="L1463" s="60"/>
      <c r="M1463" s="64"/>
      <c r="N1463" s="33"/>
    </row>
    <row r="1464" ht="24" customHeight="1" spans="2:14">
      <c r="B1464" s="33"/>
      <c r="C1464" s="60"/>
      <c r="D1464" s="60"/>
      <c r="E1464" s="60"/>
      <c r="F1464" s="60"/>
      <c r="G1464" s="60"/>
      <c r="H1464" s="60"/>
      <c r="I1464" s="60"/>
      <c r="J1464" s="60"/>
      <c r="K1464" s="60"/>
      <c r="L1464" s="60"/>
      <c r="M1464" s="64"/>
      <c r="N1464" s="33"/>
    </row>
    <row r="1465" ht="24" customHeight="1" spans="2:14">
      <c r="B1465" s="33"/>
      <c r="C1465" s="60"/>
      <c r="D1465" s="60"/>
      <c r="E1465" s="60"/>
      <c r="F1465" s="60"/>
      <c r="G1465" s="60"/>
      <c r="H1465" s="60"/>
      <c r="I1465" s="60"/>
      <c r="J1465" s="60"/>
      <c r="K1465" s="60"/>
      <c r="L1465" s="60"/>
      <c r="M1465" s="64"/>
      <c r="N1465" s="33"/>
    </row>
    <row r="1466" ht="24" customHeight="1" spans="2:14">
      <c r="B1466" s="33"/>
      <c r="C1466" s="60"/>
      <c r="D1466" s="60"/>
      <c r="E1466" s="60"/>
      <c r="F1466" s="60"/>
      <c r="G1466" s="60"/>
      <c r="H1466" s="60"/>
      <c r="I1466" s="60"/>
      <c r="J1466" s="60"/>
      <c r="K1466" s="60"/>
      <c r="L1466" s="60"/>
      <c r="M1466" s="64"/>
      <c r="N1466" s="33"/>
    </row>
    <row r="1467" ht="24" customHeight="1" spans="2:14">
      <c r="B1467" s="33"/>
      <c r="C1467" s="60"/>
      <c r="D1467" s="60"/>
      <c r="E1467" s="60"/>
      <c r="F1467" s="60"/>
      <c r="G1467" s="60"/>
      <c r="H1467" s="60"/>
      <c r="I1467" s="60"/>
      <c r="J1467" s="60"/>
      <c r="K1467" s="60"/>
      <c r="L1467" s="60"/>
      <c r="M1467" s="64"/>
      <c r="N1467" s="33"/>
    </row>
    <row r="1468" ht="24" customHeight="1" spans="2:14">
      <c r="B1468" s="33"/>
      <c r="C1468" s="60"/>
      <c r="D1468" s="60"/>
      <c r="E1468" s="60"/>
      <c r="F1468" s="60"/>
      <c r="G1468" s="60"/>
      <c r="H1468" s="60"/>
      <c r="I1468" s="60"/>
      <c r="J1468" s="60"/>
      <c r="K1468" s="60"/>
      <c r="L1468" s="60"/>
      <c r="M1468" s="64"/>
      <c r="N1468" s="33"/>
    </row>
    <row r="1469" ht="24" customHeight="1" spans="2:14">
      <c r="B1469" s="33"/>
      <c r="C1469" s="60"/>
      <c r="D1469" s="60"/>
      <c r="E1469" s="60"/>
      <c r="F1469" s="60"/>
      <c r="G1469" s="60"/>
      <c r="H1469" s="60"/>
      <c r="I1469" s="60"/>
      <c r="J1469" s="60"/>
      <c r="K1469" s="60"/>
      <c r="L1469" s="60"/>
      <c r="M1469" s="64"/>
      <c r="N1469" s="33"/>
    </row>
    <row r="1470" ht="24" customHeight="1" spans="2:14">
      <c r="B1470" s="33"/>
      <c r="C1470" s="60"/>
      <c r="D1470" s="60"/>
      <c r="E1470" s="60"/>
      <c r="F1470" s="60"/>
      <c r="G1470" s="60"/>
      <c r="H1470" s="60"/>
      <c r="I1470" s="60"/>
      <c r="J1470" s="60"/>
      <c r="K1470" s="60"/>
      <c r="L1470" s="60"/>
      <c r="M1470" s="64"/>
      <c r="N1470" s="33"/>
    </row>
    <row r="1471" ht="24" customHeight="1" spans="2:14">
      <c r="B1471" s="33"/>
      <c r="C1471" s="60"/>
      <c r="D1471" s="60"/>
      <c r="E1471" s="60"/>
      <c r="F1471" s="60"/>
      <c r="G1471" s="60"/>
      <c r="H1471" s="60"/>
      <c r="I1471" s="60"/>
      <c r="J1471" s="60"/>
      <c r="K1471" s="60"/>
      <c r="L1471" s="60"/>
      <c r="M1471" s="64"/>
      <c r="N1471" s="33"/>
    </row>
    <row r="1472" ht="24" customHeight="1" spans="2:14">
      <c r="B1472" s="33"/>
      <c r="C1472" s="60"/>
      <c r="D1472" s="60"/>
      <c r="E1472" s="60"/>
      <c r="F1472" s="60"/>
      <c r="G1472" s="60"/>
      <c r="H1472" s="60"/>
      <c r="I1472" s="60"/>
      <c r="J1472" s="60"/>
      <c r="K1472" s="60"/>
      <c r="L1472" s="60"/>
      <c r="M1472" s="64"/>
      <c r="N1472" s="33"/>
    </row>
    <row r="1473" ht="24" customHeight="1" spans="2:14">
      <c r="B1473" s="33"/>
      <c r="C1473" s="60"/>
      <c r="D1473" s="60"/>
      <c r="E1473" s="60"/>
      <c r="F1473" s="60"/>
      <c r="G1473" s="60"/>
      <c r="H1473" s="60"/>
      <c r="I1473" s="60"/>
      <c r="J1473" s="60"/>
      <c r="K1473" s="60"/>
      <c r="L1473" s="60"/>
      <c r="M1473" s="64"/>
      <c r="N1473" s="33"/>
    </row>
    <row r="1474" ht="24" customHeight="1" spans="2:14">
      <c r="B1474" s="33"/>
      <c r="C1474" s="60"/>
      <c r="D1474" s="60"/>
      <c r="E1474" s="60"/>
      <c r="F1474" s="60"/>
      <c r="G1474" s="60"/>
      <c r="H1474" s="60"/>
      <c r="I1474" s="60"/>
      <c r="J1474" s="60"/>
      <c r="K1474" s="60"/>
      <c r="L1474" s="60"/>
      <c r="M1474" s="64"/>
      <c r="N1474" s="33"/>
    </row>
    <row r="1475" ht="24" customHeight="1" spans="2:14">
      <c r="B1475" s="33"/>
      <c r="C1475" s="60"/>
      <c r="D1475" s="60"/>
      <c r="E1475" s="60"/>
      <c r="F1475" s="60"/>
      <c r="G1475" s="60"/>
      <c r="H1475" s="60"/>
      <c r="I1475" s="60"/>
      <c r="J1475" s="60"/>
      <c r="K1475" s="60"/>
      <c r="L1475" s="60"/>
      <c r="M1475" s="64"/>
      <c r="N1475" s="33"/>
    </row>
    <row r="1476" ht="24" customHeight="1" spans="2:14">
      <c r="B1476" s="33"/>
      <c r="C1476" s="60"/>
      <c r="D1476" s="60"/>
      <c r="E1476" s="60"/>
      <c r="F1476" s="60"/>
      <c r="G1476" s="60"/>
      <c r="H1476" s="60"/>
      <c r="I1476" s="60"/>
      <c r="J1476" s="60"/>
      <c r="K1476" s="60"/>
      <c r="L1476" s="60"/>
      <c r="M1476" s="64"/>
      <c r="N1476" s="33"/>
    </row>
    <row r="1477" ht="24" customHeight="1" spans="2:14">
      <c r="B1477" s="33"/>
      <c r="C1477" s="60"/>
      <c r="D1477" s="60"/>
      <c r="E1477" s="60"/>
      <c r="F1477" s="60"/>
      <c r="G1477" s="60"/>
      <c r="H1477" s="60"/>
      <c r="I1477" s="60"/>
      <c r="J1477" s="60"/>
      <c r="K1477" s="60"/>
      <c r="L1477" s="60"/>
      <c r="M1477" s="64"/>
      <c r="N1477" s="33"/>
    </row>
    <row r="1478" ht="24" customHeight="1" spans="2:14">
      <c r="B1478" s="33"/>
      <c r="C1478" s="60"/>
      <c r="D1478" s="60"/>
      <c r="E1478" s="60"/>
      <c r="F1478" s="60"/>
      <c r="G1478" s="60"/>
      <c r="H1478" s="60"/>
      <c r="I1478" s="60"/>
      <c r="J1478" s="60"/>
      <c r="K1478" s="60"/>
      <c r="L1478" s="60"/>
      <c r="M1478" s="64"/>
      <c r="N1478" s="33"/>
    </row>
    <row r="1479" ht="24" customHeight="1" spans="2:14">
      <c r="B1479" s="33"/>
      <c r="C1479" s="60"/>
      <c r="D1479" s="60"/>
      <c r="E1479" s="60"/>
      <c r="F1479" s="60"/>
      <c r="G1479" s="60"/>
      <c r="H1479" s="60"/>
      <c r="I1479" s="60"/>
      <c r="J1479" s="60"/>
      <c r="K1479" s="60"/>
      <c r="L1479" s="60"/>
      <c r="M1479" s="64"/>
      <c r="N1479" s="33"/>
    </row>
    <row r="1480" ht="24" customHeight="1" spans="2:14">
      <c r="B1480" s="33"/>
      <c r="C1480" s="60"/>
      <c r="D1480" s="60"/>
      <c r="E1480" s="60"/>
      <c r="F1480" s="60"/>
      <c r="G1480" s="60"/>
      <c r="H1480" s="60"/>
      <c r="I1480" s="60"/>
      <c r="J1480" s="60"/>
      <c r="K1480" s="60"/>
      <c r="L1480" s="60"/>
      <c r="M1480" s="64"/>
      <c r="N1480" s="33"/>
    </row>
    <row r="1481" ht="24" customHeight="1" spans="2:14">
      <c r="B1481" s="33"/>
      <c r="C1481" s="60"/>
      <c r="D1481" s="60"/>
      <c r="E1481" s="60"/>
      <c r="F1481" s="60"/>
      <c r="G1481" s="60"/>
      <c r="H1481" s="60"/>
      <c r="I1481" s="60"/>
      <c r="J1481" s="60"/>
      <c r="K1481" s="60"/>
      <c r="L1481" s="60"/>
      <c r="M1481" s="64"/>
      <c r="N1481" s="33"/>
    </row>
    <row r="1482" ht="24" customHeight="1" spans="2:14">
      <c r="B1482" s="33"/>
      <c r="C1482" s="60"/>
      <c r="D1482" s="60"/>
      <c r="E1482" s="60"/>
      <c r="F1482" s="60"/>
      <c r="G1482" s="60"/>
      <c r="H1482" s="60"/>
      <c r="I1482" s="60"/>
      <c r="J1482" s="60"/>
      <c r="K1482" s="60"/>
      <c r="L1482" s="60"/>
      <c r="M1482" s="64"/>
      <c r="N1482" s="33"/>
    </row>
    <row r="1483" ht="24" customHeight="1" spans="2:14">
      <c r="B1483" s="33"/>
      <c r="C1483" s="60"/>
      <c r="D1483" s="60"/>
      <c r="E1483" s="60"/>
      <c r="F1483" s="60"/>
      <c r="G1483" s="60"/>
      <c r="H1483" s="60"/>
      <c r="I1483" s="60"/>
      <c r="J1483" s="60"/>
      <c r="K1483" s="60"/>
      <c r="L1483" s="60"/>
      <c r="M1483" s="64"/>
      <c r="N1483" s="33"/>
    </row>
    <row r="1484" ht="24" customHeight="1" spans="2:14">
      <c r="B1484" s="33"/>
      <c r="C1484" s="60"/>
      <c r="D1484" s="60"/>
      <c r="E1484" s="60"/>
      <c r="F1484" s="60"/>
      <c r="G1484" s="60"/>
      <c r="H1484" s="60"/>
      <c r="I1484" s="60"/>
      <c r="J1484" s="60"/>
      <c r="K1484" s="60"/>
      <c r="L1484" s="60"/>
      <c r="M1484" s="64"/>
      <c r="N1484" s="33"/>
    </row>
    <row r="1485" ht="24" customHeight="1" spans="2:14">
      <c r="B1485" s="33"/>
      <c r="C1485" s="60"/>
      <c r="D1485" s="60"/>
      <c r="E1485" s="60"/>
      <c r="F1485" s="60"/>
      <c r="G1485" s="60"/>
      <c r="H1485" s="60"/>
      <c r="I1485" s="60"/>
      <c r="J1485" s="60"/>
      <c r="K1485" s="60"/>
      <c r="L1485" s="60"/>
      <c r="M1485" s="64"/>
      <c r="N1485" s="33"/>
    </row>
    <row r="1486" ht="24" customHeight="1" spans="2:14">
      <c r="B1486" s="33"/>
      <c r="C1486" s="60"/>
      <c r="D1486" s="60"/>
      <c r="E1486" s="60"/>
      <c r="F1486" s="60"/>
      <c r="G1486" s="60"/>
      <c r="H1486" s="60"/>
      <c r="I1486" s="60"/>
      <c r="J1486" s="60"/>
      <c r="K1486" s="60"/>
      <c r="L1486" s="60"/>
      <c r="M1486" s="64"/>
      <c r="N1486" s="33"/>
    </row>
    <row r="1487" ht="24" customHeight="1" spans="2:14">
      <c r="B1487" s="33"/>
      <c r="C1487" s="60"/>
      <c r="D1487" s="60"/>
      <c r="E1487" s="60"/>
      <c r="F1487" s="60"/>
      <c r="G1487" s="60"/>
      <c r="H1487" s="60"/>
      <c r="I1487" s="60"/>
      <c r="J1487" s="60"/>
      <c r="K1487" s="60"/>
      <c r="L1487" s="60"/>
      <c r="M1487" s="64"/>
      <c r="N1487" s="33"/>
    </row>
    <row r="1488" ht="24" customHeight="1" spans="2:14">
      <c r="B1488" s="33"/>
      <c r="C1488" s="60"/>
      <c r="D1488" s="60"/>
      <c r="E1488" s="60"/>
      <c r="F1488" s="60"/>
      <c r="G1488" s="60"/>
      <c r="H1488" s="60"/>
      <c r="I1488" s="60"/>
      <c r="J1488" s="60"/>
      <c r="K1488" s="60"/>
      <c r="L1488" s="60"/>
      <c r="M1488" s="64"/>
      <c r="N1488" s="33"/>
    </row>
    <row r="1489" ht="24" customHeight="1" spans="2:14">
      <c r="B1489" s="33"/>
      <c r="C1489" s="60"/>
      <c r="D1489" s="60"/>
      <c r="E1489" s="60"/>
      <c r="F1489" s="60"/>
      <c r="G1489" s="60"/>
      <c r="H1489" s="60"/>
      <c r="I1489" s="60"/>
      <c r="J1489" s="60"/>
      <c r="K1489" s="60"/>
      <c r="L1489" s="60"/>
      <c r="M1489" s="64"/>
      <c r="N1489" s="33"/>
    </row>
    <row r="1490" ht="24" customHeight="1" spans="2:14">
      <c r="B1490" s="33"/>
      <c r="C1490" s="60"/>
      <c r="D1490" s="60"/>
      <c r="E1490" s="60"/>
      <c r="F1490" s="60"/>
      <c r="G1490" s="60"/>
      <c r="H1490" s="60"/>
      <c r="I1490" s="60"/>
      <c r="J1490" s="60"/>
      <c r="K1490" s="60"/>
      <c r="L1490" s="60"/>
      <c r="M1490" s="64"/>
      <c r="N1490" s="33"/>
    </row>
    <row r="1491" ht="24" customHeight="1" spans="2:14">
      <c r="B1491" s="33"/>
      <c r="C1491" s="60"/>
      <c r="D1491" s="60"/>
      <c r="E1491" s="60"/>
      <c r="F1491" s="60"/>
      <c r="G1491" s="60"/>
      <c r="H1491" s="60"/>
      <c r="I1491" s="60"/>
      <c r="J1491" s="60"/>
      <c r="K1491" s="60"/>
      <c r="L1491" s="60"/>
      <c r="M1491" s="64"/>
      <c r="N1491" s="33"/>
    </row>
    <row r="1492" ht="24" customHeight="1" spans="2:14">
      <c r="B1492" s="33"/>
      <c r="C1492" s="60"/>
      <c r="D1492" s="60"/>
      <c r="E1492" s="60"/>
      <c r="F1492" s="60"/>
      <c r="G1492" s="60"/>
      <c r="H1492" s="60"/>
      <c r="I1492" s="60"/>
      <c r="J1492" s="60"/>
      <c r="K1492" s="60"/>
      <c r="L1492" s="60"/>
      <c r="M1492" s="64"/>
      <c r="N1492" s="33"/>
    </row>
    <row r="1493" ht="24" customHeight="1" spans="2:14">
      <c r="B1493" s="33"/>
      <c r="C1493" s="60"/>
      <c r="D1493" s="60"/>
      <c r="E1493" s="60"/>
      <c r="F1493" s="60"/>
      <c r="G1493" s="60"/>
      <c r="H1493" s="60"/>
      <c r="I1493" s="60"/>
      <c r="J1493" s="60"/>
      <c r="K1493" s="60"/>
      <c r="L1493" s="60"/>
      <c r="M1493" s="64"/>
      <c r="N1493" s="33"/>
    </row>
    <row r="1494" ht="24" customHeight="1" spans="2:14">
      <c r="B1494" s="33"/>
      <c r="C1494" s="60"/>
      <c r="D1494" s="60"/>
      <c r="E1494" s="60"/>
      <c r="F1494" s="60"/>
      <c r="G1494" s="60"/>
      <c r="H1494" s="60"/>
      <c r="I1494" s="60"/>
      <c r="J1494" s="60"/>
      <c r="K1494" s="60"/>
      <c r="L1494" s="60"/>
      <c r="M1494" s="64"/>
      <c r="N1494" s="33"/>
    </row>
    <row r="1495" ht="24" customHeight="1" spans="2:14">
      <c r="B1495" s="33"/>
      <c r="C1495" s="60"/>
      <c r="D1495" s="60"/>
      <c r="E1495" s="60"/>
      <c r="F1495" s="60"/>
      <c r="G1495" s="60"/>
      <c r="H1495" s="60"/>
      <c r="I1495" s="60"/>
      <c r="J1495" s="60"/>
      <c r="K1495" s="60"/>
      <c r="L1495" s="60"/>
      <c r="M1495" s="64"/>
      <c r="N1495" s="33"/>
    </row>
    <row r="1496" ht="24" customHeight="1" spans="2:14">
      <c r="B1496" s="33"/>
      <c r="C1496" s="60"/>
      <c r="D1496" s="60"/>
      <c r="E1496" s="60"/>
      <c r="F1496" s="60"/>
      <c r="G1496" s="60"/>
      <c r="H1496" s="60"/>
      <c r="I1496" s="60"/>
      <c r="J1496" s="60"/>
      <c r="K1496" s="60"/>
      <c r="L1496" s="60"/>
      <c r="M1496" s="64"/>
      <c r="N1496" s="33"/>
    </row>
    <row r="1497" ht="24" customHeight="1" spans="2:14">
      <c r="B1497" s="33"/>
      <c r="C1497" s="60"/>
      <c r="D1497" s="60"/>
      <c r="E1497" s="60"/>
      <c r="F1497" s="60"/>
      <c r="G1497" s="60"/>
      <c r="H1497" s="60"/>
      <c r="I1497" s="60"/>
      <c r="J1497" s="60"/>
      <c r="K1497" s="60"/>
      <c r="L1497" s="60"/>
      <c r="M1497" s="64"/>
      <c r="N1497" s="33"/>
    </row>
    <row r="1498" ht="24" customHeight="1" spans="2:14">
      <c r="B1498" s="33"/>
      <c r="C1498" s="60"/>
      <c r="D1498" s="60"/>
      <c r="E1498" s="60"/>
      <c r="F1498" s="60"/>
      <c r="G1498" s="60"/>
      <c r="H1498" s="60"/>
      <c r="I1498" s="60"/>
      <c r="J1498" s="60"/>
      <c r="K1498" s="60"/>
      <c r="L1498" s="60"/>
      <c r="M1498" s="64"/>
      <c r="N1498" s="33"/>
    </row>
    <row r="1499" ht="24" customHeight="1" spans="2:14">
      <c r="B1499" s="33"/>
      <c r="C1499" s="60"/>
      <c r="D1499" s="60"/>
      <c r="E1499" s="60"/>
      <c r="F1499" s="60"/>
      <c r="G1499" s="60"/>
      <c r="H1499" s="60"/>
      <c r="I1499" s="60"/>
      <c r="J1499" s="60"/>
      <c r="K1499" s="60"/>
      <c r="L1499" s="60"/>
      <c r="M1499" s="64"/>
      <c r="N1499" s="33"/>
    </row>
    <row r="1500" ht="24" customHeight="1" spans="2:14">
      <c r="B1500" s="33"/>
      <c r="C1500" s="60"/>
      <c r="D1500" s="60"/>
      <c r="E1500" s="60"/>
      <c r="F1500" s="60"/>
      <c r="G1500" s="60"/>
      <c r="H1500" s="60"/>
      <c r="I1500" s="60"/>
      <c r="J1500" s="60"/>
      <c r="K1500" s="60"/>
      <c r="L1500" s="60"/>
      <c r="M1500" s="64"/>
      <c r="N1500" s="33"/>
    </row>
    <row r="1501" ht="24" customHeight="1" spans="2:14">
      <c r="B1501" s="33"/>
      <c r="C1501" s="60"/>
      <c r="D1501" s="60"/>
      <c r="E1501" s="60"/>
      <c r="F1501" s="60"/>
      <c r="G1501" s="60"/>
      <c r="H1501" s="60"/>
      <c r="I1501" s="60"/>
      <c r="J1501" s="60"/>
      <c r="K1501" s="60"/>
      <c r="L1501" s="60"/>
      <c r="M1501" s="64"/>
      <c r="N1501" s="33"/>
    </row>
    <row r="1502" ht="24" customHeight="1" spans="2:14">
      <c r="B1502" s="33"/>
      <c r="C1502" s="60"/>
      <c r="D1502" s="60"/>
      <c r="E1502" s="60"/>
      <c r="F1502" s="60"/>
      <c r="G1502" s="60"/>
      <c r="H1502" s="60"/>
      <c r="I1502" s="60"/>
      <c r="J1502" s="60"/>
      <c r="K1502" s="60"/>
      <c r="L1502" s="60"/>
      <c r="M1502" s="64"/>
      <c r="N1502" s="33"/>
    </row>
    <row r="1503" ht="24" customHeight="1" spans="2:14">
      <c r="B1503" s="33"/>
      <c r="C1503" s="60"/>
      <c r="D1503" s="60"/>
      <c r="E1503" s="60"/>
      <c r="F1503" s="60"/>
      <c r="G1503" s="60"/>
      <c r="H1503" s="60"/>
      <c r="I1503" s="60"/>
      <c r="J1503" s="60"/>
      <c r="K1503" s="60"/>
      <c r="L1503" s="60"/>
      <c r="M1503" s="64"/>
      <c r="N1503" s="33"/>
    </row>
    <row r="1504" ht="24" customHeight="1" spans="2:14">
      <c r="B1504" s="33"/>
      <c r="C1504" s="60"/>
      <c r="D1504" s="60"/>
      <c r="E1504" s="60"/>
      <c r="F1504" s="60"/>
      <c r="G1504" s="60"/>
      <c r="H1504" s="60"/>
      <c r="I1504" s="60"/>
      <c r="J1504" s="60"/>
      <c r="K1504" s="60"/>
      <c r="L1504" s="60"/>
      <c r="M1504" s="64"/>
      <c r="N1504" s="33"/>
    </row>
    <row r="1505" ht="24" customHeight="1" spans="2:14">
      <c r="B1505" s="33"/>
      <c r="C1505" s="60"/>
      <c r="D1505" s="60"/>
      <c r="E1505" s="60"/>
      <c r="F1505" s="60"/>
      <c r="G1505" s="60"/>
      <c r="H1505" s="60"/>
      <c r="I1505" s="60"/>
      <c r="J1505" s="60"/>
      <c r="K1505" s="60"/>
      <c r="L1505" s="60"/>
      <c r="M1505" s="64"/>
      <c r="N1505" s="33"/>
    </row>
    <row r="1506" ht="24" customHeight="1" spans="2:14">
      <c r="B1506" s="33"/>
      <c r="C1506" s="60"/>
      <c r="D1506" s="60"/>
      <c r="E1506" s="60"/>
      <c r="F1506" s="60"/>
      <c r="G1506" s="60"/>
      <c r="H1506" s="60"/>
      <c r="I1506" s="60"/>
      <c r="J1506" s="60"/>
      <c r="K1506" s="60"/>
      <c r="L1506" s="60"/>
      <c r="M1506" s="64"/>
      <c r="N1506" s="33"/>
    </row>
    <row r="1507" ht="24" customHeight="1" spans="2:14">
      <c r="B1507" s="33"/>
      <c r="C1507" s="60"/>
      <c r="D1507" s="60"/>
      <c r="E1507" s="60"/>
      <c r="F1507" s="60"/>
      <c r="G1507" s="60"/>
      <c r="H1507" s="60"/>
      <c r="I1507" s="60"/>
      <c r="J1507" s="60"/>
      <c r="K1507" s="60"/>
      <c r="L1507" s="60"/>
      <c r="M1507" s="64"/>
      <c r="N1507" s="33"/>
    </row>
    <row r="1508" ht="24" customHeight="1" spans="2:14">
      <c r="B1508" s="33"/>
      <c r="C1508" s="60"/>
      <c r="D1508" s="60"/>
      <c r="E1508" s="60"/>
      <c r="F1508" s="60"/>
      <c r="G1508" s="60"/>
      <c r="H1508" s="60"/>
      <c r="I1508" s="60"/>
      <c r="J1508" s="60"/>
      <c r="K1508" s="60"/>
      <c r="L1508" s="60"/>
      <c r="M1508" s="64"/>
      <c r="N1508" s="33"/>
    </row>
    <row r="1509" ht="24" customHeight="1" spans="2:14">
      <c r="B1509" s="33"/>
      <c r="C1509" s="60"/>
      <c r="D1509" s="60"/>
      <c r="E1509" s="60"/>
      <c r="F1509" s="60"/>
      <c r="G1509" s="60"/>
      <c r="H1509" s="60"/>
      <c r="I1509" s="60"/>
      <c r="J1509" s="60"/>
      <c r="K1509" s="60"/>
      <c r="L1509" s="60"/>
      <c r="M1509" s="64"/>
      <c r="N1509" s="33"/>
    </row>
    <row r="1510" ht="24" customHeight="1" spans="2:14">
      <c r="B1510" s="33"/>
      <c r="C1510" s="60"/>
      <c r="D1510" s="60"/>
      <c r="E1510" s="60"/>
      <c r="F1510" s="60"/>
      <c r="G1510" s="60"/>
      <c r="H1510" s="60"/>
      <c r="I1510" s="60"/>
      <c r="J1510" s="60"/>
      <c r="K1510" s="60"/>
      <c r="L1510" s="60"/>
      <c r="M1510" s="64"/>
      <c r="N1510" s="33"/>
    </row>
    <row r="1511" ht="24" customHeight="1" spans="2:14">
      <c r="B1511" s="33"/>
      <c r="C1511" s="60"/>
      <c r="D1511" s="60"/>
      <c r="E1511" s="60"/>
      <c r="F1511" s="60"/>
      <c r="G1511" s="60"/>
      <c r="H1511" s="60"/>
      <c r="I1511" s="60"/>
      <c r="J1511" s="60"/>
      <c r="K1511" s="60"/>
      <c r="L1511" s="60"/>
      <c r="M1511" s="64"/>
      <c r="N1511" s="33"/>
    </row>
    <row r="1512" ht="24" customHeight="1" spans="2:14">
      <c r="B1512" s="33"/>
      <c r="C1512" s="60"/>
      <c r="D1512" s="60"/>
      <c r="E1512" s="60"/>
      <c r="F1512" s="60"/>
      <c r="G1512" s="60"/>
      <c r="H1512" s="60"/>
      <c r="I1512" s="60"/>
      <c r="J1512" s="60"/>
      <c r="K1512" s="60"/>
      <c r="L1512" s="60"/>
      <c r="M1512" s="64"/>
      <c r="N1512" s="33"/>
    </row>
    <row r="1513" ht="24" customHeight="1" spans="2:14">
      <c r="B1513" s="33"/>
      <c r="C1513" s="60"/>
      <c r="D1513" s="60"/>
      <c r="E1513" s="60"/>
      <c r="F1513" s="60"/>
      <c r="G1513" s="60"/>
      <c r="H1513" s="60"/>
      <c r="I1513" s="60"/>
      <c r="J1513" s="60"/>
      <c r="K1513" s="60"/>
      <c r="L1513" s="60"/>
      <c r="M1513" s="64"/>
      <c r="N1513" s="33"/>
    </row>
    <row r="1514" ht="24" customHeight="1" spans="2:14">
      <c r="B1514" s="33"/>
      <c r="C1514" s="60"/>
      <c r="D1514" s="60"/>
      <c r="E1514" s="60"/>
      <c r="F1514" s="60"/>
      <c r="G1514" s="60"/>
      <c r="H1514" s="60"/>
      <c r="I1514" s="60"/>
      <c r="J1514" s="60"/>
      <c r="K1514" s="60"/>
      <c r="L1514" s="60"/>
      <c r="M1514" s="64"/>
      <c r="N1514" s="33"/>
    </row>
    <row r="1515" ht="24" customHeight="1" spans="2:14">
      <c r="B1515" s="33"/>
      <c r="C1515" s="60"/>
      <c r="D1515" s="60"/>
      <c r="E1515" s="60"/>
      <c r="F1515" s="60"/>
      <c r="G1515" s="60"/>
      <c r="H1515" s="60"/>
      <c r="I1515" s="60"/>
      <c r="J1515" s="60"/>
      <c r="K1515" s="60"/>
      <c r="L1515" s="60"/>
      <c r="M1515" s="64"/>
      <c r="N1515" s="33"/>
    </row>
    <row r="1516" ht="24" customHeight="1" spans="2:14">
      <c r="B1516" s="33"/>
      <c r="C1516" s="60"/>
      <c r="D1516" s="60"/>
      <c r="E1516" s="60"/>
      <c r="F1516" s="60"/>
      <c r="G1516" s="60"/>
      <c r="H1516" s="60"/>
      <c r="I1516" s="60"/>
      <c r="J1516" s="60"/>
      <c r="K1516" s="60"/>
      <c r="L1516" s="60"/>
      <c r="M1516" s="64"/>
      <c r="N1516" s="33"/>
    </row>
    <row r="1517" ht="24" customHeight="1" spans="2:14">
      <c r="B1517" s="33"/>
      <c r="C1517" s="60"/>
      <c r="D1517" s="60"/>
      <c r="E1517" s="60"/>
      <c r="F1517" s="60"/>
      <c r="G1517" s="60"/>
      <c r="H1517" s="60"/>
      <c r="I1517" s="60"/>
      <c r="J1517" s="60"/>
      <c r="K1517" s="60"/>
      <c r="L1517" s="60"/>
      <c r="M1517" s="64"/>
      <c r="N1517" s="33"/>
    </row>
    <row r="1518" ht="24" customHeight="1" spans="2:14">
      <c r="B1518" s="33"/>
      <c r="C1518" s="60"/>
      <c r="D1518" s="60"/>
      <c r="E1518" s="60"/>
      <c r="F1518" s="60"/>
      <c r="G1518" s="60"/>
      <c r="H1518" s="60"/>
      <c r="I1518" s="60"/>
      <c r="J1518" s="60"/>
      <c r="K1518" s="60"/>
      <c r="L1518" s="60"/>
      <c r="M1518" s="64"/>
      <c r="N1518" s="33"/>
    </row>
    <row r="1519" ht="24" customHeight="1" spans="2:14">
      <c r="B1519" s="33"/>
      <c r="C1519" s="60"/>
      <c r="D1519" s="60"/>
      <c r="E1519" s="60"/>
      <c r="F1519" s="60"/>
      <c r="G1519" s="60"/>
      <c r="H1519" s="60"/>
      <c r="I1519" s="60"/>
      <c r="J1519" s="60"/>
      <c r="K1519" s="60"/>
      <c r="L1519" s="60"/>
      <c r="M1519" s="64"/>
      <c r="N1519" s="33"/>
    </row>
    <row r="1520" ht="24" customHeight="1" spans="2:14">
      <c r="B1520" s="33"/>
      <c r="C1520" s="60"/>
      <c r="D1520" s="60"/>
      <c r="E1520" s="60"/>
      <c r="F1520" s="60"/>
      <c r="G1520" s="60"/>
      <c r="H1520" s="60"/>
      <c r="I1520" s="60"/>
      <c r="J1520" s="60"/>
      <c r="K1520" s="60"/>
      <c r="L1520" s="60"/>
      <c r="M1520" s="64"/>
      <c r="N1520" s="33"/>
    </row>
    <row r="1521" ht="24" customHeight="1" spans="2:14">
      <c r="B1521" s="33"/>
      <c r="C1521" s="60"/>
      <c r="D1521" s="60"/>
      <c r="E1521" s="60"/>
      <c r="F1521" s="60"/>
      <c r="G1521" s="60"/>
      <c r="H1521" s="60"/>
      <c r="I1521" s="60"/>
      <c r="J1521" s="60"/>
      <c r="K1521" s="60"/>
      <c r="L1521" s="60"/>
      <c r="M1521" s="64"/>
      <c r="N1521" s="33"/>
    </row>
    <row r="1522" ht="24" customHeight="1" spans="2:14">
      <c r="B1522" s="33"/>
      <c r="C1522" s="60"/>
      <c r="D1522" s="60"/>
      <c r="E1522" s="60"/>
      <c r="F1522" s="60"/>
      <c r="G1522" s="60"/>
      <c r="H1522" s="60"/>
      <c r="I1522" s="60"/>
      <c r="J1522" s="60"/>
      <c r="K1522" s="60"/>
      <c r="L1522" s="60"/>
      <c r="M1522" s="64"/>
      <c r="N1522" s="33"/>
    </row>
    <row r="1523" ht="24" customHeight="1" spans="2:14">
      <c r="B1523" s="33"/>
      <c r="C1523" s="60"/>
      <c r="D1523" s="60"/>
      <c r="E1523" s="60"/>
      <c r="F1523" s="60"/>
      <c r="G1523" s="60"/>
      <c r="H1523" s="60"/>
      <c r="I1523" s="60"/>
      <c r="J1523" s="60"/>
      <c r="K1523" s="60"/>
      <c r="L1523" s="60"/>
      <c r="M1523" s="64"/>
      <c r="N1523" s="33"/>
    </row>
    <row r="1524" ht="24" customHeight="1" spans="2:14">
      <c r="B1524" s="33"/>
      <c r="C1524" s="60"/>
      <c r="D1524" s="60"/>
      <c r="E1524" s="60"/>
      <c r="F1524" s="60"/>
      <c r="G1524" s="60"/>
      <c r="H1524" s="60"/>
      <c r="I1524" s="60"/>
      <c r="J1524" s="60"/>
      <c r="K1524" s="60"/>
      <c r="L1524" s="60"/>
      <c r="M1524" s="64"/>
      <c r="N1524" s="33"/>
    </row>
    <row r="1525" ht="24" customHeight="1" spans="2:14">
      <c r="B1525" s="33"/>
      <c r="C1525" s="60"/>
      <c r="D1525" s="60"/>
      <c r="E1525" s="60"/>
      <c r="F1525" s="60"/>
      <c r="G1525" s="60"/>
      <c r="H1525" s="60"/>
      <c r="I1525" s="60"/>
      <c r="J1525" s="60"/>
      <c r="K1525" s="60"/>
      <c r="L1525" s="60"/>
      <c r="M1525" s="64"/>
      <c r="N1525" s="33"/>
    </row>
    <row r="1526" ht="24" customHeight="1" spans="2:14">
      <c r="B1526" s="33"/>
      <c r="C1526" s="60"/>
      <c r="D1526" s="60"/>
      <c r="E1526" s="60"/>
      <c r="F1526" s="60"/>
      <c r="G1526" s="60"/>
      <c r="H1526" s="60"/>
      <c r="I1526" s="60"/>
      <c r="J1526" s="60"/>
      <c r="K1526" s="60"/>
      <c r="L1526" s="60"/>
      <c r="M1526" s="64"/>
      <c r="N1526" s="33"/>
    </row>
    <row r="1527" ht="24" customHeight="1" spans="2:14">
      <c r="B1527" s="33"/>
      <c r="C1527" s="60"/>
      <c r="D1527" s="60"/>
      <c r="E1527" s="60"/>
      <c r="F1527" s="60"/>
      <c r="G1527" s="60"/>
      <c r="H1527" s="60"/>
      <c r="I1527" s="60"/>
      <c r="J1527" s="60"/>
      <c r="K1527" s="60"/>
      <c r="L1527" s="60"/>
      <c r="M1527" s="64"/>
      <c r="N1527" s="33"/>
    </row>
    <row r="1528" ht="24" customHeight="1" spans="2:14">
      <c r="B1528" s="33"/>
      <c r="C1528" s="60"/>
      <c r="D1528" s="60"/>
      <c r="E1528" s="60"/>
      <c r="F1528" s="60"/>
      <c r="G1528" s="60"/>
      <c r="H1528" s="60"/>
      <c r="I1528" s="60"/>
      <c r="J1528" s="60"/>
      <c r="K1528" s="60"/>
      <c r="L1528" s="60"/>
      <c r="M1528" s="64"/>
      <c r="N1528" s="33"/>
    </row>
    <row r="1529" ht="24" customHeight="1" spans="2:14">
      <c r="B1529" s="33"/>
      <c r="C1529" s="60"/>
      <c r="D1529" s="60"/>
      <c r="E1529" s="60"/>
      <c r="F1529" s="60"/>
      <c r="G1529" s="60"/>
      <c r="H1529" s="60"/>
      <c r="I1529" s="60"/>
      <c r="J1529" s="60"/>
      <c r="K1529" s="60"/>
      <c r="L1529" s="60"/>
      <c r="M1529" s="64"/>
      <c r="N1529" s="33"/>
    </row>
    <row r="1530" ht="24" customHeight="1" spans="2:14">
      <c r="B1530" s="33"/>
      <c r="C1530" s="60"/>
      <c r="D1530" s="60"/>
      <c r="E1530" s="60"/>
      <c r="F1530" s="60"/>
      <c r="G1530" s="60"/>
      <c r="H1530" s="60"/>
      <c r="I1530" s="60"/>
      <c r="J1530" s="60"/>
      <c r="K1530" s="60"/>
      <c r="L1530" s="60"/>
      <c r="M1530" s="64"/>
      <c r="N1530" s="33"/>
    </row>
    <row r="1531" ht="24" customHeight="1" spans="2:14">
      <c r="B1531" s="33"/>
      <c r="C1531" s="60"/>
      <c r="D1531" s="60"/>
      <c r="E1531" s="60"/>
      <c r="F1531" s="60"/>
      <c r="G1531" s="60"/>
      <c r="H1531" s="60"/>
      <c r="I1531" s="60"/>
      <c r="J1531" s="60"/>
      <c r="K1531" s="60"/>
      <c r="L1531" s="60"/>
      <c r="M1531" s="64"/>
      <c r="N1531" s="33"/>
    </row>
    <row r="1532" ht="24" customHeight="1" spans="2:14">
      <c r="B1532" s="33"/>
      <c r="C1532" s="60"/>
      <c r="D1532" s="60"/>
      <c r="E1532" s="60"/>
      <c r="F1532" s="60"/>
      <c r="G1532" s="60"/>
      <c r="H1532" s="60"/>
      <c r="I1532" s="60"/>
      <c r="J1532" s="60"/>
      <c r="K1532" s="60"/>
      <c r="L1532" s="60"/>
      <c r="M1532" s="64"/>
      <c r="N1532" s="33"/>
    </row>
    <row r="1533" ht="24" customHeight="1" spans="2:14">
      <c r="B1533" s="33"/>
      <c r="C1533" s="60"/>
      <c r="D1533" s="60"/>
      <c r="E1533" s="60"/>
      <c r="F1533" s="60"/>
      <c r="G1533" s="60"/>
      <c r="H1533" s="60"/>
      <c r="I1533" s="60"/>
      <c r="J1533" s="60"/>
      <c r="K1533" s="60"/>
      <c r="L1533" s="60"/>
      <c r="M1533" s="64"/>
      <c r="N1533" s="33"/>
    </row>
    <row r="1534" ht="24" customHeight="1" spans="2:14">
      <c r="B1534" s="33"/>
      <c r="C1534" s="60"/>
      <c r="D1534" s="60"/>
      <c r="E1534" s="60"/>
      <c r="F1534" s="60"/>
      <c r="G1534" s="60"/>
      <c r="H1534" s="60"/>
      <c r="I1534" s="60"/>
      <c r="J1534" s="60"/>
      <c r="K1534" s="60"/>
      <c r="L1534" s="60"/>
      <c r="M1534" s="64"/>
      <c r="N1534" s="33"/>
    </row>
    <row r="1535" ht="24" customHeight="1" spans="2:14">
      <c r="B1535" s="33"/>
      <c r="C1535" s="60"/>
      <c r="D1535" s="60"/>
      <c r="E1535" s="60"/>
      <c r="F1535" s="60"/>
      <c r="G1535" s="60"/>
      <c r="H1535" s="60"/>
      <c r="I1535" s="60"/>
      <c r="J1535" s="60"/>
      <c r="K1535" s="60"/>
      <c r="L1535" s="60"/>
      <c r="M1535" s="64"/>
      <c r="N1535" s="33"/>
    </row>
    <row r="1536" ht="24" customHeight="1" spans="2:14">
      <c r="B1536" s="33"/>
      <c r="C1536" s="60"/>
      <c r="D1536" s="60"/>
      <c r="E1536" s="60"/>
      <c r="F1536" s="60"/>
      <c r="G1536" s="60"/>
      <c r="H1536" s="60"/>
      <c r="I1536" s="60"/>
      <c r="J1536" s="60"/>
      <c r="K1536" s="60"/>
      <c r="L1536" s="60"/>
      <c r="M1536" s="64"/>
      <c r="N1536" s="33"/>
    </row>
    <row r="1537" ht="24" customHeight="1" spans="2:14">
      <c r="B1537" s="33"/>
      <c r="C1537" s="60"/>
      <c r="D1537" s="60"/>
      <c r="E1537" s="60"/>
      <c r="F1537" s="60"/>
      <c r="G1537" s="60"/>
      <c r="H1537" s="60"/>
      <c r="I1537" s="60"/>
      <c r="J1537" s="60"/>
      <c r="K1537" s="60"/>
      <c r="L1537" s="60"/>
      <c r="M1537" s="64"/>
      <c r="N1537" s="33"/>
    </row>
    <row r="1538" ht="24" customHeight="1" spans="2:14">
      <c r="B1538" s="33"/>
      <c r="C1538" s="60"/>
      <c r="D1538" s="60"/>
      <c r="E1538" s="60"/>
      <c r="F1538" s="60"/>
      <c r="G1538" s="60"/>
      <c r="H1538" s="60"/>
      <c r="I1538" s="60"/>
      <c r="J1538" s="60"/>
      <c r="K1538" s="60"/>
      <c r="L1538" s="60"/>
      <c r="M1538" s="64"/>
      <c r="N1538" s="33"/>
    </row>
    <row r="1539" ht="24" customHeight="1" spans="2:14">
      <c r="B1539" s="33"/>
      <c r="C1539" s="60"/>
      <c r="D1539" s="60"/>
      <c r="E1539" s="60"/>
      <c r="F1539" s="60"/>
      <c r="G1539" s="60"/>
      <c r="H1539" s="60"/>
      <c r="I1539" s="60"/>
      <c r="J1539" s="60"/>
      <c r="K1539" s="60"/>
      <c r="L1539" s="60"/>
      <c r="M1539" s="64"/>
      <c r="N1539" s="33"/>
    </row>
    <row r="1540" ht="24" customHeight="1" spans="2:14">
      <c r="B1540" s="33"/>
      <c r="C1540" s="60"/>
      <c r="D1540" s="60"/>
      <c r="E1540" s="60"/>
      <c r="F1540" s="60"/>
      <c r="G1540" s="60"/>
      <c r="H1540" s="60"/>
      <c r="I1540" s="60"/>
      <c r="J1540" s="60"/>
      <c r="K1540" s="60"/>
      <c r="L1540" s="60"/>
      <c r="M1540" s="64"/>
      <c r="N1540" s="33"/>
    </row>
    <row r="1541" ht="24" customHeight="1" spans="2:14">
      <c r="B1541" s="33"/>
      <c r="C1541" s="60"/>
      <c r="D1541" s="60"/>
      <c r="E1541" s="60"/>
      <c r="F1541" s="60"/>
      <c r="G1541" s="60"/>
      <c r="H1541" s="60"/>
      <c r="I1541" s="60"/>
      <c r="J1541" s="60"/>
      <c r="K1541" s="60"/>
      <c r="L1541" s="60"/>
      <c r="M1541" s="64"/>
      <c r="N1541" s="33"/>
    </row>
    <row r="1542" ht="24" customHeight="1" spans="2:14">
      <c r="B1542" s="33"/>
      <c r="C1542" s="60"/>
      <c r="D1542" s="60"/>
      <c r="E1542" s="60"/>
      <c r="F1542" s="60"/>
      <c r="G1542" s="60"/>
      <c r="H1542" s="60"/>
      <c r="I1542" s="60"/>
      <c r="J1542" s="60"/>
      <c r="K1542" s="60"/>
      <c r="L1542" s="60"/>
      <c r="M1542" s="64"/>
      <c r="N1542" s="33"/>
    </row>
    <row r="1543" ht="24" customHeight="1" spans="2:14">
      <c r="B1543" s="33"/>
      <c r="C1543" s="60"/>
      <c r="D1543" s="60"/>
      <c r="E1543" s="60"/>
      <c r="F1543" s="60"/>
      <c r="G1543" s="60"/>
      <c r="H1543" s="60"/>
      <c r="I1543" s="60"/>
      <c r="J1543" s="60"/>
      <c r="K1543" s="60"/>
      <c r="L1543" s="60"/>
      <c r="M1543" s="64"/>
      <c r="N1543" s="33"/>
    </row>
    <row r="1544" ht="24" customHeight="1" spans="2:14">
      <c r="B1544" s="33"/>
      <c r="C1544" s="60"/>
      <c r="D1544" s="60"/>
      <c r="E1544" s="60"/>
      <c r="F1544" s="60"/>
      <c r="G1544" s="60"/>
      <c r="H1544" s="60"/>
      <c r="I1544" s="60"/>
      <c r="J1544" s="60"/>
      <c r="K1544" s="60"/>
      <c r="L1544" s="60"/>
      <c r="M1544" s="64"/>
      <c r="N1544" s="33"/>
    </row>
    <row r="1545" ht="24" customHeight="1" spans="2:14">
      <c r="B1545" s="33"/>
      <c r="C1545" s="60"/>
      <c r="D1545" s="60"/>
      <c r="E1545" s="60"/>
      <c r="F1545" s="60"/>
      <c r="G1545" s="60"/>
      <c r="H1545" s="60"/>
      <c r="I1545" s="60"/>
      <c r="J1545" s="60"/>
      <c r="K1545" s="60"/>
      <c r="L1545" s="60"/>
      <c r="M1545" s="64"/>
      <c r="N1545" s="33"/>
    </row>
    <row r="1546" ht="24" customHeight="1" spans="2:14">
      <c r="B1546" s="33"/>
      <c r="C1546" s="60"/>
      <c r="D1546" s="60"/>
      <c r="E1546" s="60"/>
      <c r="F1546" s="60"/>
      <c r="G1546" s="60"/>
      <c r="H1546" s="60"/>
      <c r="I1546" s="60"/>
      <c r="J1546" s="60"/>
      <c r="K1546" s="60"/>
      <c r="L1546" s="60"/>
      <c r="M1546" s="64"/>
      <c r="N1546" s="33"/>
    </row>
    <row r="1547" ht="24" customHeight="1" spans="2:14">
      <c r="B1547" s="33"/>
      <c r="C1547" s="60"/>
      <c r="D1547" s="60"/>
      <c r="E1547" s="60"/>
      <c r="F1547" s="60"/>
      <c r="G1547" s="60"/>
      <c r="H1547" s="60"/>
      <c r="I1547" s="60"/>
      <c r="J1547" s="60"/>
      <c r="K1547" s="60"/>
      <c r="L1547" s="60"/>
      <c r="M1547" s="64"/>
      <c r="N1547" s="33"/>
    </row>
    <row r="1548" ht="24" customHeight="1" spans="2:14">
      <c r="B1548" s="33"/>
      <c r="C1548" s="60"/>
      <c r="D1548" s="60"/>
      <c r="E1548" s="60"/>
      <c r="F1548" s="60"/>
      <c r="G1548" s="60"/>
      <c r="H1548" s="60"/>
      <c r="I1548" s="60"/>
      <c r="J1548" s="60"/>
      <c r="K1548" s="60"/>
      <c r="L1548" s="60"/>
      <c r="M1548" s="64"/>
      <c r="N1548" s="33"/>
    </row>
    <row r="1549" ht="24" customHeight="1" spans="2:14">
      <c r="B1549" s="33"/>
      <c r="C1549" s="60"/>
      <c r="D1549" s="60"/>
      <c r="E1549" s="60"/>
      <c r="F1549" s="60"/>
      <c r="G1549" s="60"/>
      <c r="H1549" s="60"/>
      <c r="I1549" s="60"/>
      <c r="J1549" s="60"/>
      <c r="K1549" s="60"/>
      <c r="L1549" s="60"/>
      <c r="M1549" s="64"/>
      <c r="N1549" s="33"/>
    </row>
    <row r="1550" ht="24" customHeight="1" spans="2:14">
      <c r="B1550" s="33"/>
      <c r="C1550" s="60"/>
      <c r="D1550" s="60"/>
      <c r="E1550" s="60"/>
      <c r="F1550" s="60"/>
      <c r="G1550" s="60"/>
      <c r="H1550" s="60"/>
      <c r="I1550" s="60"/>
      <c r="J1550" s="60"/>
      <c r="K1550" s="60"/>
      <c r="L1550" s="60"/>
      <c r="M1550" s="64"/>
      <c r="N1550" s="33"/>
    </row>
    <row r="1551" ht="24" customHeight="1" spans="2:14">
      <c r="B1551" s="33"/>
      <c r="C1551" s="60"/>
      <c r="D1551" s="60"/>
      <c r="E1551" s="60"/>
      <c r="F1551" s="60"/>
      <c r="G1551" s="60"/>
      <c r="H1551" s="60"/>
      <c r="I1551" s="60"/>
      <c r="J1551" s="60"/>
      <c r="K1551" s="60"/>
      <c r="L1551" s="60"/>
      <c r="M1551" s="64"/>
      <c r="N1551" s="33"/>
    </row>
    <row r="1552" ht="24" customHeight="1" spans="2:14">
      <c r="B1552" s="33"/>
      <c r="C1552" s="60"/>
      <c r="D1552" s="60"/>
      <c r="E1552" s="60"/>
      <c r="F1552" s="60"/>
      <c r="G1552" s="60"/>
      <c r="H1552" s="60"/>
      <c r="I1552" s="60"/>
      <c r="J1552" s="60"/>
      <c r="K1552" s="60"/>
      <c r="L1552" s="60"/>
      <c r="M1552" s="64"/>
      <c r="N1552" s="33"/>
    </row>
    <row r="1553" ht="24" customHeight="1" spans="2:14">
      <c r="B1553" s="33"/>
      <c r="C1553" s="60"/>
      <c r="D1553" s="60"/>
      <c r="E1553" s="60"/>
      <c r="F1553" s="60"/>
      <c r="G1553" s="60"/>
      <c r="H1553" s="60"/>
      <c r="I1553" s="60"/>
      <c r="J1553" s="60"/>
      <c r="K1553" s="60"/>
      <c r="L1553" s="60"/>
      <c r="M1553" s="64"/>
      <c r="N1553" s="33"/>
    </row>
    <row r="1554" ht="24" customHeight="1" spans="2:14">
      <c r="B1554" s="33"/>
      <c r="C1554" s="60"/>
      <c r="D1554" s="60"/>
      <c r="E1554" s="60"/>
      <c r="F1554" s="60"/>
      <c r="G1554" s="60"/>
      <c r="H1554" s="60"/>
      <c r="I1554" s="60"/>
      <c r="J1554" s="60"/>
      <c r="K1554" s="60"/>
      <c r="L1554" s="60"/>
      <c r="M1554" s="64"/>
      <c r="N1554" s="33"/>
    </row>
    <row r="1555" ht="24" customHeight="1" spans="2:14">
      <c r="B1555" s="33"/>
      <c r="C1555" s="60"/>
      <c r="D1555" s="60"/>
      <c r="E1555" s="60"/>
      <c r="F1555" s="60"/>
      <c r="G1555" s="60"/>
      <c r="H1555" s="60"/>
      <c r="I1555" s="60"/>
      <c r="J1555" s="60"/>
      <c r="K1555" s="60"/>
      <c r="L1555" s="60"/>
      <c r="M1555" s="64"/>
      <c r="N1555" s="33"/>
    </row>
    <row r="1556" ht="24" customHeight="1" spans="2:14">
      <c r="B1556" s="33"/>
      <c r="C1556" s="60"/>
      <c r="D1556" s="60"/>
      <c r="E1556" s="60"/>
      <c r="F1556" s="60"/>
      <c r="G1556" s="60"/>
      <c r="H1556" s="60"/>
      <c r="I1556" s="60"/>
      <c r="J1556" s="60"/>
      <c r="K1556" s="60"/>
      <c r="L1556" s="60"/>
      <c r="M1556" s="64"/>
      <c r="N1556" s="33"/>
    </row>
    <row r="1557" ht="24" customHeight="1" spans="2:14">
      <c r="B1557" s="33"/>
      <c r="C1557" s="60"/>
      <c r="D1557" s="60"/>
      <c r="E1557" s="60"/>
      <c r="F1557" s="60"/>
      <c r="G1557" s="60"/>
      <c r="H1557" s="60"/>
      <c r="I1557" s="60"/>
      <c r="J1557" s="60"/>
      <c r="K1557" s="60"/>
      <c r="L1557" s="60"/>
      <c r="M1557" s="64"/>
      <c r="N1557" s="33"/>
    </row>
    <row r="1558" ht="24" customHeight="1" spans="2:14">
      <c r="B1558" s="33"/>
      <c r="C1558" s="60"/>
      <c r="D1558" s="60"/>
      <c r="E1558" s="60"/>
      <c r="F1558" s="60"/>
      <c r="G1558" s="60"/>
      <c r="H1558" s="60"/>
      <c r="I1558" s="60"/>
      <c r="J1558" s="60"/>
      <c r="K1558" s="60"/>
      <c r="L1558" s="60"/>
      <c r="M1558" s="64"/>
      <c r="N1558" s="33"/>
    </row>
    <row r="1559" ht="24" customHeight="1" spans="2:14">
      <c r="B1559" s="33"/>
      <c r="C1559" s="60"/>
      <c r="D1559" s="60"/>
      <c r="E1559" s="60"/>
      <c r="F1559" s="60"/>
      <c r="G1559" s="60"/>
      <c r="H1559" s="60"/>
      <c r="I1559" s="60"/>
      <c r="J1559" s="60"/>
      <c r="K1559" s="60"/>
      <c r="L1559" s="60"/>
      <c r="M1559" s="64"/>
      <c r="N1559" s="33"/>
    </row>
    <row r="1560" ht="24" customHeight="1" spans="2:14">
      <c r="B1560" s="33"/>
      <c r="C1560" s="60"/>
      <c r="D1560" s="60"/>
      <c r="E1560" s="60"/>
      <c r="F1560" s="60"/>
      <c r="G1560" s="60"/>
      <c r="H1560" s="60"/>
      <c r="I1560" s="60"/>
      <c r="J1560" s="60"/>
      <c r="K1560" s="60"/>
      <c r="L1560" s="60"/>
      <c r="M1560" s="64"/>
      <c r="N1560" s="33"/>
    </row>
    <row r="1561" ht="24" customHeight="1" spans="2:14">
      <c r="B1561" s="33"/>
      <c r="C1561" s="60"/>
      <c r="D1561" s="60"/>
      <c r="E1561" s="60"/>
      <c r="F1561" s="60"/>
      <c r="G1561" s="60"/>
      <c r="H1561" s="60"/>
      <c r="I1561" s="60"/>
      <c r="J1561" s="60"/>
      <c r="K1561" s="60"/>
      <c r="L1561" s="60"/>
      <c r="M1561" s="64"/>
      <c r="N1561" s="33"/>
    </row>
    <row r="1562" ht="24" customHeight="1" spans="2:14">
      <c r="B1562" s="33"/>
      <c r="C1562" s="60"/>
      <c r="D1562" s="60"/>
      <c r="E1562" s="60"/>
      <c r="F1562" s="60"/>
      <c r="G1562" s="60"/>
      <c r="H1562" s="60"/>
      <c r="I1562" s="60"/>
      <c r="J1562" s="60"/>
      <c r="K1562" s="60"/>
      <c r="L1562" s="60"/>
      <c r="M1562" s="64"/>
      <c r="N1562" s="33"/>
    </row>
    <row r="1563" ht="24" customHeight="1" spans="2:14">
      <c r="B1563" s="33"/>
      <c r="C1563" s="60"/>
      <c r="D1563" s="60"/>
      <c r="E1563" s="60"/>
      <c r="F1563" s="60"/>
      <c r="G1563" s="60"/>
      <c r="H1563" s="60"/>
      <c r="I1563" s="60"/>
      <c r="J1563" s="60"/>
      <c r="K1563" s="60"/>
      <c r="L1563" s="60"/>
      <c r="M1563" s="64"/>
      <c r="N1563" s="33"/>
    </row>
    <row r="1564" ht="24" customHeight="1" spans="2:14">
      <c r="B1564" s="33"/>
      <c r="C1564" s="60"/>
      <c r="D1564" s="60"/>
      <c r="E1564" s="60"/>
      <c r="F1564" s="60"/>
      <c r="G1564" s="60"/>
      <c r="H1564" s="60"/>
      <c r="I1564" s="60"/>
      <c r="J1564" s="60"/>
      <c r="K1564" s="60"/>
      <c r="L1564" s="60"/>
      <c r="M1564" s="64"/>
      <c r="N1564" s="33"/>
    </row>
    <row r="1565" ht="24" customHeight="1" spans="2:14">
      <c r="B1565" s="33"/>
      <c r="C1565" s="60"/>
      <c r="D1565" s="60"/>
      <c r="E1565" s="60"/>
      <c r="F1565" s="60"/>
      <c r="G1565" s="60"/>
      <c r="H1565" s="60"/>
      <c r="I1565" s="60"/>
      <c r="J1565" s="60"/>
      <c r="K1565" s="60"/>
      <c r="L1565" s="60"/>
      <c r="M1565" s="64"/>
      <c r="N1565" s="33"/>
    </row>
    <row r="1566" ht="24" customHeight="1" spans="2:14">
      <c r="B1566" s="33"/>
      <c r="C1566" s="60"/>
      <c r="D1566" s="60"/>
      <c r="E1566" s="60"/>
      <c r="F1566" s="60"/>
      <c r="G1566" s="60"/>
      <c r="H1566" s="60"/>
      <c r="I1566" s="60"/>
      <c r="J1566" s="60"/>
      <c r="K1566" s="60"/>
      <c r="L1566" s="60"/>
      <c r="M1566" s="64"/>
      <c r="N1566" s="33"/>
    </row>
    <row r="1567" ht="24" customHeight="1" spans="2:14">
      <c r="B1567" s="33"/>
      <c r="C1567" s="60"/>
      <c r="D1567" s="60"/>
      <c r="E1567" s="60"/>
      <c r="F1567" s="60"/>
      <c r="G1567" s="60"/>
      <c r="H1567" s="60"/>
      <c r="I1567" s="60"/>
      <c r="J1567" s="60"/>
      <c r="K1567" s="60"/>
      <c r="L1567" s="60"/>
      <c r="M1567" s="64"/>
      <c r="N1567" s="33"/>
    </row>
    <row r="1568" ht="24" customHeight="1" spans="2:14">
      <c r="B1568" s="33"/>
      <c r="C1568" s="60"/>
      <c r="D1568" s="60"/>
      <c r="E1568" s="60"/>
      <c r="F1568" s="60"/>
      <c r="G1568" s="60"/>
      <c r="H1568" s="60"/>
      <c r="I1568" s="60"/>
      <c r="J1568" s="60"/>
      <c r="K1568" s="60"/>
      <c r="L1568" s="60"/>
      <c r="M1568" s="64"/>
      <c r="N1568" s="33"/>
    </row>
    <row r="1569" ht="24" customHeight="1" spans="2:14">
      <c r="B1569" s="33"/>
      <c r="C1569" s="60"/>
      <c r="D1569" s="60"/>
      <c r="E1569" s="60"/>
      <c r="F1569" s="60"/>
      <c r="G1569" s="60"/>
      <c r="H1569" s="60"/>
      <c r="I1569" s="60"/>
      <c r="J1569" s="60"/>
      <c r="K1569" s="60"/>
      <c r="L1569" s="60"/>
      <c r="M1569" s="64"/>
      <c r="N1569" s="33"/>
    </row>
    <row r="1570" ht="24" customHeight="1" spans="2:14">
      <c r="B1570" s="33"/>
      <c r="C1570" s="60"/>
      <c r="D1570" s="60"/>
      <c r="E1570" s="60"/>
      <c r="F1570" s="60"/>
      <c r="G1570" s="60"/>
      <c r="H1570" s="60"/>
      <c r="I1570" s="60"/>
      <c r="J1570" s="60"/>
      <c r="K1570" s="60"/>
      <c r="L1570" s="60"/>
      <c r="M1570" s="64"/>
      <c r="N1570" s="33"/>
    </row>
    <row r="1571" ht="24" customHeight="1" spans="2:14">
      <c r="B1571" s="33"/>
      <c r="C1571" s="60"/>
      <c r="D1571" s="60"/>
      <c r="E1571" s="60"/>
      <c r="F1571" s="60"/>
      <c r="G1571" s="60"/>
      <c r="H1571" s="60"/>
      <c r="I1571" s="60"/>
      <c r="J1571" s="60"/>
      <c r="K1571" s="60"/>
      <c r="L1571" s="60"/>
      <c r="M1571" s="64"/>
      <c r="N1571" s="33"/>
    </row>
    <row r="1572" ht="24" customHeight="1" spans="2:14">
      <c r="B1572" s="33"/>
      <c r="C1572" s="60"/>
      <c r="D1572" s="60"/>
      <c r="E1572" s="60"/>
      <c r="F1572" s="60"/>
      <c r="G1572" s="60"/>
      <c r="H1572" s="60"/>
      <c r="I1572" s="60"/>
      <c r="J1572" s="60"/>
      <c r="K1572" s="60"/>
      <c r="L1572" s="60"/>
      <c r="M1572" s="64"/>
      <c r="N1572" s="33"/>
    </row>
    <row r="1573" ht="24" customHeight="1" spans="2:14">
      <c r="B1573" s="33"/>
      <c r="C1573" s="60"/>
      <c r="D1573" s="60"/>
      <c r="E1573" s="60"/>
      <c r="F1573" s="60"/>
      <c r="G1573" s="60"/>
      <c r="H1573" s="60"/>
      <c r="I1573" s="60"/>
      <c r="J1573" s="60"/>
      <c r="K1573" s="60"/>
      <c r="L1573" s="60"/>
      <c r="M1573" s="64"/>
      <c r="N1573" s="33"/>
    </row>
    <row r="1574" ht="24" customHeight="1" spans="2:14">
      <c r="B1574" s="33"/>
      <c r="C1574" s="60"/>
      <c r="D1574" s="60"/>
      <c r="E1574" s="60"/>
      <c r="F1574" s="60"/>
      <c r="G1574" s="60"/>
      <c r="H1574" s="60"/>
      <c r="I1574" s="60"/>
      <c r="J1574" s="60"/>
      <c r="K1574" s="60"/>
      <c r="L1574" s="60"/>
      <c r="M1574" s="64"/>
      <c r="N1574" s="33"/>
    </row>
    <row r="1575" ht="24" customHeight="1" spans="2:14">
      <c r="B1575" s="33"/>
      <c r="C1575" s="60"/>
      <c r="D1575" s="60"/>
      <c r="E1575" s="60"/>
      <c r="F1575" s="60"/>
      <c r="G1575" s="60"/>
      <c r="H1575" s="60"/>
      <c r="I1575" s="60"/>
      <c r="J1575" s="60"/>
      <c r="K1575" s="60"/>
      <c r="L1575" s="60"/>
      <c r="M1575" s="64"/>
      <c r="N1575" s="33"/>
    </row>
    <row r="1576" ht="24" customHeight="1" spans="2:14">
      <c r="B1576" s="33"/>
      <c r="C1576" s="60"/>
      <c r="D1576" s="60"/>
      <c r="E1576" s="60"/>
      <c r="F1576" s="60"/>
      <c r="G1576" s="60"/>
      <c r="H1576" s="60"/>
      <c r="I1576" s="60"/>
      <c r="J1576" s="60"/>
      <c r="K1576" s="60"/>
      <c r="L1576" s="60"/>
      <c r="M1576" s="64"/>
      <c r="N1576" s="33"/>
    </row>
    <row r="1577" ht="24" customHeight="1" spans="2:14">
      <c r="B1577" s="33"/>
      <c r="C1577" s="60"/>
      <c r="D1577" s="60"/>
      <c r="E1577" s="60"/>
      <c r="F1577" s="60"/>
      <c r="G1577" s="60"/>
      <c r="H1577" s="60"/>
      <c r="I1577" s="60"/>
      <c r="J1577" s="60"/>
      <c r="K1577" s="60"/>
      <c r="L1577" s="60"/>
      <c r="M1577" s="64"/>
      <c r="N1577" s="33"/>
    </row>
    <row r="1578" ht="24" customHeight="1" spans="2:14">
      <c r="B1578" s="33"/>
      <c r="C1578" s="60"/>
      <c r="D1578" s="60"/>
      <c r="E1578" s="60"/>
      <c r="F1578" s="60"/>
      <c r="G1578" s="60"/>
      <c r="H1578" s="60"/>
      <c r="I1578" s="60"/>
      <c r="J1578" s="60"/>
      <c r="K1578" s="60"/>
      <c r="L1578" s="60"/>
      <c r="M1578" s="64"/>
      <c r="N1578" s="33"/>
    </row>
    <row r="1579" ht="24" customHeight="1" spans="2:14">
      <c r="B1579" s="33"/>
      <c r="C1579" s="60"/>
      <c r="D1579" s="60"/>
      <c r="E1579" s="60"/>
      <c r="F1579" s="60"/>
      <c r="G1579" s="60"/>
      <c r="H1579" s="60"/>
      <c r="I1579" s="60"/>
      <c r="J1579" s="60"/>
      <c r="K1579" s="60"/>
      <c r="L1579" s="60"/>
      <c r="M1579" s="64"/>
      <c r="N1579" s="33"/>
    </row>
    <row r="1580" ht="24" customHeight="1" spans="2:14">
      <c r="B1580" s="33"/>
      <c r="C1580" s="60"/>
      <c r="D1580" s="60"/>
      <c r="E1580" s="60"/>
      <c r="F1580" s="60"/>
      <c r="G1580" s="60"/>
      <c r="H1580" s="60"/>
      <c r="I1580" s="60"/>
      <c r="J1580" s="60"/>
      <c r="K1580" s="60"/>
      <c r="L1580" s="60"/>
      <c r="M1580" s="64"/>
      <c r="N1580" s="33"/>
    </row>
    <row r="1581" ht="24" customHeight="1" spans="2:14">
      <c r="B1581" s="33"/>
      <c r="C1581" s="60"/>
      <c r="D1581" s="60"/>
      <c r="E1581" s="60"/>
      <c r="F1581" s="60"/>
      <c r="G1581" s="60"/>
      <c r="H1581" s="60"/>
      <c r="I1581" s="60"/>
      <c r="J1581" s="60"/>
      <c r="K1581" s="60"/>
      <c r="L1581" s="60"/>
      <c r="M1581" s="64"/>
      <c r="N1581" s="33"/>
    </row>
    <row r="1582" ht="24" customHeight="1" spans="2:14">
      <c r="B1582" s="33"/>
      <c r="C1582" s="60"/>
      <c r="D1582" s="60"/>
      <c r="E1582" s="60"/>
      <c r="F1582" s="60"/>
      <c r="G1582" s="60"/>
      <c r="H1582" s="60"/>
      <c r="I1582" s="60"/>
      <c r="J1582" s="60"/>
      <c r="K1582" s="60"/>
      <c r="L1582" s="60"/>
      <c r="M1582" s="64"/>
      <c r="N1582" s="33"/>
    </row>
    <row r="1583" ht="24" customHeight="1" spans="2:14">
      <c r="B1583" s="33"/>
      <c r="C1583" s="60"/>
      <c r="D1583" s="60"/>
      <c r="E1583" s="60"/>
      <c r="F1583" s="60"/>
      <c r="G1583" s="60"/>
      <c r="H1583" s="60"/>
      <c r="I1583" s="60"/>
      <c r="J1583" s="60"/>
      <c r="K1583" s="60"/>
      <c r="L1583" s="60"/>
      <c r="M1583" s="64"/>
      <c r="N1583" s="33"/>
    </row>
    <row r="1584" ht="24" customHeight="1" spans="2:14">
      <c r="B1584" s="33"/>
      <c r="C1584" s="60"/>
      <c r="D1584" s="60"/>
      <c r="E1584" s="60"/>
      <c r="F1584" s="60"/>
      <c r="G1584" s="60"/>
      <c r="H1584" s="60"/>
      <c r="I1584" s="60"/>
      <c r="J1584" s="60"/>
      <c r="K1584" s="60"/>
      <c r="L1584" s="60"/>
      <c r="M1584" s="64"/>
      <c r="N1584" s="33"/>
    </row>
    <row r="1585" ht="24" customHeight="1" spans="2:14">
      <c r="B1585" s="33"/>
      <c r="C1585" s="60"/>
      <c r="D1585" s="60"/>
      <c r="E1585" s="60"/>
      <c r="F1585" s="60"/>
      <c r="G1585" s="60"/>
      <c r="H1585" s="60"/>
      <c r="I1585" s="60"/>
      <c r="J1585" s="60"/>
      <c r="K1585" s="60"/>
      <c r="L1585" s="60"/>
      <c r="M1585" s="64"/>
      <c r="N1585" s="33"/>
    </row>
    <row r="1586" ht="24" customHeight="1" spans="2:14">
      <c r="B1586" s="33"/>
      <c r="C1586" s="60"/>
      <c r="D1586" s="60"/>
      <c r="E1586" s="60"/>
      <c r="F1586" s="60"/>
      <c r="G1586" s="60"/>
      <c r="H1586" s="60"/>
      <c r="I1586" s="60"/>
      <c r="J1586" s="60"/>
      <c r="K1586" s="60"/>
      <c r="L1586" s="60"/>
      <c r="M1586" s="64"/>
      <c r="N1586" s="33"/>
    </row>
    <row r="1587" ht="24" customHeight="1" spans="2:14">
      <c r="B1587" s="33"/>
      <c r="C1587" s="60"/>
      <c r="D1587" s="60"/>
      <c r="E1587" s="60"/>
      <c r="F1587" s="60"/>
      <c r="G1587" s="60"/>
      <c r="H1587" s="60"/>
      <c r="I1587" s="60"/>
      <c r="J1587" s="60"/>
      <c r="K1587" s="60"/>
      <c r="L1587" s="60"/>
      <c r="M1587" s="64"/>
      <c r="N1587" s="33"/>
    </row>
    <row r="1588" ht="24" customHeight="1" spans="2:14">
      <c r="B1588" s="33"/>
      <c r="C1588" s="60"/>
      <c r="D1588" s="60"/>
      <c r="E1588" s="60"/>
      <c r="F1588" s="60"/>
      <c r="G1588" s="60"/>
      <c r="H1588" s="60"/>
      <c r="I1588" s="60"/>
      <c r="J1588" s="60"/>
      <c r="K1588" s="60"/>
      <c r="L1588" s="60"/>
      <c r="M1588" s="64"/>
      <c r="N1588" s="33"/>
    </row>
    <row r="1589" ht="24" customHeight="1" spans="2:14">
      <c r="B1589" s="33"/>
      <c r="C1589" s="60"/>
      <c r="D1589" s="60"/>
      <c r="E1589" s="60"/>
      <c r="F1589" s="60"/>
      <c r="G1589" s="60"/>
      <c r="H1589" s="60"/>
      <c r="I1589" s="60"/>
      <c r="J1589" s="60"/>
      <c r="K1589" s="60"/>
      <c r="L1589" s="60"/>
      <c r="M1589" s="64"/>
      <c r="N1589" s="33"/>
    </row>
    <row r="1590" ht="24" customHeight="1" spans="2:14">
      <c r="B1590" s="33"/>
      <c r="C1590" s="60"/>
      <c r="D1590" s="60"/>
      <c r="E1590" s="60"/>
      <c r="F1590" s="60"/>
      <c r="G1590" s="60"/>
      <c r="H1590" s="60"/>
      <c r="I1590" s="60"/>
      <c r="J1590" s="60"/>
      <c r="K1590" s="60"/>
      <c r="L1590" s="60"/>
      <c r="M1590" s="64"/>
      <c r="N1590" s="33"/>
    </row>
    <row r="1591" ht="24" customHeight="1" spans="2:14">
      <c r="B1591" s="33"/>
      <c r="C1591" s="60"/>
      <c r="D1591" s="60"/>
      <c r="E1591" s="60"/>
      <c r="F1591" s="60"/>
      <c r="G1591" s="60"/>
      <c r="H1591" s="60"/>
      <c r="I1591" s="60"/>
      <c r="J1591" s="60"/>
      <c r="K1591" s="60"/>
      <c r="L1591" s="60"/>
      <c r="M1591" s="64"/>
      <c r="N1591" s="33"/>
    </row>
    <row r="1592" ht="24" customHeight="1" spans="2:14">
      <c r="B1592" s="33"/>
      <c r="C1592" s="60"/>
      <c r="D1592" s="60"/>
      <c r="E1592" s="60"/>
      <c r="F1592" s="60"/>
      <c r="G1592" s="60"/>
      <c r="H1592" s="60"/>
      <c r="I1592" s="60"/>
      <c r="J1592" s="60"/>
      <c r="K1592" s="60"/>
      <c r="L1592" s="60"/>
      <c r="M1592" s="64"/>
      <c r="N1592" s="33"/>
    </row>
    <row r="1593" ht="24" customHeight="1" spans="2:14">
      <c r="B1593" s="33"/>
      <c r="C1593" s="60"/>
      <c r="D1593" s="60"/>
      <c r="E1593" s="60"/>
      <c r="F1593" s="60"/>
      <c r="G1593" s="60"/>
      <c r="H1593" s="60"/>
      <c r="I1593" s="60"/>
      <c r="J1593" s="60"/>
      <c r="K1593" s="60"/>
      <c r="L1593" s="60"/>
      <c r="M1593" s="64"/>
      <c r="N1593" s="33"/>
    </row>
    <row r="1594" ht="24" customHeight="1" spans="2:14">
      <c r="B1594" s="33"/>
      <c r="C1594" s="60"/>
      <c r="D1594" s="60"/>
      <c r="E1594" s="60"/>
      <c r="F1594" s="60"/>
      <c r="G1594" s="60"/>
      <c r="H1594" s="60"/>
      <c r="I1594" s="60"/>
      <c r="J1594" s="60"/>
      <c r="K1594" s="60"/>
      <c r="L1594" s="60"/>
      <c r="M1594" s="64"/>
      <c r="N1594" s="33"/>
    </row>
    <row r="1595" ht="24" customHeight="1" spans="2:14">
      <c r="B1595" s="33"/>
      <c r="C1595" s="60"/>
      <c r="D1595" s="60"/>
      <c r="E1595" s="60"/>
      <c r="F1595" s="60"/>
      <c r="G1595" s="60"/>
      <c r="H1595" s="60"/>
      <c r="I1595" s="60"/>
      <c r="J1595" s="60"/>
      <c r="K1595" s="60"/>
      <c r="L1595" s="60"/>
      <c r="M1595" s="64"/>
      <c r="N1595" s="33"/>
    </row>
    <row r="1596" ht="24" customHeight="1" spans="2:14">
      <c r="B1596" s="33"/>
      <c r="C1596" s="60"/>
      <c r="D1596" s="60"/>
      <c r="E1596" s="60"/>
      <c r="F1596" s="60"/>
      <c r="G1596" s="60"/>
      <c r="H1596" s="60"/>
      <c r="I1596" s="60"/>
      <c r="J1596" s="60"/>
      <c r="K1596" s="60"/>
      <c r="L1596" s="60"/>
      <c r="M1596" s="64"/>
      <c r="N1596" s="33"/>
    </row>
    <row r="1597" ht="24" customHeight="1" spans="2:14">
      <c r="B1597" s="33"/>
      <c r="C1597" s="60"/>
      <c r="D1597" s="60"/>
      <c r="E1597" s="60"/>
      <c r="F1597" s="60"/>
      <c r="G1597" s="60"/>
      <c r="H1597" s="60"/>
      <c r="I1597" s="60"/>
      <c r="J1597" s="60"/>
      <c r="K1597" s="60"/>
      <c r="L1597" s="60"/>
      <c r="M1597" s="64"/>
      <c r="N1597" s="33"/>
    </row>
    <row r="1598" ht="24" customHeight="1" spans="2:14">
      <c r="B1598" s="33"/>
      <c r="C1598" s="60"/>
      <c r="D1598" s="60"/>
      <c r="E1598" s="60"/>
      <c r="F1598" s="60"/>
      <c r="G1598" s="60"/>
      <c r="H1598" s="60"/>
      <c r="I1598" s="60"/>
      <c r="J1598" s="60"/>
      <c r="K1598" s="60"/>
      <c r="L1598" s="60"/>
      <c r="M1598" s="64"/>
      <c r="N1598" s="33"/>
    </row>
    <row r="1599" ht="24" customHeight="1" spans="2:14">
      <c r="B1599" s="33"/>
      <c r="C1599" s="60"/>
      <c r="D1599" s="60"/>
      <c r="E1599" s="60"/>
      <c r="F1599" s="60"/>
      <c r="G1599" s="60"/>
      <c r="H1599" s="60"/>
      <c r="I1599" s="60"/>
      <c r="J1599" s="60"/>
      <c r="K1599" s="60"/>
      <c r="L1599" s="60"/>
      <c r="M1599" s="64"/>
      <c r="N1599" s="33"/>
    </row>
    <row r="1600" ht="24" customHeight="1" spans="2:14">
      <c r="B1600" s="33"/>
      <c r="C1600" s="60"/>
      <c r="D1600" s="60"/>
      <c r="E1600" s="60"/>
      <c r="F1600" s="60"/>
      <c r="G1600" s="60"/>
      <c r="H1600" s="60"/>
      <c r="I1600" s="60"/>
      <c r="J1600" s="60"/>
      <c r="K1600" s="60"/>
      <c r="L1600" s="60"/>
      <c r="M1600" s="64"/>
      <c r="N1600" s="33"/>
    </row>
    <row r="1601" ht="24" customHeight="1" spans="2:14">
      <c r="B1601" s="33"/>
      <c r="C1601" s="60"/>
      <c r="D1601" s="60"/>
      <c r="E1601" s="60"/>
      <c r="F1601" s="60"/>
      <c r="G1601" s="60"/>
      <c r="H1601" s="60"/>
      <c r="I1601" s="60"/>
      <c r="J1601" s="60"/>
      <c r="K1601" s="60"/>
      <c r="L1601" s="60"/>
      <c r="M1601" s="64"/>
      <c r="N1601" s="33"/>
    </row>
    <row r="1602" ht="24" customHeight="1" spans="2:14">
      <c r="B1602" s="33"/>
      <c r="C1602" s="60"/>
      <c r="D1602" s="60"/>
      <c r="E1602" s="60"/>
      <c r="F1602" s="60"/>
      <c r="G1602" s="60"/>
      <c r="H1602" s="60"/>
      <c r="I1602" s="60"/>
      <c r="J1602" s="60"/>
      <c r="K1602" s="60"/>
      <c r="L1602" s="60"/>
      <c r="M1602" s="64"/>
      <c r="N1602" s="33"/>
    </row>
    <row r="1603" ht="24" customHeight="1" spans="2:14">
      <c r="B1603" s="33"/>
      <c r="C1603" s="60"/>
      <c r="D1603" s="60"/>
      <c r="E1603" s="60"/>
      <c r="F1603" s="60"/>
      <c r="G1603" s="60"/>
      <c r="H1603" s="60"/>
      <c r="I1603" s="60"/>
      <c r="J1603" s="60"/>
      <c r="K1603" s="60"/>
      <c r="L1603" s="60"/>
      <c r="M1603" s="64"/>
      <c r="N1603" s="33"/>
    </row>
    <row r="1604" ht="24" customHeight="1" spans="2:14">
      <c r="B1604" s="33"/>
      <c r="C1604" s="60"/>
      <c r="D1604" s="60"/>
      <c r="E1604" s="60"/>
      <c r="F1604" s="60"/>
      <c r="G1604" s="60"/>
      <c r="H1604" s="60"/>
      <c r="I1604" s="60"/>
      <c r="J1604" s="60"/>
      <c r="K1604" s="60"/>
      <c r="L1604" s="60"/>
      <c r="M1604" s="64"/>
      <c r="N1604" s="33"/>
    </row>
    <row r="1605" ht="24" customHeight="1" spans="2:14">
      <c r="B1605" s="33"/>
      <c r="C1605" s="60"/>
      <c r="D1605" s="60"/>
      <c r="E1605" s="60"/>
      <c r="F1605" s="60"/>
      <c r="G1605" s="60"/>
      <c r="H1605" s="60"/>
      <c r="I1605" s="60"/>
      <c r="J1605" s="60"/>
      <c r="K1605" s="60"/>
      <c r="L1605" s="60"/>
      <c r="M1605" s="64"/>
      <c r="N1605" s="33"/>
    </row>
    <row r="1606" ht="24" customHeight="1" spans="2:14">
      <c r="B1606" s="33"/>
      <c r="C1606" s="60"/>
      <c r="D1606" s="60"/>
      <c r="E1606" s="60"/>
      <c r="F1606" s="60"/>
      <c r="G1606" s="60"/>
      <c r="H1606" s="60"/>
      <c r="I1606" s="60"/>
      <c r="J1606" s="60"/>
      <c r="K1606" s="60"/>
      <c r="L1606" s="60"/>
      <c r="M1606" s="64"/>
      <c r="N1606" s="33"/>
    </row>
    <row r="1607" ht="24" customHeight="1" spans="2:14">
      <c r="B1607" s="33"/>
      <c r="C1607" s="60"/>
      <c r="D1607" s="60"/>
      <c r="E1607" s="60"/>
      <c r="F1607" s="60"/>
      <c r="G1607" s="60"/>
      <c r="H1607" s="60"/>
      <c r="I1607" s="60"/>
      <c r="J1607" s="60"/>
      <c r="K1607" s="60"/>
      <c r="L1607" s="60"/>
      <c r="M1607" s="64"/>
      <c r="N1607" s="33"/>
    </row>
    <row r="1608" ht="24" customHeight="1" spans="2:14">
      <c r="B1608" s="33"/>
      <c r="C1608" s="60"/>
      <c r="D1608" s="60"/>
      <c r="E1608" s="60"/>
      <c r="F1608" s="60"/>
      <c r="G1608" s="60"/>
      <c r="H1608" s="60"/>
      <c r="I1608" s="60"/>
      <c r="J1608" s="60"/>
      <c r="K1608" s="60"/>
      <c r="L1608" s="60"/>
      <c r="M1608" s="64"/>
      <c r="N1608" s="33"/>
    </row>
    <row r="1609" ht="24" customHeight="1" spans="2:14">
      <c r="B1609" s="33"/>
      <c r="C1609" s="60"/>
      <c r="D1609" s="60"/>
      <c r="E1609" s="60"/>
      <c r="F1609" s="60"/>
      <c r="G1609" s="60"/>
      <c r="H1609" s="60"/>
      <c r="I1609" s="60"/>
      <c r="J1609" s="60"/>
      <c r="K1609" s="60"/>
      <c r="L1609" s="60"/>
      <c r="M1609" s="64"/>
      <c r="N1609" s="33"/>
    </row>
    <row r="1610" ht="24" customHeight="1" spans="2:14">
      <c r="B1610" s="33"/>
      <c r="C1610" s="60"/>
      <c r="D1610" s="60"/>
      <c r="E1610" s="60"/>
      <c r="F1610" s="60"/>
      <c r="G1610" s="60"/>
      <c r="H1610" s="60"/>
      <c r="I1610" s="60"/>
      <c r="J1610" s="60"/>
      <c r="K1610" s="60"/>
      <c r="L1610" s="60"/>
      <c r="M1610" s="64"/>
      <c r="N1610" s="33"/>
    </row>
    <row r="1611" ht="24" customHeight="1" spans="2:14">
      <c r="B1611" s="33"/>
      <c r="C1611" s="60"/>
      <c r="D1611" s="60"/>
      <c r="E1611" s="60"/>
      <c r="F1611" s="60"/>
      <c r="G1611" s="60"/>
      <c r="H1611" s="60"/>
      <c r="I1611" s="60"/>
      <c r="J1611" s="60"/>
      <c r="K1611" s="60"/>
      <c r="L1611" s="60"/>
      <c r="M1611" s="64"/>
      <c r="N1611" s="33"/>
    </row>
    <row r="1612" ht="24" customHeight="1" spans="2:14">
      <c r="B1612" s="33"/>
      <c r="C1612" s="60"/>
      <c r="D1612" s="60"/>
      <c r="E1612" s="60"/>
      <c r="F1612" s="60"/>
      <c r="G1612" s="60"/>
      <c r="H1612" s="60"/>
      <c r="I1612" s="60"/>
      <c r="J1612" s="60"/>
      <c r="K1612" s="60"/>
      <c r="L1612" s="60"/>
      <c r="M1612" s="64"/>
      <c r="N1612" s="33"/>
    </row>
    <row r="1613" ht="24" customHeight="1" spans="2:14">
      <c r="B1613" s="33"/>
      <c r="C1613" s="60"/>
      <c r="D1613" s="60"/>
      <c r="E1613" s="60"/>
      <c r="F1613" s="60"/>
      <c r="G1613" s="60"/>
      <c r="H1613" s="60"/>
      <c r="I1613" s="60"/>
      <c r="J1613" s="60"/>
      <c r="K1613" s="60"/>
      <c r="L1613" s="60"/>
      <c r="M1613" s="64"/>
      <c r="N1613" s="33"/>
    </row>
    <row r="1614" ht="24" customHeight="1" spans="2:14">
      <c r="B1614" s="33"/>
      <c r="C1614" s="60"/>
      <c r="D1614" s="60"/>
      <c r="E1614" s="60"/>
      <c r="F1614" s="60"/>
      <c r="G1614" s="60"/>
      <c r="H1614" s="60"/>
      <c r="I1614" s="60"/>
      <c r="J1614" s="60"/>
      <c r="K1614" s="60"/>
      <c r="L1614" s="60"/>
      <c r="M1614" s="64"/>
      <c r="N1614" s="33"/>
    </row>
    <row r="1615" ht="24" customHeight="1" spans="2:14">
      <c r="B1615" s="33"/>
      <c r="C1615" s="60"/>
      <c r="D1615" s="60"/>
      <c r="E1615" s="60"/>
      <c r="F1615" s="60"/>
      <c r="G1615" s="60"/>
      <c r="H1615" s="60"/>
      <c r="I1615" s="60"/>
      <c r="J1615" s="60"/>
      <c r="K1615" s="60"/>
      <c r="L1615" s="60"/>
      <c r="M1615" s="64"/>
      <c r="N1615" s="33"/>
    </row>
    <row r="1616" ht="24" customHeight="1" spans="2:14">
      <c r="B1616" s="33"/>
      <c r="C1616" s="60"/>
      <c r="D1616" s="60"/>
      <c r="E1616" s="60"/>
      <c r="F1616" s="60"/>
      <c r="G1616" s="60"/>
      <c r="H1616" s="60"/>
      <c r="I1616" s="60"/>
      <c r="J1616" s="60"/>
      <c r="K1616" s="60"/>
      <c r="L1616" s="60"/>
      <c r="M1616" s="64"/>
      <c r="N1616" s="33"/>
    </row>
    <row r="1617" ht="24" customHeight="1" spans="2:14">
      <c r="B1617" s="33"/>
      <c r="C1617" s="60"/>
      <c r="D1617" s="60"/>
      <c r="E1617" s="60"/>
      <c r="F1617" s="60"/>
      <c r="G1617" s="60"/>
      <c r="H1617" s="60"/>
      <c r="I1617" s="60"/>
      <c r="J1617" s="60"/>
      <c r="K1617" s="60"/>
      <c r="L1617" s="60"/>
      <c r="M1617" s="64"/>
      <c r="N1617" s="33"/>
    </row>
    <row r="1618" ht="24" customHeight="1" spans="2:14">
      <c r="B1618" s="33"/>
      <c r="C1618" s="60"/>
      <c r="D1618" s="60"/>
      <c r="E1618" s="60"/>
      <c r="F1618" s="60"/>
      <c r="G1618" s="60"/>
      <c r="H1618" s="60"/>
      <c r="I1618" s="60"/>
      <c r="J1618" s="60"/>
      <c r="K1618" s="60"/>
      <c r="L1618" s="60"/>
      <c r="M1618" s="64"/>
      <c r="N1618" s="33"/>
    </row>
    <row r="1619" ht="24" customHeight="1" spans="2:14">
      <c r="B1619" s="33"/>
      <c r="C1619" s="60"/>
      <c r="D1619" s="60"/>
      <c r="E1619" s="60"/>
      <c r="F1619" s="60"/>
      <c r="G1619" s="60"/>
      <c r="H1619" s="60"/>
      <c r="I1619" s="60"/>
      <c r="J1619" s="60"/>
      <c r="K1619" s="60"/>
      <c r="L1619" s="60"/>
      <c r="M1619" s="64"/>
      <c r="N1619" s="33"/>
    </row>
    <row r="1620" ht="24" customHeight="1" spans="2:14">
      <c r="B1620" s="33"/>
      <c r="C1620" s="60"/>
      <c r="D1620" s="60"/>
      <c r="E1620" s="60"/>
      <c r="F1620" s="60"/>
      <c r="G1620" s="60"/>
      <c r="H1620" s="60"/>
      <c r="I1620" s="60"/>
      <c r="J1620" s="60"/>
      <c r="K1620" s="60"/>
      <c r="L1620" s="60"/>
      <c r="M1620" s="64"/>
      <c r="N1620" s="33"/>
    </row>
    <row r="1621" ht="24" customHeight="1" spans="2:14">
      <c r="B1621" s="33"/>
      <c r="C1621" s="60"/>
      <c r="D1621" s="60"/>
      <c r="E1621" s="60"/>
      <c r="F1621" s="60"/>
      <c r="G1621" s="60"/>
      <c r="H1621" s="60"/>
      <c r="I1621" s="60"/>
      <c r="J1621" s="60"/>
      <c r="K1621" s="60"/>
      <c r="L1621" s="60"/>
      <c r="M1621" s="64"/>
      <c r="N1621" s="33"/>
    </row>
    <row r="1622" ht="24" customHeight="1" spans="2:14">
      <c r="B1622" s="33"/>
      <c r="C1622" s="60"/>
      <c r="D1622" s="60"/>
      <c r="E1622" s="60"/>
      <c r="F1622" s="60"/>
      <c r="G1622" s="60"/>
      <c r="H1622" s="60"/>
      <c r="I1622" s="60"/>
      <c r="J1622" s="60"/>
      <c r="K1622" s="60"/>
      <c r="L1622" s="60"/>
      <c r="M1622" s="64"/>
      <c r="N1622" s="33"/>
    </row>
    <row r="1623" ht="24" customHeight="1" spans="2:14">
      <c r="B1623" s="33"/>
      <c r="C1623" s="60"/>
      <c r="D1623" s="60"/>
      <c r="E1623" s="60"/>
      <c r="F1623" s="60"/>
      <c r="G1623" s="60"/>
      <c r="H1623" s="60"/>
      <c r="I1623" s="60"/>
      <c r="J1623" s="60"/>
      <c r="K1623" s="60"/>
      <c r="L1623" s="60"/>
      <c r="M1623" s="64"/>
      <c r="N1623" s="33"/>
    </row>
    <row r="1624" ht="24" customHeight="1" spans="2:14">
      <c r="B1624" s="33"/>
      <c r="C1624" s="60"/>
      <c r="D1624" s="60"/>
      <c r="E1624" s="60"/>
      <c r="F1624" s="60"/>
      <c r="G1624" s="60"/>
      <c r="H1624" s="60"/>
      <c r="I1624" s="60"/>
      <c r="J1624" s="60"/>
      <c r="K1624" s="60"/>
      <c r="L1624" s="60"/>
      <c r="M1624" s="64"/>
      <c r="N1624" s="33"/>
    </row>
    <row r="1625" ht="24" customHeight="1" spans="2:14">
      <c r="B1625" s="33"/>
      <c r="C1625" s="60"/>
      <c r="D1625" s="60"/>
      <c r="E1625" s="60"/>
      <c r="F1625" s="60"/>
      <c r="G1625" s="60"/>
      <c r="H1625" s="60"/>
      <c r="I1625" s="60"/>
      <c r="J1625" s="60"/>
      <c r="K1625" s="60"/>
      <c r="L1625" s="60"/>
      <c r="M1625" s="64"/>
      <c r="N1625" s="33"/>
    </row>
    <row r="1626" ht="24" customHeight="1" spans="2:14">
      <c r="B1626" s="33"/>
      <c r="C1626" s="60"/>
      <c r="D1626" s="60"/>
      <c r="E1626" s="60"/>
      <c r="F1626" s="60"/>
      <c r="G1626" s="60"/>
      <c r="H1626" s="60"/>
      <c r="I1626" s="60"/>
      <c r="J1626" s="60"/>
      <c r="K1626" s="60"/>
      <c r="L1626" s="60"/>
      <c r="M1626" s="64"/>
      <c r="N1626" s="33"/>
    </row>
    <row r="1627" ht="24" customHeight="1" spans="2:14">
      <c r="B1627" s="33"/>
      <c r="C1627" s="60"/>
      <c r="D1627" s="60"/>
      <c r="E1627" s="60"/>
      <c r="F1627" s="60"/>
      <c r="G1627" s="60"/>
      <c r="H1627" s="60"/>
      <c r="I1627" s="60"/>
      <c r="J1627" s="60"/>
      <c r="K1627" s="60"/>
      <c r="L1627" s="60"/>
      <c r="M1627" s="64"/>
      <c r="N1627" s="33"/>
    </row>
    <row r="1628" ht="24" customHeight="1" spans="2:14">
      <c r="B1628" s="33"/>
      <c r="C1628" s="60"/>
      <c r="D1628" s="60"/>
      <c r="E1628" s="60"/>
      <c r="F1628" s="60"/>
      <c r="G1628" s="60"/>
      <c r="H1628" s="60"/>
      <c r="I1628" s="60"/>
      <c r="J1628" s="60"/>
      <c r="K1628" s="60"/>
      <c r="L1628" s="60"/>
      <c r="M1628" s="64"/>
      <c r="N1628" s="33"/>
    </row>
    <row r="1629" ht="24" customHeight="1" spans="2:14">
      <c r="B1629" s="33"/>
      <c r="C1629" s="60"/>
      <c r="D1629" s="60"/>
      <c r="E1629" s="60"/>
      <c r="F1629" s="60"/>
      <c r="G1629" s="60"/>
      <c r="H1629" s="60"/>
      <c r="I1629" s="60"/>
      <c r="J1629" s="60"/>
      <c r="K1629" s="60"/>
      <c r="L1629" s="60"/>
      <c r="M1629" s="64"/>
      <c r="N1629" s="33"/>
    </row>
    <row r="1630" ht="24" customHeight="1" spans="2:14">
      <c r="B1630" s="33"/>
      <c r="C1630" s="60"/>
      <c r="D1630" s="60"/>
      <c r="E1630" s="60"/>
      <c r="F1630" s="60"/>
      <c r="G1630" s="60"/>
      <c r="H1630" s="60"/>
      <c r="I1630" s="60"/>
      <c r="J1630" s="60"/>
      <c r="K1630" s="60"/>
      <c r="L1630" s="60"/>
      <c r="M1630" s="64"/>
      <c r="N1630" s="33"/>
    </row>
    <row r="1631" ht="24" customHeight="1" spans="2:14">
      <c r="B1631" s="33"/>
      <c r="C1631" s="60"/>
      <c r="D1631" s="60"/>
      <c r="E1631" s="60"/>
      <c r="F1631" s="60"/>
      <c r="G1631" s="60"/>
      <c r="H1631" s="60"/>
      <c r="I1631" s="60"/>
      <c r="J1631" s="60"/>
      <c r="K1631" s="60"/>
      <c r="L1631" s="60"/>
      <c r="M1631" s="64"/>
      <c r="N1631" s="33"/>
    </row>
    <row r="1632" ht="24" customHeight="1" spans="2:14">
      <c r="B1632" s="33"/>
      <c r="C1632" s="60"/>
      <c r="D1632" s="60"/>
      <c r="E1632" s="60"/>
      <c r="F1632" s="60"/>
      <c r="G1632" s="60"/>
      <c r="H1632" s="60"/>
      <c r="I1632" s="60"/>
      <c r="J1632" s="60"/>
      <c r="K1632" s="60"/>
      <c r="L1632" s="60"/>
      <c r="M1632" s="64"/>
      <c r="N1632" s="33"/>
    </row>
    <row r="1633" ht="24" customHeight="1" spans="2:14">
      <c r="B1633" s="33"/>
      <c r="C1633" s="60"/>
      <c r="D1633" s="60"/>
      <c r="E1633" s="60"/>
      <c r="F1633" s="60"/>
      <c r="G1633" s="60"/>
      <c r="H1633" s="60"/>
      <c r="I1633" s="60"/>
      <c r="J1633" s="60"/>
      <c r="K1633" s="60"/>
      <c r="L1633" s="60"/>
      <c r="M1633" s="64"/>
      <c r="N1633" s="33"/>
    </row>
    <row r="1634" ht="24" customHeight="1" spans="2:14">
      <c r="B1634" s="33"/>
      <c r="C1634" s="60"/>
      <c r="D1634" s="60"/>
      <c r="E1634" s="60"/>
      <c r="F1634" s="60"/>
      <c r="G1634" s="60"/>
      <c r="H1634" s="60"/>
      <c r="I1634" s="60"/>
      <c r="J1634" s="60"/>
      <c r="K1634" s="60"/>
      <c r="L1634" s="60"/>
      <c r="M1634" s="64"/>
      <c r="N1634" s="33"/>
    </row>
    <row r="1635" ht="24" customHeight="1" spans="2:14">
      <c r="B1635" s="33"/>
      <c r="C1635" s="60"/>
      <c r="D1635" s="60"/>
      <c r="E1635" s="60"/>
      <c r="F1635" s="60"/>
      <c r="G1635" s="60"/>
      <c r="H1635" s="60"/>
      <c r="I1635" s="60"/>
      <c r="J1635" s="60"/>
      <c r="K1635" s="60"/>
      <c r="L1635" s="60"/>
      <c r="M1635" s="64"/>
      <c r="N1635" s="33"/>
    </row>
    <row r="1636" ht="24" customHeight="1" spans="2:14">
      <c r="B1636" s="33"/>
      <c r="C1636" s="60"/>
      <c r="D1636" s="60"/>
      <c r="E1636" s="60"/>
      <c r="F1636" s="60"/>
      <c r="G1636" s="60"/>
      <c r="H1636" s="60"/>
      <c r="I1636" s="60"/>
      <c r="J1636" s="60"/>
      <c r="K1636" s="60"/>
      <c r="L1636" s="60"/>
      <c r="M1636" s="64"/>
      <c r="N1636" s="33"/>
    </row>
    <row r="1637" ht="24" customHeight="1" spans="2:14">
      <c r="B1637" s="33"/>
      <c r="C1637" s="60"/>
      <c r="D1637" s="60"/>
      <c r="E1637" s="60"/>
      <c r="F1637" s="60"/>
      <c r="G1637" s="60"/>
      <c r="H1637" s="60"/>
      <c r="I1637" s="60"/>
      <c r="J1637" s="60"/>
      <c r="K1637" s="60"/>
      <c r="L1637" s="60"/>
      <c r="M1637" s="64"/>
      <c r="N1637" s="33"/>
    </row>
    <row r="1638" ht="24" customHeight="1" spans="2:14">
      <c r="B1638" s="33"/>
      <c r="C1638" s="60"/>
      <c r="D1638" s="60"/>
      <c r="E1638" s="60"/>
      <c r="F1638" s="60"/>
      <c r="G1638" s="60"/>
      <c r="H1638" s="60"/>
      <c r="I1638" s="60"/>
      <c r="J1638" s="60"/>
      <c r="K1638" s="60"/>
      <c r="L1638" s="60"/>
      <c r="M1638" s="64"/>
      <c r="N1638" s="33"/>
    </row>
    <row r="1639" ht="24" customHeight="1" spans="2:14">
      <c r="B1639" s="33"/>
      <c r="C1639" s="60"/>
      <c r="D1639" s="60"/>
      <c r="E1639" s="60"/>
      <c r="F1639" s="60"/>
      <c r="G1639" s="60"/>
      <c r="H1639" s="60"/>
      <c r="I1639" s="60"/>
      <c r="J1639" s="60"/>
      <c r="K1639" s="60"/>
      <c r="L1639" s="60"/>
      <c r="M1639" s="64"/>
      <c r="N1639" s="33"/>
    </row>
    <row r="1640" ht="24" customHeight="1" spans="2:14">
      <c r="B1640" s="33"/>
      <c r="C1640" s="60"/>
      <c r="D1640" s="60"/>
      <c r="E1640" s="60"/>
      <c r="F1640" s="60"/>
      <c r="G1640" s="60"/>
      <c r="H1640" s="60"/>
      <c r="I1640" s="60"/>
      <c r="J1640" s="60"/>
      <c r="K1640" s="60"/>
      <c r="L1640" s="60"/>
      <c r="M1640" s="64"/>
      <c r="N1640" s="33"/>
    </row>
    <row r="1641" ht="24" customHeight="1" spans="2:14">
      <c r="B1641" s="33"/>
      <c r="C1641" s="60"/>
      <c r="D1641" s="60"/>
      <c r="E1641" s="60"/>
      <c r="F1641" s="60"/>
      <c r="G1641" s="60"/>
      <c r="H1641" s="60"/>
      <c r="I1641" s="60"/>
      <c r="J1641" s="60"/>
      <c r="K1641" s="60"/>
      <c r="L1641" s="60"/>
      <c r="M1641" s="64"/>
      <c r="N1641" s="33"/>
    </row>
    <row r="1642" ht="24" customHeight="1" spans="2:14">
      <c r="B1642" s="33"/>
      <c r="C1642" s="60"/>
      <c r="D1642" s="60"/>
      <c r="E1642" s="60"/>
      <c r="F1642" s="60"/>
      <c r="G1642" s="60"/>
      <c r="H1642" s="60"/>
      <c r="I1642" s="60"/>
      <c r="J1642" s="60"/>
      <c r="K1642" s="60"/>
      <c r="L1642" s="60"/>
      <c r="M1642" s="64"/>
      <c r="N1642" s="33"/>
    </row>
    <row r="1643" ht="24" customHeight="1" spans="2:14">
      <c r="B1643" s="33"/>
      <c r="C1643" s="60"/>
      <c r="D1643" s="60"/>
      <c r="E1643" s="60"/>
      <c r="F1643" s="60"/>
      <c r="G1643" s="60"/>
      <c r="H1643" s="60"/>
      <c r="I1643" s="60"/>
      <c r="J1643" s="60"/>
      <c r="K1643" s="60"/>
      <c r="L1643" s="60"/>
      <c r="M1643" s="64"/>
      <c r="N1643" s="33"/>
    </row>
    <row r="1644" ht="24" customHeight="1" spans="2:14">
      <c r="B1644" s="33"/>
      <c r="C1644" s="60"/>
      <c r="D1644" s="60"/>
      <c r="E1644" s="60"/>
      <c r="F1644" s="60"/>
      <c r="G1644" s="60"/>
      <c r="H1644" s="60"/>
      <c r="I1644" s="60"/>
      <c r="J1644" s="60"/>
      <c r="K1644" s="60"/>
      <c r="L1644" s="60"/>
      <c r="M1644" s="64"/>
      <c r="N1644" s="33"/>
    </row>
    <row r="1645" ht="24" customHeight="1" spans="2:14">
      <c r="B1645" s="33"/>
      <c r="C1645" s="60"/>
      <c r="D1645" s="60"/>
      <c r="E1645" s="60"/>
      <c r="F1645" s="60"/>
      <c r="G1645" s="60"/>
      <c r="H1645" s="60"/>
      <c r="I1645" s="60"/>
      <c r="J1645" s="60"/>
      <c r="K1645" s="60"/>
      <c r="L1645" s="60"/>
      <c r="M1645" s="64"/>
      <c r="N1645" s="33"/>
    </row>
    <row r="1646" ht="24" customHeight="1" spans="2:14">
      <c r="B1646" s="33"/>
      <c r="C1646" s="60"/>
      <c r="D1646" s="60"/>
      <c r="E1646" s="60"/>
      <c r="F1646" s="60"/>
      <c r="G1646" s="60"/>
      <c r="H1646" s="60"/>
      <c r="I1646" s="60"/>
      <c r="J1646" s="60"/>
      <c r="K1646" s="60"/>
      <c r="L1646" s="60"/>
      <c r="M1646" s="64"/>
      <c r="N1646" s="33"/>
    </row>
    <row r="1647" ht="24" customHeight="1" spans="2:14">
      <c r="B1647" s="33"/>
      <c r="C1647" s="60"/>
      <c r="D1647" s="60"/>
      <c r="E1647" s="60"/>
      <c r="F1647" s="60"/>
      <c r="G1647" s="60"/>
      <c r="H1647" s="60"/>
      <c r="I1647" s="60"/>
      <c r="J1647" s="60"/>
      <c r="K1647" s="60"/>
      <c r="L1647" s="60"/>
      <c r="M1647" s="64"/>
      <c r="N1647" s="33"/>
    </row>
    <row r="1648" ht="24" customHeight="1" spans="2:14">
      <c r="B1648" s="33"/>
      <c r="C1648" s="60"/>
      <c r="D1648" s="60"/>
      <c r="E1648" s="60"/>
      <c r="F1648" s="60"/>
      <c r="G1648" s="60"/>
      <c r="H1648" s="60"/>
      <c r="I1648" s="60"/>
      <c r="J1648" s="60"/>
      <c r="K1648" s="60"/>
      <c r="L1648" s="60"/>
      <c r="M1648" s="64"/>
      <c r="N1648" s="33"/>
    </row>
    <row r="1649" ht="24" customHeight="1" spans="2:14">
      <c r="B1649" s="33"/>
      <c r="C1649" s="60"/>
      <c r="D1649" s="60"/>
      <c r="E1649" s="60"/>
      <c r="F1649" s="60"/>
      <c r="G1649" s="60"/>
      <c r="H1649" s="60"/>
      <c r="I1649" s="60"/>
      <c r="J1649" s="60"/>
      <c r="K1649" s="60"/>
      <c r="L1649" s="60"/>
      <c r="M1649" s="64"/>
      <c r="N1649" s="33"/>
    </row>
    <row r="1650" ht="24" customHeight="1" spans="2:14">
      <c r="B1650" s="33"/>
      <c r="C1650" s="60"/>
      <c r="D1650" s="60"/>
      <c r="E1650" s="60"/>
      <c r="F1650" s="60"/>
      <c r="G1650" s="60"/>
      <c r="H1650" s="60"/>
      <c r="I1650" s="60"/>
      <c r="J1650" s="60"/>
      <c r="K1650" s="60"/>
      <c r="L1650" s="60"/>
      <c r="M1650" s="64"/>
      <c r="N1650" s="33"/>
    </row>
    <row r="1651" ht="24" customHeight="1" spans="2:14">
      <c r="B1651" s="33"/>
      <c r="C1651" s="60"/>
      <c r="D1651" s="60"/>
      <c r="E1651" s="60"/>
      <c r="F1651" s="60"/>
      <c r="G1651" s="60"/>
      <c r="H1651" s="60"/>
      <c r="I1651" s="60"/>
      <c r="J1651" s="60"/>
      <c r="K1651" s="60"/>
      <c r="L1651" s="60"/>
      <c r="M1651" s="64"/>
      <c r="N1651" s="33"/>
    </row>
    <row r="1652" ht="24" customHeight="1" spans="2:14">
      <c r="B1652" s="33"/>
      <c r="C1652" s="60"/>
      <c r="D1652" s="60"/>
      <c r="E1652" s="60"/>
      <c r="F1652" s="60"/>
      <c r="G1652" s="60"/>
      <c r="H1652" s="60"/>
      <c r="I1652" s="60"/>
      <c r="J1652" s="60"/>
      <c r="K1652" s="60"/>
      <c r="L1652" s="60"/>
      <c r="M1652" s="64"/>
      <c r="N1652" s="33"/>
    </row>
    <row r="1653" ht="24" customHeight="1" spans="2:14">
      <c r="B1653" s="33"/>
      <c r="C1653" s="60"/>
      <c r="D1653" s="60"/>
      <c r="E1653" s="60"/>
      <c r="F1653" s="60"/>
      <c r="G1653" s="60"/>
      <c r="H1653" s="60"/>
      <c r="I1653" s="60"/>
      <c r="J1653" s="60"/>
      <c r="K1653" s="60"/>
      <c r="L1653" s="60"/>
      <c r="M1653" s="64"/>
      <c r="N1653" s="33"/>
    </row>
    <row r="1654" ht="24" customHeight="1" spans="2:14">
      <c r="B1654" s="33"/>
      <c r="C1654" s="60"/>
      <c r="D1654" s="60"/>
      <c r="E1654" s="60"/>
      <c r="F1654" s="60"/>
      <c r="G1654" s="60"/>
      <c r="H1654" s="60"/>
      <c r="I1654" s="60"/>
      <c r="J1654" s="60"/>
      <c r="K1654" s="60"/>
      <c r="L1654" s="60"/>
      <c r="M1654" s="64"/>
      <c r="N1654" s="33"/>
    </row>
    <row r="1655" ht="24" customHeight="1" spans="2:14">
      <c r="B1655" s="33"/>
      <c r="C1655" s="60"/>
      <c r="D1655" s="60"/>
      <c r="E1655" s="60"/>
      <c r="F1655" s="60"/>
      <c r="G1655" s="60"/>
      <c r="H1655" s="60"/>
      <c r="I1655" s="60"/>
      <c r="J1655" s="60"/>
      <c r="K1655" s="60"/>
      <c r="L1655" s="60"/>
      <c r="M1655" s="64"/>
      <c r="N1655" s="33"/>
    </row>
    <row r="1656" ht="24" customHeight="1" spans="2:14">
      <c r="B1656" s="33"/>
      <c r="C1656" s="60"/>
      <c r="D1656" s="60"/>
      <c r="E1656" s="60"/>
      <c r="F1656" s="60"/>
      <c r="G1656" s="60"/>
      <c r="H1656" s="60"/>
      <c r="I1656" s="60"/>
      <c r="J1656" s="60"/>
      <c r="K1656" s="60"/>
      <c r="L1656" s="60"/>
      <c r="M1656" s="64"/>
      <c r="N1656" s="33"/>
    </row>
    <row r="1657" ht="24" customHeight="1" spans="2:14">
      <c r="B1657" s="33"/>
      <c r="C1657" s="60"/>
      <c r="D1657" s="60"/>
      <c r="E1657" s="60"/>
      <c r="F1657" s="60"/>
      <c r="G1657" s="60"/>
      <c r="H1657" s="60"/>
      <c r="I1657" s="60"/>
      <c r="J1657" s="60"/>
      <c r="K1657" s="60"/>
      <c r="L1657" s="60"/>
      <c r="M1657" s="64"/>
      <c r="N1657" s="33"/>
    </row>
    <row r="1658" ht="24" customHeight="1" spans="2:14">
      <c r="B1658" s="33"/>
      <c r="C1658" s="60"/>
      <c r="D1658" s="60"/>
      <c r="E1658" s="60"/>
      <c r="F1658" s="60"/>
      <c r="G1658" s="60"/>
      <c r="H1658" s="60"/>
      <c r="I1658" s="60"/>
      <c r="J1658" s="60"/>
      <c r="K1658" s="60"/>
      <c r="L1658" s="60"/>
      <c r="M1658" s="64"/>
      <c r="N1658" s="33"/>
    </row>
    <row r="1659" ht="24" customHeight="1" spans="2:14">
      <c r="B1659" s="33"/>
      <c r="C1659" s="60"/>
      <c r="D1659" s="60"/>
      <c r="E1659" s="60"/>
      <c r="F1659" s="60"/>
      <c r="G1659" s="60"/>
      <c r="H1659" s="60"/>
      <c r="I1659" s="60"/>
      <c r="J1659" s="60"/>
      <c r="K1659" s="60"/>
      <c r="L1659" s="60"/>
      <c r="M1659" s="64"/>
      <c r="N1659" s="33"/>
    </row>
    <row r="1660" ht="24" customHeight="1" spans="2:14">
      <c r="B1660" s="33"/>
      <c r="C1660" s="60"/>
      <c r="D1660" s="60"/>
      <c r="E1660" s="60"/>
      <c r="F1660" s="60"/>
      <c r="G1660" s="60"/>
      <c r="H1660" s="60"/>
      <c r="I1660" s="60"/>
      <c r="J1660" s="60"/>
      <c r="K1660" s="60"/>
      <c r="L1660" s="60"/>
      <c r="M1660" s="64"/>
      <c r="N1660" s="33"/>
    </row>
    <row r="1661" ht="24" customHeight="1" spans="2:14">
      <c r="B1661" s="33"/>
      <c r="C1661" s="60"/>
      <c r="D1661" s="60"/>
      <c r="E1661" s="60"/>
      <c r="F1661" s="60"/>
      <c r="G1661" s="60"/>
      <c r="H1661" s="60"/>
      <c r="I1661" s="60"/>
      <c r="J1661" s="60"/>
      <c r="K1661" s="60"/>
      <c r="L1661" s="60"/>
      <c r="M1661" s="64"/>
      <c r="N1661" s="33"/>
    </row>
    <row r="1662" ht="24" customHeight="1" spans="2:14">
      <c r="B1662" s="33"/>
      <c r="C1662" s="60"/>
      <c r="D1662" s="60"/>
      <c r="E1662" s="60"/>
      <c r="F1662" s="60"/>
      <c r="G1662" s="60"/>
      <c r="H1662" s="60"/>
      <c r="I1662" s="60"/>
      <c r="J1662" s="60"/>
      <c r="K1662" s="60"/>
      <c r="L1662" s="60"/>
      <c r="M1662" s="64"/>
      <c r="N1662" s="33"/>
    </row>
    <row r="1663" ht="24" customHeight="1" spans="2:14">
      <c r="B1663" s="33"/>
      <c r="C1663" s="60"/>
      <c r="D1663" s="60"/>
      <c r="E1663" s="60"/>
      <c r="F1663" s="60"/>
      <c r="G1663" s="60"/>
      <c r="H1663" s="60"/>
      <c r="I1663" s="60"/>
      <c r="J1663" s="60"/>
      <c r="K1663" s="60"/>
      <c r="L1663" s="60"/>
      <c r="M1663" s="64"/>
      <c r="N1663" s="33"/>
    </row>
    <row r="1664" ht="24" customHeight="1" spans="2:14">
      <c r="B1664" s="33"/>
      <c r="C1664" s="60"/>
      <c r="D1664" s="60"/>
      <c r="E1664" s="60"/>
      <c r="F1664" s="60"/>
      <c r="G1664" s="60"/>
      <c r="H1664" s="60"/>
      <c r="I1664" s="60"/>
      <c r="J1664" s="60"/>
      <c r="K1664" s="60"/>
      <c r="L1664" s="60"/>
      <c r="M1664" s="64"/>
      <c r="N1664" s="33"/>
    </row>
    <row r="1665" ht="24" customHeight="1" spans="2:14">
      <c r="B1665" s="33"/>
      <c r="C1665" s="60"/>
      <c r="D1665" s="60"/>
      <c r="E1665" s="60"/>
      <c r="F1665" s="60"/>
      <c r="G1665" s="60"/>
      <c r="H1665" s="60"/>
      <c r="I1665" s="60"/>
      <c r="J1665" s="60"/>
      <c r="K1665" s="60"/>
      <c r="L1665" s="60"/>
      <c r="M1665" s="64"/>
      <c r="N1665" s="33"/>
    </row>
    <row r="1666" ht="24" customHeight="1" spans="2:14">
      <c r="B1666" s="33"/>
      <c r="C1666" s="60"/>
      <c r="D1666" s="60"/>
      <c r="E1666" s="60"/>
      <c r="F1666" s="60"/>
      <c r="G1666" s="60"/>
      <c r="H1666" s="60"/>
      <c r="I1666" s="60"/>
      <c r="J1666" s="60"/>
      <c r="K1666" s="60"/>
      <c r="L1666" s="60"/>
      <c r="M1666" s="64"/>
      <c r="N1666" s="33"/>
    </row>
    <row r="1667" ht="24" customHeight="1" spans="2:14">
      <c r="B1667" s="33"/>
      <c r="C1667" s="60"/>
      <c r="D1667" s="60"/>
      <c r="E1667" s="60"/>
      <c r="F1667" s="60"/>
      <c r="G1667" s="60"/>
      <c r="H1667" s="60"/>
      <c r="I1667" s="60"/>
      <c r="J1667" s="60"/>
      <c r="K1667" s="60"/>
      <c r="L1667" s="60"/>
      <c r="M1667" s="64"/>
      <c r="N1667" s="33"/>
    </row>
    <row r="1668" ht="24" customHeight="1" spans="2:14">
      <c r="B1668" s="33"/>
      <c r="C1668" s="60"/>
      <c r="D1668" s="60"/>
      <c r="E1668" s="60"/>
      <c r="F1668" s="60"/>
      <c r="G1668" s="60"/>
      <c r="H1668" s="60"/>
      <c r="I1668" s="60"/>
      <c r="J1668" s="60"/>
      <c r="K1668" s="60"/>
      <c r="L1668" s="60"/>
      <c r="M1668" s="64"/>
      <c r="N1668" s="33"/>
    </row>
    <row r="1669" ht="24" customHeight="1" spans="2:14">
      <c r="B1669" s="33"/>
      <c r="C1669" s="60"/>
      <c r="D1669" s="60"/>
      <c r="E1669" s="60"/>
      <c r="F1669" s="60"/>
      <c r="G1669" s="60"/>
      <c r="H1669" s="60"/>
      <c r="I1669" s="60"/>
      <c r="J1669" s="60"/>
      <c r="K1669" s="60"/>
      <c r="L1669" s="60"/>
      <c r="M1669" s="64"/>
      <c r="N1669" s="33"/>
    </row>
    <row r="1670" ht="24" customHeight="1" spans="2:14">
      <c r="B1670" s="33"/>
      <c r="C1670" s="60"/>
      <c r="D1670" s="60"/>
      <c r="E1670" s="60"/>
      <c r="F1670" s="60"/>
      <c r="G1670" s="60"/>
      <c r="H1670" s="60"/>
      <c r="I1670" s="60"/>
      <c r="J1670" s="60"/>
      <c r="K1670" s="60"/>
      <c r="L1670" s="60"/>
      <c r="M1670" s="64"/>
      <c r="N1670" s="33"/>
    </row>
    <row r="1671" ht="24" customHeight="1" spans="2:14">
      <c r="B1671" s="33"/>
      <c r="C1671" s="60"/>
      <c r="D1671" s="60"/>
      <c r="E1671" s="60"/>
      <c r="F1671" s="60"/>
      <c r="G1671" s="60"/>
      <c r="H1671" s="60"/>
      <c r="I1671" s="60"/>
      <c r="J1671" s="60"/>
      <c r="K1671" s="60"/>
      <c r="L1671" s="60"/>
      <c r="M1671" s="64"/>
      <c r="N1671" s="33"/>
    </row>
    <row r="1672" ht="24" customHeight="1" spans="2:14">
      <c r="B1672" s="33"/>
      <c r="C1672" s="60"/>
      <c r="D1672" s="60"/>
      <c r="E1672" s="60"/>
      <c r="F1672" s="60"/>
      <c r="G1672" s="60"/>
      <c r="H1672" s="60"/>
      <c r="I1672" s="60"/>
      <c r="J1672" s="60"/>
      <c r="K1672" s="60"/>
      <c r="L1672" s="60"/>
      <c r="M1672" s="64"/>
      <c r="N1672" s="33"/>
    </row>
    <row r="1673" ht="24" customHeight="1" spans="2:14">
      <c r="B1673" s="33"/>
      <c r="C1673" s="60"/>
      <c r="D1673" s="60"/>
      <c r="E1673" s="60"/>
      <c r="F1673" s="60"/>
      <c r="G1673" s="60"/>
      <c r="H1673" s="60"/>
      <c r="I1673" s="60"/>
      <c r="J1673" s="60"/>
      <c r="K1673" s="60"/>
      <c r="L1673" s="60"/>
      <c r="M1673" s="64"/>
      <c r="N1673" s="33"/>
    </row>
    <row r="1674" ht="24" customHeight="1" spans="2:14">
      <c r="B1674" s="33"/>
      <c r="C1674" s="60"/>
      <c r="D1674" s="60"/>
      <c r="E1674" s="60"/>
      <c r="F1674" s="60"/>
      <c r="G1674" s="60"/>
      <c r="H1674" s="60"/>
      <c r="I1674" s="60"/>
      <c r="J1674" s="60"/>
      <c r="K1674" s="60"/>
      <c r="L1674" s="60"/>
      <c r="M1674" s="64"/>
      <c r="N1674" s="33"/>
    </row>
    <row r="1675" ht="24" customHeight="1" spans="2:14">
      <c r="B1675" s="33"/>
      <c r="C1675" s="60"/>
      <c r="D1675" s="60"/>
      <c r="E1675" s="60"/>
      <c r="F1675" s="60"/>
      <c r="G1675" s="60"/>
      <c r="H1675" s="60"/>
      <c r="I1675" s="60"/>
      <c r="J1675" s="60"/>
      <c r="K1675" s="60"/>
      <c r="L1675" s="60"/>
      <c r="M1675" s="64"/>
      <c r="N1675" s="33"/>
    </row>
    <row r="1676" ht="24" customHeight="1" spans="2:14">
      <c r="B1676" s="33"/>
      <c r="C1676" s="60"/>
      <c r="D1676" s="60"/>
      <c r="E1676" s="60"/>
      <c r="F1676" s="60"/>
      <c r="G1676" s="60"/>
      <c r="H1676" s="60"/>
      <c r="I1676" s="60"/>
      <c r="J1676" s="60"/>
      <c r="K1676" s="60"/>
      <c r="L1676" s="60"/>
      <c r="M1676" s="64"/>
      <c r="N1676" s="33"/>
    </row>
    <row r="1677" ht="24" customHeight="1" spans="2:14">
      <c r="B1677" s="33"/>
      <c r="C1677" s="60"/>
      <c r="D1677" s="60"/>
      <c r="E1677" s="60"/>
      <c r="F1677" s="60"/>
      <c r="G1677" s="60"/>
      <c r="H1677" s="60"/>
      <c r="I1677" s="60"/>
      <c r="J1677" s="60"/>
      <c r="K1677" s="60"/>
      <c r="L1677" s="60"/>
      <c r="M1677" s="64"/>
      <c r="N1677" s="33"/>
    </row>
    <row r="1678" ht="24" customHeight="1" spans="2:14">
      <c r="B1678" s="33"/>
      <c r="C1678" s="60"/>
      <c r="D1678" s="60"/>
      <c r="E1678" s="60"/>
      <c r="F1678" s="60"/>
      <c r="G1678" s="60"/>
      <c r="H1678" s="60"/>
      <c r="I1678" s="60"/>
      <c r="J1678" s="60"/>
      <c r="K1678" s="60"/>
      <c r="L1678" s="60"/>
      <c r="M1678" s="64"/>
      <c r="N1678" s="33"/>
    </row>
    <row r="1679" ht="24" customHeight="1" spans="2:14">
      <c r="B1679" s="33"/>
      <c r="C1679" s="60"/>
      <c r="D1679" s="60"/>
      <c r="E1679" s="60"/>
      <c r="F1679" s="60"/>
      <c r="G1679" s="60"/>
      <c r="H1679" s="60"/>
      <c r="I1679" s="60"/>
      <c r="J1679" s="60"/>
      <c r="K1679" s="60"/>
      <c r="L1679" s="60"/>
      <c r="M1679" s="64"/>
      <c r="N1679" s="33"/>
    </row>
    <row r="1680" ht="24" customHeight="1" spans="2:14">
      <c r="B1680" s="33"/>
      <c r="C1680" s="60"/>
      <c r="D1680" s="60"/>
      <c r="E1680" s="60"/>
      <c r="F1680" s="60"/>
      <c r="G1680" s="60"/>
      <c r="H1680" s="60"/>
      <c r="I1680" s="60"/>
      <c r="J1680" s="60"/>
      <c r="K1680" s="60"/>
      <c r="L1680" s="60"/>
      <c r="M1680" s="64"/>
      <c r="N1680" s="33"/>
    </row>
    <row r="1681" ht="24" customHeight="1" spans="2:14">
      <c r="B1681" s="33"/>
      <c r="C1681" s="60"/>
      <c r="D1681" s="60"/>
      <c r="E1681" s="60"/>
      <c r="F1681" s="60"/>
      <c r="G1681" s="60"/>
      <c r="H1681" s="60"/>
      <c r="I1681" s="60"/>
      <c r="J1681" s="60"/>
      <c r="K1681" s="60"/>
      <c r="L1681" s="60"/>
      <c r="M1681" s="64"/>
      <c r="N1681" s="33"/>
    </row>
    <row r="1682" ht="24" customHeight="1" spans="2:14">
      <c r="B1682" s="33"/>
      <c r="C1682" s="60"/>
      <c r="D1682" s="60"/>
      <c r="E1682" s="60"/>
      <c r="F1682" s="60"/>
      <c r="G1682" s="60"/>
      <c r="H1682" s="60"/>
      <c r="I1682" s="60"/>
      <c r="J1682" s="60"/>
      <c r="K1682" s="60"/>
      <c r="L1682" s="60"/>
      <c r="M1682" s="64"/>
      <c r="N1682" s="33"/>
    </row>
    <row r="1683" ht="24" customHeight="1" spans="2:14">
      <c r="B1683" s="33"/>
      <c r="C1683" s="60"/>
      <c r="D1683" s="60"/>
      <c r="E1683" s="60"/>
      <c r="F1683" s="60"/>
      <c r="G1683" s="60"/>
      <c r="H1683" s="60"/>
      <c r="I1683" s="60"/>
      <c r="J1683" s="60"/>
      <c r="K1683" s="60"/>
      <c r="L1683" s="60"/>
      <c r="M1683" s="64"/>
      <c r="N1683" s="33"/>
    </row>
    <row r="1684" ht="24" customHeight="1" spans="2:14">
      <c r="B1684" s="33"/>
      <c r="C1684" s="60"/>
      <c r="D1684" s="60"/>
      <c r="E1684" s="60"/>
      <c r="F1684" s="60"/>
      <c r="G1684" s="60"/>
      <c r="H1684" s="60"/>
      <c r="I1684" s="60"/>
      <c r="J1684" s="60"/>
      <c r="K1684" s="60"/>
      <c r="L1684" s="60"/>
      <c r="M1684" s="64"/>
      <c r="N1684" s="33"/>
    </row>
    <row r="1685" ht="24" customHeight="1" spans="2:14">
      <c r="B1685" s="33"/>
      <c r="C1685" s="60"/>
      <c r="D1685" s="60"/>
      <c r="E1685" s="60"/>
      <c r="F1685" s="60"/>
      <c r="G1685" s="60"/>
      <c r="H1685" s="60"/>
      <c r="I1685" s="60"/>
      <c r="J1685" s="60"/>
      <c r="K1685" s="60"/>
      <c r="L1685" s="60"/>
      <c r="M1685" s="64"/>
      <c r="N1685" s="33"/>
    </row>
    <row r="1686" ht="24" customHeight="1" spans="2:14">
      <c r="B1686" s="33"/>
      <c r="C1686" s="60"/>
      <c r="D1686" s="60"/>
      <c r="E1686" s="60"/>
      <c r="F1686" s="60"/>
      <c r="G1686" s="60"/>
      <c r="H1686" s="60"/>
      <c r="I1686" s="60"/>
      <c r="J1686" s="60"/>
      <c r="K1686" s="60"/>
      <c r="L1686" s="60"/>
      <c r="M1686" s="64"/>
      <c r="N1686" s="33"/>
    </row>
    <row r="1687" ht="24" customHeight="1" spans="2:14">
      <c r="B1687" s="33"/>
      <c r="C1687" s="60"/>
      <c r="D1687" s="60"/>
      <c r="E1687" s="60"/>
      <c r="F1687" s="60"/>
      <c r="G1687" s="60"/>
      <c r="H1687" s="60"/>
      <c r="I1687" s="60"/>
      <c r="J1687" s="60"/>
      <c r="K1687" s="60"/>
      <c r="L1687" s="60"/>
      <c r="M1687" s="64"/>
      <c r="N1687" s="33"/>
    </row>
    <row r="1688" ht="24" customHeight="1" spans="2:14">
      <c r="B1688" s="33"/>
      <c r="C1688" s="60"/>
      <c r="D1688" s="60"/>
      <c r="E1688" s="60"/>
      <c r="F1688" s="60"/>
      <c r="G1688" s="60"/>
      <c r="H1688" s="60"/>
      <c r="I1688" s="60"/>
      <c r="J1688" s="60"/>
      <c r="K1688" s="60"/>
      <c r="L1688" s="60"/>
      <c r="M1688" s="64"/>
      <c r="N1688" s="33"/>
    </row>
    <row r="1689" ht="24" customHeight="1" spans="2:14">
      <c r="B1689" s="33"/>
      <c r="C1689" s="60"/>
      <c r="D1689" s="60"/>
      <c r="E1689" s="60"/>
      <c r="F1689" s="60"/>
      <c r="G1689" s="60"/>
      <c r="H1689" s="60"/>
      <c r="I1689" s="60"/>
      <c r="J1689" s="60"/>
      <c r="K1689" s="60"/>
      <c r="L1689" s="60"/>
      <c r="M1689" s="64"/>
      <c r="N1689" s="33"/>
    </row>
    <row r="1690" ht="24" customHeight="1" spans="2:14">
      <c r="B1690" s="33"/>
      <c r="C1690" s="60"/>
      <c r="D1690" s="60"/>
      <c r="E1690" s="60"/>
      <c r="F1690" s="60"/>
      <c r="G1690" s="60"/>
      <c r="H1690" s="60"/>
      <c r="I1690" s="60"/>
      <c r="J1690" s="60"/>
      <c r="K1690" s="60"/>
      <c r="L1690" s="60"/>
      <c r="M1690" s="64"/>
      <c r="N1690" s="33"/>
    </row>
    <row r="1691" ht="24" customHeight="1" spans="2:14">
      <c r="B1691" s="33"/>
      <c r="C1691" s="60"/>
      <c r="D1691" s="60"/>
      <c r="E1691" s="60"/>
      <c r="F1691" s="60"/>
      <c r="G1691" s="60"/>
      <c r="H1691" s="60"/>
      <c r="I1691" s="60"/>
      <c r="J1691" s="60"/>
      <c r="K1691" s="60"/>
      <c r="L1691" s="60"/>
      <c r="M1691" s="64"/>
      <c r="N1691" s="33"/>
    </row>
    <row r="1692" ht="24" customHeight="1" spans="2:14">
      <c r="B1692" s="33"/>
      <c r="C1692" s="60"/>
      <c r="D1692" s="60"/>
      <c r="E1692" s="60"/>
      <c r="F1692" s="60"/>
      <c r="G1692" s="60"/>
      <c r="H1692" s="60"/>
      <c r="I1692" s="60"/>
      <c r="J1692" s="60"/>
      <c r="K1692" s="60"/>
      <c r="L1692" s="60"/>
      <c r="M1692" s="64"/>
      <c r="N1692" s="33"/>
    </row>
    <row r="1693" ht="24" customHeight="1" spans="2:14">
      <c r="B1693" s="33"/>
      <c r="C1693" s="60"/>
      <c r="D1693" s="60"/>
      <c r="E1693" s="60"/>
      <c r="F1693" s="60"/>
      <c r="G1693" s="60"/>
      <c r="H1693" s="60"/>
      <c r="I1693" s="60"/>
      <c r="J1693" s="60"/>
      <c r="K1693" s="60"/>
      <c r="L1693" s="60"/>
      <c r="M1693" s="64"/>
      <c r="N1693" s="33"/>
    </row>
    <row r="1694" ht="24" customHeight="1" spans="2:14">
      <c r="B1694" s="33"/>
      <c r="C1694" s="60"/>
      <c r="D1694" s="60"/>
      <c r="E1694" s="60"/>
      <c r="F1694" s="60"/>
      <c r="G1694" s="60"/>
      <c r="H1694" s="60"/>
      <c r="I1694" s="60"/>
      <c r="J1694" s="60"/>
      <c r="K1694" s="60"/>
      <c r="L1694" s="60"/>
      <c r="M1694" s="64"/>
      <c r="N1694" s="33"/>
    </row>
    <row r="1695" ht="24" customHeight="1" spans="2:14">
      <c r="B1695" s="33"/>
      <c r="C1695" s="60"/>
      <c r="D1695" s="60"/>
      <c r="E1695" s="60"/>
      <c r="F1695" s="60"/>
      <c r="G1695" s="60"/>
      <c r="H1695" s="60"/>
      <c r="I1695" s="60"/>
      <c r="J1695" s="60"/>
      <c r="K1695" s="60"/>
      <c r="L1695" s="60"/>
      <c r="M1695" s="64"/>
      <c r="N1695" s="33"/>
    </row>
    <row r="1696" ht="24" customHeight="1" spans="2:14">
      <c r="B1696" s="33"/>
      <c r="C1696" s="60"/>
      <c r="D1696" s="60"/>
      <c r="E1696" s="60"/>
      <c r="F1696" s="60"/>
      <c r="G1696" s="60"/>
      <c r="H1696" s="60"/>
      <c r="I1696" s="60"/>
      <c r="J1696" s="60"/>
      <c r="K1696" s="60"/>
      <c r="L1696" s="60"/>
      <c r="M1696" s="64"/>
      <c r="N1696" s="33"/>
    </row>
    <row r="1697" ht="24" customHeight="1" spans="2:14">
      <c r="B1697" s="33"/>
      <c r="C1697" s="60"/>
      <c r="D1697" s="60"/>
      <c r="E1697" s="60"/>
      <c r="F1697" s="60"/>
      <c r="G1697" s="60"/>
      <c r="H1697" s="60"/>
      <c r="I1697" s="60"/>
      <c r="J1697" s="60"/>
      <c r="K1697" s="60"/>
      <c r="L1697" s="60"/>
      <c r="M1697" s="64"/>
      <c r="N1697" s="33"/>
    </row>
    <row r="1698" ht="24" customHeight="1" spans="2:14">
      <c r="B1698" s="33"/>
      <c r="C1698" s="60"/>
      <c r="D1698" s="60"/>
      <c r="E1698" s="60"/>
      <c r="F1698" s="60"/>
      <c r="G1698" s="60"/>
      <c r="H1698" s="60"/>
      <c r="I1698" s="60"/>
      <c r="J1698" s="60"/>
      <c r="K1698" s="60"/>
      <c r="L1698" s="60"/>
      <c r="M1698" s="64"/>
      <c r="N1698" s="33"/>
    </row>
    <row r="1699" ht="24" customHeight="1" spans="2:14">
      <c r="B1699" s="33"/>
      <c r="C1699" s="60"/>
      <c r="D1699" s="60"/>
      <c r="E1699" s="60"/>
      <c r="F1699" s="60"/>
      <c r="G1699" s="60"/>
      <c r="H1699" s="60"/>
      <c r="I1699" s="60"/>
      <c r="J1699" s="60"/>
      <c r="K1699" s="60"/>
      <c r="L1699" s="60"/>
      <c r="M1699" s="64"/>
      <c r="N1699" s="33"/>
    </row>
    <row r="1700" ht="24" customHeight="1" spans="2:14">
      <c r="B1700" s="33"/>
      <c r="C1700" s="60"/>
      <c r="D1700" s="60"/>
      <c r="E1700" s="60"/>
      <c r="F1700" s="60"/>
      <c r="G1700" s="60"/>
      <c r="H1700" s="60"/>
      <c r="I1700" s="60"/>
      <c r="J1700" s="60"/>
      <c r="K1700" s="60"/>
      <c r="L1700" s="60"/>
      <c r="M1700" s="64"/>
      <c r="N1700" s="33"/>
    </row>
    <row r="1701" ht="24" customHeight="1" spans="2:14">
      <c r="B1701" s="33"/>
      <c r="C1701" s="60"/>
      <c r="D1701" s="60"/>
      <c r="E1701" s="60"/>
      <c r="F1701" s="60"/>
      <c r="G1701" s="60"/>
      <c r="H1701" s="60"/>
      <c r="I1701" s="60"/>
      <c r="J1701" s="60"/>
      <c r="K1701" s="60"/>
      <c r="L1701" s="60"/>
      <c r="M1701" s="64"/>
      <c r="N1701" s="33"/>
    </row>
    <row r="1702" ht="24" customHeight="1" spans="2:14">
      <c r="B1702" s="33"/>
      <c r="C1702" s="60"/>
      <c r="D1702" s="60"/>
      <c r="E1702" s="60"/>
      <c r="F1702" s="60"/>
      <c r="G1702" s="60"/>
      <c r="H1702" s="60"/>
      <c r="I1702" s="60"/>
      <c r="J1702" s="60"/>
      <c r="K1702" s="60"/>
      <c r="L1702" s="60"/>
      <c r="M1702" s="64"/>
      <c r="N1702" s="33"/>
    </row>
    <row r="1703" ht="24" customHeight="1" spans="2:14">
      <c r="B1703" s="33"/>
      <c r="C1703" s="60"/>
      <c r="D1703" s="60"/>
      <c r="E1703" s="60"/>
      <c r="F1703" s="60"/>
      <c r="G1703" s="60"/>
      <c r="H1703" s="60"/>
      <c r="I1703" s="60"/>
      <c r="J1703" s="60"/>
      <c r="K1703" s="60"/>
      <c r="L1703" s="60"/>
      <c r="M1703" s="64"/>
      <c r="N1703" s="33"/>
    </row>
    <row r="1704" ht="24" customHeight="1" spans="2:14">
      <c r="B1704" s="33"/>
      <c r="C1704" s="60"/>
      <c r="D1704" s="60"/>
      <c r="E1704" s="60"/>
      <c r="F1704" s="60"/>
      <c r="G1704" s="60"/>
      <c r="H1704" s="60"/>
      <c r="I1704" s="60"/>
      <c r="J1704" s="60"/>
      <c r="K1704" s="60"/>
      <c r="L1704" s="60"/>
      <c r="M1704" s="64"/>
      <c r="N1704" s="33"/>
    </row>
    <row r="1705" ht="24" customHeight="1" spans="2:14">
      <c r="B1705" s="33"/>
      <c r="C1705" s="60"/>
      <c r="D1705" s="60"/>
      <c r="E1705" s="60"/>
      <c r="F1705" s="60"/>
      <c r="G1705" s="60"/>
      <c r="H1705" s="60"/>
      <c r="I1705" s="60"/>
      <c r="J1705" s="60"/>
      <c r="K1705" s="60"/>
      <c r="L1705" s="60"/>
      <c r="M1705" s="64"/>
      <c r="N1705" s="33"/>
    </row>
    <row r="1706" ht="24" customHeight="1" spans="2:14">
      <c r="B1706" s="33"/>
      <c r="C1706" s="60"/>
      <c r="D1706" s="60"/>
      <c r="E1706" s="60"/>
      <c r="F1706" s="60"/>
      <c r="G1706" s="60"/>
      <c r="H1706" s="60"/>
      <c r="I1706" s="60"/>
      <c r="J1706" s="60"/>
      <c r="K1706" s="60"/>
      <c r="L1706" s="60"/>
      <c r="M1706" s="64"/>
      <c r="N1706" s="33"/>
    </row>
    <row r="1707" ht="24" customHeight="1" spans="2:14">
      <c r="B1707" s="33"/>
      <c r="C1707" s="60"/>
      <c r="D1707" s="60"/>
      <c r="E1707" s="60"/>
      <c r="F1707" s="60"/>
      <c r="G1707" s="60"/>
      <c r="H1707" s="60"/>
      <c r="I1707" s="60"/>
      <c r="J1707" s="60"/>
      <c r="K1707" s="60"/>
      <c r="L1707" s="60"/>
      <c r="M1707" s="64"/>
      <c r="N1707" s="33"/>
    </row>
    <row r="1708" ht="24" customHeight="1" spans="2:14">
      <c r="B1708" s="33"/>
      <c r="C1708" s="60"/>
      <c r="D1708" s="60"/>
      <c r="E1708" s="60"/>
      <c r="F1708" s="60"/>
      <c r="G1708" s="60"/>
      <c r="H1708" s="60"/>
      <c r="I1708" s="60"/>
      <c r="J1708" s="60"/>
      <c r="K1708" s="60"/>
      <c r="L1708" s="60"/>
      <c r="M1708" s="64"/>
      <c r="N1708" s="33"/>
    </row>
    <row r="1709" ht="24" customHeight="1" spans="2:14">
      <c r="B1709" s="33"/>
      <c r="C1709" s="60"/>
      <c r="D1709" s="60"/>
      <c r="E1709" s="60"/>
      <c r="F1709" s="60"/>
      <c r="G1709" s="60"/>
      <c r="H1709" s="60"/>
      <c r="I1709" s="60"/>
      <c r="J1709" s="60"/>
      <c r="K1709" s="60"/>
      <c r="L1709" s="60"/>
      <c r="M1709" s="64"/>
      <c r="N1709" s="33"/>
    </row>
    <row r="1710" ht="24" customHeight="1" spans="2:14">
      <c r="B1710" s="33"/>
      <c r="C1710" s="60"/>
      <c r="D1710" s="60"/>
      <c r="E1710" s="60"/>
      <c r="F1710" s="60"/>
      <c r="G1710" s="60"/>
      <c r="H1710" s="60"/>
      <c r="I1710" s="60"/>
      <c r="J1710" s="60"/>
      <c r="K1710" s="60"/>
      <c r="L1710" s="60"/>
      <c r="M1710" s="64"/>
      <c r="N1710" s="33"/>
    </row>
    <row r="1711" ht="24" customHeight="1" spans="2:14">
      <c r="B1711" s="33"/>
      <c r="C1711" s="60"/>
      <c r="D1711" s="60"/>
      <c r="E1711" s="60"/>
      <c r="F1711" s="60"/>
      <c r="G1711" s="60"/>
      <c r="H1711" s="60"/>
      <c r="I1711" s="60"/>
      <c r="J1711" s="60"/>
      <c r="K1711" s="60"/>
      <c r="L1711" s="60"/>
      <c r="M1711" s="64"/>
      <c r="N1711" s="33"/>
    </row>
    <row r="1712" ht="24" customHeight="1" spans="2:14">
      <c r="B1712" s="33"/>
      <c r="C1712" s="60"/>
      <c r="D1712" s="60"/>
      <c r="E1712" s="60"/>
      <c r="F1712" s="60"/>
      <c r="G1712" s="60"/>
      <c r="H1712" s="60"/>
      <c r="I1712" s="60"/>
      <c r="J1712" s="60"/>
      <c r="K1712" s="60"/>
      <c r="L1712" s="60"/>
      <c r="M1712" s="64"/>
      <c r="N1712" s="33"/>
    </row>
    <row r="1713" ht="24" customHeight="1" spans="2:14">
      <c r="B1713" s="33"/>
      <c r="C1713" s="60"/>
      <c r="D1713" s="60"/>
      <c r="E1713" s="60"/>
      <c r="F1713" s="60"/>
      <c r="G1713" s="60"/>
      <c r="H1713" s="60"/>
      <c r="I1713" s="60"/>
      <c r="J1713" s="60"/>
      <c r="K1713" s="60"/>
      <c r="L1713" s="60"/>
      <c r="M1713" s="64"/>
      <c r="N1713" s="33"/>
    </row>
    <row r="1714" ht="24" customHeight="1" spans="2:14">
      <c r="B1714" s="33"/>
      <c r="C1714" s="60"/>
      <c r="D1714" s="60"/>
      <c r="E1714" s="60"/>
      <c r="F1714" s="60"/>
      <c r="G1714" s="60"/>
      <c r="H1714" s="60"/>
      <c r="I1714" s="60"/>
      <c r="J1714" s="60"/>
      <c r="K1714" s="60"/>
      <c r="L1714" s="60"/>
      <c r="M1714" s="64"/>
      <c r="N1714" s="33"/>
    </row>
    <row r="1715" ht="24" customHeight="1" spans="2:14">
      <c r="B1715" s="33"/>
      <c r="C1715" s="60"/>
      <c r="D1715" s="60"/>
      <c r="E1715" s="60"/>
      <c r="F1715" s="60"/>
      <c r="G1715" s="60"/>
      <c r="H1715" s="60"/>
      <c r="I1715" s="60"/>
      <c r="J1715" s="60"/>
      <c r="K1715" s="60"/>
      <c r="L1715" s="60"/>
      <c r="M1715" s="64"/>
      <c r="N1715" s="33"/>
    </row>
    <row r="1716" ht="24" customHeight="1" spans="2:14">
      <c r="B1716" s="33"/>
      <c r="C1716" s="60"/>
      <c r="D1716" s="60"/>
      <c r="E1716" s="60"/>
      <c r="F1716" s="60"/>
      <c r="G1716" s="60"/>
      <c r="H1716" s="60"/>
      <c r="I1716" s="60"/>
      <c r="J1716" s="60"/>
      <c r="K1716" s="60"/>
      <c r="L1716" s="60"/>
      <c r="M1716" s="64"/>
      <c r="N1716" s="33"/>
    </row>
    <row r="1717" ht="24" customHeight="1" spans="2:14">
      <c r="B1717" s="33"/>
      <c r="C1717" s="60"/>
      <c r="D1717" s="60"/>
      <c r="E1717" s="60"/>
      <c r="F1717" s="60"/>
      <c r="G1717" s="60"/>
      <c r="H1717" s="60"/>
      <c r="I1717" s="60"/>
      <c r="J1717" s="60"/>
      <c r="K1717" s="60"/>
      <c r="L1717" s="60"/>
      <c r="M1717" s="64"/>
      <c r="N1717" s="33"/>
    </row>
    <row r="1718" ht="24" customHeight="1" spans="2:14">
      <c r="B1718" s="33"/>
      <c r="C1718" s="60"/>
      <c r="D1718" s="60"/>
      <c r="E1718" s="60"/>
      <c r="F1718" s="60"/>
      <c r="G1718" s="60"/>
      <c r="H1718" s="60"/>
      <c r="I1718" s="60"/>
      <c r="J1718" s="60"/>
      <c r="K1718" s="60"/>
      <c r="L1718" s="60"/>
      <c r="M1718" s="64"/>
      <c r="N1718" s="33"/>
    </row>
    <row r="1719" ht="24" customHeight="1" spans="2:14">
      <c r="B1719" s="33"/>
      <c r="C1719" s="60"/>
      <c r="D1719" s="60"/>
      <c r="E1719" s="60"/>
      <c r="F1719" s="60"/>
      <c r="G1719" s="60"/>
      <c r="H1719" s="60"/>
      <c r="I1719" s="60"/>
      <c r="J1719" s="60"/>
      <c r="K1719" s="60"/>
      <c r="L1719" s="60"/>
      <c r="M1719" s="64"/>
      <c r="N1719" s="33"/>
    </row>
    <row r="1720" ht="24" customHeight="1" spans="2:14">
      <c r="B1720" s="33"/>
      <c r="C1720" s="60"/>
      <c r="D1720" s="60"/>
      <c r="E1720" s="60"/>
      <c r="F1720" s="60"/>
      <c r="G1720" s="60"/>
      <c r="H1720" s="60"/>
      <c r="I1720" s="60"/>
      <c r="J1720" s="60"/>
      <c r="K1720" s="60"/>
      <c r="L1720" s="60"/>
      <c r="M1720" s="64"/>
      <c r="N1720" s="33"/>
    </row>
    <row r="1721" ht="24" customHeight="1" spans="2:14">
      <c r="B1721" s="33"/>
      <c r="C1721" s="60"/>
      <c r="D1721" s="60"/>
      <c r="E1721" s="60"/>
      <c r="F1721" s="60"/>
      <c r="G1721" s="60"/>
      <c r="H1721" s="60"/>
      <c r="I1721" s="60"/>
      <c r="J1721" s="60"/>
      <c r="K1721" s="60"/>
      <c r="L1721" s="60"/>
      <c r="M1721" s="64"/>
      <c r="N1721" s="33"/>
    </row>
    <row r="1722" ht="24" customHeight="1" spans="2:14">
      <c r="B1722" s="33"/>
      <c r="C1722" s="60"/>
      <c r="D1722" s="60"/>
      <c r="E1722" s="60"/>
      <c r="F1722" s="60"/>
      <c r="G1722" s="60"/>
      <c r="H1722" s="60"/>
      <c r="I1722" s="60"/>
      <c r="J1722" s="60"/>
      <c r="K1722" s="60"/>
      <c r="L1722" s="60"/>
      <c r="M1722" s="64"/>
      <c r="N1722" s="33"/>
    </row>
    <row r="1723" ht="24" customHeight="1" spans="2:14">
      <c r="B1723" s="33"/>
      <c r="C1723" s="60"/>
      <c r="D1723" s="60"/>
      <c r="E1723" s="60"/>
      <c r="F1723" s="60"/>
      <c r="G1723" s="60"/>
      <c r="H1723" s="60"/>
      <c r="I1723" s="60"/>
      <c r="J1723" s="60"/>
      <c r="K1723" s="60"/>
      <c r="L1723" s="60"/>
      <c r="M1723" s="64"/>
      <c r="N1723" s="33"/>
    </row>
    <row r="1724" ht="24" customHeight="1" spans="2:14">
      <c r="B1724" s="33"/>
      <c r="C1724" s="60"/>
      <c r="D1724" s="60"/>
      <c r="E1724" s="60"/>
      <c r="F1724" s="60"/>
      <c r="G1724" s="60"/>
      <c r="H1724" s="60"/>
      <c r="I1724" s="60"/>
      <c r="J1724" s="60"/>
      <c r="K1724" s="60"/>
      <c r="L1724" s="60"/>
      <c r="M1724" s="64"/>
      <c r="N1724" s="33"/>
    </row>
    <row r="1725" ht="24" customHeight="1" spans="2:14">
      <c r="B1725" s="33"/>
      <c r="C1725" s="60"/>
      <c r="D1725" s="60"/>
      <c r="E1725" s="60"/>
      <c r="F1725" s="60"/>
      <c r="G1725" s="60"/>
      <c r="H1725" s="60"/>
      <c r="I1725" s="60"/>
      <c r="J1725" s="60"/>
      <c r="K1725" s="60"/>
      <c r="L1725" s="60"/>
      <c r="M1725" s="64"/>
      <c r="N1725" s="33"/>
    </row>
    <row r="1726" ht="24" customHeight="1" spans="2:14">
      <c r="B1726" s="33"/>
      <c r="C1726" s="60"/>
      <c r="D1726" s="60"/>
      <c r="E1726" s="60"/>
      <c r="F1726" s="60"/>
      <c r="G1726" s="60"/>
      <c r="H1726" s="60"/>
      <c r="I1726" s="60"/>
      <c r="J1726" s="60"/>
      <c r="K1726" s="60"/>
      <c r="L1726" s="60"/>
      <c r="M1726" s="64"/>
      <c r="N1726" s="33"/>
    </row>
    <row r="1727" ht="24" customHeight="1" spans="2:14">
      <c r="B1727" s="33"/>
      <c r="C1727" s="60"/>
      <c r="D1727" s="60"/>
      <c r="E1727" s="60"/>
      <c r="F1727" s="60"/>
      <c r="G1727" s="60"/>
      <c r="H1727" s="60"/>
      <c r="I1727" s="60"/>
      <c r="J1727" s="60"/>
      <c r="K1727" s="60"/>
      <c r="L1727" s="60"/>
      <c r="M1727" s="64"/>
      <c r="N1727" s="33"/>
    </row>
    <row r="1728" ht="24" customHeight="1" spans="2:14">
      <c r="B1728" s="33"/>
      <c r="C1728" s="60"/>
      <c r="D1728" s="60"/>
      <c r="E1728" s="60"/>
      <c r="F1728" s="60"/>
      <c r="G1728" s="60"/>
      <c r="H1728" s="60"/>
      <c r="I1728" s="60"/>
      <c r="J1728" s="60"/>
      <c r="K1728" s="60"/>
      <c r="L1728" s="60"/>
      <c r="M1728" s="64"/>
      <c r="N1728" s="33"/>
    </row>
    <row r="1729" ht="24" customHeight="1" spans="2:14">
      <c r="B1729" s="33"/>
      <c r="C1729" s="60"/>
      <c r="D1729" s="60"/>
      <c r="E1729" s="60"/>
      <c r="F1729" s="60"/>
      <c r="G1729" s="60"/>
      <c r="H1729" s="60"/>
      <c r="I1729" s="60"/>
      <c r="J1729" s="60"/>
      <c r="K1729" s="60"/>
      <c r="L1729" s="60"/>
      <c r="M1729" s="64"/>
      <c r="N1729" s="33"/>
    </row>
    <row r="1730" ht="24" customHeight="1" spans="2:14">
      <c r="B1730" s="33"/>
      <c r="C1730" s="60"/>
      <c r="D1730" s="60"/>
      <c r="E1730" s="60"/>
      <c r="F1730" s="60"/>
      <c r="G1730" s="60"/>
      <c r="H1730" s="60"/>
      <c r="I1730" s="60"/>
      <c r="J1730" s="60"/>
      <c r="K1730" s="60"/>
      <c r="L1730" s="60"/>
      <c r="M1730" s="64"/>
      <c r="N1730" s="33"/>
    </row>
    <row r="1731" ht="24" customHeight="1" spans="2:14">
      <c r="B1731" s="33"/>
      <c r="C1731" s="60"/>
      <c r="D1731" s="60"/>
      <c r="E1731" s="60"/>
      <c r="F1731" s="60"/>
      <c r="G1731" s="60"/>
      <c r="H1731" s="60"/>
      <c r="I1731" s="60"/>
      <c r="J1731" s="60"/>
      <c r="K1731" s="60"/>
      <c r="L1731" s="60"/>
      <c r="M1731" s="64"/>
      <c r="N1731" s="33"/>
    </row>
    <row r="1732" ht="24" customHeight="1" spans="2:14">
      <c r="B1732" s="33"/>
      <c r="C1732" s="60"/>
      <c r="D1732" s="60"/>
      <c r="E1732" s="60"/>
      <c r="F1732" s="60"/>
      <c r="G1732" s="60"/>
      <c r="H1732" s="60"/>
      <c r="I1732" s="60"/>
      <c r="J1732" s="60"/>
      <c r="K1732" s="60"/>
      <c r="L1732" s="60"/>
      <c r="M1732" s="64"/>
      <c r="N1732" s="33"/>
    </row>
    <row r="1733" ht="24" customHeight="1" spans="2:14">
      <c r="B1733" s="33"/>
      <c r="C1733" s="60"/>
      <c r="D1733" s="60"/>
      <c r="E1733" s="60"/>
      <c r="F1733" s="60"/>
      <c r="G1733" s="60"/>
      <c r="H1733" s="60"/>
      <c r="I1733" s="60"/>
      <c r="J1733" s="60"/>
      <c r="K1733" s="60"/>
      <c r="L1733" s="60"/>
      <c r="M1733" s="64"/>
      <c r="N1733" s="33"/>
    </row>
    <row r="1734" ht="24" customHeight="1" spans="2:14">
      <c r="B1734" s="33"/>
      <c r="C1734" s="60"/>
      <c r="D1734" s="60"/>
      <c r="E1734" s="60"/>
      <c r="F1734" s="60"/>
      <c r="G1734" s="60"/>
      <c r="H1734" s="60"/>
      <c r="I1734" s="60"/>
      <c r="J1734" s="60"/>
      <c r="K1734" s="60"/>
      <c r="L1734" s="60"/>
      <c r="M1734" s="64"/>
      <c r="N1734" s="33"/>
    </row>
    <row r="1735" ht="24" customHeight="1" spans="2:14">
      <c r="B1735" s="33"/>
      <c r="C1735" s="60"/>
      <c r="D1735" s="60"/>
      <c r="E1735" s="60"/>
      <c r="F1735" s="60"/>
      <c r="G1735" s="60"/>
      <c r="H1735" s="60"/>
      <c r="I1735" s="60"/>
      <c r="J1735" s="60"/>
      <c r="K1735" s="60"/>
      <c r="L1735" s="60"/>
      <c r="M1735" s="64"/>
      <c r="N1735" s="33"/>
    </row>
    <row r="1736" ht="24" customHeight="1" spans="2:14">
      <c r="B1736" s="33"/>
      <c r="C1736" s="60"/>
      <c r="D1736" s="60"/>
      <c r="E1736" s="60"/>
      <c r="F1736" s="60"/>
      <c r="G1736" s="60"/>
      <c r="H1736" s="60"/>
      <c r="I1736" s="60"/>
      <c r="J1736" s="60"/>
      <c r="K1736" s="60"/>
      <c r="L1736" s="60"/>
      <c r="M1736" s="64"/>
      <c r="N1736" s="33"/>
    </row>
    <row r="1737" ht="24" customHeight="1" spans="2:14">
      <c r="B1737" s="33"/>
      <c r="C1737" s="60"/>
      <c r="D1737" s="60"/>
      <c r="E1737" s="60"/>
      <c r="F1737" s="60"/>
      <c r="G1737" s="60"/>
      <c r="H1737" s="60"/>
      <c r="I1737" s="60"/>
      <c r="J1737" s="60"/>
      <c r="K1737" s="60"/>
      <c r="L1737" s="60"/>
      <c r="M1737" s="64"/>
      <c r="N1737" s="33"/>
    </row>
    <row r="1738" ht="24" customHeight="1" spans="2:14">
      <c r="B1738" s="33"/>
      <c r="C1738" s="60"/>
      <c r="D1738" s="60"/>
      <c r="E1738" s="60"/>
      <c r="F1738" s="60"/>
      <c r="G1738" s="60"/>
      <c r="H1738" s="60"/>
      <c r="I1738" s="60"/>
      <c r="J1738" s="60"/>
      <c r="K1738" s="60"/>
      <c r="L1738" s="60"/>
      <c r="M1738" s="64"/>
      <c r="N1738" s="33"/>
    </row>
    <row r="1739" ht="24" customHeight="1" spans="2:14">
      <c r="B1739" s="33"/>
      <c r="C1739" s="60"/>
      <c r="D1739" s="60"/>
      <c r="E1739" s="60"/>
      <c r="F1739" s="60"/>
      <c r="G1739" s="60"/>
      <c r="H1739" s="60"/>
      <c r="I1739" s="60"/>
      <c r="J1739" s="60"/>
      <c r="K1739" s="60"/>
      <c r="L1739" s="60"/>
      <c r="M1739" s="64"/>
      <c r="N1739" s="33"/>
    </row>
    <row r="1740" ht="24" customHeight="1" spans="2:14">
      <c r="B1740" s="33"/>
      <c r="C1740" s="60"/>
      <c r="D1740" s="60"/>
      <c r="E1740" s="60"/>
      <c r="F1740" s="60"/>
      <c r="G1740" s="60"/>
      <c r="H1740" s="60"/>
      <c r="I1740" s="60"/>
      <c r="J1740" s="60"/>
      <c r="K1740" s="60"/>
      <c r="L1740" s="60"/>
      <c r="M1740" s="64"/>
      <c r="N1740" s="33"/>
    </row>
    <row r="1741" ht="24" customHeight="1" spans="2:14">
      <c r="B1741" s="33"/>
      <c r="C1741" s="60"/>
      <c r="D1741" s="60"/>
      <c r="E1741" s="60"/>
      <c r="F1741" s="60"/>
      <c r="G1741" s="60"/>
      <c r="H1741" s="60"/>
      <c r="I1741" s="60"/>
      <c r="J1741" s="60"/>
      <c r="K1741" s="60"/>
      <c r="L1741" s="60"/>
      <c r="M1741" s="64"/>
      <c r="N1741" s="33"/>
    </row>
    <row r="1742" ht="24" customHeight="1" spans="2:14">
      <c r="B1742" s="33"/>
      <c r="C1742" s="60"/>
      <c r="D1742" s="60"/>
      <c r="E1742" s="60"/>
      <c r="F1742" s="60"/>
      <c r="G1742" s="60"/>
      <c r="H1742" s="60"/>
      <c r="I1742" s="60"/>
      <c r="J1742" s="60"/>
      <c r="K1742" s="60"/>
      <c r="L1742" s="60"/>
      <c r="M1742" s="64"/>
      <c r="N1742" s="33"/>
    </row>
    <row r="1743" ht="24" customHeight="1" spans="2:14">
      <c r="B1743" s="33"/>
      <c r="C1743" s="60"/>
      <c r="D1743" s="60"/>
      <c r="E1743" s="60"/>
      <c r="F1743" s="60"/>
      <c r="G1743" s="60"/>
      <c r="H1743" s="60"/>
      <c r="I1743" s="60"/>
      <c r="J1743" s="60"/>
      <c r="K1743" s="60"/>
      <c r="L1743" s="60"/>
      <c r="M1743" s="64"/>
      <c r="N1743" s="33"/>
    </row>
    <row r="1744" ht="24" customHeight="1" spans="2:14">
      <c r="B1744" s="33"/>
      <c r="C1744" s="60"/>
      <c r="D1744" s="60"/>
      <c r="E1744" s="60"/>
      <c r="F1744" s="60"/>
      <c r="G1744" s="60"/>
      <c r="H1744" s="60"/>
      <c r="I1744" s="60"/>
      <c r="J1744" s="60"/>
      <c r="K1744" s="60"/>
      <c r="L1744" s="60"/>
      <c r="M1744" s="64"/>
      <c r="N1744" s="33"/>
    </row>
    <row r="1745" ht="24" customHeight="1" spans="2:14">
      <c r="B1745" s="33"/>
      <c r="C1745" s="60"/>
      <c r="D1745" s="60"/>
      <c r="E1745" s="60"/>
      <c r="F1745" s="60"/>
      <c r="G1745" s="60"/>
      <c r="H1745" s="60"/>
      <c r="I1745" s="60"/>
      <c r="J1745" s="60"/>
      <c r="K1745" s="60"/>
      <c r="L1745" s="60"/>
      <c r="M1745" s="64"/>
      <c r="N1745" s="33"/>
    </row>
    <row r="1746" ht="24" customHeight="1" spans="2:14">
      <c r="B1746" s="33"/>
      <c r="C1746" s="60"/>
      <c r="D1746" s="60"/>
      <c r="E1746" s="60"/>
      <c r="F1746" s="60"/>
      <c r="G1746" s="60"/>
      <c r="H1746" s="60"/>
      <c r="I1746" s="60"/>
      <c r="J1746" s="60"/>
      <c r="K1746" s="60"/>
      <c r="L1746" s="60"/>
      <c r="M1746" s="64"/>
      <c r="N1746" s="33"/>
    </row>
    <row r="1747" ht="24" customHeight="1" spans="2:14">
      <c r="B1747" s="33"/>
      <c r="C1747" s="60"/>
      <c r="D1747" s="60"/>
      <c r="E1747" s="60"/>
      <c r="F1747" s="60"/>
      <c r="G1747" s="60"/>
      <c r="H1747" s="60"/>
      <c r="I1747" s="60"/>
      <c r="J1747" s="60"/>
      <c r="K1747" s="60"/>
      <c r="L1747" s="60"/>
      <c r="M1747" s="64"/>
      <c r="N1747" s="33"/>
    </row>
    <row r="1748" ht="24" customHeight="1" spans="2:14">
      <c r="B1748" s="33"/>
      <c r="C1748" s="60"/>
      <c r="D1748" s="60"/>
      <c r="E1748" s="60"/>
      <c r="F1748" s="60"/>
      <c r="G1748" s="60"/>
      <c r="H1748" s="60"/>
      <c r="I1748" s="60"/>
      <c r="J1748" s="60"/>
      <c r="K1748" s="60"/>
      <c r="L1748" s="60"/>
      <c r="M1748" s="64"/>
      <c r="N1748" s="33"/>
    </row>
    <row r="1749" ht="24" customHeight="1" spans="2:14">
      <c r="B1749" s="33"/>
      <c r="C1749" s="60"/>
      <c r="D1749" s="60"/>
      <c r="E1749" s="60"/>
      <c r="F1749" s="60"/>
      <c r="G1749" s="60"/>
      <c r="H1749" s="60"/>
      <c r="I1749" s="60"/>
      <c r="J1749" s="60"/>
      <c r="K1749" s="60"/>
      <c r="L1749" s="60"/>
      <c r="M1749" s="64"/>
      <c r="N1749" s="33"/>
    </row>
    <row r="1750" ht="24" customHeight="1" spans="2:14">
      <c r="B1750" s="33"/>
      <c r="C1750" s="60"/>
      <c r="D1750" s="60"/>
      <c r="E1750" s="60"/>
      <c r="F1750" s="60"/>
      <c r="G1750" s="60"/>
      <c r="H1750" s="60"/>
      <c r="I1750" s="60"/>
      <c r="J1750" s="60"/>
      <c r="K1750" s="60"/>
      <c r="L1750" s="60"/>
      <c r="M1750" s="64"/>
      <c r="N1750" s="33"/>
    </row>
    <row r="1751" ht="24" customHeight="1" spans="2:14">
      <c r="B1751" s="33"/>
      <c r="C1751" s="60"/>
      <c r="D1751" s="60"/>
      <c r="E1751" s="60"/>
      <c r="F1751" s="60"/>
      <c r="G1751" s="60"/>
      <c r="H1751" s="60"/>
      <c r="I1751" s="60"/>
      <c r="J1751" s="60"/>
      <c r="K1751" s="60"/>
      <c r="L1751" s="60"/>
      <c r="M1751" s="64"/>
      <c r="N1751" s="33"/>
    </row>
    <row r="1752" ht="24" customHeight="1" spans="2:14">
      <c r="B1752" s="33"/>
      <c r="C1752" s="60"/>
      <c r="D1752" s="60"/>
      <c r="E1752" s="60"/>
      <c r="F1752" s="60"/>
      <c r="G1752" s="60"/>
      <c r="H1752" s="60"/>
      <c r="I1752" s="60"/>
      <c r="J1752" s="60"/>
      <c r="K1752" s="60"/>
      <c r="L1752" s="60"/>
      <c r="M1752" s="64"/>
      <c r="N1752" s="33"/>
    </row>
    <row r="1753" ht="24" customHeight="1" spans="2:14">
      <c r="B1753" s="33"/>
      <c r="C1753" s="60"/>
      <c r="D1753" s="60"/>
      <c r="E1753" s="60"/>
      <c r="F1753" s="60"/>
      <c r="G1753" s="60"/>
      <c r="H1753" s="60"/>
      <c r="I1753" s="60"/>
      <c r="J1753" s="60"/>
      <c r="K1753" s="60"/>
      <c r="L1753" s="60"/>
      <c r="M1753" s="64"/>
      <c r="N1753" s="33"/>
    </row>
    <row r="1754" ht="24" customHeight="1" spans="2:14">
      <c r="B1754" s="33"/>
      <c r="C1754" s="60"/>
      <c r="D1754" s="60"/>
      <c r="E1754" s="60"/>
      <c r="F1754" s="60"/>
      <c r="G1754" s="60"/>
      <c r="H1754" s="60"/>
      <c r="I1754" s="60"/>
      <c r="J1754" s="60"/>
      <c r="K1754" s="60"/>
      <c r="L1754" s="60"/>
      <c r="M1754" s="64"/>
      <c r="N1754" s="33"/>
    </row>
    <row r="1755" ht="24" customHeight="1" spans="2:14">
      <c r="B1755" s="33"/>
      <c r="C1755" s="60"/>
      <c r="D1755" s="60"/>
      <c r="E1755" s="60"/>
      <c r="F1755" s="60"/>
      <c r="G1755" s="60"/>
      <c r="H1755" s="60"/>
      <c r="I1755" s="60"/>
      <c r="J1755" s="60"/>
      <c r="K1755" s="60"/>
      <c r="L1755" s="60"/>
      <c r="M1755" s="64"/>
      <c r="N1755" s="33"/>
    </row>
    <row r="1756" ht="24" customHeight="1" spans="2:14">
      <c r="B1756" s="33"/>
      <c r="C1756" s="60"/>
      <c r="D1756" s="60"/>
      <c r="E1756" s="60"/>
      <c r="F1756" s="60"/>
      <c r="G1756" s="60"/>
      <c r="H1756" s="60"/>
      <c r="I1756" s="60"/>
      <c r="J1756" s="60"/>
      <c r="K1756" s="60"/>
      <c r="L1756" s="60"/>
      <c r="M1756" s="64"/>
      <c r="N1756" s="33"/>
    </row>
    <row r="1757" ht="24" customHeight="1" spans="2:14">
      <c r="B1757" s="33"/>
      <c r="C1757" s="60"/>
      <c r="D1757" s="60"/>
      <c r="E1757" s="60"/>
      <c r="F1757" s="60"/>
      <c r="G1757" s="60"/>
      <c r="H1757" s="60"/>
      <c r="I1757" s="60"/>
      <c r="J1757" s="60"/>
      <c r="K1757" s="60"/>
      <c r="L1757" s="60"/>
      <c r="M1757" s="64"/>
      <c r="N1757" s="33"/>
    </row>
    <row r="1758" ht="24" customHeight="1" spans="2:14">
      <c r="B1758" s="33"/>
      <c r="C1758" s="60"/>
      <c r="D1758" s="60"/>
      <c r="E1758" s="60"/>
      <c r="F1758" s="60"/>
      <c r="G1758" s="60"/>
      <c r="H1758" s="60"/>
      <c r="I1758" s="60"/>
      <c r="J1758" s="60"/>
      <c r="K1758" s="60"/>
      <c r="L1758" s="60"/>
      <c r="M1758" s="64"/>
      <c r="N1758" s="33"/>
    </row>
    <row r="1759" ht="24" customHeight="1" spans="2:14">
      <c r="B1759" s="33"/>
      <c r="C1759" s="60"/>
      <c r="D1759" s="60"/>
      <c r="E1759" s="60"/>
      <c r="F1759" s="60"/>
      <c r="G1759" s="60"/>
      <c r="H1759" s="60"/>
      <c r="I1759" s="60"/>
      <c r="J1759" s="60"/>
      <c r="K1759" s="60"/>
      <c r="L1759" s="60"/>
      <c r="M1759" s="64"/>
      <c r="N1759" s="33"/>
    </row>
    <row r="1760" ht="24" customHeight="1" spans="2:14">
      <c r="B1760" s="33"/>
      <c r="C1760" s="60"/>
      <c r="D1760" s="60"/>
      <c r="E1760" s="60"/>
      <c r="F1760" s="60"/>
      <c r="G1760" s="60"/>
      <c r="H1760" s="60"/>
      <c r="I1760" s="60"/>
      <c r="J1760" s="60"/>
      <c r="K1760" s="60"/>
      <c r="L1760" s="60"/>
      <c r="M1760" s="64"/>
      <c r="N1760" s="33"/>
    </row>
    <row r="1761" ht="24" customHeight="1" spans="2:14">
      <c r="B1761" s="33"/>
      <c r="C1761" s="60"/>
      <c r="D1761" s="60"/>
      <c r="E1761" s="60"/>
      <c r="F1761" s="60"/>
      <c r="G1761" s="60"/>
      <c r="H1761" s="60"/>
      <c r="I1761" s="60"/>
      <c r="J1761" s="60"/>
      <c r="K1761" s="60"/>
      <c r="L1761" s="60"/>
      <c r="M1761" s="64"/>
      <c r="N1761" s="33"/>
    </row>
    <row r="1762" ht="24" customHeight="1" spans="2:14">
      <c r="B1762" s="33"/>
      <c r="C1762" s="60"/>
      <c r="D1762" s="60"/>
      <c r="E1762" s="60"/>
      <c r="F1762" s="60"/>
      <c r="G1762" s="60"/>
      <c r="H1762" s="60"/>
      <c r="I1762" s="60"/>
      <c r="J1762" s="60"/>
      <c r="K1762" s="60"/>
      <c r="L1762" s="60"/>
      <c r="M1762" s="64"/>
      <c r="N1762" s="33"/>
    </row>
    <row r="1763" ht="24" customHeight="1" spans="2:14">
      <c r="B1763" s="33"/>
      <c r="C1763" s="60"/>
      <c r="D1763" s="60"/>
      <c r="E1763" s="60"/>
      <c r="F1763" s="60"/>
      <c r="G1763" s="60"/>
      <c r="H1763" s="60"/>
      <c r="I1763" s="60"/>
      <c r="J1763" s="60"/>
      <c r="K1763" s="60"/>
      <c r="L1763" s="60"/>
      <c r="M1763" s="64"/>
      <c r="N1763" s="33"/>
    </row>
    <row r="1764" ht="24" customHeight="1" spans="2:14">
      <c r="B1764" s="33"/>
      <c r="C1764" s="60"/>
      <c r="D1764" s="60"/>
      <c r="E1764" s="60"/>
      <c r="F1764" s="60"/>
      <c r="G1764" s="60"/>
      <c r="H1764" s="60"/>
      <c r="I1764" s="60"/>
      <c r="J1764" s="60"/>
      <c r="K1764" s="60"/>
      <c r="L1764" s="60"/>
      <c r="M1764" s="64"/>
      <c r="N1764" s="33"/>
    </row>
    <row r="1765" ht="24" customHeight="1" spans="2:14">
      <c r="B1765" s="33"/>
      <c r="C1765" s="60"/>
      <c r="D1765" s="60"/>
      <c r="E1765" s="60"/>
      <c r="F1765" s="60"/>
      <c r="G1765" s="60"/>
      <c r="H1765" s="60"/>
      <c r="I1765" s="60"/>
      <c r="J1765" s="60"/>
      <c r="K1765" s="60"/>
      <c r="L1765" s="60"/>
      <c r="M1765" s="64"/>
      <c r="N1765" s="33"/>
    </row>
    <row r="1766" ht="24" customHeight="1" spans="2:14">
      <c r="B1766" s="33"/>
      <c r="C1766" s="60"/>
      <c r="D1766" s="60"/>
      <c r="E1766" s="60"/>
      <c r="F1766" s="60"/>
      <c r="G1766" s="60"/>
      <c r="H1766" s="60"/>
      <c r="I1766" s="60"/>
      <c r="J1766" s="60"/>
      <c r="K1766" s="60"/>
      <c r="L1766" s="60"/>
      <c r="M1766" s="64"/>
      <c r="N1766" s="33"/>
    </row>
    <row r="1767" ht="24" customHeight="1" spans="2:14">
      <c r="B1767" s="33"/>
      <c r="C1767" s="60"/>
      <c r="D1767" s="60"/>
      <c r="E1767" s="60"/>
      <c r="F1767" s="60"/>
      <c r="G1767" s="60"/>
      <c r="H1767" s="60"/>
      <c r="I1767" s="60"/>
      <c r="J1767" s="60"/>
      <c r="K1767" s="60"/>
      <c r="L1767" s="60"/>
      <c r="M1767" s="64"/>
      <c r="N1767" s="33"/>
    </row>
    <row r="1768" ht="24" customHeight="1" spans="2:14">
      <c r="B1768" s="33"/>
      <c r="C1768" s="60"/>
      <c r="D1768" s="60"/>
      <c r="E1768" s="60"/>
      <c r="F1768" s="60"/>
      <c r="G1768" s="60"/>
      <c r="H1768" s="60"/>
      <c r="I1768" s="60"/>
      <c r="J1768" s="60"/>
      <c r="K1768" s="60"/>
      <c r="L1768" s="60"/>
      <c r="M1768" s="64"/>
      <c r="N1768" s="33"/>
    </row>
    <row r="1769" ht="24" customHeight="1" spans="2:14">
      <c r="B1769" s="33"/>
      <c r="C1769" s="60"/>
      <c r="D1769" s="60"/>
      <c r="E1769" s="60"/>
      <c r="F1769" s="60"/>
      <c r="G1769" s="60"/>
      <c r="H1769" s="60"/>
      <c r="I1769" s="60"/>
      <c r="J1769" s="60"/>
      <c r="K1769" s="60"/>
      <c r="L1769" s="60"/>
      <c r="M1769" s="64"/>
      <c r="N1769" s="33"/>
    </row>
    <row r="1770" ht="24" customHeight="1" spans="2:14">
      <c r="B1770" s="33"/>
      <c r="C1770" s="60"/>
      <c r="D1770" s="60"/>
      <c r="E1770" s="60"/>
      <c r="F1770" s="60"/>
      <c r="G1770" s="60"/>
      <c r="H1770" s="60"/>
      <c r="I1770" s="60"/>
      <c r="J1770" s="60"/>
      <c r="K1770" s="60"/>
      <c r="L1770" s="60"/>
      <c r="M1770" s="64"/>
      <c r="N1770" s="33"/>
    </row>
    <row r="1771" ht="24" customHeight="1" spans="2:14">
      <c r="B1771" s="33"/>
      <c r="C1771" s="60"/>
      <c r="D1771" s="60"/>
      <c r="E1771" s="60"/>
      <c r="F1771" s="60"/>
      <c r="G1771" s="60"/>
      <c r="H1771" s="60"/>
      <c r="I1771" s="60"/>
      <c r="J1771" s="60"/>
      <c r="K1771" s="60"/>
      <c r="L1771" s="60"/>
      <c r="M1771" s="64"/>
      <c r="N1771" s="33"/>
    </row>
    <row r="1772" ht="24" customHeight="1" spans="2:14">
      <c r="B1772" s="33"/>
      <c r="C1772" s="60"/>
      <c r="D1772" s="60"/>
      <c r="E1772" s="60"/>
      <c r="F1772" s="60"/>
      <c r="G1772" s="60"/>
      <c r="H1772" s="60"/>
      <c r="I1772" s="60"/>
      <c r="J1772" s="60"/>
      <c r="K1772" s="60"/>
      <c r="L1772" s="60"/>
      <c r="M1772" s="64"/>
      <c r="N1772" s="33"/>
    </row>
    <row r="1773" ht="24" customHeight="1" spans="2:14">
      <c r="B1773" s="33"/>
      <c r="C1773" s="60"/>
      <c r="D1773" s="60"/>
      <c r="E1773" s="60"/>
      <c r="F1773" s="60"/>
      <c r="G1773" s="60"/>
      <c r="H1773" s="60"/>
      <c r="I1773" s="60"/>
      <c r="J1773" s="60"/>
      <c r="K1773" s="60"/>
      <c r="L1773" s="60"/>
      <c r="M1773" s="64"/>
      <c r="N1773" s="33"/>
    </row>
    <row r="1774" ht="24" customHeight="1" spans="2:14">
      <c r="B1774" s="33"/>
      <c r="C1774" s="60"/>
      <c r="D1774" s="60"/>
      <c r="E1774" s="60"/>
      <c r="F1774" s="60"/>
      <c r="G1774" s="60"/>
      <c r="H1774" s="60"/>
      <c r="I1774" s="60"/>
      <c r="J1774" s="60"/>
      <c r="K1774" s="60"/>
      <c r="L1774" s="60"/>
      <c r="M1774" s="64"/>
      <c r="N1774" s="33"/>
    </row>
    <row r="1775" ht="24" customHeight="1" spans="2:14">
      <c r="B1775" s="33"/>
      <c r="C1775" s="60"/>
      <c r="D1775" s="60"/>
      <c r="E1775" s="60"/>
      <c r="F1775" s="60"/>
      <c r="G1775" s="60"/>
      <c r="H1775" s="60"/>
      <c r="I1775" s="60"/>
      <c r="J1775" s="60"/>
      <c r="K1775" s="60"/>
      <c r="L1775" s="60"/>
      <c r="M1775" s="64"/>
      <c r="N1775" s="33"/>
    </row>
    <row r="1776" ht="24" customHeight="1" spans="2:14">
      <c r="B1776" s="33"/>
      <c r="C1776" s="60"/>
      <c r="D1776" s="60"/>
      <c r="E1776" s="60"/>
      <c r="F1776" s="60"/>
      <c r="G1776" s="60"/>
      <c r="H1776" s="60"/>
      <c r="I1776" s="60"/>
      <c r="J1776" s="60"/>
      <c r="K1776" s="60"/>
      <c r="L1776" s="60"/>
      <c r="M1776" s="64"/>
      <c r="N1776" s="33"/>
    </row>
    <row r="1777" ht="24" customHeight="1" spans="2:14">
      <c r="B1777" s="33"/>
      <c r="C1777" s="60"/>
      <c r="D1777" s="60"/>
      <c r="E1777" s="60"/>
      <c r="F1777" s="60"/>
      <c r="G1777" s="60"/>
      <c r="H1777" s="60"/>
      <c r="I1777" s="60"/>
      <c r="J1777" s="60"/>
      <c r="K1777" s="60"/>
      <c r="L1777" s="60"/>
      <c r="M1777" s="64"/>
      <c r="N1777" s="33"/>
    </row>
    <row r="1778" ht="24" customHeight="1" spans="2:14">
      <c r="B1778" s="33"/>
      <c r="C1778" s="60"/>
      <c r="D1778" s="60"/>
      <c r="E1778" s="60"/>
      <c r="F1778" s="60"/>
      <c r="G1778" s="60"/>
      <c r="H1778" s="60"/>
      <c r="I1778" s="60"/>
      <c r="J1778" s="60"/>
      <c r="K1778" s="60"/>
      <c r="L1778" s="60"/>
      <c r="M1778" s="64"/>
      <c r="N1778" s="33"/>
    </row>
    <row r="1779" ht="24" customHeight="1" spans="2:14">
      <c r="B1779" s="33"/>
      <c r="C1779" s="60"/>
      <c r="D1779" s="60"/>
      <c r="E1779" s="60"/>
      <c r="F1779" s="60"/>
      <c r="G1779" s="60"/>
      <c r="H1779" s="60"/>
      <c r="I1779" s="60"/>
      <c r="J1779" s="60"/>
      <c r="K1779" s="60"/>
      <c r="L1779" s="60"/>
      <c r="M1779" s="64"/>
      <c r="N1779" s="33"/>
    </row>
    <row r="1780" ht="24" customHeight="1" spans="2:14">
      <c r="B1780" s="33"/>
      <c r="C1780" s="60"/>
      <c r="D1780" s="60"/>
      <c r="E1780" s="60"/>
      <c r="F1780" s="60"/>
      <c r="G1780" s="60"/>
      <c r="H1780" s="60"/>
      <c r="I1780" s="60"/>
      <c r="J1780" s="60"/>
      <c r="K1780" s="60"/>
      <c r="L1780" s="60"/>
      <c r="M1780" s="64"/>
      <c r="N1780" s="33"/>
    </row>
    <row r="1781" ht="24" customHeight="1" spans="2:14">
      <c r="B1781" s="33"/>
      <c r="C1781" s="60"/>
      <c r="D1781" s="60"/>
      <c r="E1781" s="60"/>
      <c r="F1781" s="60"/>
      <c r="G1781" s="60"/>
      <c r="H1781" s="60"/>
      <c r="I1781" s="60"/>
      <c r="J1781" s="60"/>
      <c r="K1781" s="60"/>
      <c r="L1781" s="60"/>
      <c r="M1781" s="64"/>
      <c r="N1781" s="33"/>
    </row>
    <row r="1782" ht="24" customHeight="1" spans="2:14">
      <c r="B1782" s="33"/>
      <c r="C1782" s="60"/>
      <c r="D1782" s="60"/>
      <c r="E1782" s="60"/>
      <c r="F1782" s="60"/>
      <c r="G1782" s="60"/>
      <c r="H1782" s="60"/>
      <c r="I1782" s="60"/>
      <c r="J1782" s="60"/>
      <c r="K1782" s="60"/>
      <c r="L1782" s="60"/>
      <c r="M1782" s="64"/>
      <c r="N1782" s="33"/>
    </row>
    <row r="1783" ht="24" customHeight="1" spans="2:14">
      <c r="B1783" s="33"/>
      <c r="C1783" s="60"/>
      <c r="D1783" s="60"/>
      <c r="E1783" s="60"/>
      <c r="F1783" s="60"/>
      <c r="G1783" s="60"/>
      <c r="H1783" s="60"/>
      <c r="I1783" s="60"/>
      <c r="J1783" s="60"/>
      <c r="K1783" s="60"/>
      <c r="L1783" s="60"/>
      <c r="M1783" s="64"/>
      <c r="N1783" s="33"/>
    </row>
    <row r="1784" ht="24" customHeight="1" spans="2:14">
      <c r="B1784" s="33"/>
      <c r="C1784" s="60"/>
      <c r="D1784" s="60"/>
      <c r="E1784" s="60"/>
      <c r="F1784" s="60"/>
      <c r="G1784" s="60"/>
      <c r="H1784" s="60"/>
      <c r="I1784" s="60"/>
      <c r="J1784" s="60"/>
      <c r="K1784" s="60"/>
      <c r="L1784" s="60"/>
      <c r="M1784" s="64"/>
      <c r="N1784" s="33"/>
    </row>
    <row r="1785" ht="24" customHeight="1" spans="2:14">
      <c r="B1785" s="33"/>
      <c r="C1785" s="60"/>
      <c r="D1785" s="60"/>
      <c r="E1785" s="60"/>
      <c r="F1785" s="60"/>
      <c r="G1785" s="60"/>
      <c r="H1785" s="60"/>
      <c r="I1785" s="60"/>
      <c r="J1785" s="60"/>
      <c r="K1785" s="60"/>
      <c r="L1785" s="60"/>
      <c r="M1785" s="64"/>
      <c r="N1785" s="33"/>
    </row>
    <row r="1786" ht="24" customHeight="1" spans="2:14">
      <c r="B1786" s="33"/>
      <c r="C1786" s="60"/>
      <c r="D1786" s="60"/>
      <c r="E1786" s="60"/>
      <c r="F1786" s="60"/>
      <c r="G1786" s="60"/>
      <c r="H1786" s="60"/>
      <c r="I1786" s="60"/>
      <c r="J1786" s="60"/>
      <c r="K1786" s="60"/>
      <c r="L1786" s="60"/>
      <c r="M1786" s="64"/>
      <c r="N1786" s="33"/>
    </row>
    <row r="1787" ht="24" customHeight="1" spans="2:14">
      <c r="B1787" s="33"/>
      <c r="C1787" s="60"/>
      <c r="D1787" s="60"/>
      <c r="E1787" s="60"/>
      <c r="F1787" s="60"/>
      <c r="G1787" s="60"/>
      <c r="H1787" s="60"/>
      <c r="I1787" s="60"/>
      <c r="J1787" s="60"/>
      <c r="K1787" s="60"/>
      <c r="L1787" s="60"/>
      <c r="M1787" s="64"/>
      <c r="N1787" s="33"/>
    </row>
    <row r="1788" ht="24" customHeight="1" spans="2:14">
      <c r="B1788" s="33"/>
      <c r="C1788" s="60"/>
      <c r="D1788" s="60"/>
      <c r="E1788" s="60"/>
      <c r="F1788" s="60"/>
      <c r="G1788" s="60"/>
      <c r="H1788" s="60"/>
      <c r="I1788" s="60"/>
      <c r="J1788" s="60"/>
      <c r="K1788" s="60"/>
      <c r="L1788" s="60"/>
      <c r="M1788" s="64"/>
      <c r="N1788" s="33"/>
    </row>
    <row r="1789" ht="24" customHeight="1" spans="2:14">
      <c r="B1789" s="33"/>
      <c r="C1789" s="60"/>
      <c r="D1789" s="60"/>
      <c r="E1789" s="60"/>
      <c r="F1789" s="60"/>
      <c r="G1789" s="60"/>
      <c r="H1789" s="60"/>
      <c r="I1789" s="60"/>
      <c r="J1789" s="60"/>
      <c r="K1789" s="60"/>
      <c r="L1789" s="60"/>
      <c r="M1789" s="64"/>
      <c r="N1789" s="33"/>
    </row>
    <row r="1790" ht="24" customHeight="1" spans="2:14">
      <c r="B1790" s="33"/>
      <c r="C1790" s="60"/>
      <c r="D1790" s="60"/>
      <c r="E1790" s="60"/>
      <c r="F1790" s="60"/>
      <c r="G1790" s="60"/>
      <c r="H1790" s="60"/>
      <c r="I1790" s="60"/>
      <c r="J1790" s="60"/>
      <c r="K1790" s="60"/>
      <c r="L1790" s="60"/>
      <c r="M1790" s="64"/>
      <c r="N1790" s="33"/>
    </row>
    <row r="1791" ht="24" customHeight="1" spans="2:14">
      <c r="B1791" s="33"/>
      <c r="C1791" s="60"/>
      <c r="D1791" s="60"/>
      <c r="E1791" s="60"/>
      <c r="F1791" s="60"/>
      <c r="G1791" s="60"/>
      <c r="H1791" s="60"/>
      <c r="I1791" s="60"/>
      <c r="J1791" s="60"/>
      <c r="K1791" s="60"/>
      <c r="L1791" s="60"/>
      <c r="M1791" s="64"/>
      <c r="N1791" s="33"/>
    </row>
    <row r="1792" ht="24" customHeight="1" spans="2:14">
      <c r="B1792" s="33"/>
      <c r="C1792" s="60"/>
      <c r="D1792" s="60"/>
      <c r="E1792" s="60"/>
      <c r="F1792" s="60"/>
      <c r="G1792" s="60"/>
      <c r="H1792" s="60"/>
      <c r="I1792" s="60"/>
      <c r="J1792" s="60"/>
      <c r="K1792" s="60"/>
      <c r="L1792" s="60"/>
      <c r="M1792" s="64"/>
      <c r="N1792" s="33"/>
    </row>
    <row r="1793" ht="24" customHeight="1" spans="2:14">
      <c r="B1793" s="33"/>
      <c r="C1793" s="60"/>
      <c r="D1793" s="60"/>
      <c r="E1793" s="60"/>
      <c r="F1793" s="60"/>
      <c r="G1793" s="60"/>
      <c r="H1793" s="60"/>
      <c r="I1793" s="60"/>
      <c r="J1793" s="60"/>
      <c r="K1793" s="60"/>
      <c r="L1793" s="60"/>
      <c r="M1793" s="64"/>
      <c r="N1793" s="33"/>
    </row>
    <row r="1794" ht="24" customHeight="1" spans="2:14">
      <c r="B1794" s="33"/>
      <c r="C1794" s="60"/>
      <c r="D1794" s="60"/>
      <c r="E1794" s="60"/>
      <c r="F1794" s="60"/>
      <c r="G1794" s="60"/>
      <c r="H1794" s="60"/>
      <c r="I1794" s="60"/>
      <c r="J1794" s="60"/>
      <c r="K1794" s="60"/>
      <c r="L1794" s="60"/>
      <c r="M1794" s="64"/>
      <c r="N1794" s="33"/>
    </row>
    <row r="1795" ht="24" customHeight="1" spans="2:14">
      <c r="B1795" s="33"/>
      <c r="C1795" s="60"/>
      <c r="D1795" s="60"/>
      <c r="E1795" s="60"/>
      <c r="F1795" s="60"/>
      <c r="G1795" s="60"/>
      <c r="H1795" s="60"/>
      <c r="I1795" s="60"/>
      <c r="J1795" s="60"/>
      <c r="K1795" s="60"/>
      <c r="L1795" s="60"/>
      <c r="M1795" s="64"/>
      <c r="N1795" s="33"/>
    </row>
    <row r="1796" ht="24" customHeight="1" spans="2:14">
      <c r="B1796" s="33"/>
      <c r="C1796" s="60"/>
      <c r="D1796" s="60"/>
      <c r="E1796" s="60"/>
      <c r="F1796" s="60"/>
      <c r="G1796" s="60"/>
      <c r="H1796" s="60"/>
      <c r="I1796" s="60"/>
      <c r="J1796" s="60"/>
      <c r="K1796" s="60"/>
      <c r="L1796" s="60"/>
      <c r="M1796" s="64"/>
      <c r="N1796" s="33"/>
    </row>
    <row r="1797" ht="24" customHeight="1" spans="2:14">
      <c r="B1797" s="33"/>
      <c r="C1797" s="60"/>
      <c r="D1797" s="60"/>
      <c r="E1797" s="60"/>
      <c r="F1797" s="60"/>
      <c r="G1797" s="60"/>
      <c r="H1797" s="60"/>
      <c r="I1797" s="60"/>
      <c r="J1797" s="60"/>
      <c r="K1797" s="60"/>
      <c r="L1797" s="60"/>
      <c r="M1797" s="64"/>
      <c r="N1797" s="33"/>
    </row>
    <row r="1798" ht="24" customHeight="1" spans="2:14">
      <c r="B1798" s="33"/>
      <c r="C1798" s="60"/>
      <c r="D1798" s="60"/>
      <c r="E1798" s="60"/>
      <c r="F1798" s="60"/>
      <c r="G1798" s="60"/>
      <c r="H1798" s="60"/>
      <c r="I1798" s="60"/>
      <c r="J1798" s="60"/>
      <c r="K1798" s="60"/>
      <c r="L1798" s="60"/>
      <c r="M1798" s="64"/>
      <c r="N1798" s="33"/>
    </row>
    <row r="1799" ht="24" customHeight="1" spans="2:14">
      <c r="B1799" s="33"/>
      <c r="C1799" s="60"/>
      <c r="D1799" s="60"/>
      <c r="E1799" s="60"/>
      <c r="F1799" s="60"/>
      <c r="G1799" s="60"/>
      <c r="H1799" s="60"/>
      <c r="I1799" s="60"/>
      <c r="J1799" s="60"/>
      <c r="K1799" s="60"/>
      <c r="L1799" s="60"/>
      <c r="M1799" s="64"/>
      <c r="N1799" s="33"/>
    </row>
    <row r="1800" ht="24" customHeight="1" spans="2:14">
      <c r="B1800" s="33"/>
      <c r="C1800" s="60"/>
      <c r="D1800" s="60"/>
      <c r="E1800" s="60"/>
      <c r="F1800" s="60"/>
      <c r="G1800" s="60"/>
      <c r="H1800" s="60"/>
      <c r="I1800" s="60"/>
      <c r="J1800" s="60"/>
      <c r="K1800" s="60"/>
      <c r="L1800" s="60"/>
      <c r="M1800" s="64"/>
      <c r="N1800" s="33"/>
    </row>
    <row r="1801" ht="24" customHeight="1" spans="2:14">
      <c r="B1801" s="33"/>
      <c r="C1801" s="60"/>
      <c r="D1801" s="60"/>
      <c r="E1801" s="60"/>
      <c r="F1801" s="60"/>
      <c r="G1801" s="60"/>
      <c r="H1801" s="60"/>
      <c r="I1801" s="60"/>
      <c r="J1801" s="60"/>
      <c r="K1801" s="60"/>
      <c r="L1801" s="60"/>
      <c r="M1801" s="64"/>
      <c r="N1801" s="33"/>
    </row>
    <row r="1802" ht="24" customHeight="1" spans="2:14">
      <c r="B1802" s="33"/>
      <c r="C1802" s="60"/>
      <c r="D1802" s="60"/>
      <c r="E1802" s="60"/>
      <c r="F1802" s="60"/>
      <c r="G1802" s="60"/>
      <c r="H1802" s="60"/>
      <c r="I1802" s="60"/>
      <c r="J1802" s="60"/>
      <c r="K1802" s="60"/>
      <c r="L1802" s="60"/>
      <c r="M1802" s="64"/>
      <c r="N1802" s="33"/>
    </row>
    <row r="1803" ht="24" customHeight="1" spans="2:14">
      <c r="B1803" s="33"/>
      <c r="C1803" s="60"/>
      <c r="D1803" s="60"/>
      <c r="E1803" s="60"/>
      <c r="F1803" s="60"/>
      <c r="G1803" s="60"/>
      <c r="H1803" s="60"/>
      <c r="I1803" s="60"/>
      <c r="J1803" s="60"/>
      <c r="K1803" s="60"/>
      <c r="L1803" s="60"/>
      <c r="M1803" s="64"/>
      <c r="N1803" s="33"/>
    </row>
    <row r="1804" ht="24" customHeight="1" spans="2:14">
      <c r="B1804" s="33"/>
      <c r="C1804" s="60"/>
      <c r="D1804" s="60"/>
      <c r="E1804" s="60"/>
      <c r="F1804" s="60"/>
      <c r="G1804" s="60"/>
      <c r="H1804" s="60"/>
      <c r="I1804" s="60"/>
      <c r="J1804" s="60"/>
      <c r="K1804" s="60"/>
      <c r="L1804" s="60"/>
      <c r="M1804" s="64"/>
      <c r="N1804" s="33"/>
    </row>
    <row r="1805" ht="24" customHeight="1" spans="2:14">
      <c r="B1805" s="33"/>
      <c r="C1805" s="60"/>
      <c r="D1805" s="60"/>
      <c r="E1805" s="60"/>
      <c r="F1805" s="60"/>
      <c r="G1805" s="60"/>
      <c r="H1805" s="60"/>
      <c r="I1805" s="60"/>
      <c r="J1805" s="60"/>
      <c r="K1805" s="60"/>
      <c r="L1805" s="60"/>
      <c r="M1805" s="64"/>
      <c r="N1805" s="33"/>
    </row>
    <row r="1806" ht="24" customHeight="1" spans="2:14">
      <c r="B1806" s="33"/>
      <c r="C1806" s="60"/>
      <c r="D1806" s="60"/>
      <c r="E1806" s="60"/>
      <c r="F1806" s="60"/>
      <c r="G1806" s="60"/>
      <c r="H1806" s="60"/>
      <c r="I1806" s="60"/>
      <c r="J1806" s="60"/>
      <c r="K1806" s="60"/>
      <c r="L1806" s="60"/>
      <c r="M1806" s="64"/>
      <c r="N1806" s="33"/>
    </row>
    <row r="1807" ht="24" customHeight="1" spans="2:14">
      <c r="B1807" s="33"/>
      <c r="C1807" s="60"/>
      <c r="D1807" s="60"/>
      <c r="E1807" s="60"/>
      <c r="F1807" s="60"/>
      <c r="G1807" s="60"/>
      <c r="H1807" s="60"/>
      <c r="I1807" s="60"/>
      <c r="J1807" s="60"/>
      <c r="K1807" s="60"/>
      <c r="L1807" s="60"/>
      <c r="M1807" s="64"/>
      <c r="N1807" s="33"/>
    </row>
    <row r="1808" ht="24" customHeight="1" spans="2:14">
      <c r="B1808" s="33"/>
      <c r="C1808" s="60"/>
      <c r="D1808" s="60"/>
      <c r="E1808" s="60"/>
      <c r="F1808" s="60"/>
      <c r="G1808" s="60"/>
      <c r="H1808" s="60"/>
      <c r="I1808" s="60"/>
      <c r="J1808" s="60"/>
      <c r="K1808" s="60"/>
      <c r="L1808" s="60"/>
      <c r="M1808" s="64"/>
      <c r="N1808" s="33"/>
    </row>
    <row r="1809" ht="24" customHeight="1" spans="2:14">
      <c r="B1809" s="33"/>
      <c r="C1809" s="60"/>
      <c r="D1809" s="60"/>
      <c r="E1809" s="60"/>
      <c r="F1809" s="60"/>
      <c r="G1809" s="60"/>
      <c r="H1809" s="60"/>
      <c r="I1809" s="60"/>
      <c r="J1809" s="60"/>
      <c r="K1809" s="60"/>
      <c r="L1809" s="60"/>
      <c r="M1809" s="64"/>
      <c r="N1809" s="33"/>
    </row>
    <row r="1810" ht="24" customHeight="1" spans="2:14">
      <c r="B1810" s="33"/>
      <c r="C1810" s="60"/>
      <c r="D1810" s="60"/>
      <c r="E1810" s="60"/>
      <c r="F1810" s="60"/>
      <c r="G1810" s="60"/>
      <c r="H1810" s="60"/>
      <c r="I1810" s="60"/>
      <c r="J1810" s="60"/>
      <c r="K1810" s="60"/>
      <c r="L1810" s="60"/>
      <c r="M1810" s="64"/>
      <c r="N1810" s="33"/>
    </row>
    <row r="1811" ht="24" customHeight="1" spans="2:14">
      <c r="B1811" s="33"/>
      <c r="C1811" s="60"/>
      <c r="D1811" s="60"/>
      <c r="E1811" s="60"/>
      <c r="F1811" s="60"/>
      <c r="G1811" s="60"/>
      <c r="H1811" s="60"/>
      <c r="I1811" s="60"/>
      <c r="J1811" s="60"/>
      <c r="K1811" s="60"/>
      <c r="L1811" s="60"/>
      <c r="M1811" s="64"/>
      <c r="N1811" s="33"/>
    </row>
    <row r="1812" ht="24" customHeight="1" spans="2:14">
      <c r="B1812" s="33"/>
      <c r="C1812" s="60"/>
      <c r="D1812" s="60"/>
      <c r="E1812" s="60"/>
      <c r="F1812" s="60"/>
      <c r="G1812" s="60"/>
      <c r="H1812" s="60"/>
      <c r="I1812" s="60"/>
      <c r="J1812" s="60"/>
      <c r="K1812" s="60"/>
      <c r="L1812" s="60"/>
      <c r="M1812" s="64"/>
      <c r="N1812" s="33"/>
    </row>
    <row r="1813" ht="24" customHeight="1" spans="2:14">
      <c r="B1813" s="33"/>
      <c r="C1813" s="60"/>
      <c r="D1813" s="60"/>
      <c r="E1813" s="60"/>
      <c r="F1813" s="60"/>
      <c r="G1813" s="60"/>
      <c r="H1813" s="60"/>
      <c r="I1813" s="60"/>
      <c r="J1813" s="60"/>
      <c r="K1813" s="60"/>
      <c r="L1813" s="60"/>
      <c r="M1813" s="64"/>
      <c r="N1813" s="33"/>
    </row>
    <row r="1814" ht="24" customHeight="1" spans="2:14">
      <c r="B1814" s="33"/>
      <c r="C1814" s="60"/>
      <c r="D1814" s="60"/>
      <c r="E1814" s="60"/>
      <c r="F1814" s="60"/>
      <c r="G1814" s="60"/>
      <c r="H1814" s="60"/>
      <c r="I1814" s="60"/>
      <c r="J1814" s="60"/>
      <c r="K1814" s="60"/>
      <c r="L1814" s="60"/>
      <c r="M1814" s="64"/>
      <c r="N1814" s="33"/>
    </row>
    <row r="1815" ht="24" customHeight="1" spans="2:14">
      <c r="B1815" s="33"/>
      <c r="C1815" s="60"/>
      <c r="D1815" s="60"/>
      <c r="E1815" s="60"/>
      <c r="F1815" s="60"/>
      <c r="G1815" s="60"/>
      <c r="H1815" s="60"/>
      <c r="I1815" s="60"/>
      <c r="J1815" s="60"/>
      <c r="K1815" s="60"/>
      <c r="L1815" s="60"/>
      <c r="M1815" s="64"/>
      <c r="N1815" s="33"/>
    </row>
    <row r="1816" ht="24" customHeight="1" spans="2:14">
      <c r="B1816" s="33"/>
      <c r="C1816" s="60"/>
      <c r="D1816" s="60"/>
      <c r="E1816" s="60"/>
      <c r="F1816" s="60"/>
      <c r="G1816" s="60"/>
      <c r="H1816" s="60"/>
      <c r="I1816" s="60"/>
      <c r="J1816" s="60"/>
      <c r="K1816" s="60"/>
      <c r="L1816" s="60"/>
      <c r="M1816" s="64"/>
      <c r="N1816" s="33"/>
    </row>
    <row r="1817" ht="24" customHeight="1" spans="2:14">
      <c r="B1817" s="33"/>
      <c r="C1817" s="60"/>
      <c r="D1817" s="60"/>
      <c r="E1817" s="60"/>
      <c r="F1817" s="60"/>
      <c r="G1817" s="60"/>
      <c r="H1817" s="60"/>
      <c r="I1817" s="60"/>
      <c r="J1817" s="60"/>
      <c r="K1817" s="60"/>
      <c r="L1817" s="60"/>
      <c r="M1817" s="64"/>
      <c r="N1817" s="33"/>
    </row>
    <row r="1818" ht="24" customHeight="1" spans="2:14">
      <c r="B1818" s="33"/>
      <c r="C1818" s="60"/>
      <c r="D1818" s="60"/>
      <c r="E1818" s="60"/>
      <c r="F1818" s="60"/>
      <c r="G1818" s="60"/>
      <c r="H1818" s="60"/>
      <c r="I1818" s="60"/>
      <c r="J1818" s="60"/>
      <c r="K1818" s="60"/>
      <c r="L1818" s="60"/>
      <c r="M1818" s="64"/>
      <c r="N1818" s="33"/>
    </row>
    <row r="1819" ht="24" customHeight="1" spans="2:14">
      <c r="B1819" s="33"/>
      <c r="C1819" s="60"/>
      <c r="D1819" s="60"/>
      <c r="E1819" s="60"/>
      <c r="F1819" s="60"/>
      <c r="G1819" s="60"/>
      <c r="H1819" s="60"/>
      <c r="I1819" s="60"/>
      <c r="J1819" s="60"/>
      <c r="K1819" s="60"/>
      <c r="L1819" s="60"/>
      <c r="M1819" s="64"/>
      <c r="N1819" s="33"/>
    </row>
    <row r="1820" ht="24" customHeight="1" spans="2:14">
      <c r="B1820" s="33"/>
      <c r="C1820" s="60"/>
      <c r="D1820" s="60"/>
      <c r="E1820" s="60"/>
      <c r="F1820" s="60"/>
      <c r="G1820" s="60"/>
      <c r="H1820" s="60"/>
      <c r="I1820" s="60"/>
      <c r="J1820" s="60"/>
      <c r="K1820" s="60"/>
      <c r="L1820" s="60"/>
      <c r="M1820" s="64"/>
      <c r="N1820" s="33"/>
    </row>
    <row r="1821" ht="24" customHeight="1" spans="2:14">
      <c r="B1821" s="33"/>
      <c r="C1821" s="60"/>
      <c r="D1821" s="60"/>
      <c r="E1821" s="60"/>
      <c r="F1821" s="60"/>
      <c r="G1821" s="60"/>
      <c r="H1821" s="60"/>
      <c r="I1821" s="60"/>
      <c r="J1821" s="60"/>
      <c r="K1821" s="60"/>
      <c r="L1821" s="60"/>
      <c r="M1821" s="64"/>
      <c r="N1821" s="33"/>
    </row>
    <row r="1822" ht="24" customHeight="1" spans="2:14">
      <c r="B1822" s="33"/>
      <c r="C1822" s="60"/>
      <c r="D1822" s="60"/>
      <c r="E1822" s="60"/>
      <c r="F1822" s="60"/>
      <c r="G1822" s="60"/>
      <c r="H1822" s="60"/>
      <c r="I1822" s="60"/>
      <c r="J1822" s="60"/>
      <c r="K1822" s="60"/>
      <c r="L1822" s="60"/>
      <c r="M1822" s="64"/>
      <c r="N1822" s="33"/>
    </row>
    <row r="1823" ht="24" customHeight="1" spans="2:14">
      <c r="B1823" s="33"/>
      <c r="C1823" s="60"/>
      <c r="D1823" s="60"/>
      <c r="E1823" s="60"/>
      <c r="F1823" s="60"/>
      <c r="G1823" s="60"/>
      <c r="H1823" s="60"/>
      <c r="I1823" s="60"/>
      <c r="J1823" s="60"/>
      <c r="K1823" s="60"/>
      <c r="L1823" s="60"/>
      <c r="M1823" s="64"/>
      <c r="N1823" s="33"/>
    </row>
    <row r="1824" ht="24" customHeight="1" spans="2:14">
      <c r="B1824" s="33"/>
      <c r="C1824" s="60"/>
      <c r="D1824" s="60"/>
      <c r="E1824" s="60"/>
      <c r="F1824" s="60"/>
      <c r="G1824" s="60"/>
      <c r="H1824" s="60"/>
      <c r="I1824" s="60"/>
      <c r="J1824" s="60"/>
      <c r="K1824" s="60"/>
      <c r="L1824" s="60"/>
      <c r="M1824" s="64"/>
      <c r="N1824" s="33"/>
    </row>
    <row r="1825" ht="24" customHeight="1" spans="2:14">
      <c r="B1825" s="33"/>
      <c r="C1825" s="60"/>
      <c r="D1825" s="60"/>
      <c r="E1825" s="60"/>
      <c r="F1825" s="60"/>
      <c r="G1825" s="60"/>
      <c r="H1825" s="60"/>
      <c r="I1825" s="60"/>
      <c r="J1825" s="60"/>
      <c r="K1825" s="60"/>
      <c r="L1825" s="60"/>
      <c r="M1825" s="64"/>
      <c r="N1825" s="33"/>
    </row>
    <row r="1826" ht="24" customHeight="1" spans="2:14">
      <c r="B1826" s="33"/>
      <c r="C1826" s="60"/>
      <c r="D1826" s="60"/>
      <c r="E1826" s="60"/>
      <c r="F1826" s="60"/>
      <c r="G1826" s="60"/>
      <c r="H1826" s="60"/>
      <c r="I1826" s="60"/>
      <c r="J1826" s="60"/>
      <c r="K1826" s="60"/>
      <c r="L1826" s="60"/>
      <c r="M1826" s="64"/>
      <c r="N1826" s="33"/>
    </row>
    <row r="1827" ht="24" customHeight="1" spans="2:14">
      <c r="B1827" s="33"/>
      <c r="C1827" s="60"/>
      <c r="D1827" s="60"/>
      <c r="E1827" s="60"/>
      <c r="F1827" s="60"/>
      <c r="G1827" s="60"/>
      <c r="H1827" s="60"/>
      <c r="I1827" s="60"/>
      <c r="J1827" s="60"/>
      <c r="K1827" s="60"/>
      <c r="L1827" s="60"/>
      <c r="M1827" s="64"/>
      <c r="N1827" s="33"/>
    </row>
    <row r="1828" ht="24" customHeight="1" spans="2:14">
      <c r="B1828" s="33"/>
      <c r="C1828" s="60"/>
      <c r="D1828" s="60"/>
      <c r="E1828" s="60"/>
      <c r="F1828" s="60"/>
      <c r="G1828" s="60"/>
      <c r="H1828" s="60"/>
      <c r="I1828" s="60"/>
      <c r="J1828" s="60"/>
      <c r="K1828" s="60"/>
      <c r="L1828" s="60"/>
      <c r="M1828" s="64"/>
      <c r="N1828" s="33"/>
    </row>
    <row r="1829" ht="24" customHeight="1" spans="2:14">
      <c r="B1829" s="33"/>
      <c r="C1829" s="60"/>
      <c r="D1829" s="60"/>
      <c r="E1829" s="60"/>
      <c r="F1829" s="60"/>
      <c r="G1829" s="60"/>
      <c r="H1829" s="60"/>
      <c r="I1829" s="60"/>
      <c r="J1829" s="60"/>
      <c r="K1829" s="60"/>
      <c r="L1829" s="60"/>
      <c r="M1829" s="64"/>
      <c r="N1829" s="33"/>
    </row>
    <row r="1830" ht="24" customHeight="1" spans="2:14">
      <c r="B1830" s="33"/>
      <c r="C1830" s="60"/>
      <c r="D1830" s="60"/>
      <c r="E1830" s="60"/>
      <c r="F1830" s="60"/>
      <c r="G1830" s="60"/>
      <c r="H1830" s="60"/>
      <c r="I1830" s="60"/>
      <c r="J1830" s="60"/>
      <c r="K1830" s="60"/>
      <c r="L1830" s="60"/>
      <c r="M1830" s="64"/>
      <c r="N1830" s="33"/>
    </row>
    <row r="1831" ht="24" customHeight="1" spans="2:14">
      <c r="B1831" s="33"/>
      <c r="C1831" s="60"/>
      <c r="D1831" s="60"/>
      <c r="E1831" s="60"/>
      <c r="F1831" s="60"/>
      <c r="G1831" s="60"/>
      <c r="H1831" s="60"/>
      <c r="I1831" s="60"/>
      <c r="J1831" s="60"/>
      <c r="K1831" s="60"/>
      <c r="L1831" s="60"/>
      <c r="M1831" s="64"/>
      <c r="N1831" s="33"/>
    </row>
    <row r="1832" ht="24" customHeight="1" spans="2:14">
      <c r="B1832" s="33"/>
      <c r="C1832" s="60"/>
      <c r="D1832" s="60"/>
      <c r="E1832" s="60"/>
      <c r="F1832" s="60"/>
      <c r="G1832" s="60"/>
      <c r="H1832" s="60"/>
      <c r="I1832" s="60"/>
      <c r="J1832" s="60"/>
      <c r="K1832" s="60"/>
      <c r="L1832" s="60"/>
      <c r="M1832" s="64"/>
      <c r="N1832" s="33"/>
    </row>
    <row r="1833" ht="24" customHeight="1" spans="2:14">
      <c r="B1833" s="33"/>
      <c r="C1833" s="60"/>
      <c r="D1833" s="60"/>
      <c r="E1833" s="60"/>
      <c r="F1833" s="60"/>
      <c r="G1833" s="60"/>
      <c r="H1833" s="60"/>
      <c r="I1833" s="60"/>
      <c r="J1833" s="60"/>
      <c r="K1833" s="60"/>
      <c r="L1833" s="60"/>
      <c r="M1833" s="64"/>
      <c r="N1833" s="33"/>
    </row>
    <row r="1834" ht="24" customHeight="1" spans="2:14">
      <c r="B1834" s="33"/>
      <c r="C1834" s="60"/>
      <c r="D1834" s="60"/>
      <c r="E1834" s="60"/>
      <c r="F1834" s="60"/>
      <c r="G1834" s="60"/>
      <c r="H1834" s="60"/>
      <c r="I1834" s="60"/>
      <c r="J1834" s="60"/>
      <c r="K1834" s="60"/>
      <c r="L1834" s="60"/>
      <c r="M1834" s="64"/>
      <c r="N1834" s="33"/>
    </row>
    <row r="1835" ht="24" customHeight="1" spans="2:14">
      <c r="B1835" s="33"/>
      <c r="C1835" s="60"/>
      <c r="D1835" s="60"/>
      <c r="E1835" s="60"/>
      <c r="F1835" s="60"/>
      <c r="G1835" s="60"/>
      <c r="H1835" s="60"/>
      <c r="I1835" s="60"/>
      <c r="J1835" s="60"/>
      <c r="K1835" s="60"/>
      <c r="L1835" s="60"/>
      <c r="M1835" s="64"/>
      <c r="N1835" s="33"/>
    </row>
    <row r="1836" ht="24" customHeight="1" spans="2:14">
      <c r="B1836" s="33"/>
      <c r="C1836" s="60"/>
      <c r="D1836" s="60"/>
      <c r="E1836" s="60"/>
      <c r="F1836" s="60"/>
      <c r="G1836" s="60"/>
      <c r="H1836" s="60"/>
      <c r="I1836" s="60"/>
      <c r="J1836" s="60"/>
      <c r="K1836" s="60"/>
      <c r="L1836" s="60"/>
      <c r="M1836" s="64"/>
      <c r="N1836" s="33"/>
    </row>
    <row r="1837" ht="24" customHeight="1" spans="2:14">
      <c r="B1837" s="33"/>
      <c r="C1837" s="60"/>
      <c r="D1837" s="60"/>
      <c r="E1837" s="60"/>
      <c r="F1837" s="60"/>
      <c r="G1837" s="60"/>
      <c r="H1837" s="60"/>
      <c r="I1837" s="60"/>
      <c r="J1837" s="60"/>
      <c r="K1837" s="60"/>
      <c r="L1837" s="60"/>
      <c r="M1837" s="64"/>
      <c r="N1837" s="33"/>
    </row>
    <row r="1838" ht="24" customHeight="1" spans="2:14">
      <c r="B1838" s="33"/>
      <c r="C1838" s="60"/>
      <c r="D1838" s="60"/>
      <c r="E1838" s="60"/>
      <c r="F1838" s="60"/>
      <c r="G1838" s="60"/>
      <c r="H1838" s="60"/>
      <c r="I1838" s="60"/>
      <c r="J1838" s="60"/>
      <c r="K1838" s="60"/>
      <c r="L1838" s="60"/>
      <c r="M1838" s="64"/>
      <c r="N1838" s="33"/>
    </row>
    <row r="1839" ht="24" customHeight="1" spans="2:14">
      <c r="B1839" s="33"/>
      <c r="C1839" s="60"/>
      <c r="D1839" s="60"/>
      <c r="E1839" s="60"/>
      <c r="F1839" s="60"/>
      <c r="G1839" s="60"/>
      <c r="H1839" s="60"/>
      <c r="I1839" s="60"/>
      <c r="J1839" s="60"/>
      <c r="K1839" s="60"/>
      <c r="L1839" s="60"/>
      <c r="M1839" s="64"/>
      <c r="N1839" s="33"/>
    </row>
    <row r="1840" ht="24" customHeight="1" spans="2:14">
      <c r="B1840" s="33"/>
      <c r="C1840" s="60"/>
      <c r="D1840" s="60"/>
      <c r="E1840" s="60"/>
      <c r="F1840" s="60"/>
      <c r="G1840" s="60"/>
      <c r="H1840" s="60"/>
      <c r="I1840" s="60"/>
      <c r="J1840" s="60"/>
      <c r="K1840" s="60"/>
      <c r="L1840" s="60"/>
      <c r="M1840" s="64"/>
      <c r="N1840" s="33"/>
    </row>
    <row r="1841" ht="24" customHeight="1" spans="2:14">
      <c r="B1841" s="33"/>
      <c r="C1841" s="60"/>
      <c r="D1841" s="60"/>
      <c r="E1841" s="60"/>
      <c r="F1841" s="60"/>
      <c r="G1841" s="60"/>
      <c r="H1841" s="60"/>
      <c r="I1841" s="60"/>
      <c r="J1841" s="60"/>
      <c r="K1841" s="60"/>
      <c r="L1841" s="60"/>
      <c r="M1841" s="64"/>
      <c r="N1841" s="33"/>
    </row>
    <row r="1842" ht="24" customHeight="1" spans="2:14">
      <c r="B1842" s="33"/>
      <c r="C1842" s="60"/>
      <c r="D1842" s="60"/>
      <c r="E1842" s="60"/>
      <c r="F1842" s="60"/>
      <c r="G1842" s="60"/>
      <c r="H1842" s="60"/>
      <c r="I1842" s="60"/>
      <c r="J1842" s="60"/>
      <c r="K1842" s="60"/>
      <c r="L1842" s="60"/>
      <c r="M1842" s="64"/>
      <c r="N1842" s="33"/>
    </row>
    <row r="1843" ht="24" customHeight="1" spans="2:14">
      <c r="B1843" s="33"/>
      <c r="C1843" s="60"/>
      <c r="D1843" s="60"/>
      <c r="E1843" s="60"/>
      <c r="F1843" s="60"/>
      <c r="G1843" s="60"/>
      <c r="H1843" s="60"/>
      <c r="I1843" s="60"/>
      <c r="J1843" s="60"/>
      <c r="K1843" s="60"/>
      <c r="L1843" s="60"/>
      <c r="M1843" s="64"/>
      <c r="N1843" s="33"/>
    </row>
    <row r="1844" ht="24" customHeight="1" spans="2:14">
      <c r="B1844" s="33"/>
      <c r="C1844" s="60"/>
      <c r="D1844" s="60"/>
      <c r="E1844" s="60"/>
      <c r="F1844" s="60"/>
      <c r="G1844" s="60"/>
      <c r="H1844" s="60"/>
      <c r="I1844" s="60"/>
      <c r="J1844" s="60"/>
      <c r="K1844" s="60"/>
      <c r="L1844" s="60"/>
      <c r="M1844" s="64"/>
      <c r="N1844" s="33"/>
    </row>
    <row r="1845" ht="24" customHeight="1" spans="2:14">
      <c r="B1845" s="33"/>
      <c r="C1845" s="60"/>
      <c r="D1845" s="60"/>
      <c r="E1845" s="60"/>
      <c r="F1845" s="60"/>
      <c r="G1845" s="60"/>
      <c r="H1845" s="60"/>
      <c r="I1845" s="60"/>
      <c r="J1845" s="60"/>
      <c r="K1845" s="60"/>
      <c r="L1845" s="60"/>
      <c r="M1845" s="64"/>
      <c r="N1845" s="33"/>
    </row>
    <row r="1846" ht="24" customHeight="1" spans="2:14">
      <c r="B1846" s="33"/>
      <c r="C1846" s="60"/>
      <c r="D1846" s="60"/>
      <c r="E1846" s="60"/>
      <c r="F1846" s="60"/>
      <c r="G1846" s="60"/>
      <c r="H1846" s="60"/>
      <c r="I1846" s="60"/>
      <c r="J1846" s="60"/>
      <c r="K1846" s="60"/>
      <c r="L1846" s="60"/>
      <c r="M1846" s="64"/>
      <c r="N1846" s="33"/>
    </row>
    <row r="1847" ht="24" customHeight="1" spans="2:14">
      <c r="B1847" s="33"/>
      <c r="C1847" s="60"/>
      <c r="D1847" s="60"/>
      <c r="E1847" s="60"/>
      <c r="F1847" s="60"/>
      <c r="G1847" s="60"/>
      <c r="H1847" s="60"/>
      <c r="I1847" s="60"/>
      <c r="J1847" s="60"/>
      <c r="K1847" s="60"/>
      <c r="L1847" s="60"/>
      <c r="M1847" s="64"/>
      <c r="N1847" s="33"/>
    </row>
    <row r="1848" ht="24" customHeight="1" spans="2:14">
      <c r="B1848" s="33"/>
      <c r="C1848" s="60"/>
      <c r="D1848" s="60"/>
      <c r="E1848" s="60"/>
      <c r="F1848" s="60"/>
      <c r="G1848" s="60"/>
      <c r="H1848" s="60"/>
      <c r="I1848" s="60"/>
      <c r="J1848" s="60"/>
      <c r="K1848" s="60"/>
      <c r="L1848" s="60"/>
      <c r="M1848" s="64"/>
      <c r="N1848" s="33"/>
    </row>
    <row r="1849" ht="24" customHeight="1" spans="2:14">
      <c r="B1849" s="33"/>
      <c r="C1849" s="60"/>
      <c r="D1849" s="60"/>
      <c r="E1849" s="60"/>
      <c r="F1849" s="60"/>
      <c r="G1849" s="60"/>
      <c r="H1849" s="60"/>
      <c r="I1849" s="60"/>
      <c r="J1849" s="60"/>
      <c r="K1849" s="60"/>
      <c r="L1849" s="60"/>
      <c r="M1849" s="64"/>
      <c r="N1849" s="33"/>
    </row>
    <row r="1850" ht="24" customHeight="1" spans="2:14">
      <c r="B1850" s="33"/>
      <c r="C1850" s="60"/>
      <c r="D1850" s="60"/>
      <c r="E1850" s="60"/>
      <c r="F1850" s="60"/>
      <c r="G1850" s="60"/>
      <c r="H1850" s="60"/>
      <c r="I1850" s="60"/>
      <c r="J1850" s="60"/>
      <c r="K1850" s="60"/>
      <c r="L1850" s="60"/>
      <c r="M1850" s="64"/>
      <c r="N1850" s="33"/>
    </row>
    <row r="1851" ht="24" customHeight="1" spans="2:14">
      <c r="B1851" s="33"/>
      <c r="C1851" s="60"/>
      <c r="D1851" s="60"/>
      <c r="E1851" s="60"/>
      <c r="F1851" s="60"/>
      <c r="G1851" s="60"/>
      <c r="H1851" s="60"/>
      <c r="I1851" s="60"/>
      <c r="J1851" s="60"/>
      <c r="K1851" s="60"/>
      <c r="L1851" s="60"/>
      <c r="M1851" s="64"/>
      <c r="N1851" s="33"/>
    </row>
    <row r="1852" ht="24" customHeight="1" spans="2:14">
      <c r="B1852" s="33"/>
      <c r="C1852" s="60"/>
      <c r="D1852" s="60"/>
      <c r="E1852" s="60"/>
      <c r="F1852" s="60"/>
      <c r="G1852" s="60"/>
      <c r="H1852" s="60"/>
      <c r="I1852" s="60"/>
      <c r="J1852" s="60"/>
      <c r="K1852" s="60"/>
      <c r="L1852" s="60"/>
      <c r="M1852" s="64"/>
      <c r="N1852" s="33"/>
    </row>
    <row r="1853" ht="24" customHeight="1" spans="2:14">
      <c r="B1853" s="33"/>
      <c r="C1853" s="60"/>
      <c r="D1853" s="60"/>
      <c r="E1853" s="60"/>
      <c r="F1853" s="60"/>
      <c r="G1853" s="60"/>
      <c r="H1853" s="60"/>
      <c r="I1853" s="60"/>
      <c r="J1853" s="60"/>
      <c r="K1853" s="60"/>
      <c r="L1853" s="60"/>
      <c r="M1853" s="64"/>
      <c r="N1853" s="33"/>
    </row>
    <row r="1854" ht="24" customHeight="1" spans="2:14">
      <c r="B1854" s="33"/>
      <c r="C1854" s="60"/>
      <c r="D1854" s="60"/>
      <c r="E1854" s="60"/>
      <c r="F1854" s="60"/>
      <c r="G1854" s="60"/>
      <c r="H1854" s="60"/>
      <c r="I1854" s="60"/>
      <c r="J1854" s="60"/>
      <c r="K1854" s="60"/>
      <c r="L1854" s="60"/>
      <c r="M1854" s="64"/>
      <c r="N1854" s="33"/>
    </row>
    <row r="1855" ht="24" customHeight="1" spans="2:14">
      <c r="B1855" s="33"/>
      <c r="C1855" s="60"/>
      <c r="D1855" s="60"/>
      <c r="E1855" s="60"/>
      <c r="F1855" s="60"/>
      <c r="G1855" s="60"/>
      <c r="H1855" s="60"/>
      <c r="I1855" s="60"/>
      <c r="J1855" s="60"/>
      <c r="K1855" s="60"/>
      <c r="L1855" s="60"/>
      <c r="M1855" s="64"/>
      <c r="N1855" s="33"/>
    </row>
    <row r="1856" ht="24" customHeight="1" spans="2:14">
      <c r="B1856" s="33"/>
      <c r="C1856" s="60"/>
      <c r="D1856" s="60"/>
      <c r="E1856" s="60"/>
      <c r="F1856" s="60"/>
      <c r="G1856" s="60"/>
      <c r="H1856" s="60"/>
      <c r="I1856" s="60"/>
      <c r="J1856" s="60"/>
      <c r="K1856" s="60"/>
      <c r="L1856" s="60"/>
      <c r="M1856" s="64"/>
      <c r="N1856" s="33"/>
    </row>
    <row r="1857" ht="24" customHeight="1" spans="2:14">
      <c r="B1857" s="33"/>
      <c r="C1857" s="60"/>
      <c r="D1857" s="60"/>
      <c r="E1857" s="60"/>
      <c r="F1857" s="60"/>
      <c r="G1857" s="60"/>
      <c r="H1857" s="60"/>
      <c r="I1857" s="60"/>
      <c r="J1857" s="60"/>
      <c r="K1857" s="60"/>
      <c r="L1857" s="60"/>
      <c r="M1857" s="64"/>
      <c r="N1857" s="33"/>
    </row>
    <row r="1858" ht="24" customHeight="1" spans="2:14">
      <c r="B1858" s="33"/>
      <c r="C1858" s="60"/>
      <c r="D1858" s="60"/>
      <c r="E1858" s="60"/>
      <c r="F1858" s="60"/>
      <c r="G1858" s="60"/>
      <c r="H1858" s="60"/>
      <c r="I1858" s="60"/>
      <c r="J1858" s="60"/>
      <c r="K1858" s="60"/>
      <c r="L1858" s="60"/>
      <c r="M1858" s="64"/>
      <c r="N1858" s="33"/>
    </row>
    <row r="1859" ht="24" customHeight="1" spans="2:14">
      <c r="B1859" s="33"/>
      <c r="C1859" s="60"/>
      <c r="D1859" s="60"/>
      <c r="E1859" s="60"/>
      <c r="F1859" s="60"/>
      <c r="G1859" s="60"/>
      <c r="H1859" s="60"/>
      <c r="I1859" s="60"/>
      <c r="J1859" s="60"/>
      <c r="K1859" s="60"/>
      <c r="L1859" s="60"/>
      <c r="M1859" s="64"/>
      <c r="N1859" s="33"/>
    </row>
    <row r="1860" ht="24" customHeight="1" spans="2:14">
      <c r="B1860" s="33"/>
      <c r="C1860" s="60"/>
      <c r="D1860" s="60"/>
      <c r="E1860" s="60"/>
      <c r="F1860" s="60"/>
      <c r="G1860" s="60"/>
      <c r="H1860" s="60"/>
      <c r="I1860" s="60"/>
      <c r="J1860" s="60"/>
      <c r="K1860" s="60"/>
      <c r="L1860" s="60"/>
      <c r="M1860" s="64"/>
      <c r="N1860" s="33"/>
    </row>
    <row r="1861" ht="24" customHeight="1" spans="2:14">
      <c r="B1861" s="33"/>
      <c r="C1861" s="60"/>
      <c r="D1861" s="60"/>
      <c r="E1861" s="60"/>
      <c r="F1861" s="60"/>
      <c r="G1861" s="60"/>
      <c r="H1861" s="60"/>
      <c r="I1861" s="60"/>
      <c r="J1861" s="60"/>
      <c r="K1861" s="60"/>
      <c r="L1861" s="60"/>
      <c r="M1861" s="64"/>
      <c r="N1861" s="33"/>
    </row>
    <row r="1862" ht="24" customHeight="1" spans="2:14">
      <c r="B1862" s="33"/>
      <c r="C1862" s="60"/>
      <c r="D1862" s="60"/>
      <c r="E1862" s="60"/>
      <c r="F1862" s="60"/>
      <c r="G1862" s="60"/>
      <c r="H1862" s="60"/>
      <c r="I1862" s="60"/>
      <c r="J1862" s="60"/>
      <c r="K1862" s="60"/>
      <c r="L1862" s="60"/>
      <c r="M1862" s="64"/>
      <c r="N1862" s="33"/>
    </row>
    <row r="1863" ht="24" customHeight="1" spans="2:14">
      <c r="B1863" s="33"/>
      <c r="C1863" s="60"/>
      <c r="D1863" s="60"/>
      <c r="E1863" s="60"/>
      <c r="F1863" s="60"/>
      <c r="G1863" s="60"/>
      <c r="H1863" s="60"/>
      <c r="I1863" s="60"/>
      <c r="J1863" s="60"/>
      <c r="K1863" s="60"/>
      <c r="L1863" s="60"/>
      <c r="M1863" s="64"/>
      <c r="N1863" s="33"/>
    </row>
    <row r="1864" ht="24" customHeight="1" spans="2:14">
      <c r="B1864" s="33"/>
      <c r="C1864" s="60"/>
      <c r="D1864" s="60"/>
      <c r="E1864" s="60"/>
      <c r="F1864" s="60"/>
      <c r="G1864" s="60"/>
      <c r="H1864" s="60"/>
      <c r="I1864" s="60"/>
      <c r="J1864" s="60"/>
      <c r="K1864" s="60"/>
      <c r="L1864" s="60"/>
      <c r="M1864" s="64"/>
      <c r="N1864" s="33"/>
    </row>
    <row r="1865" ht="24" customHeight="1" spans="2:14">
      <c r="B1865" s="33"/>
      <c r="C1865" s="60"/>
      <c r="D1865" s="60"/>
      <c r="E1865" s="60"/>
      <c r="F1865" s="60"/>
      <c r="G1865" s="60"/>
      <c r="H1865" s="60"/>
      <c r="I1865" s="60"/>
      <c r="J1865" s="60"/>
      <c r="K1865" s="60"/>
      <c r="L1865" s="60"/>
      <c r="M1865" s="64"/>
      <c r="N1865" s="33"/>
    </row>
    <row r="1866" ht="24" customHeight="1" spans="2:14">
      <c r="B1866" s="33"/>
      <c r="C1866" s="60"/>
      <c r="D1866" s="60"/>
      <c r="E1866" s="60"/>
      <c r="F1866" s="60"/>
      <c r="G1866" s="60"/>
      <c r="H1866" s="60"/>
      <c r="I1866" s="60"/>
      <c r="J1866" s="60"/>
      <c r="K1866" s="60"/>
      <c r="L1866" s="60"/>
      <c r="M1866" s="64"/>
      <c r="N1866" s="33"/>
    </row>
    <row r="1867" ht="24" customHeight="1" spans="2:14">
      <c r="B1867" s="33"/>
      <c r="C1867" s="60"/>
      <c r="D1867" s="60"/>
      <c r="E1867" s="60"/>
      <c r="F1867" s="60"/>
      <c r="G1867" s="60"/>
      <c r="H1867" s="60"/>
      <c r="I1867" s="60"/>
      <c r="J1867" s="60"/>
      <c r="K1867" s="60"/>
      <c r="L1867" s="60"/>
      <c r="M1867" s="64"/>
      <c r="N1867" s="33"/>
    </row>
    <row r="1868" ht="24" customHeight="1" spans="2:14">
      <c r="B1868" s="33"/>
      <c r="C1868" s="60"/>
      <c r="D1868" s="60"/>
      <c r="E1868" s="60"/>
      <c r="F1868" s="60"/>
      <c r="G1868" s="60"/>
      <c r="H1868" s="60"/>
      <c r="I1868" s="60"/>
      <c r="J1868" s="60"/>
      <c r="K1868" s="60"/>
      <c r="L1868" s="60"/>
      <c r="M1868" s="64"/>
      <c r="N1868" s="33"/>
    </row>
    <row r="1869" ht="24" customHeight="1" spans="2:14">
      <c r="B1869" s="33"/>
      <c r="C1869" s="60"/>
      <c r="D1869" s="60"/>
      <c r="E1869" s="60"/>
      <c r="F1869" s="60"/>
      <c r="G1869" s="60"/>
      <c r="H1869" s="60"/>
      <c r="I1869" s="60"/>
      <c r="J1869" s="60"/>
      <c r="K1869" s="60"/>
      <c r="L1869" s="60"/>
      <c r="M1869" s="64"/>
      <c r="N1869" s="33"/>
    </row>
    <row r="1870" ht="24" customHeight="1" spans="2:14">
      <c r="B1870" s="33"/>
      <c r="C1870" s="60"/>
      <c r="D1870" s="60"/>
      <c r="E1870" s="60"/>
      <c r="F1870" s="60"/>
      <c r="G1870" s="60"/>
      <c r="H1870" s="60"/>
      <c r="I1870" s="60"/>
      <c r="J1870" s="60"/>
      <c r="K1870" s="60"/>
      <c r="L1870" s="60"/>
      <c r="M1870" s="64"/>
      <c r="N1870" s="33"/>
    </row>
    <row r="1871" ht="24" customHeight="1" spans="2:14">
      <c r="B1871" s="33"/>
      <c r="C1871" s="60"/>
      <c r="D1871" s="60"/>
      <c r="E1871" s="60"/>
      <c r="F1871" s="60"/>
      <c r="G1871" s="60"/>
      <c r="H1871" s="60"/>
      <c r="I1871" s="60"/>
      <c r="J1871" s="60"/>
      <c r="K1871" s="60"/>
      <c r="L1871" s="60"/>
      <c r="M1871" s="64"/>
      <c r="N1871" s="33"/>
    </row>
    <row r="1872" ht="24" customHeight="1" spans="2:14">
      <c r="B1872" s="33"/>
      <c r="C1872" s="60"/>
      <c r="D1872" s="60"/>
      <c r="E1872" s="60"/>
      <c r="F1872" s="60"/>
      <c r="G1872" s="60"/>
      <c r="H1872" s="60"/>
      <c r="I1872" s="60"/>
      <c r="J1872" s="60"/>
      <c r="K1872" s="60"/>
      <c r="L1872" s="60"/>
      <c r="M1872" s="64"/>
      <c r="N1872" s="33"/>
    </row>
    <row r="1873" ht="24" customHeight="1" spans="2:14">
      <c r="B1873" s="33"/>
      <c r="C1873" s="60"/>
      <c r="D1873" s="60"/>
      <c r="E1873" s="60"/>
      <c r="F1873" s="60"/>
      <c r="G1873" s="60"/>
      <c r="H1873" s="60"/>
      <c r="I1873" s="60"/>
      <c r="J1873" s="60"/>
      <c r="K1873" s="60"/>
      <c r="L1873" s="60"/>
      <c r="M1873" s="64"/>
      <c r="N1873" s="33"/>
    </row>
    <row r="1874" ht="24" customHeight="1" spans="2:14">
      <c r="B1874" s="33"/>
      <c r="C1874" s="60"/>
      <c r="D1874" s="60"/>
      <c r="E1874" s="60"/>
      <c r="F1874" s="60"/>
      <c r="G1874" s="60"/>
      <c r="H1874" s="60"/>
      <c r="I1874" s="60"/>
      <c r="J1874" s="60"/>
      <c r="K1874" s="60"/>
      <c r="L1874" s="60"/>
      <c r="M1874" s="64"/>
      <c r="N1874" s="33"/>
    </row>
    <row r="1875" ht="24" customHeight="1" spans="2:14">
      <c r="B1875" s="33"/>
      <c r="C1875" s="60"/>
      <c r="D1875" s="60"/>
      <c r="E1875" s="60"/>
      <c r="F1875" s="60"/>
      <c r="G1875" s="60"/>
      <c r="H1875" s="60"/>
      <c r="I1875" s="60"/>
      <c r="J1875" s="60"/>
      <c r="K1875" s="60"/>
      <c r="L1875" s="60"/>
      <c r="M1875" s="64"/>
      <c r="N1875" s="33"/>
    </row>
    <row r="1876" ht="24" customHeight="1" spans="2:14">
      <c r="B1876" s="33"/>
      <c r="C1876" s="60"/>
      <c r="D1876" s="60"/>
      <c r="E1876" s="60"/>
      <c r="F1876" s="60"/>
      <c r="G1876" s="60"/>
      <c r="H1876" s="60"/>
      <c r="I1876" s="60"/>
      <c r="J1876" s="60"/>
      <c r="K1876" s="60"/>
      <c r="L1876" s="60"/>
      <c r="M1876" s="64"/>
      <c r="N1876" s="33"/>
    </row>
    <row r="1877" ht="24" customHeight="1" spans="2:14">
      <c r="B1877" s="33"/>
      <c r="C1877" s="60"/>
      <c r="D1877" s="60"/>
      <c r="E1877" s="60"/>
      <c r="F1877" s="60"/>
      <c r="G1877" s="60"/>
      <c r="H1877" s="60"/>
      <c r="I1877" s="60"/>
      <c r="J1877" s="60"/>
      <c r="K1877" s="60"/>
      <c r="L1877" s="60"/>
      <c r="M1877" s="64"/>
      <c r="N1877" s="33"/>
    </row>
    <row r="1878" ht="24" customHeight="1" spans="2:14">
      <c r="B1878" s="33"/>
      <c r="C1878" s="60"/>
      <c r="D1878" s="60"/>
      <c r="E1878" s="60"/>
      <c r="F1878" s="60"/>
      <c r="G1878" s="60"/>
      <c r="H1878" s="60"/>
      <c r="I1878" s="60"/>
      <c r="J1878" s="60"/>
      <c r="K1878" s="60"/>
      <c r="L1878" s="60"/>
      <c r="M1878" s="64"/>
      <c r="N1878" s="33"/>
    </row>
    <row r="1879" ht="24" customHeight="1" spans="2:14">
      <c r="B1879" s="33"/>
      <c r="C1879" s="60"/>
      <c r="D1879" s="60"/>
      <c r="E1879" s="60"/>
      <c r="F1879" s="60"/>
      <c r="G1879" s="60"/>
      <c r="H1879" s="60"/>
      <c r="I1879" s="60"/>
      <c r="J1879" s="60"/>
      <c r="K1879" s="60"/>
      <c r="L1879" s="60"/>
      <c r="M1879" s="64"/>
      <c r="N1879" s="33"/>
    </row>
    <row r="1880" ht="24" customHeight="1" spans="2:14">
      <c r="B1880" s="33"/>
      <c r="C1880" s="60"/>
      <c r="D1880" s="60"/>
      <c r="E1880" s="60"/>
      <c r="F1880" s="60"/>
      <c r="G1880" s="60"/>
      <c r="H1880" s="60"/>
      <c r="I1880" s="60"/>
      <c r="J1880" s="60"/>
      <c r="K1880" s="60"/>
      <c r="L1880" s="60"/>
      <c r="M1880" s="64"/>
      <c r="N1880" s="33"/>
    </row>
    <row r="1881" ht="24" customHeight="1" spans="2:14">
      <c r="B1881" s="33"/>
      <c r="C1881" s="60"/>
      <c r="D1881" s="60"/>
      <c r="E1881" s="60"/>
      <c r="F1881" s="60"/>
      <c r="G1881" s="60"/>
      <c r="H1881" s="60"/>
      <c r="I1881" s="60"/>
      <c r="J1881" s="60"/>
      <c r="K1881" s="60"/>
      <c r="L1881" s="60"/>
      <c r="M1881" s="64"/>
      <c r="N1881" s="33"/>
    </row>
    <row r="1882" ht="24" customHeight="1" spans="2:14">
      <c r="B1882" s="33"/>
      <c r="C1882" s="60"/>
      <c r="D1882" s="60"/>
      <c r="E1882" s="60"/>
      <c r="F1882" s="60"/>
      <c r="G1882" s="60"/>
      <c r="H1882" s="60"/>
      <c r="I1882" s="60"/>
      <c r="J1882" s="60"/>
      <c r="K1882" s="60"/>
      <c r="L1882" s="60"/>
      <c r="M1882" s="64"/>
      <c r="N1882" s="33"/>
    </row>
    <row r="1883" ht="24" customHeight="1" spans="2:14">
      <c r="B1883" s="33"/>
      <c r="C1883" s="60"/>
      <c r="D1883" s="60"/>
      <c r="E1883" s="60"/>
      <c r="F1883" s="60"/>
      <c r="G1883" s="60"/>
      <c r="H1883" s="60"/>
      <c r="I1883" s="60"/>
      <c r="J1883" s="60"/>
      <c r="K1883" s="60"/>
      <c r="L1883" s="60"/>
      <c r="M1883" s="64"/>
      <c r="N1883" s="33"/>
    </row>
    <row r="1884" ht="24" customHeight="1" spans="2:14">
      <c r="B1884" s="33"/>
      <c r="C1884" s="60"/>
      <c r="D1884" s="60"/>
      <c r="E1884" s="60"/>
      <c r="F1884" s="60"/>
      <c r="G1884" s="60"/>
      <c r="H1884" s="60"/>
      <c r="I1884" s="60"/>
      <c r="J1884" s="60"/>
      <c r="K1884" s="60"/>
      <c r="L1884" s="60"/>
      <c r="M1884" s="64"/>
      <c r="N1884" s="33"/>
    </row>
    <row r="1885" ht="24" customHeight="1" spans="2:14">
      <c r="B1885" s="33"/>
      <c r="C1885" s="60"/>
      <c r="D1885" s="60"/>
      <c r="E1885" s="60"/>
      <c r="F1885" s="60"/>
      <c r="G1885" s="60"/>
      <c r="H1885" s="60"/>
      <c r="I1885" s="60"/>
      <c r="J1885" s="60"/>
      <c r="K1885" s="60"/>
      <c r="L1885" s="60"/>
      <c r="M1885" s="64"/>
      <c r="N1885" s="33"/>
    </row>
    <row r="1886" ht="24" customHeight="1" spans="2:14">
      <c r="B1886" s="33"/>
      <c r="C1886" s="60"/>
      <c r="D1886" s="60"/>
      <c r="E1886" s="60"/>
      <c r="F1886" s="60"/>
      <c r="G1886" s="60"/>
      <c r="H1886" s="60"/>
      <c r="I1886" s="60"/>
      <c r="J1886" s="60"/>
      <c r="K1886" s="60"/>
      <c r="L1886" s="60"/>
      <c r="M1886" s="64"/>
      <c r="N1886" s="33"/>
    </row>
    <row r="1887" ht="24" customHeight="1" spans="2:14">
      <c r="B1887" s="33"/>
      <c r="C1887" s="60"/>
      <c r="D1887" s="60"/>
      <c r="E1887" s="60"/>
      <c r="F1887" s="60"/>
      <c r="G1887" s="60"/>
      <c r="H1887" s="60"/>
      <c r="I1887" s="60"/>
      <c r="J1887" s="60"/>
      <c r="K1887" s="60"/>
      <c r="L1887" s="60"/>
      <c r="M1887" s="64"/>
      <c r="N1887" s="33"/>
    </row>
    <row r="1888" ht="24" customHeight="1" spans="2:14">
      <c r="B1888" s="33"/>
      <c r="C1888" s="60"/>
      <c r="D1888" s="60"/>
      <c r="E1888" s="60"/>
      <c r="F1888" s="60"/>
      <c r="G1888" s="60"/>
      <c r="H1888" s="60"/>
      <c r="I1888" s="60"/>
      <c r="J1888" s="60"/>
      <c r="K1888" s="60"/>
      <c r="L1888" s="60"/>
      <c r="M1888" s="64"/>
      <c r="N1888" s="33"/>
    </row>
    <row r="1889" ht="24" customHeight="1" spans="2:14">
      <c r="B1889" s="33"/>
      <c r="C1889" s="60"/>
      <c r="D1889" s="60"/>
      <c r="E1889" s="60"/>
      <c r="F1889" s="60"/>
      <c r="G1889" s="60"/>
      <c r="H1889" s="60"/>
      <c r="I1889" s="60"/>
      <c r="J1889" s="60"/>
      <c r="K1889" s="60"/>
      <c r="L1889" s="60"/>
      <c r="M1889" s="64"/>
      <c r="N1889" s="33"/>
    </row>
    <row r="1890" ht="24" customHeight="1" spans="2:14">
      <c r="B1890" s="33"/>
      <c r="C1890" s="60"/>
      <c r="D1890" s="60"/>
      <c r="E1890" s="60"/>
      <c r="F1890" s="60"/>
      <c r="G1890" s="60"/>
      <c r="H1890" s="60"/>
      <c r="I1890" s="60"/>
      <c r="J1890" s="60"/>
      <c r="K1890" s="60"/>
      <c r="L1890" s="60"/>
      <c r="M1890" s="64"/>
      <c r="N1890" s="33"/>
    </row>
    <row r="1891" ht="24" customHeight="1" spans="2:14">
      <c r="B1891" s="33"/>
      <c r="C1891" s="60"/>
      <c r="D1891" s="60"/>
      <c r="E1891" s="60"/>
      <c r="F1891" s="60"/>
      <c r="G1891" s="60"/>
      <c r="H1891" s="60"/>
      <c r="I1891" s="60"/>
      <c r="J1891" s="60"/>
      <c r="K1891" s="60"/>
      <c r="L1891" s="60"/>
      <c r="M1891" s="64"/>
      <c r="N1891" s="33"/>
    </row>
    <row r="1892" ht="24" customHeight="1" spans="2:14">
      <c r="B1892" s="33"/>
      <c r="C1892" s="60"/>
      <c r="D1892" s="60"/>
      <c r="E1892" s="60"/>
      <c r="F1892" s="60"/>
      <c r="G1892" s="60"/>
      <c r="H1892" s="60"/>
      <c r="I1892" s="60"/>
      <c r="J1892" s="60"/>
      <c r="K1892" s="60"/>
      <c r="L1892" s="60"/>
      <c r="M1892" s="64"/>
      <c r="N1892" s="33"/>
    </row>
    <row r="1893" ht="24" customHeight="1" spans="2:14">
      <c r="B1893" s="33"/>
      <c r="C1893" s="60"/>
      <c r="D1893" s="60"/>
      <c r="E1893" s="60"/>
      <c r="F1893" s="60"/>
      <c r="G1893" s="60"/>
      <c r="H1893" s="60"/>
      <c r="I1893" s="60"/>
      <c r="J1893" s="60"/>
      <c r="K1893" s="60"/>
      <c r="L1893" s="60"/>
      <c r="M1893" s="64"/>
      <c r="N1893" s="33"/>
    </row>
    <row r="1894" ht="24" customHeight="1" spans="2:14">
      <c r="B1894" s="33"/>
      <c r="C1894" s="60"/>
      <c r="D1894" s="60"/>
      <c r="E1894" s="60"/>
      <c r="F1894" s="60"/>
      <c r="G1894" s="60"/>
      <c r="H1894" s="60"/>
      <c r="I1894" s="60"/>
      <c r="J1894" s="60"/>
      <c r="K1894" s="60"/>
      <c r="L1894" s="60"/>
      <c r="M1894" s="64"/>
      <c r="N1894" s="33"/>
    </row>
    <row r="1895" ht="24" customHeight="1" spans="2:14">
      <c r="B1895" s="33"/>
      <c r="C1895" s="60"/>
      <c r="D1895" s="60"/>
      <c r="E1895" s="60"/>
      <c r="F1895" s="60"/>
      <c r="G1895" s="60"/>
      <c r="H1895" s="60"/>
      <c r="I1895" s="60"/>
      <c r="J1895" s="60"/>
      <c r="K1895" s="60"/>
      <c r="L1895" s="60"/>
      <c r="M1895" s="64"/>
      <c r="N1895" s="33"/>
    </row>
    <row r="1896" ht="24" customHeight="1" spans="2:14">
      <c r="B1896" s="33"/>
      <c r="C1896" s="60"/>
      <c r="D1896" s="60"/>
      <c r="E1896" s="60"/>
      <c r="F1896" s="60"/>
      <c r="G1896" s="60"/>
      <c r="H1896" s="60"/>
      <c r="I1896" s="60"/>
      <c r="J1896" s="60"/>
      <c r="K1896" s="60"/>
      <c r="L1896" s="60"/>
      <c r="M1896" s="64"/>
      <c r="N1896" s="33"/>
    </row>
    <row r="1897" ht="24" customHeight="1" spans="2:14">
      <c r="B1897" s="33"/>
      <c r="C1897" s="60"/>
      <c r="D1897" s="60"/>
      <c r="E1897" s="60"/>
      <c r="F1897" s="60"/>
      <c r="G1897" s="60"/>
      <c r="H1897" s="60"/>
      <c r="I1897" s="60"/>
      <c r="J1897" s="60"/>
      <c r="K1897" s="60"/>
      <c r="L1897" s="60"/>
      <c r="M1897" s="64"/>
      <c r="N1897" s="33"/>
    </row>
    <row r="1898" ht="24" customHeight="1" spans="2:14">
      <c r="B1898" s="33"/>
      <c r="C1898" s="60"/>
      <c r="D1898" s="60"/>
      <c r="E1898" s="60"/>
      <c r="F1898" s="60"/>
      <c r="G1898" s="60"/>
      <c r="H1898" s="60"/>
      <c r="I1898" s="60"/>
      <c r="J1898" s="60"/>
      <c r="K1898" s="60"/>
      <c r="L1898" s="60"/>
      <c r="M1898" s="64"/>
      <c r="N1898" s="33"/>
    </row>
    <row r="1899" ht="24" customHeight="1" spans="2:14">
      <c r="B1899" s="33"/>
      <c r="C1899" s="60"/>
      <c r="D1899" s="60"/>
      <c r="E1899" s="60"/>
      <c r="F1899" s="60"/>
      <c r="G1899" s="60"/>
      <c r="H1899" s="60"/>
      <c r="I1899" s="60"/>
      <c r="J1899" s="60"/>
      <c r="K1899" s="60"/>
      <c r="L1899" s="60"/>
      <c r="M1899" s="64"/>
      <c r="N1899" s="33"/>
    </row>
    <row r="1900" ht="24" customHeight="1" spans="2:14">
      <c r="B1900" s="33"/>
      <c r="C1900" s="60"/>
      <c r="D1900" s="60"/>
      <c r="E1900" s="60"/>
      <c r="F1900" s="60"/>
      <c r="G1900" s="60"/>
      <c r="H1900" s="60"/>
      <c r="I1900" s="60"/>
      <c r="J1900" s="60"/>
      <c r="K1900" s="60"/>
      <c r="L1900" s="60"/>
      <c r="M1900" s="64"/>
      <c r="N1900" s="33"/>
    </row>
    <row r="1901" ht="24" customHeight="1" spans="2:14">
      <c r="B1901" s="33"/>
      <c r="C1901" s="60"/>
      <c r="D1901" s="60"/>
      <c r="E1901" s="60"/>
      <c r="F1901" s="60"/>
      <c r="G1901" s="60"/>
      <c r="H1901" s="60"/>
      <c r="I1901" s="60"/>
      <c r="J1901" s="60"/>
      <c r="K1901" s="60"/>
      <c r="L1901" s="60"/>
      <c r="M1901" s="64"/>
      <c r="N1901" s="33"/>
    </row>
    <row r="1902" ht="24" customHeight="1" spans="2:14">
      <c r="B1902" s="33"/>
      <c r="C1902" s="60"/>
      <c r="D1902" s="60"/>
      <c r="E1902" s="60"/>
      <c r="F1902" s="60"/>
      <c r="G1902" s="60"/>
      <c r="H1902" s="60"/>
      <c r="I1902" s="60"/>
      <c r="J1902" s="60"/>
      <c r="K1902" s="60"/>
      <c r="L1902" s="60"/>
      <c r="M1902" s="64"/>
      <c r="N1902" s="33"/>
    </row>
    <row r="1903" ht="24" customHeight="1" spans="2:14">
      <c r="B1903" s="33"/>
      <c r="C1903" s="60"/>
      <c r="D1903" s="60"/>
      <c r="E1903" s="60"/>
      <c r="F1903" s="60"/>
      <c r="G1903" s="60"/>
      <c r="H1903" s="60"/>
      <c r="I1903" s="60"/>
      <c r="J1903" s="60"/>
      <c r="K1903" s="60"/>
      <c r="L1903" s="60"/>
      <c r="M1903" s="64"/>
      <c r="N1903" s="33"/>
    </row>
    <row r="1904" ht="24" customHeight="1" spans="2:14">
      <c r="B1904" s="33"/>
      <c r="C1904" s="60"/>
      <c r="D1904" s="60"/>
      <c r="E1904" s="60"/>
      <c r="F1904" s="60"/>
      <c r="G1904" s="60"/>
      <c r="H1904" s="60"/>
      <c r="I1904" s="60"/>
      <c r="J1904" s="60"/>
      <c r="K1904" s="60"/>
      <c r="L1904" s="60"/>
      <c r="M1904" s="64"/>
      <c r="N1904" s="33"/>
    </row>
    <row r="1905" ht="24" customHeight="1" spans="2:14">
      <c r="B1905" s="33"/>
      <c r="C1905" s="60"/>
      <c r="D1905" s="60"/>
      <c r="E1905" s="60"/>
      <c r="F1905" s="60"/>
      <c r="G1905" s="60"/>
      <c r="H1905" s="60"/>
      <c r="I1905" s="60"/>
      <c r="J1905" s="60"/>
      <c r="K1905" s="60"/>
      <c r="L1905" s="60"/>
      <c r="M1905" s="64"/>
      <c r="N1905" s="33"/>
    </row>
    <row r="1906" ht="24" customHeight="1" spans="2:14">
      <c r="B1906" s="33"/>
      <c r="C1906" s="60"/>
      <c r="D1906" s="60"/>
      <c r="E1906" s="60"/>
      <c r="F1906" s="60"/>
      <c r="G1906" s="60"/>
      <c r="H1906" s="60"/>
      <c r="I1906" s="60"/>
      <c r="J1906" s="60"/>
      <c r="K1906" s="60"/>
      <c r="L1906" s="60"/>
      <c r="M1906" s="64"/>
      <c r="N1906" s="33"/>
    </row>
    <row r="1907" ht="24" customHeight="1" spans="2:14">
      <c r="B1907" s="33"/>
      <c r="C1907" s="60"/>
      <c r="D1907" s="60"/>
      <c r="E1907" s="60"/>
      <c r="F1907" s="60"/>
      <c r="G1907" s="60"/>
      <c r="H1907" s="60"/>
      <c r="I1907" s="60"/>
      <c r="J1907" s="60"/>
      <c r="K1907" s="60"/>
      <c r="L1907" s="60"/>
      <c r="M1907" s="64"/>
      <c r="N1907" s="33"/>
    </row>
    <row r="1908" ht="24" customHeight="1" spans="2:14">
      <c r="B1908" s="33"/>
      <c r="C1908" s="60"/>
      <c r="D1908" s="60"/>
      <c r="E1908" s="60"/>
      <c r="F1908" s="60"/>
      <c r="G1908" s="60"/>
      <c r="H1908" s="60"/>
      <c r="I1908" s="60"/>
      <c r="J1908" s="60"/>
      <c r="K1908" s="60"/>
      <c r="L1908" s="60"/>
      <c r="M1908" s="64"/>
      <c r="N1908" s="33"/>
    </row>
    <row r="1909" ht="24" customHeight="1" spans="2:14">
      <c r="B1909" s="33"/>
      <c r="C1909" s="60"/>
      <c r="D1909" s="60"/>
      <c r="E1909" s="60"/>
      <c r="F1909" s="60"/>
      <c r="G1909" s="60"/>
      <c r="H1909" s="60"/>
      <c r="I1909" s="60"/>
      <c r="J1909" s="60"/>
      <c r="K1909" s="60"/>
      <c r="L1909" s="60"/>
      <c r="M1909" s="64"/>
      <c r="N1909" s="33"/>
    </row>
    <row r="1910" ht="24" customHeight="1" spans="2:14">
      <c r="B1910" s="33"/>
      <c r="C1910" s="60"/>
      <c r="D1910" s="60"/>
      <c r="E1910" s="60"/>
      <c r="F1910" s="60"/>
      <c r="G1910" s="60"/>
      <c r="H1910" s="60"/>
      <c r="I1910" s="60"/>
      <c r="J1910" s="60"/>
      <c r="K1910" s="60"/>
      <c r="L1910" s="60"/>
      <c r="M1910" s="64"/>
      <c r="N1910" s="33"/>
    </row>
    <row r="1911" ht="24" customHeight="1" spans="2:14">
      <c r="B1911" s="33"/>
      <c r="C1911" s="60"/>
      <c r="D1911" s="60"/>
      <c r="E1911" s="60"/>
      <c r="F1911" s="60"/>
      <c r="G1911" s="60"/>
      <c r="H1911" s="60"/>
      <c r="I1911" s="60"/>
      <c r="J1911" s="60"/>
      <c r="K1911" s="60"/>
      <c r="L1911" s="60"/>
      <c r="M1911" s="64"/>
      <c r="N1911" s="33"/>
    </row>
    <row r="1912" ht="24" customHeight="1" spans="2:14">
      <c r="B1912" s="33"/>
      <c r="C1912" s="60"/>
      <c r="D1912" s="60"/>
      <c r="E1912" s="60"/>
      <c r="F1912" s="60"/>
      <c r="G1912" s="60"/>
      <c r="H1912" s="60"/>
      <c r="I1912" s="60"/>
      <c r="J1912" s="60"/>
      <c r="K1912" s="60"/>
      <c r="L1912" s="60"/>
      <c r="M1912" s="64"/>
      <c r="N1912" s="33"/>
    </row>
    <row r="1913" ht="24" customHeight="1" spans="2:14">
      <c r="B1913" s="33"/>
      <c r="C1913" s="60"/>
      <c r="D1913" s="60"/>
      <c r="E1913" s="60"/>
      <c r="F1913" s="60"/>
      <c r="G1913" s="60"/>
      <c r="H1913" s="60"/>
      <c r="I1913" s="60"/>
      <c r="J1913" s="60"/>
      <c r="K1913" s="60"/>
      <c r="L1913" s="60"/>
      <c r="M1913" s="64"/>
      <c r="N1913" s="33"/>
    </row>
    <row r="1914" ht="24" customHeight="1" spans="2:14">
      <c r="B1914" s="33"/>
      <c r="C1914" s="60"/>
      <c r="D1914" s="60"/>
      <c r="E1914" s="60"/>
      <c r="F1914" s="60"/>
      <c r="G1914" s="60"/>
      <c r="H1914" s="60"/>
      <c r="I1914" s="60"/>
      <c r="J1914" s="60"/>
      <c r="K1914" s="60"/>
      <c r="L1914" s="60"/>
      <c r="M1914" s="64"/>
      <c r="N1914" s="33"/>
    </row>
    <row r="1915" ht="24" customHeight="1" spans="2:14">
      <c r="B1915" s="33"/>
      <c r="C1915" s="60"/>
      <c r="D1915" s="60"/>
      <c r="E1915" s="60"/>
      <c r="F1915" s="60"/>
      <c r="G1915" s="60"/>
      <c r="H1915" s="60"/>
      <c r="I1915" s="60"/>
      <c r="J1915" s="60"/>
      <c r="K1915" s="60"/>
      <c r="L1915" s="60"/>
      <c r="M1915" s="64"/>
      <c r="N1915" s="33"/>
    </row>
    <row r="1916" ht="24" customHeight="1" spans="2:14">
      <c r="B1916" s="33"/>
      <c r="C1916" s="60"/>
      <c r="D1916" s="60"/>
      <c r="E1916" s="60"/>
      <c r="F1916" s="60"/>
      <c r="G1916" s="60"/>
      <c r="H1916" s="60"/>
      <c r="I1916" s="60"/>
      <c r="J1916" s="60"/>
      <c r="K1916" s="60"/>
      <c r="L1916" s="60"/>
      <c r="M1916" s="64"/>
      <c r="N1916" s="33"/>
    </row>
    <row r="1917" ht="24" customHeight="1" spans="2:14">
      <c r="B1917" s="33"/>
      <c r="C1917" s="60"/>
      <c r="D1917" s="60"/>
      <c r="E1917" s="60"/>
      <c r="F1917" s="60"/>
      <c r="G1917" s="60"/>
      <c r="H1917" s="60"/>
      <c r="I1917" s="60"/>
      <c r="J1917" s="60"/>
      <c r="K1917" s="60"/>
      <c r="L1917" s="60"/>
      <c r="M1917" s="64"/>
      <c r="N1917" s="33"/>
    </row>
    <row r="1918" ht="24" customHeight="1" spans="2:14">
      <c r="B1918" s="33"/>
      <c r="C1918" s="60"/>
      <c r="D1918" s="60"/>
      <c r="E1918" s="60"/>
      <c r="F1918" s="60"/>
      <c r="G1918" s="60"/>
      <c r="H1918" s="60"/>
      <c r="I1918" s="60"/>
      <c r="J1918" s="60"/>
      <c r="K1918" s="60"/>
      <c r="L1918" s="60"/>
      <c r="M1918" s="64"/>
      <c r="N1918" s="33"/>
    </row>
    <row r="1919" ht="24" customHeight="1" spans="2:14">
      <c r="B1919" s="33"/>
      <c r="C1919" s="60"/>
      <c r="D1919" s="60"/>
      <c r="E1919" s="60"/>
      <c r="F1919" s="60"/>
      <c r="G1919" s="60"/>
      <c r="H1919" s="60"/>
      <c r="I1919" s="60"/>
      <c r="J1919" s="60"/>
      <c r="K1919" s="60"/>
      <c r="L1919" s="60"/>
      <c r="M1919" s="64"/>
      <c r="N1919" s="33"/>
    </row>
    <row r="1920" ht="24" customHeight="1" spans="2:14">
      <c r="B1920" s="33"/>
      <c r="C1920" s="60"/>
      <c r="D1920" s="60"/>
      <c r="E1920" s="60"/>
      <c r="F1920" s="60"/>
      <c r="G1920" s="60"/>
      <c r="H1920" s="60"/>
      <c r="I1920" s="60"/>
      <c r="J1920" s="60"/>
      <c r="K1920" s="60"/>
      <c r="L1920" s="60"/>
      <c r="M1920" s="64"/>
      <c r="N1920" s="33"/>
    </row>
    <row r="1921" ht="24" customHeight="1" spans="2:14">
      <c r="B1921" s="33"/>
      <c r="C1921" s="60"/>
      <c r="D1921" s="60"/>
      <c r="E1921" s="60"/>
      <c r="F1921" s="60"/>
      <c r="G1921" s="60"/>
      <c r="H1921" s="60"/>
      <c r="I1921" s="60"/>
      <c r="J1921" s="60"/>
      <c r="K1921" s="60"/>
      <c r="L1921" s="60"/>
      <c r="M1921" s="64"/>
      <c r="N1921" s="33"/>
    </row>
    <row r="1922" ht="24" customHeight="1" spans="2:14">
      <c r="B1922" s="33"/>
      <c r="C1922" s="60"/>
      <c r="D1922" s="60"/>
      <c r="E1922" s="60"/>
      <c r="F1922" s="60"/>
      <c r="G1922" s="60"/>
      <c r="H1922" s="60"/>
      <c r="I1922" s="60"/>
      <c r="J1922" s="60"/>
      <c r="K1922" s="60"/>
      <c r="L1922" s="60"/>
      <c r="M1922" s="64"/>
      <c r="N1922" s="33"/>
    </row>
    <row r="1923" ht="24" customHeight="1" spans="2:14">
      <c r="B1923" s="33"/>
      <c r="C1923" s="60"/>
      <c r="D1923" s="60"/>
      <c r="E1923" s="60"/>
      <c r="F1923" s="60"/>
      <c r="G1923" s="60"/>
      <c r="H1923" s="60"/>
      <c r="I1923" s="60"/>
      <c r="J1923" s="60"/>
      <c r="K1923" s="60"/>
      <c r="L1923" s="60"/>
      <c r="M1923" s="64"/>
      <c r="N1923" s="33"/>
    </row>
    <row r="1924" ht="24" customHeight="1" spans="2:14">
      <c r="B1924" s="33"/>
      <c r="C1924" s="60"/>
      <c r="D1924" s="60"/>
      <c r="E1924" s="60"/>
      <c r="F1924" s="60"/>
      <c r="G1924" s="60"/>
      <c r="H1924" s="60"/>
      <c r="I1924" s="60"/>
      <c r="J1924" s="60"/>
      <c r="K1924" s="60"/>
      <c r="L1924" s="60"/>
      <c r="M1924" s="64"/>
      <c r="N1924" s="33"/>
    </row>
    <row r="1925" ht="24" customHeight="1" spans="2:14">
      <c r="B1925" s="33"/>
      <c r="C1925" s="60"/>
      <c r="D1925" s="60"/>
      <c r="E1925" s="60"/>
      <c r="F1925" s="60"/>
      <c r="G1925" s="60"/>
      <c r="H1925" s="60"/>
      <c r="I1925" s="60"/>
      <c r="J1925" s="60"/>
      <c r="K1925" s="60"/>
      <c r="L1925" s="60"/>
      <c r="M1925" s="64"/>
      <c r="N1925" s="33"/>
    </row>
    <row r="1926" ht="24" customHeight="1" spans="2:14">
      <c r="B1926" s="33"/>
      <c r="C1926" s="60"/>
      <c r="D1926" s="60"/>
      <c r="E1926" s="60"/>
      <c r="F1926" s="60"/>
      <c r="G1926" s="60"/>
      <c r="H1926" s="60"/>
      <c r="I1926" s="60"/>
      <c r="J1926" s="60"/>
      <c r="K1926" s="60"/>
      <c r="L1926" s="60"/>
      <c r="M1926" s="64"/>
      <c r="N1926" s="33"/>
    </row>
    <row r="1927" ht="24" customHeight="1" spans="2:14">
      <c r="B1927" s="33"/>
      <c r="C1927" s="60"/>
      <c r="D1927" s="60"/>
      <c r="E1927" s="60"/>
      <c r="F1927" s="60"/>
      <c r="G1927" s="60"/>
      <c r="H1927" s="60"/>
      <c r="I1927" s="60"/>
      <c r="J1927" s="60"/>
      <c r="K1927" s="60"/>
      <c r="L1927" s="60"/>
      <c r="M1927" s="64"/>
      <c r="N1927" s="33"/>
    </row>
    <row r="1928" ht="24" customHeight="1" spans="2:14">
      <c r="B1928" s="33"/>
      <c r="C1928" s="60"/>
      <c r="D1928" s="60"/>
      <c r="E1928" s="60"/>
      <c r="F1928" s="60"/>
      <c r="G1928" s="60"/>
      <c r="H1928" s="60"/>
      <c r="I1928" s="60"/>
      <c r="J1928" s="60"/>
      <c r="K1928" s="60"/>
      <c r="L1928" s="60"/>
      <c r="M1928" s="64"/>
      <c r="N1928" s="33"/>
    </row>
    <row r="1929" ht="24" customHeight="1" spans="2:14">
      <c r="B1929" s="33"/>
      <c r="C1929" s="60"/>
      <c r="D1929" s="60"/>
      <c r="E1929" s="60"/>
      <c r="F1929" s="60"/>
      <c r="G1929" s="60"/>
      <c r="H1929" s="60"/>
      <c r="I1929" s="60"/>
      <c r="J1929" s="60"/>
      <c r="K1929" s="60"/>
      <c r="L1929" s="60"/>
      <c r="M1929" s="64"/>
      <c r="N1929" s="33"/>
    </row>
    <row r="1930" ht="24" customHeight="1" spans="2:14">
      <c r="B1930" s="33"/>
      <c r="C1930" s="60"/>
      <c r="D1930" s="60"/>
      <c r="E1930" s="60"/>
      <c r="F1930" s="60"/>
      <c r="G1930" s="60"/>
      <c r="H1930" s="60"/>
      <c r="I1930" s="60"/>
      <c r="J1930" s="60"/>
      <c r="K1930" s="60"/>
      <c r="L1930" s="60"/>
      <c r="M1930" s="64"/>
      <c r="N1930" s="33"/>
    </row>
    <row r="1931" ht="24" customHeight="1" spans="2:14">
      <c r="B1931" s="33"/>
      <c r="C1931" s="60"/>
      <c r="D1931" s="60"/>
      <c r="E1931" s="60"/>
      <c r="F1931" s="60"/>
      <c r="G1931" s="60"/>
      <c r="H1931" s="60"/>
      <c r="I1931" s="60"/>
      <c r="J1931" s="60"/>
      <c r="K1931" s="60"/>
      <c r="L1931" s="60"/>
      <c r="M1931" s="64"/>
      <c r="N1931" s="33"/>
    </row>
    <row r="1932" ht="24" customHeight="1" spans="2:14">
      <c r="B1932" s="33"/>
      <c r="C1932" s="60"/>
      <c r="D1932" s="60"/>
      <c r="E1932" s="60"/>
      <c r="F1932" s="60"/>
      <c r="G1932" s="60"/>
      <c r="H1932" s="60"/>
      <c r="I1932" s="60"/>
      <c r="J1932" s="60"/>
      <c r="K1932" s="60"/>
      <c r="L1932" s="60"/>
      <c r="M1932" s="64"/>
      <c r="N1932" s="33"/>
    </row>
    <row r="1933" ht="24" customHeight="1" spans="2:14">
      <c r="B1933" s="33"/>
      <c r="C1933" s="60"/>
      <c r="D1933" s="60"/>
      <c r="E1933" s="60"/>
      <c r="F1933" s="60"/>
      <c r="G1933" s="60"/>
      <c r="H1933" s="60"/>
      <c r="I1933" s="60"/>
      <c r="J1933" s="60"/>
      <c r="K1933" s="60"/>
      <c r="L1933" s="60"/>
      <c r="M1933" s="64"/>
      <c r="N1933" s="33"/>
    </row>
    <row r="1934" ht="24" customHeight="1" spans="2:14">
      <c r="B1934" s="33"/>
      <c r="C1934" s="60"/>
      <c r="D1934" s="60"/>
      <c r="E1934" s="60"/>
      <c r="F1934" s="60"/>
      <c r="G1934" s="60"/>
      <c r="H1934" s="60"/>
      <c r="I1934" s="60"/>
      <c r="J1934" s="60"/>
      <c r="K1934" s="60"/>
      <c r="L1934" s="60"/>
      <c r="M1934" s="64"/>
      <c r="N1934" s="33"/>
    </row>
    <row r="1935" ht="24" customHeight="1" spans="2:14">
      <c r="B1935" s="33"/>
      <c r="C1935" s="60"/>
      <c r="D1935" s="60"/>
      <c r="E1935" s="60"/>
      <c r="F1935" s="60"/>
      <c r="G1935" s="60"/>
      <c r="H1935" s="60"/>
      <c r="I1935" s="60"/>
      <c r="J1935" s="60"/>
      <c r="K1935" s="60"/>
      <c r="L1935" s="60"/>
      <c r="M1935" s="64"/>
      <c r="N1935" s="33"/>
    </row>
    <row r="1936" ht="24" customHeight="1" spans="2:14">
      <c r="B1936" s="33"/>
      <c r="C1936" s="60"/>
      <c r="D1936" s="60"/>
      <c r="E1936" s="60"/>
      <c r="F1936" s="60"/>
      <c r="G1936" s="60"/>
      <c r="H1936" s="60"/>
      <c r="I1936" s="60"/>
      <c r="J1936" s="60"/>
      <c r="K1936" s="60"/>
      <c r="L1936" s="60"/>
      <c r="M1936" s="64"/>
      <c r="N1936" s="33"/>
    </row>
    <row r="1937" ht="24" customHeight="1" spans="2:14">
      <c r="B1937" s="33"/>
      <c r="C1937" s="60"/>
      <c r="D1937" s="60"/>
      <c r="E1937" s="60"/>
      <c r="F1937" s="60"/>
      <c r="G1937" s="60"/>
      <c r="H1937" s="60"/>
      <c r="I1937" s="60"/>
      <c r="J1937" s="60"/>
      <c r="K1937" s="60"/>
      <c r="L1937" s="60"/>
      <c r="M1937" s="64"/>
      <c r="N1937" s="33"/>
    </row>
    <row r="1938" ht="24" customHeight="1" spans="2:14">
      <c r="B1938" s="33"/>
      <c r="C1938" s="60"/>
      <c r="D1938" s="60"/>
      <c r="E1938" s="60"/>
      <c r="F1938" s="60"/>
      <c r="G1938" s="60"/>
      <c r="H1938" s="60"/>
      <c r="I1938" s="60"/>
      <c r="J1938" s="60"/>
      <c r="K1938" s="60"/>
      <c r="L1938" s="60"/>
      <c r="M1938" s="64"/>
      <c r="N1938" s="33"/>
    </row>
    <row r="1939" ht="24" customHeight="1" spans="2:14">
      <c r="B1939" s="33"/>
      <c r="C1939" s="60"/>
      <c r="D1939" s="60"/>
      <c r="E1939" s="60"/>
      <c r="F1939" s="60"/>
      <c r="G1939" s="60"/>
      <c r="H1939" s="60"/>
      <c r="I1939" s="60"/>
      <c r="J1939" s="60"/>
      <c r="K1939" s="60"/>
      <c r="L1939" s="60"/>
      <c r="M1939" s="64"/>
      <c r="N1939" s="33"/>
    </row>
    <row r="1940" ht="24" customHeight="1" spans="2:14">
      <c r="B1940" s="33"/>
      <c r="C1940" s="60"/>
      <c r="D1940" s="60"/>
      <c r="E1940" s="60"/>
      <c r="F1940" s="60"/>
      <c r="G1940" s="60"/>
      <c r="H1940" s="60"/>
      <c r="I1940" s="60"/>
      <c r="J1940" s="60"/>
      <c r="K1940" s="60"/>
      <c r="L1940" s="60"/>
      <c r="M1940" s="64"/>
      <c r="N1940" s="33"/>
    </row>
    <row r="1941" ht="24" customHeight="1" spans="2:14">
      <c r="B1941" s="33"/>
      <c r="C1941" s="60"/>
      <c r="D1941" s="60"/>
      <c r="E1941" s="60"/>
      <c r="F1941" s="60"/>
      <c r="G1941" s="60"/>
      <c r="H1941" s="60"/>
      <c r="I1941" s="60"/>
      <c r="J1941" s="60"/>
      <c r="K1941" s="60"/>
      <c r="L1941" s="60"/>
      <c r="M1941" s="64"/>
      <c r="N1941" s="33"/>
    </row>
    <row r="1942" ht="24" customHeight="1" spans="2:14">
      <c r="B1942" s="33"/>
      <c r="C1942" s="60"/>
      <c r="D1942" s="60"/>
      <c r="E1942" s="60"/>
      <c r="F1942" s="60"/>
      <c r="G1942" s="60"/>
      <c r="H1942" s="60"/>
      <c r="I1942" s="60"/>
      <c r="J1942" s="60"/>
      <c r="K1942" s="60"/>
      <c r="L1942" s="60"/>
      <c r="M1942" s="64"/>
      <c r="N1942" s="33"/>
    </row>
    <row r="1943" ht="24" customHeight="1" spans="2:14">
      <c r="B1943" s="33"/>
      <c r="C1943" s="60"/>
      <c r="D1943" s="60"/>
      <c r="E1943" s="60"/>
      <c r="F1943" s="60"/>
      <c r="G1943" s="60"/>
      <c r="H1943" s="60"/>
      <c r="I1943" s="60"/>
      <c r="J1943" s="60"/>
      <c r="K1943" s="60"/>
      <c r="L1943" s="60"/>
      <c r="M1943" s="64"/>
      <c r="N1943" s="33"/>
    </row>
    <row r="1944" ht="24" customHeight="1" spans="2:14">
      <c r="B1944" s="33"/>
      <c r="C1944" s="60"/>
      <c r="D1944" s="60"/>
      <c r="E1944" s="60"/>
      <c r="F1944" s="60"/>
      <c r="G1944" s="60"/>
      <c r="H1944" s="60"/>
      <c r="I1944" s="60"/>
      <c r="J1944" s="60"/>
      <c r="K1944" s="60"/>
      <c r="L1944" s="60"/>
      <c r="M1944" s="64"/>
      <c r="N1944" s="33"/>
    </row>
    <row r="1945" ht="24" customHeight="1" spans="2:14">
      <c r="B1945" s="33"/>
      <c r="C1945" s="60"/>
      <c r="D1945" s="60"/>
      <c r="E1945" s="60"/>
      <c r="F1945" s="60"/>
      <c r="G1945" s="60"/>
      <c r="H1945" s="60"/>
      <c r="I1945" s="60"/>
      <c r="J1945" s="60"/>
      <c r="K1945" s="60"/>
      <c r="L1945" s="60"/>
      <c r="M1945" s="64"/>
      <c r="N1945" s="33"/>
    </row>
    <row r="1946" ht="24" customHeight="1" spans="2:14">
      <c r="B1946" s="33"/>
      <c r="C1946" s="60"/>
      <c r="D1946" s="60"/>
      <c r="E1946" s="60"/>
      <c r="F1946" s="60"/>
      <c r="G1946" s="60"/>
      <c r="H1946" s="60"/>
      <c r="I1946" s="60"/>
      <c r="J1946" s="60"/>
      <c r="K1946" s="60"/>
      <c r="L1946" s="60"/>
      <c r="M1946" s="64"/>
      <c r="N1946" s="33"/>
    </row>
    <row r="1947" ht="24" customHeight="1" spans="2:14">
      <c r="B1947" s="33"/>
      <c r="C1947" s="60"/>
      <c r="D1947" s="60"/>
      <c r="E1947" s="60"/>
      <c r="F1947" s="60"/>
      <c r="G1947" s="60"/>
      <c r="H1947" s="60"/>
      <c r="I1947" s="60"/>
      <c r="J1947" s="60"/>
      <c r="K1947" s="60"/>
      <c r="L1947" s="60"/>
      <c r="M1947" s="64"/>
      <c r="N1947" s="33"/>
    </row>
    <row r="1948" ht="24" customHeight="1" spans="2:14">
      <c r="B1948" s="33"/>
      <c r="C1948" s="60"/>
      <c r="D1948" s="60"/>
      <c r="E1948" s="60"/>
      <c r="F1948" s="60"/>
      <c r="G1948" s="60"/>
      <c r="H1948" s="60"/>
      <c r="I1948" s="60"/>
      <c r="J1948" s="60"/>
      <c r="K1948" s="60"/>
      <c r="L1948" s="60"/>
      <c r="M1948" s="64"/>
      <c r="N1948" s="33"/>
    </row>
    <row r="1949" ht="24" customHeight="1" spans="2:14">
      <c r="B1949" s="33"/>
      <c r="C1949" s="60"/>
      <c r="D1949" s="60"/>
      <c r="E1949" s="60"/>
      <c r="F1949" s="60"/>
      <c r="G1949" s="60"/>
      <c r="H1949" s="60"/>
      <c r="I1949" s="60"/>
      <c r="J1949" s="60"/>
      <c r="K1949" s="60"/>
      <c r="L1949" s="60"/>
      <c r="M1949" s="64"/>
      <c r="N1949" s="33"/>
    </row>
    <row r="1950" ht="24" customHeight="1" spans="2:14">
      <c r="B1950" s="33"/>
      <c r="C1950" s="60"/>
      <c r="D1950" s="60"/>
      <c r="E1950" s="60"/>
      <c r="F1950" s="60"/>
      <c r="G1950" s="60"/>
      <c r="H1950" s="60"/>
      <c r="I1950" s="60"/>
      <c r="J1950" s="60"/>
      <c r="K1950" s="60"/>
      <c r="L1950" s="60"/>
      <c r="M1950" s="64"/>
      <c r="N1950" s="33"/>
    </row>
    <row r="1951" ht="24" customHeight="1" spans="2:14">
      <c r="B1951" s="33"/>
      <c r="C1951" s="60"/>
      <c r="D1951" s="60"/>
      <c r="E1951" s="60"/>
      <c r="F1951" s="60"/>
      <c r="G1951" s="60"/>
      <c r="H1951" s="60"/>
      <c r="I1951" s="60"/>
      <c r="J1951" s="60"/>
      <c r="K1951" s="60"/>
      <c r="L1951" s="60"/>
      <c r="M1951" s="64"/>
      <c r="N1951" s="33"/>
    </row>
    <row r="1952" ht="24" customHeight="1" spans="2:14">
      <c r="B1952" s="33"/>
      <c r="C1952" s="60"/>
      <c r="D1952" s="60"/>
      <c r="E1952" s="60"/>
      <c r="F1952" s="60"/>
      <c r="G1952" s="60"/>
      <c r="H1952" s="60"/>
      <c r="I1952" s="60"/>
      <c r="J1952" s="60"/>
      <c r="K1952" s="60"/>
      <c r="L1952" s="60"/>
      <c r="M1952" s="64"/>
      <c r="N1952" s="33"/>
    </row>
    <row r="1953" ht="24" customHeight="1" spans="2:14">
      <c r="B1953" s="33"/>
      <c r="C1953" s="60"/>
      <c r="D1953" s="60"/>
      <c r="E1953" s="60"/>
      <c r="F1953" s="60"/>
      <c r="G1953" s="60"/>
      <c r="H1953" s="60"/>
      <c r="I1953" s="60"/>
      <c r="J1953" s="60"/>
      <c r="K1953" s="60"/>
      <c r="L1953" s="60"/>
      <c r="M1953" s="64"/>
      <c r="N1953" s="33"/>
    </row>
    <row r="1954" ht="24" customHeight="1" spans="2:14">
      <c r="B1954" s="33"/>
      <c r="C1954" s="60"/>
      <c r="D1954" s="60"/>
      <c r="E1954" s="60"/>
      <c r="F1954" s="60"/>
      <c r="G1954" s="60"/>
      <c r="H1954" s="60"/>
      <c r="I1954" s="60"/>
      <c r="J1954" s="60"/>
      <c r="K1954" s="60"/>
      <c r="L1954" s="60"/>
      <c r="M1954" s="64"/>
      <c r="N1954" s="33"/>
    </row>
    <row r="1955" ht="24" customHeight="1" spans="2:14">
      <c r="B1955" s="33"/>
      <c r="C1955" s="60"/>
      <c r="D1955" s="60"/>
      <c r="E1955" s="60"/>
      <c r="F1955" s="60"/>
      <c r="G1955" s="60"/>
      <c r="H1955" s="60"/>
      <c r="I1955" s="60"/>
      <c r="J1955" s="60"/>
      <c r="K1955" s="60"/>
      <c r="L1955" s="60"/>
      <c r="M1955" s="64"/>
      <c r="N1955" s="33"/>
    </row>
    <row r="1956" ht="24" customHeight="1" spans="2:14">
      <c r="B1956" s="33"/>
      <c r="C1956" s="60"/>
      <c r="D1956" s="60"/>
      <c r="E1956" s="60"/>
      <c r="F1956" s="60"/>
      <c r="G1956" s="60"/>
      <c r="H1956" s="60"/>
      <c r="I1956" s="60"/>
      <c r="J1956" s="60"/>
      <c r="K1956" s="60"/>
      <c r="L1956" s="60"/>
      <c r="M1956" s="64"/>
      <c r="N1956" s="33"/>
    </row>
    <row r="1957" ht="24" customHeight="1" spans="2:14">
      <c r="B1957" s="33"/>
      <c r="C1957" s="60"/>
      <c r="D1957" s="60"/>
      <c r="E1957" s="60"/>
      <c r="F1957" s="60"/>
      <c r="G1957" s="60"/>
      <c r="H1957" s="60"/>
      <c r="I1957" s="60"/>
      <c r="J1957" s="60"/>
      <c r="K1957" s="60"/>
      <c r="L1957" s="60"/>
      <c r="M1957" s="64"/>
      <c r="N1957" s="33"/>
    </row>
    <row r="1958" ht="24" customHeight="1" spans="2:14">
      <c r="B1958" s="33"/>
      <c r="C1958" s="60"/>
      <c r="D1958" s="60"/>
      <c r="E1958" s="60"/>
      <c r="F1958" s="60"/>
      <c r="G1958" s="60"/>
      <c r="H1958" s="60"/>
      <c r="I1958" s="60"/>
      <c r="J1958" s="60"/>
      <c r="K1958" s="60"/>
      <c r="L1958" s="60"/>
      <c r="M1958" s="64"/>
      <c r="N1958" s="33"/>
    </row>
    <row r="1959" ht="24" customHeight="1" spans="2:14">
      <c r="B1959" s="33"/>
      <c r="C1959" s="60"/>
      <c r="D1959" s="60"/>
      <c r="E1959" s="60"/>
      <c r="F1959" s="60"/>
      <c r="G1959" s="60"/>
      <c r="H1959" s="60"/>
      <c r="I1959" s="60"/>
      <c r="J1959" s="60"/>
      <c r="K1959" s="60"/>
      <c r="L1959" s="60"/>
      <c r="M1959" s="64"/>
      <c r="N1959" s="33"/>
    </row>
    <row r="1960" ht="24" customHeight="1" spans="2:14">
      <c r="B1960" s="33"/>
      <c r="C1960" s="60"/>
      <c r="D1960" s="60"/>
      <c r="E1960" s="60"/>
      <c r="F1960" s="60"/>
      <c r="G1960" s="60"/>
      <c r="H1960" s="60"/>
      <c r="I1960" s="60"/>
      <c r="J1960" s="60"/>
      <c r="K1960" s="60"/>
      <c r="L1960" s="60"/>
      <c r="M1960" s="64"/>
      <c r="N1960" s="33"/>
    </row>
    <row r="1961" ht="24" customHeight="1" spans="2:14">
      <c r="B1961" s="33"/>
      <c r="C1961" s="60"/>
      <c r="D1961" s="60"/>
      <c r="E1961" s="60"/>
      <c r="F1961" s="60"/>
      <c r="G1961" s="60"/>
      <c r="H1961" s="60"/>
      <c r="I1961" s="60"/>
      <c r="J1961" s="60"/>
      <c r="K1961" s="60"/>
      <c r="L1961" s="60"/>
      <c r="M1961" s="64"/>
      <c r="N1961" s="33"/>
    </row>
    <row r="1962" ht="24" customHeight="1" spans="2:14">
      <c r="B1962" s="33"/>
      <c r="C1962" s="60"/>
      <c r="D1962" s="60"/>
      <c r="E1962" s="60"/>
      <c r="F1962" s="60"/>
      <c r="G1962" s="60"/>
      <c r="H1962" s="60"/>
      <c r="I1962" s="60"/>
      <c r="J1962" s="60"/>
      <c r="K1962" s="60"/>
      <c r="L1962" s="60"/>
      <c r="M1962" s="64"/>
      <c r="N1962" s="33"/>
    </row>
    <row r="1963" ht="24" customHeight="1" spans="2:14">
      <c r="B1963" s="33"/>
      <c r="C1963" s="60"/>
      <c r="D1963" s="60"/>
      <c r="E1963" s="60"/>
      <c r="F1963" s="60"/>
      <c r="G1963" s="60"/>
      <c r="H1963" s="60"/>
      <c r="I1963" s="60"/>
      <c r="J1963" s="60"/>
      <c r="K1963" s="60"/>
      <c r="L1963" s="60"/>
      <c r="M1963" s="64"/>
      <c r="N1963" s="33"/>
    </row>
    <row r="1964" ht="24" customHeight="1" spans="2:14">
      <c r="B1964" s="33"/>
      <c r="C1964" s="60"/>
      <c r="D1964" s="60"/>
      <c r="E1964" s="60"/>
      <c r="F1964" s="60"/>
      <c r="G1964" s="60"/>
      <c r="H1964" s="60"/>
      <c r="I1964" s="60"/>
      <c r="J1964" s="60"/>
      <c r="K1964" s="60"/>
      <c r="L1964" s="60"/>
      <c r="M1964" s="64"/>
      <c r="N1964" s="33"/>
    </row>
    <row r="1965" ht="24" customHeight="1" spans="2:14">
      <c r="B1965" s="33"/>
      <c r="C1965" s="60"/>
      <c r="D1965" s="60"/>
      <c r="E1965" s="60"/>
      <c r="F1965" s="60"/>
      <c r="G1965" s="60"/>
      <c r="H1965" s="60"/>
      <c r="I1965" s="60"/>
      <c r="J1965" s="60"/>
      <c r="K1965" s="60"/>
      <c r="L1965" s="60"/>
      <c r="M1965" s="64"/>
      <c r="N1965" s="33"/>
    </row>
    <row r="1966" ht="24" customHeight="1" spans="2:14">
      <c r="B1966" s="33"/>
      <c r="C1966" s="60"/>
      <c r="D1966" s="60"/>
      <c r="E1966" s="60"/>
      <c r="F1966" s="60"/>
      <c r="G1966" s="60"/>
      <c r="H1966" s="60"/>
      <c r="I1966" s="60"/>
      <c r="J1966" s="60"/>
      <c r="K1966" s="60"/>
      <c r="L1966" s="60"/>
      <c r="M1966" s="64"/>
      <c r="N1966" s="33"/>
    </row>
    <row r="1967" ht="24" customHeight="1" spans="2:14">
      <c r="B1967" s="33"/>
      <c r="C1967" s="60"/>
      <c r="D1967" s="60"/>
      <c r="E1967" s="60"/>
      <c r="F1967" s="60"/>
      <c r="G1967" s="60"/>
      <c r="H1967" s="60"/>
      <c r="I1967" s="60"/>
      <c r="J1967" s="60"/>
      <c r="K1967" s="60"/>
      <c r="L1967" s="60"/>
      <c r="M1967" s="64"/>
      <c r="N1967" s="33"/>
    </row>
    <row r="1968" ht="24" customHeight="1" spans="2:14">
      <c r="B1968" s="33"/>
      <c r="C1968" s="60"/>
      <c r="D1968" s="60"/>
      <c r="E1968" s="60"/>
      <c r="F1968" s="60"/>
      <c r="G1968" s="60"/>
      <c r="H1968" s="60"/>
      <c r="I1968" s="60"/>
      <c r="J1968" s="60"/>
      <c r="K1968" s="60"/>
      <c r="L1968" s="60"/>
      <c r="M1968" s="64"/>
      <c r="N1968" s="33"/>
    </row>
    <row r="1969" ht="24" customHeight="1" spans="2:14">
      <c r="B1969" s="33"/>
      <c r="C1969" s="60"/>
      <c r="D1969" s="60"/>
      <c r="E1969" s="60"/>
      <c r="F1969" s="60"/>
      <c r="G1969" s="60"/>
      <c r="H1969" s="60"/>
      <c r="I1969" s="60"/>
      <c r="J1969" s="60"/>
      <c r="K1969" s="60"/>
      <c r="L1969" s="60"/>
      <c r="M1969" s="64"/>
      <c r="N1969" s="33"/>
    </row>
    <row r="1970" ht="24" customHeight="1" spans="2:14">
      <c r="B1970" s="33"/>
      <c r="C1970" s="60"/>
      <c r="D1970" s="60"/>
      <c r="E1970" s="60"/>
      <c r="F1970" s="60"/>
      <c r="G1970" s="60"/>
      <c r="H1970" s="60"/>
      <c r="I1970" s="60"/>
      <c r="J1970" s="60"/>
      <c r="K1970" s="60"/>
      <c r="L1970" s="60"/>
      <c r="M1970" s="64"/>
      <c r="N1970" s="33"/>
    </row>
    <row r="1971" ht="24" customHeight="1" spans="2:14">
      <c r="B1971" s="33"/>
      <c r="C1971" s="60"/>
      <c r="D1971" s="60"/>
      <c r="E1971" s="60"/>
      <c r="F1971" s="60"/>
      <c r="G1971" s="60"/>
      <c r="H1971" s="60"/>
      <c r="I1971" s="60"/>
      <c r="J1971" s="60"/>
      <c r="K1971" s="60"/>
      <c r="L1971" s="60"/>
      <c r="M1971" s="64"/>
      <c r="N1971" s="33"/>
    </row>
    <row r="1972" ht="24" customHeight="1" spans="2:14">
      <c r="B1972" s="33"/>
      <c r="C1972" s="60"/>
      <c r="D1972" s="60"/>
      <c r="E1972" s="60"/>
      <c r="F1972" s="60"/>
      <c r="G1972" s="60"/>
      <c r="H1972" s="60"/>
      <c r="I1972" s="60"/>
      <c r="J1972" s="60"/>
      <c r="K1972" s="60"/>
      <c r="L1972" s="60"/>
      <c r="M1972" s="64"/>
      <c r="N1972" s="33"/>
    </row>
    <row r="1973" ht="24" customHeight="1" spans="2:14">
      <c r="B1973" s="33"/>
      <c r="C1973" s="60"/>
      <c r="D1973" s="60"/>
      <c r="E1973" s="60"/>
      <c r="F1973" s="60"/>
      <c r="G1973" s="60"/>
      <c r="H1973" s="60"/>
      <c r="I1973" s="60"/>
      <c r="J1973" s="60"/>
      <c r="K1973" s="60"/>
      <c r="L1973" s="60"/>
      <c r="M1973" s="64"/>
      <c r="N1973" s="33"/>
    </row>
    <row r="1974" ht="24" customHeight="1" spans="2:14">
      <c r="B1974" s="33"/>
      <c r="C1974" s="60"/>
      <c r="D1974" s="60"/>
      <c r="E1974" s="60"/>
      <c r="F1974" s="60"/>
      <c r="G1974" s="60"/>
      <c r="H1974" s="60"/>
      <c r="I1974" s="60"/>
      <c r="J1974" s="60"/>
      <c r="K1974" s="60"/>
      <c r="L1974" s="60"/>
      <c r="M1974" s="64"/>
      <c r="N1974" s="33"/>
    </row>
    <row r="1975" ht="24" customHeight="1" spans="2:14">
      <c r="B1975" s="33"/>
      <c r="C1975" s="60"/>
      <c r="D1975" s="60"/>
      <c r="E1975" s="60"/>
      <c r="F1975" s="60"/>
      <c r="G1975" s="60"/>
      <c r="H1975" s="60"/>
      <c r="I1975" s="60"/>
      <c r="J1975" s="60"/>
      <c r="K1975" s="60"/>
      <c r="L1975" s="60"/>
      <c r="M1975" s="64"/>
      <c r="N1975" s="33"/>
    </row>
    <row r="1976" ht="24" customHeight="1" spans="2:14">
      <c r="B1976" s="33"/>
      <c r="C1976" s="60"/>
      <c r="D1976" s="60"/>
      <c r="E1976" s="60"/>
      <c r="F1976" s="60"/>
      <c r="G1976" s="60"/>
      <c r="H1976" s="60"/>
      <c r="I1976" s="60"/>
      <c r="J1976" s="60"/>
      <c r="K1976" s="60"/>
      <c r="L1976" s="60"/>
      <c r="M1976" s="64"/>
      <c r="N1976" s="33"/>
    </row>
    <row r="1977" ht="24" customHeight="1" spans="2:14">
      <c r="B1977" s="33"/>
      <c r="C1977" s="60"/>
      <c r="D1977" s="60"/>
      <c r="E1977" s="60"/>
      <c r="F1977" s="60"/>
      <c r="G1977" s="60"/>
      <c r="H1977" s="60"/>
      <c r="I1977" s="60"/>
      <c r="J1977" s="60"/>
      <c r="K1977" s="60"/>
      <c r="L1977" s="60"/>
      <c r="M1977" s="64"/>
      <c r="N1977" s="33"/>
    </row>
    <row r="1978" ht="24" customHeight="1" spans="2:14">
      <c r="B1978" s="33"/>
      <c r="C1978" s="60"/>
      <c r="D1978" s="60"/>
      <c r="E1978" s="60"/>
      <c r="F1978" s="60"/>
      <c r="G1978" s="60"/>
      <c r="H1978" s="60"/>
      <c r="I1978" s="60"/>
      <c r="J1978" s="60"/>
      <c r="K1978" s="60"/>
      <c r="L1978" s="60"/>
      <c r="M1978" s="64"/>
      <c r="N1978" s="33"/>
    </row>
    <row r="1979" ht="24" customHeight="1" spans="2:14">
      <c r="B1979" s="33"/>
      <c r="C1979" s="60"/>
      <c r="D1979" s="60"/>
      <c r="E1979" s="60"/>
      <c r="F1979" s="60"/>
      <c r="G1979" s="60"/>
      <c r="H1979" s="60"/>
      <c r="I1979" s="60"/>
      <c r="J1979" s="60"/>
      <c r="K1979" s="60"/>
      <c r="L1979" s="60"/>
      <c r="M1979" s="64"/>
      <c r="N1979" s="33"/>
    </row>
    <row r="1980" ht="24" customHeight="1" spans="2:14">
      <c r="B1980" s="33"/>
      <c r="C1980" s="60"/>
      <c r="D1980" s="60"/>
      <c r="E1980" s="60"/>
      <c r="F1980" s="60"/>
      <c r="G1980" s="60"/>
      <c r="H1980" s="60"/>
      <c r="I1980" s="60"/>
      <c r="J1980" s="60"/>
      <c r="K1980" s="60"/>
      <c r="L1980" s="60"/>
      <c r="M1980" s="64"/>
      <c r="N1980" s="33"/>
    </row>
    <row r="1981" ht="24" customHeight="1" spans="2:14">
      <c r="B1981" s="33"/>
      <c r="C1981" s="60"/>
      <c r="D1981" s="60"/>
      <c r="E1981" s="60"/>
      <c r="F1981" s="60"/>
      <c r="G1981" s="60"/>
      <c r="H1981" s="60"/>
      <c r="I1981" s="60"/>
      <c r="J1981" s="60"/>
      <c r="K1981" s="60"/>
      <c r="L1981" s="60"/>
      <c r="M1981" s="64"/>
      <c r="N1981" s="33"/>
    </row>
    <row r="1982" ht="24" customHeight="1" spans="2:14">
      <c r="B1982" s="33"/>
      <c r="C1982" s="60"/>
      <c r="D1982" s="60"/>
      <c r="E1982" s="60"/>
      <c r="F1982" s="60"/>
      <c r="G1982" s="60"/>
      <c r="H1982" s="60"/>
      <c r="I1982" s="60"/>
      <c r="J1982" s="60"/>
      <c r="K1982" s="60"/>
      <c r="L1982" s="60"/>
      <c r="M1982" s="64"/>
      <c r="N1982" s="33"/>
    </row>
    <row r="1983" ht="24" customHeight="1" spans="2:14">
      <c r="B1983" s="33"/>
      <c r="C1983" s="60"/>
      <c r="D1983" s="60"/>
      <c r="E1983" s="60"/>
      <c r="F1983" s="60"/>
      <c r="G1983" s="60"/>
      <c r="H1983" s="60"/>
      <c r="I1983" s="60"/>
      <c r="J1983" s="60"/>
      <c r="K1983" s="60"/>
      <c r="L1983" s="60"/>
      <c r="M1983" s="64"/>
      <c r="N1983" s="33"/>
    </row>
    <row r="1984" ht="24" customHeight="1" spans="2:14">
      <c r="B1984" s="33"/>
      <c r="C1984" s="60"/>
      <c r="D1984" s="60"/>
      <c r="E1984" s="60"/>
      <c r="F1984" s="60"/>
      <c r="G1984" s="60"/>
      <c r="H1984" s="60"/>
      <c r="I1984" s="60"/>
      <c r="J1984" s="60"/>
      <c r="K1984" s="60"/>
      <c r="L1984" s="60"/>
      <c r="M1984" s="64"/>
      <c r="N1984" s="33"/>
    </row>
    <row r="1985" ht="24" customHeight="1" spans="2:14">
      <c r="B1985" s="33"/>
      <c r="C1985" s="60"/>
      <c r="D1985" s="60"/>
      <c r="E1985" s="60"/>
      <c r="F1985" s="60"/>
      <c r="G1985" s="60"/>
      <c r="H1985" s="60"/>
      <c r="I1985" s="60"/>
      <c r="J1985" s="60"/>
      <c r="K1985" s="60"/>
      <c r="L1985" s="60"/>
      <c r="M1985" s="64"/>
      <c r="N1985" s="33"/>
    </row>
    <row r="1986" ht="24" customHeight="1" spans="2:14">
      <c r="B1986" s="33"/>
      <c r="C1986" s="60"/>
      <c r="D1986" s="60"/>
      <c r="E1986" s="60"/>
      <c r="F1986" s="60"/>
      <c r="G1986" s="60"/>
      <c r="H1986" s="60"/>
      <c r="I1986" s="60"/>
      <c r="J1986" s="60"/>
      <c r="K1986" s="60"/>
      <c r="L1986" s="60"/>
      <c r="M1986" s="64"/>
      <c r="N1986" s="33"/>
    </row>
    <row r="1987" ht="24" customHeight="1" spans="2:14">
      <c r="B1987" s="33"/>
      <c r="C1987" s="60"/>
      <c r="D1987" s="60"/>
      <c r="E1987" s="60"/>
      <c r="F1987" s="60"/>
      <c r="G1987" s="60"/>
      <c r="H1987" s="60"/>
      <c r="I1987" s="60"/>
      <c r="J1987" s="60"/>
      <c r="K1987" s="60"/>
      <c r="L1987" s="60"/>
      <c r="M1987" s="64"/>
      <c r="N1987" s="33"/>
    </row>
    <row r="1988" ht="24" customHeight="1" spans="2:14">
      <c r="B1988" s="33"/>
      <c r="C1988" s="60"/>
      <c r="D1988" s="60"/>
      <c r="E1988" s="60"/>
      <c r="F1988" s="60"/>
      <c r="G1988" s="60"/>
      <c r="H1988" s="60"/>
      <c r="I1988" s="60"/>
      <c r="J1988" s="60"/>
      <c r="K1988" s="60"/>
      <c r="L1988" s="60"/>
      <c r="M1988" s="64"/>
      <c r="N1988" s="33"/>
    </row>
    <row r="1989" ht="24" customHeight="1" spans="2:14">
      <c r="B1989" s="33"/>
      <c r="C1989" s="60"/>
      <c r="D1989" s="60"/>
      <c r="E1989" s="60"/>
      <c r="F1989" s="60"/>
      <c r="G1989" s="60"/>
      <c r="H1989" s="60"/>
      <c r="I1989" s="60"/>
      <c r="J1989" s="60"/>
      <c r="K1989" s="60"/>
      <c r="L1989" s="60"/>
      <c r="M1989" s="64"/>
      <c r="N1989" s="33"/>
    </row>
    <row r="1990" ht="24" customHeight="1" spans="2:14">
      <c r="B1990" s="33"/>
      <c r="C1990" s="60"/>
      <c r="D1990" s="60"/>
      <c r="E1990" s="60"/>
      <c r="F1990" s="60"/>
      <c r="G1990" s="60"/>
      <c r="H1990" s="60"/>
      <c r="I1990" s="60"/>
      <c r="J1990" s="60"/>
      <c r="K1990" s="60"/>
      <c r="L1990" s="60"/>
      <c r="M1990" s="64"/>
      <c r="N1990" s="33"/>
    </row>
    <row r="1991" ht="24" customHeight="1" spans="2:14">
      <c r="B1991" s="33"/>
      <c r="C1991" s="60"/>
      <c r="D1991" s="60"/>
      <c r="E1991" s="60"/>
      <c r="F1991" s="60"/>
      <c r="G1991" s="60"/>
      <c r="H1991" s="60"/>
      <c r="I1991" s="60"/>
      <c r="J1991" s="60"/>
      <c r="K1991" s="60"/>
      <c r="L1991" s="60"/>
      <c r="M1991" s="64"/>
      <c r="N1991" s="33"/>
    </row>
    <row r="1992" ht="24" customHeight="1" spans="2:14">
      <c r="B1992" s="33"/>
      <c r="C1992" s="60"/>
      <c r="D1992" s="60"/>
      <c r="E1992" s="60"/>
      <c r="F1992" s="60"/>
      <c r="G1992" s="60"/>
      <c r="H1992" s="60"/>
      <c r="I1992" s="60"/>
      <c r="J1992" s="60"/>
      <c r="K1992" s="60"/>
      <c r="L1992" s="60"/>
      <c r="M1992" s="64"/>
      <c r="N1992" s="33"/>
    </row>
    <row r="1993" ht="24" customHeight="1" spans="2:14">
      <c r="B1993" s="33"/>
      <c r="C1993" s="60"/>
      <c r="D1993" s="60"/>
      <c r="E1993" s="60"/>
      <c r="F1993" s="60"/>
      <c r="G1993" s="60"/>
      <c r="H1993" s="60"/>
      <c r="I1993" s="60"/>
      <c r="J1993" s="60"/>
      <c r="K1993" s="60"/>
      <c r="L1993" s="60"/>
      <c r="M1993" s="64"/>
      <c r="N1993" s="33"/>
    </row>
    <row r="1994" ht="24" customHeight="1" spans="2:14">
      <c r="B1994" s="33"/>
      <c r="C1994" s="60"/>
      <c r="D1994" s="60"/>
      <c r="E1994" s="60"/>
      <c r="F1994" s="60"/>
      <c r="G1994" s="60"/>
      <c r="H1994" s="60"/>
      <c r="I1994" s="60"/>
      <c r="J1994" s="60"/>
      <c r="K1994" s="60"/>
      <c r="L1994" s="60"/>
      <c r="M1994" s="64"/>
      <c r="N1994" s="33"/>
    </row>
    <row r="1995" ht="24" customHeight="1" spans="2:14">
      <c r="B1995" s="33"/>
      <c r="C1995" s="60"/>
      <c r="D1995" s="60"/>
      <c r="E1995" s="60"/>
      <c r="F1995" s="60"/>
      <c r="G1995" s="60"/>
      <c r="H1995" s="60"/>
      <c r="I1995" s="60"/>
      <c r="J1995" s="60"/>
      <c r="K1995" s="60"/>
      <c r="L1995" s="60"/>
      <c r="M1995" s="64"/>
      <c r="N1995" s="33"/>
    </row>
    <row r="1996" ht="24" customHeight="1" spans="2:14">
      <c r="B1996" s="33"/>
      <c r="C1996" s="60"/>
      <c r="D1996" s="60"/>
      <c r="E1996" s="60"/>
      <c r="F1996" s="60"/>
      <c r="G1996" s="60"/>
      <c r="H1996" s="60"/>
      <c r="I1996" s="60"/>
      <c r="J1996" s="60"/>
      <c r="K1996" s="60"/>
      <c r="L1996" s="60"/>
      <c r="M1996" s="64"/>
      <c r="N1996" s="33"/>
    </row>
    <row r="1997" ht="24" customHeight="1" spans="2:14">
      <c r="B1997" s="33"/>
      <c r="C1997" s="60"/>
      <c r="D1997" s="60"/>
      <c r="E1997" s="60"/>
      <c r="F1997" s="60"/>
      <c r="G1997" s="60"/>
      <c r="H1997" s="60"/>
      <c r="I1997" s="60"/>
      <c r="J1997" s="60"/>
      <c r="K1997" s="60"/>
      <c r="L1997" s="60"/>
      <c r="M1997" s="64"/>
      <c r="N1997" s="33"/>
    </row>
    <row r="1998" ht="24" customHeight="1" spans="2:14">
      <c r="B1998" s="33"/>
      <c r="C1998" s="60"/>
      <c r="D1998" s="60"/>
      <c r="E1998" s="60"/>
      <c r="F1998" s="60"/>
      <c r="G1998" s="60"/>
      <c r="H1998" s="60"/>
      <c r="I1998" s="60"/>
      <c r="J1998" s="60"/>
      <c r="K1998" s="60"/>
      <c r="L1998" s="60"/>
      <c r="M1998" s="64"/>
      <c r="N1998" s="33"/>
    </row>
    <row r="1999" ht="24" customHeight="1" spans="2:14">
      <c r="B1999" s="33"/>
      <c r="C1999" s="60"/>
      <c r="D1999" s="60"/>
      <c r="E1999" s="60"/>
      <c r="F1999" s="60"/>
      <c r="G1999" s="60"/>
      <c r="H1999" s="60"/>
      <c r="I1999" s="60"/>
      <c r="J1999" s="60"/>
      <c r="K1999" s="60"/>
      <c r="L1999" s="60"/>
      <c r="M1999" s="64"/>
      <c r="N1999" s="33"/>
    </row>
    <row r="2000" ht="24" customHeight="1" spans="2:14">
      <c r="B2000" s="33"/>
      <c r="C2000" s="60"/>
      <c r="D2000" s="60"/>
      <c r="E2000" s="60"/>
      <c r="F2000" s="60"/>
      <c r="G2000" s="60"/>
      <c r="H2000" s="60"/>
      <c r="I2000" s="60"/>
      <c r="J2000" s="60"/>
      <c r="K2000" s="60"/>
      <c r="L2000" s="60"/>
      <c r="M2000" s="64"/>
      <c r="N2000" s="33"/>
    </row>
    <row r="2001" ht="24" customHeight="1" spans="2:14">
      <c r="B2001" s="33"/>
      <c r="C2001" s="60"/>
      <c r="D2001" s="60"/>
      <c r="E2001" s="60"/>
      <c r="F2001" s="60"/>
      <c r="G2001" s="60"/>
      <c r="H2001" s="60"/>
      <c r="I2001" s="60"/>
      <c r="J2001" s="60"/>
      <c r="K2001" s="60"/>
      <c r="L2001" s="60"/>
      <c r="M2001" s="64"/>
      <c r="N2001" s="33"/>
    </row>
    <row r="2002" ht="24" customHeight="1" spans="2:14">
      <c r="B2002" s="33"/>
      <c r="C2002" s="60"/>
      <c r="D2002" s="60"/>
      <c r="E2002" s="60"/>
      <c r="F2002" s="60"/>
      <c r="G2002" s="60"/>
      <c r="H2002" s="60"/>
      <c r="I2002" s="60"/>
      <c r="J2002" s="60"/>
      <c r="K2002" s="60"/>
      <c r="L2002" s="60"/>
      <c r="M2002" s="64"/>
      <c r="N2002" s="33"/>
    </row>
    <row r="2003" ht="24" customHeight="1" spans="2:14">
      <c r="B2003" s="33"/>
      <c r="C2003" s="60"/>
      <c r="D2003" s="60"/>
      <c r="E2003" s="60"/>
      <c r="F2003" s="60"/>
      <c r="G2003" s="60"/>
      <c r="H2003" s="60"/>
      <c r="I2003" s="60"/>
      <c r="J2003" s="60"/>
      <c r="K2003" s="60"/>
      <c r="L2003" s="60"/>
      <c r="M2003" s="64"/>
      <c r="N2003" s="33"/>
    </row>
    <row r="2004" ht="24" customHeight="1" spans="2:14">
      <c r="B2004" s="33"/>
      <c r="C2004" s="60"/>
      <c r="D2004" s="60"/>
      <c r="E2004" s="60"/>
      <c r="F2004" s="60"/>
      <c r="G2004" s="60"/>
      <c r="H2004" s="60"/>
      <c r="I2004" s="60"/>
      <c r="J2004" s="60"/>
      <c r="K2004" s="60"/>
      <c r="L2004" s="60"/>
      <c r="M2004" s="64"/>
      <c r="N2004" s="33"/>
    </row>
    <row r="2005" ht="24" customHeight="1" spans="2:14">
      <c r="B2005" s="33"/>
      <c r="C2005" s="60"/>
      <c r="D2005" s="60"/>
      <c r="E2005" s="60"/>
      <c r="F2005" s="60"/>
      <c r="G2005" s="60"/>
      <c r="H2005" s="60"/>
      <c r="I2005" s="60"/>
      <c r="J2005" s="60"/>
      <c r="K2005" s="60"/>
      <c r="L2005" s="60"/>
      <c r="M2005" s="64"/>
      <c r="N2005" s="33"/>
    </row>
    <row r="2006" ht="24" customHeight="1" spans="2:14">
      <c r="B2006" s="33"/>
      <c r="C2006" s="60"/>
      <c r="D2006" s="60"/>
      <c r="E2006" s="60"/>
      <c r="F2006" s="60"/>
      <c r="G2006" s="60"/>
      <c r="H2006" s="60"/>
      <c r="I2006" s="60"/>
      <c r="J2006" s="60"/>
      <c r="K2006" s="60"/>
      <c r="L2006" s="60"/>
      <c r="M2006" s="64"/>
      <c r="N2006" s="33"/>
    </row>
    <row r="2007" ht="24" customHeight="1" spans="2:14">
      <c r="B2007" s="33"/>
      <c r="C2007" s="60"/>
      <c r="D2007" s="60"/>
      <c r="E2007" s="60"/>
      <c r="F2007" s="60"/>
      <c r="G2007" s="60"/>
      <c r="H2007" s="60"/>
      <c r="I2007" s="60"/>
      <c r="J2007" s="60"/>
      <c r="K2007" s="60"/>
      <c r="L2007" s="60"/>
      <c r="M2007" s="64"/>
      <c r="N2007" s="33"/>
    </row>
    <row r="2008" ht="24" customHeight="1" spans="2:14">
      <c r="B2008" s="33"/>
      <c r="C2008" s="60"/>
      <c r="D2008" s="60"/>
      <c r="E2008" s="60"/>
      <c r="F2008" s="60"/>
      <c r="G2008" s="60"/>
      <c r="H2008" s="60"/>
      <c r="I2008" s="60"/>
      <c r="J2008" s="60"/>
      <c r="K2008" s="60"/>
      <c r="L2008" s="60"/>
      <c r="M2008" s="64"/>
      <c r="N2008" s="33"/>
    </row>
    <row r="2009" ht="24" customHeight="1" spans="2:14">
      <c r="B2009" s="33"/>
      <c r="C2009" s="60"/>
      <c r="D2009" s="60"/>
      <c r="E2009" s="60"/>
      <c r="F2009" s="60"/>
      <c r="G2009" s="60"/>
      <c r="H2009" s="60"/>
      <c r="I2009" s="60"/>
      <c r="J2009" s="60"/>
      <c r="K2009" s="60"/>
      <c r="L2009" s="60"/>
      <c r="M2009" s="64"/>
      <c r="N2009" s="33"/>
    </row>
    <row r="2010" ht="24" customHeight="1" spans="2:14">
      <c r="B2010" s="33"/>
      <c r="C2010" s="60"/>
      <c r="D2010" s="60"/>
      <c r="E2010" s="60"/>
      <c r="F2010" s="60"/>
      <c r="G2010" s="60"/>
      <c r="H2010" s="60"/>
      <c r="I2010" s="60"/>
      <c r="J2010" s="60"/>
      <c r="K2010" s="60"/>
      <c r="L2010" s="60"/>
      <c r="M2010" s="64"/>
      <c r="N2010" s="33"/>
    </row>
    <row r="2011" ht="24" customHeight="1" spans="2:14">
      <c r="B2011" s="33"/>
      <c r="C2011" s="60"/>
      <c r="D2011" s="60"/>
      <c r="E2011" s="60"/>
      <c r="F2011" s="60"/>
      <c r="G2011" s="60"/>
      <c r="H2011" s="60"/>
      <c r="I2011" s="60"/>
      <c r="J2011" s="60"/>
      <c r="K2011" s="60"/>
      <c r="L2011" s="60"/>
      <c r="M2011" s="64"/>
      <c r="N2011" s="33"/>
    </row>
    <row r="2012" ht="24" customHeight="1" spans="2:14">
      <c r="B2012" s="33"/>
      <c r="C2012" s="60"/>
      <c r="D2012" s="60"/>
      <c r="E2012" s="60"/>
      <c r="F2012" s="60"/>
      <c r="G2012" s="60"/>
      <c r="H2012" s="60"/>
      <c r="I2012" s="60"/>
      <c r="J2012" s="60"/>
      <c r="K2012" s="60"/>
      <c r="L2012" s="60"/>
      <c r="M2012" s="64"/>
      <c r="N2012" s="33"/>
    </row>
    <row r="2013" ht="24" customHeight="1" spans="2:14">
      <c r="B2013" s="33"/>
      <c r="C2013" s="60"/>
      <c r="D2013" s="60"/>
      <c r="E2013" s="60"/>
      <c r="F2013" s="60"/>
      <c r="G2013" s="60"/>
      <c r="H2013" s="60"/>
      <c r="I2013" s="60"/>
      <c r="J2013" s="60"/>
      <c r="K2013" s="60"/>
      <c r="L2013" s="60"/>
      <c r="M2013" s="64"/>
      <c r="N2013" s="33"/>
    </row>
    <row r="2014" ht="24" customHeight="1" spans="2:14">
      <c r="B2014" s="33"/>
      <c r="C2014" s="60"/>
      <c r="D2014" s="60"/>
      <c r="E2014" s="60"/>
      <c r="F2014" s="60"/>
      <c r="G2014" s="60"/>
      <c r="H2014" s="60"/>
      <c r="I2014" s="60"/>
      <c r="J2014" s="60"/>
      <c r="K2014" s="60"/>
      <c r="L2014" s="60"/>
      <c r="M2014" s="64"/>
      <c r="N2014" s="33"/>
    </row>
    <row r="2015" ht="24" customHeight="1" spans="2:14">
      <c r="B2015" s="33"/>
      <c r="C2015" s="60"/>
      <c r="D2015" s="60"/>
      <c r="E2015" s="60"/>
      <c r="F2015" s="60"/>
      <c r="G2015" s="60"/>
      <c r="H2015" s="60"/>
      <c r="I2015" s="60"/>
      <c r="J2015" s="60"/>
      <c r="K2015" s="60"/>
      <c r="L2015" s="60"/>
      <c r="M2015" s="64"/>
      <c r="N2015" s="33"/>
    </row>
    <row r="2016" ht="24" customHeight="1" spans="2:14">
      <c r="B2016" s="33"/>
      <c r="C2016" s="60"/>
      <c r="D2016" s="60"/>
      <c r="E2016" s="60"/>
      <c r="F2016" s="60"/>
      <c r="G2016" s="60"/>
      <c r="H2016" s="60"/>
      <c r="I2016" s="60"/>
      <c r="J2016" s="60"/>
      <c r="K2016" s="60"/>
      <c r="L2016" s="60"/>
      <c r="M2016" s="64"/>
      <c r="N2016" s="33"/>
    </row>
    <row r="2017" ht="24" customHeight="1" spans="2:14">
      <c r="B2017" s="33"/>
      <c r="C2017" s="60"/>
      <c r="D2017" s="60"/>
      <c r="E2017" s="60"/>
      <c r="F2017" s="60"/>
      <c r="G2017" s="60"/>
      <c r="H2017" s="60"/>
      <c r="I2017" s="60"/>
      <c r="J2017" s="60"/>
      <c r="K2017" s="60"/>
      <c r="L2017" s="60"/>
      <c r="M2017" s="64"/>
      <c r="N2017" s="33"/>
    </row>
    <row r="2018" ht="24" customHeight="1" spans="2:14">
      <c r="B2018" s="33"/>
      <c r="C2018" s="60"/>
      <c r="D2018" s="60"/>
      <c r="E2018" s="60"/>
      <c r="F2018" s="60"/>
      <c r="G2018" s="60"/>
      <c r="H2018" s="60"/>
      <c r="I2018" s="60"/>
      <c r="J2018" s="60"/>
      <c r="K2018" s="60"/>
      <c r="L2018" s="60"/>
      <c r="M2018" s="64"/>
      <c r="N2018" s="33"/>
    </row>
    <row r="2019" ht="24" customHeight="1" spans="2:14">
      <c r="B2019" s="33"/>
      <c r="C2019" s="60"/>
      <c r="D2019" s="60"/>
      <c r="E2019" s="60"/>
      <c r="F2019" s="60"/>
      <c r="G2019" s="60"/>
      <c r="H2019" s="60"/>
      <c r="I2019" s="60"/>
      <c r="J2019" s="60"/>
      <c r="K2019" s="60"/>
      <c r="L2019" s="60"/>
      <c r="M2019" s="64"/>
      <c r="N2019" s="33"/>
    </row>
    <row r="2020" ht="24" customHeight="1" spans="2:14">
      <c r="B2020" s="33"/>
      <c r="C2020" s="60"/>
      <c r="D2020" s="60"/>
      <c r="E2020" s="60"/>
      <c r="F2020" s="60"/>
      <c r="G2020" s="60"/>
      <c r="H2020" s="60"/>
      <c r="I2020" s="60"/>
      <c r="J2020" s="60"/>
      <c r="K2020" s="60"/>
      <c r="L2020" s="60"/>
      <c r="M2020" s="64"/>
      <c r="N2020" s="33"/>
    </row>
    <row r="2021" ht="24" customHeight="1" spans="2:14">
      <c r="B2021" s="33"/>
      <c r="C2021" s="60"/>
      <c r="D2021" s="60"/>
      <c r="E2021" s="60"/>
      <c r="F2021" s="60"/>
      <c r="G2021" s="60"/>
      <c r="H2021" s="60"/>
      <c r="I2021" s="60"/>
      <c r="J2021" s="60"/>
      <c r="K2021" s="60"/>
      <c r="L2021" s="60"/>
      <c r="M2021" s="64"/>
      <c r="N2021" s="33"/>
    </row>
    <row r="2022" ht="24" customHeight="1" spans="2:14">
      <c r="B2022" s="33"/>
      <c r="C2022" s="60"/>
      <c r="D2022" s="60"/>
      <c r="E2022" s="60"/>
      <c r="F2022" s="60"/>
      <c r="G2022" s="60"/>
      <c r="H2022" s="60"/>
      <c r="I2022" s="60"/>
      <c r="J2022" s="60"/>
      <c r="K2022" s="60"/>
      <c r="L2022" s="60"/>
      <c r="M2022" s="64"/>
      <c r="N2022" s="33"/>
    </row>
    <row r="2023" ht="24" customHeight="1" spans="2:14">
      <c r="B2023" s="33"/>
      <c r="C2023" s="60"/>
      <c r="D2023" s="60"/>
      <c r="E2023" s="60"/>
      <c r="F2023" s="60"/>
      <c r="G2023" s="60"/>
      <c r="H2023" s="60"/>
      <c r="I2023" s="60"/>
      <c r="J2023" s="60"/>
      <c r="K2023" s="60"/>
      <c r="L2023" s="60"/>
      <c r="M2023" s="64"/>
      <c r="N2023" s="33"/>
    </row>
    <row r="2024" ht="24" customHeight="1" spans="2:14">
      <c r="B2024" s="33"/>
      <c r="C2024" s="60"/>
      <c r="D2024" s="60"/>
      <c r="E2024" s="60"/>
      <c r="F2024" s="60"/>
      <c r="G2024" s="60"/>
      <c r="H2024" s="60"/>
      <c r="I2024" s="60"/>
      <c r="J2024" s="60"/>
      <c r="K2024" s="60"/>
      <c r="L2024" s="60"/>
      <c r="M2024" s="64"/>
      <c r="N2024" s="33"/>
    </row>
    <row r="2025" ht="24" customHeight="1" spans="2:14">
      <c r="B2025" s="33"/>
      <c r="C2025" s="60"/>
      <c r="D2025" s="60"/>
      <c r="E2025" s="60"/>
      <c r="F2025" s="60"/>
      <c r="G2025" s="60"/>
      <c r="H2025" s="60"/>
      <c r="I2025" s="60"/>
      <c r="J2025" s="60"/>
      <c r="K2025" s="60"/>
      <c r="L2025" s="60"/>
      <c r="M2025" s="64"/>
      <c r="N2025" s="33"/>
    </row>
    <row r="2026" ht="24" customHeight="1" spans="2:14">
      <c r="B2026" s="33"/>
      <c r="C2026" s="60"/>
      <c r="D2026" s="60"/>
      <c r="E2026" s="60"/>
      <c r="F2026" s="60"/>
      <c r="G2026" s="60"/>
      <c r="H2026" s="60"/>
      <c r="I2026" s="60"/>
      <c r="J2026" s="60"/>
      <c r="K2026" s="60"/>
      <c r="L2026" s="60"/>
      <c r="M2026" s="64"/>
      <c r="N2026" s="33"/>
    </row>
    <row r="2027" ht="24" customHeight="1" spans="2:14">
      <c r="B2027" s="33"/>
      <c r="C2027" s="60"/>
      <c r="D2027" s="60"/>
      <c r="E2027" s="60"/>
      <c r="F2027" s="60"/>
      <c r="G2027" s="60"/>
      <c r="H2027" s="60"/>
      <c r="I2027" s="60"/>
      <c r="J2027" s="60"/>
      <c r="K2027" s="60"/>
      <c r="L2027" s="60"/>
      <c r="M2027" s="64"/>
      <c r="N2027" s="33"/>
    </row>
    <row r="2028" ht="24" customHeight="1" spans="2:14">
      <c r="B2028" s="33"/>
      <c r="C2028" s="60"/>
      <c r="D2028" s="60"/>
      <c r="E2028" s="60"/>
      <c r="F2028" s="60"/>
      <c r="G2028" s="60"/>
      <c r="H2028" s="60"/>
      <c r="I2028" s="60"/>
      <c r="J2028" s="60"/>
      <c r="K2028" s="60"/>
      <c r="L2028" s="60"/>
      <c r="M2028" s="64"/>
      <c r="N2028" s="33"/>
    </row>
    <row r="2029" ht="24" customHeight="1" spans="2:14">
      <c r="B2029" s="33"/>
      <c r="C2029" s="60"/>
      <c r="D2029" s="60"/>
      <c r="E2029" s="60"/>
      <c r="F2029" s="60"/>
      <c r="G2029" s="60"/>
      <c r="H2029" s="60"/>
      <c r="I2029" s="60"/>
      <c r="J2029" s="60"/>
      <c r="K2029" s="60"/>
      <c r="L2029" s="60"/>
      <c r="M2029" s="64"/>
      <c r="N2029" s="33"/>
    </row>
    <row r="2030" ht="24" customHeight="1" spans="2:14">
      <c r="B2030" s="33"/>
      <c r="C2030" s="60"/>
      <c r="D2030" s="60"/>
      <c r="E2030" s="60"/>
      <c r="F2030" s="60"/>
      <c r="G2030" s="60"/>
      <c r="H2030" s="60"/>
      <c r="I2030" s="60"/>
      <c r="J2030" s="60"/>
      <c r="K2030" s="60"/>
      <c r="L2030" s="60"/>
      <c r="M2030" s="64"/>
      <c r="N2030" s="33"/>
    </row>
    <row r="2031" ht="24" customHeight="1" spans="2:14">
      <c r="B2031" s="33"/>
      <c r="C2031" s="60"/>
      <c r="D2031" s="60"/>
      <c r="E2031" s="60"/>
      <c r="F2031" s="60"/>
      <c r="G2031" s="60"/>
      <c r="H2031" s="60"/>
      <c r="I2031" s="60"/>
      <c r="J2031" s="60"/>
      <c r="K2031" s="60"/>
      <c r="L2031" s="60"/>
      <c r="M2031" s="64"/>
      <c r="N2031" s="33"/>
    </row>
    <row r="2032" ht="24" customHeight="1" spans="2:14">
      <c r="B2032" s="33"/>
      <c r="C2032" s="60"/>
      <c r="D2032" s="60"/>
      <c r="E2032" s="60"/>
      <c r="F2032" s="60"/>
      <c r="G2032" s="60"/>
      <c r="H2032" s="60"/>
      <c r="I2032" s="60"/>
      <c r="J2032" s="60"/>
      <c r="K2032" s="60"/>
      <c r="L2032" s="60"/>
      <c r="M2032" s="64"/>
      <c r="N2032" s="33"/>
    </row>
    <row r="2033" ht="24" customHeight="1" spans="2:14">
      <c r="B2033" s="33"/>
      <c r="C2033" s="60"/>
      <c r="D2033" s="60"/>
      <c r="E2033" s="60"/>
      <c r="F2033" s="60"/>
      <c r="G2033" s="60"/>
      <c r="H2033" s="60"/>
      <c r="I2033" s="60"/>
      <c r="J2033" s="60"/>
      <c r="K2033" s="60"/>
      <c r="L2033" s="60"/>
      <c r="M2033" s="64"/>
      <c r="N2033" s="33"/>
    </row>
    <row r="2034" ht="24" customHeight="1" spans="2:14">
      <c r="B2034" s="33"/>
      <c r="C2034" s="60"/>
      <c r="D2034" s="60"/>
      <c r="E2034" s="60"/>
      <c r="F2034" s="60"/>
      <c r="G2034" s="60"/>
      <c r="H2034" s="60"/>
      <c r="I2034" s="60"/>
      <c r="J2034" s="60"/>
      <c r="K2034" s="60"/>
      <c r="L2034" s="60"/>
      <c r="M2034" s="64"/>
      <c r="N2034" s="33"/>
    </row>
    <row r="2035" ht="24" customHeight="1" spans="2:14">
      <c r="B2035" s="33"/>
      <c r="C2035" s="60"/>
      <c r="D2035" s="60"/>
      <c r="E2035" s="60"/>
      <c r="F2035" s="60"/>
      <c r="G2035" s="60"/>
      <c r="H2035" s="60"/>
      <c r="I2035" s="60"/>
      <c r="J2035" s="60"/>
      <c r="K2035" s="60"/>
      <c r="L2035" s="60"/>
      <c r="M2035" s="64"/>
      <c r="N2035" s="33"/>
    </row>
    <row r="2036" ht="24" customHeight="1" spans="2:14">
      <c r="B2036" s="33"/>
      <c r="C2036" s="60"/>
      <c r="D2036" s="60"/>
      <c r="E2036" s="60"/>
      <c r="F2036" s="60"/>
      <c r="G2036" s="60"/>
      <c r="H2036" s="60"/>
      <c r="I2036" s="60"/>
      <c r="J2036" s="60"/>
      <c r="K2036" s="60"/>
      <c r="L2036" s="60"/>
      <c r="M2036" s="64"/>
      <c r="N2036" s="33"/>
    </row>
    <row r="2037" ht="24" customHeight="1" spans="2:14">
      <c r="B2037" s="33"/>
      <c r="C2037" s="60"/>
      <c r="D2037" s="60"/>
      <c r="E2037" s="60"/>
      <c r="F2037" s="60"/>
      <c r="G2037" s="60"/>
      <c r="H2037" s="60"/>
      <c r="I2037" s="60"/>
      <c r="J2037" s="60"/>
      <c r="K2037" s="60"/>
      <c r="L2037" s="60"/>
      <c r="M2037" s="64"/>
      <c r="N2037" s="33"/>
    </row>
    <row r="2038" ht="24" customHeight="1" spans="2:14">
      <c r="B2038" s="33"/>
      <c r="C2038" s="60"/>
      <c r="D2038" s="60"/>
      <c r="E2038" s="60"/>
      <c r="F2038" s="60"/>
      <c r="G2038" s="60"/>
      <c r="H2038" s="60"/>
      <c r="I2038" s="60"/>
      <c r="J2038" s="60"/>
      <c r="K2038" s="60"/>
      <c r="L2038" s="60"/>
      <c r="M2038" s="64"/>
      <c r="N2038" s="33"/>
    </row>
    <row r="2039" ht="24" customHeight="1" spans="2:14">
      <c r="B2039" s="33"/>
      <c r="C2039" s="60"/>
      <c r="D2039" s="60"/>
      <c r="E2039" s="60"/>
      <c r="F2039" s="60"/>
      <c r="G2039" s="60"/>
      <c r="H2039" s="60"/>
      <c r="I2039" s="60"/>
      <c r="J2039" s="60"/>
      <c r="K2039" s="60"/>
      <c r="L2039" s="60"/>
      <c r="M2039" s="64"/>
      <c r="N2039" s="33"/>
    </row>
    <row r="2040" ht="24" customHeight="1" spans="2:14">
      <c r="B2040" s="33"/>
      <c r="C2040" s="60"/>
      <c r="D2040" s="60"/>
      <c r="E2040" s="60"/>
      <c r="F2040" s="60"/>
      <c r="G2040" s="60"/>
      <c r="H2040" s="60"/>
      <c r="I2040" s="60"/>
      <c r="J2040" s="60"/>
      <c r="K2040" s="60"/>
      <c r="L2040" s="60"/>
      <c r="M2040" s="64"/>
      <c r="N2040" s="33"/>
    </row>
    <row r="2041" ht="24" customHeight="1" spans="2:14">
      <c r="B2041" s="33"/>
      <c r="C2041" s="60"/>
      <c r="D2041" s="60"/>
      <c r="E2041" s="60"/>
      <c r="F2041" s="60"/>
      <c r="G2041" s="60"/>
      <c r="H2041" s="60"/>
      <c r="I2041" s="60"/>
      <c r="J2041" s="60"/>
      <c r="K2041" s="60"/>
      <c r="L2041" s="60"/>
      <c r="M2041" s="64"/>
      <c r="N2041" s="33"/>
    </row>
    <row r="2042" ht="24" customHeight="1" spans="2:14">
      <c r="B2042" s="33"/>
      <c r="C2042" s="60"/>
      <c r="D2042" s="60"/>
      <c r="E2042" s="60"/>
      <c r="F2042" s="60"/>
      <c r="G2042" s="60"/>
      <c r="H2042" s="60"/>
      <c r="I2042" s="60"/>
      <c r="J2042" s="60"/>
      <c r="K2042" s="60"/>
      <c r="L2042" s="60"/>
      <c r="M2042" s="64"/>
      <c r="N2042" s="33"/>
    </row>
    <row r="2043" ht="24" customHeight="1" spans="2:14">
      <c r="B2043" s="33"/>
      <c r="C2043" s="60"/>
      <c r="D2043" s="60"/>
      <c r="E2043" s="60"/>
      <c r="F2043" s="60"/>
      <c r="G2043" s="60"/>
      <c r="H2043" s="60"/>
      <c r="I2043" s="60"/>
      <c r="J2043" s="60"/>
      <c r="K2043" s="60"/>
      <c r="L2043" s="60"/>
      <c r="M2043" s="64"/>
      <c r="N2043" s="33"/>
    </row>
    <row r="2044" ht="24" customHeight="1" spans="2:14">
      <c r="B2044" s="33"/>
      <c r="C2044" s="60"/>
      <c r="D2044" s="60"/>
      <c r="E2044" s="60"/>
      <c r="F2044" s="60"/>
      <c r="G2044" s="60"/>
      <c r="H2044" s="60"/>
      <c r="I2044" s="60"/>
      <c r="J2044" s="60"/>
      <c r="K2044" s="60"/>
      <c r="L2044" s="60"/>
      <c r="M2044" s="64"/>
      <c r="N2044" s="33"/>
    </row>
    <row r="2045" ht="24" customHeight="1" spans="2:14">
      <c r="B2045" s="33"/>
      <c r="C2045" s="60"/>
      <c r="D2045" s="60"/>
      <c r="E2045" s="60"/>
      <c r="F2045" s="60"/>
      <c r="G2045" s="60"/>
      <c r="H2045" s="60"/>
      <c r="I2045" s="60"/>
      <c r="J2045" s="60"/>
      <c r="K2045" s="60"/>
      <c r="L2045" s="60"/>
      <c r="M2045" s="64"/>
      <c r="N2045" s="33"/>
    </row>
    <row r="2046" ht="24" customHeight="1" spans="2:14">
      <c r="B2046" s="33"/>
      <c r="C2046" s="60"/>
      <c r="D2046" s="60"/>
      <c r="E2046" s="60"/>
      <c r="F2046" s="60"/>
      <c r="G2046" s="60"/>
      <c r="H2046" s="60"/>
      <c r="I2046" s="60"/>
      <c r="J2046" s="60"/>
      <c r="K2046" s="60"/>
      <c r="L2046" s="60"/>
      <c r="M2046" s="64"/>
      <c r="N2046" s="33"/>
    </row>
    <row r="2047" ht="24" customHeight="1" spans="2:14">
      <c r="B2047" s="33"/>
      <c r="C2047" s="60"/>
      <c r="D2047" s="60"/>
      <c r="E2047" s="60"/>
      <c r="F2047" s="60"/>
      <c r="G2047" s="60"/>
      <c r="H2047" s="60"/>
      <c r="I2047" s="60"/>
      <c r="J2047" s="60"/>
      <c r="K2047" s="60"/>
      <c r="L2047" s="60"/>
      <c r="M2047" s="64"/>
      <c r="N2047" s="33"/>
    </row>
    <row r="2048" ht="24" customHeight="1" spans="2:14">
      <c r="B2048" s="33"/>
      <c r="C2048" s="60"/>
      <c r="D2048" s="60"/>
      <c r="E2048" s="60"/>
      <c r="F2048" s="60"/>
      <c r="G2048" s="60"/>
      <c r="H2048" s="60"/>
      <c r="I2048" s="60"/>
      <c r="J2048" s="60"/>
      <c r="K2048" s="60"/>
      <c r="L2048" s="60"/>
      <c r="M2048" s="64"/>
      <c r="N2048" s="33"/>
    </row>
    <row r="2049" ht="24" customHeight="1" spans="2:14">
      <c r="B2049" s="33"/>
      <c r="C2049" s="60"/>
      <c r="D2049" s="60"/>
      <c r="E2049" s="60"/>
      <c r="F2049" s="60"/>
      <c r="G2049" s="60"/>
      <c r="H2049" s="60"/>
      <c r="I2049" s="60"/>
      <c r="J2049" s="60"/>
      <c r="K2049" s="60"/>
      <c r="L2049" s="60"/>
      <c r="M2049" s="64"/>
      <c r="N2049" s="33"/>
    </row>
    <row r="2050" ht="24" customHeight="1" spans="2:14">
      <c r="B2050" s="33"/>
      <c r="C2050" s="60"/>
      <c r="D2050" s="60"/>
      <c r="E2050" s="60"/>
      <c r="F2050" s="60"/>
      <c r="G2050" s="60"/>
      <c r="H2050" s="60"/>
      <c r="I2050" s="60"/>
      <c r="J2050" s="60"/>
      <c r="K2050" s="60"/>
      <c r="L2050" s="60"/>
      <c r="M2050" s="64"/>
      <c r="N2050" s="33"/>
    </row>
    <row r="2051" ht="24" customHeight="1" spans="2:14">
      <c r="B2051" s="33"/>
      <c r="C2051" s="60"/>
      <c r="D2051" s="60"/>
      <c r="E2051" s="60"/>
      <c r="F2051" s="60"/>
      <c r="G2051" s="60"/>
      <c r="H2051" s="60"/>
      <c r="I2051" s="60"/>
      <c r="J2051" s="60"/>
      <c r="K2051" s="60"/>
      <c r="L2051" s="60"/>
      <c r="M2051" s="64"/>
      <c r="N2051" s="33"/>
    </row>
    <row r="2052" ht="24" customHeight="1" spans="2:14">
      <c r="B2052" s="33"/>
      <c r="C2052" s="60"/>
      <c r="D2052" s="60"/>
      <c r="E2052" s="60"/>
      <c r="F2052" s="60"/>
      <c r="G2052" s="60"/>
      <c r="H2052" s="60"/>
      <c r="I2052" s="60"/>
      <c r="J2052" s="60"/>
      <c r="K2052" s="60"/>
      <c r="L2052" s="60"/>
      <c r="M2052" s="64"/>
      <c r="N2052" s="33"/>
    </row>
    <row r="2053" ht="24" customHeight="1" spans="2:14">
      <c r="B2053" s="33"/>
      <c r="C2053" s="60"/>
      <c r="D2053" s="60"/>
      <c r="E2053" s="60"/>
      <c r="F2053" s="60"/>
      <c r="G2053" s="60"/>
      <c r="H2053" s="60"/>
      <c r="I2053" s="60"/>
      <c r="J2053" s="60"/>
      <c r="K2053" s="60"/>
      <c r="L2053" s="60"/>
      <c r="M2053" s="64"/>
      <c r="N2053" s="33"/>
    </row>
    <row r="2054" ht="24" customHeight="1" spans="2:14">
      <c r="B2054" s="33"/>
      <c r="C2054" s="60"/>
      <c r="D2054" s="60"/>
      <c r="E2054" s="60"/>
      <c r="F2054" s="60"/>
      <c r="G2054" s="60"/>
      <c r="H2054" s="60"/>
      <c r="I2054" s="60"/>
      <c r="J2054" s="60"/>
      <c r="K2054" s="60"/>
      <c r="L2054" s="60"/>
      <c r="M2054" s="64"/>
      <c r="N2054" s="33"/>
    </row>
    <row r="2055" ht="24" customHeight="1" spans="2:14">
      <c r="B2055" s="33"/>
      <c r="C2055" s="60"/>
      <c r="D2055" s="60"/>
      <c r="E2055" s="60"/>
      <c r="F2055" s="60"/>
      <c r="G2055" s="60"/>
      <c r="H2055" s="60"/>
      <c r="I2055" s="60"/>
      <c r="J2055" s="60"/>
      <c r="K2055" s="60"/>
      <c r="L2055" s="60"/>
      <c r="M2055" s="64"/>
      <c r="N2055" s="33"/>
    </row>
    <row r="2056" ht="24" customHeight="1" spans="2:14">
      <c r="B2056" s="33"/>
      <c r="C2056" s="60"/>
      <c r="D2056" s="60"/>
      <c r="E2056" s="60"/>
      <c r="F2056" s="60"/>
      <c r="G2056" s="60"/>
      <c r="H2056" s="60"/>
      <c r="I2056" s="60"/>
      <c r="J2056" s="60"/>
      <c r="K2056" s="60"/>
      <c r="L2056" s="60"/>
      <c r="M2056" s="64"/>
      <c r="N2056" s="33"/>
    </row>
    <row r="2057" ht="24" customHeight="1" spans="2:14">
      <c r="B2057" s="33"/>
      <c r="C2057" s="60"/>
      <c r="D2057" s="60"/>
      <c r="E2057" s="60"/>
      <c r="F2057" s="60"/>
      <c r="G2057" s="60"/>
      <c r="H2057" s="60"/>
      <c r="I2057" s="60"/>
      <c r="J2057" s="60"/>
      <c r="K2057" s="60"/>
      <c r="L2057" s="60"/>
      <c r="M2057" s="64"/>
      <c r="N2057" s="33"/>
    </row>
    <row r="2058" ht="24" customHeight="1" spans="2:14">
      <c r="B2058" s="33"/>
      <c r="C2058" s="60"/>
      <c r="D2058" s="60"/>
      <c r="E2058" s="60"/>
      <c r="F2058" s="60"/>
      <c r="G2058" s="60"/>
      <c r="H2058" s="60"/>
      <c r="I2058" s="60"/>
      <c r="J2058" s="60"/>
      <c r="K2058" s="60"/>
      <c r="L2058" s="60"/>
      <c r="M2058" s="64"/>
      <c r="N2058" s="33"/>
    </row>
    <row r="2059" ht="24" customHeight="1" spans="2:14">
      <c r="B2059" s="33"/>
      <c r="C2059" s="60"/>
      <c r="D2059" s="60"/>
      <c r="E2059" s="60"/>
      <c r="F2059" s="60"/>
      <c r="G2059" s="60"/>
      <c r="H2059" s="60"/>
      <c r="I2059" s="60"/>
      <c r="J2059" s="60"/>
      <c r="K2059" s="60"/>
      <c r="L2059" s="60"/>
      <c r="M2059" s="64"/>
      <c r="N2059" s="33"/>
    </row>
    <row r="2060" ht="24" customHeight="1" spans="2:14">
      <c r="B2060" s="33"/>
      <c r="C2060" s="60"/>
      <c r="D2060" s="60"/>
      <c r="E2060" s="60"/>
      <c r="F2060" s="60"/>
      <c r="G2060" s="60"/>
      <c r="H2060" s="60"/>
      <c r="I2060" s="60"/>
      <c r="J2060" s="60"/>
      <c r="K2060" s="60"/>
      <c r="L2060" s="60"/>
      <c r="M2060" s="64"/>
      <c r="N2060" s="33"/>
    </row>
    <row r="2061" ht="24" customHeight="1" spans="2:14">
      <c r="B2061" s="33"/>
      <c r="C2061" s="60"/>
      <c r="D2061" s="60"/>
      <c r="E2061" s="60"/>
      <c r="F2061" s="60"/>
      <c r="G2061" s="60"/>
      <c r="H2061" s="60"/>
      <c r="I2061" s="60"/>
      <c r="J2061" s="60"/>
      <c r="K2061" s="60"/>
      <c r="L2061" s="60"/>
      <c r="M2061" s="64"/>
      <c r="N2061" s="33"/>
    </row>
    <row r="2062" ht="24" customHeight="1" spans="2:14">
      <c r="B2062" s="33"/>
      <c r="C2062" s="60"/>
      <c r="D2062" s="60"/>
      <c r="E2062" s="60"/>
      <c r="F2062" s="60"/>
      <c r="G2062" s="60"/>
      <c r="H2062" s="60"/>
      <c r="I2062" s="60"/>
      <c r="J2062" s="60"/>
      <c r="K2062" s="60"/>
      <c r="L2062" s="60"/>
      <c r="M2062" s="64"/>
      <c r="N2062" s="33"/>
    </row>
    <row r="2063" ht="24" customHeight="1" spans="2:14">
      <c r="B2063" s="33"/>
      <c r="C2063" s="60"/>
      <c r="D2063" s="60"/>
      <c r="E2063" s="60"/>
      <c r="F2063" s="60"/>
      <c r="G2063" s="60"/>
      <c r="H2063" s="60"/>
      <c r="I2063" s="60"/>
      <c r="J2063" s="60"/>
      <c r="K2063" s="60"/>
      <c r="L2063" s="60"/>
      <c r="M2063" s="64"/>
      <c r="N2063" s="33"/>
    </row>
    <row r="2064" ht="24" customHeight="1" spans="2:14">
      <c r="B2064" s="33"/>
      <c r="C2064" s="60"/>
      <c r="D2064" s="60"/>
      <c r="E2064" s="60"/>
      <c r="F2064" s="60"/>
      <c r="G2064" s="60"/>
      <c r="H2064" s="60"/>
      <c r="I2064" s="60"/>
      <c r="J2064" s="60"/>
      <c r="K2064" s="60"/>
      <c r="L2064" s="60"/>
      <c r="M2064" s="64"/>
      <c r="N2064" s="33"/>
    </row>
    <row r="2065" ht="24" customHeight="1" spans="2:14">
      <c r="B2065" s="33"/>
      <c r="C2065" s="60"/>
      <c r="D2065" s="60"/>
      <c r="E2065" s="60"/>
      <c r="F2065" s="60"/>
      <c r="G2065" s="60"/>
      <c r="H2065" s="60"/>
      <c r="I2065" s="60"/>
      <c r="J2065" s="60"/>
      <c r="K2065" s="60"/>
      <c r="L2065" s="60"/>
      <c r="M2065" s="64"/>
      <c r="N2065" s="33"/>
    </row>
    <row r="2066" ht="24" customHeight="1" spans="2:14">
      <c r="B2066" s="33"/>
      <c r="C2066" s="60"/>
      <c r="D2066" s="60"/>
      <c r="E2066" s="60"/>
      <c r="F2066" s="60"/>
      <c r="G2066" s="60"/>
      <c r="H2066" s="60"/>
      <c r="I2066" s="60"/>
      <c r="J2066" s="60"/>
      <c r="K2066" s="60"/>
      <c r="L2066" s="60"/>
      <c r="M2066" s="64"/>
      <c r="N2066" s="33"/>
    </row>
    <row r="2067" ht="24" customHeight="1" spans="2:14">
      <c r="B2067" s="33"/>
      <c r="C2067" s="60"/>
      <c r="D2067" s="60"/>
      <c r="E2067" s="60"/>
      <c r="F2067" s="60"/>
      <c r="G2067" s="60"/>
      <c r="H2067" s="60"/>
      <c r="I2067" s="60"/>
      <c r="J2067" s="60"/>
      <c r="K2067" s="60"/>
      <c r="L2067" s="60"/>
      <c r="M2067" s="64"/>
      <c r="N2067" s="33"/>
    </row>
    <row r="2068" ht="24" customHeight="1" spans="2:14">
      <c r="B2068" s="33"/>
      <c r="C2068" s="60"/>
      <c r="D2068" s="60"/>
      <c r="E2068" s="60"/>
      <c r="F2068" s="60"/>
      <c r="G2068" s="60"/>
      <c r="H2068" s="60"/>
      <c r="I2068" s="60"/>
      <c r="J2068" s="60"/>
      <c r="K2068" s="60"/>
      <c r="L2068" s="60"/>
      <c r="M2068" s="64"/>
      <c r="N2068" s="33"/>
    </row>
    <row r="2069" ht="24" customHeight="1" spans="2:14">
      <c r="B2069" s="33"/>
      <c r="C2069" s="60"/>
      <c r="D2069" s="60"/>
      <c r="E2069" s="60"/>
      <c r="F2069" s="60"/>
      <c r="G2069" s="60"/>
      <c r="H2069" s="60"/>
      <c r="I2069" s="60"/>
      <c r="J2069" s="60"/>
      <c r="K2069" s="60"/>
      <c r="L2069" s="60"/>
      <c r="M2069" s="64"/>
      <c r="N2069" s="33"/>
    </row>
    <row r="2070" ht="24" customHeight="1" spans="2:14">
      <c r="B2070" s="33"/>
      <c r="C2070" s="60"/>
      <c r="D2070" s="60"/>
      <c r="E2070" s="60"/>
      <c r="F2070" s="60"/>
      <c r="G2070" s="60"/>
      <c r="H2070" s="60"/>
      <c r="I2070" s="60"/>
      <c r="J2070" s="60"/>
      <c r="K2070" s="60"/>
      <c r="L2070" s="60"/>
      <c r="M2070" s="64"/>
      <c r="N2070" s="33"/>
    </row>
    <row r="2071" ht="24" customHeight="1" spans="2:14">
      <c r="B2071" s="33"/>
      <c r="C2071" s="60"/>
      <c r="D2071" s="60"/>
      <c r="E2071" s="60"/>
      <c r="F2071" s="60"/>
      <c r="G2071" s="60"/>
      <c r="H2071" s="60"/>
      <c r="I2071" s="60"/>
      <c r="J2071" s="60"/>
      <c r="K2071" s="60"/>
      <c r="L2071" s="60"/>
      <c r="M2071" s="64"/>
      <c r="N2071" s="33"/>
    </row>
    <row r="2072" ht="24" customHeight="1" spans="2:14">
      <c r="B2072" s="33"/>
      <c r="C2072" s="60"/>
      <c r="D2072" s="60"/>
      <c r="E2072" s="60"/>
      <c r="F2072" s="60"/>
      <c r="G2072" s="60"/>
      <c r="H2072" s="60"/>
      <c r="I2072" s="60"/>
      <c r="J2072" s="60"/>
      <c r="K2072" s="60"/>
      <c r="L2072" s="60"/>
      <c r="M2072" s="64"/>
      <c r="N2072" s="33"/>
    </row>
    <row r="2073" ht="24" customHeight="1" spans="2:14">
      <c r="B2073" s="33"/>
      <c r="C2073" s="60"/>
      <c r="D2073" s="60"/>
      <c r="E2073" s="60"/>
      <c r="F2073" s="60"/>
      <c r="G2073" s="60"/>
      <c r="H2073" s="60"/>
      <c r="I2073" s="60"/>
      <c r="J2073" s="60"/>
      <c r="K2073" s="60"/>
      <c r="L2073" s="60"/>
      <c r="M2073" s="64"/>
      <c r="N2073" s="33"/>
    </row>
    <row r="2074" ht="24" customHeight="1" spans="2:14">
      <c r="B2074" s="33"/>
      <c r="C2074" s="60"/>
      <c r="D2074" s="60"/>
      <c r="E2074" s="60"/>
      <c r="F2074" s="60"/>
      <c r="G2074" s="60"/>
      <c r="H2074" s="60"/>
      <c r="I2074" s="60"/>
      <c r="J2074" s="60"/>
      <c r="K2074" s="60"/>
      <c r="L2074" s="60"/>
      <c r="M2074" s="64"/>
      <c r="N2074" s="33"/>
    </row>
    <row r="2075" ht="24" customHeight="1" spans="2:14">
      <c r="B2075" s="33"/>
      <c r="C2075" s="60"/>
      <c r="D2075" s="60"/>
      <c r="E2075" s="60"/>
      <c r="F2075" s="60"/>
      <c r="G2075" s="60"/>
      <c r="H2075" s="60"/>
      <c r="I2075" s="60"/>
      <c r="J2075" s="60"/>
      <c r="K2075" s="60"/>
      <c r="L2075" s="60"/>
      <c r="M2075" s="64"/>
      <c r="N2075" s="33"/>
    </row>
    <row r="2076" ht="24" customHeight="1" spans="2:14">
      <c r="B2076" s="33"/>
      <c r="C2076" s="60"/>
      <c r="D2076" s="60"/>
      <c r="E2076" s="60"/>
      <c r="F2076" s="60"/>
      <c r="G2076" s="60"/>
      <c r="H2076" s="60"/>
      <c r="I2076" s="60"/>
      <c r="J2076" s="60"/>
      <c r="K2076" s="60"/>
      <c r="L2076" s="60"/>
      <c r="M2076" s="64"/>
      <c r="N2076" s="33"/>
    </row>
    <row r="2077" ht="24" customHeight="1" spans="2:14">
      <c r="B2077" s="33"/>
      <c r="C2077" s="60"/>
      <c r="D2077" s="60"/>
      <c r="E2077" s="60"/>
      <c r="F2077" s="60"/>
      <c r="G2077" s="60"/>
      <c r="H2077" s="60"/>
      <c r="I2077" s="60"/>
      <c r="J2077" s="60"/>
      <c r="K2077" s="60"/>
      <c r="L2077" s="60"/>
      <c r="M2077" s="64"/>
      <c r="N2077" s="33"/>
    </row>
    <row r="2078" ht="24" customHeight="1" spans="2:14">
      <c r="B2078" s="33"/>
      <c r="C2078" s="60"/>
      <c r="D2078" s="60"/>
      <c r="E2078" s="60"/>
      <c r="F2078" s="60"/>
      <c r="G2078" s="60"/>
      <c r="H2078" s="60"/>
      <c r="I2078" s="60"/>
      <c r="J2078" s="60"/>
      <c r="K2078" s="60"/>
      <c r="L2078" s="60"/>
      <c r="M2078" s="64"/>
      <c r="N2078" s="33"/>
    </row>
    <row r="2079" ht="24" customHeight="1" spans="2:14">
      <c r="B2079" s="33"/>
      <c r="C2079" s="60"/>
      <c r="D2079" s="60"/>
      <c r="E2079" s="60"/>
      <c r="F2079" s="60"/>
      <c r="G2079" s="60"/>
      <c r="H2079" s="60"/>
      <c r="I2079" s="60"/>
      <c r="J2079" s="60"/>
      <c r="K2079" s="60"/>
      <c r="L2079" s="60"/>
      <c r="M2079" s="64"/>
      <c r="N2079" s="33"/>
    </row>
    <row r="2080" ht="24" customHeight="1" spans="2:14">
      <c r="B2080" s="33"/>
      <c r="C2080" s="60"/>
      <c r="D2080" s="60"/>
      <c r="E2080" s="60"/>
      <c r="F2080" s="60"/>
      <c r="G2080" s="60"/>
      <c r="H2080" s="60"/>
      <c r="I2080" s="60"/>
      <c r="J2080" s="60"/>
      <c r="K2080" s="60"/>
      <c r="L2080" s="60"/>
      <c r="M2080" s="64"/>
      <c r="N2080" s="33"/>
    </row>
    <row r="2081" ht="24" customHeight="1" spans="2:14">
      <c r="B2081" s="33"/>
      <c r="C2081" s="60"/>
      <c r="D2081" s="60"/>
      <c r="E2081" s="60"/>
      <c r="F2081" s="60"/>
      <c r="G2081" s="60"/>
      <c r="H2081" s="60"/>
      <c r="I2081" s="60"/>
      <c r="J2081" s="60"/>
      <c r="K2081" s="60"/>
      <c r="L2081" s="60"/>
      <c r="M2081" s="64"/>
      <c r="N2081" s="33"/>
    </row>
    <row r="2082" ht="24" customHeight="1" spans="2:14">
      <c r="B2082" s="33"/>
      <c r="C2082" s="60"/>
      <c r="D2082" s="60"/>
      <c r="E2082" s="60"/>
      <c r="F2082" s="60"/>
      <c r="G2082" s="60"/>
      <c r="H2082" s="60"/>
      <c r="I2082" s="60"/>
      <c r="J2082" s="60"/>
      <c r="K2082" s="60"/>
      <c r="L2082" s="60"/>
      <c r="M2082" s="64"/>
      <c r="N2082" s="33"/>
    </row>
    <row r="2083" ht="24" customHeight="1" spans="2:14">
      <c r="B2083" s="33"/>
      <c r="C2083" s="60"/>
      <c r="D2083" s="60"/>
      <c r="E2083" s="60"/>
      <c r="F2083" s="60"/>
      <c r="G2083" s="60"/>
      <c r="H2083" s="60"/>
      <c r="I2083" s="60"/>
      <c r="J2083" s="60"/>
      <c r="K2083" s="60"/>
      <c r="L2083" s="60"/>
      <c r="M2083" s="64"/>
      <c r="N2083" s="33"/>
    </row>
    <row r="2084" ht="24" customHeight="1" spans="2:14">
      <c r="B2084" s="33"/>
      <c r="C2084" s="60"/>
      <c r="D2084" s="60"/>
      <c r="E2084" s="60"/>
      <c r="F2084" s="60"/>
      <c r="G2084" s="60"/>
      <c r="H2084" s="60"/>
      <c r="I2084" s="60"/>
      <c r="J2084" s="60"/>
      <c r="K2084" s="60"/>
      <c r="L2084" s="60"/>
      <c r="M2084" s="64"/>
      <c r="N2084" s="33"/>
    </row>
    <row r="2085" ht="24" customHeight="1" spans="2:14">
      <c r="B2085" s="33"/>
      <c r="C2085" s="60"/>
      <c r="D2085" s="60"/>
      <c r="E2085" s="60"/>
      <c r="F2085" s="60"/>
      <c r="G2085" s="60"/>
      <c r="H2085" s="60"/>
      <c r="I2085" s="60"/>
      <c r="J2085" s="60"/>
      <c r="K2085" s="60"/>
      <c r="L2085" s="60"/>
      <c r="M2085" s="64"/>
      <c r="N2085" s="33"/>
    </row>
    <row r="2086" ht="24" customHeight="1" spans="2:14">
      <c r="B2086" s="33"/>
      <c r="C2086" s="60"/>
      <c r="D2086" s="60"/>
      <c r="E2086" s="60"/>
      <c r="F2086" s="60"/>
      <c r="G2086" s="60"/>
      <c r="H2086" s="60"/>
      <c r="I2086" s="60"/>
      <c r="J2086" s="60"/>
      <c r="K2086" s="60"/>
      <c r="L2086" s="60"/>
      <c r="M2086" s="64"/>
      <c r="N2086" s="33"/>
    </row>
    <row r="2087" ht="24" customHeight="1" spans="2:14">
      <c r="B2087" s="33"/>
      <c r="C2087" s="60"/>
      <c r="D2087" s="60"/>
      <c r="E2087" s="60"/>
      <c r="F2087" s="60"/>
      <c r="G2087" s="60"/>
      <c r="H2087" s="60"/>
      <c r="I2087" s="60"/>
      <c r="J2087" s="60"/>
      <c r="K2087" s="60"/>
      <c r="L2087" s="60"/>
      <c r="M2087" s="64"/>
      <c r="N2087" s="33"/>
    </row>
    <row r="2088" ht="24" customHeight="1" spans="2:14">
      <c r="B2088" s="33"/>
      <c r="C2088" s="60"/>
      <c r="D2088" s="60"/>
      <c r="E2088" s="60"/>
      <c r="F2088" s="60"/>
      <c r="G2088" s="60"/>
      <c r="H2088" s="60"/>
      <c r="I2088" s="60"/>
      <c r="J2088" s="60"/>
      <c r="K2088" s="60"/>
      <c r="L2088" s="60"/>
      <c r="M2088" s="64"/>
      <c r="N2088" s="33"/>
    </row>
    <row r="2089" ht="24" customHeight="1" spans="2:14">
      <c r="B2089" s="33"/>
      <c r="C2089" s="60"/>
      <c r="D2089" s="60"/>
      <c r="E2089" s="60"/>
      <c r="F2089" s="60"/>
      <c r="G2089" s="60"/>
      <c r="H2089" s="60"/>
      <c r="I2089" s="60"/>
      <c r="J2089" s="60"/>
      <c r="K2089" s="60"/>
      <c r="L2089" s="60"/>
      <c r="M2089" s="64"/>
      <c r="N2089" s="33"/>
    </row>
    <row r="2090" ht="24" customHeight="1" spans="2:14">
      <c r="B2090" s="33"/>
      <c r="C2090" s="60"/>
      <c r="D2090" s="60"/>
      <c r="E2090" s="60"/>
      <c r="F2090" s="60"/>
      <c r="G2090" s="60"/>
      <c r="H2090" s="60"/>
      <c r="I2090" s="60"/>
      <c r="J2090" s="60"/>
      <c r="K2090" s="60"/>
      <c r="L2090" s="60"/>
      <c r="M2090" s="64"/>
      <c r="N2090" s="33"/>
    </row>
    <row r="2091" ht="24" customHeight="1" spans="2:14">
      <c r="B2091" s="33"/>
      <c r="C2091" s="60"/>
      <c r="D2091" s="60"/>
      <c r="E2091" s="60"/>
      <c r="F2091" s="60"/>
      <c r="G2091" s="60"/>
      <c r="H2091" s="60"/>
      <c r="I2091" s="60"/>
      <c r="J2091" s="60"/>
      <c r="K2091" s="60"/>
      <c r="L2091" s="60"/>
      <c r="M2091" s="64"/>
      <c r="N2091" s="33"/>
    </row>
    <row r="2092" ht="24" customHeight="1" spans="2:14">
      <c r="B2092" s="33"/>
      <c r="C2092" s="60"/>
      <c r="D2092" s="60"/>
      <c r="E2092" s="60"/>
      <c r="F2092" s="60"/>
      <c r="G2092" s="60"/>
      <c r="H2092" s="60"/>
      <c r="I2092" s="60"/>
      <c r="J2092" s="60"/>
      <c r="K2092" s="60"/>
      <c r="L2092" s="60"/>
      <c r="M2092" s="64"/>
      <c r="N2092" s="33"/>
    </row>
    <row r="2093" ht="24" customHeight="1" spans="2:14">
      <c r="B2093" s="33"/>
      <c r="C2093" s="60"/>
      <c r="D2093" s="60"/>
      <c r="E2093" s="60"/>
      <c r="F2093" s="60"/>
      <c r="G2093" s="60"/>
      <c r="H2093" s="60"/>
      <c r="I2093" s="60"/>
      <c r="J2093" s="60"/>
      <c r="K2093" s="60"/>
      <c r="L2093" s="60"/>
      <c r="M2093" s="64"/>
      <c r="N2093" s="33"/>
    </row>
    <row r="2094" ht="24" customHeight="1" spans="2:14">
      <c r="B2094" s="33"/>
      <c r="C2094" s="60"/>
      <c r="D2094" s="60"/>
      <c r="E2094" s="60"/>
      <c r="F2094" s="60"/>
      <c r="G2094" s="60"/>
      <c r="H2094" s="60"/>
      <c r="I2094" s="60"/>
      <c r="J2094" s="60"/>
      <c r="K2094" s="60"/>
      <c r="L2094" s="60"/>
      <c r="M2094" s="64"/>
      <c r="N2094" s="33"/>
    </row>
    <row r="2095" ht="24" customHeight="1" spans="2:14">
      <c r="B2095" s="33"/>
      <c r="C2095" s="60"/>
      <c r="D2095" s="60"/>
      <c r="E2095" s="60"/>
      <c r="F2095" s="60"/>
      <c r="G2095" s="60"/>
      <c r="H2095" s="60"/>
      <c r="I2095" s="60"/>
      <c r="J2095" s="60"/>
      <c r="K2095" s="60"/>
      <c r="L2095" s="60"/>
      <c r="M2095" s="64"/>
      <c r="N2095" s="33"/>
    </row>
    <row r="2096" ht="24" customHeight="1" spans="2:14">
      <c r="B2096" s="33"/>
      <c r="C2096" s="60"/>
      <c r="D2096" s="60"/>
      <c r="E2096" s="60"/>
      <c r="F2096" s="60"/>
      <c r="G2096" s="60"/>
      <c r="H2096" s="60"/>
      <c r="I2096" s="60"/>
      <c r="J2096" s="60"/>
      <c r="K2096" s="60"/>
      <c r="L2096" s="60"/>
      <c r="M2096" s="64"/>
      <c r="N2096" s="33"/>
    </row>
    <row r="2097" ht="24" customHeight="1" spans="2:14">
      <c r="B2097" s="33"/>
      <c r="C2097" s="60"/>
      <c r="D2097" s="60"/>
      <c r="E2097" s="60"/>
      <c r="F2097" s="60"/>
      <c r="G2097" s="60"/>
      <c r="H2097" s="60"/>
      <c r="I2097" s="60"/>
      <c r="J2097" s="60"/>
      <c r="K2097" s="60"/>
      <c r="L2097" s="60"/>
      <c r="M2097" s="64"/>
      <c r="N2097" s="33"/>
    </row>
    <row r="2098" ht="24" customHeight="1" spans="2:14">
      <c r="B2098" s="33"/>
      <c r="C2098" s="60"/>
      <c r="D2098" s="60"/>
      <c r="E2098" s="60"/>
      <c r="F2098" s="60"/>
      <c r="G2098" s="60"/>
      <c r="H2098" s="60"/>
      <c r="I2098" s="60"/>
      <c r="J2098" s="60"/>
      <c r="K2098" s="60"/>
      <c r="L2098" s="60"/>
      <c r="M2098" s="64"/>
      <c r="N2098" s="33"/>
    </row>
    <row r="2099" ht="24" customHeight="1" spans="2:14">
      <c r="B2099" s="33"/>
      <c r="C2099" s="60"/>
      <c r="D2099" s="60"/>
      <c r="E2099" s="60"/>
      <c r="F2099" s="60"/>
      <c r="G2099" s="60"/>
      <c r="H2099" s="60"/>
      <c r="I2099" s="60"/>
      <c r="J2099" s="60"/>
      <c r="K2099" s="60"/>
      <c r="L2099" s="60"/>
      <c r="M2099" s="64"/>
      <c r="N2099" s="33"/>
    </row>
    <row r="2100" ht="24" customHeight="1" spans="2:14">
      <c r="B2100" s="33"/>
      <c r="C2100" s="60"/>
      <c r="D2100" s="60"/>
      <c r="E2100" s="60"/>
      <c r="F2100" s="60"/>
      <c r="G2100" s="60"/>
      <c r="H2100" s="60"/>
      <c r="I2100" s="60"/>
      <c r="J2100" s="60"/>
      <c r="K2100" s="60"/>
      <c r="L2100" s="60"/>
      <c r="M2100" s="64"/>
      <c r="N2100" s="33"/>
    </row>
    <row r="2101" ht="24" customHeight="1" spans="2:14">
      <c r="B2101" s="33"/>
      <c r="C2101" s="60"/>
      <c r="D2101" s="60"/>
      <c r="E2101" s="60"/>
      <c r="F2101" s="60"/>
      <c r="G2101" s="60"/>
      <c r="H2101" s="60"/>
      <c r="I2101" s="60"/>
      <c r="J2101" s="60"/>
      <c r="K2101" s="60"/>
      <c r="L2101" s="60"/>
      <c r="M2101" s="64"/>
      <c r="N2101" s="33"/>
    </row>
    <row r="2102" ht="24" customHeight="1" spans="2:14">
      <c r="B2102" s="33"/>
      <c r="C2102" s="60"/>
      <c r="D2102" s="60"/>
      <c r="E2102" s="60"/>
      <c r="F2102" s="60"/>
      <c r="G2102" s="60"/>
      <c r="H2102" s="60"/>
      <c r="I2102" s="60"/>
      <c r="J2102" s="60"/>
      <c r="K2102" s="60"/>
      <c r="L2102" s="60"/>
      <c r="M2102" s="64"/>
      <c r="N2102" s="33"/>
    </row>
    <row r="2103" ht="24" customHeight="1" spans="2:14">
      <c r="B2103" s="33"/>
      <c r="C2103" s="60"/>
      <c r="D2103" s="60"/>
      <c r="E2103" s="60"/>
      <c r="F2103" s="60"/>
      <c r="G2103" s="60"/>
      <c r="H2103" s="60"/>
      <c r="I2103" s="60"/>
      <c r="J2103" s="60"/>
      <c r="K2103" s="60"/>
      <c r="L2103" s="60"/>
      <c r="M2103" s="64"/>
      <c r="N2103" s="33"/>
    </row>
    <row r="2104" ht="24" customHeight="1" spans="2:14">
      <c r="B2104" s="33"/>
      <c r="C2104" s="60"/>
      <c r="D2104" s="60"/>
      <c r="E2104" s="60"/>
      <c r="F2104" s="60"/>
      <c r="G2104" s="60"/>
      <c r="H2104" s="60"/>
      <c r="I2104" s="60"/>
      <c r="J2104" s="60"/>
      <c r="K2104" s="60"/>
      <c r="L2104" s="60"/>
      <c r="M2104" s="64"/>
      <c r="N2104" s="33"/>
    </row>
    <row r="2105" ht="24" customHeight="1" spans="2:14">
      <c r="B2105" s="33"/>
      <c r="C2105" s="60"/>
      <c r="D2105" s="60"/>
      <c r="E2105" s="60"/>
      <c r="F2105" s="60"/>
      <c r="G2105" s="60"/>
      <c r="H2105" s="60"/>
      <c r="I2105" s="60"/>
      <c r="J2105" s="60"/>
      <c r="K2105" s="60"/>
      <c r="L2105" s="60"/>
      <c r="M2105" s="64"/>
      <c r="N2105" s="33"/>
    </row>
    <row r="2106" ht="24" customHeight="1" spans="2:14">
      <c r="B2106" s="33"/>
      <c r="C2106" s="60"/>
      <c r="D2106" s="60"/>
      <c r="E2106" s="60"/>
      <c r="F2106" s="60"/>
      <c r="G2106" s="60"/>
      <c r="H2106" s="60"/>
      <c r="I2106" s="60"/>
      <c r="J2106" s="60"/>
      <c r="K2106" s="60"/>
      <c r="L2106" s="60"/>
      <c r="M2106" s="64"/>
      <c r="N2106" s="33"/>
    </row>
    <row r="2107" ht="24" customHeight="1" spans="2:14">
      <c r="B2107" s="33"/>
      <c r="C2107" s="60"/>
      <c r="D2107" s="60"/>
      <c r="E2107" s="60"/>
      <c r="F2107" s="60"/>
      <c r="G2107" s="60"/>
      <c r="H2107" s="60"/>
      <c r="I2107" s="60"/>
      <c r="J2107" s="60"/>
      <c r="K2107" s="60"/>
      <c r="L2107" s="60"/>
      <c r="M2107" s="64"/>
      <c r="N2107" s="33"/>
    </row>
    <row r="2108" ht="24" customHeight="1" spans="2:14">
      <c r="B2108" s="33"/>
      <c r="C2108" s="60"/>
      <c r="D2108" s="60"/>
      <c r="E2108" s="60"/>
      <c r="F2108" s="60"/>
      <c r="G2108" s="60"/>
      <c r="H2108" s="60"/>
      <c r="I2108" s="60"/>
      <c r="J2108" s="60"/>
      <c r="K2108" s="60"/>
      <c r="L2108" s="60"/>
      <c r="M2108" s="64"/>
      <c r="N2108" s="33"/>
    </row>
    <row r="2109" ht="24" customHeight="1" spans="2:14">
      <c r="B2109" s="33"/>
      <c r="C2109" s="60"/>
      <c r="D2109" s="60"/>
      <c r="E2109" s="60"/>
      <c r="F2109" s="60"/>
      <c r="G2109" s="60"/>
      <c r="H2109" s="60"/>
      <c r="I2109" s="60"/>
      <c r="J2109" s="60"/>
      <c r="K2109" s="60"/>
      <c r="L2109" s="60"/>
      <c r="M2109" s="64"/>
      <c r="N2109" s="33"/>
    </row>
    <row r="2110" ht="24" customHeight="1" spans="2:14">
      <c r="B2110" s="33"/>
      <c r="C2110" s="60"/>
      <c r="D2110" s="60"/>
      <c r="E2110" s="60"/>
      <c r="F2110" s="60"/>
      <c r="G2110" s="60"/>
      <c r="H2110" s="60"/>
      <c r="I2110" s="60"/>
      <c r="J2110" s="60"/>
      <c r="K2110" s="60"/>
      <c r="L2110" s="60"/>
      <c r="M2110" s="64"/>
      <c r="N2110" s="33"/>
    </row>
    <row r="2111" ht="24" customHeight="1" spans="2:14">
      <c r="B2111" s="33"/>
      <c r="C2111" s="60"/>
      <c r="D2111" s="60"/>
      <c r="E2111" s="60"/>
      <c r="F2111" s="60"/>
      <c r="G2111" s="60"/>
      <c r="H2111" s="60"/>
      <c r="I2111" s="60"/>
      <c r="J2111" s="60"/>
      <c r="K2111" s="60"/>
      <c r="L2111" s="60"/>
      <c r="M2111" s="64"/>
      <c r="N2111" s="33"/>
    </row>
    <row r="2112" ht="24" customHeight="1" spans="2:14">
      <c r="B2112" s="33"/>
      <c r="C2112" s="60"/>
      <c r="D2112" s="60"/>
      <c r="E2112" s="60"/>
      <c r="F2112" s="60"/>
      <c r="G2112" s="60"/>
      <c r="H2112" s="60"/>
      <c r="I2112" s="60"/>
      <c r="J2112" s="60"/>
      <c r="K2112" s="60"/>
      <c r="L2112" s="60"/>
      <c r="M2112" s="64"/>
      <c r="N2112" s="33"/>
    </row>
    <row r="2113" ht="24" customHeight="1" spans="2:14">
      <c r="B2113" s="33"/>
      <c r="C2113" s="60"/>
      <c r="D2113" s="60"/>
      <c r="E2113" s="60"/>
      <c r="F2113" s="60"/>
      <c r="G2113" s="60"/>
      <c r="H2113" s="60"/>
      <c r="I2113" s="60"/>
      <c r="J2113" s="60"/>
      <c r="K2113" s="60"/>
      <c r="L2113" s="60"/>
      <c r="M2113" s="64"/>
      <c r="N2113" s="33"/>
    </row>
    <row r="2114" ht="24" customHeight="1" spans="2:14">
      <c r="B2114" s="33"/>
      <c r="C2114" s="60"/>
      <c r="D2114" s="60"/>
      <c r="E2114" s="60"/>
      <c r="F2114" s="60"/>
      <c r="G2114" s="60"/>
      <c r="H2114" s="60"/>
      <c r="I2114" s="60"/>
      <c r="J2114" s="60"/>
      <c r="K2114" s="60"/>
      <c r="L2114" s="60"/>
      <c r="M2114" s="64"/>
      <c r="N2114" s="33"/>
    </row>
    <row r="2115" ht="24" customHeight="1" spans="2:14">
      <c r="B2115" s="33"/>
      <c r="C2115" s="60"/>
      <c r="D2115" s="60"/>
      <c r="E2115" s="60"/>
      <c r="F2115" s="60"/>
      <c r="G2115" s="60"/>
      <c r="H2115" s="60"/>
      <c r="I2115" s="60"/>
      <c r="J2115" s="60"/>
      <c r="K2115" s="60"/>
      <c r="L2115" s="60"/>
      <c r="M2115" s="64"/>
      <c r="N2115" s="33"/>
    </row>
    <row r="2116" ht="24" customHeight="1" spans="2:14">
      <c r="B2116" s="33"/>
      <c r="C2116" s="60"/>
      <c r="D2116" s="60"/>
      <c r="E2116" s="60"/>
      <c r="F2116" s="60"/>
      <c r="G2116" s="60"/>
      <c r="H2116" s="60"/>
      <c r="I2116" s="60"/>
      <c r="J2116" s="60"/>
      <c r="K2116" s="60"/>
      <c r="L2116" s="60"/>
      <c r="M2116" s="64"/>
      <c r="N2116" s="33"/>
    </row>
    <row r="2117" ht="24" customHeight="1" spans="2:14">
      <c r="B2117" s="33"/>
      <c r="C2117" s="60"/>
      <c r="D2117" s="60"/>
      <c r="E2117" s="60"/>
      <c r="F2117" s="60"/>
      <c r="G2117" s="60"/>
      <c r="H2117" s="60"/>
      <c r="I2117" s="60"/>
      <c r="J2117" s="60"/>
      <c r="K2117" s="60"/>
      <c r="L2117" s="60"/>
      <c r="M2117" s="64"/>
      <c r="N2117" s="33"/>
    </row>
    <row r="2118" ht="24" customHeight="1" spans="2:14">
      <c r="B2118" s="33"/>
      <c r="C2118" s="60"/>
      <c r="D2118" s="60"/>
      <c r="E2118" s="60"/>
      <c r="F2118" s="60"/>
      <c r="G2118" s="60"/>
      <c r="H2118" s="60"/>
      <c r="I2118" s="60"/>
      <c r="J2118" s="60"/>
      <c r="K2118" s="60"/>
      <c r="L2118" s="60"/>
      <c r="M2118" s="64"/>
      <c r="N2118" s="33"/>
    </row>
    <row r="2119" ht="24" customHeight="1" spans="2:14">
      <c r="B2119" s="33"/>
      <c r="C2119" s="60"/>
      <c r="D2119" s="60"/>
      <c r="E2119" s="60"/>
      <c r="F2119" s="60"/>
      <c r="G2119" s="60"/>
      <c r="H2119" s="60"/>
      <c r="I2119" s="60"/>
      <c r="J2119" s="60"/>
      <c r="K2119" s="60"/>
      <c r="L2119" s="60"/>
      <c r="M2119" s="64"/>
      <c r="N2119" s="33"/>
    </row>
    <row r="2120" ht="24" customHeight="1" spans="2:14">
      <c r="B2120" s="33"/>
      <c r="C2120" s="60"/>
      <c r="D2120" s="60"/>
      <c r="E2120" s="60"/>
      <c r="F2120" s="60"/>
      <c r="G2120" s="60"/>
      <c r="H2120" s="60"/>
      <c r="I2120" s="60"/>
      <c r="J2120" s="60"/>
      <c r="K2120" s="60"/>
      <c r="L2120" s="60"/>
      <c r="M2120" s="64"/>
      <c r="N2120" s="33"/>
    </row>
    <row r="2121" ht="24" customHeight="1" spans="2:14">
      <c r="B2121" s="33"/>
      <c r="C2121" s="60"/>
      <c r="D2121" s="60"/>
      <c r="E2121" s="60"/>
      <c r="F2121" s="60"/>
      <c r="G2121" s="60"/>
      <c r="H2121" s="60"/>
      <c r="I2121" s="60"/>
      <c r="J2121" s="60"/>
      <c r="K2121" s="60"/>
      <c r="L2121" s="60"/>
      <c r="M2121" s="64"/>
      <c r="N2121" s="33"/>
    </row>
    <row r="2122" ht="24" customHeight="1" spans="2:14">
      <c r="B2122" s="33"/>
      <c r="C2122" s="60"/>
      <c r="D2122" s="60"/>
      <c r="E2122" s="60"/>
      <c r="F2122" s="60"/>
      <c r="G2122" s="60"/>
      <c r="H2122" s="60"/>
      <c r="I2122" s="60"/>
      <c r="J2122" s="60"/>
      <c r="K2122" s="60"/>
      <c r="L2122" s="60"/>
      <c r="M2122" s="64"/>
      <c r="N2122" s="33"/>
    </row>
    <row r="2123" ht="24" customHeight="1" spans="2:14">
      <c r="B2123" s="33"/>
      <c r="C2123" s="60"/>
      <c r="D2123" s="60"/>
      <c r="E2123" s="60"/>
      <c r="F2123" s="60"/>
      <c r="G2123" s="60"/>
      <c r="H2123" s="60"/>
      <c r="I2123" s="60"/>
      <c r="J2123" s="60"/>
      <c r="K2123" s="60"/>
      <c r="L2123" s="60"/>
      <c r="M2123" s="64"/>
      <c r="N2123" s="33"/>
    </row>
    <row r="2124" ht="24" customHeight="1" spans="2:14">
      <c r="B2124" s="33"/>
      <c r="C2124" s="60"/>
      <c r="D2124" s="60"/>
      <c r="E2124" s="60"/>
      <c r="F2124" s="60"/>
      <c r="G2124" s="60"/>
      <c r="H2124" s="60"/>
      <c r="I2124" s="60"/>
      <c r="J2124" s="60"/>
      <c r="K2124" s="60"/>
      <c r="L2124" s="60"/>
      <c r="M2124" s="64"/>
      <c r="N2124" s="33"/>
    </row>
    <row r="2125" ht="24" customHeight="1" spans="2:14">
      <c r="B2125" s="33"/>
      <c r="C2125" s="60"/>
      <c r="D2125" s="60"/>
      <c r="E2125" s="60"/>
      <c r="F2125" s="60"/>
      <c r="G2125" s="60"/>
      <c r="H2125" s="60"/>
      <c r="I2125" s="60"/>
      <c r="J2125" s="60"/>
      <c r="K2125" s="60"/>
      <c r="L2125" s="60"/>
      <c r="M2125" s="64"/>
      <c r="N2125" s="33"/>
    </row>
    <row r="2126" ht="24" customHeight="1" spans="2:14">
      <c r="B2126" s="33"/>
      <c r="C2126" s="60"/>
      <c r="D2126" s="60"/>
      <c r="E2126" s="60"/>
      <c r="F2126" s="60"/>
      <c r="G2126" s="60"/>
      <c r="H2126" s="60"/>
      <c r="I2126" s="60"/>
      <c r="J2126" s="60"/>
      <c r="K2126" s="60"/>
      <c r="L2126" s="60"/>
      <c r="M2126" s="64"/>
      <c r="N2126" s="33"/>
    </row>
    <row r="2127" ht="24" customHeight="1" spans="2:14">
      <c r="B2127" s="33"/>
      <c r="C2127" s="60"/>
      <c r="D2127" s="60"/>
      <c r="E2127" s="60"/>
      <c r="F2127" s="60"/>
      <c r="G2127" s="60"/>
      <c r="H2127" s="60"/>
      <c r="I2127" s="60"/>
      <c r="J2127" s="60"/>
      <c r="K2127" s="60"/>
      <c r="L2127" s="60"/>
      <c r="M2127" s="64"/>
      <c r="N2127" s="33"/>
    </row>
    <row r="2128" ht="24" customHeight="1" spans="2:14">
      <c r="B2128" s="33"/>
      <c r="C2128" s="60"/>
      <c r="D2128" s="60"/>
      <c r="E2128" s="60"/>
      <c r="F2128" s="60"/>
      <c r="G2128" s="60"/>
      <c r="H2128" s="60"/>
      <c r="I2128" s="60"/>
      <c r="J2128" s="60"/>
      <c r="K2128" s="60"/>
      <c r="L2128" s="60"/>
      <c r="M2128" s="64"/>
      <c r="N2128" s="33"/>
    </row>
    <row r="2129" ht="24" customHeight="1" spans="2:14">
      <c r="B2129" s="33"/>
      <c r="C2129" s="60"/>
      <c r="D2129" s="60"/>
      <c r="E2129" s="60"/>
      <c r="F2129" s="60"/>
      <c r="G2129" s="60"/>
      <c r="H2129" s="60"/>
      <c r="I2129" s="60"/>
      <c r="J2129" s="60"/>
      <c r="K2129" s="60"/>
      <c r="L2129" s="60"/>
      <c r="M2129" s="64"/>
      <c r="N2129" s="33"/>
    </row>
    <row r="2130" ht="24" customHeight="1" spans="2:14">
      <c r="B2130" s="33"/>
      <c r="C2130" s="60"/>
      <c r="D2130" s="60"/>
      <c r="E2130" s="60"/>
      <c r="F2130" s="60"/>
      <c r="G2130" s="60"/>
      <c r="H2130" s="60"/>
      <c r="I2130" s="60"/>
      <c r="J2130" s="60"/>
      <c r="K2130" s="60"/>
      <c r="L2130" s="60"/>
      <c r="M2130" s="64"/>
      <c r="N2130" s="33"/>
    </row>
    <row r="2131" ht="24" customHeight="1" spans="2:14">
      <c r="B2131" s="33"/>
      <c r="C2131" s="60"/>
      <c r="D2131" s="60"/>
      <c r="E2131" s="60"/>
      <c r="F2131" s="60"/>
      <c r="G2131" s="60"/>
      <c r="H2131" s="60"/>
      <c r="I2131" s="60"/>
      <c r="J2131" s="60"/>
      <c r="K2131" s="60"/>
      <c r="L2131" s="60"/>
      <c r="M2131" s="64"/>
      <c r="N2131" s="33"/>
    </row>
    <row r="2132" ht="24" customHeight="1" spans="2:14">
      <c r="B2132" s="33"/>
      <c r="C2132" s="60"/>
      <c r="D2132" s="60"/>
      <c r="E2132" s="60"/>
      <c r="F2132" s="60"/>
      <c r="G2132" s="60"/>
      <c r="H2132" s="60"/>
      <c r="I2132" s="60"/>
      <c r="J2132" s="60"/>
      <c r="K2132" s="60"/>
      <c r="L2132" s="60"/>
      <c r="M2132" s="64"/>
      <c r="N2132" s="33"/>
    </row>
    <row r="2133" ht="24" customHeight="1" spans="2:14">
      <c r="B2133" s="33"/>
      <c r="C2133" s="60"/>
      <c r="D2133" s="60"/>
      <c r="E2133" s="60"/>
      <c r="F2133" s="60"/>
      <c r="G2133" s="60"/>
      <c r="H2133" s="60"/>
      <c r="I2133" s="60"/>
      <c r="J2133" s="60"/>
      <c r="K2133" s="60"/>
      <c r="L2133" s="60"/>
      <c r="M2133" s="64"/>
      <c r="N2133" s="33"/>
    </row>
    <row r="2134" ht="24" customHeight="1" spans="2:14">
      <c r="B2134" s="33"/>
      <c r="C2134" s="60"/>
      <c r="D2134" s="60"/>
      <c r="E2134" s="60"/>
      <c r="F2134" s="60"/>
      <c r="G2134" s="60"/>
      <c r="H2134" s="60"/>
      <c r="I2134" s="60"/>
      <c r="J2134" s="60"/>
      <c r="K2134" s="60"/>
      <c r="L2134" s="60"/>
      <c r="M2134" s="64"/>
      <c r="N2134" s="33"/>
    </row>
    <row r="2135" ht="24" customHeight="1" spans="2:14">
      <c r="B2135" s="33"/>
      <c r="C2135" s="60"/>
      <c r="D2135" s="60"/>
      <c r="E2135" s="60"/>
      <c r="F2135" s="60"/>
      <c r="G2135" s="60"/>
      <c r="H2135" s="60"/>
      <c r="I2135" s="60"/>
      <c r="J2135" s="60"/>
      <c r="K2135" s="60"/>
      <c r="L2135" s="60"/>
      <c r="M2135" s="64"/>
      <c r="N2135" s="33"/>
    </row>
    <row r="2136" ht="24" customHeight="1" spans="2:14">
      <c r="B2136" s="33"/>
      <c r="C2136" s="60"/>
      <c r="D2136" s="60"/>
      <c r="E2136" s="60"/>
      <c r="F2136" s="60"/>
      <c r="G2136" s="60"/>
      <c r="H2136" s="60"/>
      <c r="I2136" s="60"/>
      <c r="J2136" s="60"/>
      <c r="K2136" s="60"/>
      <c r="L2136" s="60"/>
      <c r="M2136" s="64"/>
      <c r="N2136" s="33"/>
    </row>
    <row r="2137" ht="24" customHeight="1" spans="2:14">
      <c r="B2137" s="33"/>
      <c r="C2137" s="60"/>
      <c r="D2137" s="60"/>
      <c r="E2137" s="60"/>
      <c r="F2137" s="60"/>
      <c r="G2137" s="60"/>
      <c r="H2137" s="60"/>
      <c r="I2137" s="60"/>
      <c r="J2137" s="60"/>
      <c r="K2137" s="60"/>
      <c r="L2137" s="60"/>
      <c r="M2137" s="64"/>
      <c r="N2137" s="33"/>
    </row>
    <row r="2138" ht="24" customHeight="1" spans="2:14">
      <c r="B2138" s="33"/>
      <c r="C2138" s="60"/>
      <c r="D2138" s="60"/>
      <c r="E2138" s="60"/>
      <c r="F2138" s="60"/>
      <c r="G2138" s="60"/>
      <c r="H2138" s="60"/>
      <c r="I2138" s="60"/>
      <c r="J2138" s="60"/>
      <c r="K2138" s="60"/>
      <c r="L2138" s="60"/>
      <c r="M2138" s="64"/>
      <c r="N2138" s="33"/>
    </row>
    <row r="2139" ht="24" customHeight="1" spans="2:14">
      <c r="B2139" s="33"/>
      <c r="C2139" s="60"/>
      <c r="D2139" s="60"/>
      <c r="E2139" s="60"/>
      <c r="F2139" s="60"/>
      <c r="G2139" s="60"/>
      <c r="H2139" s="60"/>
      <c r="I2139" s="60"/>
      <c r="J2139" s="60"/>
      <c r="K2139" s="60"/>
      <c r="L2139" s="60"/>
      <c r="M2139" s="64"/>
      <c r="N2139" s="33"/>
    </row>
    <row r="2140" ht="24" customHeight="1" spans="2:14">
      <c r="B2140" s="33"/>
      <c r="C2140" s="60"/>
      <c r="D2140" s="60"/>
      <c r="E2140" s="60"/>
      <c r="F2140" s="60"/>
      <c r="G2140" s="60"/>
      <c r="H2140" s="60"/>
      <c r="I2140" s="60"/>
      <c r="J2140" s="60"/>
      <c r="K2140" s="60"/>
      <c r="L2140" s="60"/>
      <c r="M2140" s="64"/>
      <c r="N2140" s="33"/>
    </row>
    <row r="2141" ht="24" customHeight="1" spans="2:14">
      <c r="B2141" s="33"/>
      <c r="C2141" s="60"/>
      <c r="D2141" s="60"/>
      <c r="E2141" s="60"/>
      <c r="F2141" s="60"/>
      <c r="G2141" s="60"/>
      <c r="H2141" s="60"/>
      <c r="I2141" s="60"/>
      <c r="J2141" s="60"/>
      <c r="K2141" s="60"/>
      <c r="L2141" s="60"/>
      <c r="M2141" s="64"/>
      <c r="N2141" s="33"/>
    </row>
    <row r="2142" ht="24" customHeight="1" spans="2:14">
      <c r="B2142" s="33"/>
      <c r="C2142" s="60"/>
      <c r="D2142" s="60"/>
      <c r="E2142" s="60"/>
      <c r="F2142" s="60"/>
      <c r="G2142" s="60"/>
      <c r="H2142" s="60"/>
      <c r="I2142" s="60"/>
      <c r="J2142" s="60"/>
      <c r="K2142" s="60"/>
      <c r="L2142" s="60"/>
      <c r="M2142" s="64"/>
      <c r="N2142" s="33"/>
    </row>
    <row r="2143" ht="24" customHeight="1" spans="2:14">
      <c r="B2143" s="33"/>
      <c r="C2143" s="60"/>
      <c r="D2143" s="60"/>
      <c r="E2143" s="60"/>
      <c r="F2143" s="60"/>
      <c r="G2143" s="60"/>
      <c r="H2143" s="60"/>
      <c r="I2143" s="60"/>
      <c r="J2143" s="60"/>
      <c r="K2143" s="60"/>
      <c r="L2143" s="60"/>
      <c r="M2143" s="64"/>
      <c r="N2143" s="33"/>
    </row>
    <row r="2144" ht="24" customHeight="1" spans="2:14">
      <c r="B2144" s="33"/>
      <c r="C2144" s="60"/>
      <c r="D2144" s="60"/>
      <c r="E2144" s="60"/>
      <c r="F2144" s="60"/>
      <c r="G2144" s="60"/>
      <c r="H2144" s="60"/>
      <c r="I2144" s="60"/>
      <c r="J2144" s="60"/>
      <c r="K2144" s="60"/>
      <c r="L2144" s="60"/>
      <c r="M2144" s="64"/>
      <c r="N2144" s="33"/>
    </row>
    <row r="2145" ht="24" customHeight="1" spans="2:14">
      <c r="B2145" s="33"/>
      <c r="C2145" s="60"/>
      <c r="D2145" s="60"/>
      <c r="E2145" s="60"/>
      <c r="F2145" s="60"/>
      <c r="G2145" s="60"/>
      <c r="H2145" s="60"/>
      <c r="I2145" s="60"/>
      <c r="J2145" s="60"/>
      <c r="K2145" s="60"/>
      <c r="L2145" s="60"/>
      <c r="M2145" s="64"/>
      <c r="N2145" s="33"/>
    </row>
    <row r="2146" ht="24" customHeight="1" spans="2:14">
      <c r="B2146" s="33"/>
      <c r="C2146" s="60"/>
      <c r="D2146" s="60"/>
      <c r="E2146" s="60"/>
      <c r="F2146" s="60"/>
      <c r="G2146" s="60"/>
      <c r="H2146" s="60"/>
      <c r="I2146" s="60"/>
      <c r="J2146" s="60"/>
      <c r="K2146" s="60"/>
      <c r="L2146" s="60"/>
      <c r="M2146" s="64"/>
      <c r="N2146" s="33"/>
    </row>
    <row r="2147" ht="24" customHeight="1" spans="2:14">
      <c r="B2147" s="33"/>
      <c r="C2147" s="60"/>
      <c r="D2147" s="60"/>
      <c r="E2147" s="60"/>
      <c r="F2147" s="60"/>
      <c r="G2147" s="60"/>
      <c r="H2147" s="60"/>
      <c r="I2147" s="60"/>
      <c r="J2147" s="60"/>
      <c r="K2147" s="60"/>
      <c r="L2147" s="60"/>
      <c r="M2147" s="64"/>
      <c r="N2147" s="33"/>
    </row>
    <row r="2148" ht="24" customHeight="1" spans="2:14">
      <c r="B2148" s="33"/>
      <c r="C2148" s="60"/>
      <c r="D2148" s="60"/>
      <c r="E2148" s="60"/>
      <c r="F2148" s="60"/>
      <c r="G2148" s="60"/>
      <c r="H2148" s="60"/>
      <c r="I2148" s="60"/>
      <c r="J2148" s="60"/>
      <c r="K2148" s="60"/>
      <c r="L2148" s="60"/>
      <c r="M2148" s="64"/>
      <c r="N2148" s="33"/>
    </row>
    <row r="2149" ht="24" customHeight="1" spans="2:14">
      <c r="B2149" s="33"/>
      <c r="C2149" s="60"/>
      <c r="D2149" s="60"/>
      <c r="E2149" s="60"/>
      <c r="F2149" s="60"/>
      <c r="G2149" s="60"/>
      <c r="H2149" s="60"/>
      <c r="I2149" s="60"/>
      <c r="J2149" s="60"/>
      <c r="K2149" s="60"/>
      <c r="L2149" s="60"/>
      <c r="M2149" s="64"/>
      <c r="N2149" s="33"/>
    </row>
    <row r="2150" ht="24" customHeight="1" spans="2:14">
      <c r="B2150" s="33"/>
      <c r="C2150" s="60"/>
      <c r="D2150" s="60"/>
      <c r="E2150" s="60"/>
      <c r="F2150" s="60"/>
      <c r="G2150" s="60"/>
      <c r="H2150" s="60"/>
      <c r="I2150" s="60"/>
      <c r="J2150" s="60"/>
      <c r="K2150" s="60"/>
      <c r="L2150" s="60"/>
      <c r="M2150" s="64"/>
      <c r="N2150" s="33"/>
    </row>
    <row r="2151" ht="24" customHeight="1" spans="2:14">
      <c r="B2151" s="33"/>
      <c r="C2151" s="60"/>
      <c r="D2151" s="60"/>
      <c r="E2151" s="60"/>
      <c r="F2151" s="60"/>
      <c r="G2151" s="60"/>
      <c r="H2151" s="60"/>
      <c r="I2151" s="60"/>
      <c r="J2151" s="60"/>
      <c r="K2151" s="60"/>
      <c r="L2151" s="60"/>
      <c r="M2151" s="64"/>
      <c r="N2151" s="33"/>
    </row>
    <row r="2152" ht="24" customHeight="1" spans="2:14">
      <c r="B2152" s="33"/>
      <c r="C2152" s="60"/>
      <c r="D2152" s="60"/>
      <c r="E2152" s="60"/>
      <c r="F2152" s="60"/>
      <c r="G2152" s="60"/>
      <c r="H2152" s="60"/>
      <c r="I2152" s="60"/>
      <c r="J2152" s="60"/>
      <c r="K2152" s="60"/>
      <c r="L2152" s="60"/>
      <c r="M2152" s="64"/>
      <c r="N2152" s="33"/>
    </row>
    <row r="2153" ht="24" customHeight="1" spans="2:14">
      <c r="B2153" s="33"/>
      <c r="C2153" s="60"/>
      <c r="D2153" s="60"/>
      <c r="E2153" s="60"/>
      <c r="F2153" s="60"/>
      <c r="G2153" s="60"/>
      <c r="H2153" s="60"/>
      <c r="I2153" s="60"/>
      <c r="J2153" s="60"/>
      <c r="K2153" s="60"/>
      <c r="L2153" s="60"/>
      <c r="M2153" s="64"/>
      <c r="N2153" s="33"/>
    </row>
    <row r="2154" ht="24" customHeight="1" spans="2:14">
      <c r="B2154" s="33"/>
      <c r="C2154" s="60"/>
      <c r="D2154" s="60"/>
      <c r="E2154" s="60"/>
      <c r="F2154" s="60"/>
      <c r="G2154" s="60"/>
      <c r="H2154" s="60"/>
      <c r="I2154" s="60"/>
      <c r="J2154" s="60"/>
      <c r="K2154" s="60"/>
      <c r="L2154" s="60"/>
      <c r="M2154" s="64"/>
      <c r="N2154" s="33"/>
    </row>
    <row r="2155" ht="24" customHeight="1" spans="2:14">
      <c r="B2155" s="33"/>
      <c r="C2155" s="60"/>
      <c r="D2155" s="60"/>
      <c r="E2155" s="60"/>
      <c r="F2155" s="60"/>
      <c r="G2155" s="60"/>
      <c r="H2155" s="60"/>
      <c r="I2155" s="60"/>
      <c r="J2155" s="60"/>
      <c r="K2155" s="60"/>
      <c r="L2155" s="60"/>
      <c r="M2155" s="64"/>
      <c r="N2155" s="33"/>
    </row>
    <row r="2156" ht="24" customHeight="1" spans="2:14">
      <c r="B2156" s="33"/>
      <c r="C2156" s="60"/>
      <c r="D2156" s="60"/>
      <c r="E2156" s="60"/>
      <c r="F2156" s="60"/>
      <c r="G2156" s="60"/>
      <c r="H2156" s="60"/>
      <c r="I2156" s="60"/>
      <c r="J2156" s="60"/>
      <c r="K2156" s="60"/>
      <c r="L2156" s="60"/>
      <c r="M2156" s="64"/>
      <c r="N2156" s="33"/>
    </row>
    <row r="2157" ht="24" customHeight="1" spans="2:14">
      <c r="B2157" s="33"/>
      <c r="C2157" s="60"/>
      <c r="D2157" s="60"/>
      <c r="E2157" s="60"/>
      <c r="F2157" s="60"/>
      <c r="G2157" s="60"/>
      <c r="H2157" s="60"/>
      <c r="I2157" s="60"/>
      <c r="J2157" s="60"/>
      <c r="K2157" s="60"/>
      <c r="L2157" s="60"/>
      <c r="M2157" s="64"/>
      <c r="N2157" s="33"/>
    </row>
    <row r="2158" ht="24" customHeight="1" spans="2:14">
      <c r="B2158" s="33"/>
      <c r="C2158" s="60"/>
      <c r="D2158" s="60"/>
      <c r="E2158" s="60"/>
      <c r="F2158" s="60"/>
      <c r="G2158" s="60"/>
      <c r="H2158" s="60"/>
      <c r="I2158" s="60"/>
      <c r="J2158" s="60"/>
      <c r="K2158" s="60"/>
      <c r="L2158" s="60"/>
      <c r="M2158" s="64"/>
      <c r="N2158" s="33"/>
    </row>
    <row r="2159" ht="24" customHeight="1" spans="2:14">
      <c r="B2159" s="33"/>
      <c r="C2159" s="60"/>
      <c r="D2159" s="60"/>
      <c r="E2159" s="60"/>
      <c r="F2159" s="60"/>
      <c r="G2159" s="60"/>
      <c r="H2159" s="60"/>
      <c r="I2159" s="60"/>
      <c r="J2159" s="60"/>
      <c r="K2159" s="60"/>
      <c r="L2159" s="60"/>
      <c r="M2159" s="64"/>
      <c r="N2159" s="33"/>
    </row>
    <row r="2160" ht="24" customHeight="1" spans="2:14">
      <c r="B2160" s="33"/>
      <c r="C2160" s="60"/>
      <c r="D2160" s="60"/>
      <c r="E2160" s="60"/>
      <c r="F2160" s="60"/>
      <c r="G2160" s="60"/>
      <c r="H2160" s="60"/>
      <c r="I2160" s="60"/>
      <c r="J2160" s="60"/>
      <c r="K2160" s="60"/>
      <c r="L2160" s="60"/>
      <c r="M2160" s="64"/>
      <c r="N2160" s="33"/>
    </row>
    <row r="2161" ht="24" customHeight="1" spans="2:14">
      <c r="B2161" s="33"/>
      <c r="C2161" s="60"/>
      <c r="D2161" s="60"/>
      <c r="E2161" s="60"/>
      <c r="F2161" s="60"/>
      <c r="G2161" s="60"/>
      <c r="H2161" s="60"/>
      <c r="I2161" s="60"/>
      <c r="J2161" s="60"/>
      <c r="K2161" s="60"/>
      <c r="L2161" s="60"/>
      <c r="M2161" s="64"/>
      <c r="N2161" s="33"/>
    </row>
    <row r="2162" ht="24" customHeight="1" spans="2:14">
      <c r="B2162" s="33"/>
      <c r="C2162" s="60"/>
      <c r="D2162" s="60"/>
      <c r="E2162" s="60"/>
      <c r="F2162" s="60"/>
      <c r="G2162" s="60"/>
      <c r="H2162" s="60"/>
      <c r="I2162" s="60"/>
      <c r="J2162" s="60"/>
      <c r="K2162" s="60"/>
      <c r="L2162" s="60"/>
      <c r="M2162" s="64"/>
      <c r="N2162" s="33"/>
    </row>
    <row r="2163" ht="24" customHeight="1" spans="2:14">
      <c r="B2163" s="33"/>
      <c r="C2163" s="60"/>
      <c r="D2163" s="60"/>
      <c r="E2163" s="60"/>
      <c r="F2163" s="60"/>
      <c r="G2163" s="60"/>
      <c r="H2163" s="60"/>
      <c r="I2163" s="60"/>
      <c r="J2163" s="60"/>
      <c r="K2163" s="60"/>
      <c r="L2163" s="60"/>
      <c r="M2163" s="64"/>
      <c r="N2163" s="33"/>
    </row>
    <row r="2164" ht="24" customHeight="1" spans="2:14">
      <c r="B2164" s="33"/>
      <c r="C2164" s="60"/>
      <c r="D2164" s="60"/>
      <c r="E2164" s="60"/>
      <c r="F2164" s="60"/>
      <c r="G2164" s="60"/>
      <c r="H2164" s="60"/>
      <c r="I2164" s="60"/>
      <c r="J2164" s="60"/>
      <c r="K2164" s="60"/>
      <c r="L2164" s="60"/>
      <c r="M2164" s="64"/>
      <c r="N2164" s="33"/>
    </row>
    <row r="2165" ht="24" customHeight="1" spans="2:14">
      <c r="B2165" s="33"/>
      <c r="C2165" s="60"/>
      <c r="D2165" s="60"/>
      <c r="E2165" s="60"/>
      <c r="F2165" s="60"/>
      <c r="G2165" s="60"/>
      <c r="H2165" s="60"/>
      <c r="I2165" s="60"/>
      <c r="J2165" s="60"/>
      <c r="K2165" s="60"/>
      <c r="L2165" s="60"/>
      <c r="M2165" s="64"/>
      <c r="N2165" s="33"/>
    </row>
    <row r="2166" ht="24" customHeight="1" spans="2:14">
      <c r="B2166" s="33"/>
      <c r="C2166" s="60"/>
      <c r="D2166" s="60"/>
      <c r="E2166" s="60"/>
      <c r="F2166" s="60"/>
      <c r="G2166" s="60"/>
      <c r="H2166" s="60"/>
      <c r="I2166" s="60"/>
      <c r="J2166" s="60"/>
      <c r="K2166" s="60"/>
      <c r="L2166" s="60"/>
      <c r="M2166" s="64"/>
      <c r="N2166" s="33"/>
    </row>
    <row r="2167" ht="24" customHeight="1" spans="2:14">
      <c r="B2167" s="33"/>
      <c r="C2167" s="60"/>
      <c r="D2167" s="60"/>
      <c r="E2167" s="60"/>
      <c r="F2167" s="60"/>
      <c r="G2167" s="60"/>
      <c r="H2167" s="60"/>
      <c r="I2167" s="60"/>
      <c r="J2167" s="60"/>
      <c r="K2167" s="60"/>
      <c r="L2167" s="60"/>
      <c r="M2167" s="64"/>
      <c r="N2167" s="33"/>
    </row>
    <row r="2168" ht="24" customHeight="1" spans="2:14">
      <c r="B2168" s="33"/>
      <c r="C2168" s="60"/>
      <c r="D2168" s="60"/>
      <c r="E2168" s="60"/>
      <c r="F2168" s="60"/>
      <c r="G2168" s="60"/>
      <c r="H2168" s="60"/>
      <c r="I2168" s="60"/>
      <c r="J2168" s="60"/>
      <c r="K2168" s="60"/>
      <c r="L2168" s="60"/>
      <c r="M2168" s="64"/>
      <c r="N2168" s="33"/>
    </row>
    <row r="2169" ht="24" customHeight="1" spans="2:14">
      <c r="B2169" s="33"/>
      <c r="C2169" s="60"/>
      <c r="D2169" s="60"/>
      <c r="E2169" s="60"/>
      <c r="F2169" s="60"/>
      <c r="G2169" s="60"/>
      <c r="H2169" s="60"/>
      <c r="I2169" s="60"/>
      <c r="J2169" s="60"/>
      <c r="K2169" s="60"/>
      <c r="L2169" s="60"/>
      <c r="M2169" s="64"/>
      <c r="N2169" s="33"/>
    </row>
    <row r="2170" ht="24" customHeight="1" spans="2:14">
      <c r="B2170" s="33"/>
      <c r="C2170" s="60"/>
      <c r="D2170" s="60"/>
      <c r="E2170" s="60"/>
      <c r="F2170" s="60"/>
      <c r="G2170" s="60"/>
      <c r="H2170" s="60"/>
      <c r="I2170" s="60"/>
      <c r="J2170" s="60"/>
      <c r="K2170" s="60"/>
      <c r="L2170" s="60"/>
      <c r="M2170" s="64"/>
      <c r="N2170" s="33"/>
    </row>
    <row r="2171" ht="24" customHeight="1" spans="2:14">
      <c r="B2171" s="33"/>
      <c r="C2171" s="60"/>
      <c r="D2171" s="60"/>
      <c r="E2171" s="60"/>
      <c r="F2171" s="60"/>
      <c r="G2171" s="60"/>
      <c r="H2171" s="60"/>
      <c r="I2171" s="60"/>
      <c r="J2171" s="60"/>
      <c r="K2171" s="60"/>
      <c r="L2171" s="60"/>
      <c r="M2171" s="64"/>
      <c r="N2171" s="33"/>
    </row>
    <row r="2172" ht="24" customHeight="1" spans="2:14">
      <c r="B2172" s="33"/>
      <c r="C2172" s="60"/>
      <c r="D2172" s="60"/>
      <c r="E2172" s="60"/>
      <c r="F2172" s="60"/>
      <c r="G2172" s="60"/>
      <c r="H2172" s="60"/>
      <c r="I2172" s="60"/>
      <c r="J2172" s="60"/>
      <c r="K2172" s="60"/>
      <c r="L2172" s="60"/>
      <c r="M2172" s="64"/>
      <c r="N2172" s="33"/>
    </row>
    <row r="2173" ht="24" customHeight="1" spans="2:14">
      <c r="B2173" s="33"/>
      <c r="C2173" s="60"/>
      <c r="D2173" s="60"/>
      <c r="E2173" s="60"/>
      <c r="F2173" s="60"/>
      <c r="G2173" s="60"/>
      <c r="H2173" s="60"/>
      <c r="I2173" s="60"/>
      <c r="J2173" s="60"/>
      <c r="K2173" s="60"/>
      <c r="L2173" s="60"/>
      <c r="M2173" s="64"/>
      <c r="N2173" s="33"/>
    </row>
    <row r="2174" ht="24" customHeight="1" spans="2:14">
      <c r="B2174" s="33"/>
      <c r="C2174" s="60"/>
      <c r="D2174" s="60"/>
      <c r="E2174" s="60"/>
      <c r="F2174" s="60"/>
      <c r="G2174" s="60"/>
      <c r="H2174" s="60"/>
      <c r="I2174" s="60"/>
      <c r="J2174" s="60"/>
      <c r="K2174" s="60"/>
      <c r="L2174" s="60"/>
      <c r="M2174" s="64"/>
      <c r="N2174" s="33"/>
    </row>
    <row r="2175" ht="24" customHeight="1" spans="2:14">
      <c r="B2175" s="33"/>
      <c r="C2175" s="60"/>
      <c r="D2175" s="60"/>
      <c r="E2175" s="60"/>
      <c r="F2175" s="60"/>
      <c r="G2175" s="60"/>
      <c r="H2175" s="60"/>
      <c r="I2175" s="60"/>
      <c r="J2175" s="60"/>
      <c r="K2175" s="60"/>
      <c r="L2175" s="60"/>
      <c r="M2175" s="64"/>
      <c r="N2175" s="33"/>
    </row>
    <row r="2176" ht="24" customHeight="1" spans="2:14">
      <c r="B2176" s="33"/>
      <c r="C2176" s="60"/>
      <c r="D2176" s="60"/>
      <c r="E2176" s="60"/>
      <c r="F2176" s="60"/>
      <c r="G2176" s="60"/>
      <c r="H2176" s="60"/>
      <c r="I2176" s="60"/>
      <c r="J2176" s="60"/>
      <c r="K2176" s="60"/>
      <c r="L2176" s="60"/>
      <c r="M2176" s="64"/>
      <c r="N2176" s="33"/>
    </row>
    <row r="2177" ht="24" customHeight="1" spans="2:14">
      <c r="B2177" s="33"/>
      <c r="C2177" s="60"/>
      <c r="D2177" s="60"/>
      <c r="E2177" s="60"/>
      <c r="F2177" s="60"/>
      <c r="G2177" s="60"/>
      <c r="H2177" s="60"/>
      <c r="I2177" s="60"/>
      <c r="J2177" s="60"/>
      <c r="K2177" s="60"/>
      <c r="L2177" s="60"/>
      <c r="M2177" s="64"/>
      <c r="N2177" s="33"/>
    </row>
    <row r="2178" ht="24" customHeight="1" spans="2:14">
      <c r="B2178" s="33"/>
      <c r="C2178" s="60"/>
      <c r="D2178" s="60"/>
      <c r="E2178" s="60"/>
      <c r="F2178" s="60"/>
      <c r="G2178" s="60"/>
      <c r="H2178" s="60"/>
      <c r="I2178" s="60"/>
      <c r="J2178" s="60"/>
      <c r="K2178" s="60"/>
      <c r="L2178" s="60"/>
      <c r="M2178" s="64"/>
      <c r="N2178" s="33"/>
    </row>
    <row r="2179" ht="24" customHeight="1" spans="2:14">
      <c r="B2179" s="33"/>
      <c r="C2179" s="60"/>
      <c r="D2179" s="60"/>
      <c r="E2179" s="60"/>
      <c r="F2179" s="60"/>
      <c r="G2179" s="60"/>
      <c r="H2179" s="60"/>
      <c r="I2179" s="60"/>
      <c r="J2179" s="60"/>
      <c r="K2179" s="60"/>
      <c r="L2179" s="60"/>
      <c r="M2179" s="64"/>
      <c r="N2179" s="33"/>
    </row>
    <row r="2180" ht="24" customHeight="1" spans="2:14">
      <c r="B2180" s="33"/>
      <c r="C2180" s="60"/>
      <c r="D2180" s="60"/>
      <c r="E2180" s="60"/>
      <c r="F2180" s="60"/>
      <c r="G2180" s="60"/>
      <c r="H2180" s="60"/>
      <c r="I2180" s="60"/>
      <c r="J2180" s="60"/>
      <c r="K2180" s="60"/>
      <c r="L2180" s="60"/>
      <c r="M2180" s="64"/>
      <c r="N2180" s="33"/>
    </row>
    <row r="2181" ht="24" customHeight="1" spans="2:14">
      <c r="B2181" s="33"/>
      <c r="C2181" s="60"/>
      <c r="D2181" s="60"/>
      <c r="E2181" s="60"/>
      <c r="F2181" s="60"/>
      <c r="G2181" s="60"/>
      <c r="H2181" s="60"/>
      <c r="I2181" s="60"/>
      <c r="J2181" s="60"/>
      <c r="K2181" s="60"/>
      <c r="L2181" s="60"/>
      <c r="M2181" s="64"/>
      <c r="N2181" s="33"/>
    </row>
    <row r="2182" ht="24" customHeight="1" spans="2:14">
      <c r="B2182" s="33"/>
      <c r="C2182" s="60"/>
      <c r="D2182" s="60"/>
      <c r="E2182" s="60"/>
      <c r="F2182" s="60"/>
      <c r="G2182" s="60"/>
      <c r="H2182" s="60"/>
      <c r="I2182" s="60"/>
      <c r="J2182" s="60"/>
      <c r="K2182" s="60"/>
      <c r="L2182" s="60"/>
      <c r="M2182" s="64"/>
      <c r="N2182" s="33"/>
    </row>
    <row r="2183" ht="24" customHeight="1" spans="2:14">
      <c r="B2183" s="33"/>
      <c r="C2183" s="60"/>
      <c r="D2183" s="60"/>
      <c r="E2183" s="60"/>
      <c r="F2183" s="60"/>
      <c r="G2183" s="60"/>
      <c r="H2183" s="60"/>
      <c r="I2183" s="60"/>
      <c r="J2183" s="60"/>
      <c r="K2183" s="60"/>
      <c r="L2183" s="60"/>
      <c r="M2183" s="64"/>
      <c r="N2183" s="33"/>
    </row>
    <row r="2184" ht="24" customHeight="1" spans="2:14">
      <c r="B2184" s="33"/>
      <c r="C2184" s="60"/>
      <c r="D2184" s="60"/>
      <c r="E2184" s="60"/>
      <c r="F2184" s="60"/>
      <c r="G2184" s="60"/>
      <c r="H2184" s="60"/>
      <c r="I2184" s="60"/>
      <c r="J2184" s="60"/>
      <c r="K2184" s="60"/>
      <c r="L2184" s="60"/>
      <c r="M2184" s="64"/>
      <c r="N2184" s="33"/>
    </row>
    <row r="2185" ht="24" customHeight="1" spans="2:14">
      <c r="B2185" s="33"/>
      <c r="C2185" s="60"/>
      <c r="D2185" s="60"/>
      <c r="E2185" s="60"/>
      <c r="F2185" s="60"/>
      <c r="G2185" s="60"/>
      <c r="H2185" s="60"/>
      <c r="I2185" s="60"/>
      <c r="J2185" s="60"/>
      <c r="K2185" s="60"/>
      <c r="L2185" s="60"/>
      <c r="M2185" s="64"/>
      <c r="N2185" s="33"/>
    </row>
    <row r="2186" ht="24" customHeight="1" spans="2:14">
      <c r="B2186" s="33"/>
      <c r="C2186" s="60"/>
      <c r="D2186" s="60"/>
      <c r="E2186" s="60"/>
      <c r="F2186" s="60"/>
      <c r="G2186" s="60"/>
      <c r="H2186" s="60"/>
      <c r="I2186" s="60"/>
      <c r="J2186" s="60"/>
      <c r="K2186" s="60"/>
      <c r="L2186" s="60"/>
      <c r="M2186" s="64"/>
      <c r="N2186" s="33"/>
    </row>
    <row r="2187" ht="24" customHeight="1" spans="2:14">
      <c r="B2187" s="33"/>
      <c r="C2187" s="60"/>
      <c r="D2187" s="60"/>
      <c r="E2187" s="60"/>
      <c r="F2187" s="60"/>
      <c r="G2187" s="60"/>
      <c r="H2187" s="60"/>
      <c r="I2187" s="60"/>
      <c r="J2187" s="60"/>
      <c r="K2187" s="60"/>
      <c r="L2187" s="60"/>
      <c r="M2187" s="64"/>
      <c r="N2187" s="33"/>
    </row>
    <row r="2188" ht="24" customHeight="1" spans="2:14">
      <c r="B2188" s="33"/>
      <c r="C2188" s="60"/>
      <c r="D2188" s="60"/>
      <c r="E2188" s="60"/>
      <c r="F2188" s="60"/>
      <c r="G2188" s="60"/>
      <c r="H2188" s="60"/>
      <c r="I2188" s="60"/>
      <c r="J2188" s="60"/>
      <c r="K2188" s="60"/>
      <c r="L2188" s="60"/>
      <c r="M2188" s="64"/>
      <c r="N2188" s="33"/>
    </row>
    <row r="2189" ht="24" customHeight="1" spans="2:14">
      <c r="B2189" s="33"/>
      <c r="C2189" s="60"/>
      <c r="D2189" s="60"/>
      <c r="E2189" s="60"/>
      <c r="F2189" s="60"/>
      <c r="G2189" s="60"/>
      <c r="H2189" s="60"/>
      <c r="I2189" s="60"/>
      <c r="J2189" s="60"/>
      <c r="K2189" s="60"/>
      <c r="L2189" s="60"/>
      <c r="M2189" s="64"/>
      <c r="N2189" s="33"/>
    </row>
    <row r="2190" ht="24" customHeight="1" spans="2:14">
      <c r="B2190" s="33"/>
      <c r="C2190" s="60"/>
      <c r="D2190" s="60"/>
      <c r="E2190" s="60"/>
      <c r="F2190" s="60"/>
      <c r="G2190" s="60"/>
      <c r="H2190" s="60"/>
      <c r="I2190" s="60"/>
      <c r="J2190" s="60"/>
      <c r="K2190" s="60"/>
      <c r="L2190" s="60"/>
      <c r="M2190" s="64"/>
      <c r="N2190" s="33"/>
    </row>
    <row r="2191" ht="24" customHeight="1" spans="2:14">
      <c r="B2191" s="33"/>
      <c r="C2191" s="60"/>
      <c r="D2191" s="60"/>
      <c r="E2191" s="60"/>
      <c r="F2191" s="60"/>
      <c r="G2191" s="60"/>
      <c r="H2191" s="60"/>
      <c r="I2191" s="60"/>
      <c r="J2191" s="60"/>
      <c r="K2191" s="60"/>
      <c r="L2191" s="60"/>
      <c r="M2191" s="64"/>
      <c r="N2191" s="33"/>
    </row>
    <row r="2192" ht="24" customHeight="1" spans="2:14">
      <c r="B2192" s="33"/>
      <c r="C2192" s="60"/>
      <c r="D2192" s="60"/>
      <c r="E2192" s="60"/>
      <c r="F2192" s="60"/>
      <c r="G2192" s="60"/>
      <c r="H2192" s="60"/>
      <c r="I2192" s="60"/>
      <c r="J2192" s="60"/>
      <c r="K2192" s="60"/>
      <c r="L2192" s="60"/>
      <c r="M2192" s="64"/>
      <c r="N2192" s="33"/>
    </row>
    <row r="2193" ht="24" customHeight="1" spans="2:14">
      <c r="B2193" s="33"/>
      <c r="C2193" s="60"/>
      <c r="D2193" s="60"/>
      <c r="E2193" s="60"/>
      <c r="F2193" s="60"/>
      <c r="G2193" s="60"/>
      <c r="H2193" s="60"/>
      <c r="I2193" s="60"/>
      <c r="J2193" s="60"/>
      <c r="K2193" s="60"/>
      <c r="L2193" s="60"/>
      <c r="M2193" s="64"/>
      <c r="N2193" s="33"/>
    </row>
    <row r="2194" ht="24" customHeight="1" spans="2:14">
      <c r="B2194" s="33"/>
      <c r="C2194" s="60"/>
      <c r="D2194" s="60"/>
      <c r="E2194" s="60"/>
      <c r="F2194" s="60"/>
      <c r="G2194" s="60"/>
      <c r="H2194" s="60"/>
      <c r="I2194" s="60"/>
      <c r="J2194" s="60"/>
      <c r="K2194" s="60"/>
      <c r="L2194" s="60"/>
      <c r="M2194" s="64"/>
      <c r="N2194" s="33"/>
    </row>
    <row r="2195" ht="24" customHeight="1" spans="2:14">
      <c r="B2195" s="33"/>
      <c r="C2195" s="60"/>
      <c r="D2195" s="60"/>
      <c r="E2195" s="60"/>
      <c r="F2195" s="60"/>
      <c r="G2195" s="60"/>
      <c r="H2195" s="60"/>
      <c r="I2195" s="60"/>
      <c r="J2195" s="60"/>
      <c r="K2195" s="60"/>
      <c r="L2195" s="60"/>
      <c r="M2195" s="64"/>
      <c r="N2195" s="33"/>
    </row>
    <row r="2196" ht="24" customHeight="1" spans="2:14">
      <c r="B2196" s="33"/>
      <c r="C2196" s="60"/>
      <c r="D2196" s="60"/>
      <c r="E2196" s="60"/>
      <c r="F2196" s="60"/>
      <c r="G2196" s="60"/>
      <c r="H2196" s="60"/>
      <c r="I2196" s="60"/>
      <c r="J2196" s="60"/>
      <c r="K2196" s="60"/>
      <c r="L2196" s="60"/>
      <c r="M2196" s="64"/>
      <c r="N2196" s="33"/>
    </row>
    <row r="2197" ht="24" customHeight="1" spans="2:14">
      <c r="B2197" s="33"/>
      <c r="C2197" s="60"/>
      <c r="D2197" s="60"/>
      <c r="E2197" s="60"/>
      <c r="F2197" s="60"/>
      <c r="G2197" s="60"/>
      <c r="H2197" s="60"/>
      <c r="I2197" s="60"/>
      <c r="J2197" s="60"/>
      <c r="K2197" s="60"/>
      <c r="L2197" s="60"/>
      <c r="M2197" s="64"/>
      <c r="N2197" s="33"/>
    </row>
    <row r="2198" ht="24" customHeight="1" spans="2:14">
      <c r="B2198" s="33"/>
      <c r="C2198" s="60"/>
      <c r="D2198" s="60"/>
      <c r="E2198" s="60"/>
      <c r="F2198" s="60"/>
      <c r="G2198" s="60"/>
      <c r="H2198" s="60"/>
      <c r="I2198" s="60"/>
      <c r="J2198" s="60"/>
      <c r="K2198" s="60"/>
      <c r="L2198" s="60"/>
      <c r="M2198" s="64"/>
      <c r="N2198" s="33"/>
    </row>
    <row r="2199" ht="24" customHeight="1" spans="2:14">
      <c r="B2199" s="33"/>
      <c r="C2199" s="60"/>
      <c r="D2199" s="60"/>
      <c r="E2199" s="60"/>
      <c r="F2199" s="60"/>
      <c r="G2199" s="60"/>
      <c r="H2199" s="60"/>
      <c r="I2199" s="60"/>
      <c r="J2199" s="60"/>
      <c r="K2199" s="60"/>
      <c r="L2199" s="60"/>
      <c r="M2199" s="64"/>
      <c r="N2199" s="33"/>
    </row>
    <row r="2200" ht="24" customHeight="1" spans="2:14">
      <c r="B2200" s="33"/>
      <c r="C2200" s="60"/>
      <c r="D2200" s="60"/>
      <c r="E2200" s="60"/>
      <c r="F2200" s="60"/>
      <c r="G2200" s="60"/>
      <c r="H2200" s="60"/>
      <c r="I2200" s="60"/>
      <c r="J2200" s="60"/>
      <c r="K2200" s="60"/>
      <c r="L2200" s="60"/>
      <c r="M2200" s="64"/>
      <c r="N2200" s="33"/>
    </row>
    <row r="2201" ht="24" customHeight="1" spans="2:14">
      <c r="B2201" s="33"/>
      <c r="C2201" s="60"/>
      <c r="D2201" s="60"/>
      <c r="E2201" s="60"/>
      <c r="F2201" s="60"/>
      <c r="G2201" s="60"/>
      <c r="H2201" s="60"/>
      <c r="I2201" s="60"/>
      <c r="J2201" s="60"/>
      <c r="K2201" s="60"/>
      <c r="L2201" s="60"/>
      <c r="M2201" s="64"/>
      <c r="N2201" s="33"/>
    </row>
    <row r="2202" ht="24" customHeight="1" spans="2:14">
      <c r="B2202" s="33"/>
      <c r="C2202" s="60"/>
      <c r="D2202" s="60"/>
      <c r="E2202" s="60"/>
      <c r="F2202" s="60"/>
      <c r="G2202" s="60"/>
      <c r="H2202" s="60"/>
      <c r="I2202" s="60"/>
      <c r="J2202" s="60"/>
      <c r="K2202" s="60"/>
      <c r="L2202" s="60"/>
      <c r="M2202" s="64"/>
      <c r="N2202" s="33"/>
    </row>
    <row r="2203" ht="24" customHeight="1" spans="2:14">
      <c r="B2203" s="33"/>
      <c r="C2203" s="60"/>
      <c r="D2203" s="60"/>
      <c r="E2203" s="60"/>
      <c r="F2203" s="60"/>
      <c r="G2203" s="60"/>
      <c r="H2203" s="60"/>
      <c r="I2203" s="60"/>
      <c r="J2203" s="60"/>
      <c r="K2203" s="60"/>
      <c r="L2203" s="60"/>
      <c r="M2203" s="64"/>
      <c r="N2203" s="33"/>
    </row>
    <row r="2204" ht="24" customHeight="1" spans="2:14">
      <c r="B2204" s="33"/>
      <c r="C2204" s="60"/>
      <c r="D2204" s="60"/>
      <c r="E2204" s="60"/>
      <c r="F2204" s="60"/>
      <c r="G2204" s="60"/>
      <c r="H2204" s="60"/>
      <c r="I2204" s="60"/>
      <c r="J2204" s="60"/>
      <c r="K2204" s="60"/>
      <c r="L2204" s="60"/>
      <c r="M2204" s="64"/>
      <c r="N2204" s="33"/>
    </row>
    <row r="2205" ht="24" customHeight="1" spans="2:14">
      <c r="B2205" s="33"/>
      <c r="C2205" s="60"/>
      <c r="D2205" s="60"/>
      <c r="E2205" s="60"/>
      <c r="F2205" s="60"/>
      <c r="G2205" s="60"/>
      <c r="H2205" s="60"/>
      <c r="I2205" s="60"/>
      <c r="J2205" s="60"/>
      <c r="K2205" s="60"/>
      <c r="L2205" s="60"/>
      <c r="M2205" s="64"/>
      <c r="N2205" s="33"/>
    </row>
    <row r="2206" ht="24" customHeight="1" spans="2:14">
      <c r="B2206" s="33"/>
      <c r="C2206" s="60"/>
      <c r="D2206" s="60"/>
      <c r="E2206" s="60"/>
      <c r="F2206" s="60"/>
      <c r="G2206" s="60"/>
      <c r="H2206" s="60"/>
      <c r="I2206" s="60"/>
      <c r="J2206" s="60"/>
      <c r="K2206" s="60"/>
      <c r="L2206" s="60"/>
      <c r="M2206" s="64"/>
      <c r="N2206" s="33"/>
    </row>
    <row r="2207" ht="24" customHeight="1" spans="2:14">
      <c r="B2207" s="33"/>
      <c r="C2207" s="60"/>
      <c r="D2207" s="60"/>
      <c r="E2207" s="60"/>
      <c r="F2207" s="60"/>
      <c r="G2207" s="60"/>
      <c r="H2207" s="60"/>
      <c r="I2207" s="60"/>
      <c r="J2207" s="60"/>
      <c r="K2207" s="60"/>
      <c r="L2207" s="60"/>
      <c r="M2207" s="64"/>
      <c r="N2207" s="33"/>
    </row>
    <row r="2208" ht="24" customHeight="1" spans="2:14">
      <c r="B2208" s="33"/>
      <c r="C2208" s="60"/>
      <c r="D2208" s="60"/>
      <c r="E2208" s="60"/>
      <c r="F2208" s="60"/>
      <c r="G2208" s="60"/>
      <c r="H2208" s="60"/>
      <c r="I2208" s="60"/>
      <c r="J2208" s="60"/>
      <c r="K2208" s="60"/>
      <c r="L2208" s="60"/>
      <c r="M2208" s="64"/>
      <c r="N2208" s="33"/>
    </row>
    <row r="2209" ht="24" customHeight="1" spans="2:14">
      <c r="B2209" s="33"/>
      <c r="C2209" s="60"/>
      <c r="D2209" s="60"/>
      <c r="E2209" s="60"/>
      <c r="F2209" s="60"/>
      <c r="G2209" s="60"/>
      <c r="H2209" s="60"/>
      <c r="I2209" s="60"/>
      <c r="J2209" s="60"/>
      <c r="K2209" s="60"/>
      <c r="L2209" s="60"/>
      <c r="M2209" s="64"/>
      <c r="N2209" s="33"/>
    </row>
    <row r="2210" ht="24" customHeight="1" spans="2:14">
      <c r="B2210" s="33"/>
      <c r="C2210" s="60"/>
      <c r="D2210" s="60"/>
      <c r="E2210" s="60"/>
      <c r="F2210" s="60"/>
      <c r="G2210" s="60"/>
      <c r="H2210" s="60"/>
      <c r="I2210" s="60"/>
      <c r="J2210" s="60"/>
      <c r="K2210" s="60"/>
      <c r="L2210" s="60"/>
      <c r="M2210" s="64"/>
      <c r="N2210" s="33"/>
    </row>
    <row r="2211" ht="24" customHeight="1" spans="2:14">
      <c r="B2211" s="33"/>
      <c r="C2211" s="60"/>
      <c r="D2211" s="60"/>
      <c r="E2211" s="60"/>
      <c r="F2211" s="60"/>
      <c r="G2211" s="60"/>
      <c r="H2211" s="60"/>
      <c r="I2211" s="60"/>
      <c r="J2211" s="60"/>
      <c r="K2211" s="60"/>
      <c r="L2211" s="60"/>
      <c r="M2211" s="64"/>
      <c r="N2211" s="33"/>
    </row>
    <row r="2212" ht="24" customHeight="1" spans="2:14">
      <c r="B2212" s="33"/>
      <c r="C2212" s="60"/>
      <c r="D2212" s="60"/>
      <c r="E2212" s="60"/>
      <c r="F2212" s="60"/>
      <c r="G2212" s="60"/>
      <c r="H2212" s="60"/>
      <c r="I2212" s="60"/>
      <c r="J2212" s="60"/>
      <c r="K2212" s="60"/>
      <c r="L2212" s="60"/>
      <c r="M2212" s="64"/>
      <c r="N2212" s="33"/>
    </row>
    <row r="2213" ht="24" customHeight="1" spans="2:14">
      <c r="B2213" s="33"/>
      <c r="C2213" s="60"/>
      <c r="D2213" s="60"/>
      <c r="E2213" s="60"/>
      <c r="F2213" s="60"/>
      <c r="G2213" s="60"/>
      <c r="H2213" s="60"/>
      <c r="I2213" s="60"/>
      <c r="J2213" s="60"/>
      <c r="K2213" s="60"/>
      <c r="L2213" s="60"/>
      <c r="M2213" s="64"/>
      <c r="N2213" s="33"/>
    </row>
    <row r="2214" ht="24" customHeight="1" spans="2:14">
      <c r="B2214" s="33"/>
      <c r="C2214" s="60"/>
      <c r="D2214" s="60"/>
      <c r="E2214" s="60"/>
      <c r="F2214" s="60"/>
      <c r="G2214" s="60"/>
      <c r="H2214" s="60"/>
      <c r="I2214" s="60"/>
      <c r="J2214" s="60"/>
      <c r="K2214" s="60"/>
      <c r="L2214" s="60"/>
      <c r="M2214" s="64"/>
      <c r="N2214" s="33"/>
    </row>
    <row r="2215" ht="24" customHeight="1" spans="2:14">
      <c r="B2215" s="33"/>
      <c r="C2215" s="60"/>
      <c r="D2215" s="60"/>
      <c r="E2215" s="60"/>
      <c r="F2215" s="60"/>
      <c r="G2215" s="60"/>
      <c r="H2215" s="60"/>
      <c r="I2215" s="60"/>
      <c r="J2215" s="60"/>
      <c r="K2215" s="60"/>
      <c r="L2215" s="60"/>
      <c r="M2215" s="64"/>
      <c r="N2215" s="33"/>
    </row>
    <row r="2216" ht="24" customHeight="1" spans="2:14">
      <c r="B2216" s="33"/>
      <c r="C2216" s="60"/>
      <c r="D2216" s="60"/>
      <c r="E2216" s="60"/>
      <c r="F2216" s="60"/>
      <c r="G2216" s="60"/>
      <c r="H2216" s="60"/>
      <c r="I2216" s="60"/>
      <c r="J2216" s="60"/>
      <c r="K2216" s="60"/>
      <c r="L2216" s="60"/>
      <c r="M2216" s="64"/>
      <c r="N2216" s="33"/>
    </row>
    <row r="2217" ht="24" customHeight="1" spans="2:14">
      <c r="B2217" s="33"/>
      <c r="C2217" s="60"/>
      <c r="D2217" s="60"/>
      <c r="E2217" s="60"/>
      <c r="F2217" s="60"/>
      <c r="G2217" s="60"/>
      <c r="H2217" s="60"/>
      <c r="I2217" s="60"/>
      <c r="J2217" s="60"/>
      <c r="K2217" s="60"/>
      <c r="L2217" s="60"/>
      <c r="M2217" s="64"/>
      <c r="N2217" s="33"/>
    </row>
    <row r="2218" ht="24" customHeight="1" spans="2:14">
      <c r="B2218" s="33"/>
      <c r="C2218" s="60"/>
      <c r="D2218" s="60"/>
      <c r="E2218" s="60"/>
      <c r="F2218" s="60"/>
      <c r="G2218" s="60"/>
      <c r="H2218" s="60"/>
      <c r="I2218" s="60"/>
      <c r="J2218" s="60"/>
      <c r="K2218" s="60"/>
      <c r="L2218" s="60"/>
      <c r="M2218" s="64"/>
      <c r="N2218" s="33"/>
    </row>
    <row r="2219" ht="24" customHeight="1" spans="2:14">
      <c r="B2219" s="33"/>
      <c r="C2219" s="60"/>
      <c r="D2219" s="60"/>
      <c r="E2219" s="60"/>
      <c r="F2219" s="60"/>
      <c r="G2219" s="60"/>
      <c r="H2219" s="60"/>
      <c r="I2219" s="60"/>
      <c r="J2219" s="60"/>
      <c r="K2219" s="60"/>
      <c r="L2219" s="60"/>
      <c r="M2219" s="64"/>
      <c r="N2219" s="33"/>
    </row>
    <row r="2220" ht="24" customHeight="1" spans="2:14">
      <c r="B2220" s="33"/>
      <c r="C2220" s="60"/>
      <c r="D2220" s="60"/>
      <c r="E2220" s="60"/>
      <c r="F2220" s="60"/>
      <c r="G2220" s="60"/>
      <c r="H2220" s="60"/>
      <c r="I2220" s="60"/>
      <c r="J2220" s="60"/>
      <c r="K2220" s="60"/>
      <c r="L2220" s="60"/>
      <c r="M2220" s="64"/>
      <c r="N2220" s="33"/>
    </row>
    <row r="2221" ht="24" customHeight="1" spans="2:14">
      <c r="B2221" s="33"/>
      <c r="C2221" s="60"/>
      <c r="D2221" s="60"/>
      <c r="E2221" s="60"/>
      <c r="F2221" s="60"/>
      <c r="G2221" s="60"/>
      <c r="H2221" s="60"/>
      <c r="I2221" s="60"/>
      <c r="J2221" s="60"/>
      <c r="K2221" s="60"/>
      <c r="L2221" s="60"/>
      <c r="M2221" s="64"/>
      <c r="N2221" s="33"/>
    </row>
    <row r="2222" ht="24" customHeight="1" spans="2:14">
      <c r="B2222" s="33"/>
      <c r="C2222" s="60"/>
      <c r="D2222" s="60"/>
      <c r="E2222" s="60"/>
      <c r="F2222" s="60"/>
      <c r="G2222" s="60"/>
      <c r="H2222" s="60"/>
      <c r="I2222" s="60"/>
      <c r="J2222" s="60"/>
      <c r="K2222" s="60"/>
      <c r="L2222" s="60"/>
      <c r="M2222" s="64"/>
      <c r="N2222" s="33"/>
    </row>
    <row r="2223" ht="24" customHeight="1" spans="2:14">
      <c r="B2223" s="33"/>
      <c r="C2223" s="60"/>
      <c r="D2223" s="60"/>
      <c r="E2223" s="60"/>
      <c r="F2223" s="60"/>
      <c r="G2223" s="60"/>
      <c r="H2223" s="60"/>
      <c r="I2223" s="60"/>
      <c r="J2223" s="60"/>
      <c r="K2223" s="60"/>
      <c r="L2223" s="60"/>
      <c r="M2223" s="64"/>
      <c r="N2223" s="33"/>
    </row>
    <row r="2224" ht="24" customHeight="1" spans="2:14">
      <c r="B2224" s="33"/>
      <c r="C2224" s="60"/>
      <c r="D2224" s="60"/>
      <c r="E2224" s="60"/>
      <c r="F2224" s="60"/>
      <c r="G2224" s="60"/>
      <c r="H2224" s="60"/>
      <c r="I2224" s="60"/>
      <c r="J2224" s="60"/>
      <c r="K2224" s="60"/>
      <c r="L2224" s="60"/>
      <c r="M2224" s="64"/>
      <c r="N2224" s="33"/>
    </row>
    <row r="2225" ht="24" customHeight="1" spans="2:14">
      <c r="B2225" s="33"/>
      <c r="C2225" s="60"/>
      <c r="D2225" s="60"/>
      <c r="E2225" s="60"/>
      <c r="F2225" s="60"/>
      <c r="G2225" s="60"/>
      <c r="H2225" s="60"/>
      <c r="I2225" s="60"/>
      <c r="J2225" s="60"/>
      <c r="K2225" s="60"/>
      <c r="L2225" s="60"/>
      <c r="M2225" s="64"/>
      <c r="N2225" s="33"/>
    </row>
    <row r="2226" ht="24" customHeight="1" spans="2:14">
      <c r="B2226" s="33"/>
      <c r="C2226" s="60"/>
      <c r="D2226" s="60"/>
      <c r="E2226" s="60"/>
      <c r="F2226" s="60"/>
      <c r="G2226" s="60"/>
      <c r="H2226" s="60"/>
      <c r="I2226" s="60"/>
      <c r="J2226" s="60"/>
      <c r="K2226" s="60"/>
      <c r="L2226" s="60"/>
      <c r="M2226" s="64"/>
      <c r="N2226" s="33"/>
    </row>
    <row r="2227" ht="24" customHeight="1" spans="2:14">
      <c r="B2227" s="33"/>
      <c r="C2227" s="60"/>
      <c r="D2227" s="60"/>
      <c r="E2227" s="60"/>
      <c r="F2227" s="60"/>
      <c r="G2227" s="60"/>
      <c r="H2227" s="60"/>
      <c r="I2227" s="60"/>
      <c r="J2227" s="60"/>
      <c r="K2227" s="60"/>
      <c r="L2227" s="60"/>
      <c r="M2227" s="64"/>
      <c r="N2227" s="33"/>
    </row>
    <row r="2228" ht="24" customHeight="1" spans="2:14">
      <c r="B2228" s="33"/>
      <c r="C2228" s="60"/>
      <c r="D2228" s="60"/>
      <c r="E2228" s="60"/>
      <c r="F2228" s="60"/>
      <c r="G2228" s="60"/>
      <c r="H2228" s="60"/>
      <c r="I2228" s="60"/>
      <c r="J2228" s="60"/>
      <c r="K2228" s="60"/>
      <c r="L2228" s="60"/>
      <c r="M2228" s="64"/>
      <c r="N2228" s="33"/>
    </row>
    <row r="2229" ht="24" customHeight="1" spans="2:14">
      <c r="B2229" s="33"/>
      <c r="C2229" s="60"/>
      <c r="D2229" s="60"/>
      <c r="E2229" s="60"/>
      <c r="F2229" s="60"/>
      <c r="G2229" s="60"/>
      <c r="H2229" s="60"/>
      <c r="I2229" s="60"/>
      <c r="J2229" s="60"/>
      <c r="K2229" s="60"/>
      <c r="L2229" s="60"/>
      <c r="M2229" s="64"/>
      <c r="N2229" s="33"/>
    </row>
    <row r="2230" ht="24" customHeight="1" spans="2:14">
      <c r="B2230" s="33"/>
      <c r="C2230" s="60"/>
      <c r="D2230" s="60"/>
      <c r="E2230" s="60"/>
      <c r="F2230" s="60"/>
      <c r="G2230" s="60"/>
      <c r="H2230" s="60"/>
      <c r="I2230" s="60"/>
      <c r="J2230" s="60"/>
      <c r="K2230" s="60"/>
      <c r="L2230" s="60"/>
      <c r="M2230" s="64"/>
      <c r="N2230" s="33"/>
    </row>
    <row r="2231" ht="24" customHeight="1" spans="2:14">
      <c r="B2231" s="33"/>
      <c r="C2231" s="60"/>
      <c r="D2231" s="60"/>
      <c r="E2231" s="60"/>
      <c r="F2231" s="60"/>
      <c r="G2231" s="60"/>
      <c r="H2231" s="60"/>
      <c r="I2231" s="60"/>
      <c r="J2231" s="60"/>
      <c r="K2231" s="60"/>
      <c r="L2231" s="60"/>
      <c r="M2231" s="64"/>
      <c r="N2231" s="33"/>
    </row>
    <row r="2232" ht="24" customHeight="1" spans="2:14">
      <c r="B2232" s="33"/>
      <c r="C2232" s="60"/>
      <c r="D2232" s="60"/>
      <c r="E2232" s="60"/>
      <c r="F2232" s="60"/>
      <c r="G2232" s="60"/>
      <c r="H2232" s="60"/>
      <c r="I2232" s="60"/>
      <c r="J2232" s="60"/>
      <c r="K2232" s="60"/>
      <c r="L2232" s="60"/>
      <c r="M2232" s="64"/>
      <c r="N2232" s="33"/>
    </row>
    <row r="2233" ht="24" customHeight="1" spans="2:14">
      <c r="B2233" s="33"/>
      <c r="C2233" s="60"/>
      <c r="D2233" s="60"/>
      <c r="E2233" s="60"/>
      <c r="F2233" s="60"/>
      <c r="G2233" s="60"/>
      <c r="H2233" s="60"/>
      <c r="I2233" s="60"/>
      <c r="J2233" s="60"/>
      <c r="K2233" s="60"/>
      <c r="L2233" s="60"/>
      <c r="M2233" s="64"/>
      <c r="N2233" s="33"/>
    </row>
    <row r="2234" ht="24" customHeight="1" spans="2:14">
      <c r="B2234" s="33"/>
      <c r="C2234" s="60"/>
      <c r="D2234" s="60"/>
      <c r="E2234" s="60"/>
      <c r="F2234" s="60"/>
      <c r="G2234" s="60"/>
      <c r="H2234" s="60"/>
      <c r="I2234" s="60"/>
      <c r="J2234" s="60"/>
      <c r="K2234" s="60"/>
      <c r="L2234" s="60"/>
      <c r="M2234" s="64"/>
      <c r="N2234" s="33"/>
    </row>
    <row r="2235" ht="24" customHeight="1" spans="2:14">
      <c r="B2235" s="33"/>
      <c r="C2235" s="60"/>
      <c r="D2235" s="60"/>
      <c r="E2235" s="60"/>
      <c r="F2235" s="60"/>
      <c r="G2235" s="60"/>
      <c r="H2235" s="60"/>
      <c r="I2235" s="60"/>
      <c r="J2235" s="60"/>
      <c r="K2235" s="60"/>
      <c r="L2235" s="60"/>
      <c r="M2235" s="64"/>
      <c r="N2235" s="33"/>
    </row>
    <row r="2236" ht="24" customHeight="1" spans="2:14">
      <c r="B2236" s="33"/>
      <c r="C2236" s="60"/>
      <c r="D2236" s="60"/>
      <c r="E2236" s="60"/>
      <c r="F2236" s="60"/>
      <c r="G2236" s="60"/>
      <c r="H2236" s="60"/>
      <c r="I2236" s="60"/>
      <c r="J2236" s="60"/>
      <c r="K2236" s="60"/>
      <c r="L2236" s="60"/>
      <c r="M2236" s="64"/>
      <c r="N2236" s="33"/>
    </row>
    <row r="2237" ht="24" customHeight="1" spans="2:14">
      <c r="B2237" s="33"/>
      <c r="C2237" s="60"/>
      <c r="D2237" s="60"/>
      <c r="E2237" s="60"/>
      <c r="F2237" s="60"/>
      <c r="G2237" s="60"/>
      <c r="H2237" s="60"/>
      <c r="I2237" s="60"/>
      <c r="J2237" s="60"/>
      <c r="K2237" s="60"/>
      <c r="L2237" s="60"/>
      <c r="M2237" s="64"/>
      <c r="N2237" s="33"/>
    </row>
    <row r="2238" ht="24" customHeight="1" spans="2:14">
      <c r="B2238" s="33"/>
      <c r="C2238" s="60"/>
      <c r="D2238" s="60"/>
      <c r="E2238" s="60"/>
      <c r="F2238" s="60"/>
      <c r="G2238" s="60"/>
      <c r="H2238" s="60"/>
      <c r="I2238" s="60"/>
      <c r="J2238" s="60"/>
      <c r="K2238" s="60"/>
      <c r="L2238" s="60"/>
      <c r="M2238" s="64"/>
      <c r="N2238" s="33"/>
    </row>
    <row r="2239" ht="24" customHeight="1" spans="2:14">
      <c r="B2239" s="33"/>
      <c r="C2239" s="60"/>
      <c r="D2239" s="60"/>
      <c r="E2239" s="60"/>
      <c r="F2239" s="60"/>
      <c r="G2239" s="60"/>
      <c r="H2239" s="60"/>
      <c r="I2239" s="60"/>
      <c r="J2239" s="60"/>
      <c r="K2239" s="60"/>
      <c r="L2239" s="60"/>
      <c r="M2239" s="64"/>
      <c r="N2239" s="33"/>
    </row>
    <row r="2240" ht="24" customHeight="1" spans="2:14">
      <c r="B2240" s="33"/>
      <c r="C2240" s="60"/>
      <c r="D2240" s="60"/>
      <c r="E2240" s="60"/>
      <c r="F2240" s="60"/>
      <c r="G2240" s="60"/>
      <c r="H2240" s="60"/>
      <c r="I2240" s="60"/>
      <c r="J2240" s="60"/>
      <c r="K2240" s="60"/>
      <c r="L2240" s="60"/>
      <c r="M2240" s="64"/>
      <c r="N2240" s="33"/>
    </row>
    <row r="2241" ht="24" customHeight="1" spans="2:14">
      <c r="B2241" s="33"/>
      <c r="C2241" s="60"/>
      <c r="D2241" s="60"/>
      <c r="E2241" s="60"/>
      <c r="F2241" s="60"/>
      <c r="G2241" s="60"/>
      <c r="H2241" s="60"/>
      <c r="I2241" s="60"/>
      <c r="J2241" s="60"/>
      <c r="K2241" s="60"/>
      <c r="L2241" s="60"/>
      <c r="M2241" s="64"/>
      <c r="N2241" s="33"/>
    </row>
    <row r="2242" ht="24" customHeight="1" spans="2:14">
      <c r="B2242" s="33"/>
      <c r="C2242" s="60"/>
      <c r="D2242" s="60"/>
      <c r="E2242" s="60"/>
      <c r="F2242" s="60"/>
      <c r="G2242" s="60"/>
      <c r="H2242" s="60"/>
      <c r="I2242" s="60"/>
      <c r="J2242" s="60"/>
      <c r="K2242" s="60"/>
      <c r="L2242" s="60"/>
      <c r="M2242" s="64"/>
      <c r="N2242" s="33"/>
    </row>
    <row r="2243" ht="24" customHeight="1" spans="2:14">
      <c r="B2243" s="33"/>
      <c r="C2243" s="60"/>
      <c r="D2243" s="60"/>
      <c r="E2243" s="60"/>
      <c r="F2243" s="60"/>
      <c r="G2243" s="60"/>
      <c r="H2243" s="60"/>
      <c r="I2243" s="60"/>
      <c r="J2243" s="60"/>
      <c r="K2243" s="60"/>
      <c r="L2243" s="60"/>
      <c r="M2243" s="64"/>
      <c r="N2243" s="33"/>
    </row>
    <row r="2244" ht="24" customHeight="1" spans="2:14">
      <c r="B2244" s="33"/>
      <c r="C2244" s="60"/>
      <c r="D2244" s="60"/>
      <c r="E2244" s="60"/>
      <c r="F2244" s="60"/>
      <c r="G2244" s="60"/>
      <c r="H2244" s="60"/>
      <c r="I2244" s="60"/>
      <c r="J2244" s="60"/>
      <c r="K2244" s="60"/>
      <c r="L2244" s="60"/>
      <c r="M2244" s="64"/>
      <c r="N2244" s="33"/>
    </row>
    <row r="2245" ht="24" customHeight="1" spans="2:14">
      <c r="B2245" s="33"/>
      <c r="C2245" s="60"/>
      <c r="D2245" s="60"/>
      <c r="E2245" s="60"/>
      <c r="F2245" s="60"/>
      <c r="G2245" s="60"/>
      <c r="H2245" s="60"/>
      <c r="I2245" s="60"/>
      <c r="J2245" s="60"/>
      <c r="K2245" s="60"/>
      <c r="L2245" s="60"/>
      <c r="M2245" s="64"/>
      <c r="N2245" s="33"/>
    </row>
    <row r="2246" ht="24" customHeight="1" spans="2:14">
      <c r="B2246" s="33"/>
      <c r="C2246" s="60"/>
      <c r="D2246" s="60"/>
      <c r="E2246" s="60"/>
      <c r="F2246" s="60"/>
      <c r="G2246" s="60"/>
      <c r="H2246" s="60"/>
      <c r="I2246" s="60"/>
      <c r="J2246" s="60"/>
      <c r="K2246" s="60"/>
      <c r="L2246" s="60"/>
      <c r="M2246" s="64"/>
      <c r="N2246" s="33"/>
    </row>
    <row r="2247" ht="24" customHeight="1" spans="2:14">
      <c r="B2247" s="33"/>
      <c r="C2247" s="60"/>
      <c r="D2247" s="60"/>
      <c r="E2247" s="60"/>
      <c r="F2247" s="60"/>
      <c r="G2247" s="60"/>
      <c r="H2247" s="60"/>
      <c r="I2247" s="60"/>
      <c r="J2247" s="60"/>
      <c r="K2247" s="60"/>
      <c r="L2247" s="60"/>
      <c r="M2247" s="64"/>
      <c r="N2247" s="33"/>
    </row>
    <row r="2248" ht="24" customHeight="1" spans="2:14">
      <c r="B2248" s="33"/>
      <c r="C2248" s="60"/>
      <c r="D2248" s="60"/>
      <c r="E2248" s="60"/>
      <c r="F2248" s="60"/>
      <c r="G2248" s="60"/>
      <c r="H2248" s="60"/>
      <c r="I2248" s="60"/>
      <c r="J2248" s="60"/>
      <c r="K2248" s="60"/>
      <c r="L2248" s="60"/>
      <c r="M2248" s="64"/>
      <c r="N2248" s="33"/>
    </row>
    <row r="2249" ht="24" customHeight="1" spans="2:14">
      <c r="B2249" s="33"/>
      <c r="C2249" s="60"/>
      <c r="D2249" s="60"/>
      <c r="E2249" s="60"/>
      <c r="F2249" s="60"/>
      <c r="G2249" s="60"/>
      <c r="H2249" s="60"/>
      <c r="I2249" s="60"/>
      <c r="J2249" s="60"/>
      <c r="K2249" s="60"/>
      <c r="L2249" s="60"/>
      <c r="M2249" s="64"/>
      <c r="N2249" s="33"/>
    </row>
    <row r="2250" ht="24" customHeight="1" spans="2:14">
      <c r="B2250" s="33"/>
      <c r="C2250" s="60"/>
      <c r="D2250" s="60"/>
      <c r="E2250" s="60"/>
      <c r="F2250" s="60"/>
      <c r="G2250" s="60"/>
      <c r="H2250" s="60"/>
      <c r="I2250" s="60"/>
      <c r="J2250" s="60"/>
      <c r="K2250" s="60"/>
      <c r="L2250" s="60"/>
      <c r="M2250" s="64"/>
      <c r="N2250" s="33"/>
    </row>
    <row r="2251" ht="24" customHeight="1" spans="2:14">
      <c r="B2251" s="33"/>
      <c r="C2251" s="60"/>
      <c r="D2251" s="60"/>
      <c r="E2251" s="60"/>
      <c r="F2251" s="60"/>
      <c r="G2251" s="60"/>
      <c r="H2251" s="60"/>
      <c r="I2251" s="60"/>
      <c r="J2251" s="60"/>
      <c r="K2251" s="60"/>
      <c r="L2251" s="60"/>
      <c r="M2251" s="64"/>
      <c r="N2251" s="33"/>
    </row>
    <row r="2252" ht="24" customHeight="1" spans="2:14">
      <c r="B2252" s="33"/>
      <c r="C2252" s="60"/>
      <c r="D2252" s="60"/>
      <c r="E2252" s="60"/>
      <c r="F2252" s="60"/>
      <c r="G2252" s="60"/>
      <c r="H2252" s="60"/>
      <c r="I2252" s="60"/>
      <c r="J2252" s="60"/>
      <c r="K2252" s="60"/>
      <c r="L2252" s="60"/>
      <c r="M2252" s="64"/>
      <c r="N2252" s="33"/>
    </row>
    <row r="2253" ht="24" customHeight="1" spans="2:14">
      <c r="B2253" s="33"/>
      <c r="C2253" s="60"/>
      <c r="D2253" s="60"/>
      <c r="E2253" s="60"/>
      <c r="F2253" s="60"/>
      <c r="G2253" s="60"/>
      <c r="H2253" s="60"/>
      <c r="I2253" s="60"/>
      <c r="J2253" s="60"/>
      <c r="K2253" s="60"/>
      <c r="L2253" s="60"/>
      <c r="M2253" s="64"/>
      <c r="N2253" s="33"/>
    </row>
    <row r="2254" ht="24" customHeight="1" spans="2:14">
      <c r="B2254" s="33"/>
      <c r="C2254" s="60"/>
      <c r="D2254" s="60"/>
      <c r="E2254" s="60"/>
      <c r="F2254" s="60"/>
      <c r="G2254" s="60"/>
      <c r="H2254" s="60"/>
      <c r="I2254" s="60"/>
      <c r="J2254" s="60"/>
      <c r="K2254" s="60"/>
      <c r="L2254" s="60"/>
      <c r="M2254" s="64"/>
      <c r="N2254" s="33"/>
    </row>
    <row r="2255" ht="24" customHeight="1" spans="2:14">
      <c r="B2255" s="33"/>
      <c r="C2255" s="60"/>
      <c r="D2255" s="60"/>
      <c r="E2255" s="60"/>
      <c r="F2255" s="60"/>
      <c r="G2255" s="60"/>
      <c r="H2255" s="60"/>
      <c r="I2255" s="60"/>
      <c r="J2255" s="60"/>
      <c r="K2255" s="60"/>
      <c r="L2255" s="60"/>
      <c r="M2255" s="64"/>
      <c r="N2255" s="33"/>
    </row>
    <row r="2256" ht="24" customHeight="1" spans="2:14">
      <c r="B2256" s="33"/>
      <c r="C2256" s="60"/>
      <c r="D2256" s="60"/>
      <c r="E2256" s="60"/>
      <c r="F2256" s="60"/>
      <c r="G2256" s="60"/>
      <c r="H2256" s="60"/>
      <c r="I2256" s="60"/>
      <c r="J2256" s="60"/>
      <c r="K2256" s="60"/>
      <c r="L2256" s="60"/>
      <c r="M2256" s="64"/>
      <c r="N2256" s="33"/>
    </row>
    <row r="2257" ht="24" customHeight="1" spans="2:14">
      <c r="B2257" s="33"/>
      <c r="C2257" s="60"/>
      <c r="D2257" s="60"/>
      <c r="E2257" s="60"/>
      <c r="F2257" s="60"/>
      <c r="G2257" s="60"/>
      <c r="H2257" s="60"/>
      <c r="I2257" s="60"/>
      <c r="J2257" s="60"/>
      <c r="K2257" s="60"/>
      <c r="L2257" s="60"/>
      <c r="M2257" s="64"/>
      <c r="N2257" s="33"/>
    </row>
    <row r="2258" ht="24" customHeight="1" spans="2:14">
      <c r="B2258" s="33"/>
      <c r="C2258" s="60"/>
      <c r="D2258" s="60"/>
      <c r="E2258" s="60"/>
      <c r="F2258" s="60"/>
      <c r="G2258" s="60"/>
      <c r="H2258" s="60"/>
      <c r="I2258" s="60"/>
      <c r="J2258" s="60"/>
      <c r="K2258" s="60"/>
      <c r="L2258" s="60"/>
      <c r="M2258" s="64"/>
      <c r="N2258" s="33"/>
    </row>
    <row r="2259" ht="24" customHeight="1" spans="2:14">
      <c r="B2259" s="33"/>
      <c r="C2259" s="60"/>
      <c r="D2259" s="60"/>
      <c r="E2259" s="60"/>
      <c r="F2259" s="60"/>
      <c r="G2259" s="60"/>
      <c r="H2259" s="60"/>
      <c r="I2259" s="60"/>
      <c r="J2259" s="60"/>
      <c r="K2259" s="60"/>
      <c r="L2259" s="60"/>
      <c r="M2259" s="64"/>
      <c r="N2259" s="33"/>
    </row>
    <row r="2260" ht="24" customHeight="1" spans="2:14">
      <c r="B2260" s="33"/>
      <c r="C2260" s="60"/>
      <c r="D2260" s="60"/>
      <c r="E2260" s="60"/>
      <c r="F2260" s="60"/>
      <c r="G2260" s="60"/>
      <c r="H2260" s="60"/>
      <c r="I2260" s="60"/>
      <c r="J2260" s="60"/>
      <c r="K2260" s="60"/>
      <c r="L2260" s="60"/>
      <c r="M2260" s="64"/>
      <c r="N2260" s="33"/>
    </row>
    <row r="2261" ht="24" customHeight="1" spans="2:14">
      <c r="B2261" s="33"/>
      <c r="C2261" s="60"/>
      <c r="D2261" s="60"/>
      <c r="E2261" s="60"/>
      <c r="F2261" s="60"/>
      <c r="G2261" s="60"/>
      <c r="H2261" s="60"/>
      <c r="I2261" s="60"/>
      <c r="J2261" s="60"/>
      <c r="K2261" s="60"/>
      <c r="L2261" s="60"/>
      <c r="M2261" s="64"/>
      <c r="N2261" s="33"/>
    </row>
    <row r="2262" ht="24" customHeight="1" spans="2:14">
      <c r="B2262" s="33"/>
      <c r="C2262" s="60"/>
      <c r="D2262" s="60"/>
      <c r="E2262" s="60"/>
      <c r="F2262" s="60"/>
      <c r="G2262" s="60"/>
      <c r="H2262" s="60"/>
      <c r="I2262" s="60"/>
      <c r="J2262" s="60"/>
      <c r="K2262" s="60"/>
      <c r="L2262" s="60"/>
      <c r="M2262" s="64"/>
      <c r="N2262" s="33"/>
    </row>
    <row r="2263" ht="24" customHeight="1" spans="2:14">
      <c r="B2263" s="33"/>
      <c r="C2263" s="60"/>
      <c r="D2263" s="60"/>
      <c r="E2263" s="60"/>
      <c r="F2263" s="60"/>
      <c r="G2263" s="60"/>
      <c r="H2263" s="60"/>
      <c r="I2263" s="60"/>
      <c r="J2263" s="60"/>
      <c r="K2263" s="60"/>
      <c r="L2263" s="60"/>
      <c r="M2263" s="64"/>
      <c r="N2263" s="33"/>
    </row>
    <row r="2264" ht="24" customHeight="1" spans="2:14">
      <c r="B2264" s="33"/>
      <c r="C2264" s="60"/>
      <c r="D2264" s="60"/>
      <c r="E2264" s="60"/>
      <c r="F2264" s="60"/>
      <c r="G2264" s="60"/>
      <c r="H2264" s="60"/>
      <c r="I2264" s="60"/>
      <c r="J2264" s="60"/>
      <c r="K2264" s="60"/>
      <c r="L2264" s="60"/>
      <c r="M2264" s="64"/>
      <c r="N2264" s="33"/>
    </row>
    <row r="2265" ht="24" customHeight="1" spans="2:14">
      <c r="B2265" s="33"/>
      <c r="C2265" s="60"/>
      <c r="D2265" s="60"/>
      <c r="E2265" s="60"/>
      <c r="F2265" s="60"/>
      <c r="G2265" s="60"/>
      <c r="H2265" s="60"/>
      <c r="I2265" s="60"/>
      <c r="J2265" s="60"/>
      <c r="K2265" s="60"/>
      <c r="L2265" s="60"/>
      <c r="M2265" s="64"/>
      <c r="N2265" s="33"/>
    </row>
    <row r="2266" ht="24" customHeight="1" spans="2:14">
      <c r="B2266" s="33"/>
      <c r="C2266" s="60"/>
      <c r="D2266" s="60"/>
      <c r="E2266" s="60"/>
      <c r="F2266" s="60"/>
      <c r="G2266" s="60"/>
      <c r="H2266" s="60"/>
      <c r="I2266" s="60"/>
      <c r="J2266" s="60"/>
      <c r="K2266" s="60"/>
      <c r="L2266" s="60"/>
      <c r="M2266" s="64"/>
      <c r="N2266" s="33"/>
    </row>
    <row r="2267" ht="24" customHeight="1" spans="2:14">
      <c r="B2267" s="33"/>
      <c r="C2267" s="60"/>
      <c r="D2267" s="60"/>
      <c r="E2267" s="60"/>
      <c r="F2267" s="60"/>
      <c r="G2267" s="60"/>
      <c r="H2267" s="60"/>
      <c r="I2267" s="60"/>
      <c r="J2267" s="60"/>
      <c r="K2267" s="60"/>
      <c r="L2267" s="60"/>
      <c r="M2267" s="64"/>
      <c r="N2267" s="33"/>
    </row>
    <row r="2268" ht="24" customHeight="1" spans="2:14">
      <c r="B2268" s="33"/>
      <c r="C2268" s="60"/>
      <c r="D2268" s="60"/>
      <c r="E2268" s="60"/>
      <c r="F2268" s="60"/>
      <c r="G2268" s="60"/>
      <c r="H2268" s="60"/>
      <c r="I2268" s="60"/>
      <c r="J2268" s="60"/>
      <c r="K2268" s="60"/>
      <c r="L2268" s="60"/>
      <c r="M2268" s="64"/>
      <c r="N2268" s="33"/>
    </row>
    <row r="2269" ht="24" customHeight="1" spans="2:14">
      <c r="B2269" s="33"/>
      <c r="C2269" s="60"/>
      <c r="D2269" s="60"/>
      <c r="E2269" s="60"/>
      <c r="F2269" s="60"/>
      <c r="G2269" s="60"/>
      <c r="H2269" s="60"/>
      <c r="I2269" s="60"/>
      <c r="J2269" s="60"/>
      <c r="K2269" s="60"/>
      <c r="L2269" s="60"/>
      <c r="M2269" s="64"/>
      <c r="N2269" s="33"/>
    </row>
    <row r="2270" ht="24" customHeight="1" spans="2:14">
      <c r="B2270" s="33"/>
      <c r="C2270" s="60"/>
      <c r="D2270" s="60"/>
      <c r="E2270" s="60"/>
      <c r="F2270" s="60"/>
      <c r="G2270" s="60"/>
      <c r="H2270" s="60"/>
      <c r="I2270" s="60"/>
      <c r="J2270" s="60"/>
      <c r="K2270" s="60"/>
      <c r="L2270" s="60"/>
      <c r="M2270" s="64"/>
      <c r="N2270" s="33"/>
    </row>
    <row r="2271" ht="24" customHeight="1" spans="2:14">
      <c r="B2271" s="33"/>
      <c r="C2271" s="60"/>
      <c r="D2271" s="60"/>
      <c r="E2271" s="60"/>
      <c r="F2271" s="60"/>
      <c r="G2271" s="60"/>
      <c r="H2271" s="60"/>
      <c r="I2271" s="60"/>
      <c r="J2271" s="60"/>
      <c r="K2271" s="60"/>
      <c r="L2271" s="60"/>
      <c r="M2271" s="64"/>
      <c r="N2271" s="33"/>
    </row>
    <row r="2272" ht="24" customHeight="1" spans="2:14">
      <c r="B2272" s="33"/>
      <c r="C2272" s="60"/>
      <c r="D2272" s="60"/>
      <c r="E2272" s="60"/>
      <c r="F2272" s="60"/>
      <c r="G2272" s="60"/>
      <c r="H2272" s="60"/>
      <c r="I2272" s="60"/>
      <c r="J2272" s="60"/>
      <c r="K2272" s="60"/>
      <c r="L2272" s="60"/>
      <c r="M2272" s="64"/>
      <c r="N2272" s="33"/>
    </row>
    <row r="2273" ht="24" customHeight="1" spans="2:14">
      <c r="B2273" s="33"/>
      <c r="C2273" s="60"/>
      <c r="D2273" s="60"/>
      <c r="E2273" s="60"/>
      <c r="F2273" s="60"/>
      <c r="G2273" s="60"/>
      <c r="H2273" s="60"/>
      <c r="I2273" s="60"/>
      <c r="J2273" s="60"/>
      <c r="K2273" s="60"/>
      <c r="L2273" s="60"/>
      <c r="M2273" s="64"/>
      <c r="N2273" s="33"/>
    </row>
    <row r="2274" ht="24" customHeight="1" spans="2:14">
      <c r="B2274" s="33"/>
      <c r="C2274" s="60"/>
      <c r="D2274" s="60"/>
      <c r="E2274" s="60"/>
      <c r="F2274" s="60"/>
      <c r="G2274" s="60"/>
      <c r="H2274" s="60"/>
      <c r="I2274" s="60"/>
      <c r="J2274" s="60"/>
      <c r="K2274" s="60"/>
      <c r="L2274" s="60"/>
      <c r="M2274" s="64"/>
      <c r="N2274" s="33"/>
    </row>
    <row r="2275" ht="24" customHeight="1" spans="2:14">
      <c r="B2275" s="33"/>
      <c r="C2275" s="60"/>
      <c r="D2275" s="60"/>
      <c r="E2275" s="60"/>
      <c r="F2275" s="60"/>
      <c r="G2275" s="60"/>
      <c r="H2275" s="60"/>
      <c r="I2275" s="60"/>
      <c r="J2275" s="60"/>
      <c r="K2275" s="60"/>
      <c r="L2275" s="60"/>
      <c r="M2275" s="64"/>
      <c r="N2275" s="33"/>
    </row>
    <row r="2276" ht="24" customHeight="1" spans="2:14">
      <c r="B2276" s="33"/>
      <c r="C2276" s="60"/>
      <c r="D2276" s="60"/>
      <c r="E2276" s="60"/>
      <c r="F2276" s="60"/>
      <c r="G2276" s="60"/>
      <c r="H2276" s="60"/>
      <c r="I2276" s="60"/>
      <c r="J2276" s="60"/>
      <c r="K2276" s="60"/>
      <c r="L2276" s="60"/>
      <c r="M2276" s="64"/>
      <c r="N2276" s="33"/>
    </row>
    <row r="2277" ht="24" customHeight="1" spans="2:14">
      <c r="B2277" s="33"/>
      <c r="C2277" s="60"/>
      <c r="D2277" s="60"/>
      <c r="E2277" s="60"/>
      <c r="F2277" s="60"/>
      <c r="G2277" s="60"/>
      <c r="H2277" s="60"/>
      <c r="I2277" s="60"/>
      <c r="J2277" s="60"/>
      <c r="K2277" s="60"/>
      <c r="L2277" s="60"/>
      <c r="M2277" s="64"/>
      <c r="N2277" s="33"/>
    </row>
    <row r="2278" ht="24" customHeight="1" spans="2:14">
      <c r="B2278" s="33"/>
      <c r="C2278" s="60"/>
      <c r="D2278" s="60"/>
      <c r="E2278" s="60"/>
      <c r="F2278" s="60"/>
      <c r="G2278" s="60"/>
      <c r="H2278" s="60"/>
      <c r="I2278" s="60"/>
      <c r="J2278" s="60"/>
      <c r="K2278" s="60"/>
      <c r="L2278" s="60"/>
      <c r="M2278" s="64"/>
      <c r="N2278" s="33"/>
    </row>
    <row r="2279" ht="24" customHeight="1" spans="2:14">
      <c r="B2279" s="33"/>
      <c r="C2279" s="60"/>
      <c r="D2279" s="60"/>
      <c r="E2279" s="60"/>
      <c r="F2279" s="60"/>
      <c r="G2279" s="60"/>
      <c r="H2279" s="60"/>
      <c r="I2279" s="60"/>
      <c r="J2279" s="60"/>
      <c r="K2279" s="60"/>
      <c r="L2279" s="60"/>
      <c r="M2279" s="64"/>
      <c r="N2279" s="33"/>
    </row>
    <row r="2280" ht="24" customHeight="1" spans="2:14">
      <c r="B2280" s="33"/>
      <c r="C2280" s="60"/>
      <c r="D2280" s="60"/>
      <c r="E2280" s="60"/>
      <c r="F2280" s="60"/>
      <c r="G2280" s="60"/>
      <c r="H2280" s="60"/>
      <c r="I2280" s="60"/>
      <c r="J2280" s="60"/>
      <c r="K2280" s="60"/>
      <c r="L2280" s="60"/>
      <c r="M2280" s="64"/>
      <c r="N2280" s="33"/>
    </row>
    <row r="2281" ht="24" customHeight="1" spans="2:14">
      <c r="B2281" s="33"/>
      <c r="C2281" s="60"/>
      <c r="D2281" s="60"/>
      <c r="E2281" s="60"/>
      <c r="F2281" s="60"/>
      <c r="G2281" s="60"/>
      <c r="H2281" s="60"/>
      <c r="I2281" s="60"/>
      <c r="J2281" s="60"/>
      <c r="K2281" s="60"/>
      <c r="L2281" s="60"/>
      <c r="M2281" s="64"/>
      <c r="N2281" s="33"/>
    </row>
    <row r="2282" ht="24" customHeight="1" spans="2:14">
      <c r="B2282" s="33"/>
      <c r="C2282" s="60"/>
      <c r="D2282" s="60"/>
      <c r="E2282" s="60"/>
      <c r="F2282" s="60"/>
      <c r="G2282" s="60"/>
      <c r="H2282" s="60"/>
      <c r="I2282" s="60"/>
      <c r="J2282" s="60"/>
      <c r="K2282" s="60"/>
      <c r="L2282" s="60"/>
      <c r="M2282" s="64"/>
      <c r="N2282" s="33"/>
    </row>
    <row r="2283" ht="24" customHeight="1" spans="2:14">
      <c r="B2283" s="33"/>
      <c r="C2283" s="60"/>
      <c r="D2283" s="60"/>
      <c r="E2283" s="60"/>
      <c r="F2283" s="60"/>
      <c r="G2283" s="60"/>
      <c r="H2283" s="60"/>
      <c r="I2283" s="60"/>
      <c r="J2283" s="60"/>
      <c r="K2283" s="60"/>
      <c r="L2283" s="60"/>
      <c r="M2283" s="64"/>
      <c r="N2283" s="33"/>
    </row>
    <row r="2284" ht="24" customHeight="1" spans="2:14">
      <c r="B2284" s="33"/>
      <c r="C2284" s="60"/>
      <c r="D2284" s="60"/>
      <c r="E2284" s="60"/>
      <c r="F2284" s="60"/>
      <c r="G2284" s="60"/>
      <c r="H2284" s="60"/>
      <c r="I2284" s="60"/>
      <c r="J2284" s="60"/>
      <c r="K2284" s="60"/>
      <c r="L2284" s="60"/>
      <c r="M2284" s="64"/>
      <c r="N2284" s="33"/>
    </row>
    <row r="2285" ht="24" customHeight="1" spans="2:14">
      <c r="B2285" s="33"/>
      <c r="C2285" s="60"/>
      <c r="D2285" s="60"/>
      <c r="E2285" s="60"/>
      <c r="F2285" s="60"/>
      <c r="G2285" s="60"/>
      <c r="H2285" s="60"/>
      <c r="I2285" s="60"/>
      <c r="J2285" s="60"/>
      <c r="K2285" s="60"/>
      <c r="L2285" s="60"/>
      <c r="M2285" s="64"/>
      <c r="N2285" s="33"/>
    </row>
    <row r="2286" ht="24" customHeight="1" spans="2:14">
      <c r="B2286" s="33"/>
      <c r="C2286" s="60"/>
      <c r="D2286" s="60"/>
      <c r="E2286" s="60"/>
      <c r="F2286" s="60"/>
      <c r="G2286" s="60"/>
      <c r="H2286" s="60"/>
      <c r="I2286" s="60"/>
      <c r="J2286" s="60"/>
      <c r="K2286" s="60"/>
      <c r="L2286" s="60"/>
      <c r="M2286" s="64"/>
      <c r="N2286" s="33"/>
    </row>
    <row r="2287" ht="24" customHeight="1" spans="2:14">
      <c r="B2287" s="33"/>
      <c r="C2287" s="60"/>
      <c r="D2287" s="60"/>
      <c r="E2287" s="60"/>
      <c r="F2287" s="60"/>
      <c r="G2287" s="60"/>
      <c r="H2287" s="60"/>
      <c r="I2287" s="60"/>
      <c r="J2287" s="60"/>
      <c r="K2287" s="60"/>
      <c r="L2287" s="60"/>
      <c r="M2287" s="64"/>
      <c r="N2287" s="33"/>
    </row>
    <row r="2288" ht="24" customHeight="1" spans="2:14">
      <c r="B2288" s="33"/>
      <c r="C2288" s="60"/>
      <c r="D2288" s="60"/>
      <c r="E2288" s="60"/>
      <c r="F2288" s="60"/>
      <c r="G2288" s="60"/>
      <c r="H2288" s="60"/>
      <c r="I2288" s="60"/>
      <c r="J2288" s="60"/>
      <c r="K2288" s="60"/>
      <c r="L2288" s="60"/>
      <c r="M2288" s="64"/>
      <c r="N2288" s="33"/>
    </row>
    <row r="2289" ht="24" customHeight="1" spans="2:14">
      <c r="B2289" s="33"/>
      <c r="C2289" s="60"/>
      <c r="D2289" s="60"/>
      <c r="E2289" s="60"/>
      <c r="F2289" s="60"/>
      <c r="G2289" s="60"/>
      <c r="H2289" s="60"/>
      <c r="I2289" s="60"/>
      <c r="J2289" s="60"/>
      <c r="K2289" s="60"/>
      <c r="L2289" s="60"/>
      <c r="M2289" s="64"/>
      <c r="N2289" s="33"/>
    </row>
    <row r="2290" ht="24" customHeight="1" spans="2:14">
      <c r="B2290" s="33"/>
      <c r="C2290" s="60"/>
      <c r="D2290" s="60"/>
      <c r="E2290" s="60"/>
      <c r="F2290" s="60"/>
      <c r="G2290" s="60"/>
      <c r="H2290" s="60"/>
      <c r="I2290" s="60"/>
      <c r="J2290" s="60"/>
      <c r="K2290" s="60"/>
      <c r="L2290" s="60"/>
      <c r="M2290" s="64"/>
      <c r="N2290" s="33"/>
    </row>
    <row r="2291" ht="24" customHeight="1" spans="2:14">
      <c r="B2291" s="33"/>
      <c r="C2291" s="60"/>
      <c r="D2291" s="60"/>
      <c r="E2291" s="60"/>
      <c r="F2291" s="60"/>
      <c r="G2291" s="60"/>
      <c r="H2291" s="60"/>
      <c r="I2291" s="60"/>
      <c r="J2291" s="60"/>
      <c r="K2291" s="60"/>
      <c r="L2291" s="60"/>
      <c r="M2291" s="64"/>
      <c r="N2291" s="33"/>
    </row>
    <row r="2292" ht="24" customHeight="1" spans="2:14">
      <c r="B2292" s="33"/>
      <c r="C2292" s="60"/>
      <c r="D2292" s="60"/>
      <c r="E2292" s="60"/>
      <c r="F2292" s="60"/>
      <c r="G2292" s="60"/>
      <c r="H2292" s="60"/>
      <c r="I2292" s="60"/>
      <c r="J2292" s="60"/>
      <c r="K2292" s="60"/>
      <c r="L2292" s="60"/>
      <c r="M2292" s="64"/>
      <c r="N2292" s="33"/>
    </row>
    <row r="2293" ht="24" customHeight="1" spans="2:14">
      <c r="B2293" s="33"/>
      <c r="C2293" s="60"/>
      <c r="D2293" s="60"/>
      <c r="E2293" s="60"/>
      <c r="F2293" s="60"/>
      <c r="G2293" s="60"/>
      <c r="H2293" s="60"/>
      <c r="I2293" s="60"/>
      <c r="J2293" s="60"/>
      <c r="K2293" s="60"/>
      <c r="L2293" s="60"/>
      <c r="M2293" s="64"/>
      <c r="N2293" s="33"/>
    </row>
    <row r="2294" ht="24" customHeight="1" spans="2:14">
      <c r="B2294" s="33"/>
      <c r="C2294" s="60"/>
      <c r="D2294" s="60"/>
      <c r="E2294" s="60"/>
      <c r="F2294" s="60"/>
      <c r="G2294" s="60"/>
      <c r="H2294" s="60"/>
      <c r="I2294" s="60"/>
      <c r="J2294" s="60"/>
      <c r="K2294" s="60"/>
      <c r="L2294" s="60"/>
      <c r="M2294" s="64"/>
      <c r="N2294" s="33"/>
    </row>
    <row r="2295" ht="24" customHeight="1" spans="2:14">
      <c r="B2295" s="33"/>
      <c r="C2295" s="60"/>
      <c r="D2295" s="60"/>
      <c r="E2295" s="60"/>
      <c r="F2295" s="60"/>
      <c r="G2295" s="60"/>
      <c r="H2295" s="60"/>
      <c r="I2295" s="60"/>
      <c r="J2295" s="60"/>
      <c r="K2295" s="60"/>
      <c r="L2295" s="60"/>
      <c r="M2295" s="64"/>
      <c r="N2295" s="33"/>
    </row>
    <row r="2296" ht="24" customHeight="1" spans="2:14">
      <c r="B2296" s="33"/>
      <c r="C2296" s="60"/>
      <c r="D2296" s="60"/>
      <c r="E2296" s="60"/>
      <c r="F2296" s="60"/>
      <c r="G2296" s="60"/>
      <c r="H2296" s="60"/>
      <c r="I2296" s="60"/>
      <c r="J2296" s="60"/>
      <c r="K2296" s="60"/>
      <c r="L2296" s="60"/>
      <c r="M2296" s="64"/>
      <c r="N2296" s="33"/>
    </row>
    <row r="2297" ht="24" customHeight="1" spans="2:14">
      <c r="B2297" s="33"/>
      <c r="C2297" s="60"/>
      <c r="D2297" s="60"/>
      <c r="E2297" s="60"/>
      <c r="F2297" s="60"/>
      <c r="G2297" s="60"/>
      <c r="H2297" s="60"/>
      <c r="I2297" s="60"/>
      <c r="J2297" s="60"/>
      <c r="K2297" s="60"/>
      <c r="L2297" s="60"/>
      <c r="M2297" s="64"/>
      <c r="N2297" s="33"/>
    </row>
    <row r="2298" ht="24" customHeight="1" spans="2:14">
      <c r="B2298" s="33"/>
      <c r="C2298" s="60"/>
      <c r="D2298" s="60"/>
      <c r="E2298" s="60"/>
      <c r="F2298" s="60"/>
      <c r="G2298" s="60"/>
      <c r="H2298" s="60"/>
      <c r="I2298" s="60"/>
      <c r="J2298" s="60"/>
      <c r="K2298" s="60"/>
      <c r="L2298" s="60"/>
      <c r="M2298" s="64"/>
      <c r="N2298" s="33"/>
    </row>
    <row r="2299" ht="24" customHeight="1" spans="2:14">
      <c r="B2299" s="33"/>
      <c r="C2299" s="60"/>
      <c r="D2299" s="60"/>
      <c r="E2299" s="60"/>
      <c r="F2299" s="60"/>
      <c r="G2299" s="60"/>
      <c r="H2299" s="60"/>
      <c r="I2299" s="60"/>
      <c r="J2299" s="60"/>
      <c r="K2299" s="60"/>
      <c r="L2299" s="60"/>
      <c r="M2299" s="64"/>
      <c r="N2299" s="33"/>
    </row>
    <row r="2300" ht="24" customHeight="1" spans="2:14">
      <c r="B2300" s="33"/>
      <c r="C2300" s="60"/>
      <c r="D2300" s="60"/>
      <c r="E2300" s="60"/>
      <c r="F2300" s="60"/>
      <c r="G2300" s="60"/>
      <c r="H2300" s="60"/>
      <c r="I2300" s="60"/>
      <c r="J2300" s="60"/>
      <c r="K2300" s="60"/>
      <c r="L2300" s="60"/>
      <c r="M2300" s="64"/>
      <c r="N2300" s="33"/>
    </row>
    <row r="2301" ht="24" customHeight="1" spans="2:14">
      <c r="B2301" s="33"/>
      <c r="C2301" s="60"/>
      <c r="D2301" s="60"/>
      <c r="E2301" s="60"/>
      <c r="F2301" s="60"/>
      <c r="G2301" s="60"/>
      <c r="H2301" s="60"/>
      <c r="I2301" s="60"/>
      <c r="J2301" s="60"/>
      <c r="K2301" s="60"/>
      <c r="L2301" s="60"/>
      <c r="M2301" s="64"/>
      <c r="N2301" s="33"/>
    </row>
    <row r="2302" ht="24" customHeight="1" spans="2:14">
      <c r="B2302" s="33"/>
      <c r="C2302" s="60"/>
      <c r="D2302" s="60"/>
      <c r="E2302" s="60"/>
      <c r="F2302" s="60"/>
      <c r="G2302" s="60"/>
      <c r="H2302" s="60"/>
      <c r="I2302" s="60"/>
      <c r="J2302" s="60"/>
      <c r="K2302" s="60"/>
      <c r="L2302" s="60"/>
      <c r="M2302" s="64"/>
      <c r="N2302" s="33"/>
    </row>
    <row r="2303" ht="24" customHeight="1" spans="2:14">
      <c r="B2303" s="33"/>
      <c r="C2303" s="60"/>
      <c r="D2303" s="60"/>
      <c r="E2303" s="60"/>
      <c r="F2303" s="60"/>
      <c r="G2303" s="60"/>
      <c r="H2303" s="60"/>
      <c r="I2303" s="60"/>
      <c r="J2303" s="60"/>
      <c r="K2303" s="60"/>
      <c r="L2303" s="60"/>
      <c r="M2303" s="64"/>
      <c r="N2303" s="33"/>
    </row>
    <row r="2304" ht="24" customHeight="1" spans="2:14">
      <c r="B2304" s="33"/>
      <c r="C2304" s="60"/>
      <c r="D2304" s="60"/>
      <c r="E2304" s="60"/>
      <c r="F2304" s="60"/>
      <c r="G2304" s="60"/>
      <c r="H2304" s="60"/>
      <c r="I2304" s="60"/>
      <c r="J2304" s="60"/>
      <c r="K2304" s="60"/>
      <c r="L2304" s="60"/>
      <c r="M2304" s="64"/>
      <c r="N2304" s="33"/>
    </row>
    <row r="2305" ht="24" customHeight="1" spans="2:14">
      <c r="B2305" s="33"/>
      <c r="C2305" s="60"/>
      <c r="D2305" s="60"/>
      <c r="E2305" s="60"/>
      <c r="F2305" s="60"/>
      <c r="G2305" s="60"/>
      <c r="H2305" s="60"/>
      <c r="I2305" s="60"/>
      <c r="J2305" s="60"/>
      <c r="K2305" s="60"/>
      <c r="L2305" s="60"/>
      <c r="M2305" s="64"/>
      <c r="N2305" s="33"/>
    </row>
    <row r="2306" ht="24" customHeight="1" spans="2:14">
      <c r="B2306" s="33"/>
      <c r="C2306" s="60"/>
      <c r="D2306" s="60"/>
      <c r="E2306" s="60"/>
      <c r="F2306" s="60"/>
      <c r="G2306" s="60"/>
      <c r="H2306" s="60"/>
      <c r="I2306" s="60"/>
      <c r="J2306" s="60"/>
      <c r="K2306" s="60"/>
      <c r="L2306" s="60"/>
      <c r="M2306" s="64"/>
      <c r="N2306" s="33"/>
    </row>
    <row r="2307" ht="24" customHeight="1" spans="2:14">
      <c r="B2307" s="33"/>
      <c r="C2307" s="60"/>
      <c r="D2307" s="60"/>
      <c r="E2307" s="60"/>
      <c r="F2307" s="60"/>
      <c r="G2307" s="60"/>
      <c r="H2307" s="60"/>
      <c r="I2307" s="60"/>
      <c r="J2307" s="60"/>
      <c r="K2307" s="60"/>
      <c r="L2307" s="60"/>
      <c r="M2307" s="64"/>
      <c r="N2307" s="33"/>
    </row>
    <row r="2308" ht="24" customHeight="1" spans="2:14">
      <c r="B2308" s="33"/>
      <c r="C2308" s="60"/>
      <c r="D2308" s="60"/>
      <c r="E2308" s="60"/>
      <c r="F2308" s="60"/>
      <c r="G2308" s="60"/>
      <c r="H2308" s="60"/>
      <c r="I2308" s="60"/>
      <c r="J2308" s="60"/>
      <c r="K2308" s="60"/>
      <c r="L2308" s="60"/>
      <c r="M2308" s="64"/>
      <c r="N2308" s="33"/>
    </row>
    <row r="2309" ht="24" customHeight="1" spans="2:14">
      <c r="B2309" s="33"/>
      <c r="C2309" s="60"/>
      <c r="D2309" s="60"/>
      <c r="E2309" s="60"/>
      <c r="F2309" s="60"/>
      <c r="G2309" s="60"/>
      <c r="H2309" s="60"/>
      <c r="I2309" s="60"/>
      <c r="J2309" s="60"/>
      <c r="K2309" s="60"/>
      <c r="L2309" s="60"/>
      <c r="M2309" s="64"/>
      <c r="N2309" s="33"/>
    </row>
    <row r="2310" ht="24" customHeight="1" spans="2:14">
      <c r="B2310" s="33"/>
      <c r="C2310" s="60"/>
      <c r="D2310" s="60"/>
      <c r="E2310" s="60"/>
      <c r="F2310" s="60"/>
      <c r="G2310" s="60"/>
      <c r="H2310" s="60"/>
      <c r="I2310" s="60"/>
      <c r="J2310" s="60"/>
      <c r="K2310" s="60"/>
      <c r="L2310" s="60"/>
      <c r="M2310" s="64"/>
      <c r="N2310" s="33"/>
    </row>
    <row r="2311" ht="24" customHeight="1" spans="2:14">
      <c r="B2311" s="33"/>
      <c r="C2311" s="60"/>
      <c r="D2311" s="60"/>
      <c r="E2311" s="60"/>
      <c r="F2311" s="60"/>
      <c r="G2311" s="60"/>
      <c r="H2311" s="60"/>
      <c r="I2311" s="60"/>
      <c r="J2311" s="60"/>
      <c r="K2311" s="60"/>
      <c r="L2311" s="60"/>
      <c r="M2311" s="64"/>
      <c r="N2311" s="33"/>
    </row>
    <row r="2312" ht="24" customHeight="1" spans="2:14">
      <c r="B2312" s="33"/>
      <c r="C2312" s="60"/>
      <c r="D2312" s="60"/>
      <c r="E2312" s="60"/>
      <c r="F2312" s="60"/>
      <c r="G2312" s="60"/>
      <c r="H2312" s="60"/>
      <c r="I2312" s="60"/>
      <c r="J2312" s="60"/>
      <c r="K2312" s="60"/>
      <c r="L2312" s="60"/>
      <c r="M2312" s="64"/>
      <c r="N2312" s="33"/>
    </row>
    <row r="2313" ht="24" customHeight="1" spans="2:14">
      <c r="B2313" s="33"/>
      <c r="C2313" s="60"/>
      <c r="D2313" s="60"/>
      <c r="E2313" s="60"/>
      <c r="F2313" s="60"/>
      <c r="G2313" s="60"/>
      <c r="H2313" s="60"/>
      <c r="I2313" s="60"/>
      <c r="J2313" s="60"/>
      <c r="K2313" s="60"/>
      <c r="L2313" s="60"/>
      <c r="M2313" s="64"/>
      <c r="N2313" s="33"/>
    </row>
    <row r="2314" ht="24" customHeight="1" spans="2:14">
      <c r="B2314" s="33"/>
      <c r="C2314" s="60"/>
      <c r="D2314" s="60"/>
      <c r="E2314" s="60"/>
      <c r="F2314" s="60"/>
      <c r="G2314" s="60"/>
      <c r="H2314" s="60"/>
      <c r="I2314" s="60"/>
      <c r="J2314" s="60"/>
      <c r="K2314" s="60"/>
      <c r="L2314" s="60"/>
      <c r="M2314" s="64"/>
      <c r="N2314" s="33"/>
    </row>
    <row r="2315" ht="24" customHeight="1" spans="2:14">
      <c r="B2315" s="33"/>
      <c r="C2315" s="60"/>
      <c r="D2315" s="60"/>
      <c r="E2315" s="60"/>
      <c r="F2315" s="60"/>
      <c r="G2315" s="60"/>
      <c r="H2315" s="60"/>
      <c r="I2315" s="60"/>
      <c r="J2315" s="60"/>
      <c r="K2315" s="60"/>
      <c r="L2315" s="60"/>
      <c r="M2315" s="64"/>
      <c r="N2315" s="33"/>
    </row>
    <row r="2316" ht="24" customHeight="1" spans="2:14">
      <c r="B2316" s="33"/>
      <c r="C2316" s="60"/>
      <c r="D2316" s="60"/>
      <c r="E2316" s="60"/>
      <c r="F2316" s="60"/>
      <c r="G2316" s="60"/>
      <c r="H2316" s="60"/>
      <c r="I2316" s="60"/>
      <c r="J2316" s="60"/>
      <c r="K2316" s="60"/>
      <c r="L2316" s="60"/>
      <c r="M2316" s="64"/>
      <c r="N2316" s="33"/>
    </row>
    <row r="2317" ht="24" customHeight="1" spans="2:14">
      <c r="B2317" s="33"/>
      <c r="C2317" s="60"/>
      <c r="D2317" s="60"/>
      <c r="E2317" s="60"/>
      <c r="F2317" s="60"/>
      <c r="G2317" s="60"/>
      <c r="H2317" s="60"/>
      <c r="I2317" s="60"/>
      <c r="J2317" s="60"/>
      <c r="K2317" s="60"/>
      <c r="L2317" s="60"/>
      <c r="M2317" s="64"/>
      <c r="N2317" s="33"/>
    </row>
    <row r="2318" ht="24" customHeight="1" spans="2:14">
      <c r="B2318" s="33"/>
      <c r="C2318" s="60"/>
      <c r="D2318" s="60"/>
      <c r="E2318" s="60"/>
      <c r="F2318" s="60"/>
      <c r="G2318" s="60"/>
      <c r="H2318" s="60"/>
      <c r="I2318" s="60"/>
      <c r="J2318" s="60"/>
      <c r="K2318" s="60"/>
      <c r="L2318" s="60"/>
      <c r="M2318" s="64"/>
      <c r="N2318" s="33"/>
    </row>
    <row r="2319" ht="24" customHeight="1" spans="2:14">
      <c r="B2319" s="33"/>
      <c r="C2319" s="60"/>
      <c r="D2319" s="60"/>
      <c r="E2319" s="60"/>
      <c r="F2319" s="60"/>
      <c r="G2319" s="60"/>
      <c r="H2319" s="60"/>
      <c r="I2319" s="60"/>
      <c r="J2319" s="60"/>
      <c r="K2319" s="60"/>
      <c r="L2319" s="60"/>
      <c r="M2319" s="64"/>
      <c r="N2319" s="33"/>
    </row>
    <row r="2320" ht="24" customHeight="1" spans="2:14">
      <c r="B2320" s="33"/>
      <c r="C2320" s="60"/>
      <c r="D2320" s="60"/>
      <c r="E2320" s="60"/>
      <c r="F2320" s="60"/>
      <c r="G2320" s="60"/>
      <c r="H2320" s="60"/>
      <c r="I2320" s="60"/>
      <c r="J2320" s="60"/>
      <c r="K2320" s="60"/>
      <c r="L2320" s="60"/>
      <c r="M2320" s="64"/>
      <c r="N2320" s="33"/>
    </row>
    <row r="2321" ht="24" customHeight="1" spans="2:14">
      <c r="B2321" s="33"/>
      <c r="C2321" s="60"/>
      <c r="D2321" s="60"/>
      <c r="E2321" s="60"/>
      <c r="F2321" s="60"/>
      <c r="G2321" s="60"/>
      <c r="H2321" s="60"/>
      <c r="I2321" s="60"/>
      <c r="J2321" s="60"/>
      <c r="K2321" s="60"/>
      <c r="L2321" s="60"/>
      <c r="M2321" s="64"/>
      <c r="N2321" s="33"/>
    </row>
    <row r="2322" ht="24" customHeight="1" spans="2:14">
      <c r="B2322" s="33"/>
      <c r="C2322" s="60"/>
      <c r="D2322" s="60"/>
      <c r="E2322" s="60"/>
      <c r="F2322" s="60"/>
      <c r="G2322" s="60"/>
      <c r="H2322" s="60"/>
      <c r="I2322" s="60"/>
      <c r="J2322" s="60"/>
      <c r="K2322" s="60"/>
      <c r="L2322" s="60"/>
      <c r="M2322" s="64"/>
      <c r="N2322" s="33"/>
    </row>
    <row r="2323" ht="24" customHeight="1" spans="2:14">
      <c r="B2323" s="33"/>
      <c r="C2323" s="60"/>
      <c r="D2323" s="60"/>
      <c r="E2323" s="60"/>
      <c r="F2323" s="60"/>
      <c r="G2323" s="60"/>
      <c r="H2323" s="60"/>
      <c r="I2323" s="60"/>
      <c r="J2323" s="60"/>
      <c r="K2323" s="60"/>
      <c r="L2323" s="60"/>
      <c r="M2323" s="64"/>
      <c r="N2323" s="33"/>
    </row>
    <row r="2324" ht="24" customHeight="1" spans="2:14">
      <c r="B2324" s="33"/>
      <c r="C2324" s="60"/>
      <c r="D2324" s="60"/>
      <c r="E2324" s="60"/>
      <c r="F2324" s="60"/>
      <c r="G2324" s="60"/>
      <c r="H2324" s="60"/>
      <c r="I2324" s="60"/>
      <c r="J2324" s="60"/>
      <c r="K2324" s="60"/>
      <c r="L2324" s="60"/>
      <c r="M2324" s="64"/>
      <c r="N2324" s="33"/>
    </row>
    <row r="2325" ht="24" customHeight="1" spans="2:14">
      <c r="B2325" s="33"/>
      <c r="C2325" s="60"/>
      <c r="D2325" s="60"/>
      <c r="E2325" s="60"/>
      <c r="F2325" s="60"/>
      <c r="G2325" s="60"/>
      <c r="H2325" s="60"/>
      <c r="I2325" s="60"/>
      <c r="J2325" s="60"/>
      <c r="K2325" s="60"/>
      <c r="L2325" s="60"/>
      <c r="M2325" s="64"/>
      <c r="N2325" s="33"/>
    </row>
    <row r="2326" ht="24" customHeight="1" spans="2:14">
      <c r="B2326" s="33"/>
      <c r="C2326" s="60"/>
      <c r="D2326" s="60"/>
      <c r="E2326" s="60"/>
      <c r="F2326" s="60"/>
      <c r="G2326" s="60"/>
      <c r="H2326" s="60"/>
      <c r="I2326" s="60"/>
      <c r="J2326" s="60"/>
      <c r="K2326" s="60"/>
      <c r="L2326" s="60"/>
      <c r="M2326" s="64"/>
      <c r="N2326" s="33"/>
    </row>
    <row r="2327" ht="24" customHeight="1" spans="2:14">
      <c r="B2327" s="33"/>
      <c r="C2327" s="60"/>
      <c r="D2327" s="60"/>
      <c r="E2327" s="60"/>
      <c r="F2327" s="60"/>
      <c r="G2327" s="60"/>
      <c r="H2327" s="60"/>
      <c r="I2327" s="60"/>
      <c r="J2327" s="60"/>
      <c r="K2327" s="60"/>
      <c r="L2327" s="60"/>
      <c r="M2327" s="64"/>
      <c r="N2327" s="33"/>
    </row>
    <row r="2328" ht="24" customHeight="1" spans="2:14">
      <c r="B2328" s="33"/>
      <c r="C2328" s="60"/>
      <c r="D2328" s="60"/>
      <c r="E2328" s="60"/>
      <c r="F2328" s="60"/>
      <c r="G2328" s="60"/>
      <c r="H2328" s="60"/>
      <c r="I2328" s="60"/>
      <c r="J2328" s="60"/>
      <c r="K2328" s="60"/>
      <c r="L2328" s="60"/>
      <c r="M2328" s="64"/>
      <c r="N2328" s="33"/>
    </row>
    <row r="2329" ht="24" customHeight="1" spans="2:14">
      <c r="B2329" s="33"/>
      <c r="C2329" s="60"/>
      <c r="D2329" s="60"/>
      <c r="E2329" s="60"/>
      <c r="F2329" s="60"/>
      <c r="G2329" s="60"/>
      <c r="H2329" s="60"/>
      <c r="I2329" s="60"/>
      <c r="J2329" s="60"/>
      <c r="K2329" s="60"/>
      <c r="L2329" s="60"/>
      <c r="M2329" s="64"/>
      <c r="N2329" s="33"/>
    </row>
    <row r="2330" ht="24" customHeight="1" spans="2:14">
      <c r="B2330" s="33"/>
      <c r="C2330" s="60"/>
      <c r="D2330" s="60"/>
      <c r="E2330" s="60"/>
      <c r="F2330" s="60"/>
      <c r="G2330" s="60"/>
      <c r="H2330" s="60"/>
      <c r="I2330" s="60"/>
      <c r="J2330" s="60"/>
      <c r="K2330" s="60"/>
      <c r="L2330" s="60"/>
      <c r="M2330" s="64"/>
      <c r="N2330" s="33"/>
    </row>
    <row r="2331" ht="24" customHeight="1" spans="2:14">
      <c r="B2331" s="33"/>
      <c r="C2331" s="60"/>
      <c r="D2331" s="60"/>
      <c r="E2331" s="60"/>
      <c r="F2331" s="60"/>
      <c r="G2331" s="60"/>
      <c r="H2331" s="60"/>
      <c r="I2331" s="60"/>
      <c r="J2331" s="60"/>
      <c r="K2331" s="60"/>
      <c r="L2331" s="60"/>
      <c r="M2331" s="64"/>
      <c r="N2331" s="33"/>
    </row>
    <row r="2332" ht="24" customHeight="1" spans="2:14">
      <c r="B2332" s="33"/>
      <c r="C2332" s="60"/>
      <c r="D2332" s="60"/>
      <c r="E2332" s="60"/>
      <c r="F2332" s="60"/>
      <c r="G2332" s="60"/>
      <c r="H2332" s="60"/>
      <c r="I2332" s="60"/>
      <c r="J2332" s="60"/>
      <c r="K2332" s="60"/>
      <c r="L2332" s="60"/>
      <c r="M2332" s="64"/>
      <c r="N2332" s="33"/>
    </row>
    <row r="2333" ht="24" customHeight="1" spans="2:14">
      <c r="B2333" s="33"/>
      <c r="C2333" s="60"/>
      <c r="D2333" s="60"/>
      <c r="E2333" s="60"/>
      <c r="F2333" s="60"/>
      <c r="G2333" s="60"/>
      <c r="H2333" s="60"/>
      <c r="I2333" s="60"/>
      <c r="J2333" s="60"/>
      <c r="K2333" s="60"/>
      <c r="L2333" s="60"/>
      <c r="M2333" s="64"/>
      <c r="N2333" s="33"/>
    </row>
    <row r="2334" ht="24" customHeight="1" spans="2:14">
      <c r="B2334" s="33"/>
      <c r="C2334" s="60"/>
      <c r="D2334" s="60"/>
      <c r="E2334" s="60"/>
      <c r="F2334" s="60"/>
      <c r="G2334" s="60"/>
      <c r="H2334" s="60"/>
      <c r="I2334" s="60"/>
      <c r="J2334" s="60"/>
      <c r="K2334" s="60"/>
      <c r="L2334" s="60"/>
      <c r="M2334" s="64"/>
      <c r="N2334" s="33"/>
    </row>
    <row r="2335" ht="24" customHeight="1" spans="2:14">
      <c r="B2335" s="33"/>
      <c r="C2335" s="60"/>
      <c r="D2335" s="60"/>
      <c r="E2335" s="60"/>
      <c r="F2335" s="60"/>
      <c r="G2335" s="60"/>
      <c r="H2335" s="60"/>
      <c r="I2335" s="60"/>
      <c r="J2335" s="60"/>
      <c r="K2335" s="60"/>
      <c r="L2335" s="60"/>
      <c r="M2335" s="64"/>
      <c r="N2335" s="33"/>
    </row>
    <row r="2336" ht="24" customHeight="1" spans="2:14">
      <c r="B2336" s="33"/>
      <c r="C2336" s="60"/>
      <c r="D2336" s="60"/>
      <c r="E2336" s="60"/>
      <c r="F2336" s="60"/>
      <c r="G2336" s="60"/>
      <c r="H2336" s="60"/>
      <c r="I2336" s="60"/>
      <c r="J2336" s="60"/>
      <c r="K2336" s="60"/>
      <c r="L2336" s="60"/>
      <c r="M2336" s="64"/>
      <c r="N2336" s="33"/>
    </row>
    <row r="2337" ht="24" customHeight="1" spans="2:14">
      <c r="B2337" s="33"/>
      <c r="C2337" s="60"/>
      <c r="D2337" s="60"/>
      <c r="E2337" s="60"/>
      <c r="F2337" s="60"/>
      <c r="G2337" s="60"/>
      <c r="H2337" s="60"/>
      <c r="I2337" s="60"/>
      <c r="J2337" s="60"/>
      <c r="K2337" s="60"/>
      <c r="L2337" s="60"/>
      <c r="M2337" s="64"/>
      <c r="N2337" s="33"/>
    </row>
    <row r="2338" ht="24" customHeight="1" spans="2:14">
      <c r="B2338" s="33"/>
      <c r="C2338" s="60"/>
      <c r="D2338" s="60"/>
      <c r="E2338" s="60"/>
      <c r="F2338" s="60"/>
      <c r="G2338" s="60"/>
      <c r="H2338" s="60"/>
      <c r="I2338" s="60"/>
      <c r="J2338" s="60"/>
      <c r="K2338" s="60"/>
      <c r="L2338" s="60"/>
      <c r="M2338" s="64"/>
      <c r="N2338" s="33"/>
    </row>
    <row r="2339" ht="24" customHeight="1" spans="2:14">
      <c r="B2339" s="33"/>
      <c r="C2339" s="60"/>
      <c r="D2339" s="60"/>
      <c r="E2339" s="60"/>
      <c r="F2339" s="60"/>
      <c r="G2339" s="60"/>
      <c r="H2339" s="60"/>
      <c r="I2339" s="60"/>
      <c r="J2339" s="60"/>
      <c r="K2339" s="60"/>
      <c r="L2339" s="60"/>
      <c r="M2339" s="64"/>
      <c r="N2339" s="33"/>
    </row>
    <row r="2340" ht="24" customHeight="1" spans="2:14">
      <c r="B2340" s="33"/>
      <c r="C2340" s="60"/>
      <c r="D2340" s="60"/>
      <c r="E2340" s="60"/>
      <c r="F2340" s="60"/>
      <c r="G2340" s="60"/>
      <c r="H2340" s="60"/>
      <c r="I2340" s="60"/>
      <c r="J2340" s="60"/>
      <c r="K2340" s="60"/>
      <c r="L2340" s="60"/>
      <c r="M2340" s="64"/>
      <c r="N2340" s="33"/>
    </row>
    <row r="2341" ht="24" customHeight="1" spans="2:14">
      <c r="B2341" s="33"/>
      <c r="C2341" s="60"/>
      <c r="D2341" s="60"/>
      <c r="E2341" s="60"/>
      <c r="F2341" s="60"/>
      <c r="G2341" s="60"/>
      <c r="H2341" s="60"/>
      <c r="I2341" s="60"/>
      <c r="J2341" s="60"/>
      <c r="K2341" s="60"/>
      <c r="L2341" s="60"/>
      <c r="M2341" s="64"/>
      <c r="N2341" s="33"/>
    </row>
    <row r="2342" ht="24" customHeight="1" spans="2:14">
      <c r="B2342" s="33"/>
      <c r="C2342" s="60"/>
      <c r="D2342" s="60"/>
      <c r="E2342" s="60"/>
      <c r="F2342" s="60"/>
      <c r="G2342" s="60"/>
      <c r="H2342" s="60"/>
      <c r="I2342" s="60"/>
      <c r="J2342" s="60"/>
      <c r="K2342" s="60"/>
      <c r="L2342" s="60"/>
      <c r="M2342" s="64"/>
      <c r="N2342" s="33"/>
    </row>
    <row r="2343" ht="24" customHeight="1" spans="2:14">
      <c r="B2343" s="33"/>
      <c r="C2343" s="60"/>
      <c r="D2343" s="60"/>
      <c r="E2343" s="60"/>
      <c r="F2343" s="60"/>
      <c r="G2343" s="60"/>
      <c r="H2343" s="60"/>
      <c r="I2343" s="60"/>
      <c r="J2343" s="60"/>
      <c r="K2343" s="60"/>
      <c r="L2343" s="60"/>
      <c r="M2343" s="64"/>
      <c r="N2343" s="33"/>
    </row>
    <row r="2344" ht="24" customHeight="1" spans="2:14">
      <c r="B2344" s="33"/>
      <c r="C2344" s="60"/>
      <c r="D2344" s="60"/>
      <c r="E2344" s="60"/>
      <c r="F2344" s="60"/>
      <c r="G2344" s="60"/>
      <c r="H2344" s="60"/>
      <c r="I2344" s="60"/>
      <c r="J2344" s="60"/>
      <c r="K2344" s="60"/>
      <c r="L2344" s="60"/>
      <c r="M2344" s="64"/>
      <c r="N2344" s="33"/>
    </row>
    <row r="2345" ht="24" customHeight="1" spans="2:14">
      <c r="B2345" s="33"/>
      <c r="C2345" s="60"/>
      <c r="D2345" s="60"/>
      <c r="E2345" s="60"/>
      <c r="F2345" s="60"/>
      <c r="G2345" s="60"/>
      <c r="H2345" s="60"/>
      <c r="I2345" s="60"/>
      <c r="J2345" s="60"/>
      <c r="K2345" s="60"/>
      <c r="L2345" s="60"/>
      <c r="M2345" s="64"/>
      <c r="N2345" s="33"/>
    </row>
    <row r="2346" ht="24" customHeight="1" spans="2:14">
      <c r="B2346" s="33"/>
      <c r="C2346" s="60"/>
      <c r="D2346" s="60"/>
      <c r="E2346" s="60"/>
      <c r="F2346" s="60"/>
      <c r="G2346" s="60"/>
      <c r="H2346" s="60"/>
      <c r="I2346" s="60"/>
      <c r="J2346" s="60"/>
      <c r="K2346" s="60"/>
      <c r="L2346" s="60"/>
      <c r="M2346" s="64"/>
      <c r="N2346" s="33"/>
    </row>
    <row r="2347" ht="24" customHeight="1" spans="2:14">
      <c r="B2347" s="33"/>
      <c r="C2347" s="60"/>
      <c r="D2347" s="60"/>
      <c r="E2347" s="60"/>
      <c r="F2347" s="60"/>
      <c r="G2347" s="60"/>
      <c r="H2347" s="60"/>
      <c r="I2347" s="60"/>
      <c r="J2347" s="60"/>
      <c r="K2347" s="60"/>
      <c r="L2347" s="60"/>
      <c r="M2347" s="64"/>
      <c r="N2347" s="33"/>
    </row>
    <row r="2348" ht="24" customHeight="1" spans="2:14">
      <c r="B2348" s="33"/>
      <c r="C2348" s="60"/>
      <c r="D2348" s="60"/>
      <c r="E2348" s="60"/>
      <c r="F2348" s="60"/>
      <c r="G2348" s="60"/>
      <c r="H2348" s="60"/>
      <c r="I2348" s="60"/>
      <c r="J2348" s="60"/>
      <c r="K2348" s="60"/>
      <c r="L2348" s="60"/>
      <c r="M2348" s="64"/>
      <c r="N2348" s="33"/>
    </row>
    <row r="2349" ht="24" customHeight="1" spans="2:14">
      <c r="B2349" s="33"/>
      <c r="C2349" s="60"/>
      <c r="D2349" s="60"/>
      <c r="E2349" s="60"/>
      <c r="F2349" s="60"/>
      <c r="G2349" s="60"/>
      <c r="H2349" s="60"/>
      <c r="I2349" s="60"/>
      <c r="J2349" s="60"/>
      <c r="K2349" s="60"/>
      <c r="L2349" s="60"/>
      <c r="M2349" s="64"/>
      <c r="N2349" s="33"/>
    </row>
    <row r="2350" ht="24" customHeight="1" spans="2:14">
      <c r="B2350" s="33"/>
      <c r="C2350" s="60"/>
      <c r="D2350" s="60"/>
      <c r="E2350" s="60"/>
      <c r="F2350" s="60"/>
      <c r="G2350" s="60"/>
      <c r="H2350" s="60"/>
      <c r="I2350" s="60"/>
      <c r="J2350" s="60"/>
      <c r="K2350" s="60"/>
      <c r="L2350" s="60"/>
      <c r="M2350" s="64"/>
      <c r="N2350" s="33"/>
    </row>
    <row r="2351" ht="24" customHeight="1" spans="2:14">
      <c r="B2351" s="33"/>
      <c r="C2351" s="60"/>
      <c r="D2351" s="60"/>
      <c r="E2351" s="60"/>
      <c r="F2351" s="60"/>
      <c r="G2351" s="60"/>
      <c r="H2351" s="60"/>
      <c r="I2351" s="60"/>
      <c r="J2351" s="60"/>
      <c r="K2351" s="60"/>
      <c r="L2351" s="60"/>
      <c r="M2351" s="64"/>
      <c r="N2351" s="33"/>
    </row>
    <row r="2352" ht="24" customHeight="1" spans="2:14">
      <c r="B2352" s="33"/>
      <c r="C2352" s="60"/>
      <c r="D2352" s="60"/>
      <c r="E2352" s="60"/>
      <c r="F2352" s="60"/>
      <c r="G2352" s="60"/>
      <c r="H2352" s="60"/>
      <c r="I2352" s="60"/>
      <c r="J2352" s="60"/>
      <c r="K2352" s="60"/>
      <c r="L2352" s="60"/>
      <c r="M2352" s="64"/>
      <c r="N2352" s="33"/>
    </row>
    <row r="2353" ht="24" customHeight="1" spans="2:14">
      <c r="B2353" s="33"/>
      <c r="C2353" s="60"/>
      <c r="D2353" s="60"/>
      <c r="E2353" s="60"/>
      <c r="F2353" s="60"/>
      <c r="G2353" s="60"/>
      <c r="H2353" s="60"/>
      <c r="I2353" s="60"/>
      <c r="J2353" s="60"/>
      <c r="K2353" s="60"/>
      <c r="L2353" s="60"/>
      <c r="M2353" s="64"/>
      <c r="N2353" s="33"/>
    </row>
    <row r="2354" ht="24" customHeight="1" spans="2:14">
      <c r="B2354" s="33"/>
      <c r="C2354" s="60"/>
      <c r="D2354" s="60"/>
      <c r="E2354" s="60"/>
      <c r="F2354" s="60"/>
      <c r="G2354" s="60"/>
      <c r="H2354" s="60"/>
      <c r="I2354" s="60"/>
      <c r="J2354" s="60"/>
      <c r="K2354" s="60"/>
      <c r="L2354" s="60"/>
      <c r="M2354" s="64"/>
      <c r="N2354" s="33"/>
    </row>
    <row r="2355" ht="24" customHeight="1" spans="2:14">
      <c r="B2355" s="33"/>
      <c r="C2355" s="60"/>
      <c r="D2355" s="60"/>
      <c r="E2355" s="60"/>
      <c r="F2355" s="60"/>
      <c r="G2355" s="60"/>
      <c r="H2355" s="60"/>
      <c r="I2355" s="60"/>
      <c r="J2355" s="60"/>
      <c r="K2355" s="60"/>
      <c r="L2355" s="60"/>
      <c r="M2355" s="64"/>
      <c r="N2355" s="33"/>
    </row>
    <row r="2356" ht="24" customHeight="1" spans="2:14">
      <c r="B2356" s="33"/>
      <c r="C2356" s="60"/>
      <c r="D2356" s="60"/>
      <c r="E2356" s="60"/>
      <c r="F2356" s="60"/>
      <c r="G2356" s="60"/>
      <c r="H2356" s="60"/>
      <c r="I2356" s="60"/>
      <c r="J2356" s="60"/>
      <c r="K2356" s="60"/>
      <c r="L2356" s="60"/>
      <c r="M2356" s="64"/>
      <c r="N2356" s="33"/>
    </row>
    <row r="2357" ht="24" customHeight="1" spans="2:14">
      <c r="B2357" s="33"/>
      <c r="C2357" s="60"/>
      <c r="D2357" s="60"/>
      <c r="E2357" s="60"/>
      <c r="F2357" s="60"/>
      <c r="G2357" s="60"/>
      <c r="H2357" s="60"/>
      <c r="I2357" s="60"/>
      <c r="J2357" s="60"/>
      <c r="K2357" s="60"/>
      <c r="L2357" s="60"/>
      <c r="M2357" s="64"/>
      <c r="N2357" s="33"/>
    </row>
    <row r="2358" ht="24" customHeight="1" spans="2:14">
      <c r="B2358" s="33"/>
      <c r="C2358" s="60"/>
      <c r="D2358" s="60"/>
      <c r="E2358" s="60"/>
      <c r="F2358" s="60"/>
      <c r="G2358" s="60"/>
      <c r="H2358" s="60"/>
      <c r="I2358" s="60"/>
      <c r="J2358" s="60"/>
      <c r="K2358" s="60"/>
      <c r="L2358" s="60"/>
      <c r="M2358" s="64"/>
      <c r="N2358" s="33"/>
    </row>
    <row r="2359" ht="24" customHeight="1" spans="2:14">
      <c r="B2359" s="33"/>
      <c r="C2359" s="60"/>
      <c r="D2359" s="60"/>
      <c r="E2359" s="60"/>
      <c r="F2359" s="60"/>
      <c r="G2359" s="60"/>
      <c r="H2359" s="60"/>
      <c r="I2359" s="60"/>
      <c r="J2359" s="60"/>
      <c r="K2359" s="60"/>
      <c r="L2359" s="60"/>
      <c r="M2359" s="64"/>
      <c r="N2359" s="33"/>
    </row>
    <row r="2360" ht="24" customHeight="1" spans="2:14">
      <c r="B2360" s="33"/>
      <c r="C2360" s="60"/>
      <c r="D2360" s="60"/>
      <c r="E2360" s="60"/>
      <c r="F2360" s="60"/>
      <c r="G2360" s="60"/>
      <c r="H2360" s="60"/>
      <c r="I2360" s="60"/>
      <c r="J2360" s="60"/>
      <c r="K2360" s="60"/>
      <c r="L2360" s="60"/>
      <c r="M2360" s="64"/>
      <c r="N2360" s="33"/>
    </row>
    <row r="2361" ht="24" customHeight="1" spans="2:14">
      <c r="B2361" s="33"/>
      <c r="C2361" s="60"/>
      <c r="D2361" s="60"/>
      <c r="E2361" s="60"/>
      <c r="F2361" s="60"/>
      <c r="G2361" s="60"/>
      <c r="H2361" s="60"/>
      <c r="I2361" s="60"/>
      <c r="J2361" s="60"/>
      <c r="K2361" s="60"/>
      <c r="L2361" s="60"/>
      <c r="M2361" s="64"/>
      <c r="N2361" s="33"/>
    </row>
    <row r="2362" ht="24" customHeight="1" spans="2:14">
      <c r="B2362" s="33"/>
      <c r="C2362" s="60"/>
      <c r="D2362" s="60"/>
      <c r="E2362" s="60"/>
      <c r="F2362" s="60"/>
      <c r="G2362" s="60"/>
      <c r="H2362" s="60"/>
      <c r="I2362" s="60"/>
      <c r="J2362" s="60"/>
      <c r="K2362" s="60"/>
      <c r="L2362" s="60"/>
      <c r="M2362" s="64"/>
      <c r="N2362" s="33"/>
    </row>
    <row r="2363" ht="24" customHeight="1" spans="2:14">
      <c r="B2363" s="33"/>
      <c r="C2363" s="60"/>
      <c r="D2363" s="60"/>
      <c r="E2363" s="60"/>
      <c r="F2363" s="60"/>
      <c r="G2363" s="60"/>
      <c r="H2363" s="60"/>
      <c r="I2363" s="60"/>
      <c r="J2363" s="60"/>
      <c r="K2363" s="60"/>
      <c r="L2363" s="60"/>
      <c r="M2363" s="64"/>
      <c r="N2363" s="33"/>
    </row>
    <row r="2364" ht="24" customHeight="1" spans="2:14">
      <c r="B2364" s="33"/>
      <c r="C2364" s="60"/>
      <c r="D2364" s="60"/>
      <c r="E2364" s="60"/>
      <c r="F2364" s="60"/>
      <c r="G2364" s="60"/>
      <c r="H2364" s="60"/>
      <c r="I2364" s="60"/>
      <c r="J2364" s="60"/>
      <c r="K2364" s="60"/>
      <c r="L2364" s="60"/>
      <c r="M2364" s="64"/>
      <c r="N2364" s="33"/>
    </row>
    <row r="2365" ht="24" customHeight="1" spans="2:14">
      <c r="B2365" s="33"/>
      <c r="C2365" s="60"/>
      <c r="D2365" s="60"/>
      <c r="E2365" s="60"/>
      <c r="F2365" s="60"/>
      <c r="G2365" s="60"/>
      <c r="H2365" s="60"/>
      <c r="I2365" s="60"/>
      <c r="J2365" s="60"/>
      <c r="K2365" s="60"/>
      <c r="L2365" s="60"/>
      <c r="M2365" s="64"/>
      <c r="N2365" s="33"/>
    </row>
    <row r="2366" ht="24" customHeight="1" spans="2:14">
      <c r="B2366" s="33"/>
      <c r="C2366" s="60"/>
      <c r="D2366" s="60"/>
      <c r="E2366" s="60"/>
      <c r="F2366" s="60"/>
      <c r="G2366" s="60"/>
      <c r="H2366" s="60"/>
      <c r="I2366" s="60"/>
      <c r="J2366" s="60"/>
      <c r="K2366" s="60"/>
      <c r="L2366" s="60"/>
      <c r="M2366" s="64"/>
      <c r="N2366" s="33"/>
    </row>
    <row r="2367" ht="24" customHeight="1" spans="2:14">
      <c r="B2367" s="33"/>
      <c r="C2367" s="60"/>
      <c r="D2367" s="60"/>
      <c r="E2367" s="60"/>
      <c r="F2367" s="60"/>
      <c r="G2367" s="60"/>
      <c r="H2367" s="60"/>
      <c r="I2367" s="60"/>
      <c r="J2367" s="60"/>
      <c r="K2367" s="60"/>
      <c r="L2367" s="60"/>
      <c r="M2367" s="64"/>
      <c r="N2367" s="33"/>
    </row>
    <row r="2368" ht="24" customHeight="1" spans="2:14">
      <c r="B2368" s="33"/>
      <c r="C2368" s="60"/>
      <c r="D2368" s="60"/>
      <c r="E2368" s="60"/>
      <c r="F2368" s="60"/>
      <c r="G2368" s="60"/>
      <c r="H2368" s="60"/>
      <c r="I2368" s="60"/>
      <c r="J2368" s="60"/>
      <c r="K2368" s="60"/>
      <c r="L2368" s="60"/>
      <c r="M2368" s="64"/>
      <c r="N2368" s="33"/>
    </row>
    <row r="2369" ht="24" customHeight="1" spans="2:14">
      <c r="B2369" s="33"/>
      <c r="C2369" s="60"/>
      <c r="D2369" s="60"/>
      <c r="E2369" s="60"/>
      <c r="F2369" s="60"/>
      <c r="G2369" s="60"/>
      <c r="H2369" s="60"/>
      <c r="I2369" s="60"/>
      <c r="J2369" s="60"/>
      <c r="K2369" s="60"/>
      <c r="L2369" s="60"/>
      <c r="M2369" s="64"/>
      <c r="N2369" s="33"/>
    </row>
    <row r="2370" ht="24" customHeight="1" spans="2:14">
      <c r="B2370" s="33"/>
      <c r="C2370" s="60"/>
      <c r="D2370" s="60"/>
      <c r="E2370" s="60"/>
      <c r="F2370" s="60"/>
      <c r="G2370" s="60"/>
      <c r="H2370" s="60"/>
      <c r="I2370" s="60"/>
      <c r="J2370" s="60"/>
      <c r="K2370" s="60"/>
      <c r="L2370" s="60"/>
      <c r="M2370" s="64"/>
      <c r="N2370" s="33"/>
    </row>
    <row r="2371" ht="24" customHeight="1" spans="2:14">
      <c r="B2371" s="33"/>
      <c r="C2371" s="60"/>
      <c r="D2371" s="60"/>
      <c r="E2371" s="60"/>
      <c r="F2371" s="60"/>
      <c r="G2371" s="60"/>
      <c r="H2371" s="60"/>
      <c r="I2371" s="60"/>
      <c r="J2371" s="60"/>
      <c r="K2371" s="60"/>
      <c r="L2371" s="60"/>
      <c r="M2371" s="64"/>
      <c r="N2371" s="33"/>
    </row>
    <row r="2372" ht="24" customHeight="1" spans="2:14">
      <c r="B2372" s="33"/>
      <c r="C2372" s="60"/>
      <c r="D2372" s="60"/>
      <c r="E2372" s="60"/>
      <c r="F2372" s="60"/>
      <c r="G2372" s="60"/>
      <c r="H2372" s="60"/>
      <c r="I2372" s="60"/>
      <c r="J2372" s="60"/>
      <c r="K2372" s="60"/>
      <c r="L2372" s="60"/>
      <c r="M2372" s="64"/>
      <c r="N2372" s="33"/>
    </row>
    <row r="2373" ht="24" customHeight="1" spans="2:14">
      <c r="B2373" s="33"/>
      <c r="C2373" s="60"/>
      <c r="D2373" s="60"/>
      <c r="E2373" s="60"/>
      <c r="F2373" s="60"/>
      <c r="G2373" s="60"/>
      <c r="H2373" s="60"/>
      <c r="I2373" s="60"/>
      <c r="J2373" s="60"/>
      <c r="K2373" s="60"/>
      <c r="L2373" s="60"/>
      <c r="M2373" s="64"/>
      <c r="N2373" s="33"/>
    </row>
    <row r="2374" ht="24" customHeight="1" spans="2:14">
      <c r="B2374" s="33"/>
      <c r="C2374" s="60"/>
      <c r="D2374" s="60"/>
      <c r="E2374" s="60"/>
      <c r="F2374" s="60"/>
      <c r="G2374" s="60"/>
      <c r="H2374" s="60"/>
      <c r="I2374" s="60"/>
      <c r="J2374" s="60"/>
      <c r="K2374" s="60"/>
      <c r="L2374" s="60"/>
      <c r="M2374" s="64"/>
      <c r="N2374" s="33"/>
    </row>
    <row r="2375" ht="24" customHeight="1" spans="2:14">
      <c r="B2375" s="33"/>
      <c r="C2375" s="60"/>
      <c r="D2375" s="60"/>
      <c r="E2375" s="60"/>
      <c r="F2375" s="60"/>
      <c r="G2375" s="60"/>
      <c r="H2375" s="60"/>
      <c r="I2375" s="60"/>
      <c r="J2375" s="60"/>
      <c r="K2375" s="60"/>
      <c r="L2375" s="60"/>
      <c r="M2375" s="64"/>
      <c r="N2375" s="33"/>
    </row>
    <row r="2376" ht="24" customHeight="1" spans="2:14">
      <c r="B2376" s="33"/>
      <c r="C2376" s="60"/>
      <c r="D2376" s="60"/>
      <c r="E2376" s="60"/>
      <c r="F2376" s="60"/>
      <c r="G2376" s="60"/>
      <c r="H2376" s="60"/>
      <c r="I2376" s="60"/>
      <c r="J2376" s="60"/>
      <c r="K2376" s="60"/>
      <c r="L2376" s="60"/>
      <c r="M2376" s="64"/>
      <c r="N2376" s="33"/>
    </row>
    <row r="2377" ht="24" customHeight="1" spans="2:14">
      <c r="B2377" s="33"/>
      <c r="C2377" s="60"/>
      <c r="D2377" s="60"/>
      <c r="E2377" s="60"/>
      <c r="F2377" s="60"/>
      <c r="G2377" s="60"/>
      <c r="H2377" s="60"/>
      <c r="I2377" s="60"/>
      <c r="J2377" s="60"/>
      <c r="K2377" s="60"/>
      <c r="L2377" s="60"/>
      <c r="M2377" s="64"/>
      <c r="N2377" s="33"/>
    </row>
    <row r="2378" ht="24" customHeight="1" spans="2:14">
      <c r="B2378" s="33"/>
      <c r="C2378" s="60"/>
      <c r="D2378" s="60"/>
      <c r="E2378" s="60"/>
      <c r="F2378" s="60"/>
      <c r="G2378" s="60"/>
      <c r="H2378" s="60"/>
      <c r="I2378" s="60"/>
      <c r="J2378" s="60"/>
      <c r="K2378" s="60"/>
      <c r="L2378" s="60"/>
      <c r="M2378" s="64"/>
      <c r="N2378" s="33"/>
    </row>
    <row r="2379" ht="24" customHeight="1" spans="2:14">
      <c r="B2379" s="33"/>
      <c r="C2379" s="60"/>
      <c r="D2379" s="60"/>
      <c r="E2379" s="60"/>
      <c r="F2379" s="60"/>
      <c r="G2379" s="60"/>
      <c r="H2379" s="60"/>
      <c r="I2379" s="60"/>
      <c r="J2379" s="60"/>
      <c r="K2379" s="60"/>
      <c r="L2379" s="60"/>
      <c r="M2379" s="64"/>
      <c r="N2379" s="33"/>
    </row>
    <row r="2380" ht="24" customHeight="1" spans="2:14">
      <c r="B2380" s="33"/>
      <c r="C2380" s="60"/>
      <c r="D2380" s="60"/>
      <c r="E2380" s="60"/>
      <c r="F2380" s="60"/>
      <c r="G2380" s="60"/>
      <c r="H2380" s="60"/>
      <c r="I2380" s="60"/>
      <c r="J2380" s="60"/>
      <c r="K2380" s="60"/>
      <c r="L2380" s="60"/>
      <c r="M2380" s="64"/>
      <c r="N2380" s="33"/>
    </row>
    <row r="2381" ht="24" customHeight="1" spans="2:14">
      <c r="B2381" s="33"/>
      <c r="C2381" s="60"/>
      <c r="D2381" s="60"/>
      <c r="E2381" s="60"/>
      <c r="F2381" s="60"/>
      <c r="G2381" s="60"/>
      <c r="H2381" s="60"/>
      <c r="I2381" s="60"/>
      <c r="J2381" s="60"/>
      <c r="K2381" s="60"/>
      <c r="L2381" s="60"/>
      <c r="M2381" s="64"/>
      <c r="N2381" s="33"/>
    </row>
    <row r="2382" ht="24" customHeight="1" spans="2:14">
      <c r="B2382" s="33"/>
      <c r="C2382" s="60"/>
      <c r="D2382" s="60"/>
      <c r="E2382" s="60"/>
      <c r="F2382" s="60"/>
      <c r="G2382" s="60"/>
      <c r="H2382" s="60"/>
      <c r="I2382" s="60"/>
      <c r="J2382" s="60"/>
      <c r="K2382" s="60"/>
      <c r="L2382" s="60"/>
      <c r="M2382" s="64"/>
      <c r="N2382" s="33"/>
    </row>
    <row r="2383" ht="24" customHeight="1" spans="2:14">
      <c r="B2383" s="33"/>
      <c r="C2383" s="60"/>
      <c r="D2383" s="60"/>
      <c r="E2383" s="60"/>
      <c r="F2383" s="60"/>
      <c r="G2383" s="60"/>
      <c r="H2383" s="60"/>
      <c r="I2383" s="60"/>
      <c r="J2383" s="60"/>
      <c r="K2383" s="60"/>
      <c r="L2383" s="60"/>
      <c r="M2383" s="64"/>
      <c r="N2383" s="33"/>
    </row>
    <row r="2384" ht="24" customHeight="1" spans="2:14">
      <c r="B2384" s="33"/>
      <c r="C2384" s="60"/>
      <c r="D2384" s="60"/>
      <c r="E2384" s="60"/>
      <c r="F2384" s="60"/>
      <c r="G2384" s="60"/>
      <c r="H2384" s="60"/>
      <c r="I2384" s="60"/>
      <c r="J2384" s="60"/>
      <c r="K2384" s="60"/>
      <c r="L2384" s="60"/>
      <c r="M2384" s="64"/>
      <c r="N2384" s="33"/>
    </row>
    <row r="2385" ht="24" customHeight="1" spans="2:14">
      <c r="B2385" s="33"/>
      <c r="C2385" s="60"/>
      <c r="D2385" s="60"/>
      <c r="E2385" s="60"/>
      <c r="F2385" s="60"/>
      <c r="G2385" s="60"/>
      <c r="H2385" s="60"/>
      <c r="I2385" s="60"/>
      <c r="J2385" s="60"/>
      <c r="K2385" s="60"/>
      <c r="L2385" s="60"/>
      <c r="M2385" s="64"/>
      <c r="N2385" s="33"/>
    </row>
    <row r="2386" ht="24" customHeight="1" spans="2:14">
      <c r="B2386" s="33"/>
      <c r="C2386" s="60"/>
      <c r="D2386" s="60"/>
      <c r="E2386" s="60"/>
      <c r="F2386" s="60"/>
      <c r="G2386" s="60"/>
      <c r="H2386" s="60"/>
      <c r="I2386" s="60"/>
      <c r="J2386" s="60"/>
      <c r="K2386" s="60"/>
      <c r="L2386" s="60"/>
      <c r="M2386" s="64"/>
      <c r="N2386" s="33"/>
    </row>
    <row r="2387" ht="24" customHeight="1" spans="2:14">
      <c r="B2387" s="33"/>
      <c r="C2387" s="60"/>
      <c r="D2387" s="60"/>
      <c r="E2387" s="60"/>
      <c r="F2387" s="60"/>
      <c r="G2387" s="60"/>
      <c r="H2387" s="60"/>
      <c r="I2387" s="60"/>
      <c r="J2387" s="60"/>
      <c r="K2387" s="60"/>
      <c r="L2387" s="60"/>
      <c r="M2387" s="64"/>
      <c r="N2387" s="33"/>
    </row>
    <row r="2388" ht="24" customHeight="1" spans="2:14">
      <c r="B2388" s="33"/>
      <c r="C2388" s="60"/>
      <c r="D2388" s="60"/>
      <c r="E2388" s="60"/>
      <c r="F2388" s="60"/>
      <c r="G2388" s="60"/>
      <c r="H2388" s="60"/>
      <c r="I2388" s="60"/>
      <c r="J2388" s="60"/>
      <c r="K2388" s="60"/>
      <c r="L2388" s="60"/>
      <c r="M2388" s="64"/>
      <c r="N2388" s="33"/>
    </row>
    <row r="2389" ht="24" customHeight="1" spans="2:14">
      <c r="B2389" s="33"/>
      <c r="C2389" s="60"/>
      <c r="D2389" s="60"/>
      <c r="E2389" s="60"/>
      <c r="F2389" s="60"/>
      <c r="G2389" s="60"/>
      <c r="H2389" s="60"/>
      <c r="I2389" s="60"/>
      <c r="J2389" s="60"/>
      <c r="K2389" s="60"/>
      <c r="L2389" s="60"/>
      <c r="M2389" s="64"/>
      <c r="N2389" s="33"/>
    </row>
    <row r="2390" ht="24" customHeight="1" spans="2:14">
      <c r="B2390" s="33"/>
      <c r="C2390" s="60"/>
      <c r="D2390" s="60"/>
      <c r="E2390" s="60"/>
      <c r="F2390" s="60"/>
      <c r="G2390" s="60"/>
      <c r="H2390" s="60"/>
      <c r="I2390" s="60"/>
      <c r="J2390" s="60"/>
      <c r="K2390" s="60"/>
      <c r="L2390" s="60"/>
      <c r="M2390" s="64"/>
      <c r="N2390" s="33"/>
    </row>
    <row r="2391" ht="24" customHeight="1" spans="2:14">
      <c r="B2391" s="33"/>
      <c r="C2391" s="60"/>
      <c r="D2391" s="60"/>
      <c r="E2391" s="60"/>
      <c r="F2391" s="60"/>
      <c r="G2391" s="60"/>
      <c r="H2391" s="60"/>
      <c r="I2391" s="60"/>
      <c r="J2391" s="60"/>
      <c r="K2391" s="60"/>
      <c r="L2391" s="60"/>
      <c r="M2391" s="64"/>
      <c r="N2391" s="33"/>
    </row>
    <row r="2392" ht="24" customHeight="1" spans="2:14">
      <c r="B2392" s="33"/>
      <c r="C2392" s="60"/>
      <c r="D2392" s="60"/>
      <c r="E2392" s="60"/>
      <c r="F2392" s="60"/>
      <c r="G2392" s="60"/>
      <c r="H2392" s="60"/>
      <c r="I2392" s="60"/>
      <c r="J2392" s="60"/>
      <c r="K2392" s="60"/>
      <c r="L2392" s="60"/>
      <c r="M2392" s="64"/>
      <c r="N2392" s="33"/>
    </row>
    <row r="2393" ht="24" customHeight="1" spans="2:14">
      <c r="B2393" s="33"/>
      <c r="C2393" s="60"/>
      <c r="D2393" s="60"/>
      <c r="E2393" s="60"/>
      <c r="F2393" s="60"/>
      <c r="G2393" s="60"/>
      <c r="H2393" s="60"/>
      <c r="I2393" s="60"/>
      <c r="J2393" s="60"/>
      <c r="K2393" s="60"/>
      <c r="L2393" s="60"/>
      <c r="M2393" s="64"/>
      <c r="N2393" s="33"/>
    </row>
    <row r="2394" ht="24" customHeight="1" spans="2:14">
      <c r="B2394" s="33"/>
      <c r="C2394" s="60"/>
      <c r="D2394" s="60"/>
      <c r="E2394" s="60"/>
      <c r="F2394" s="60"/>
      <c r="G2394" s="60"/>
      <c r="H2394" s="60"/>
      <c r="I2394" s="60"/>
      <c r="J2394" s="60"/>
      <c r="K2394" s="60"/>
      <c r="L2394" s="60"/>
      <c r="M2394" s="64"/>
      <c r="N2394" s="33"/>
    </row>
    <row r="2395" ht="24" customHeight="1" spans="2:14">
      <c r="B2395" s="33"/>
      <c r="C2395" s="60"/>
      <c r="D2395" s="60"/>
      <c r="E2395" s="60"/>
      <c r="F2395" s="60"/>
      <c r="G2395" s="60"/>
      <c r="H2395" s="60"/>
      <c r="I2395" s="60"/>
      <c r="J2395" s="60"/>
      <c r="K2395" s="60"/>
      <c r="L2395" s="60"/>
      <c r="M2395" s="64"/>
      <c r="N2395" s="33"/>
    </row>
    <row r="2396" ht="24" customHeight="1" spans="2:14">
      <c r="B2396" s="33"/>
      <c r="C2396" s="60"/>
      <c r="D2396" s="60"/>
      <c r="E2396" s="60"/>
      <c r="F2396" s="60"/>
      <c r="G2396" s="60"/>
      <c r="H2396" s="60"/>
      <c r="I2396" s="60"/>
      <c r="J2396" s="60"/>
      <c r="K2396" s="60"/>
      <c r="L2396" s="60"/>
      <c r="M2396" s="64"/>
      <c r="N2396" s="33"/>
    </row>
    <row r="2397" ht="24" customHeight="1" spans="2:14">
      <c r="B2397" s="33"/>
      <c r="C2397" s="60"/>
      <c r="D2397" s="60"/>
      <c r="E2397" s="60"/>
      <c r="F2397" s="60"/>
      <c r="G2397" s="60"/>
      <c r="H2397" s="60"/>
      <c r="I2397" s="60"/>
      <c r="J2397" s="60"/>
      <c r="K2397" s="60"/>
      <c r="L2397" s="60"/>
      <c r="M2397" s="64"/>
      <c r="N2397" s="33"/>
    </row>
    <row r="2398" ht="24" customHeight="1" spans="2:14">
      <c r="B2398" s="33"/>
      <c r="C2398" s="60"/>
      <c r="D2398" s="60"/>
      <c r="E2398" s="60"/>
      <c r="F2398" s="60"/>
      <c r="G2398" s="60"/>
      <c r="H2398" s="60"/>
      <c r="I2398" s="60"/>
      <c r="J2398" s="60"/>
      <c r="K2398" s="60"/>
      <c r="L2398" s="60"/>
      <c r="M2398" s="64"/>
      <c r="N2398" s="33"/>
    </row>
    <row r="2399" ht="24" customHeight="1" spans="2:14">
      <c r="B2399" s="33"/>
      <c r="C2399" s="60"/>
      <c r="D2399" s="60"/>
      <c r="E2399" s="60"/>
      <c r="F2399" s="60"/>
      <c r="G2399" s="60"/>
      <c r="H2399" s="60"/>
      <c r="I2399" s="60"/>
      <c r="J2399" s="60"/>
      <c r="K2399" s="60"/>
      <c r="L2399" s="60"/>
      <c r="M2399" s="64"/>
      <c r="N2399" s="33"/>
    </row>
    <row r="2400" ht="24" customHeight="1" spans="2:14">
      <c r="B2400" s="33"/>
      <c r="C2400" s="60"/>
      <c r="D2400" s="60"/>
      <c r="E2400" s="60"/>
      <c r="F2400" s="60"/>
      <c r="G2400" s="60"/>
      <c r="H2400" s="60"/>
      <c r="I2400" s="60"/>
      <c r="J2400" s="60"/>
      <c r="K2400" s="60"/>
      <c r="L2400" s="60"/>
      <c r="M2400" s="64"/>
      <c r="N2400" s="33"/>
    </row>
    <row r="2401" ht="24" customHeight="1" spans="2:14">
      <c r="B2401" s="33"/>
      <c r="C2401" s="60"/>
      <c r="D2401" s="60"/>
      <c r="E2401" s="60"/>
      <c r="F2401" s="60"/>
      <c r="G2401" s="60"/>
      <c r="H2401" s="60"/>
      <c r="I2401" s="60"/>
      <c r="J2401" s="60"/>
      <c r="K2401" s="60"/>
      <c r="L2401" s="60"/>
      <c r="M2401" s="64"/>
      <c r="N2401" s="33"/>
    </row>
    <row r="2402" ht="24" customHeight="1" spans="2:14">
      <c r="B2402" s="33"/>
      <c r="C2402" s="60"/>
      <c r="D2402" s="60"/>
      <c r="E2402" s="60"/>
      <c r="F2402" s="60"/>
      <c r="G2402" s="60"/>
      <c r="H2402" s="60"/>
      <c r="I2402" s="60"/>
      <c r="J2402" s="60"/>
      <c r="K2402" s="60"/>
      <c r="L2402" s="60"/>
      <c r="M2402" s="64"/>
      <c r="N2402" s="33"/>
    </row>
    <row r="2403" ht="24" customHeight="1" spans="2:14">
      <c r="B2403" s="33"/>
      <c r="C2403" s="60"/>
      <c r="D2403" s="60"/>
      <c r="E2403" s="60"/>
      <c r="F2403" s="60"/>
      <c r="G2403" s="60"/>
      <c r="H2403" s="60"/>
      <c r="I2403" s="60"/>
      <c r="J2403" s="60"/>
      <c r="K2403" s="60"/>
      <c r="L2403" s="60"/>
      <c r="M2403" s="64"/>
      <c r="N2403" s="33"/>
    </row>
    <row r="2404" ht="24" customHeight="1" spans="2:14">
      <c r="B2404" s="33"/>
      <c r="C2404" s="60"/>
      <c r="D2404" s="60"/>
      <c r="E2404" s="60"/>
      <c r="F2404" s="60"/>
      <c r="G2404" s="60"/>
      <c r="H2404" s="60"/>
      <c r="I2404" s="60"/>
      <c r="J2404" s="60"/>
      <c r="K2404" s="60"/>
      <c r="L2404" s="60"/>
      <c r="M2404" s="64"/>
      <c r="N2404" s="33"/>
    </row>
    <row r="2405" ht="24" customHeight="1" spans="2:14">
      <c r="B2405" s="33"/>
      <c r="C2405" s="60"/>
      <c r="D2405" s="60"/>
      <c r="E2405" s="60"/>
      <c r="F2405" s="60"/>
      <c r="G2405" s="60"/>
      <c r="H2405" s="60"/>
      <c r="I2405" s="60"/>
      <c r="J2405" s="60"/>
      <c r="K2405" s="60"/>
      <c r="L2405" s="60"/>
      <c r="M2405" s="64"/>
      <c r="N2405" s="33"/>
    </row>
    <row r="2406" ht="24" customHeight="1" spans="2:14">
      <c r="B2406" s="33"/>
      <c r="C2406" s="60"/>
      <c r="D2406" s="60"/>
      <c r="E2406" s="60"/>
      <c r="F2406" s="60"/>
      <c r="G2406" s="60"/>
      <c r="H2406" s="60"/>
      <c r="I2406" s="60"/>
      <c r="J2406" s="60"/>
      <c r="K2406" s="60"/>
      <c r="L2406" s="60"/>
      <c r="M2406" s="64"/>
      <c r="N2406" s="33"/>
    </row>
    <row r="2407" ht="24" customHeight="1" spans="2:14">
      <c r="B2407" s="33"/>
      <c r="C2407" s="60"/>
      <c r="D2407" s="60"/>
      <c r="E2407" s="60"/>
      <c r="F2407" s="60"/>
      <c r="G2407" s="60"/>
      <c r="H2407" s="60"/>
      <c r="I2407" s="60"/>
      <c r="J2407" s="60"/>
      <c r="K2407" s="60"/>
      <c r="L2407" s="60"/>
      <c r="M2407" s="64"/>
      <c r="N2407" s="33"/>
    </row>
    <row r="2408" ht="24" customHeight="1" spans="2:14">
      <c r="B2408" s="33"/>
      <c r="C2408" s="60"/>
      <c r="D2408" s="60"/>
      <c r="E2408" s="60"/>
      <c r="F2408" s="60"/>
      <c r="G2408" s="60"/>
      <c r="H2408" s="60"/>
      <c r="I2408" s="60"/>
      <c r="J2408" s="60"/>
      <c r="K2408" s="60"/>
      <c r="L2408" s="60"/>
      <c r="M2408" s="64"/>
      <c r="N2408" s="33"/>
    </row>
    <row r="2409" ht="24" customHeight="1" spans="2:14">
      <c r="B2409" s="33"/>
      <c r="C2409" s="60"/>
      <c r="D2409" s="60"/>
      <c r="E2409" s="60"/>
      <c r="F2409" s="60"/>
      <c r="G2409" s="60"/>
      <c r="H2409" s="60"/>
      <c r="I2409" s="60"/>
      <c r="J2409" s="60"/>
      <c r="K2409" s="60"/>
      <c r="L2409" s="60"/>
      <c r="M2409" s="64"/>
      <c r="N2409" s="33"/>
    </row>
    <row r="2410" ht="24" customHeight="1" spans="2:14">
      <c r="B2410" s="33"/>
      <c r="C2410" s="60"/>
      <c r="D2410" s="60"/>
      <c r="E2410" s="60"/>
      <c r="F2410" s="60"/>
      <c r="G2410" s="60"/>
      <c r="H2410" s="60"/>
      <c r="I2410" s="60"/>
      <c r="J2410" s="60"/>
      <c r="K2410" s="60"/>
      <c r="L2410" s="60"/>
      <c r="M2410" s="64"/>
      <c r="N2410" s="33"/>
    </row>
    <row r="2411" ht="24" customHeight="1" spans="2:14">
      <c r="B2411" s="33"/>
      <c r="C2411" s="60"/>
      <c r="D2411" s="60"/>
      <c r="E2411" s="60"/>
      <c r="F2411" s="60"/>
      <c r="G2411" s="60"/>
      <c r="H2411" s="60"/>
      <c r="I2411" s="60"/>
      <c r="J2411" s="60"/>
      <c r="K2411" s="60"/>
      <c r="L2411" s="60"/>
      <c r="M2411" s="64"/>
      <c r="N2411" s="33"/>
    </row>
    <row r="2412" ht="24" customHeight="1" spans="2:14">
      <c r="B2412" s="33"/>
      <c r="C2412" s="60"/>
      <c r="D2412" s="60"/>
      <c r="E2412" s="60"/>
      <c r="F2412" s="60"/>
      <c r="G2412" s="60"/>
      <c r="H2412" s="60"/>
      <c r="I2412" s="60"/>
      <c r="J2412" s="60"/>
      <c r="K2412" s="60"/>
      <c r="L2412" s="60"/>
      <c r="M2412" s="64"/>
      <c r="N2412" s="33"/>
    </row>
    <row r="2413" ht="24" customHeight="1" spans="2:14">
      <c r="B2413" s="33"/>
      <c r="C2413" s="60"/>
      <c r="D2413" s="60"/>
      <c r="E2413" s="60"/>
      <c r="F2413" s="60"/>
      <c r="G2413" s="60"/>
      <c r="H2413" s="60"/>
      <c r="I2413" s="60"/>
      <c r="J2413" s="60"/>
      <c r="K2413" s="60"/>
      <c r="L2413" s="60"/>
      <c r="M2413" s="64"/>
      <c r="N2413" s="33"/>
    </row>
    <row r="2414" ht="24" customHeight="1" spans="2:14">
      <c r="B2414" s="33"/>
      <c r="C2414" s="60"/>
      <c r="D2414" s="60"/>
      <c r="E2414" s="60"/>
      <c r="F2414" s="60"/>
      <c r="G2414" s="60"/>
      <c r="H2414" s="60"/>
      <c r="I2414" s="60"/>
      <c r="J2414" s="60"/>
      <c r="K2414" s="60"/>
      <c r="L2414" s="60"/>
      <c r="M2414" s="64"/>
      <c r="N2414" s="33"/>
    </row>
    <row r="2415" ht="24" customHeight="1" spans="2:14">
      <c r="B2415" s="33"/>
      <c r="C2415" s="60"/>
      <c r="D2415" s="60"/>
      <c r="E2415" s="60"/>
      <c r="F2415" s="60"/>
      <c r="G2415" s="60"/>
      <c r="H2415" s="60"/>
      <c r="I2415" s="60"/>
      <c r="J2415" s="60"/>
      <c r="K2415" s="60"/>
      <c r="L2415" s="60"/>
      <c r="M2415" s="64"/>
      <c r="N2415" s="33"/>
    </row>
    <row r="2416" ht="24" customHeight="1" spans="2:14">
      <c r="B2416" s="33"/>
      <c r="C2416" s="60"/>
      <c r="D2416" s="60"/>
      <c r="E2416" s="60"/>
      <c r="F2416" s="60"/>
      <c r="G2416" s="60"/>
      <c r="H2416" s="60"/>
      <c r="I2416" s="60"/>
      <c r="J2416" s="60"/>
      <c r="K2416" s="60"/>
      <c r="L2416" s="60"/>
      <c r="M2416" s="64"/>
      <c r="N2416" s="33"/>
    </row>
    <row r="2417" ht="24" customHeight="1" spans="2:14">
      <c r="B2417" s="33"/>
      <c r="C2417" s="60"/>
      <c r="D2417" s="60"/>
      <c r="E2417" s="60"/>
      <c r="F2417" s="60"/>
      <c r="G2417" s="60"/>
      <c r="H2417" s="60"/>
      <c r="I2417" s="60"/>
      <c r="J2417" s="60"/>
      <c r="K2417" s="60"/>
      <c r="L2417" s="60"/>
      <c r="M2417" s="64"/>
      <c r="N2417" s="33"/>
    </row>
    <row r="2418" ht="24" customHeight="1" spans="2:14">
      <c r="B2418" s="33"/>
      <c r="C2418" s="60"/>
      <c r="D2418" s="60"/>
      <c r="E2418" s="60"/>
      <c r="F2418" s="60"/>
      <c r="G2418" s="60"/>
      <c r="H2418" s="60"/>
      <c r="I2418" s="60"/>
      <c r="J2418" s="60"/>
      <c r="K2418" s="60"/>
      <c r="L2418" s="60"/>
      <c r="M2418" s="64"/>
      <c r="N2418" s="33"/>
    </row>
    <row r="2419" ht="24" customHeight="1" spans="2:14">
      <c r="B2419" s="33"/>
      <c r="C2419" s="60"/>
      <c r="D2419" s="60"/>
      <c r="E2419" s="60"/>
      <c r="F2419" s="60"/>
      <c r="G2419" s="60"/>
      <c r="H2419" s="60"/>
      <c r="I2419" s="60"/>
      <c r="J2419" s="60"/>
      <c r="K2419" s="60"/>
      <c r="L2419" s="60"/>
      <c r="M2419" s="64"/>
      <c r="N2419" s="33"/>
    </row>
    <row r="2420" ht="24" customHeight="1" spans="2:14">
      <c r="B2420" s="33"/>
      <c r="C2420" s="60"/>
      <c r="D2420" s="60"/>
      <c r="E2420" s="60"/>
      <c r="F2420" s="60"/>
      <c r="G2420" s="60"/>
      <c r="H2420" s="60"/>
      <c r="I2420" s="60"/>
      <c r="J2420" s="60"/>
      <c r="K2420" s="60"/>
      <c r="L2420" s="60"/>
      <c r="M2420" s="64"/>
      <c r="N2420" s="33"/>
    </row>
    <row r="2421" ht="24" customHeight="1" spans="2:14">
      <c r="B2421" s="33"/>
      <c r="C2421" s="60"/>
      <c r="D2421" s="60"/>
      <c r="E2421" s="60"/>
      <c r="F2421" s="60"/>
      <c r="G2421" s="60"/>
      <c r="H2421" s="60"/>
      <c r="I2421" s="60"/>
      <c r="J2421" s="60"/>
      <c r="K2421" s="60"/>
      <c r="L2421" s="60"/>
      <c r="M2421" s="64"/>
      <c r="N2421" s="33"/>
    </row>
    <row r="2422" ht="24" customHeight="1" spans="2:14">
      <c r="B2422" s="33"/>
      <c r="C2422" s="60"/>
      <c r="D2422" s="60"/>
      <c r="E2422" s="60"/>
      <c r="F2422" s="60"/>
      <c r="G2422" s="60"/>
      <c r="H2422" s="60"/>
      <c r="I2422" s="60"/>
      <c r="J2422" s="60"/>
      <c r="K2422" s="60"/>
      <c r="L2422" s="60"/>
      <c r="M2422" s="64"/>
      <c r="N2422" s="33"/>
    </row>
    <row r="2423" ht="24" customHeight="1" spans="2:14">
      <c r="B2423" s="33"/>
      <c r="C2423" s="60"/>
      <c r="D2423" s="60"/>
      <c r="E2423" s="60"/>
      <c r="F2423" s="60"/>
      <c r="G2423" s="60"/>
      <c r="H2423" s="60"/>
      <c r="I2423" s="60"/>
      <c r="J2423" s="60"/>
      <c r="K2423" s="60"/>
      <c r="L2423" s="60"/>
      <c r="M2423" s="64"/>
      <c r="N2423" s="33"/>
    </row>
    <row r="2424" ht="24" customHeight="1" spans="2:14">
      <c r="B2424" s="33"/>
      <c r="C2424" s="60"/>
      <c r="D2424" s="60"/>
      <c r="E2424" s="60"/>
      <c r="F2424" s="60"/>
      <c r="G2424" s="60"/>
      <c r="H2424" s="60"/>
      <c r="I2424" s="60"/>
      <c r="J2424" s="60"/>
      <c r="K2424" s="60"/>
      <c r="L2424" s="60"/>
      <c r="M2424" s="64"/>
      <c r="N2424" s="33"/>
    </row>
    <row r="2425" ht="24" customHeight="1" spans="2:14">
      <c r="B2425" s="33"/>
      <c r="C2425" s="60"/>
      <c r="D2425" s="60"/>
      <c r="E2425" s="60"/>
      <c r="F2425" s="60"/>
      <c r="G2425" s="60"/>
      <c r="H2425" s="60"/>
      <c r="I2425" s="60"/>
      <c r="J2425" s="60"/>
      <c r="K2425" s="60"/>
      <c r="L2425" s="60"/>
      <c r="M2425" s="64"/>
      <c r="N2425" s="33"/>
    </row>
    <row r="2426" ht="24" customHeight="1" spans="2:14">
      <c r="B2426" s="33"/>
      <c r="C2426" s="60"/>
      <c r="D2426" s="60"/>
      <c r="E2426" s="60"/>
      <c r="F2426" s="60"/>
      <c r="G2426" s="60"/>
      <c r="H2426" s="60"/>
      <c r="I2426" s="60"/>
      <c r="J2426" s="60"/>
      <c r="K2426" s="60"/>
      <c r="L2426" s="60"/>
      <c r="M2426" s="64"/>
      <c r="N2426" s="33"/>
    </row>
    <row r="2427" ht="24" customHeight="1" spans="2:14">
      <c r="B2427" s="33"/>
      <c r="C2427" s="60"/>
      <c r="D2427" s="60"/>
      <c r="E2427" s="60"/>
      <c r="F2427" s="60"/>
      <c r="G2427" s="60"/>
      <c r="H2427" s="60"/>
      <c r="I2427" s="60"/>
      <c r="J2427" s="60"/>
      <c r="K2427" s="60"/>
      <c r="L2427" s="60"/>
      <c r="M2427" s="64"/>
      <c r="N2427" s="33"/>
    </row>
    <row r="2428" ht="24" customHeight="1" spans="2:14">
      <c r="B2428" s="33"/>
      <c r="C2428" s="60"/>
      <c r="D2428" s="60"/>
      <c r="E2428" s="60"/>
      <c r="F2428" s="60"/>
      <c r="G2428" s="60"/>
      <c r="H2428" s="60"/>
      <c r="I2428" s="60"/>
      <c r="J2428" s="60"/>
      <c r="K2428" s="60"/>
      <c r="L2428" s="60"/>
      <c r="M2428" s="64"/>
      <c r="N2428" s="33"/>
    </row>
    <row r="2429" ht="24" customHeight="1" spans="2:14">
      <c r="B2429" s="33"/>
      <c r="C2429" s="60"/>
      <c r="D2429" s="60"/>
      <c r="E2429" s="60"/>
      <c r="F2429" s="60"/>
      <c r="G2429" s="60"/>
      <c r="H2429" s="60"/>
      <c r="I2429" s="60"/>
      <c r="J2429" s="60"/>
      <c r="K2429" s="60"/>
      <c r="L2429" s="60"/>
      <c r="M2429" s="64"/>
      <c r="N2429" s="33"/>
    </row>
    <row r="2430" ht="24" customHeight="1" spans="2:14">
      <c r="B2430" s="33"/>
      <c r="C2430" s="60"/>
      <c r="D2430" s="60"/>
      <c r="E2430" s="60"/>
      <c r="F2430" s="60"/>
      <c r="G2430" s="60"/>
      <c r="H2430" s="60"/>
      <c r="I2430" s="60"/>
      <c r="J2430" s="60"/>
      <c r="K2430" s="60"/>
      <c r="L2430" s="60"/>
      <c r="M2430" s="64"/>
      <c r="N2430" s="33"/>
    </row>
    <row r="2431" ht="24" customHeight="1" spans="2:14">
      <c r="B2431" s="33"/>
      <c r="C2431" s="60"/>
      <c r="D2431" s="60"/>
      <c r="E2431" s="60"/>
      <c r="F2431" s="60"/>
      <c r="G2431" s="60"/>
      <c r="H2431" s="60"/>
      <c r="I2431" s="60"/>
      <c r="J2431" s="60"/>
      <c r="K2431" s="60"/>
      <c r="L2431" s="60"/>
      <c r="M2431" s="64"/>
      <c r="N2431" s="33"/>
    </row>
    <row r="2432" ht="24" customHeight="1" spans="2:14">
      <c r="B2432" s="33"/>
      <c r="C2432" s="60"/>
      <c r="D2432" s="60"/>
      <c r="E2432" s="60"/>
      <c r="F2432" s="60"/>
      <c r="G2432" s="60"/>
      <c r="H2432" s="60"/>
      <c r="I2432" s="60"/>
      <c r="J2432" s="60"/>
      <c r="K2432" s="60"/>
      <c r="L2432" s="60"/>
      <c r="M2432" s="64"/>
      <c r="N2432" s="33"/>
    </row>
    <row r="2433" ht="24" customHeight="1" spans="2:14">
      <c r="B2433" s="33"/>
      <c r="C2433" s="60"/>
      <c r="D2433" s="60"/>
      <c r="E2433" s="60"/>
      <c r="F2433" s="60"/>
      <c r="G2433" s="60"/>
      <c r="H2433" s="60"/>
      <c r="I2433" s="60"/>
      <c r="J2433" s="60"/>
      <c r="K2433" s="60"/>
      <c r="L2433" s="60"/>
      <c r="M2433" s="64"/>
      <c r="N2433" s="33"/>
    </row>
    <row r="2434" ht="24" customHeight="1" spans="2:14">
      <c r="B2434" s="33"/>
      <c r="C2434" s="60"/>
      <c r="D2434" s="60"/>
      <c r="E2434" s="60"/>
      <c r="F2434" s="60"/>
      <c r="G2434" s="60"/>
      <c r="H2434" s="60"/>
      <c r="I2434" s="60"/>
      <c r="J2434" s="60"/>
      <c r="K2434" s="60"/>
      <c r="L2434" s="60"/>
      <c r="M2434" s="64"/>
      <c r="N2434" s="33"/>
    </row>
    <row r="2435" ht="24" customHeight="1" spans="2:14">
      <c r="B2435" s="33"/>
      <c r="C2435" s="60"/>
      <c r="D2435" s="60"/>
      <c r="E2435" s="60"/>
      <c r="F2435" s="60"/>
      <c r="G2435" s="60"/>
      <c r="H2435" s="60"/>
      <c r="I2435" s="60"/>
      <c r="J2435" s="60"/>
      <c r="K2435" s="60"/>
      <c r="L2435" s="60"/>
      <c r="M2435" s="64"/>
      <c r="N2435" s="33"/>
    </row>
    <row r="2436" ht="24" customHeight="1" spans="2:14">
      <c r="B2436" s="33"/>
      <c r="C2436" s="60"/>
      <c r="D2436" s="60"/>
      <c r="E2436" s="60"/>
      <c r="F2436" s="60"/>
      <c r="G2436" s="60"/>
      <c r="H2436" s="60"/>
      <c r="I2436" s="60"/>
      <c r="J2436" s="60"/>
      <c r="K2436" s="60"/>
      <c r="L2436" s="60"/>
      <c r="M2436" s="64"/>
      <c r="N2436" s="33"/>
    </row>
    <row r="2437" ht="24" customHeight="1" spans="2:14">
      <c r="B2437" s="33"/>
      <c r="C2437" s="60"/>
      <c r="D2437" s="60"/>
      <c r="E2437" s="60"/>
      <c r="F2437" s="60"/>
      <c r="G2437" s="60"/>
      <c r="H2437" s="60"/>
      <c r="I2437" s="60"/>
      <c r="J2437" s="60"/>
      <c r="K2437" s="60"/>
      <c r="L2437" s="60"/>
      <c r="M2437" s="64"/>
      <c r="N2437" s="33"/>
    </row>
    <row r="2438" ht="24" customHeight="1" spans="2:14">
      <c r="B2438" s="33"/>
      <c r="C2438" s="60"/>
      <c r="D2438" s="60"/>
      <c r="E2438" s="60"/>
      <c r="F2438" s="60"/>
      <c r="G2438" s="60"/>
      <c r="H2438" s="60"/>
      <c r="I2438" s="60"/>
      <c r="J2438" s="60"/>
      <c r="K2438" s="60"/>
      <c r="L2438" s="60"/>
      <c r="M2438" s="64"/>
      <c r="N2438" s="33"/>
    </row>
    <row r="2439" ht="24" customHeight="1" spans="2:14">
      <c r="B2439" s="33"/>
      <c r="C2439" s="60"/>
      <c r="D2439" s="60"/>
      <c r="E2439" s="60"/>
      <c r="F2439" s="60"/>
      <c r="G2439" s="60"/>
      <c r="H2439" s="60"/>
      <c r="I2439" s="60"/>
      <c r="J2439" s="60"/>
      <c r="K2439" s="60"/>
      <c r="L2439" s="60"/>
      <c r="M2439" s="64"/>
      <c r="N2439" s="33"/>
    </row>
    <row r="2440" ht="24" customHeight="1" spans="2:14">
      <c r="B2440" s="33"/>
      <c r="C2440" s="60"/>
      <c r="D2440" s="60"/>
      <c r="E2440" s="60"/>
      <c r="F2440" s="60"/>
      <c r="G2440" s="60"/>
      <c r="H2440" s="60"/>
      <c r="I2440" s="60"/>
      <c r="J2440" s="60"/>
      <c r="K2440" s="60"/>
      <c r="L2440" s="60"/>
      <c r="M2440" s="64"/>
      <c r="N2440" s="33"/>
    </row>
    <row r="2441" ht="24" customHeight="1" spans="2:14">
      <c r="B2441" s="33"/>
      <c r="C2441" s="60"/>
      <c r="D2441" s="60"/>
      <c r="E2441" s="60"/>
      <c r="F2441" s="60"/>
      <c r="G2441" s="60"/>
      <c r="H2441" s="60"/>
      <c r="I2441" s="60"/>
      <c r="J2441" s="60"/>
      <c r="K2441" s="60"/>
      <c r="L2441" s="60"/>
      <c r="M2441" s="64"/>
      <c r="N2441" s="33"/>
    </row>
    <row r="2442" ht="24" customHeight="1" spans="2:14">
      <c r="B2442" s="33"/>
      <c r="C2442" s="60"/>
      <c r="D2442" s="60"/>
      <c r="E2442" s="60"/>
      <c r="F2442" s="60"/>
      <c r="G2442" s="60"/>
      <c r="H2442" s="60"/>
      <c r="I2442" s="60"/>
      <c r="J2442" s="60"/>
      <c r="K2442" s="60"/>
      <c r="L2442" s="60"/>
      <c r="M2442" s="64"/>
      <c r="N2442" s="33"/>
    </row>
    <row r="2443" ht="24" customHeight="1" spans="2:14">
      <c r="B2443" s="33"/>
      <c r="C2443" s="60"/>
      <c r="D2443" s="60"/>
      <c r="E2443" s="60"/>
      <c r="F2443" s="60"/>
      <c r="G2443" s="60"/>
      <c r="H2443" s="60"/>
      <c r="I2443" s="60"/>
      <c r="J2443" s="60"/>
      <c r="K2443" s="60"/>
      <c r="L2443" s="60"/>
      <c r="M2443" s="64"/>
      <c r="N2443" s="33"/>
    </row>
    <row r="2444" ht="24" customHeight="1" spans="2:14">
      <c r="B2444" s="33"/>
      <c r="C2444" s="60"/>
      <c r="D2444" s="60"/>
      <c r="E2444" s="60"/>
      <c r="F2444" s="60"/>
      <c r="G2444" s="60"/>
      <c r="H2444" s="60"/>
      <c r="I2444" s="60"/>
      <c r="J2444" s="60"/>
      <c r="K2444" s="60"/>
      <c r="L2444" s="60"/>
      <c r="M2444" s="64"/>
      <c r="N2444" s="33"/>
    </row>
    <row r="2445" ht="24" customHeight="1" spans="2:14">
      <c r="B2445" s="33"/>
      <c r="C2445" s="60"/>
      <c r="D2445" s="60"/>
      <c r="E2445" s="60"/>
      <c r="F2445" s="60"/>
      <c r="G2445" s="60"/>
      <c r="H2445" s="60"/>
      <c r="I2445" s="60"/>
      <c r="J2445" s="60"/>
      <c r="K2445" s="60"/>
      <c r="L2445" s="60"/>
      <c r="M2445" s="64"/>
      <c r="N2445" s="33"/>
    </row>
    <row r="2446" ht="24" customHeight="1" spans="2:14">
      <c r="B2446" s="33"/>
      <c r="C2446" s="60"/>
      <c r="D2446" s="60"/>
      <c r="E2446" s="60"/>
      <c r="F2446" s="60"/>
      <c r="G2446" s="60"/>
      <c r="H2446" s="60"/>
      <c r="I2446" s="60"/>
      <c r="J2446" s="60"/>
      <c r="K2446" s="60"/>
      <c r="L2446" s="60"/>
      <c r="M2446" s="64"/>
      <c r="N2446" s="33"/>
    </row>
    <row r="2447" ht="24" customHeight="1" spans="2:14">
      <c r="B2447" s="33"/>
      <c r="C2447" s="60"/>
      <c r="D2447" s="60"/>
      <c r="E2447" s="60"/>
      <c r="F2447" s="60"/>
      <c r="G2447" s="60"/>
      <c r="H2447" s="60"/>
      <c r="I2447" s="60"/>
      <c r="J2447" s="60"/>
      <c r="K2447" s="60"/>
      <c r="L2447" s="60"/>
      <c r="M2447" s="64"/>
      <c r="N2447" s="33"/>
    </row>
    <row r="2448" ht="24" customHeight="1" spans="2:14">
      <c r="B2448" s="33"/>
      <c r="C2448" s="60"/>
      <c r="D2448" s="60"/>
      <c r="E2448" s="60"/>
      <c r="F2448" s="60"/>
      <c r="G2448" s="60"/>
      <c r="H2448" s="60"/>
      <c r="I2448" s="60"/>
      <c r="J2448" s="60"/>
      <c r="K2448" s="60"/>
      <c r="L2448" s="60"/>
      <c r="M2448" s="64"/>
      <c r="N2448" s="33"/>
    </row>
    <row r="2449" ht="24" customHeight="1" spans="2:14">
      <c r="B2449" s="33"/>
      <c r="C2449" s="60"/>
      <c r="D2449" s="60"/>
      <c r="E2449" s="60"/>
      <c r="F2449" s="60"/>
      <c r="G2449" s="60"/>
      <c r="H2449" s="60"/>
      <c r="I2449" s="60"/>
      <c r="J2449" s="60"/>
      <c r="K2449" s="60"/>
      <c r="L2449" s="60"/>
      <c r="M2449" s="64"/>
      <c r="N2449" s="33"/>
    </row>
    <row r="2450" ht="24" customHeight="1" spans="2:14">
      <c r="B2450" s="33"/>
      <c r="C2450" s="60"/>
      <c r="D2450" s="60"/>
      <c r="E2450" s="60"/>
      <c r="F2450" s="60"/>
      <c r="G2450" s="60"/>
      <c r="H2450" s="60"/>
      <c r="I2450" s="60"/>
      <c r="J2450" s="60"/>
      <c r="K2450" s="60"/>
      <c r="L2450" s="60"/>
      <c r="M2450" s="64"/>
      <c r="N2450" s="33"/>
    </row>
    <row r="2451" ht="24" customHeight="1" spans="2:14">
      <c r="B2451" s="33"/>
      <c r="C2451" s="60"/>
      <c r="D2451" s="60"/>
      <c r="E2451" s="60"/>
      <c r="F2451" s="60"/>
      <c r="G2451" s="60"/>
      <c r="H2451" s="60"/>
      <c r="I2451" s="60"/>
      <c r="J2451" s="60"/>
      <c r="K2451" s="60"/>
      <c r="L2451" s="60"/>
      <c r="M2451" s="64"/>
      <c r="N2451" s="33"/>
    </row>
    <row r="2452" ht="24" customHeight="1" spans="2:14">
      <c r="B2452" s="33"/>
      <c r="C2452" s="60"/>
      <c r="D2452" s="60"/>
      <c r="E2452" s="60"/>
      <c r="F2452" s="60"/>
      <c r="G2452" s="60"/>
      <c r="H2452" s="60"/>
      <c r="I2452" s="60"/>
      <c r="J2452" s="60"/>
      <c r="K2452" s="60"/>
      <c r="L2452" s="60"/>
      <c r="M2452" s="64"/>
      <c r="N2452" s="33"/>
    </row>
    <row r="2453" ht="24" customHeight="1" spans="2:14">
      <c r="B2453" s="33"/>
      <c r="C2453" s="60"/>
      <c r="D2453" s="60"/>
      <c r="E2453" s="60"/>
      <c r="F2453" s="60"/>
      <c r="G2453" s="60"/>
      <c r="H2453" s="60"/>
      <c r="I2453" s="60"/>
      <c r="J2453" s="60"/>
      <c r="K2453" s="60"/>
      <c r="L2453" s="60"/>
      <c r="M2453" s="64"/>
      <c r="N2453" s="33"/>
    </row>
    <row r="2454" ht="24" customHeight="1" spans="2:14">
      <c r="B2454" s="33"/>
      <c r="C2454" s="60"/>
      <c r="D2454" s="60"/>
      <c r="E2454" s="60"/>
      <c r="F2454" s="60"/>
      <c r="G2454" s="60"/>
      <c r="H2454" s="60"/>
      <c r="I2454" s="60"/>
      <c r="J2454" s="60"/>
      <c r="K2454" s="60"/>
      <c r="L2454" s="60"/>
      <c r="M2454" s="64"/>
      <c r="N2454" s="33"/>
    </row>
    <row r="2455" ht="24" customHeight="1" spans="2:14">
      <c r="B2455" s="33"/>
      <c r="C2455" s="60"/>
      <c r="D2455" s="60"/>
      <c r="E2455" s="60"/>
      <c r="F2455" s="60"/>
      <c r="G2455" s="60"/>
      <c r="H2455" s="60"/>
      <c r="I2455" s="60"/>
      <c r="J2455" s="60"/>
      <c r="K2455" s="60"/>
      <c r="L2455" s="60"/>
      <c r="M2455" s="64"/>
      <c r="N2455" s="33"/>
    </row>
    <row r="2456" ht="24" customHeight="1" spans="2:14">
      <c r="B2456" s="33"/>
      <c r="C2456" s="60"/>
      <c r="D2456" s="60"/>
      <c r="E2456" s="60"/>
      <c r="F2456" s="60"/>
      <c r="G2456" s="60"/>
      <c r="H2456" s="60"/>
      <c r="I2456" s="60"/>
      <c r="J2456" s="60"/>
      <c r="K2456" s="60"/>
      <c r="L2456" s="60"/>
      <c r="M2456" s="64"/>
      <c r="N2456" s="33"/>
    </row>
    <row r="2457" ht="24" customHeight="1" spans="2:14">
      <c r="B2457" s="33"/>
      <c r="C2457" s="60"/>
      <c r="D2457" s="60"/>
      <c r="E2457" s="60"/>
      <c r="F2457" s="60"/>
      <c r="G2457" s="60"/>
      <c r="H2457" s="60"/>
      <c r="I2457" s="60"/>
      <c r="J2457" s="60"/>
      <c r="K2457" s="60"/>
      <c r="L2457" s="60"/>
      <c r="M2457" s="64"/>
      <c r="N2457" s="33"/>
    </row>
    <row r="2458" ht="24" customHeight="1" spans="2:14">
      <c r="B2458" s="33"/>
      <c r="C2458" s="60"/>
      <c r="D2458" s="60"/>
      <c r="E2458" s="60"/>
      <c r="F2458" s="60"/>
      <c r="G2458" s="60"/>
      <c r="H2458" s="60"/>
      <c r="I2458" s="60"/>
      <c r="J2458" s="60"/>
      <c r="K2458" s="60"/>
      <c r="L2458" s="60"/>
      <c r="M2458" s="64"/>
      <c r="N2458" s="33"/>
    </row>
    <row r="2459" ht="24" customHeight="1" spans="2:14">
      <c r="B2459" s="33"/>
      <c r="C2459" s="60"/>
      <c r="D2459" s="60"/>
      <c r="E2459" s="60"/>
      <c r="F2459" s="60"/>
      <c r="G2459" s="60"/>
      <c r="H2459" s="60"/>
      <c r="I2459" s="60"/>
      <c r="J2459" s="60"/>
      <c r="K2459" s="60"/>
      <c r="L2459" s="60"/>
      <c r="M2459" s="64"/>
      <c r="N2459" s="33"/>
    </row>
    <row r="2460" ht="24" customHeight="1" spans="2:14">
      <c r="B2460" s="33"/>
      <c r="C2460" s="60"/>
      <c r="D2460" s="60"/>
      <c r="E2460" s="60"/>
      <c r="F2460" s="60"/>
      <c r="G2460" s="60"/>
      <c r="H2460" s="60"/>
      <c r="I2460" s="60"/>
      <c r="J2460" s="60"/>
      <c r="K2460" s="60"/>
      <c r="L2460" s="60"/>
      <c r="M2460" s="64"/>
      <c r="N2460" s="33"/>
    </row>
    <row r="2461" ht="24" customHeight="1" spans="2:14">
      <c r="B2461" s="33"/>
      <c r="C2461" s="60"/>
      <c r="D2461" s="60"/>
      <c r="E2461" s="60"/>
      <c r="F2461" s="60"/>
      <c r="G2461" s="60"/>
      <c r="H2461" s="60"/>
      <c r="I2461" s="60"/>
      <c r="J2461" s="60"/>
      <c r="K2461" s="60"/>
      <c r="L2461" s="60"/>
      <c r="M2461" s="64"/>
      <c r="N2461" s="33"/>
    </row>
    <row r="2462" ht="24" customHeight="1" spans="2:14">
      <c r="B2462" s="33"/>
      <c r="C2462" s="60"/>
      <c r="D2462" s="60"/>
      <c r="E2462" s="60"/>
      <c r="F2462" s="60"/>
      <c r="G2462" s="60"/>
      <c r="H2462" s="60"/>
      <c r="I2462" s="60"/>
      <c r="J2462" s="60"/>
      <c r="K2462" s="60"/>
      <c r="L2462" s="60"/>
      <c r="M2462" s="64"/>
      <c r="N2462" s="33"/>
    </row>
    <row r="2463" ht="24" customHeight="1" spans="2:14">
      <c r="B2463" s="33"/>
      <c r="C2463" s="60"/>
      <c r="D2463" s="60"/>
      <c r="E2463" s="60"/>
      <c r="F2463" s="60"/>
      <c r="G2463" s="60"/>
      <c r="H2463" s="60"/>
      <c r="I2463" s="60"/>
      <c r="J2463" s="60"/>
      <c r="K2463" s="60"/>
      <c r="L2463" s="60"/>
      <c r="M2463" s="64"/>
      <c r="N2463" s="33"/>
    </row>
    <row r="2464" ht="24" customHeight="1" spans="2:14">
      <c r="B2464" s="33"/>
      <c r="C2464" s="60"/>
      <c r="D2464" s="60"/>
      <c r="E2464" s="60"/>
      <c r="F2464" s="60"/>
      <c r="G2464" s="60"/>
      <c r="H2464" s="60"/>
      <c r="I2464" s="60"/>
      <c r="J2464" s="60"/>
      <c r="K2464" s="60"/>
      <c r="L2464" s="60"/>
      <c r="M2464" s="64"/>
      <c r="N2464" s="33"/>
    </row>
    <row r="2465" ht="24" customHeight="1" spans="2:14">
      <c r="B2465" s="33"/>
      <c r="C2465" s="60"/>
      <c r="D2465" s="60"/>
      <c r="E2465" s="60"/>
      <c r="F2465" s="60"/>
      <c r="G2465" s="60"/>
      <c r="H2465" s="60"/>
      <c r="I2465" s="60"/>
      <c r="J2465" s="60"/>
      <c r="K2465" s="60"/>
      <c r="L2465" s="60"/>
      <c r="M2465" s="64"/>
      <c r="N2465" s="33"/>
    </row>
    <row r="2466" ht="24" customHeight="1" spans="2:14">
      <c r="B2466" s="33"/>
      <c r="C2466" s="60"/>
      <c r="D2466" s="60"/>
      <c r="E2466" s="60"/>
      <c r="F2466" s="60"/>
      <c r="G2466" s="60"/>
      <c r="H2466" s="60"/>
      <c r="I2466" s="60"/>
      <c r="J2466" s="60"/>
      <c r="K2466" s="60"/>
      <c r="L2466" s="60"/>
      <c r="M2466" s="64"/>
      <c r="N2466" s="33"/>
    </row>
    <row r="2467" ht="24" customHeight="1" spans="2:14">
      <c r="B2467" s="33"/>
      <c r="C2467" s="60"/>
      <c r="D2467" s="60"/>
      <c r="E2467" s="60"/>
      <c r="F2467" s="60"/>
      <c r="G2467" s="60"/>
      <c r="H2467" s="60"/>
      <c r="I2467" s="60"/>
      <c r="J2467" s="60"/>
      <c r="K2467" s="60"/>
      <c r="L2467" s="60"/>
      <c r="M2467" s="64"/>
      <c r="N2467" s="33"/>
    </row>
    <row r="2468" ht="24" customHeight="1" spans="2:14">
      <c r="B2468" s="33"/>
      <c r="C2468" s="60"/>
      <c r="D2468" s="60"/>
      <c r="E2468" s="60"/>
      <c r="F2468" s="60"/>
      <c r="G2468" s="60"/>
      <c r="H2468" s="60"/>
      <c r="I2468" s="60"/>
      <c r="J2468" s="60"/>
      <c r="K2468" s="60"/>
      <c r="L2468" s="60"/>
      <c r="M2468" s="64"/>
      <c r="N2468" s="33"/>
    </row>
    <row r="2469" ht="24" customHeight="1" spans="2:14">
      <c r="B2469" s="33"/>
      <c r="C2469" s="60"/>
      <c r="D2469" s="60"/>
      <c r="E2469" s="60"/>
      <c r="F2469" s="60"/>
      <c r="G2469" s="60"/>
      <c r="H2469" s="60"/>
      <c r="I2469" s="60"/>
      <c r="J2469" s="60"/>
      <c r="K2469" s="60"/>
      <c r="L2469" s="60"/>
      <c r="M2469" s="64"/>
      <c r="N2469" s="33"/>
    </row>
    <row r="2470" ht="24" customHeight="1" spans="2:14">
      <c r="B2470" s="33"/>
      <c r="C2470" s="60"/>
      <c r="D2470" s="60"/>
      <c r="E2470" s="60"/>
      <c r="F2470" s="60"/>
      <c r="G2470" s="60"/>
      <c r="H2470" s="60"/>
      <c r="I2470" s="60"/>
      <c r="J2470" s="60"/>
      <c r="K2470" s="60"/>
      <c r="L2470" s="60"/>
      <c r="M2470" s="64"/>
      <c r="N2470" s="33"/>
    </row>
    <row r="2471" ht="24" customHeight="1" spans="2:14">
      <c r="B2471" s="33"/>
      <c r="C2471" s="60"/>
      <c r="D2471" s="60"/>
      <c r="E2471" s="60"/>
      <c r="F2471" s="60"/>
      <c r="G2471" s="60"/>
      <c r="H2471" s="60"/>
      <c r="I2471" s="60"/>
      <c r="J2471" s="60"/>
      <c r="K2471" s="60"/>
      <c r="L2471" s="60"/>
      <c r="M2471" s="64"/>
      <c r="N2471" s="33"/>
    </row>
    <row r="2472" ht="24" customHeight="1" spans="2:14">
      <c r="B2472" s="33"/>
      <c r="C2472" s="60"/>
      <c r="D2472" s="60"/>
      <c r="E2472" s="60"/>
      <c r="F2472" s="60"/>
      <c r="G2472" s="60"/>
      <c r="H2472" s="60"/>
      <c r="I2472" s="60"/>
      <c r="J2472" s="60"/>
      <c r="K2472" s="60"/>
      <c r="L2472" s="60"/>
      <c r="M2472" s="64"/>
      <c r="N2472" s="33"/>
    </row>
    <row r="2473" ht="24" customHeight="1" spans="2:14">
      <c r="B2473" s="33"/>
      <c r="C2473" s="60"/>
      <c r="D2473" s="60"/>
      <c r="E2473" s="60"/>
      <c r="F2473" s="60"/>
      <c r="G2473" s="60"/>
      <c r="H2473" s="60"/>
      <c r="I2473" s="60"/>
      <c r="J2473" s="60"/>
      <c r="K2473" s="60"/>
      <c r="L2473" s="60"/>
      <c r="M2473" s="64"/>
      <c r="N2473" s="33"/>
    </row>
    <row r="2474" ht="24" customHeight="1" spans="2:14">
      <c r="B2474" s="33"/>
      <c r="C2474" s="60"/>
      <c r="D2474" s="60"/>
      <c r="E2474" s="60"/>
      <c r="F2474" s="60"/>
      <c r="G2474" s="60"/>
      <c r="H2474" s="60"/>
      <c r="I2474" s="60"/>
      <c r="J2474" s="60"/>
      <c r="K2474" s="60"/>
      <c r="L2474" s="60"/>
      <c r="M2474" s="64"/>
      <c r="N2474" s="33"/>
    </row>
    <row r="2475" ht="24" customHeight="1" spans="2:14">
      <c r="B2475" s="33"/>
      <c r="C2475" s="60"/>
      <c r="D2475" s="60"/>
      <c r="E2475" s="60"/>
      <c r="F2475" s="60"/>
      <c r="G2475" s="60"/>
      <c r="H2475" s="60"/>
      <c r="I2475" s="60"/>
      <c r="J2475" s="60"/>
      <c r="K2475" s="60"/>
      <c r="L2475" s="60"/>
      <c r="M2475" s="64"/>
      <c r="N2475" s="33"/>
    </row>
    <row r="2476" ht="24" customHeight="1" spans="2:14">
      <c r="B2476" s="33"/>
      <c r="C2476" s="60"/>
      <c r="D2476" s="60"/>
      <c r="E2476" s="60"/>
      <c r="F2476" s="60"/>
      <c r="G2476" s="60"/>
      <c r="H2476" s="60"/>
      <c r="I2476" s="60"/>
      <c r="J2476" s="60"/>
      <c r="K2476" s="60"/>
      <c r="L2476" s="60"/>
      <c r="M2476" s="64"/>
      <c r="N2476" s="33"/>
    </row>
    <row r="2477" ht="24" customHeight="1" spans="2:14">
      <c r="B2477" s="33"/>
      <c r="C2477" s="60"/>
      <c r="D2477" s="60"/>
      <c r="E2477" s="60"/>
      <c r="F2477" s="60"/>
      <c r="G2477" s="60"/>
      <c r="H2477" s="60"/>
      <c r="I2477" s="60"/>
      <c r="J2477" s="60"/>
      <c r="K2477" s="60"/>
      <c r="L2477" s="60"/>
      <c r="M2477" s="64"/>
      <c r="N2477" s="33"/>
    </row>
    <row r="2478" ht="24" customHeight="1" spans="2:14">
      <c r="B2478" s="33"/>
      <c r="C2478" s="60"/>
      <c r="D2478" s="60"/>
      <c r="E2478" s="60"/>
      <c r="F2478" s="60"/>
      <c r="G2478" s="60"/>
      <c r="H2478" s="60"/>
      <c r="I2478" s="60"/>
      <c r="J2478" s="60"/>
      <c r="K2478" s="60"/>
      <c r="L2478" s="60"/>
      <c r="M2478" s="64"/>
      <c r="N2478" s="33"/>
    </row>
    <row r="2479" ht="24" customHeight="1" spans="2:14">
      <c r="B2479" s="33"/>
      <c r="C2479" s="60"/>
      <c r="D2479" s="60"/>
      <c r="E2479" s="60"/>
      <c r="F2479" s="60"/>
      <c r="G2479" s="60"/>
      <c r="H2479" s="60"/>
      <c r="I2479" s="60"/>
      <c r="J2479" s="60"/>
      <c r="K2479" s="60"/>
      <c r="L2479" s="60"/>
      <c r="M2479" s="64"/>
      <c r="N2479" s="33"/>
    </row>
    <row r="2480" ht="24" customHeight="1" spans="2:14">
      <c r="B2480" s="33"/>
      <c r="C2480" s="60"/>
      <c r="D2480" s="60"/>
      <c r="E2480" s="60"/>
      <c r="F2480" s="60"/>
      <c r="G2480" s="60"/>
      <c r="H2480" s="60"/>
      <c r="I2480" s="60"/>
      <c r="J2480" s="60"/>
      <c r="K2480" s="60"/>
      <c r="L2480" s="60"/>
      <c r="M2480" s="64"/>
      <c r="N2480" s="33"/>
    </row>
    <row r="2481" ht="24" customHeight="1" spans="2:14">
      <c r="B2481" s="33"/>
      <c r="C2481" s="60"/>
      <c r="D2481" s="60"/>
      <c r="E2481" s="60"/>
      <c r="F2481" s="60"/>
      <c r="G2481" s="60"/>
      <c r="H2481" s="60"/>
      <c r="I2481" s="60"/>
      <c r="J2481" s="60"/>
      <c r="K2481" s="60"/>
      <c r="L2481" s="60"/>
      <c r="M2481" s="64"/>
      <c r="N2481" s="33"/>
    </row>
    <row r="2482" ht="24" customHeight="1" spans="2:14">
      <c r="B2482" s="33"/>
      <c r="C2482" s="60"/>
      <c r="D2482" s="60"/>
      <c r="E2482" s="60"/>
      <c r="F2482" s="60"/>
      <c r="G2482" s="60"/>
      <c r="H2482" s="60"/>
      <c r="I2482" s="60"/>
      <c r="J2482" s="60"/>
      <c r="K2482" s="60"/>
      <c r="L2482" s="60"/>
      <c r="M2482" s="64"/>
      <c r="N2482" s="33"/>
    </row>
    <row r="2483" ht="24" customHeight="1" spans="2:14">
      <c r="B2483" s="33"/>
      <c r="C2483" s="60"/>
      <c r="D2483" s="60"/>
      <c r="E2483" s="60"/>
      <c r="F2483" s="60"/>
      <c r="G2483" s="60"/>
      <c r="H2483" s="60"/>
      <c r="I2483" s="60"/>
      <c r="J2483" s="60"/>
      <c r="K2483" s="60"/>
      <c r="L2483" s="60"/>
      <c r="M2483" s="64"/>
      <c r="N2483" s="33"/>
    </row>
    <row r="2484" ht="24" customHeight="1" spans="2:14">
      <c r="B2484" s="33"/>
      <c r="C2484" s="60"/>
      <c r="D2484" s="60"/>
      <c r="E2484" s="60"/>
      <c r="F2484" s="60"/>
      <c r="G2484" s="60"/>
      <c r="H2484" s="60"/>
      <c r="I2484" s="60"/>
      <c r="J2484" s="60"/>
      <c r="K2484" s="60"/>
      <c r="L2484" s="60"/>
      <c r="M2484" s="64"/>
      <c r="N2484" s="33"/>
    </row>
    <row r="2485" ht="24" customHeight="1" spans="2:14">
      <c r="B2485" s="33"/>
      <c r="C2485" s="60"/>
      <c r="D2485" s="60"/>
      <c r="E2485" s="60"/>
      <c r="F2485" s="60"/>
      <c r="G2485" s="60"/>
      <c r="H2485" s="60"/>
      <c r="I2485" s="60"/>
      <c r="J2485" s="60"/>
      <c r="K2485" s="60"/>
      <c r="L2485" s="60"/>
      <c r="M2485" s="64"/>
      <c r="N2485" s="33"/>
    </row>
    <row r="2486" ht="24" customHeight="1" spans="2:14">
      <c r="B2486" s="33"/>
      <c r="C2486" s="60"/>
      <c r="D2486" s="60"/>
      <c r="E2486" s="60"/>
      <c r="F2486" s="60"/>
      <c r="G2486" s="60"/>
      <c r="H2486" s="60"/>
      <c r="I2486" s="60"/>
      <c r="J2486" s="60"/>
      <c r="K2486" s="60"/>
      <c r="L2486" s="60"/>
      <c r="M2486" s="64"/>
      <c r="N2486" s="33"/>
    </row>
    <row r="2487" ht="24" customHeight="1" spans="2:14">
      <c r="B2487" s="33"/>
      <c r="C2487" s="60"/>
      <c r="D2487" s="60"/>
      <c r="E2487" s="60"/>
      <c r="F2487" s="60"/>
      <c r="G2487" s="60"/>
      <c r="H2487" s="60"/>
      <c r="I2487" s="60"/>
      <c r="J2487" s="60"/>
      <c r="K2487" s="60"/>
      <c r="L2487" s="60"/>
      <c r="M2487" s="64"/>
      <c r="N2487" s="33"/>
    </row>
    <row r="2488" ht="24" customHeight="1" spans="2:14">
      <c r="B2488" s="33"/>
      <c r="C2488" s="60"/>
      <c r="D2488" s="60"/>
      <c r="E2488" s="60"/>
      <c r="F2488" s="60"/>
      <c r="G2488" s="60"/>
      <c r="H2488" s="60"/>
      <c r="I2488" s="60"/>
      <c r="J2488" s="60"/>
      <c r="K2488" s="60"/>
      <c r="L2488" s="60"/>
      <c r="M2488" s="64"/>
      <c r="N2488" s="33"/>
    </row>
    <row r="2489" ht="24" customHeight="1" spans="2:14">
      <c r="B2489" s="33"/>
      <c r="C2489" s="60"/>
      <c r="D2489" s="60"/>
      <c r="E2489" s="60"/>
      <c r="F2489" s="60"/>
      <c r="G2489" s="60"/>
      <c r="H2489" s="60"/>
      <c r="I2489" s="60"/>
      <c r="J2489" s="60"/>
      <c r="K2489" s="60"/>
      <c r="L2489" s="60"/>
      <c r="M2489" s="64"/>
      <c r="N2489" s="33"/>
    </row>
    <row r="2490" ht="24" customHeight="1" spans="2:14">
      <c r="B2490" s="33"/>
      <c r="C2490" s="60"/>
      <c r="D2490" s="60"/>
      <c r="E2490" s="60"/>
      <c r="F2490" s="60"/>
      <c r="G2490" s="60"/>
      <c r="H2490" s="60"/>
      <c r="I2490" s="60"/>
      <c r="J2490" s="60"/>
      <c r="K2490" s="60"/>
      <c r="L2490" s="60"/>
      <c r="M2490" s="64"/>
      <c r="N2490" s="33"/>
    </row>
    <row r="2491" ht="24" customHeight="1" spans="2:14">
      <c r="B2491" s="33"/>
      <c r="C2491" s="60"/>
      <c r="D2491" s="60"/>
      <c r="E2491" s="60"/>
      <c r="F2491" s="60"/>
      <c r="G2491" s="60"/>
      <c r="H2491" s="60"/>
      <c r="I2491" s="60"/>
      <c r="J2491" s="60"/>
      <c r="K2491" s="60"/>
      <c r="L2491" s="60"/>
      <c r="M2491" s="64"/>
      <c r="N2491" s="33"/>
    </row>
    <row r="2492" ht="24" customHeight="1" spans="2:14">
      <c r="B2492" s="33"/>
      <c r="C2492" s="60"/>
      <c r="D2492" s="60"/>
      <c r="E2492" s="60"/>
      <c r="F2492" s="60"/>
      <c r="G2492" s="60"/>
      <c r="H2492" s="60"/>
      <c r="I2492" s="60"/>
      <c r="J2492" s="60"/>
      <c r="K2492" s="60"/>
      <c r="L2492" s="60"/>
      <c r="M2492" s="64"/>
      <c r="N2492" s="33"/>
    </row>
    <row r="2493" ht="24" customHeight="1" spans="2:14">
      <c r="B2493" s="33"/>
      <c r="C2493" s="60"/>
      <c r="D2493" s="60"/>
      <c r="E2493" s="60"/>
      <c r="F2493" s="60"/>
      <c r="G2493" s="60"/>
      <c r="H2493" s="60"/>
      <c r="I2493" s="60"/>
      <c r="J2493" s="60"/>
      <c r="K2493" s="60"/>
      <c r="L2493" s="60"/>
      <c r="M2493" s="64"/>
      <c r="N2493" s="33"/>
    </row>
    <row r="2494" ht="24" customHeight="1" spans="2:14">
      <c r="B2494" s="33"/>
      <c r="C2494" s="60"/>
      <c r="D2494" s="60"/>
      <c r="E2494" s="60"/>
      <c r="F2494" s="60"/>
      <c r="G2494" s="60"/>
      <c r="H2494" s="60"/>
      <c r="I2494" s="60"/>
      <c r="J2494" s="60"/>
      <c r="K2494" s="60"/>
      <c r="L2494" s="60"/>
      <c r="M2494" s="64"/>
      <c r="N2494" s="33"/>
    </row>
    <row r="2495" ht="24" customHeight="1" spans="2:14">
      <c r="B2495" s="33"/>
      <c r="C2495" s="60"/>
      <c r="D2495" s="60"/>
      <c r="E2495" s="60"/>
      <c r="F2495" s="60"/>
      <c r="G2495" s="60"/>
      <c r="H2495" s="60"/>
      <c r="I2495" s="60"/>
      <c r="J2495" s="60"/>
      <c r="K2495" s="60"/>
      <c r="L2495" s="60"/>
      <c r="M2495" s="64"/>
      <c r="N2495" s="33"/>
    </row>
    <row r="2496" ht="24" customHeight="1" spans="2:14">
      <c r="B2496" s="33"/>
      <c r="C2496" s="60"/>
      <c r="D2496" s="60"/>
      <c r="E2496" s="60"/>
      <c r="F2496" s="60"/>
      <c r="G2496" s="60"/>
      <c r="H2496" s="60"/>
      <c r="I2496" s="60"/>
      <c r="J2496" s="60"/>
      <c r="K2496" s="60"/>
      <c r="L2496" s="60"/>
      <c r="M2496" s="64"/>
      <c r="N2496" s="33"/>
    </row>
    <row r="2497" ht="24" customHeight="1" spans="2:14">
      <c r="B2497" s="33"/>
      <c r="C2497" s="60"/>
      <c r="D2497" s="60"/>
      <c r="E2497" s="60"/>
      <c r="F2497" s="60"/>
      <c r="G2497" s="60"/>
      <c r="H2497" s="60"/>
      <c r="I2497" s="60"/>
      <c r="J2497" s="60"/>
      <c r="K2497" s="60"/>
      <c r="L2497" s="60"/>
      <c r="M2497" s="64"/>
      <c r="N2497" s="33"/>
    </row>
    <row r="2498" ht="24" customHeight="1" spans="2:14">
      <c r="B2498" s="33"/>
      <c r="C2498" s="60"/>
      <c r="D2498" s="60"/>
      <c r="E2498" s="60"/>
      <c r="F2498" s="60"/>
      <c r="G2498" s="60"/>
      <c r="H2498" s="60"/>
      <c r="I2498" s="60"/>
      <c r="J2498" s="60"/>
      <c r="K2498" s="60"/>
      <c r="L2498" s="60"/>
      <c r="M2498" s="64"/>
      <c r="N2498" s="33"/>
    </row>
    <row r="2499" ht="24" customHeight="1" spans="2:14">
      <c r="B2499" s="33"/>
      <c r="C2499" s="60"/>
      <c r="D2499" s="60"/>
      <c r="E2499" s="60"/>
      <c r="F2499" s="60"/>
      <c r="G2499" s="60"/>
      <c r="H2499" s="60"/>
      <c r="I2499" s="60"/>
      <c r="J2499" s="60"/>
      <c r="K2499" s="60"/>
      <c r="L2499" s="60"/>
      <c r="M2499" s="64"/>
      <c r="N2499" s="33"/>
    </row>
    <row r="2500" ht="24" customHeight="1" spans="2:14">
      <c r="B2500" s="33"/>
      <c r="C2500" s="60"/>
      <c r="D2500" s="60"/>
      <c r="E2500" s="60"/>
      <c r="F2500" s="60"/>
      <c r="G2500" s="60"/>
      <c r="H2500" s="60"/>
      <c r="I2500" s="60"/>
      <c r="J2500" s="60"/>
      <c r="K2500" s="60"/>
      <c r="L2500" s="60"/>
      <c r="M2500" s="64"/>
      <c r="N2500" s="33"/>
    </row>
    <row r="2501" ht="24" customHeight="1" spans="2:14">
      <c r="B2501" s="33"/>
      <c r="C2501" s="60"/>
      <c r="D2501" s="60"/>
      <c r="E2501" s="60"/>
      <c r="F2501" s="60"/>
      <c r="G2501" s="60"/>
      <c r="H2501" s="60"/>
      <c r="I2501" s="60"/>
      <c r="J2501" s="60"/>
      <c r="K2501" s="60"/>
      <c r="L2501" s="60"/>
      <c r="M2501" s="64"/>
      <c r="N2501" s="33"/>
    </row>
    <row r="2502" ht="24" customHeight="1" spans="2:14">
      <c r="B2502" s="33"/>
      <c r="C2502" s="60"/>
      <c r="D2502" s="60"/>
      <c r="E2502" s="60"/>
      <c r="F2502" s="60"/>
      <c r="G2502" s="60"/>
      <c r="H2502" s="60"/>
      <c r="I2502" s="60"/>
      <c r="J2502" s="60"/>
      <c r="K2502" s="60"/>
      <c r="L2502" s="60"/>
      <c r="M2502" s="64"/>
      <c r="N2502" s="33"/>
    </row>
    <row r="2503" ht="24" customHeight="1" spans="2:14">
      <c r="B2503" s="33"/>
      <c r="C2503" s="60"/>
      <c r="D2503" s="60"/>
      <c r="E2503" s="60"/>
      <c r="F2503" s="60"/>
      <c r="G2503" s="60"/>
      <c r="H2503" s="60"/>
      <c r="I2503" s="60"/>
      <c r="J2503" s="60"/>
      <c r="K2503" s="60"/>
      <c r="L2503" s="60"/>
      <c r="M2503" s="64"/>
      <c r="N2503" s="33"/>
    </row>
    <row r="2504" ht="24" customHeight="1" spans="2:14">
      <c r="B2504" s="33"/>
      <c r="C2504" s="60"/>
      <c r="D2504" s="60"/>
      <c r="E2504" s="60"/>
      <c r="F2504" s="60"/>
      <c r="G2504" s="60"/>
      <c r="H2504" s="60"/>
      <c r="I2504" s="60"/>
      <c r="J2504" s="60"/>
      <c r="K2504" s="60"/>
      <c r="L2504" s="60"/>
      <c r="M2504" s="64"/>
      <c r="N2504" s="33"/>
    </row>
    <row r="2505" ht="24" customHeight="1" spans="2:14">
      <c r="B2505" s="33"/>
      <c r="C2505" s="60"/>
      <c r="D2505" s="60"/>
      <c r="E2505" s="60"/>
      <c r="F2505" s="60"/>
      <c r="G2505" s="60"/>
      <c r="H2505" s="60"/>
      <c r="I2505" s="60"/>
      <c r="J2505" s="60"/>
      <c r="K2505" s="60"/>
      <c r="L2505" s="60"/>
      <c r="M2505" s="64"/>
      <c r="N2505" s="33"/>
    </row>
    <row r="2506" ht="24" customHeight="1" spans="2:14">
      <c r="B2506" s="33"/>
      <c r="C2506" s="60"/>
      <c r="D2506" s="60"/>
      <c r="E2506" s="60"/>
      <c r="F2506" s="60"/>
      <c r="G2506" s="60"/>
      <c r="H2506" s="60"/>
      <c r="I2506" s="60"/>
      <c r="J2506" s="60"/>
      <c r="K2506" s="60"/>
      <c r="L2506" s="60"/>
      <c r="M2506" s="64"/>
      <c r="N2506" s="33"/>
    </row>
    <row r="2507" ht="24" customHeight="1" spans="2:14">
      <c r="B2507" s="33"/>
      <c r="C2507" s="60"/>
      <c r="D2507" s="60"/>
      <c r="E2507" s="60"/>
      <c r="F2507" s="60"/>
      <c r="G2507" s="60"/>
      <c r="H2507" s="60"/>
      <c r="I2507" s="60"/>
      <c r="J2507" s="60"/>
      <c r="K2507" s="60"/>
      <c r="L2507" s="60"/>
      <c r="M2507" s="64"/>
      <c r="N2507" s="33"/>
    </row>
    <row r="2508" ht="24" customHeight="1" spans="2:14">
      <c r="B2508" s="33"/>
      <c r="C2508" s="60"/>
      <c r="D2508" s="60"/>
      <c r="E2508" s="60"/>
      <c r="F2508" s="60"/>
      <c r="G2508" s="60"/>
      <c r="H2508" s="60"/>
      <c r="I2508" s="60"/>
      <c r="J2508" s="60"/>
      <c r="K2508" s="60"/>
      <c r="L2508" s="60"/>
      <c r="M2508" s="64"/>
      <c r="N2508" s="33"/>
    </row>
    <row r="2509" ht="24" customHeight="1" spans="2:14">
      <c r="B2509" s="33"/>
      <c r="C2509" s="60"/>
      <c r="D2509" s="60"/>
      <c r="E2509" s="60"/>
      <c r="F2509" s="60"/>
      <c r="G2509" s="60"/>
      <c r="H2509" s="60"/>
      <c r="I2509" s="60"/>
      <c r="J2509" s="60"/>
      <c r="K2509" s="60"/>
      <c r="L2509" s="60"/>
      <c r="M2509" s="64"/>
      <c r="N2509" s="33"/>
    </row>
    <row r="2510" ht="24" customHeight="1" spans="2:14">
      <c r="B2510" s="33"/>
      <c r="C2510" s="60"/>
      <c r="D2510" s="60"/>
      <c r="E2510" s="60"/>
      <c r="F2510" s="60"/>
      <c r="G2510" s="60"/>
      <c r="H2510" s="60"/>
      <c r="I2510" s="60"/>
      <c r="J2510" s="60"/>
      <c r="K2510" s="60"/>
      <c r="L2510" s="60"/>
      <c r="M2510" s="64"/>
      <c r="N2510" s="33"/>
    </row>
    <row r="2511" ht="24" customHeight="1" spans="2:14">
      <c r="B2511" s="33"/>
      <c r="C2511" s="60"/>
      <c r="D2511" s="60"/>
      <c r="E2511" s="60"/>
      <c r="F2511" s="60"/>
      <c r="G2511" s="60"/>
      <c r="H2511" s="60"/>
      <c r="I2511" s="60"/>
      <c r="J2511" s="60"/>
      <c r="K2511" s="60"/>
      <c r="L2511" s="60"/>
      <c r="M2511" s="64"/>
      <c r="N2511" s="33"/>
    </row>
    <row r="2512" ht="24" customHeight="1" spans="2:14">
      <c r="B2512" s="33"/>
      <c r="C2512" s="60"/>
      <c r="D2512" s="60"/>
      <c r="E2512" s="60"/>
      <c r="F2512" s="60"/>
      <c r="G2512" s="60"/>
      <c r="H2512" s="60"/>
      <c r="I2512" s="60"/>
      <c r="J2512" s="60"/>
      <c r="K2512" s="60"/>
      <c r="L2512" s="60"/>
      <c r="M2512" s="64"/>
      <c r="N2512" s="33"/>
    </row>
    <row r="2513" ht="24" customHeight="1" spans="2:14">
      <c r="B2513" s="33"/>
      <c r="C2513" s="60"/>
      <c r="D2513" s="60"/>
      <c r="E2513" s="60"/>
      <c r="F2513" s="60"/>
      <c r="G2513" s="60"/>
      <c r="H2513" s="60"/>
      <c r="I2513" s="60"/>
      <c r="J2513" s="60"/>
      <c r="K2513" s="60"/>
      <c r="L2513" s="60"/>
      <c r="M2513" s="64"/>
      <c r="N2513" s="33"/>
    </row>
    <row r="2514" ht="24" customHeight="1" spans="2:14">
      <c r="B2514" s="33"/>
      <c r="C2514" s="60"/>
      <c r="D2514" s="60"/>
      <c r="E2514" s="60"/>
      <c r="F2514" s="60"/>
      <c r="G2514" s="60"/>
      <c r="H2514" s="60"/>
      <c r="I2514" s="60"/>
      <c r="J2514" s="60"/>
      <c r="K2514" s="60"/>
      <c r="L2514" s="60"/>
      <c r="M2514" s="64"/>
      <c r="N2514" s="33"/>
    </row>
    <row r="2515" ht="24" customHeight="1" spans="2:14">
      <c r="B2515" s="33"/>
      <c r="C2515" s="60"/>
      <c r="D2515" s="60"/>
      <c r="E2515" s="60"/>
      <c r="F2515" s="60"/>
      <c r="G2515" s="60"/>
      <c r="H2515" s="60"/>
      <c r="I2515" s="60"/>
      <c r="J2515" s="60"/>
      <c r="K2515" s="60"/>
      <c r="L2515" s="60"/>
      <c r="M2515" s="64"/>
      <c r="N2515" s="33"/>
    </row>
    <row r="2516" ht="24" customHeight="1" spans="2:14">
      <c r="B2516" s="33"/>
      <c r="C2516" s="60"/>
      <c r="D2516" s="60"/>
      <c r="E2516" s="60"/>
      <c r="F2516" s="60"/>
      <c r="G2516" s="60"/>
      <c r="H2516" s="60"/>
      <c r="I2516" s="60"/>
      <c r="J2516" s="60"/>
      <c r="K2516" s="60"/>
      <c r="L2516" s="60"/>
      <c r="M2516" s="64"/>
      <c r="N2516" s="33"/>
    </row>
    <row r="2517" ht="24" customHeight="1" spans="2:14">
      <c r="B2517" s="33"/>
      <c r="C2517" s="60"/>
      <c r="D2517" s="60"/>
      <c r="E2517" s="60"/>
      <c r="F2517" s="60"/>
      <c r="G2517" s="60"/>
      <c r="H2517" s="60"/>
      <c r="I2517" s="60"/>
      <c r="J2517" s="60"/>
      <c r="K2517" s="60"/>
      <c r="L2517" s="60"/>
      <c r="M2517" s="64"/>
      <c r="N2517" s="33"/>
    </row>
    <row r="2518" ht="24" customHeight="1" spans="2:14">
      <c r="B2518" s="33"/>
      <c r="C2518" s="60"/>
      <c r="D2518" s="60"/>
      <c r="E2518" s="60"/>
      <c r="F2518" s="60"/>
      <c r="G2518" s="60"/>
      <c r="H2518" s="60"/>
      <c r="I2518" s="60"/>
      <c r="J2518" s="60"/>
      <c r="K2518" s="60"/>
      <c r="L2518" s="60"/>
      <c r="M2518" s="64"/>
      <c r="N2518" s="33"/>
    </row>
    <row r="2519" ht="24" customHeight="1" spans="2:14">
      <c r="B2519" s="33"/>
      <c r="C2519" s="60"/>
      <c r="D2519" s="60"/>
      <c r="E2519" s="60"/>
      <c r="F2519" s="60"/>
      <c r="G2519" s="60"/>
      <c r="H2519" s="60"/>
      <c r="I2519" s="60"/>
      <c r="J2519" s="60"/>
      <c r="K2519" s="60"/>
      <c r="L2519" s="60"/>
      <c r="M2519" s="64"/>
      <c r="N2519" s="33"/>
    </row>
    <row r="2520" ht="24" customHeight="1" spans="2:14">
      <c r="B2520" s="33"/>
      <c r="C2520" s="60"/>
      <c r="D2520" s="60"/>
      <c r="E2520" s="60"/>
      <c r="F2520" s="60"/>
      <c r="G2520" s="60"/>
      <c r="H2520" s="60"/>
      <c r="I2520" s="60"/>
      <c r="J2520" s="60"/>
      <c r="K2520" s="60"/>
      <c r="L2520" s="60"/>
      <c r="M2520" s="64"/>
      <c r="N2520" s="33"/>
    </row>
    <row r="2521" ht="24" customHeight="1" spans="2:14">
      <c r="B2521" s="33"/>
      <c r="C2521" s="60"/>
      <c r="D2521" s="60"/>
      <c r="E2521" s="60"/>
      <c r="F2521" s="60"/>
      <c r="G2521" s="60"/>
      <c r="H2521" s="60"/>
      <c r="I2521" s="60"/>
      <c r="J2521" s="60"/>
      <c r="K2521" s="60"/>
      <c r="L2521" s="60"/>
      <c r="M2521" s="64"/>
      <c r="N2521" s="33"/>
    </row>
    <row r="2522" ht="24" customHeight="1" spans="2:14">
      <c r="B2522" s="33"/>
      <c r="C2522" s="60"/>
      <c r="D2522" s="60"/>
      <c r="E2522" s="60"/>
      <c r="F2522" s="60"/>
      <c r="G2522" s="60"/>
      <c r="H2522" s="60"/>
      <c r="I2522" s="60"/>
      <c r="J2522" s="60"/>
      <c r="K2522" s="60"/>
      <c r="L2522" s="60"/>
      <c r="M2522" s="64"/>
      <c r="N2522" s="33"/>
    </row>
    <row r="2523" ht="24" customHeight="1" spans="2:14">
      <c r="B2523" s="33"/>
      <c r="C2523" s="60"/>
      <c r="D2523" s="60"/>
      <c r="E2523" s="60"/>
      <c r="F2523" s="60"/>
      <c r="G2523" s="60"/>
      <c r="H2523" s="60"/>
      <c r="I2523" s="60"/>
      <c r="J2523" s="60"/>
      <c r="K2523" s="60"/>
      <c r="L2523" s="60"/>
      <c r="M2523" s="64"/>
      <c r="N2523" s="33"/>
    </row>
    <row r="2524" ht="24" customHeight="1" spans="2:14">
      <c r="B2524" s="33"/>
      <c r="C2524" s="60"/>
      <c r="D2524" s="60"/>
      <c r="E2524" s="60"/>
      <c r="F2524" s="60"/>
      <c r="G2524" s="60"/>
      <c r="H2524" s="60"/>
      <c r="I2524" s="60"/>
      <c r="J2524" s="60"/>
      <c r="K2524" s="60"/>
      <c r="L2524" s="60"/>
      <c r="M2524" s="64"/>
      <c r="N2524" s="33"/>
    </row>
    <row r="2525" ht="24" customHeight="1" spans="2:14">
      <c r="B2525" s="33"/>
      <c r="C2525" s="60"/>
      <c r="D2525" s="60"/>
      <c r="E2525" s="60"/>
      <c r="F2525" s="60"/>
      <c r="G2525" s="60"/>
      <c r="H2525" s="60"/>
      <c r="I2525" s="60"/>
      <c r="J2525" s="60"/>
      <c r="K2525" s="60"/>
      <c r="L2525" s="60"/>
      <c r="M2525" s="64"/>
      <c r="N2525" s="33"/>
    </row>
    <row r="2526" ht="24" customHeight="1" spans="2:14">
      <c r="B2526" s="33"/>
      <c r="C2526" s="60"/>
      <c r="D2526" s="60"/>
      <c r="E2526" s="60"/>
      <c r="F2526" s="60"/>
      <c r="G2526" s="60"/>
      <c r="H2526" s="60"/>
      <c r="I2526" s="60"/>
      <c r="J2526" s="60"/>
      <c r="K2526" s="60"/>
      <c r="L2526" s="60"/>
      <c r="M2526" s="64"/>
      <c r="N2526" s="33"/>
    </row>
    <row r="2527" ht="24" customHeight="1" spans="2:14">
      <c r="B2527" s="33"/>
      <c r="C2527" s="60"/>
      <c r="D2527" s="60"/>
      <c r="E2527" s="60"/>
      <c r="F2527" s="60"/>
      <c r="G2527" s="60"/>
      <c r="H2527" s="60"/>
      <c r="I2527" s="60"/>
      <c r="J2527" s="60"/>
      <c r="K2527" s="60"/>
      <c r="L2527" s="60"/>
      <c r="M2527" s="64"/>
      <c r="N2527" s="33"/>
    </row>
    <row r="2528" ht="24" customHeight="1" spans="2:14">
      <c r="B2528" s="33"/>
      <c r="C2528" s="60"/>
      <c r="D2528" s="60"/>
      <c r="E2528" s="60"/>
      <c r="F2528" s="60"/>
      <c r="G2528" s="60"/>
      <c r="H2528" s="60"/>
      <c r="I2528" s="60"/>
      <c r="J2528" s="60"/>
      <c r="K2528" s="60"/>
      <c r="L2528" s="60"/>
      <c r="M2528" s="64"/>
      <c r="N2528" s="33"/>
    </row>
    <row r="2529" ht="24" customHeight="1" spans="2:14">
      <c r="B2529" s="33"/>
      <c r="C2529" s="60"/>
      <c r="D2529" s="60"/>
      <c r="E2529" s="60"/>
      <c r="F2529" s="60"/>
      <c r="G2529" s="60"/>
      <c r="H2529" s="60"/>
      <c r="I2529" s="60"/>
      <c r="J2529" s="60"/>
      <c r="K2529" s="60"/>
      <c r="L2529" s="60"/>
      <c r="M2529" s="64"/>
      <c r="N2529" s="33"/>
    </row>
    <row r="2530" ht="24" customHeight="1" spans="2:14">
      <c r="B2530" s="33"/>
      <c r="C2530" s="60"/>
      <c r="D2530" s="60"/>
      <c r="E2530" s="60"/>
      <c r="F2530" s="60"/>
      <c r="G2530" s="60"/>
      <c r="H2530" s="60"/>
      <c r="I2530" s="60"/>
      <c r="J2530" s="60"/>
      <c r="K2530" s="60"/>
      <c r="L2530" s="60"/>
      <c r="M2530" s="64"/>
      <c r="N2530" s="33"/>
    </row>
    <row r="2531" ht="24" customHeight="1" spans="2:14">
      <c r="B2531" s="33"/>
      <c r="C2531" s="60"/>
      <c r="D2531" s="60"/>
      <c r="E2531" s="60"/>
      <c r="F2531" s="60"/>
      <c r="G2531" s="60"/>
      <c r="H2531" s="60"/>
      <c r="I2531" s="60"/>
      <c r="J2531" s="60"/>
      <c r="K2531" s="60"/>
      <c r="L2531" s="60"/>
      <c r="M2531" s="64"/>
      <c r="N2531" s="33"/>
    </row>
    <row r="2532" ht="24" customHeight="1" spans="2:14">
      <c r="B2532" s="33"/>
      <c r="C2532" s="60"/>
      <c r="D2532" s="60"/>
      <c r="E2532" s="60"/>
      <c r="F2532" s="60"/>
      <c r="G2532" s="60"/>
      <c r="H2532" s="60"/>
      <c r="I2532" s="60"/>
      <c r="J2532" s="60"/>
      <c r="K2532" s="60"/>
      <c r="L2532" s="60"/>
      <c r="M2532" s="64"/>
      <c r="N2532" s="33"/>
    </row>
    <row r="2533" ht="24" customHeight="1" spans="2:14">
      <c r="B2533" s="33"/>
      <c r="C2533" s="60"/>
      <c r="D2533" s="60"/>
      <c r="E2533" s="60"/>
      <c r="F2533" s="60"/>
      <c r="G2533" s="60"/>
      <c r="H2533" s="60"/>
      <c r="I2533" s="60"/>
      <c r="J2533" s="60"/>
      <c r="K2533" s="60"/>
      <c r="L2533" s="60"/>
      <c r="M2533" s="64"/>
      <c r="N2533" s="33"/>
    </row>
    <row r="2534" ht="24" customHeight="1" spans="2:14">
      <c r="B2534" s="33"/>
      <c r="C2534" s="60"/>
      <c r="D2534" s="60"/>
      <c r="E2534" s="60"/>
      <c r="F2534" s="60"/>
      <c r="G2534" s="60"/>
      <c r="H2534" s="60"/>
      <c r="I2534" s="60"/>
      <c r="J2534" s="60"/>
      <c r="K2534" s="60"/>
      <c r="L2534" s="60"/>
      <c r="M2534" s="64"/>
      <c r="N2534" s="33"/>
    </row>
    <row r="2535" ht="24" customHeight="1" spans="2:14">
      <c r="B2535" s="33"/>
      <c r="C2535" s="60"/>
      <c r="D2535" s="60"/>
      <c r="E2535" s="60"/>
      <c r="F2535" s="60"/>
      <c r="G2535" s="60"/>
      <c r="H2535" s="60"/>
      <c r="I2535" s="60"/>
      <c r="J2535" s="60"/>
      <c r="K2535" s="60"/>
      <c r="L2535" s="60"/>
      <c r="M2535" s="64"/>
      <c r="N2535" s="33"/>
    </row>
    <row r="2536" ht="24" customHeight="1" spans="2:14">
      <c r="B2536" s="33"/>
      <c r="C2536" s="60"/>
      <c r="D2536" s="60"/>
      <c r="E2536" s="60"/>
      <c r="F2536" s="60"/>
      <c r="G2536" s="60"/>
      <c r="H2536" s="60"/>
      <c r="I2536" s="60"/>
      <c r="J2536" s="60"/>
      <c r="K2536" s="60"/>
      <c r="L2536" s="60"/>
      <c r="M2536" s="64"/>
      <c r="N2536" s="33"/>
    </row>
    <row r="2537" ht="24" customHeight="1" spans="2:14">
      <c r="B2537" s="33"/>
      <c r="C2537" s="60"/>
      <c r="D2537" s="60"/>
      <c r="E2537" s="60"/>
      <c r="F2537" s="60"/>
      <c r="G2537" s="60"/>
      <c r="H2537" s="60"/>
      <c r="I2537" s="60"/>
      <c r="J2537" s="60"/>
      <c r="K2537" s="60"/>
      <c r="L2537" s="60"/>
      <c r="M2537" s="64"/>
      <c r="N2537" s="33"/>
    </row>
    <row r="2538" ht="24" customHeight="1" spans="2:14">
      <c r="B2538" s="33"/>
      <c r="C2538" s="60"/>
      <c r="D2538" s="60"/>
      <c r="E2538" s="60"/>
      <c r="F2538" s="60"/>
      <c r="G2538" s="60"/>
      <c r="H2538" s="60"/>
      <c r="I2538" s="60"/>
      <c r="J2538" s="60"/>
      <c r="K2538" s="60"/>
      <c r="L2538" s="60"/>
      <c r="M2538" s="64"/>
      <c r="N2538" s="33"/>
    </row>
    <row r="2539" ht="24" customHeight="1" spans="2:14">
      <c r="B2539" s="33"/>
      <c r="C2539" s="60"/>
      <c r="D2539" s="60"/>
      <c r="E2539" s="60"/>
      <c r="F2539" s="60"/>
      <c r="G2539" s="60"/>
      <c r="H2539" s="60"/>
      <c r="I2539" s="60"/>
      <c r="J2539" s="60"/>
      <c r="K2539" s="60"/>
      <c r="L2539" s="60"/>
      <c r="M2539" s="64"/>
      <c r="N2539" s="33"/>
    </row>
    <row r="2540" ht="24" customHeight="1" spans="2:14">
      <c r="B2540" s="33"/>
      <c r="C2540" s="60"/>
      <c r="D2540" s="60"/>
      <c r="E2540" s="60"/>
      <c r="F2540" s="60"/>
      <c r="G2540" s="60"/>
      <c r="H2540" s="60"/>
      <c r="I2540" s="60"/>
      <c r="J2540" s="60"/>
      <c r="K2540" s="60"/>
      <c r="L2540" s="60"/>
      <c r="M2540" s="64"/>
      <c r="N2540" s="33"/>
    </row>
    <row r="2541" ht="24" customHeight="1" spans="2:14">
      <c r="B2541" s="33"/>
      <c r="C2541" s="60"/>
      <c r="D2541" s="60"/>
      <c r="E2541" s="60"/>
      <c r="F2541" s="60"/>
      <c r="G2541" s="60"/>
      <c r="H2541" s="60"/>
      <c r="I2541" s="60"/>
      <c r="J2541" s="60"/>
      <c r="K2541" s="60"/>
      <c r="L2541" s="60"/>
      <c r="M2541" s="64"/>
      <c r="N2541" s="33"/>
    </row>
    <row r="2542" ht="24" customHeight="1" spans="2:14">
      <c r="B2542" s="33"/>
      <c r="C2542" s="60"/>
      <c r="D2542" s="60"/>
      <c r="E2542" s="60"/>
      <c r="F2542" s="60"/>
      <c r="G2542" s="60"/>
      <c r="H2542" s="60"/>
      <c r="I2542" s="60"/>
      <c r="J2542" s="60"/>
      <c r="K2542" s="60"/>
      <c r="L2542" s="60"/>
      <c r="M2542" s="64"/>
      <c r="N2542" s="33"/>
    </row>
    <row r="2543" ht="24" customHeight="1" spans="2:14">
      <c r="B2543" s="33"/>
      <c r="C2543" s="60"/>
      <c r="D2543" s="60"/>
      <c r="E2543" s="60"/>
      <c r="F2543" s="60"/>
      <c r="G2543" s="60"/>
      <c r="H2543" s="60"/>
      <c r="I2543" s="60"/>
      <c r="J2543" s="60"/>
      <c r="K2543" s="60"/>
      <c r="L2543" s="60"/>
      <c r="M2543" s="64"/>
      <c r="N2543" s="33"/>
    </row>
    <row r="2544" ht="24" customHeight="1" spans="2:14">
      <c r="B2544" s="33"/>
      <c r="C2544" s="60"/>
      <c r="D2544" s="60"/>
      <c r="E2544" s="60"/>
      <c r="F2544" s="60"/>
      <c r="G2544" s="60"/>
      <c r="H2544" s="60"/>
      <c r="I2544" s="60"/>
      <c r="J2544" s="60"/>
      <c r="K2544" s="60"/>
      <c r="L2544" s="60"/>
      <c r="M2544" s="64"/>
      <c r="N2544" s="33"/>
    </row>
    <row r="2545" ht="24" customHeight="1" spans="2:14">
      <c r="B2545" s="33"/>
      <c r="C2545" s="60"/>
      <c r="D2545" s="60"/>
      <c r="E2545" s="60"/>
      <c r="F2545" s="60"/>
      <c r="G2545" s="60"/>
      <c r="H2545" s="60"/>
      <c r="I2545" s="60"/>
      <c r="J2545" s="60"/>
      <c r="K2545" s="60"/>
      <c r="L2545" s="60"/>
      <c r="M2545" s="64"/>
      <c r="N2545" s="33"/>
    </row>
    <row r="2546" ht="24" customHeight="1" spans="2:14">
      <c r="B2546" s="33"/>
      <c r="C2546" s="60"/>
      <c r="D2546" s="60"/>
      <c r="E2546" s="60"/>
      <c r="F2546" s="60"/>
      <c r="G2546" s="60"/>
      <c r="H2546" s="60"/>
      <c r="I2546" s="60"/>
      <c r="J2546" s="60"/>
      <c r="K2546" s="60"/>
      <c r="L2546" s="60"/>
      <c r="M2546" s="64"/>
      <c r="N2546" s="33"/>
    </row>
    <row r="2547" ht="24" customHeight="1" spans="2:14">
      <c r="B2547" s="33"/>
      <c r="C2547" s="60"/>
      <c r="D2547" s="60"/>
      <c r="E2547" s="60"/>
      <c r="F2547" s="60"/>
      <c r="G2547" s="60"/>
      <c r="H2547" s="60"/>
      <c r="I2547" s="60"/>
      <c r="J2547" s="60"/>
      <c r="K2547" s="60"/>
      <c r="L2547" s="60"/>
      <c r="M2547" s="64"/>
      <c r="N2547" s="33"/>
    </row>
    <row r="2548" ht="24" customHeight="1" spans="2:14">
      <c r="B2548" s="33"/>
      <c r="C2548" s="60"/>
      <c r="D2548" s="60"/>
      <c r="E2548" s="60"/>
      <c r="F2548" s="60"/>
      <c r="G2548" s="60"/>
      <c r="H2548" s="60"/>
      <c r="I2548" s="60"/>
      <c r="J2548" s="60"/>
      <c r="K2548" s="60"/>
      <c r="L2548" s="60"/>
      <c r="M2548" s="64"/>
      <c r="N2548" s="33"/>
    </row>
    <row r="2549" ht="24" customHeight="1" spans="2:14">
      <c r="B2549" s="33"/>
      <c r="C2549" s="60"/>
      <c r="D2549" s="60"/>
      <c r="E2549" s="60"/>
      <c r="F2549" s="60"/>
      <c r="G2549" s="60"/>
      <c r="H2549" s="60"/>
      <c r="I2549" s="60"/>
      <c r="J2549" s="60"/>
      <c r="K2549" s="60"/>
      <c r="L2549" s="60"/>
      <c r="M2549" s="64"/>
      <c r="N2549" s="33"/>
    </row>
    <row r="2550" ht="24" customHeight="1" spans="2:14">
      <c r="B2550" s="33"/>
      <c r="C2550" s="60"/>
      <c r="D2550" s="60"/>
      <c r="E2550" s="60"/>
      <c r="F2550" s="60"/>
      <c r="G2550" s="60"/>
      <c r="H2550" s="60"/>
      <c r="I2550" s="60"/>
      <c r="J2550" s="60"/>
      <c r="K2550" s="60"/>
      <c r="L2550" s="60"/>
      <c r="M2550" s="64"/>
      <c r="N2550" s="33"/>
    </row>
    <row r="2551" ht="24" customHeight="1" spans="2:14">
      <c r="B2551" s="33"/>
      <c r="C2551" s="60"/>
      <c r="D2551" s="60"/>
      <c r="E2551" s="60"/>
      <c r="F2551" s="60"/>
      <c r="G2551" s="60"/>
      <c r="H2551" s="60"/>
      <c r="I2551" s="60"/>
      <c r="J2551" s="60"/>
      <c r="K2551" s="60"/>
      <c r="L2551" s="60"/>
      <c r="M2551" s="64"/>
      <c r="N2551" s="33"/>
    </row>
    <row r="2552" ht="24" customHeight="1" spans="2:14">
      <c r="B2552" s="33"/>
      <c r="C2552" s="60"/>
      <c r="D2552" s="60"/>
      <c r="E2552" s="60"/>
      <c r="F2552" s="60"/>
      <c r="G2552" s="60"/>
      <c r="H2552" s="60"/>
      <c r="I2552" s="60"/>
      <c r="J2552" s="60"/>
      <c r="K2552" s="60"/>
      <c r="L2552" s="60"/>
      <c r="M2552" s="64"/>
      <c r="N2552" s="33"/>
    </row>
    <row r="2553" ht="24" customHeight="1" spans="2:14">
      <c r="B2553" s="33"/>
      <c r="C2553" s="60"/>
      <c r="D2553" s="60"/>
      <c r="E2553" s="60"/>
      <c r="F2553" s="60"/>
      <c r="G2553" s="60"/>
      <c r="H2553" s="60"/>
      <c r="I2553" s="60"/>
      <c r="J2553" s="60"/>
      <c r="K2553" s="60"/>
      <c r="L2553" s="60"/>
      <c r="M2553" s="64"/>
      <c r="N2553" s="33"/>
    </row>
    <row r="2554" ht="24" customHeight="1" spans="2:14">
      <c r="B2554" s="33"/>
      <c r="C2554" s="60"/>
      <c r="D2554" s="60"/>
      <c r="E2554" s="60"/>
      <c r="F2554" s="60"/>
      <c r="G2554" s="60"/>
      <c r="H2554" s="60"/>
      <c r="I2554" s="60"/>
      <c r="J2554" s="60"/>
      <c r="K2554" s="60"/>
      <c r="L2554" s="60"/>
      <c r="M2554" s="64"/>
      <c r="N2554" s="33"/>
    </row>
    <row r="2555" ht="24" customHeight="1" spans="2:14">
      <c r="B2555" s="33"/>
      <c r="C2555" s="60"/>
      <c r="D2555" s="60"/>
      <c r="E2555" s="60"/>
      <c r="F2555" s="60"/>
      <c r="G2555" s="60"/>
      <c r="H2555" s="60"/>
      <c r="I2555" s="60"/>
      <c r="J2555" s="60"/>
      <c r="K2555" s="60"/>
      <c r="L2555" s="60"/>
      <c r="M2555" s="64"/>
      <c r="N2555" s="33"/>
    </row>
    <row r="2556" ht="24" customHeight="1" spans="2:14">
      <c r="B2556" s="33"/>
      <c r="C2556" s="60"/>
      <c r="D2556" s="60"/>
      <c r="E2556" s="60"/>
      <c r="F2556" s="60"/>
      <c r="G2556" s="60"/>
      <c r="H2556" s="60"/>
      <c r="I2556" s="60"/>
      <c r="J2556" s="60"/>
      <c r="K2556" s="60"/>
      <c r="L2556" s="60"/>
      <c r="M2556" s="64"/>
      <c r="N2556" s="33"/>
    </row>
    <row r="2557" ht="24" customHeight="1" spans="2:14">
      <c r="B2557" s="33"/>
      <c r="C2557" s="60"/>
      <c r="D2557" s="60"/>
      <c r="E2557" s="60"/>
      <c r="F2557" s="60"/>
      <c r="G2557" s="60"/>
      <c r="H2557" s="60"/>
      <c r="I2557" s="60"/>
      <c r="J2557" s="60"/>
      <c r="K2557" s="60"/>
      <c r="L2557" s="60"/>
      <c r="M2557" s="64"/>
      <c r="N2557" s="33"/>
    </row>
    <row r="2558" ht="24" customHeight="1" spans="2:14">
      <c r="B2558" s="33"/>
      <c r="C2558" s="60"/>
      <c r="D2558" s="60"/>
      <c r="E2558" s="60"/>
      <c r="F2558" s="60"/>
      <c r="G2558" s="60"/>
      <c r="H2558" s="60"/>
      <c r="I2558" s="60"/>
      <c r="J2558" s="60"/>
      <c r="K2558" s="60"/>
      <c r="L2558" s="60"/>
      <c r="M2558" s="64"/>
      <c r="N2558" s="33"/>
    </row>
    <row r="2559" ht="24" customHeight="1" spans="2:14">
      <c r="B2559" s="33"/>
      <c r="C2559" s="60"/>
      <c r="D2559" s="60"/>
      <c r="E2559" s="60"/>
      <c r="F2559" s="60"/>
      <c r="G2559" s="60"/>
      <c r="H2559" s="60"/>
      <c r="I2559" s="60"/>
      <c r="J2559" s="60"/>
      <c r="K2559" s="60"/>
      <c r="L2559" s="60"/>
      <c r="M2559" s="64"/>
      <c r="N2559" s="33"/>
    </row>
    <row r="2560" ht="24" customHeight="1" spans="2:14">
      <c r="B2560" s="33"/>
      <c r="C2560" s="60"/>
      <c r="D2560" s="60"/>
      <c r="E2560" s="60"/>
      <c r="F2560" s="60"/>
      <c r="G2560" s="60"/>
      <c r="H2560" s="60"/>
      <c r="I2560" s="60"/>
      <c r="J2560" s="60"/>
      <c r="K2560" s="60"/>
      <c r="L2560" s="60"/>
      <c r="M2560" s="64"/>
      <c r="N2560" s="33"/>
    </row>
    <row r="2561" ht="24" customHeight="1" spans="2:14">
      <c r="B2561" s="33"/>
      <c r="C2561" s="60"/>
      <c r="D2561" s="60"/>
      <c r="E2561" s="60"/>
      <c r="F2561" s="60"/>
      <c r="G2561" s="60"/>
      <c r="H2561" s="60"/>
      <c r="I2561" s="60"/>
      <c r="J2561" s="60"/>
      <c r="K2561" s="60"/>
      <c r="L2561" s="60"/>
      <c r="M2561" s="64"/>
      <c r="N2561" s="33"/>
    </row>
    <row r="2562" ht="24" customHeight="1" spans="2:14">
      <c r="B2562" s="33"/>
      <c r="C2562" s="60"/>
      <c r="D2562" s="60"/>
      <c r="E2562" s="60"/>
      <c r="F2562" s="60"/>
      <c r="G2562" s="60"/>
      <c r="H2562" s="60"/>
      <c r="I2562" s="60"/>
      <c r="J2562" s="60"/>
      <c r="K2562" s="60"/>
      <c r="L2562" s="60"/>
      <c r="M2562" s="64"/>
      <c r="N2562" s="33"/>
    </row>
    <row r="2563" ht="24" customHeight="1" spans="2:14">
      <c r="B2563" s="33"/>
      <c r="C2563" s="60"/>
      <c r="D2563" s="60"/>
      <c r="E2563" s="60"/>
      <c r="F2563" s="60"/>
      <c r="G2563" s="60"/>
      <c r="H2563" s="60"/>
      <c r="I2563" s="60"/>
      <c r="J2563" s="60"/>
      <c r="K2563" s="60"/>
      <c r="L2563" s="60"/>
      <c r="M2563" s="64"/>
      <c r="N2563" s="33"/>
    </row>
    <row r="2564" ht="24" customHeight="1" spans="2:14">
      <c r="B2564" s="33"/>
      <c r="C2564" s="60"/>
      <c r="D2564" s="60"/>
      <c r="E2564" s="60"/>
      <c r="F2564" s="60"/>
      <c r="G2564" s="60"/>
      <c r="H2564" s="60"/>
      <c r="I2564" s="60"/>
      <c r="J2564" s="60"/>
      <c r="K2564" s="60"/>
      <c r="L2564" s="60"/>
      <c r="M2564" s="64"/>
      <c r="N2564" s="33"/>
    </row>
    <row r="2565" ht="24" customHeight="1" spans="2:14">
      <c r="B2565" s="33"/>
      <c r="C2565" s="60"/>
      <c r="D2565" s="60"/>
      <c r="E2565" s="60"/>
      <c r="F2565" s="60"/>
      <c r="G2565" s="60"/>
      <c r="H2565" s="60"/>
      <c r="I2565" s="60"/>
      <c r="J2565" s="60"/>
      <c r="K2565" s="60"/>
      <c r="L2565" s="60"/>
      <c r="M2565" s="64"/>
      <c r="N2565" s="33"/>
    </row>
    <row r="2566" ht="24" customHeight="1" spans="2:14">
      <c r="B2566" s="33"/>
      <c r="C2566" s="60"/>
      <c r="D2566" s="60"/>
      <c r="E2566" s="60"/>
      <c r="F2566" s="60"/>
      <c r="G2566" s="60"/>
      <c r="H2566" s="60"/>
      <c r="I2566" s="60"/>
      <c r="J2566" s="60"/>
      <c r="K2566" s="60"/>
      <c r="L2566" s="60"/>
      <c r="M2566" s="64"/>
      <c r="N2566" s="33"/>
    </row>
    <row r="2567" ht="24" customHeight="1" spans="2:14">
      <c r="B2567" s="33"/>
      <c r="C2567" s="60"/>
      <c r="D2567" s="60"/>
      <c r="E2567" s="60"/>
      <c r="F2567" s="60"/>
      <c r="G2567" s="60"/>
      <c r="H2567" s="60"/>
      <c r="I2567" s="60"/>
      <c r="J2567" s="60"/>
      <c r="K2567" s="60"/>
      <c r="L2567" s="60"/>
      <c r="M2567" s="64"/>
      <c r="N2567" s="33"/>
    </row>
    <row r="2568" ht="24" customHeight="1" spans="2:14">
      <c r="B2568" s="33"/>
      <c r="C2568" s="60"/>
      <c r="D2568" s="60"/>
      <c r="E2568" s="60"/>
      <c r="F2568" s="60"/>
      <c r="G2568" s="60"/>
      <c r="H2568" s="60"/>
      <c r="I2568" s="60"/>
      <c r="J2568" s="60"/>
      <c r="K2568" s="60"/>
      <c r="L2568" s="60"/>
      <c r="M2568" s="64"/>
      <c r="N2568" s="33"/>
    </row>
    <row r="2569" ht="24" customHeight="1" spans="2:14">
      <c r="B2569" s="33"/>
      <c r="C2569" s="60"/>
      <c r="D2569" s="60"/>
      <c r="E2569" s="60"/>
      <c r="F2569" s="60"/>
      <c r="G2569" s="60"/>
      <c r="H2569" s="60"/>
      <c r="I2569" s="60"/>
      <c r="J2569" s="60"/>
      <c r="K2569" s="60"/>
      <c r="L2569" s="60"/>
      <c r="M2569" s="64"/>
      <c r="N2569" s="33"/>
    </row>
    <row r="2570" ht="24" customHeight="1" spans="2:14">
      <c r="B2570" s="33"/>
      <c r="C2570" s="60"/>
      <c r="D2570" s="60"/>
      <c r="E2570" s="60"/>
      <c r="F2570" s="60"/>
      <c r="G2570" s="60"/>
      <c r="H2570" s="60"/>
      <c r="I2570" s="60"/>
      <c r="J2570" s="60"/>
      <c r="K2570" s="60"/>
      <c r="L2570" s="60"/>
      <c r="M2570" s="64"/>
      <c r="N2570" s="33"/>
    </row>
    <row r="2571" ht="24" customHeight="1" spans="2:14">
      <c r="B2571" s="33"/>
      <c r="C2571" s="60"/>
      <c r="D2571" s="60"/>
      <c r="E2571" s="60"/>
      <c r="F2571" s="60"/>
      <c r="G2571" s="60"/>
      <c r="H2571" s="60"/>
      <c r="I2571" s="60"/>
      <c r="J2571" s="60"/>
      <c r="K2571" s="60"/>
      <c r="L2571" s="60"/>
      <c r="M2571" s="64"/>
      <c r="N2571" s="33"/>
    </row>
    <row r="2572" ht="24" customHeight="1" spans="2:14">
      <c r="B2572" s="33"/>
      <c r="C2572" s="60"/>
      <c r="D2572" s="60"/>
      <c r="E2572" s="60"/>
      <c r="F2572" s="60"/>
      <c r="G2572" s="60"/>
      <c r="H2572" s="60"/>
      <c r="I2572" s="60"/>
      <c r="J2572" s="60"/>
      <c r="K2572" s="60"/>
      <c r="L2572" s="60"/>
      <c r="M2572" s="64"/>
      <c r="N2572" s="33"/>
    </row>
    <row r="2573" ht="24" customHeight="1" spans="2:14">
      <c r="B2573" s="33"/>
      <c r="C2573" s="60"/>
      <c r="D2573" s="60"/>
      <c r="E2573" s="60"/>
      <c r="F2573" s="60"/>
      <c r="G2573" s="60"/>
      <c r="H2573" s="60"/>
      <c r="I2573" s="60"/>
      <c r="J2573" s="60"/>
      <c r="K2573" s="60"/>
      <c r="L2573" s="60"/>
      <c r="M2573" s="64"/>
      <c r="N2573" s="33"/>
    </row>
    <row r="2574" ht="24" customHeight="1" spans="2:14">
      <c r="B2574" s="33"/>
      <c r="C2574" s="60"/>
      <c r="D2574" s="60"/>
      <c r="E2574" s="60"/>
      <c r="F2574" s="60"/>
      <c r="G2574" s="60"/>
      <c r="H2574" s="60"/>
      <c r="I2574" s="60"/>
      <c r="J2574" s="60"/>
      <c r="K2574" s="60"/>
      <c r="L2574" s="60"/>
      <c r="M2574" s="64"/>
      <c r="N2574" s="33"/>
    </row>
    <row r="2575" ht="24" customHeight="1" spans="2:14">
      <c r="B2575" s="33"/>
      <c r="C2575" s="60"/>
      <c r="D2575" s="60"/>
      <c r="E2575" s="60"/>
      <c r="F2575" s="60"/>
      <c r="G2575" s="60"/>
      <c r="H2575" s="60"/>
      <c r="I2575" s="60"/>
      <c r="J2575" s="60"/>
      <c r="K2575" s="60"/>
      <c r="L2575" s="60"/>
      <c r="M2575" s="64"/>
      <c r="N2575" s="33"/>
    </row>
    <row r="2576" ht="24" customHeight="1" spans="2:14">
      <c r="B2576" s="33"/>
      <c r="C2576" s="60"/>
      <c r="D2576" s="60"/>
      <c r="E2576" s="60"/>
      <c r="F2576" s="60"/>
      <c r="G2576" s="60"/>
      <c r="H2576" s="60"/>
      <c r="I2576" s="60"/>
      <c r="J2576" s="60"/>
      <c r="K2576" s="60"/>
      <c r="L2576" s="60"/>
      <c r="M2576" s="64"/>
      <c r="N2576" s="33"/>
    </row>
    <row r="2577" ht="24" customHeight="1" spans="2:14">
      <c r="B2577" s="33"/>
      <c r="C2577" s="60"/>
      <c r="D2577" s="60"/>
      <c r="E2577" s="60"/>
      <c r="F2577" s="60"/>
      <c r="G2577" s="60"/>
      <c r="H2577" s="60"/>
      <c r="I2577" s="60"/>
      <c r="J2577" s="60"/>
      <c r="K2577" s="60"/>
      <c r="L2577" s="60"/>
      <c r="M2577" s="64"/>
      <c r="N2577" s="33"/>
    </row>
    <row r="2578" ht="24" customHeight="1" spans="2:14">
      <c r="B2578" s="33"/>
      <c r="C2578" s="60"/>
      <c r="D2578" s="60"/>
      <c r="E2578" s="60"/>
      <c r="F2578" s="60"/>
      <c r="G2578" s="60"/>
      <c r="H2578" s="60"/>
      <c r="I2578" s="60"/>
      <c r="J2578" s="60"/>
      <c r="K2578" s="60"/>
      <c r="L2578" s="60"/>
      <c r="M2578" s="64"/>
      <c r="N2578" s="33"/>
    </row>
    <row r="2579" ht="24" customHeight="1" spans="2:14">
      <c r="B2579" s="33"/>
      <c r="C2579" s="60"/>
      <c r="D2579" s="60"/>
      <c r="E2579" s="60"/>
      <c r="F2579" s="60"/>
      <c r="G2579" s="60"/>
      <c r="H2579" s="60"/>
      <c r="I2579" s="60"/>
      <c r="J2579" s="60"/>
      <c r="K2579" s="60"/>
      <c r="L2579" s="60"/>
      <c r="M2579" s="64"/>
      <c r="N2579" s="33"/>
    </row>
    <row r="2580" ht="24" customHeight="1" spans="2:14">
      <c r="B2580" s="33"/>
      <c r="C2580" s="60"/>
      <c r="D2580" s="60"/>
      <c r="E2580" s="60"/>
      <c r="F2580" s="60"/>
      <c r="G2580" s="60"/>
      <c r="H2580" s="60"/>
      <c r="I2580" s="60"/>
      <c r="J2580" s="60"/>
      <c r="K2580" s="60"/>
      <c r="L2580" s="60"/>
      <c r="M2580" s="64"/>
      <c r="N2580" s="33"/>
    </row>
    <row r="2581" ht="24" customHeight="1" spans="2:14">
      <c r="B2581" s="33"/>
      <c r="C2581" s="60"/>
      <c r="D2581" s="60"/>
      <c r="E2581" s="60"/>
      <c r="F2581" s="60"/>
      <c r="G2581" s="60"/>
      <c r="H2581" s="60"/>
      <c r="I2581" s="60"/>
      <c r="J2581" s="60"/>
      <c r="K2581" s="60"/>
      <c r="L2581" s="60"/>
      <c r="M2581" s="64"/>
      <c r="N2581" s="33"/>
    </row>
    <row r="2582" ht="24" customHeight="1" spans="2:14">
      <c r="B2582" s="33"/>
      <c r="C2582" s="60"/>
      <c r="D2582" s="60"/>
      <c r="E2582" s="60"/>
      <c r="F2582" s="60"/>
      <c r="G2582" s="60"/>
      <c r="H2582" s="60"/>
      <c r="I2582" s="60"/>
      <c r="J2582" s="60"/>
      <c r="K2582" s="60"/>
      <c r="L2582" s="60"/>
      <c r="M2582" s="64"/>
      <c r="N2582" s="33"/>
    </row>
    <row r="2583" ht="24" customHeight="1" spans="2:14">
      <c r="B2583" s="33"/>
      <c r="C2583" s="60"/>
      <c r="D2583" s="60"/>
      <c r="E2583" s="60"/>
      <c r="F2583" s="60"/>
      <c r="G2583" s="60"/>
      <c r="H2583" s="60"/>
      <c r="I2583" s="60"/>
      <c r="J2583" s="60"/>
      <c r="K2583" s="60"/>
      <c r="L2583" s="60"/>
      <c r="M2583" s="64"/>
      <c r="N2583" s="33"/>
    </row>
    <row r="2584" ht="24" customHeight="1" spans="2:14">
      <c r="B2584" s="33"/>
      <c r="C2584" s="60"/>
      <c r="D2584" s="60"/>
      <c r="E2584" s="60"/>
      <c r="F2584" s="60"/>
      <c r="G2584" s="60"/>
      <c r="H2584" s="60"/>
      <c r="I2584" s="60"/>
      <c r="J2584" s="60"/>
      <c r="K2584" s="60"/>
      <c r="L2584" s="60"/>
      <c r="M2584" s="64"/>
      <c r="N2584" s="33"/>
    </row>
    <row r="2585" ht="24" customHeight="1" spans="2:14">
      <c r="B2585" s="33"/>
      <c r="C2585" s="60"/>
      <c r="D2585" s="60"/>
      <c r="E2585" s="60"/>
      <c r="F2585" s="60"/>
      <c r="G2585" s="60"/>
      <c r="H2585" s="60"/>
      <c r="I2585" s="60"/>
      <c r="J2585" s="60"/>
      <c r="K2585" s="60"/>
      <c r="L2585" s="60"/>
      <c r="M2585" s="64"/>
      <c r="N2585" s="33"/>
    </row>
    <row r="2586" ht="24" customHeight="1" spans="2:14">
      <c r="B2586" s="33"/>
      <c r="C2586" s="60"/>
      <c r="D2586" s="60"/>
      <c r="E2586" s="60"/>
      <c r="F2586" s="60"/>
      <c r="G2586" s="60"/>
      <c r="H2586" s="60"/>
      <c r="I2586" s="60"/>
      <c r="J2586" s="60"/>
      <c r="K2586" s="60"/>
      <c r="L2586" s="60"/>
      <c r="M2586" s="64"/>
      <c r="N2586" s="33"/>
    </row>
    <row r="2587" ht="24" customHeight="1" spans="2:14">
      <c r="B2587" s="33"/>
      <c r="C2587" s="60"/>
      <c r="D2587" s="60"/>
      <c r="E2587" s="60"/>
      <c r="F2587" s="60"/>
      <c r="G2587" s="60"/>
      <c r="H2587" s="60"/>
      <c r="I2587" s="60"/>
      <c r="J2587" s="60"/>
      <c r="K2587" s="60"/>
      <c r="L2587" s="60"/>
      <c r="M2587" s="64"/>
      <c r="N2587" s="33"/>
    </row>
    <row r="2588" ht="24" customHeight="1" spans="2:14">
      <c r="B2588" s="33"/>
      <c r="C2588" s="60"/>
      <c r="D2588" s="60"/>
      <c r="E2588" s="60"/>
      <c r="F2588" s="60"/>
      <c r="G2588" s="60"/>
      <c r="H2588" s="60"/>
      <c r="I2588" s="60"/>
      <c r="J2588" s="60"/>
      <c r="K2588" s="60"/>
      <c r="L2588" s="60"/>
      <c r="M2588" s="64"/>
      <c r="N2588" s="33"/>
    </row>
    <row r="2589" ht="24" customHeight="1" spans="2:14">
      <c r="B2589" s="33"/>
      <c r="C2589" s="60"/>
      <c r="D2589" s="60"/>
      <c r="E2589" s="60"/>
      <c r="F2589" s="60"/>
      <c r="G2589" s="60"/>
      <c r="H2589" s="60"/>
      <c r="I2589" s="60"/>
      <c r="J2589" s="60"/>
      <c r="K2589" s="60"/>
      <c r="L2589" s="60"/>
      <c r="M2589" s="64"/>
      <c r="N2589" s="33"/>
    </row>
    <row r="2590" ht="24" customHeight="1" spans="2:14">
      <c r="B2590" s="33"/>
      <c r="C2590" s="60"/>
      <c r="D2590" s="60"/>
      <c r="E2590" s="60"/>
      <c r="F2590" s="60"/>
      <c r="G2590" s="60"/>
      <c r="H2590" s="60"/>
      <c r="I2590" s="60"/>
      <c r="J2590" s="60"/>
      <c r="K2590" s="60"/>
      <c r="L2590" s="60"/>
      <c r="M2590" s="64"/>
      <c r="N2590" s="33"/>
    </row>
    <row r="2591" ht="24" customHeight="1" spans="2:14">
      <c r="B2591" s="33"/>
      <c r="C2591" s="60"/>
      <c r="D2591" s="60"/>
      <c r="E2591" s="60"/>
      <c r="F2591" s="60"/>
      <c r="G2591" s="60"/>
      <c r="H2591" s="60"/>
      <c r="I2591" s="60"/>
      <c r="J2591" s="60"/>
      <c r="K2591" s="60"/>
      <c r="L2591" s="60"/>
      <c r="M2591" s="64"/>
      <c r="N2591" s="33"/>
    </row>
    <row r="2592" ht="24" customHeight="1" spans="2:14">
      <c r="B2592" s="33"/>
      <c r="C2592" s="60"/>
      <c r="D2592" s="60"/>
      <c r="E2592" s="60"/>
      <c r="F2592" s="60"/>
      <c r="G2592" s="60"/>
      <c r="H2592" s="60"/>
      <c r="I2592" s="60"/>
      <c r="J2592" s="60"/>
      <c r="K2592" s="60"/>
      <c r="L2592" s="60"/>
      <c r="M2592" s="64"/>
      <c r="N2592" s="33"/>
    </row>
    <row r="2593" ht="24" customHeight="1" spans="2:14">
      <c r="B2593" s="33"/>
      <c r="C2593" s="60"/>
      <c r="D2593" s="60"/>
      <c r="E2593" s="60"/>
      <c r="F2593" s="60"/>
      <c r="G2593" s="60"/>
      <c r="H2593" s="60"/>
      <c r="I2593" s="60"/>
      <c r="J2593" s="60"/>
      <c r="K2593" s="60"/>
      <c r="L2593" s="60"/>
      <c r="M2593" s="64"/>
      <c r="N2593" s="33"/>
    </row>
    <row r="2594" ht="24" customHeight="1" spans="2:14">
      <c r="B2594" s="33"/>
      <c r="C2594" s="60"/>
      <c r="D2594" s="60"/>
      <c r="E2594" s="60"/>
      <c r="F2594" s="60"/>
      <c r="G2594" s="60"/>
      <c r="H2594" s="60"/>
      <c r="I2594" s="60"/>
      <c r="J2594" s="60"/>
      <c r="K2594" s="60"/>
      <c r="L2594" s="60"/>
      <c r="M2594" s="64"/>
      <c r="N2594" s="33"/>
    </row>
    <row r="2595" ht="24" customHeight="1" spans="2:14">
      <c r="B2595" s="33"/>
      <c r="C2595" s="60"/>
      <c r="D2595" s="60"/>
      <c r="E2595" s="60"/>
      <c r="F2595" s="60"/>
      <c r="G2595" s="60"/>
      <c r="H2595" s="60"/>
      <c r="I2595" s="60"/>
      <c r="J2595" s="60"/>
      <c r="K2595" s="60"/>
      <c r="L2595" s="60"/>
      <c r="M2595" s="64"/>
      <c r="N2595" s="33"/>
    </row>
    <row r="2596" ht="24" customHeight="1" spans="2:14">
      <c r="B2596" s="33"/>
      <c r="C2596" s="60"/>
      <c r="D2596" s="60"/>
      <c r="E2596" s="60"/>
      <c r="F2596" s="60"/>
      <c r="G2596" s="60"/>
      <c r="H2596" s="60"/>
      <c r="I2596" s="60"/>
      <c r="J2596" s="60"/>
      <c r="K2596" s="60"/>
      <c r="L2596" s="60"/>
      <c r="M2596" s="64"/>
      <c r="N2596" s="33"/>
    </row>
    <row r="2597" ht="24" customHeight="1" spans="2:14">
      <c r="B2597" s="33"/>
      <c r="C2597" s="60"/>
      <c r="D2597" s="60"/>
      <c r="E2597" s="60"/>
      <c r="F2597" s="60"/>
      <c r="G2597" s="60"/>
      <c r="H2597" s="60"/>
      <c r="I2597" s="60"/>
      <c r="J2597" s="60"/>
      <c r="K2597" s="60"/>
      <c r="L2597" s="60"/>
      <c r="M2597" s="64"/>
      <c r="N2597" s="33"/>
    </row>
    <row r="2598" ht="24" customHeight="1" spans="2:14">
      <c r="B2598" s="33"/>
      <c r="C2598" s="60"/>
      <c r="D2598" s="60"/>
      <c r="E2598" s="60"/>
      <c r="F2598" s="60"/>
      <c r="G2598" s="60"/>
      <c r="H2598" s="60"/>
      <c r="I2598" s="60"/>
      <c r="J2598" s="60"/>
      <c r="K2598" s="60"/>
      <c r="L2598" s="60"/>
      <c r="M2598" s="64"/>
      <c r="N2598" s="33"/>
    </row>
    <row r="2599" ht="24" customHeight="1" spans="2:14">
      <c r="B2599" s="33"/>
      <c r="C2599" s="60"/>
      <c r="D2599" s="60"/>
      <c r="E2599" s="60"/>
      <c r="F2599" s="60"/>
      <c r="G2599" s="60"/>
      <c r="H2599" s="60"/>
      <c r="I2599" s="60"/>
      <c r="J2599" s="60"/>
      <c r="K2599" s="60"/>
      <c r="L2599" s="60"/>
      <c r="M2599" s="64"/>
      <c r="N2599" s="33"/>
    </row>
    <row r="2600" ht="24" customHeight="1" spans="2:14">
      <c r="B2600" s="33"/>
      <c r="C2600" s="60"/>
      <c r="D2600" s="60"/>
      <c r="E2600" s="60"/>
      <c r="F2600" s="60"/>
      <c r="G2600" s="60"/>
      <c r="H2600" s="60"/>
      <c r="I2600" s="60"/>
      <c r="J2600" s="60"/>
      <c r="K2600" s="60"/>
      <c r="L2600" s="60"/>
      <c r="M2600" s="64"/>
      <c r="N2600" s="33"/>
    </row>
    <row r="2601" ht="24" customHeight="1" spans="2:14">
      <c r="B2601" s="33"/>
      <c r="C2601" s="60"/>
      <c r="D2601" s="60"/>
      <c r="E2601" s="60"/>
      <c r="F2601" s="60"/>
      <c r="G2601" s="60"/>
      <c r="H2601" s="60"/>
      <c r="I2601" s="60"/>
      <c r="J2601" s="60"/>
      <c r="K2601" s="60"/>
      <c r="L2601" s="60"/>
      <c r="M2601" s="64"/>
      <c r="N2601" s="33"/>
    </row>
    <row r="2602" ht="24" customHeight="1" spans="2:14">
      <c r="B2602" s="33"/>
      <c r="C2602" s="60"/>
      <c r="D2602" s="60"/>
      <c r="E2602" s="60"/>
      <c r="F2602" s="60"/>
      <c r="G2602" s="60"/>
      <c r="H2602" s="60"/>
      <c r="I2602" s="60"/>
      <c r="J2602" s="60"/>
      <c r="K2602" s="60"/>
      <c r="L2602" s="60"/>
      <c r="M2602" s="64"/>
      <c r="N2602" s="33"/>
    </row>
    <row r="2603" ht="24" customHeight="1" spans="2:14">
      <c r="B2603" s="33"/>
      <c r="C2603" s="60"/>
      <c r="D2603" s="60"/>
      <c r="E2603" s="60"/>
      <c r="F2603" s="60"/>
      <c r="G2603" s="60"/>
      <c r="H2603" s="60"/>
      <c r="I2603" s="60"/>
      <c r="J2603" s="60"/>
      <c r="K2603" s="60"/>
      <c r="L2603" s="60"/>
      <c r="M2603" s="64"/>
      <c r="N2603" s="33"/>
    </row>
    <row r="2604" ht="24" customHeight="1" spans="2:14">
      <c r="B2604" s="33"/>
      <c r="C2604" s="60"/>
      <c r="D2604" s="60"/>
      <c r="E2604" s="60"/>
      <c r="F2604" s="60"/>
      <c r="G2604" s="60"/>
      <c r="H2604" s="60"/>
      <c r="I2604" s="60"/>
      <c r="J2604" s="60"/>
      <c r="K2604" s="60"/>
      <c r="L2604" s="60"/>
      <c r="M2604" s="64"/>
      <c r="N2604" s="33"/>
    </row>
    <row r="2605" ht="24" customHeight="1" spans="2:14">
      <c r="B2605" s="33"/>
      <c r="C2605" s="60"/>
      <c r="D2605" s="60"/>
      <c r="E2605" s="60"/>
      <c r="F2605" s="60"/>
      <c r="G2605" s="60"/>
      <c r="H2605" s="60"/>
      <c r="I2605" s="60"/>
      <c r="J2605" s="60"/>
      <c r="K2605" s="60"/>
      <c r="L2605" s="60"/>
      <c r="M2605" s="64"/>
      <c r="N2605" s="33"/>
    </row>
    <row r="2606" ht="24" customHeight="1" spans="2:14">
      <c r="B2606" s="33"/>
      <c r="C2606" s="60"/>
      <c r="D2606" s="60"/>
      <c r="E2606" s="60"/>
      <c r="F2606" s="60"/>
      <c r="G2606" s="60"/>
      <c r="H2606" s="60"/>
      <c r="I2606" s="60"/>
      <c r="J2606" s="60"/>
      <c r="K2606" s="60"/>
      <c r="L2606" s="60"/>
      <c r="M2606" s="64"/>
      <c r="N2606" s="33"/>
    </row>
    <row r="2607" ht="24" customHeight="1" spans="2:14">
      <c r="B2607" s="33"/>
      <c r="C2607" s="60"/>
      <c r="D2607" s="60"/>
      <c r="E2607" s="60"/>
      <c r="F2607" s="60"/>
      <c r="G2607" s="60"/>
      <c r="H2607" s="60"/>
      <c r="I2607" s="60"/>
      <c r="J2607" s="60"/>
      <c r="K2607" s="60"/>
      <c r="L2607" s="60"/>
      <c r="M2607" s="64"/>
      <c r="N2607" s="33"/>
    </row>
    <row r="2608" ht="24" customHeight="1" spans="2:14">
      <c r="B2608" s="33"/>
      <c r="C2608" s="60"/>
      <c r="D2608" s="60"/>
      <c r="E2608" s="60"/>
      <c r="F2608" s="60"/>
      <c r="G2608" s="60"/>
      <c r="H2608" s="60"/>
      <c r="I2608" s="60"/>
      <c r="J2608" s="60"/>
      <c r="K2608" s="60"/>
      <c r="L2608" s="60"/>
      <c r="M2608" s="64"/>
      <c r="N2608" s="33"/>
    </row>
    <row r="2609" ht="24" customHeight="1" spans="2:14">
      <c r="B2609" s="33"/>
      <c r="C2609" s="60"/>
      <c r="D2609" s="60"/>
      <c r="E2609" s="60"/>
      <c r="F2609" s="60"/>
      <c r="G2609" s="60"/>
      <c r="H2609" s="60"/>
      <c r="I2609" s="60"/>
      <c r="J2609" s="60"/>
      <c r="K2609" s="60"/>
      <c r="L2609" s="60"/>
      <c r="M2609" s="64"/>
      <c r="N2609" s="33"/>
    </row>
    <row r="2610" ht="24" customHeight="1" spans="2:14">
      <c r="B2610" s="33"/>
      <c r="C2610" s="60"/>
      <c r="D2610" s="60"/>
      <c r="E2610" s="60"/>
      <c r="F2610" s="60"/>
      <c r="G2610" s="60"/>
      <c r="H2610" s="60"/>
      <c r="I2610" s="60"/>
      <c r="J2610" s="60"/>
      <c r="K2610" s="60"/>
      <c r="L2610" s="60"/>
      <c r="M2610" s="64"/>
      <c r="N2610" s="33"/>
    </row>
    <row r="2611" ht="24" customHeight="1" spans="2:14">
      <c r="B2611" s="33"/>
      <c r="C2611" s="60"/>
      <c r="D2611" s="60"/>
      <c r="E2611" s="60"/>
      <c r="F2611" s="60"/>
      <c r="G2611" s="60"/>
      <c r="H2611" s="60"/>
      <c r="I2611" s="60"/>
      <c r="J2611" s="60"/>
      <c r="K2611" s="60"/>
      <c r="L2611" s="60"/>
      <c r="M2611" s="64"/>
      <c r="N2611" s="33"/>
    </row>
    <row r="2612" ht="24" customHeight="1" spans="2:14">
      <c r="B2612" s="33"/>
      <c r="C2612" s="60"/>
      <c r="D2612" s="60"/>
      <c r="E2612" s="60"/>
      <c r="F2612" s="60"/>
      <c r="G2612" s="60"/>
      <c r="H2612" s="60"/>
      <c r="I2612" s="60"/>
      <c r="J2612" s="60"/>
      <c r="K2612" s="60"/>
      <c r="L2612" s="60"/>
      <c r="M2612" s="64"/>
      <c r="N2612" s="33"/>
    </row>
    <row r="2613" ht="24" customHeight="1" spans="2:14">
      <c r="B2613" s="33"/>
      <c r="C2613" s="60"/>
      <c r="D2613" s="60"/>
      <c r="E2613" s="60"/>
      <c r="F2613" s="60"/>
      <c r="G2613" s="60"/>
      <c r="H2613" s="60"/>
      <c r="I2613" s="60"/>
      <c r="J2613" s="60"/>
      <c r="K2613" s="60"/>
      <c r="L2613" s="60"/>
      <c r="M2613" s="64"/>
      <c r="N2613" s="33"/>
    </row>
    <row r="2614" ht="24" customHeight="1" spans="2:14">
      <c r="B2614" s="33"/>
      <c r="C2614" s="60"/>
      <c r="D2614" s="60"/>
      <c r="E2614" s="60"/>
      <c r="F2614" s="60"/>
      <c r="G2614" s="60"/>
      <c r="H2614" s="60"/>
      <c r="I2614" s="60"/>
      <c r="J2614" s="60"/>
      <c r="K2614" s="60"/>
      <c r="L2614" s="60"/>
      <c r="M2614" s="64"/>
      <c r="N2614" s="33"/>
    </row>
    <row r="2615" ht="24" customHeight="1" spans="2:14">
      <c r="B2615" s="33"/>
      <c r="C2615" s="60"/>
      <c r="D2615" s="60"/>
      <c r="E2615" s="60"/>
      <c r="F2615" s="60"/>
      <c r="G2615" s="60"/>
      <c r="H2615" s="60"/>
      <c r="I2615" s="60"/>
      <c r="J2615" s="60"/>
      <c r="K2615" s="60"/>
      <c r="L2615" s="60"/>
      <c r="M2615" s="64"/>
      <c r="N2615" s="33"/>
    </row>
    <row r="2616" ht="24" customHeight="1" spans="2:14">
      <c r="B2616" s="33"/>
      <c r="C2616" s="60"/>
      <c r="D2616" s="60"/>
      <c r="E2616" s="60"/>
      <c r="F2616" s="60"/>
      <c r="G2616" s="60"/>
      <c r="H2616" s="60"/>
      <c r="I2616" s="60"/>
      <c r="J2616" s="60"/>
      <c r="K2616" s="60"/>
      <c r="L2616" s="60"/>
      <c r="M2616" s="64"/>
      <c r="N2616" s="33"/>
    </row>
    <row r="2617" ht="24" customHeight="1" spans="2:14">
      <c r="B2617" s="33"/>
      <c r="C2617" s="60"/>
      <c r="D2617" s="60"/>
      <c r="E2617" s="60"/>
      <c r="F2617" s="60"/>
      <c r="G2617" s="60"/>
      <c r="H2617" s="60"/>
      <c r="I2617" s="60"/>
      <c r="J2617" s="60"/>
      <c r="K2617" s="60"/>
      <c r="L2617" s="60"/>
      <c r="M2617" s="64"/>
      <c r="N2617" s="33"/>
    </row>
    <row r="2618" ht="24" customHeight="1" spans="2:14">
      <c r="B2618" s="33"/>
      <c r="C2618" s="60"/>
      <c r="D2618" s="60"/>
      <c r="E2618" s="60"/>
      <c r="F2618" s="60"/>
      <c r="G2618" s="60"/>
      <c r="H2618" s="60"/>
      <c r="I2618" s="60"/>
      <c r="J2618" s="60"/>
      <c r="K2618" s="60"/>
      <c r="L2618" s="60"/>
      <c r="M2618" s="64"/>
      <c r="N2618" s="33"/>
    </row>
    <row r="2619" ht="24" customHeight="1" spans="2:14">
      <c r="B2619" s="33"/>
      <c r="C2619" s="60"/>
      <c r="D2619" s="60"/>
      <c r="E2619" s="60"/>
      <c r="F2619" s="60"/>
      <c r="G2619" s="60"/>
      <c r="H2619" s="60"/>
      <c r="I2619" s="60"/>
      <c r="J2619" s="60"/>
      <c r="K2619" s="60"/>
      <c r="L2619" s="60"/>
      <c r="M2619" s="64"/>
      <c r="N2619" s="33"/>
    </row>
    <row r="2620" ht="24" customHeight="1" spans="2:14">
      <c r="B2620" s="33"/>
      <c r="C2620" s="60"/>
      <c r="D2620" s="60"/>
      <c r="E2620" s="60"/>
      <c r="F2620" s="60"/>
      <c r="G2620" s="60"/>
      <c r="H2620" s="60"/>
      <c r="I2620" s="60"/>
      <c r="J2620" s="60"/>
      <c r="K2620" s="60"/>
      <c r="L2620" s="60"/>
      <c r="M2620" s="64"/>
      <c r="N2620" s="33"/>
    </row>
    <row r="2621" ht="24" customHeight="1" spans="2:14">
      <c r="B2621" s="33"/>
      <c r="C2621" s="60"/>
      <c r="D2621" s="60"/>
      <c r="E2621" s="60"/>
      <c r="F2621" s="60"/>
      <c r="G2621" s="60"/>
      <c r="H2621" s="60"/>
      <c r="I2621" s="60"/>
      <c r="J2621" s="60"/>
      <c r="K2621" s="60"/>
      <c r="L2621" s="60"/>
      <c r="M2621" s="64"/>
      <c r="N2621" s="33"/>
    </row>
    <row r="2622" ht="24" customHeight="1" spans="2:14">
      <c r="B2622" s="33"/>
      <c r="C2622" s="60"/>
      <c r="D2622" s="60"/>
      <c r="E2622" s="60"/>
      <c r="F2622" s="60"/>
      <c r="G2622" s="60"/>
      <c r="H2622" s="60"/>
      <c r="I2622" s="60"/>
      <c r="J2622" s="60"/>
      <c r="K2622" s="60"/>
      <c r="L2622" s="60"/>
      <c r="M2622" s="64"/>
      <c r="N2622" s="33"/>
    </row>
    <row r="2623" ht="24" customHeight="1" spans="2:14">
      <c r="B2623" s="33"/>
      <c r="C2623" s="60"/>
      <c r="D2623" s="60"/>
      <c r="E2623" s="60"/>
      <c r="F2623" s="60"/>
      <c r="G2623" s="60"/>
      <c r="H2623" s="60"/>
      <c r="I2623" s="60"/>
      <c r="J2623" s="60"/>
      <c r="K2623" s="60"/>
      <c r="L2623" s="60"/>
      <c r="M2623" s="64"/>
      <c r="N2623" s="33"/>
    </row>
    <row r="2624" ht="24" customHeight="1" spans="2:14">
      <c r="B2624" s="33"/>
      <c r="C2624" s="60"/>
      <c r="D2624" s="60"/>
      <c r="E2624" s="60"/>
      <c r="F2624" s="60"/>
      <c r="G2624" s="60"/>
      <c r="H2624" s="60"/>
      <c r="I2624" s="60"/>
      <c r="J2624" s="60"/>
      <c r="K2624" s="60"/>
      <c r="L2624" s="60"/>
      <c r="M2624" s="64"/>
      <c r="N2624" s="33"/>
    </row>
    <row r="2625" ht="24" customHeight="1" spans="2:14">
      <c r="B2625" s="33"/>
      <c r="C2625" s="60"/>
      <c r="D2625" s="60"/>
      <c r="E2625" s="60"/>
      <c r="F2625" s="60"/>
      <c r="G2625" s="60"/>
      <c r="H2625" s="60"/>
      <c r="I2625" s="60"/>
      <c r="J2625" s="60"/>
      <c r="K2625" s="60"/>
      <c r="L2625" s="60"/>
      <c r="M2625" s="64"/>
      <c r="N2625" s="33"/>
    </row>
    <row r="2626" ht="24" customHeight="1" spans="2:14">
      <c r="B2626" s="33"/>
      <c r="C2626" s="60"/>
      <c r="D2626" s="60"/>
      <c r="E2626" s="60"/>
      <c r="F2626" s="60"/>
      <c r="G2626" s="60"/>
      <c r="H2626" s="60"/>
      <c r="I2626" s="60"/>
      <c r="J2626" s="60"/>
      <c r="K2626" s="60"/>
      <c r="L2626" s="60"/>
      <c r="M2626" s="64"/>
      <c r="N2626" s="33"/>
    </row>
    <row r="2627" ht="24" customHeight="1" spans="2:14">
      <c r="B2627" s="33"/>
      <c r="C2627" s="60"/>
      <c r="D2627" s="60"/>
      <c r="E2627" s="60"/>
      <c r="F2627" s="60"/>
      <c r="G2627" s="60"/>
      <c r="H2627" s="60"/>
      <c r="I2627" s="60"/>
      <c r="J2627" s="60"/>
      <c r="K2627" s="60"/>
      <c r="L2627" s="60"/>
      <c r="M2627" s="64"/>
      <c r="N2627" s="33"/>
    </row>
    <row r="2628" ht="24" customHeight="1" spans="2:14">
      <c r="B2628" s="33"/>
      <c r="C2628" s="60"/>
      <c r="D2628" s="60"/>
      <c r="E2628" s="60"/>
      <c r="F2628" s="60"/>
      <c r="G2628" s="60"/>
      <c r="H2628" s="60"/>
      <c r="I2628" s="60"/>
      <c r="J2628" s="60"/>
      <c r="K2628" s="60"/>
      <c r="L2628" s="60"/>
      <c r="M2628" s="64"/>
      <c r="N2628" s="33"/>
    </row>
    <row r="2629" ht="24" customHeight="1" spans="2:14">
      <c r="B2629" s="33"/>
      <c r="C2629" s="60"/>
      <c r="D2629" s="60"/>
      <c r="E2629" s="60"/>
      <c r="F2629" s="60"/>
      <c r="G2629" s="60"/>
      <c r="H2629" s="60"/>
      <c r="I2629" s="60"/>
      <c r="J2629" s="60"/>
      <c r="K2629" s="60"/>
      <c r="L2629" s="60"/>
      <c r="M2629" s="64"/>
      <c r="N2629" s="33"/>
    </row>
    <row r="2630" ht="24" customHeight="1" spans="2:14">
      <c r="B2630" s="33"/>
      <c r="C2630" s="60"/>
      <c r="D2630" s="60"/>
      <c r="E2630" s="60"/>
      <c r="F2630" s="60"/>
      <c r="G2630" s="60"/>
      <c r="H2630" s="60"/>
      <c r="I2630" s="60"/>
      <c r="J2630" s="60"/>
      <c r="K2630" s="60"/>
      <c r="L2630" s="60"/>
      <c r="M2630" s="64"/>
      <c r="N2630" s="33"/>
    </row>
    <row r="2631" ht="24" customHeight="1" spans="2:14">
      <c r="B2631" s="33"/>
      <c r="C2631" s="60"/>
      <c r="D2631" s="60"/>
      <c r="E2631" s="60"/>
      <c r="F2631" s="60"/>
      <c r="G2631" s="60"/>
      <c r="H2631" s="60"/>
      <c r="I2631" s="60"/>
      <c r="J2631" s="60"/>
      <c r="K2631" s="60"/>
      <c r="L2631" s="60"/>
      <c r="M2631" s="64"/>
      <c r="N2631" s="33"/>
    </row>
    <row r="2632" ht="24" customHeight="1" spans="2:14">
      <c r="B2632" s="33"/>
      <c r="C2632" s="60"/>
      <c r="D2632" s="60"/>
      <c r="E2632" s="60"/>
      <c r="F2632" s="60"/>
      <c r="G2632" s="60"/>
      <c r="H2632" s="60"/>
      <c r="I2632" s="60"/>
      <c r="J2632" s="60"/>
      <c r="K2632" s="60"/>
      <c r="L2632" s="60"/>
      <c r="M2632" s="64"/>
      <c r="N2632" s="33"/>
    </row>
    <row r="2633" ht="24" customHeight="1" spans="2:14">
      <c r="B2633" s="33"/>
      <c r="C2633" s="60"/>
      <c r="D2633" s="60"/>
      <c r="E2633" s="60"/>
      <c r="F2633" s="60"/>
      <c r="G2633" s="60"/>
      <c r="H2633" s="60"/>
      <c r="I2633" s="60"/>
      <c r="J2633" s="60"/>
      <c r="K2633" s="60"/>
      <c r="L2633" s="60"/>
      <c r="M2633" s="64"/>
      <c r="N2633" s="33"/>
    </row>
    <row r="2634" ht="24" customHeight="1" spans="2:14">
      <c r="B2634" s="33"/>
      <c r="C2634" s="60"/>
      <c r="D2634" s="60"/>
      <c r="E2634" s="60"/>
      <c r="F2634" s="60"/>
      <c r="G2634" s="60"/>
      <c r="H2634" s="60"/>
      <c r="I2634" s="60"/>
      <c r="J2634" s="60"/>
      <c r="K2634" s="60"/>
      <c r="L2634" s="60"/>
      <c r="M2634" s="64"/>
      <c r="N2634" s="33"/>
    </row>
    <row r="2635" ht="24" customHeight="1" spans="2:14">
      <c r="B2635" s="33"/>
      <c r="C2635" s="60"/>
      <c r="D2635" s="60"/>
      <c r="E2635" s="60"/>
      <c r="F2635" s="60"/>
      <c r="G2635" s="60"/>
      <c r="H2635" s="60"/>
      <c r="I2635" s="60"/>
      <c r="J2635" s="60"/>
      <c r="K2635" s="60"/>
      <c r="L2635" s="60"/>
      <c r="M2635" s="64"/>
      <c r="N2635" s="33"/>
    </row>
    <row r="2636" ht="24" customHeight="1" spans="2:14">
      <c r="B2636" s="33"/>
      <c r="C2636" s="60"/>
      <c r="D2636" s="60"/>
      <c r="E2636" s="60"/>
      <c r="F2636" s="60"/>
      <c r="G2636" s="60"/>
      <c r="H2636" s="60"/>
      <c r="I2636" s="60"/>
      <c r="J2636" s="60"/>
      <c r="K2636" s="60"/>
      <c r="L2636" s="60"/>
      <c r="M2636" s="64"/>
      <c r="N2636" s="33"/>
    </row>
    <row r="2637" ht="24" customHeight="1" spans="2:14">
      <c r="B2637" s="33"/>
      <c r="C2637" s="60"/>
      <c r="D2637" s="60"/>
      <c r="E2637" s="60"/>
      <c r="F2637" s="60"/>
      <c r="G2637" s="60"/>
      <c r="H2637" s="60"/>
      <c r="I2637" s="60"/>
      <c r="J2637" s="60"/>
      <c r="K2637" s="60"/>
      <c r="L2637" s="60"/>
      <c r="M2637" s="64"/>
      <c r="N2637" s="33"/>
    </row>
    <row r="2638" ht="24" customHeight="1" spans="2:14">
      <c r="B2638" s="33"/>
      <c r="C2638" s="60"/>
      <c r="D2638" s="60"/>
      <c r="E2638" s="60"/>
      <c r="F2638" s="60"/>
      <c r="G2638" s="60"/>
      <c r="H2638" s="60"/>
      <c r="I2638" s="60"/>
      <c r="J2638" s="60"/>
      <c r="K2638" s="60"/>
      <c r="L2638" s="60"/>
      <c r="M2638" s="64"/>
      <c r="N2638" s="33"/>
    </row>
    <row r="2639" ht="24" customHeight="1" spans="2:14">
      <c r="B2639" s="33"/>
      <c r="C2639" s="60"/>
      <c r="D2639" s="60"/>
      <c r="E2639" s="60"/>
      <c r="F2639" s="60"/>
      <c r="G2639" s="60"/>
      <c r="H2639" s="60"/>
      <c r="I2639" s="60"/>
      <c r="J2639" s="60"/>
      <c r="K2639" s="60"/>
      <c r="L2639" s="60"/>
      <c r="M2639" s="64"/>
      <c r="N2639" s="33"/>
    </row>
    <row r="2640" ht="24" customHeight="1" spans="2:14">
      <c r="B2640" s="33"/>
      <c r="C2640" s="60"/>
      <c r="D2640" s="60"/>
      <c r="E2640" s="60"/>
      <c r="F2640" s="60"/>
      <c r="G2640" s="60"/>
      <c r="H2640" s="60"/>
      <c r="I2640" s="60"/>
      <c r="J2640" s="60"/>
      <c r="K2640" s="60"/>
      <c r="L2640" s="60"/>
      <c r="M2640" s="64"/>
      <c r="N2640" s="33"/>
    </row>
    <row r="2641" ht="24" customHeight="1" spans="2:14">
      <c r="B2641" s="33"/>
      <c r="C2641" s="60"/>
      <c r="D2641" s="60"/>
      <c r="E2641" s="60"/>
      <c r="F2641" s="60"/>
      <c r="G2641" s="60"/>
      <c r="H2641" s="60"/>
      <c r="I2641" s="60"/>
      <c r="J2641" s="60"/>
      <c r="K2641" s="60"/>
      <c r="L2641" s="60"/>
      <c r="M2641" s="64"/>
      <c r="N2641" s="33"/>
    </row>
    <row r="2642" ht="24" customHeight="1" spans="2:14">
      <c r="B2642" s="33"/>
      <c r="C2642" s="60"/>
      <c r="D2642" s="60"/>
      <c r="E2642" s="60"/>
      <c r="F2642" s="60"/>
      <c r="G2642" s="60"/>
      <c r="H2642" s="60"/>
      <c r="I2642" s="60"/>
      <c r="J2642" s="60"/>
      <c r="K2642" s="60"/>
      <c r="L2642" s="60"/>
      <c r="M2642" s="64"/>
      <c r="N2642" s="33"/>
    </row>
    <row r="2643" ht="24" customHeight="1" spans="2:14">
      <c r="B2643" s="33"/>
      <c r="C2643" s="60"/>
      <c r="D2643" s="60"/>
      <c r="E2643" s="60"/>
      <c r="F2643" s="60"/>
      <c r="G2643" s="60"/>
      <c r="H2643" s="60"/>
      <c r="I2643" s="60"/>
      <c r="J2643" s="60"/>
      <c r="K2643" s="60"/>
      <c r="L2643" s="60"/>
      <c r="M2643" s="64"/>
      <c r="N2643" s="33"/>
    </row>
    <row r="2644" ht="24" customHeight="1" spans="2:14">
      <c r="B2644" s="33"/>
      <c r="C2644" s="60"/>
      <c r="D2644" s="60"/>
      <c r="E2644" s="60"/>
      <c r="F2644" s="60"/>
      <c r="G2644" s="60"/>
      <c r="H2644" s="60"/>
      <c r="I2644" s="60"/>
      <c r="J2644" s="60"/>
      <c r="K2644" s="60"/>
      <c r="L2644" s="60"/>
      <c r="M2644" s="64"/>
      <c r="N2644" s="33"/>
    </row>
    <row r="2645" ht="24" customHeight="1" spans="2:14">
      <c r="B2645" s="33"/>
      <c r="C2645" s="60"/>
      <c r="D2645" s="60"/>
      <c r="E2645" s="60"/>
      <c r="F2645" s="60"/>
      <c r="G2645" s="60"/>
      <c r="H2645" s="60"/>
      <c r="I2645" s="60"/>
      <c r="J2645" s="60"/>
      <c r="K2645" s="60"/>
      <c r="L2645" s="60"/>
      <c r="M2645" s="64"/>
      <c r="N2645" s="33"/>
    </row>
    <row r="2646" ht="24" customHeight="1" spans="2:14">
      <c r="B2646" s="33"/>
      <c r="C2646" s="60"/>
      <c r="D2646" s="60"/>
      <c r="E2646" s="60"/>
      <c r="F2646" s="60"/>
      <c r="G2646" s="60"/>
      <c r="H2646" s="60"/>
      <c r="I2646" s="60"/>
      <c r="J2646" s="60"/>
      <c r="K2646" s="60"/>
      <c r="L2646" s="60"/>
      <c r="M2646" s="64"/>
      <c r="N2646" s="33"/>
    </row>
    <row r="2647" ht="24" customHeight="1" spans="2:14">
      <c r="B2647" s="33"/>
      <c r="C2647" s="60"/>
      <c r="D2647" s="60"/>
      <c r="E2647" s="60"/>
      <c r="F2647" s="60"/>
      <c r="G2647" s="60"/>
      <c r="H2647" s="60"/>
      <c r="I2647" s="60"/>
      <c r="J2647" s="60"/>
      <c r="K2647" s="60"/>
      <c r="L2647" s="60"/>
      <c r="M2647" s="64"/>
      <c r="N2647" s="33"/>
    </row>
    <row r="2648" ht="24" customHeight="1" spans="2:14">
      <c r="B2648" s="33"/>
      <c r="C2648" s="60"/>
      <c r="D2648" s="60"/>
      <c r="E2648" s="60"/>
      <c r="F2648" s="60"/>
      <c r="G2648" s="60"/>
      <c r="H2648" s="60"/>
      <c r="I2648" s="60"/>
      <c r="J2648" s="60"/>
      <c r="K2648" s="60"/>
      <c r="L2648" s="60"/>
      <c r="M2648" s="64"/>
      <c r="N2648" s="33"/>
    </row>
    <row r="2649" ht="24" customHeight="1" spans="2:14">
      <c r="B2649" s="33"/>
      <c r="C2649" s="60"/>
      <c r="D2649" s="60"/>
      <c r="E2649" s="60"/>
      <c r="F2649" s="60"/>
      <c r="G2649" s="60"/>
      <c r="H2649" s="60"/>
      <c r="I2649" s="60"/>
      <c r="J2649" s="60"/>
      <c r="K2649" s="60"/>
      <c r="L2649" s="60"/>
      <c r="M2649" s="64"/>
      <c r="N2649" s="33"/>
    </row>
    <row r="2650" ht="24" customHeight="1" spans="2:14">
      <c r="B2650" s="33"/>
      <c r="C2650" s="60"/>
      <c r="D2650" s="60"/>
      <c r="E2650" s="60"/>
      <c r="F2650" s="60"/>
      <c r="G2650" s="60"/>
      <c r="H2650" s="60"/>
      <c r="I2650" s="60"/>
      <c r="J2650" s="60"/>
      <c r="K2650" s="60"/>
      <c r="L2650" s="60"/>
      <c r="M2650" s="64"/>
      <c r="N2650" s="33"/>
    </row>
    <row r="2651" ht="24" customHeight="1" spans="2:14">
      <c r="B2651" s="33"/>
      <c r="C2651" s="60"/>
      <c r="D2651" s="60"/>
      <c r="E2651" s="60"/>
      <c r="F2651" s="60"/>
      <c r="G2651" s="60"/>
      <c r="H2651" s="60"/>
      <c r="I2651" s="60"/>
      <c r="J2651" s="60"/>
      <c r="K2651" s="60"/>
      <c r="L2651" s="60"/>
      <c r="M2651" s="64"/>
      <c r="N2651" s="33"/>
    </row>
    <row r="2652" ht="24" customHeight="1" spans="2:14">
      <c r="B2652" s="33"/>
      <c r="C2652" s="60"/>
      <c r="D2652" s="60"/>
      <c r="E2652" s="60"/>
      <c r="F2652" s="60"/>
      <c r="G2652" s="60"/>
      <c r="H2652" s="60"/>
      <c r="I2652" s="60"/>
      <c r="J2652" s="60"/>
      <c r="K2652" s="60"/>
      <c r="L2652" s="60"/>
      <c r="M2652" s="64"/>
      <c r="N2652" s="33"/>
    </row>
    <row r="2653" ht="24" customHeight="1" spans="2:14">
      <c r="B2653" s="33"/>
      <c r="C2653" s="60"/>
      <c r="D2653" s="60"/>
      <c r="E2653" s="60"/>
      <c r="F2653" s="60"/>
      <c r="G2653" s="60"/>
      <c r="H2653" s="60"/>
      <c r="I2653" s="60"/>
      <c r="J2653" s="60"/>
      <c r="K2653" s="60"/>
      <c r="L2653" s="60"/>
      <c r="M2653" s="64"/>
      <c r="N2653" s="33"/>
    </row>
    <row r="2654" ht="24" customHeight="1" spans="2:14">
      <c r="B2654" s="33"/>
      <c r="C2654" s="60"/>
      <c r="D2654" s="60"/>
      <c r="E2654" s="60"/>
      <c r="F2654" s="60"/>
      <c r="G2654" s="60"/>
      <c r="H2654" s="60"/>
      <c r="I2654" s="60"/>
      <c r="J2654" s="60"/>
      <c r="K2654" s="60"/>
      <c r="L2654" s="60"/>
      <c r="M2654" s="64"/>
      <c r="N2654" s="33"/>
    </row>
    <row r="2655" ht="24" customHeight="1" spans="2:14">
      <c r="B2655" s="33"/>
      <c r="C2655" s="60"/>
      <c r="D2655" s="60"/>
      <c r="E2655" s="60"/>
      <c r="F2655" s="60"/>
      <c r="G2655" s="60"/>
      <c r="H2655" s="60"/>
      <c r="I2655" s="60"/>
      <c r="J2655" s="60"/>
      <c r="K2655" s="60"/>
      <c r="L2655" s="60"/>
      <c r="M2655" s="64"/>
      <c r="N2655" s="33"/>
    </row>
    <row r="2656" ht="24" customHeight="1" spans="2:14">
      <c r="B2656" s="33"/>
      <c r="C2656" s="60"/>
      <c r="D2656" s="60"/>
      <c r="E2656" s="60"/>
      <c r="F2656" s="60"/>
      <c r="G2656" s="60"/>
      <c r="H2656" s="60"/>
      <c r="I2656" s="60"/>
      <c r="J2656" s="60"/>
      <c r="K2656" s="60"/>
      <c r="L2656" s="60"/>
      <c r="M2656" s="64"/>
      <c r="N2656" s="33"/>
    </row>
    <row r="2657" ht="24" customHeight="1" spans="2:14">
      <c r="B2657" s="33"/>
      <c r="C2657" s="60"/>
      <c r="D2657" s="60"/>
      <c r="E2657" s="60"/>
      <c r="F2657" s="60"/>
      <c r="G2657" s="60"/>
      <c r="H2657" s="60"/>
      <c r="I2657" s="60"/>
      <c r="J2657" s="60"/>
      <c r="K2657" s="60"/>
      <c r="L2657" s="60"/>
      <c r="M2657" s="64"/>
      <c r="N2657" s="33"/>
    </row>
    <row r="2658" ht="24" customHeight="1" spans="2:14">
      <c r="B2658" s="33"/>
      <c r="C2658" s="60"/>
      <c r="D2658" s="60"/>
      <c r="E2658" s="60"/>
      <c r="F2658" s="60"/>
      <c r="G2658" s="60"/>
      <c r="H2658" s="60"/>
      <c r="I2658" s="60"/>
      <c r="J2658" s="60"/>
      <c r="K2658" s="60"/>
      <c r="L2658" s="60"/>
      <c r="M2658" s="64"/>
      <c r="N2658" s="33"/>
    </row>
    <row r="2659" ht="24" customHeight="1" spans="2:14">
      <c r="B2659" s="33"/>
      <c r="C2659" s="60"/>
      <c r="D2659" s="60"/>
      <c r="E2659" s="60"/>
      <c r="F2659" s="60"/>
      <c r="G2659" s="60"/>
      <c r="H2659" s="60"/>
      <c r="I2659" s="60"/>
      <c r="J2659" s="60"/>
      <c r="K2659" s="60"/>
      <c r="L2659" s="60"/>
      <c r="M2659" s="64"/>
      <c r="N2659" s="33"/>
    </row>
    <row r="2660" ht="24" customHeight="1" spans="2:14">
      <c r="B2660" s="33"/>
      <c r="C2660" s="60"/>
      <c r="D2660" s="60"/>
      <c r="E2660" s="60"/>
      <c r="F2660" s="60"/>
      <c r="G2660" s="60"/>
      <c r="H2660" s="60"/>
      <c r="I2660" s="60"/>
      <c r="J2660" s="60"/>
      <c r="K2660" s="60"/>
      <c r="L2660" s="60"/>
      <c r="M2660" s="64"/>
      <c r="N2660" s="33"/>
    </row>
    <row r="2661" ht="24" customHeight="1" spans="2:14">
      <c r="B2661" s="33"/>
      <c r="C2661" s="60"/>
      <c r="D2661" s="60"/>
      <c r="E2661" s="60"/>
      <c r="F2661" s="60"/>
      <c r="G2661" s="60"/>
      <c r="H2661" s="60"/>
      <c r="I2661" s="60"/>
      <c r="J2661" s="60"/>
      <c r="K2661" s="60"/>
      <c r="L2661" s="60"/>
      <c r="M2661" s="64"/>
      <c r="N2661" s="33"/>
    </row>
    <row r="2662" ht="24" customHeight="1" spans="2:14">
      <c r="B2662" s="33"/>
      <c r="C2662" s="60"/>
      <c r="D2662" s="60"/>
      <c r="E2662" s="60"/>
      <c r="F2662" s="60"/>
      <c r="G2662" s="60"/>
      <c r="H2662" s="60"/>
      <c r="I2662" s="60"/>
      <c r="J2662" s="60"/>
      <c r="K2662" s="60"/>
      <c r="L2662" s="60"/>
      <c r="M2662" s="64"/>
      <c r="N2662" s="33"/>
    </row>
    <row r="2663" ht="24" customHeight="1" spans="2:14">
      <c r="B2663" s="33"/>
      <c r="C2663" s="60"/>
      <c r="D2663" s="60"/>
      <c r="E2663" s="60"/>
      <c r="F2663" s="60"/>
      <c r="G2663" s="60"/>
      <c r="H2663" s="60"/>
      <c r="I2663" s="60"/>
      <c r="J2663" s="60"/>
      <c r="K2663" s="60"/>
      <c r="L2663" s="60"/>
      <c r="M2663" s="64"/>
      <c r="N2663" s="33"/>
    </row>
    <row r="2664" ht="24" customHeight="1" spans="2:14">
      <c r="B2664" s="33"/>
      <c r="C2664" s="60"/>
      <c r="D2664" s="60"/>
      <c r="E2664" s="60"/>
      <c r="F2664" s="60"/>
      <c r="G2664" s="60"/>
      <c r="H2664" s="60"/>
      <c r="I2664" s="60"/>
      <c r="J2664" s="60"/>
      <c r="K2664" s="60"/>
      <c r="L2664" s="60"/>
      <c r="M2664" s="64"/>
      <c r="N2664" s="33"/>
    </row>
    <row r="2665" ht="24" customHeight="1" spans="2:14">
      <c r="B2665" s="33"/>
      <c r="C2665" s="60"/>
      <c r="D2665" s="60"/>
      <c r="E2665" s="60"/>
      <c r="F2665" s="60"/>
      <c r="G2665" s="60"/>
      <c r="H2665" s="60"/>
      <c r="I2665" s="60"/>
      <c r="J2665" s="60"/>
      <c r="K2665" s="60"/>
      <c r="L2665" s="60"/>
      <c r="M2665" s="64"/>
      <c r="N2665" s="33"/>
    </row>
    <row r="2666" ht="24" customHeight="1" spans="2:14">
      <c r="B2666" s="33"/>
      <c r="C2666" s="60"/>
      <c r="D2666" s="60"/>
      <c r="E2666" s="60"/>
      <c r="F2666" s="60"/>
      <c r="G2666" s="60"/>
      <c r="H2666" s="60"/>
      <c r="I2666" s="60"/>
      <c r="J2666" s="60"/>
      <c r="K2666" s="60"/>
      <c r="L2666" s="60"/>
      <c r="M2666" s="64"/>
      <c r="N2666" s="33"/>
    </row>
    <row r="2667" ht="24" customHeight="1" spans="2:14">
      <c r="B2667" s="33"/>
      <c r="C2667" s="60"/>
      <c r="D2667" s="60"/>
      <c r="E2667" s="60"/>
      <c r="F2667" s="60"/>
      <c r="G2667" s="60"/>
      <c r="H2667" s="60"/>
      <c r="I2667" s="60"/>
      <c r="J2667" s="60"/>
      <c r="K2667" s="60"/>
      <c r="L2667" s="60"/>
      <c r="M2667" s="64"/>
      <c r="N2667" s="33"/>
    </row>
    <row r="2668" ht="24" customHeight="1" spans="2:14">
      <c r="B2668" s="33"/>
      <c r="C2668" s="60"/>
      <c r="D2668" s="60"/>
      <c r="E2668" s="60"/>
      <c r="F2668" s="60"/>
      <c r="G2668" s="60"/>
      <c r="H2668" s="60"/>
      <c r="I2668" s="60"/>
      <c r="J2668" s="60"/>
      <c r="K2668" s="60"/>
      <c r="L2668" s="60"/>
      <c r="M2668" s="64"/>
      <c r="N2668" s="33"/>
    </row>
    <row r="2669" ht="24" customHeight="1" spans="2:14">
      <c r="B2669" s="33"/>
      <c r="C2669" s="60"/>
      <c r="D2669" s="60"/>
      <c r="E2669" s="60"/>
      <c r="F2669" s="60"/>
      <c r="G2669" s="60"/>
      <c r="H2669" s="60"/>
      <c r="I2669" s="60"/>
      <c r="J2669" s="60"/>
      <c r="K2669" s="60"/>
      <c r="L2669" s="60"/>
      <c r="M2669" s="64"/>
      <c r="N2669" s="33"/>
    </row>
    <row r="2670" ht="24" customHeight="1" spans="2:14">
      <c r="B2670" s="33"/>
      <c r="C2670" s="60"/>
      <c r="D2670" s="60"/>
      <c r="E2670" s="60"/>
      <c r="F2670" s="60"/>
      <c r="G2670" s="60"/>
      <c r="H2670" s="60"/>
      <c r="I2670" s="60"/>
      <c r="J2670" s="60"/>
      <c r="K2670" s="60"/>
      <c r="L2670" s="60"/>
      <c r="M2670" s="64"/>
      <c r="N2670" s="33"/>
    </row>
    <row r="2671" ht="24" customHeight="1" spans="2:14">
      <c r="B2671" s="33"/>
      <c r="C2671" s="60"/>
      <c r="D2671" s="60"/>
      <c r="E2671" s="60"/>
      <c r="F2671" s="60"/>
      <c r="G2671" s="60"/>
      <c r="H2671" s="60"/>
      <c r="I2671" s="60"/>
      <c r="J2671" s="60"/>
      <c r="K2671" s="60"/>
      <c r="L2671" s="60"/>
      <c r="M2671" s="64"/>
      <c r="N2671" s="33"/>
    </row>
    <row r="2672" ht="24" customHeight="1" spans="2:14">
      <c r="B2672" s="33"/>
      <c r="C2672" s="60"/>
      <c r="D2672" s="60"/>
      <c r="E2672" s="60"/>
      <c r="F2672" s="60"/>
      <c r="G2672" s="60"/>
      <c r="H2672" s="60"/>
      <c r="I2672" s="60"/>
      <c r="J2672" s="60"/>
      <c r="K2672" s="60"/>
      <c r="L2672" s="60"/>
      <c r="M2672" s="64"/>
      <c r="N2672" s="33"/>
    </row>
    <row r="2673" ht="24" customHeight="1" spans="2:14">
      <c r="B2673" s="33"/>
      <c r="C2673" s="60"/>
      <c r="D2673" s="60"/>
      <c r="E2673" s="60"/>
      <c r="F2673" s="60"/>
      <c r="G2673" s="60"/>
      <c r="H2673" s="60"/>
      <c r="I2673" s="60"/>
      <c r="J2673" s="60"/>
      <c r="K2673" s="60"/>
      <c r="L2673" s="60"/>
      <c r="M2673" s="64"/>
      <c r="N2673" s="33"/>
    </row>
    <row r="2674" ht="24" customHeight="1" spans="2:14">
      <c r="B2674" s="33"/>
      <c r="C2674" s="60"/>
      <c r="D2674" s="60"/>
      <c r="E2674" s="60"/>
      <c r="F2674" s="60"/>
      <c r="G2674" s="60"/>
      <c r="H2674" s="60"/>
      <c r="I2674" s="60"/>
      <c r="J2674" s="60"/>
      <c r="K2674" s="60"/>
      <c r="L2674" s="60"/>
      <c r="M2674" s="64"/>
      <c r="N2674" s="33"/>
    </row>
    <row r="2675" ht="24" customHeight="1" spans="2:14">
      <c r="B2675" s="33"/>
      <c r="C2675" s="60"/>
      <c r="D2675" s="60"/>
      <c r="E2675" s="60"/>
      <c r="F2675" s="60"/>
      <c r="G2675" s="60"/>
      <c r="H2675" s="60"/>
      <c r="I2675" s="60"/>
      <c r="J2675" s="60"/>
      <c r="K2675" s="60"/>
      <c r="L2675" s="60"/>
      <c r="M2675" s="64"/>
      <c r="N2675" s="33"/>
    </row>
    <row r="2676" ht="24" customHeight="1" spans="2:14">
      <c r="B2676" s="33"/>
      <c r="C2676" s="60"/>
      <c r="D2676" s="60"/>
      <c r="E2676" s="60"/>
      <c r="F2676" s="60"/>
      <c r="G2676" s="60"/>
      <c r="H2676" s="60"/>
      <c r="I2676" s="60"/>
      <c r="J2676" s="60"/>
      <c r="K2676" s="60"/>
      <c r="L2676" s="60"/>
      <c r="M2676" s="64"/>
      <c r="N2676" s="33"/>
    </row>
    <row r="2677" ht="24" customHeight="1" spans="2:14">
      <c r="B2677" s="33"/>
      <c r="C2677" s="60"/>
      <c r="D2677" s="60"/>
      <c r="E2677" s="60"/>
      <c r="F2677" s="60"/>
      <c r="G2677" s="60"/>
      <c r="H2677" s="60"/>
      <c r="I2677" s="60"/>
      <c r="J2677" s="60"/>
      <c r="K2677" s="60"/>
      <c r="L2677" s="60"/>
      <c r="M2677" s="64"/>
      <c r="N2677" s="33"/>
    </row>
    <row r="2678" ht="24" customHeight="1" spans="2:14">
      <c r="B2678" s="33"/>
      <c r="C2678" s="60"/>
      <c r="D2678" s="60"/>
      <c r="E2678" s="60"/>
      <c r="F2678" s="60"/>
      <c r="G2678" s="60"/>
      <c r="H2678" s="60"/>
      <c r="I2678" s="60"/>
      <c r="J2678" s="60"/>
      <c r="K2678" s="60"/>
      <c r="L2678" s="60"/>
      <c r="M2678" s="64"/>
      <c r="N2678" s="33"/>
    </row>
    <row r="2679" ht="24" customHeight="1" spans="2:14">
      <c r="B2679" s="33"/>
      <c r="C2679" s="60"/>
      <c r="D2679" s="60"/>
      <c r="E2679" s="60"/>
      <c r="F2679" s="60"/>
      <c r="G2679" s="60"/>
      <c r="H2679" s="60"/>
      <c r="I2679" s="60"/>
      <c r="J2679" s="60"/>
      <c r="K2679" s="60"/>
      <c r="L2679" s="60"/>
      <c r="M2679" s="64"/>
      <c r="N2679" s="33"/>
    </row>
    <row r="2680" ht="24" customHeight="1" spans="2:14">
      <c r="B2680" s="33"/>
      <c r="C2680" s="60"/>
      <c r="D2680" s="60"/>
      <c r="E2680" s="60"/>
      <c r="F2680" s="60"/>
      <c r="G2680" s="60"/>
      <c r="H2680" s="60"/>
      <c r="I2680" s="60"/>
      <c r="J2680" s="60"/>
      <c r="K2680" s="60"/>
      <c r="L2680" s="60"/>
      <c r="M2680" s="64"/>
      <c r="N2680" s="33"/>
    </row>
    <row r="2681" ht="24" customHeight="1" spans="2:14">
      <c r="B2681" s="33"/>
      <c r="C2681" s="60"/>
      <c r="D2681" s="60"/>
      <c r="E2681" s="60"/>
      <c r="F2681" s="60"/>
      <c r="G2681" s="60"/>
      <c r="H2681" s="60"/>
      <c r="I2681" s="60"/>
      <c r="J2681" s="60"/>
      <c r="K2681" s="60"/>
      <c r="L2681" s="60"/>
      <c r="M2681" s="64"/>
      <c r="N2681" s="33"/>
    </row>
    <row r="2682" ht="24" customHeight="1" spans="2:14">
      <c r="B2682" s="33"/>
      <c r="C2682" s="60"/>
      <c r="D2682" s="60"/>
      <c r="E2682" s="60"/>
      <c r="F2682" s="60"/>
      <c r="G2682" s="60"/>
      <c r="H2682" s="60"/>
      <c r="I2682" s="60"/>
      <c r="J2682" s="60"/>
      <c r="K2682" s="60"/>
      <c r="L2682" s="60"/>
      <c r="M2682" s="64"/>
      <c r="N2682" s="33"/>
    </row>
    <row r="2683" ht="24" customHeight="1" spans="2:14">
      <c r="B2683" s="33"/>
      <c r="C2683" s="60"/>
      <c r="D2683" s="60"/>
      <c r="E2683" s="60"/>
      <c r="F2683" s="60"/>
      <c r="G2683" s="60"/>
      <c r="H2683" s="60"/>
      <c r="I2683" s="60"/>
      <c r="J2683" s="60"/>
      <c r="K2683" s="60"/>
      <c r="L2683" s="60"/>
      <c r="M2683" s="64"/>
      <c r="N2683" s="33"/>
    </row>
    <row r="2684" ht="24" customHeight="1" spans="2:14">
      <c r="B2684" s="33"/>
      <c r="C2684" s="60"/>
      <c r="D2684" s="60"/>
      <c r="E2684" s="60"/>
      <c r="F2684" s="60"/>
      <c r="G2684" s="60"/>
      <c r="H2684" s="60"/>
      <c r="I2684" s="60"/>
      <c r="J2684" s="60"/>
      <c r="K2684" s="60"/>
      <c r="L2684" s="60"/>
      <c r="M2684" s="64"/>
      <c r="N2684" s="33"/>
    </row>
    <row r="2685" ht="24" customHeight="1" spans="2:14">
      <c r="B2685" s="33"/>
      <c r="C2685" s="60"/>
      <c r="D2685" s="60"/>
      <c r="E2685" s="60"/>
      <c r="F2685" s="60"/>
      <c r="G2685" s="60"/>
      <c r="H2685" s="60"/>
      <c r="I2685" s="60"/>
      <c r="J2685" s="60"/>
      <c r="K2685" s="60"/>
      <c r="L2685" s="60"/>
      <c r="M2685" s="64"/>
      <c r="N2685" s="33"/>
    </row>
    <row r="2686" ht="24" customHeight="1" spans="2:14">
      <c r="B2686" s="33"/>
      <c r="C2686" s="60"/>
      <c r="D2686" s="60"/>
      <c r="E2686" s="60"/>
      <c r="F2686" s="60"/>
      <c r="G2686" s="60"/>
      <c r="H2686" s="60"/>
      <c r="I2686" s="60"/>
      <c r="J2686" s="60"/>
      <c r="K2686" s="60"/>
      <c r="L2686" s="60"/>
      <c r="M2686" s="64"/>
      <c r="N2686" s="33"/>
    </row>
    <row r="2687" ht="24" customHeight="1" spans="2:14">
      <c r="B2687" s="33"/>
      <c r="C2687" s="60"/>
      <c r="D2687" s="60"/>
      <c r="E2687" s="60"/>
      <c r="F2687" s="60"/>
      <c r="G2687" s="60"/>
      <c r="H2687" s="60"/>
      <c r="I2687" s="60"/>
      <c r="J2687" s="60"/>
      <c r="K2687" s="60"/>
      <c r="L2687" s="60"/>
      <c r="M2687" s="64"/>
      <c r="N2687" s="33"/>
    </row>
    <row r="2688" ht="24" customHeight="1" spans="2:14">
      <c r="B2688" s="33"/>
      <c r="C2688" s="60"/>
      <c r="D2688" s="60"/>
      <c r="E2688" s="60"/>
      <c r="F2688" s="60"/>
      <c r="G2688" s="60"/>
      <c r="H2688" s="60"/>
      <c r="I2688" s="60"/>
      <c r="J2688" s="60"/>
      <c r="K2688" s="60"/>
      <c r="L2688" s="60"/>
      <c r="M2688" s="64"/>
      <c r="N2688" s="33"/>
    </row>
    <row r="2689" ht="24" customHeight="1" spans="2:14">
      <c r="B2689" s="33"/>
      <c r="C2689" s="60"/>
      <c r="D2689" s="60"/>
      <c r="E2689" s="60"/>
      <c r="F2689" s="60"/>
      <c r="G2689" s="60"/>
      <c r="H2689" s="60"/>
      <c r="I2689" s="60"/>
      <c r="J2689" s="60"/>
      <c r="K2689" s="60"/>
      <c r="L2689" s="60"/>
      <c r="M2689" s="64"/>
      <c r="N2689" s="33"/>
    </row>
    <row r="2690" ht="24" customHeight="1" spans="2:14">
      <c r="B2690" s="33"/>
      <c r="C2690" s="60"/>
      <c r="D2690" s="60"/>
      <c r="E2690" s="60"/>
      <c r="F2690" s="60"/>
      <c r="G2690" s="60"/>
      <c r="H2690" s="60"/>
      <c r="I2690" s="60"/>
      <c r="J2690" s="60"/>
      <c r="K2690" s="60"/>
      <c r="L2690" s="60"/>
      <c r="M2690" s="64"/>
      <c r="N2690" s="33"/>
    </row>
    <row r="2691" ht="24" customHeight="1" spans="2:14">
      <c r="B2691" s="33"/>
      <c r="C2691" s="60"/>
      <c r="D2691" s="60"/>
      <c r="E2691" s="60"/>
      <c r="F2691" s="60"/>
      <c r="G2691" s="60"/>
      <c r="H2691" s="60"/>
      <c r="I2691" s="60"/>
      <c r="J2691" s="60"/>
      <c r="K2691" s="60"/>
      <c r="L2691" s="60"/>
      <c r="M2691" s="64"/>
      <c r="N2691" s="33"/>
    </row>
    <row r="2692" ht="24" customHeight="1" spans="2:14">
      <c r="B2692" s="33"/>
      <c r="C2692" s="60"/>
      <c r="D2692" s="60"/>
      <c r="E2692" s="60"/>
      <c r="F2692" s="60"/>
      <c r="G2692" s="60"/>
      <c r="H2692" s="60"/>
      <c r="I2692" s="60"/>
      <c r="J2692" s="60"/>
      <c r="K2692" s="60"/>
      <c r="L2692" s="60"/>
      <c r="M2692" s="64"/>
      <c r="N2692" s="33"/>
    </row>
    <row r="2693" ht="24" customHeight="1" spans="2:14">
      <c r="B2693" s="33"/>
      <c r="C2693" s="60"/>
      <c r="D2693" s="60"/>
      <c r="E2693" s="60"/>
      <c r="F2693" s="60"/>
      <c r="G2693" s="60"/>
      <c r="H2693" s="60"/>
      <c r="I2693" s="60"/>
      <c r="J2693" s="60"/>
      <c r="K2693" s="60"/>
      <c r="L2693" s="60"/>
      <c r="M2693" s="64"/>
      <c r="N2693" s="33"/>
    </row>
    <row r="2694" ht="24" customHeight="1" spans="2:14">
      <c r="B2694" s="33"/>
      <c r="C2694" s="60"/>
      <c r="D2694" s="60"/>
      <c r="E2694" s="60"/>
      <c r="F2694" s="60"/>
      <c r="G2694" s="60"/>
      <c r="H2694" s="60"/>
      <c r="I2694" s="60"/>
      <c r="J2694" s="60"/>
      <c r="K2694" s="60"/>
      <c r="L2694" s="60"/>
      <c r="M2694" s="64"/>
      <c r="N2694" s="33"/>
    </row>
    <row r="2695" ht="24" customHeight="1" spans="2:14">
      <c r="B2695" s="33"/>
      <c r="C2695" s="60"/>
      <c r="D2695" s="60"/>
      <c r="E2695" s="60"/>
      <c r="F2695" s="60"/>
      <c r="G2695" s="60"/>
      <c r="H2695" s="60"/>
      <c r="I2695" s="60"/>
      <c r="J2695" s="60"/>
      <c r="K2695" s="60"/>
      <c r="L2695" s="60"/>
      <c r="M2695" s="64"/>
      <c r="N2695" s="33"/>
    </row>
    <row r="2696" ht="24" customHeight="1" spans="2:14">
      <c r="B2696" s="33"/>
      <c r="C2696" s="60"/>
      <c r="D2696" s="60"/>
      <c r="E2696" s="60"/>
      <c r="F2696" s="60"/>
      <c r="G2696" s="60"/>
      <c r="H2696" s="60"/>
      <c r="I2696" s="60"/>
      <c r="J2696" s="60"/>
      <c r="K2696" s="60"/>
      <c r="L2696" s="60"/>
      <c r="M2696" s="64"/>
      <c r="N2696" s="33"/>
    </row>
    <row r="2697" ht="24" customHeight="1" spans="2:14">
      <c r="B2697" s="33"/>
      <c r="C2697" s="60"/>
      <c r="D2697" s="60"/>
      <c r="E2697" s="60"/>
      <c r="F2697" s="60"/>
      <c r="G2697" s="60"/>
      <c r="H2697" s="60"/>
      <c r="I2697" s="60"/>
      <c r="J2697" s="60"/>
      <c r="K2697" s="60"/>
      <c r="L2697" s="60"/>
      <c r="M2697" s="64"/>
      <c r="N2697" s="33"/>
    </row>
    <row r="2698" ht="24" customHeight="1" spans="2:14">
      <c r="B2698" s="33"/>
      <c r="C2698" s="60"/>
      <c r="D2698" s="60"/>
      <c r="E2698" s="60"/>
      <c r="F2698" s="60"/>
      <c r="G2698" s="60"/>
      <c r="H2698" s="60"/>
      <c r="I2698" s="60"/>
      <c r="J2698" s="60"/>
      <c r="K2698" s="60"/>
      <c r="L2698" s="60"/>
      <c r="M2698" s="64"/>
      <c r="N2698" s="33"/>
    </row>
    <row r="2699" ht="24" customHeight="1" spans="2:14">
      <c r="B2699" s="33"/>
      <c r="C2699" s="60"/>
      <c r="D2699" s="60"/>
      <c r="E2699" s="60"/>
      <c r="F2699" s="60"/>
      <c r="G2699" s="60"/>
      <c r="H2699" s="60"/>
      <c r="I2699" s="60"/>
      <c r="J2699" s="60"/>
      <c r="K2699" s="60"/>
      <c r="L2699" s="60"/>
      <c r="M2699" s="64"/>
      <c r="N2699" s="33"/>
    </row>
    <row r="2700" ht="24" customHeight="1" spans="2:14">
      <c r="B2700" s="33"/>
      <c r="C2700" s="60"/>
      <c r="D2700" s="60"/>
      <c r="E2700" s="60"/>
      <c r="F2700" s="60"/>
      <c r="G2700" s="60"/>
      <c r="H2700" s="60"/>
      <c r="I2700" s="60"/>
      <c r="J2700" s="60"/>
      <c r="K2700" s="60"/>
      <c r="L2700" s="60"/>
      <c r="M2700" s="64"/>
      <c r="N2700" s="33"/>
    </row>
    <row r="2701" ht="24" customHeight="1" spans="2:14">
      <c r="B2701" s="33"/>
      <c r="C2701" s="60"/>
      <c r="D2701" s="60"/>
      <c r="E2701" s="60"/>
      <c r="F2701" s="60"/>
      <c r="G2701" s="60"/>
      <c r="H2701" s="60"/>
      <c r="I2701" s="60"/>
      <c r="J2701" s="60"/>
      <c r="K2701" s="60"/>
      <c r="L2701" s="60"/>
      <c r="M2701" s="64"/>
      <c r="N2701" s="33"/>
    </row>
    <row r="2702" ht="24" customHeight="1" spans="2:14">
      <c r="B2702" s="33"/>
      <c r="C2702" s="60"/>
      <c r="D2702" s="60"/>
      <c r="E2702" s="60"/>
      <c r="F2702" s="60"/>
      <c r="G2702" s="60"/>
      <c r="H2702" s="60"/>
      <c r="I2702" s="60"/>
      <c r="J2702" s="60"/>
      <c r="K2702" s="60"/>
      <c r="L2702" s="60"/>
      <c r="M2702" s="64"/>
      <c r="N2702" s="33"/>
    </row>
    <row r="2703" ht="24" customHeight="1" spans="2:14">
      <c r="B2703" s="33"/>
      <c r="C2703" s="60"/>
      <c r="D2703" s="60"/>
      <c r="E2703" s="60"/>
      <c r="F2703" s="60"/>
      <c r="G2703" s="60"/>
      <c r="H2703" s="60"/>
      <c r="I2703" s="60"/>
      <c r="J2703" s="60"/>
      <c r="K2703" s="60"/>
      <c r="L2703" s="60"/>
      <c r="M2703" s="64"/>
      <c r="N2703" s="33"/>
    </row>
    <row r="2704" ht="24" customHeight="1" spans="2:14">
      <c r="B2704" s="33"/>
      <c r="C2704" s="60"/>
      <c r="D2704" s="60"/>
      <c r="E2704" s="60"/>
      <c r="F2704" s="60"/>
      <c r="G2704" s="60"/>
      <c r="H2704" s="60"/>
      <c r="I2704" s="60"/>
      <c r="J2704" s="60"/>
      <c r="K2704" s="60"/>
      <c r="L2704" s="60"/>
      <c r="M2704" s="64"/>
      <c r="N2704" s="33"/>
    </row>
    <row r="2705" ht="24" customHeight="1" spans="2:14">
      <c r="B2705" s="33"/>
      <c r="C2705" s="60"/>
      <c r="D2705" s="60"/>
      <c r="E2705" s="60"/>
      <c r="F2705" s="60"/>
      <c r="G2705" s="60"/>
      <c r="H2705" s="60"/>
      <c r="I2705" s="60"/>
      <c r="J2705" s="60"/>
      <c r="K2705" s="60"/>
      <c r="L2705" s="60"/>
      <c r="M2705" s="64"/>
      <c r="N2705" s="33"/>
    </row>
    <row r="2706" ht="24" customHeight="1" spans="2:14">
      <c r="B2706" s="33"/>
      <c r="C2706" s="60"/>
      <c r="D2706" s="60"/>
      <c r="E2706" s="60"/>
      <c r="F2706" s="60"/>
      <c r="G2706" s="60"/>
      <c r="H2706" s="60"/>
      <c r="I2706" s="60"/>
      <c r="J2706" s="60"/>
      <c r="K2706" s="60"/>
      <c r="L2706" s="60"/>
      <c r="M2706" s="64"/>
      <c r="N2706" s="33"/>
    </row>
    <row r="2707" ht="24" customHeight="1" spans="2:14">
      <c r="B2707" s="33"/>
      <c r="C2707" s="60"/>
      <c r="D2707" s="60"/>
      <c r="E2707" s="60"/>
      <c r="F2707" s="60"/>
      <c r="G2707" s="60"/>
      <c r="H2707" s="60"/>
      <c r="I2707" s="60"/>
      <c r="J2707" s="60"/>
      <c r="K2707" s="60"/>
      <c r="L2707" s="60"/>
      <c r="M2707" s="64"/>
      <c r="N2707" s="33"/>
    </row>
    <row r="2708" ht="24" customHeight="1" spans="2:14">
      <c r="B2708" s="33"/>
      <c r="C2708" s="60"/>
      <c r="D2708" s="60"/>
      <c r="E2708" s="60"/>
      <c r="F2708" s="60"/>
      <c r="G2708" s="60"/>
      <c r="H2708" s="60"/>
      <c r="I2708" s="60"/>
      <c r="J2708" s="60"/>
      <c r="K2708" s="60"/>
      <c r="L2708" s="60"/>
      <c r="M2708" s="64"/>
      <c r="N2708" s="33"/>
    </row>
    <row r="2709" ht="24" customHeight="1" spans="2:14">
      <c r="B2709" s="33"/>
      <c r="C2709" s="60"/>
      <c r="D2709" s="60"/>
      <c r="E2709" s="60"/>
      <c r="F2709" s="60"/>
      <c r="G2709" s="60"/>
      <c r="H2709" s="60"/>
      <c r="I2709" s="60"/>
      <c r="J2709" s="60"/>
      <c r="K2709" s="60"/>
      <c r="L2709" s="60"/>
      <c r="M2709" s="64"/>
      <c r="N2709" s="33"/>
    </row>
    <row r="2710" ht="24" customHeight="1" spans="2:14">
      <c r="B2710" s="33"/>
      <c r="C2710" s="60"/>
      <c r="D2710" s="60"/>
      <c r="E2710" s="60"/>
      <c r="F2710" s="60"/>
      <c r="G2710" s="60"/>
      <c r="H2710" s="60"/>
      <c r="I2710" s="60"/>
      <c r="J2710" s="60"/>
      <c r="K2710" s="60"/>
      <c r="L2710" s="60"/>
      <c r="M2710" s="64"/>
      <c r="N2710" s="33"/>
    </row>
    <row r="2711" ht="24" customHeight="1" spans="2:14">
      <c r="B2711" s="33"/>
      <c r="C2711" s="60"/>
      <c r="D2711" s="60"/>
      <c r="E2711" s="60"/>
      <c r="F2711" s="60"/>
      <c r="G2711" s="60"/>
      <c r="H2711" s="60"/>
      <c r="I2711" s="60"/>
      <c r="J2711" s="60"/>
      <c r="K2711" s="60"/>
      <c r="L2711" s="60"/>
      <c r="M2711" s="64"/>
      <c r="N2711" s="33"/>
    </row>
    <row r="2712" ht="24" customHeight="1" spans="2:14">
      <c r="B2712" s="33"/>
      <c r="C2712" s="60"/>
      <c r="D2712" s="60"/>
      <c r="E2712" s="60"/>
      <c r="F2712" s="60"/>
      <c r="G2712" s="60"/>
      <c r="H2712" s="60"/>
      <c r="I2712" s="60"/>
      <c r="J2712" s="60"/>
      <c r="K2712" s="60"/>
      <c r="L2712" s="60"/>
      <c r="M2712" s="64"/>
      <c r="N2712" s="33"/>
    </row>
    <row r="2713" ht="24" customHeight="1" spans="2:14">
      <c r="B2713" s="33"/>
      <c r="C2713" s="60"/>
      <c r="D2713" s="60"/>
      <c r="E2713" s="60"/>
      <c r="F2713" s="60"/>
      <c r="G2713" s="60"/>
      <c r="H2713" s="60"/>
      <c r="I2713" s="60"/>
      <c r="J2713" s="60"/>
      <c r="K2713" s="60"/>
      <c r="L2713" s="60"/>
      <c r="M2713" s="64"/>
      <c r="N2713" s="33"/>
    </row>
    <row r="2714" ht="24" customHeight="1" spans="2:14">
      <c r="B2714" s="33"/>
      <c r="C2714" s="60"/>
      <c r="D2714" s="60"/>
      <c r="E2714" s="60"/>
      <c r="F2714" s="60"/>
      <c r="G2714" s="60"/>
      <c r="H2714" s="60"/>
      <c r="I2714" s="60"/>
      <c r="J2714" s="60"/>
      <c r="K2714" s="60"/>
      <c r="L2714" s="60"/>
      <c r="M2714" s="64"/>
      <c r="N2714" s="33"/>
    </row>
    <row r="2715" ht="24" customHeight="1" spans="2:14">
      <c r="B2715" s="33"/>
      <c r="C2715" s="60"/>
      <c r="D2715" s="60"/>
      <c r="E2715" s="60"/>
      <c r="F2715" s="60"/>
      <c r="G2715" s="60"/>
      <c r="H2715" s="60"/>
      <c r="I2715" s="60"/>
      <c r="J2715" s="60"/>
      <c r="K2715" s="60"/>
      <c r="L2715" s="60"/>
      <c r="M2715" s="64"/>
      <c r="N2715" s="33"/>
    </row>
    <row r="2716" ht="24" customHeight="1" spans="2:14">
      <c r="B2716" s="33"/>
      <c r="C2716" s="60"/>
      <c r="D2716" s="60"/>
      <c r="E2716" s="60"/>
      <c r="F2716" s="60"/>
      <c r="G2716" s="60"/>
      <c r="H2716" s="60"/>
      <c r="I2716" s="60"/>
      <c r="J2716" s="60"/>
      <c r="K2716" s="60"/>
      <c r="L2716" s="60"/>
      <c r="M2716" s="64"/>
      <c r="N2716" s="33"/>
    </row>
    <row r="2717" ht="24" customHeight="1" spans="2:14">
      <c r="B2717" s="33"/>
      <c r="C2717" s="60"/>
      <c r="D2717" s="60"/>
      <c r="E2717" s="60"/>
      <c r="F2717" s="60"/>
      <c r="G2717" s="60"/>
      <c r="H2717" s="60"/>
      <c r="I2717" s="60"/>
      <c r="J2717" s="60"/>
      <c r="K2717" s="60"/>
      <c r="L2717" s="60"/>
      <c r="M2717" s="64"/>
      <c r="N2717" s="33"/>
    </row>
    <row r="2718" ht="24" customHeight="1" spans="2:14">
      <c r="B2718" s="33"/>
      <c r="C2718" s="60"/>
      <c r="D2718" s="60"/>
      <c r="E2718" s="60"/>
      <c r="F2718" s="60"/>
      <c r="G2718" s="60"/>
      <c r="H2718" s="60"/>
      <c r="I2718" s="60"/>
      <c r="J2718" s="60"/>
      <c r="K2718" s="60"/>
      <c r="L2718" s="60"/>
      <c r="M2718" s="64"/>
      <c r="N2718" s="33"/>
    </row>
    <row r="2719" ht="24" customHeight="1" spans="2:14">
      <c r="B2719" s="33"/>
      <c r="C2719" s="60"/>
      <c r="D2719" s="60"/>
      <c r="E2719" s="60"/>
      <c r="F2719" s="60"/>
      <c r="G2719" s="60"/>
      <c r="H2719" s="60"/>
      <c r="I2719" s="60"/>
      <c r="J2719" s="60"/>
      <c r="K2719" s="60"/>
      <c r="L2719" s="60"/>
      <c r="M2719" s="64"/>
      <c r="N2719" s="33"/>
    </row>
    <row r="2720" ht="24" customHeight="1" spans="2:14">
      <c r="B2720" s="33"/>
      <c r="C2720" s="60"/>
      <c r="D2720" s="60"/>
      <c r="E2720" s="60"/>
      <c r="F2720" s="60"/>
      <c r="G2720" s="60"/>
      <c r="H2720" s="60"/>
      <c r="I2720" s="60"/>
      <c r="J2720" s="60"/>
      <c r="K2720" s="60"/>
      <c r="L2720" s="60"/>
      <c r="M2720" s="64"/>
      <c r="N2720" s="33"/>
    </row>
    <row r="2721" ht="24" customHeight="1" spans="2:14">
      <c r="B2721" s="33"/>
      <c r="C2721" s="60"/>
      <c r="D2721" s="60"/>
      <c r="E2721" s="60"/>
      <c r="F2721" s="60"/>
      <c r="G2721" s="60"/>
      <c r="H2721" s="60"/>
      <c r="I2721" s="60"/>
      <c r="J2721" s="60"/>
      <c r="K2721" s="60"/>
      <c r="L2721" s="60"/>
      <c r="M2721" s="64"/>
      <c r="N2721" s="33"/>
    </row>
    <row r="2722" ht="24" customHeight="1" spans="2:14">
      <c r="B2722" s="33"/>
      <c r="C2722" s="60"/>
      <c r="D2722" s="60"/>
      <c r="E2722" s="60"/>
      <c r="F2722" s="60"/>
      <c r="G2722" s="60"/>
      <c r="H2722" s="60"/>
      <c r="I2722" s="60"/>
      <c r="J2722" s="60"/>
      <c r="K2722" s="60"/>
      <c r="L2722" s="60"/>
      <c r="M2722" s="64"/>
      <c r="N2722" s="33"/>
    </row>
    <row r="2723" ht="24" customHeight="1" spans="2:14">
      <c r="B2723" s="33"/>
      <c r="C2723" s="60"/>
      <c r="D2723" s="60"/>
      <c r="E2723" s="60"/>
      <c r="F2723" s="60"/>
      <c r="G2723" s="60"/>
      <c r="H2723" s="60"/>
      <c r="I2723" s="60"/>
      <c r="J2723" s="60"/>
      <c r="K2723" s="60"/>
      <c r="L2723" s="60"/>
      <c r="M2723" s="64"/>
      <c r="N2723" s="33"/>
    </row>
    <row r="2724" ht="24" customHeight="1" spans="2:14">
      <c r="B2724" s="33"/>
      <c r="C2724" s="60"/>
      <c r="D2724" s="60"/>
      <c r="E2724" s="60"/>
      <c r="F2724" s="60"/>
      <c r="G2724" s="60"/>
      <c r="H2724" s="60"/>
      <c r="I2724" s="60"/>
      <c r="J2724" s="60"/>
      <c r="K2724" s="60"/>
      <c r="L2724" s="60"/>
      <c r="M2724" s="64"/>
      <c r="N2724" s="33"/>
    </row>
    <row r="2725" ht="24" customHeight="1" spans="2:14">
      <c r="B2725" s="33"/>
      <c r="C2725" s="60"/>
      <c r="D2725" s="60"/>
      <c r="E2725" s="60"/>
      <c r="F2725" s="60"/>
      <c r="G2725" s="60"/>
      <c r="H2725" s="60"/>
      <c r="I2725" s="60"/>
      <c r="J2725" s="60"/>
      <c r="K2725" s="60"/>
      <c r="L2725" s="60"/>
      <c r="M2725" s="64"/>
      <c r="N2725" s="33"/>
    </row>
    <row r="2726" ht="24" customHeight="1" spans="2:14">
      <c r="B2726" s="33"/>
      <c r="C2726" s="60"/>
      <c r="D2726" s="60"/>
      <c r="E2726" s="60"/>
      <c r="F2726" s="60"/>
      <c r="G2726" s="60"/>
      <c r="H2726" s="60"/>
      <c r="I2726" s="60"/>
      <c r="J2726" s="60"/>
      <c r="K2726" s="60"/>
      <c r="L2726" s="60"/>
      <c r="M2726" s="64"/>
      <c r="N2726" s="33"/>
    </row>
    <row r="2727" ht="24" customHeight="1" spans="2:14">
      <c r="B2727" s="33"/>
      <c r="C2727" s="60"/>
      <c r="D2727" s="60"/>
      <c r="E2727" s="60"/>
      <c r="F2727" s="60"/>
      <c r="G2727" s="60"/>
      <c r="H2727" s="60"/>
      <c r="I2727" s="60"/>
      <c r="J2727" s="60"/>
      <c r="K2727" s="60"/>
      <c r="L2727" s="60"/>
      <c r="M2727" s="64"/>
      <c r="N2727" s="33"/>
    </row>
    <row r="2728" ht="24" customHeight="1" spans="2:14">
      <c r="B2728" s="33"/>
      <c r="C2728" s="60"/>
      <c r="D2728" s="60"/>
      <c r="E2728" s="60"/>
      <c r="F2728" s="60"/>
      <c r="G2728" s="60"/>
      <c r="H2728" s="60"/>
      <c r="I2728" s="60"/>
      <c r="J2728" s="60"/>
      <c r="K2728" s="60"/>
      <c r="L2728" s="60"/>
      <c r="M2728" s="64"/>
      <c r="N2728" s="33"/>
    </row>
    <row r="2729" ht="24" customHeight="1" spans="2:14">
      <c r="B2729" s="33"/>
      <c r="C2729" s="60"/>
      <c r="D2729" s="60"/>
      <c r="E2729" s="60"/>
      <c r="F2729" s="60"/>
      <c r="G2729" s="60"/>
      <c r="H2729" s="60"/>
      <c r="I2729" s="60"/>
      <c r="J2729" s="60"/>
      <c r="K2729" s="60"/>
      <c r="L2729" s="60"/>
      <c r="M2729" s="64"/>
      <c r="N2729" s="33"/>
    </row>
    <row r="2730" ht="24" customHeight="1" spans="2:14">
      <c r="B2730" s="33"/>
      <c r="C2730" s="60"/>
      <c r="D2730" s="60"/>
      <c r="E2730" s="60"/>
      <c r="F2730" s="60"/>
      <c r="G2730" s="60"/>
      <c r="H2730" s="60"/>
      <c r="I2730" s="60"/>
      <c r="J2730" s="60"/>
      <c r="K2730" s="60"/>
      <c r="L2730" s="60"/>
      <c r="M2730" s="64"/>
      <c r="N2730" s="33"/>
    </row>
    <row r="2731" ht="24" customHeight="1" spans="2:14">
      <c r="B2731" s="33"/>
      <c r="C2731" s="60"/>
      <c r="D2731" s="60"/>
      <c r="E2731" s="60"/>
      <c r="F2731" s="60"/>
      <c r="G2731" s="60"/>
      <c r="H2731" s="60"/>
      <c r="I2731" s="60"/>
      <c r="J2731" s="60"/>
      <c r="K2731" s="60"/>
      <c r="L2731" s="60"/>
      <c r="M2731" s="64"/>
      <c r="N2731" s="33"/>
    </row>
    <row r="2732" ht="24" customHeight="1" spans="2:14">
      <c r="B2732" s="33"/>
      <c r="C2732" s="60"/>
      <c r="D2732" s="60"/>
      <c r="E2732" s="60"/>
      <c r="F2732" s="60"/>
      <c r="G2732" s="60"/>
      <c r="H2732" s="60"/>
      <c r="I2732" s="60"/>
      <c r="J2732" s="60"/>
      <c r="K2732" s="60"/>
      <c r="L2732" s="60"/>
      <c r="M2732" s="64"/>
      <c r="N2732" s="33"/>
    </row>
    <row r="2733" ht="24" customHeight="1" spans="2:14">
      <c r="B2733" s="33"/>
      <c r="C2733" s="60"/>
      <c r="D2733" s="60"/>
      <c r="E2733" s="60"/>
      <c r="F2733" s="60"/>
      <c r="G2733" s="60"/>
      <c r="H2733" s="60"/>
      <c r="I2733" s="60"/>
      <c r="J2733" s="60"/>
      <c r="K2733" s="60"/>
      <c r="L2733" s="60"/>
      <c r="M2733" s="64"/>
      <c r="N2733" s="33"/>
    </row>
    <row r="2734" ht="24" customHeight="1" spans="2:14">
      <c r="B2734" s="33"/>
      <c r="C2734" s="60"/>
      <c r="D2734" s="60"/>
      <c r="E2734" s="60"/>
      <c r="F2734" s="60"/>
      <c r="G2734" s="60"/>
      <c r="H2734" s="60"/>
      <c r="I2734" s="60"/>
      <c r="J2734" s="60"/>
      <c r="K2734" s="60"/>
      <c r="L2734" s="60"/>
      <c r="M2734" s="64"/>
      <c r="N2734" s="33"/>
    </row>
    <row r="2735" ht="24" customHeight="1" spans="2:14">
      <c r="B2735" s="33"/>
      <c r="C2735" s="60"/>
      <c r="D2735" s="60"/>
      <c r="E2735" s="60"/>
      <c r="F2735" s="60"/>
      <c r="G2735" s="60"/>
      <c r="H2735" s="60"/>
      <c r="I2735" s="60"/>
      <c r="J2735" s="60"/>
      <c r="K2735" s="60"/>
      <c r="L2735" s="60"/>
      <c r="M2735" s="64"/>
      <c r="N2735" s="33"/>
    </row>
    <row r="2736" ht="24" customHeight="1" spans="2:14">
      <c r="B2736" s="33"/>
      <c r="C2736" s="60"/>
      <c r="D2736" s="60"/>
      <c r="E2736" s="60"/>
      <c r="F2736" s="60"/>
      <c r="G2736" s="60"/>
      <c r="H2736" s="60"/>
      <c r="I2736" s="60"/>
      <c r="J2736" s="60"/>
      <c r="K2736" s="60"/>
      <c r="L2736" s="60"/>
      <c r="M2736" s="64"/>
      <c r="N2736" s="33"/>
    </row>
    <row r="2737" ht="24" customHeight="1" spans="2:14">
      <c r="B2737" s="33"/>
      <c r="C2737" s="60"/>
      <c r="D2737" s="60"/>
      <c r="E2737" s="60"/>
      <c r="F2737" s="60"/>
      <c r="G2737" s="60"/>
      <c r="H2737" s="60"/>
      <c r="I2737" s="60"/>
      <c r="J2737" s="60"/>
      <c r="K2737" s="60"/>
      <c r="L2737" s="60"/>
      <c r="M2737" s="64"/>
      <c r="N2737" s="33"/>
    </row>
    <row r="2738" ht="24" customHeight="1" spans="2:14">
      <c r="B2738" s="33"/>
      <c r="C2738" s="60"/>
      <c r="D2738" s="60"/>
      <c r="E2738" s="60"/>
      <c r="F2738" s="60"/>
      <c r="G2738" s="60"/>
      <c r="H2738" s="60"/>
      <c r="I2738" s="60"/>
      <c r="J2738" s="60"/>
      <c r="K2738" s="60"/>
      <c r="L2738" s="60"/>
      <c r="M2738" s="64"/>
      <c r="N2738" s="33"/>
    </row>
    <row r="2739" ht="24" customHeight="1" spans="2:14">
      <c r="B2739" s="33"/>
      <c r="C2739" s="60"/>
      <c r="D2739" s="60"/>
      <c r="E2739" s="60"/>
      <c r="F2739" s="60"/>
      <c r="G2739" s="60"/>
      <c r="H2739" s="60"/>
      <c r="I2739" s="60"/>
      <c r="J2739" s="60"/>
      <c r="K2739" s="60"/>
      <c r="L2739" s="60"/>
      <c r="M2739" s="64"/>
      <c r="N2739" s="33"/>
    </row>
    <row r="2740" ht="24" customHeight="1" spans="2:14">
      <c r="B2740" s="33"/>
      <c r="C2740" s="60"/>
      <c r="D2740" s="60"/>
      <c r="E2740" s="60"/>
      <c r="F2740" s="60"/>
      <c r="G2740" s="60"/>
      <c r="H2740" s="60"/>
      <c r="I2740" s="60"/>
      <c r="J2740" s="60"/>
      <c r="K2740" s="60"/>
      <c r="L2740" s="60"/>
      <c r="M2740" s="64"/>
      <c r="N2740" s="33"/>
    </row>
    <row r="2741" ht="24" customHeight="1" spans="2:14">
      <c r="B2741" s="33"/>
      <c r="C2741" s="60"/>
      <c r="D2741" s="60"/>
      <c r="E2741" s="60"/>
      <c r="F2741" s="60"/>
      <c r="G2741" s="60"/>
      <c r="H2741" s="60"/>
      <c r="I2741" s="60"/>
      <c r="J2741" s="60"/>
      <c r="K2741" s="60"/>
      <c r="L2741" s="60"/>
      <c r="M2741" s="64"/>
      <c r="N2741" s="33"/>
    </row>
    <row r="2742" ht="24" customHeight="1" spans="2:14">
      <c r="B2742" s="33"/>
      <c r="C2742" s="60"/>
      <c r="D2742" s="60"/>
      <c r="E2742" s="60"/>
      <c r="F2742" s="60"/>
      <c r="G2742" s="60"/>
      <c r="H2742" s="60"/>
      <c r="I2742" s="60"/>
      <c r="J2742" s="60"/>
      <c r="K2742" s="60"/>
      <c r="L2742" s="60"/>
      <c r="M2742" s="64"/>
      <c r="N2742" s="33"/>
    </row>
    <row r="2743" ht="24" customHeight="1" spans="2:14">
      <c r="B2743" s="33"/>
      <c r="C2743" s="60"/>
      <c r="D2743" s="60"/>
      <c r="E2743" s="60"/>
      <c r="F2743" s="60"/>
      <c r="G2743" s="60"/>
      <c r="H2743" s="60"/>
      <c r="I2743" s="60"/>
      <c r="J2743" s="60"/>
      <c r="K2743" s="60"/>
      <c r="L2743" s="60"/>
      <c r="M2743" s="64"/>
      <c r="N2743" s="33"/>
    </row>
    <row r="2744" ht="24" customHeight="1" spans="2:14">
      <c r="B2744" s="33"/>
      <c r="C2744" s="60"/>
      <c r="D2744" s="60"/>
      <c r="E2744" s="60"/>
      <c r="F2744" s="60"/>
      <c r="G2744" s="60"/>
      <c r="H2744" s="60"/>
      <c r="I2744" s="60"/>
      <c r="J2744" s="60"/>
      <c r="K2744" s="60"/>
      <c r="L2744" s="60"/>
      <c r="M2744" s="64"/>
      <c r="N2744" s="33"/>
    </row>
    <row r="2745" ht="24" customHeight="1" spans="2:14">
      <c r="B2745" s="33"/>
      <c r="C2745" s="60"/>
      <c r="D2745" s="60"/>
      <c r="E2745" s="60"/>
      <c r="F2745" s="60"/>
      <c r="G2745" s="60"/>
      <c r="H2745" s="60"/>
      <c r="I2745" s="60"/>
      <c r="J2745" s="60"/>
      <c r="K2745" s="60"/>
      <c r="L2745" s="60"/>
      <c r="M2745" s="64"/>
      <c r="N2745" s="33"/>
    </row>
    <row r="2746" ht="24" customHeight="1" spans="2:14">
      <c r="B2746" s="33"/>
      <c r="C2746" s="60"/>
      <c r="D2746" s="60"/>
      <c r="E2746" s="60"/>
      <c r="F2746" s="60"/>
      <c r="G2746" s="60"/>
      <c r="H2746" s="60"/>
      <c r="I2746" s="60"/>
      <c r="J2746" s="60"/>
      <c r="K2746" s="60"/>
      <c r="L2746" s="60"/>
      <c r="M2746" s="64"/>
      <c r="N2746" s="33"/>
    </row>
    <row r="2747" ht="24" customHeight="1" spans="2:14">
      <c r="B2747" s="33"/>
      <c r="C2747" s="60"/>
      <c r="D2747" s="60"/>
      <c r="E2747" s="60"/>
      <c r="F2747" s="60"/>
      <c r="G2747" s="60"/>
      <c r="H2747" s="60"/>
      <c r="I2747" s="60"/>
      <c r="J2747" s="60"/>
      <c r="K2747" s="60"/>
      <c r="L2747" s="60"/>
      <c r="M2747" s="64"/>
      <c r="N2747" s="33"/>
    </row>
    <row r="2748" ht="24" customHeight="1" spans="2:14">
      <c r="B2748" s="33"/>
      <c r="C2748" s="60"/>
      <c r="D2748" s="60"/>
      <c r="E2748" s="60"/>
      <c r="F2748" s="60"/>
      <c r="G2748" s="60"/>
      <c r="H2748" s="60"/>
      <c r="I2748" s="60"/>
      <c r="J2748" s="60"/>
      <c r="K2748" s="60"/>
      <c r="L2748" s="60"/>
      <c r="M2748" s="64"/>
      <c r="N2748" s="33"/>
    </row>
    <row r="2749" ht="24" customHeight="1" spans="2:14">
      <c r="B2749" s="33"/>
      <c r="C2749" s="60"/>
      <c r="D2749" s="60"/>
      <c r="E2749" s="60"/>
      <c r="F2749" s="60"/>
      <c r="G2749" s="60"/>
      <c r="H2749" s="60"/>
      <c r="I2749" s="60"/>
      <c r="J2749" s="60"/>
      <c r="K2749" s="60"/>
      <c r="L2749" s="60"/>
      <c r="M2749" s="64"/>
      <c r="N2749" s="33"/>
    </row>
    <row r="2750" ht="24" customHeight="1" spans="2:14">
      <c r="B2750" s="33"/>
      <c r="C2750" s="60"/>
      <c r="D2750" s="60"/>
      <c r="E2750" s="60"/>
      <c r="F2750" s="60"/>
      <c r="G2750" s="60"/>
      <c r="H2750" s="60"/>
      <c r="I2750" s="60"/>
      <c r="J2750" s="60"/>
      <c r="K2750" s="60"/>
      <c r="L2750" s="60"/>
      <c r="M2750" s="64"/>
      <c r="N2750" s="33"/>
    </row>
    <row r="2751" ht="24" customHeight="1" spans="2:14">
      <c r="B2751" s="33"/>
      <c r="C2751" s="60"/>
      <c r="D2751" s="60"/>
      <c r="E2751" s="60"/>
      <c r="F2751" s="60"/>
      <c r="G2751" s="60"/>
      <c r="H2751" s="60"/>
      <c r="I2751" s="60"/>
      <c r="J2751" s="60"/>
      <c r="K2751" s="60"/>
      <c r="L2751" s="60"/>
      <c r="M2751" s="64"/>
      <c r="N2751" s="33"/>
    </row>
    <row r="2752" ht="24" customHeight="1" spans="2:14">
      <c r="B2752" s="33"/>
      <c r="C2752" s="60"/>
      <c r="D2752" s="60"/>
      <c r="E2752" s="60"/>
      <c r="F2752" s="60"/>
      <c r="G2752" s="60"/>
      <c r="H2752" s="60"/>
      <c r="I2752" s="60"/>
      <c r="J2752" s="60"/>
      <c r="K2752" s="60"/>
      <c r="L2752" s="60"/>
      <c r="M2752" s="64"/>
      <c r="N2752" s="33"/>
    </row>
    <row r="2753" ht="24" customHeight="1" spans="2:14">
      <c r="B2753" s="33"/>
      <c r="C2753" s="60"/>
      <c r="D2753" s="60"/>
      <c r="E2753" s="60"/>
      <c r="F2753" s="60"/>
      <c r="G2753" s="60"/>
      <c r="H2753" s="60"/>
      <c r="I2753" s="60"/>
      <c r="J2753" s="60"/>
      <c r="K2753" s="60"/>
      <c r="L2753" s="60"/>
      <c r="M2753" s="64"/>
      <c r="N2753" s="33"/>
    </row>
    <row r="2754" ht="24" customHeight="1" spans="2:14">
      <c r="B2754" s="33"/>
      <c r="C2754" s="60"/>
      <c r="D2754" s="60"/>
      <c r="E2754" s="60"/>
      <c r="F2754" s="60"/>
      <c r="G2754" s="60"/>
      <c r="H2754" s="60"/>
      <c r="I2754" s="60"/>
      <c r="J2754" s="60"/>
      <c r="K2754" s="60"/>
      <c r="L2754" s="60"/>
      <c r="M2754" s="64"/>
      <c r="N2754" s="33"/>
    </row>
    <row r="2755" ht="24" customHeight="1" spans="2:14">
      <c r="B2755" s="33"/>
      <c r="C2755" s="60"/>
      <c r="D2755" s="60"/>
      <c r="E2755" s="60"/>
      <c r="F2755" s="60"/>
      <c r="G2755" s="60"/>
      <c r="H2755" s="60"/>
      <c r="I2755" s="60"/>
      <c r="J2755" s="60"/>
      <c r="K2755" s="60"/>
      <c r="L2755" s="60"/>
      <c r="M2755" s="64"/>
      <c r="N2755" s="33"/>
    </row>
    <row r="2756" ht="24" customHeight="1" spans="2:14">
      <c r="B2756" s="33"/>
      <c r="C2756" s="60"/>
      <c r="D2756" s="60"/>
      <c r="E2756" s="60"/>
      <c r="F2756" s="60"/>
      <c r="G2756" s="60"/>
      <c r="H2756" s="60"/>
      <c r="I2756" s="60"/>
      <c r="J2756" s="60"/>
      <c r="K2756" s="60"/>
      <c r="L2756" s="60"/>
      <c r="M2756" s="64"/>
      <c r="N2756" s="33"/>
    </row>
    <row r="2757" ht="24" customHeight="1" spans="2:14">
      <c r="B2757" s="33"/>
      <c r="C2757" s="60"/>
      <c r="D2757" s="60"/>
      <c r="E2757" s="60"/>
      <c r="F2757" s="60"/>
      <c r="G2757" s="60"/>
      <c r="H2757" s="60"/>
      <c r="I2757" s="60"/>
      <c r="J2757" s="60"/>
      <c r="K2757" s="60"/>
      <c r="L2757" s="60"/>
      <c r="M2757" s="64"/>
      <c r="N2757" s="33"/>
    </row>
    <row r="2758" ht="24" customHeight="1" spans="2:14">
      <c r="B2758" s="33"/>
      <c r="C2758" s="60"/>
      <c r="D2758" s="60"/>
      <c r="E2758" s="60"/>
      <c r="F2758" s="60"/>
      <c r="G2758" s="60"/>
      <c r="H2758" s="60"/>
      <c r="I2758" s="60"/>
      <c r="J2758" s="60"/>
      <c r="K2758" s="60"/>
      <c r="L2758" s="60"/>
      <c r="M2758" s="64"/>
      <c r="N2758" s="33"/>
    </row>
    <row r="2759" ht="24" customHeight="1" spans="2:14">
      <c r="B2759" s="33"/>
      <c r="C2759" s="60"/>
      <c r="D2759" s="60"/>
      <c r="E2759" s="60"/>
      <c r="F2759" s="60"/>
      <c r="G2759" s="60"/>
      <c r="H2759" s="60"/>
      <c r="I2759" s="60"/>
      <c r="J2759" s="60"/>
      <c r="K2759" s="60"/>
      <c r="L2759" s="60"/>
      <c r="M2759" s="64"/>
      <c r="N2759" s="33"/>
    </row>
    <row r="2760" ht="24" customHeight="1" spans="2:14">
      <c r="B2760" s="33"/>
      <c r="C2760" s="60"/>
      <c r="D2760" s="60"/>
      <c r="E2760" s="60"/>
      <c r="F2760" s="60"/>
      <c r="G2760" s="60"/>
      <c r="H2760" s="60"/>
      <c r="I2760" s="60"/>
      <c r="J2760" s="60"/>
      <c r="K2760" s="60"/>
      <c r="L2760" s="60"/>
      <c r="M2760" s="64"/>
      <c r="N2760" s="33"/>
    </row>
    <row r="2761" ht="24" customHeight="1" spans="2:14">
      <c r="B2761" s="33"/>
      <c r="C2761" s="60"/>
      <c r="D2761" s="60"/>
      <c r="E2761" s="60"/>
      <c r="F2761" s="60"/>
      <c r="G2761" s="60"/>
      <c r="H2761" s="60"/>
      <c r="I2761" s="60"/>
      <c r="J2761" s="60"/>
      <c r="K2761" s="60"/>
      <c r="L2761" s="60"/>
      <c r="M2761" s="64"/>
      <c r="N2761" s="33"/>
    </row>
    <row r="2762" ht="24" customHeight="1" spans="2:14">
      <c r="B2762" s="33"/>
      <c r="C2762" s="60"/>
      <c r="D2762" s="60"/>
      <c r="E2762" s="60"/>
      <c r="F2762" s="60"/>
      <c r="G2762" s="60"/>
      <c r="H2762" s="60"/>
      <c r="I2762" s="60"/>
      <c r="J2762" s="60"/>
      <c r="K2762" s="60"/>
      <c r="L2762" s="60"/>
      <c r="M2762" s="64"/>
      <c r="N2762" s="33"/>
    </row>
    <row r="2763" ht="24" customHeight="1" spans="2:14">
      <c r="B2763" s="33"/>
      <c r="C2763" s="60"/>
      <c r="D2763" s="60"/>
      <c r="E2763" s="60"/>
      <c r="F2763" s="60"/>
      <c r="G2763" s="60"/>
      <c r="H2763" s="60"/>
      <c r="I2763" s="60"/>
      <c r="J2763" s="60"/>
      <c r="K2763" s="60"/>
      <c r="L2763" s="60"/>
      <c r="M2763" s="64"/>
      <c r="N2763" s="33"/>
    </row>
    <row r="2764" ht="24" customHeight="1" spans="2:14">
      <c r="B2764" s="33"/>
      <c r="C2764" s="60"/>
      <c r="D2764" s="60"/>
      <c r="E2764" s="60"/>
      <c r="F2764" s="60"/>
      <c r="G2764" s="60"/>
      <c r="H2764" s="60"/>
      <c r="I2764" s="60"/>
      <c r="J2764" s="60"/>
      <c r="K2764" s="60"/>
      <c r="L2764" s="60"/>
      <c r="M2764" s="64"/>
      <c r="N2764" s="33"/>
    </row>
    <row r="2765" ht="24" customHeight="1" spans="2:14">
      <c r="B2765" s="33"/>
      <c r="C2765" s="60"/>
      <c r="D2765" s="60"/>
      <c r="E2765" s="60"/>
      <c r="F2765" s="60"/>
      <c r="G2765" s="60"/>
      <c r="H2765" s="60"/>
      <c r="I2765" s="60"/>
      <c r="J2765" s="60"/>
      <c r="K2765" s="60"/>
      <c r="L2765" s="60"/>
      <c r="M2765" s="64"/>
      <c r="N2765" s="33"/>
    </row>
    <row r="2766" ht="24" customHeight="1" spans="2:14">
      <c r="B2766" s="33"/>
      <c r="C2766" s="60"/>
      <c r="D2766" s="60"/>
      <c r="E2766" s="60"/>
      <c r="F2766" s="60"/>
      <c r="G2766" s="60"/>
      <c r="H2766" s="60"/>
      <c r="I2766" s="60"/>
      <c r="J2766" s="60"/>
      <c r="K2766" s="60"/>
      <c r="L2766" s="60"/>
      <c r="M2766" s="64"/>
      <c r="N2766" s="33"/>
    </row>
    <row r="2767" ht="24" customHeight="1" spans="2:14">
      <c r="B2767" s="33"/>
      <c r="C2767" s="60"/>
      <c r="D2767" s="60"/>
      <c r="E2767" s="60"/>
      <c r="F2767" s="60"/>
      <c r="G2767" s="60"/>
      <c r="H2767" s="60"/>
      <c r="I2767" s="60"/>
      <c r="J2767" s="60"/>
      <c r="K2767" s="60"/>
      <c r="L2767" s="60"/>
      <c r="M2767" s="64"/>
      <c r="N2767" s="33"/>
    </row>
    <row r="2768" ht="24" customHeight="1" spans="2:14">
      <c r="B2768" s="33"/>
      <c r="C2768" s="60"/>
      <c r="D2768" s="60"/>
      <c r="E2768" s="60"/>
      <c r="F2768" s="60"/>
      <c r="G2768" s="60"/>
      <c r="H2768" s="60"/>
      <c r="I2768" s="60"/>
      <c r="J2768" s="60"/>
      <c r="K2768" s="60"/>
      <c r="L2768" s="60"/>
      <c r="M2768" s="64"/>
      <c r="N2768" s="33"/>
    </row>
    <row r="2769" ht="24" customHeight="1" spans="2:14">
      <c r="B2769" s="33"/>
      <c r="C2769" s="60"/>
      <c r="D2769" s="60"/>
      <c r="E2769" s="60"/>
      <c r="F2769" s="60"/>
      <c r="G2769" s="60"/>
      <c r="H2769" s="60"/>
      <c r="I2769" s="60"/>
      <c r="J2769" s="60"/>
      <c r="K2769" s="60"/>
      <c r="L2769" s="60"/>
      <c r="M2769" s="64"/>
      <c r="N2769" s="33"/>
    </row>
    <row r="2770" ht="24" customHeight="1" spans="2:14">
      <c r="B2770" s="33"/>
      <c r="C2770" s="60"/>
      <c r="D2770" s="60"/>
      <c r="E2770" s="60"/>
      <c r="F2770" s="60"/>
      <c r="G2770" s="60"/>
      <c r="H2770" s="60"/>
      <c r="I2770" s="60"/>
      <c r="J2770" s="60"/>
      <c r="K2770" s="60"/>
      <c r="L2770" s="60"/>
      <c r="M2770" s="64"/>
      <c r="N2770" s="33"/>
    </row>
    <row r="2771" ht="24" customHeight="1" spans="2:14">
      <c r="B2771" s="33"/>
      <c r="C2771" s="60"/>
      <c r="D2771" s="60"/>
      <c r="E2771" s="60"/>
      <c r="F2771" s="60"/>
      <c r="G2771" s="60"/>
      <c r="H2771" s="60"/>
      <c r="I2771" s="60"/>
      <c r="J2771" s="60"/>
      <c r="K2771" s="60"/>
      <c r="L2771" s="60"/>
      <c r="M2771" s="64"/>
      <c r="N2771" s="33"/>
    </row>
    <row r="2772" ht="24" customHeight="1" spans="2:14">
      <c r="B2772" s="33"/>
      <c r="C2772" s="60"/>
      <c r="D2772" s="60"/>
      <c r="E2772" s="60"/>
      <c r="F2772" s="60"/>
      <c r="G2772" s="60"/>
      <c r="H2772" s="60"/>
      <c r="I2772" s="60"/>
      <c r="J2772" s="60"/>
      <c r="K2772" s="60"/>
      <c r="L2772" s="60"/>
      <c r="M2772" s="64"/>
      <c r="N2772" s="33"/>
    </row>
    <row r="2773" ht="24" customHeight="1" spans="2:14">
      <c r="B2773" s="33"/>
      <c r="C2773" s="60"/>
      <c r="D2773" s="60"/>
      <c r="E2773" s="60"/>
      <c r="F2773" s="60"/>
      <c r="G2773" s="60"/>
      <c r="H2773" s="60"/>
      <c r="I2773" s="60"/>
      <c r="J2773" s="60"/>
      <c r="K2773" s="60"/>
      <c r="L2773" s="60"/>
      <c r="M2773" s="64"/>
      <c r="N2773" s="33"/>
    </row>
    <row r="2774" ht="24" customHeight="1" spans="2:14">
      <c r="B2774" s="33"/>
      <c r="C2774" s="60"/>
      <c r="D2774" s="60"/>
      <c r="E2774" s="60"/>
      <c r="F2774" s="60"/>
      <c r="G2774" s="60"/>
      <c r="H2774" s="60"/>
      <c r="I2774" s="60"/>
      <c r="J2774" s="60"/>
      <c r="K2774" s="60"/>
      <c r="L2774" s="60"/>
      <c r="M2774" s="64"/>
      <c r="N2774" s="33"/>
    </row>
    <row r="2775" ht="24" customHeight="1" spans="2:14">
      <c r="B2775" s="33"/>
      <c r="C2775" s="60"/>
      <c r="D2775" s="60"/>
      <c r="E2775" s="60"/>
      <c r="F2775" s="60"/>
      <c r="G2775" s="60"/>
      <c r="H2775" s="60"/>
      <c r="I2775" s="60"/>
      <c r="J2775" s="60"/>
      <c r="K2775" s="60"/>
      <c r="L2775" s="60"/>
      <c r="M2775" s="64"/>
      <c r="N2775" s="33"/>
    </row>
    <row r="2776" ht="24" customHeight="1" spans="2:14">
      <c r="B2776" s="33"/>
      <c r="C2776" s="60"/>
      <c r="D2776" s="60"/>
      <c r="E2776" s="60"/>
      <c r="F2776" s="60"/>
      <c r="G2776" s="60"/>
      <c r="H2776" s="60"/>
      <c r="I2776" s="60"/>
      <c r="J2776" s="60"/>
      <c r="K2776" s="60"/>
      <c r="L2776" s="60"/>
      <c r="M2776" s="64"/>
      <c r="N2776" s="33"/>
    </row>
    <row r="2777" ht="24" customHeight="1" spans="2:14">
      <c r="B2777" s="33"/>
      <c r="C2777" s="60"/>
      <c r="D2777" s="60"/>
      <c r="E2777" s="60"/>
      <c r="F2777" s="60"/>
      <c r="G2777" s="60"/>
      <c r="H2777" s="60"/>
      <c r="I2777" s="60"/>
      <c r="J2777" s="60"/>
      <c r="K2777" s="60"/>
      <c r="L2777" s="60"/>
      <c r="M2777" s="64"/>
      <c r="N2777" s="33"/>
    </row>
    <row r="2778" ht="24" customHeight="1" spans="2:14">
      <c r="B2778" s="33"/>
      <c r="C2778" s="60"/>
      <c r="D2778" s="60"/>
      <c r="E2778" s="60"/>
      <c r="F2778" s="60"/>
      <c r="G2778" s="60"/>
      <c r="H2778" s="60"/>
      <c r="I2778" s="60"/>
      <c r="J2778" s="60"/>
      <c r="K2778" s="60"/>
      <c r="L2778" s="60"/>
      <c r="M2778" s="64"/>
      <c r="N2778" s="33"/>
    </row>
    <row r="2779" ht="24" customHeight="1" spans="2:14">
      <c r="B2779" s="33"/>
      <c r="C2779" s="60"/>
      <c r="D2779" s="60"/>
      <c r="E2779" s="60"/>
      <c r="F2779" s="60"/>
      <c r="G2779" s="60"/>
      <c r="H2779" s="60"/>
      <c r="I2779" s="60"/>
      <c r="J2779" s="60"/>
      <c r="K2779" s="60"/>
      <c r="L2779" s="60"/>
      <c r="M2779" s="64"/>
      <c r="N2779" s="33"/>
    </row>
    <row r="2780" ht="24" customHeight="1" spans="2:14">
      <c r="B2780" s="33"/>
      <c r="C2780" s="60"/>
      <c r="D2780" s="60"/>
      <c r="E2780" s="60"/>
      <c r="F2780" s="60"/>
      <c r="G2780" s="60"/>
      <c r="H2780" s="60"/>
      <c r="I2780" s="60"/>
      <c r="J2780" s="60"/>
      <c r="K2780" s="60"/>
      <c r="L2780" s="60"/>
      <c r="M2780" s="64"/>
      <c r="N2780" s="33"/>
    </row>
    <row r="2781" ht="24" customHeight="1" spans="2:14">
      <c r="B2781" s="33"/>
      <c r="C2781" s="60"/>
      <c r="D2781" s="60"/>
      <c r="E2781" s="60"/>
      <c r="F2781" s="60"/>
      <c r="G2781" s="60"/>
      <c r="H2781" s="60"/>
      <c r="I2781" s="60"/>
      <c r="J2781" s="60"/>
      <c r="K2781" s="60"/>
      <c r="L2781" s="60"/>
      <c r="M2781" s="64"/>
      <c r="N2781" s="33"/>
    </row>
    <row r="2782" ht="24" customHeight="1" spans="2:14">
      <c r="B2782" s="33"/>
      <c r="C2782" s="60"/>
      <c r="D2782" s="60"/>
      <c r="E2782" s="60"/>
      <c r="F2782" s="60"/>
      <c r="G2782" s="60"/>
      <c r="H2782" s="60"/>
      <c r="I2782" s="60"/>
      <c r="J2782" s="60"/>
      <c r="K2782" s="60"/>
      <c r="L2782" s="60"/>
      <c r="M2782" s="64"/>
      <c r="N2782" s="33"/>
    </row>
    <row r="2783" ht="24" customHeight="1" spans="2:14">
      <c r="B2783" s="33"/>
      <c r="C2783" s="60"/>
      <c r="D2783" s="60"/>
      <c r="E2783" s="60"/>
      <c r="F2783" s="60"/>
      <c r="G2783" s="60"/>
      <c r="H2783" s="60"/>
      <c r="I2783" s="60"/>
      <c r="J2783" s="60"/>
      <c r="K2783" s="60"/>
      <c r="L2783" s="60"/>
      <c r="M2783" s="64"/>
      <c r="N2783" s="33"/>
    </row>
    <row r="2784" ht="24" customHeight="1" spans="2:14">
      <c r="B2784" s="33"/>
      <c r="C2784" s="60"/>
      <c r="D2784" s="60"/>
      <c r="E2784" s="60"/>
      <c r="F2784" s="60"/>
      <c r="G2784" s="60"/>
      <c r="H2784" s="60"/>
      <c r="I2784" s="60"/>
      <c r="J2784" s="60"/>
      <c r="K2784" s="60"/>
      <c r="L2784" s="60"/>
      <c r="M2784" s="64"/>
      <c r="N2784" s="33"/>
    </row>
    <row r="2785" ht="24" customHeight="1" spans="2:14">
      <c r="B2785" s="33"/>
      <c r="C2785" s="60"/>
      <c r="D2785" s="60"/>
      <c r="E2785" s="60"/>
      <c r="F2785" s="60"/>
      <c r="G2785" s="60"/>
      <c r="H2785" s="60"/>
      <c r="I2785" s="60"/>
      <c r="J2785" s="60"/>
      <c r="K2785" s="60"/>
      <c r="L2785" s="60"/>
      <c r="M2785" s="64"/>
      <c r="N2785" s="33"/>
    </row>
    <row r="2786" ht="24" customHeight="1" spans="2:14">
      <c r="B2786" s="33"/>
      <c r="C2786" s="60"/>
      <c r="D2786" s="60"/>
      <c r="E2786" s="60"/>
      <c r="F2786" s="60"/>
      <c r="G2786" s="60"/>
      <c r="H2786" s="60"/>
      <c r="I2786" s="60"/>
      <c r="J2786" s="60"/>
      <c r="K2786" s="60"/>
      <c r="L2786" s="60"/>
      <c r="M2786" s="64"/>
      <c r="N2786" s="33"/>
    </row>
    <row r="2787" ht="24" customHeight="1" spans="2:14">
      <c r="B2787" s="33"/>
      <c r="C2787" s="60"/>
      <c r="D2787" s="60"/>
      <c r="E2787" s="60"/>
      <c r="F2787" s="60"/>
      <c r="G2787" s="60"/>
      <c r="H2787" s="60"/>
      <c r="I2787" s="60"/>
      <c r="J2787" s="60"/>
      <c r="K2787" s="60"/>
      <c r="L2787" s="60"/>
      <c r="M2787" s="64"/>
      <c r="N2787" s="33"/>
    </row>
    <row r="2788" ht="24" customHeight="1" spans="2:14">
      <c r="B2788" s="33"/>
      <c r="C2788" s="60"/>
      <c r="D2788" s="60"/>
      <c r="E2788" s="60"/>
      <c r="F2788" s="60"/>
      <c r="G2788" s="60"/>
      <c r="H2788" s="60"/>
      <c r="I2788" s="60"/>
      <c r="J2788" s="60"/>
      <c r="K2788" s="60"/>
      <c r="L2788" s="60"/>
      <c r="M2788" s="64"/>
      <c r="N2788" s="33"/>
    </row>
    <row r="2789" ht="24" customHeight="1" spans="2:14">
      <c r="B2789" s="33"/>
      <c r="C2789" s="60"/>
      <c r="D2789" s="60"/>
      <c r="E2789" s="60"/>
      <c r="F2789" s="60"/>
      <c r="G2789" s="60"/>
      <c r="H2789" s="60"/>
      <c r="I2789" s="60"/>
      <c r="J2789" s="60"/>
      <c r="K2789" s="60"/>
      <c r="L2789" s="60"/>
      <c r="M2789" s="64"/>
      <c r="N2789" s="33"/>
    </row>
    <row r="2790" ht="24" customHeight="1" spans="2:14">
      <c r="B2790" s="33"/>
      <c r="C2790" s="60"/>
      <c r="D2790" s="60"/>
      <c r="E2790" s="60"/>
      <c r="F2790" s="60"/>
      <c r="G2790" s="60"/>
      <c r="H2790" s="60"/>
      <c r="I2790" s="60"/>
      <c r="J2790" s="60"/>
      <c r="K2790" s="60"/>
      <c r="L2790" s="60"/>
      <c r="M2790" s="64"/>
      <c r="N2790" s="33"/>
    </row>
    <row r="2791" ht="24" customHeight="1" spans="2:14">
      <c r="B2791" s="33"/>
      <c r="C2791" s="60"/>
      <c r="D2791" s="60"/>
      <c r="E2791" s="60"/>
      <c r="F2791" s="60"/>
      <c r="G2791" s="60"/>
      <c r="H2791" s="60"/>
      <c r="I2791" s="60"/>
      <c r="J2791" s="60"/>
      <c r="K2791" s="60"/>
      <c r="L2791" s="60"/>
      <c r="M2791" s="64"/>
      <c r="N2791" s="33"/>
    </row>
    <row r="2792" ht="24" customHeight="1" spans="2:14">
      <c r="B2792" s="33"/>
      <c r="C2792" s="60"/>
      <c r="D2792" s="60"/>
      <c r="E2792" s="60"/>
      <c r="F2792" s="60"/>
      <c r="G2792" s="60"/>
      <c r="H2792" s="60"/>
      <c r="I2792" s="60"/>
      <c r="J2792" s="60"/>
      <c r="K2792" s="60"/>
      <c r="L2792" s="60"/>
      <c r="M2792" s="64"/>
      <c r="N2792" s="33"/>
    </row>
    <row r="2793" ht="24" customHeight="1" spans="2:14">
      <c r="B2793" s="33"/>
      <c r="C2793" s="60"/>
      <c r="D2793" s="60"/>
      <c r="E2793" s="60"/>
      <c r="F2793" s="60"/>
      <c r="G2793" s="60"/>
      <c r="H2793" s="60"/>
      <c r="I2793" s="60"/>
      <c r="J2793" s="60"/>
      <c r="K2793" s="60"/>
      <c r="L2793" s="60"/>
      <c r="M2793" s="64"/>
      <c r="N2793" s="33"/>
    </row>
    <row r="2794" ht="24" customHeight="1" spans="2:14">
      <c r="B2794" s="33"/>
      <c r="C2794" s="60"/>
      <c r="D2794" s="60"/>
      <c r="E2794" s="60"/>
      <c r="F2794" s="60"/>
      <c r="G2794" s="60"/>
      <c r="H2794" s="60"/>
      <c r="I2794" s="60"/>
      <c r="J2794" s="60"/>
      <c r="K2794" s="60"/>
      <c r="L2794" s="60"/>
      <c r="M2794" s="64"/>
      <c r="N2794" s="33"/>
    </row>
    <row r="2795" ht="24" customHeight="1" spans="2:14">
      <c r="B2795" s="33"/>
      <c r="C2795" s="60"/>
      <c r="D2795" s="60"/>
      <c r="E2795" s="60"/>
      <c r="F2795" s="60"/>
      <c r="G2795" s="60"/>
      <c r="H2795" s="60"/>
      <c r="I2795" s="60"/>
      <c r="J2795" s="60"/>
      <c r="K2795" s="60"/>
      <c r="L2795" s="60"/>
      <c r="M2795" s="64"/>
      <c r="N2795" s="33"/>
    </row>
    <row r="2796" ht="24" customHeight="1" spans="2:14">
      <c r="B2796" s="33"/>
      <c r="C2796" s="60"/>
      <c r="D2796" s="60"/>
      <c r="E2796" s="60"/>
      <c r="F2796" s="60"/>
      <c r="G2796" s="60"/>
      <c r="H2796" s="60"/>
      <c r="I2796" s="60"/>
      <c r="J2796" s="60"/>
      <c r="K2796" s="60"/>
      <c r="L2796" s="60"/>
      <c r="M2796" s="64"/>
      <c r="N2796" s="33"/>
    </row>
    <row r="2797" ht="24" customHeight="1" spans="2:14">
      <c r="B2797" s="33"/>
      <c r="C2797" s="60"/>
      <c r="D2797" s="60"/>
      <c r="E2797" s="60"/>
      <c r="F2797" s="60"/>
      <c r="G2797" s="60"/>
      <c r="H2797" s="60"/>
      <c r="I2797" s="60"/>
      <c r="J2797" s="60"/>
      <c r="K2797" s="60"/>
      <c r="L2797" s="60"/>
      <c r="M2797" s="64"/>
      <c r="N2797" s="33"/>
    </row>
    <row r="2798" ht="24" customHeight="1" spans="2:14">
      <c r="B2798" s="33"/>
      <c r="C2798" s="60"/>
      <c r="D2798" s="60"/>
      <c r="E2798" s="60"/>
      <c r="F2798" s="60"/>
      <c r="G2798" s="60"/>
      <c r="H2798" s="60"/>
      <c r="I2798" s="60"/>
      <c r="J2798" s="60"/>
      <c r="K2798" s="60"/>
      <c r="L2798" s="60"/>
      <c r="M2798" s="64"/>
      <c r="N2798" s="33"/>
    </row>
    <row r="2799" ht="24" customHeight="1" spans="2:14">
      <c r="B2799" s="33"/>
      <c r="C2799" s="60"/>
      <c r="D2799" s="60"/>
      <c r="E2799" s="60"/>
      <c r="F2799" s="60"/>
      <c r="G2799" s="60"/>
      <c r="H2799" s="60"/>
      <c r="I2799" s="60"/>
      <c r="J2799" s="60"/>
      <c r="K2799" s="60"/>
      <c r="L2799" s="60"/>
      <c r="M2799" s="64"/>
      <c r="N2799" s="33"/>
    </row>
    <row r="2800" ht="24" customHeight="1" spans="2:14">
      <c r="B2800" s="33"/>
      <c r="C2800" s="60"/>
      <c r="D2800" s="60"/>
      <c r="E2800" s="60"/>
      <c r="F2800" s="60"/>
      <c r="G2800" s="60"/>
      <c r="H2800" s="60"/>
      <c r="I2800" s="60"/>
      <c r="J2800" s="60"/>
      <c r="K2800" s="60"/>
      <c r="L2800" s="60"/>
      <c r="M2800" s="64"/>
      <c r="N2800" s="33"/>
    </row>
    <row r="2801" ht="24" customHeight="1" spans="2:14">
      <c r="B2801" s="33"/>
      <c r="C2801" s="60"/>
      <c r="D2801" s="60"/>
      <c r="E2801" s="60"/>
      <c r="F2801" s="60"/>
      <c r="G2801" s="60"/>
      <c r="H2801" s="60"/>
      <c r="I2801" s="60"/>
      <c r="J2801" s="60"/>
      <c r="K2801" s="60"/>
      <c r="L2801" s="60"/>
      <c r="M2801" s="64"/>
      <c r="N2801" s="33"/>
    </row>
    <row r="2802" ht="24" customHeight="1" spans="2:14">
      <c r="B2802" s="33"/>
      <c r="C2802" s="60"/>
      <c r="D2802" s="60"/>
      <c r="E2802" s="60"/>
      <c r="F2802" s="60"/>
      <c r="G2802" s="60"/>
      <c r="H2802" s="60"/>
      <c r="I2802" s="60"/>
      <c r="J2802" s="60"/>
      <c r="K2802" s="60"/>
      <c r="L2802" s="60"/>
      <c r="M2802" s="64"/>
      <c r="N2802" s="33"/>
    </row>
    <row r="2803" ht="24" customHeight="1" spans="2:14">
      <c r="B2803" s="33"/>
      <c r="C2803" s="60"/>
      <c r="D2803" s="60"/>
      <c r="E2803" s="60"/>
      <c r="F2803" s="60"/>
      <c r="G2803" s="60"/>
      <c r="H2803" s="60"/>
      <c r="I2803" s="60"/>
      <c r="J2803" s="60"/>
      <c r="K2803" s="60"/>
      <c r="L2803" s="60"/>
      <c r="M2803" s="64"/>
      <c r="N2803" s="33"/>
    </row>
    <row r="2804" ht="24" customHeight="1" spans="2:14">
      <c r="B2804" s="33"/>
      <c r="C2804" s="60"/>
      <c r="D2804" s="60"/>
      <c r="E2804" s="60"/>
      <c r="F2804" s="60"/>
      <c r="G2804" s="60"/>
      <c r="H2804" s="60"/>
      <c r="I2804" s="60"/>
      <c r="J2804" s="60"/>
      <c r="K2804" s="60"/>
      <c r="L2804" s="60"/>
      <c r="M2804" s="64"/>
      <c r="N2804" s="33"/>
    </row>
    <row r="2805" ht="24" customHeight="1" spans="2:14">
      <c r="B2805" s="33"/>
      <c r="C2805" s="60"/>
      <c r="D2805" s="60"/>
      <c r="E2805" s="60"/>
      <c r="F2805" s="60"/>
      <c r="G2805" s="60"/>
      <c r="H2805" s="60"/>
      <c r="I2805" s="60"/>
      <c r="J2805" s="60"/>
      <c r="K2805" s="60"/>
      <c r="L2805" s="60"/>
      <c r="M2805" s="64"/>
      <c r="N2805" s="33"/>
    </row>
    <row r="2806" ht="24" customHeight="1" spans="2:14">
      <c r="B2806" s="33"/>
      <c r="C2806" s="60"/>
      <c r="D2806" s="60"/>
      <c r="E2806" s="60"/>
      <c r="F2806" s="60"/>
      <c r="G2806" s="60"/>
      <c r="H2806" s="60"/>
      <c r="I2806" s="60"/>
      <c r="J2806" s="60"/>
      <c r="K2806" s="60"/>
      <c r="L2806" s="60"/>
      <c r="M2806" s="64"/>
      <c r="N2806" s="33"/>
    </row>
    <row r="2807" ht="24" customHeight="1" spans="2:14">
      <c r="B2807" s="33"/>
      <c r="C2807" s="60"/>
      <c r="D2807" s="60"/>
      <c r="E2807" s="60"/>
      <c r="F2807" s="60"/>
      <c r="G2807" s="60"/>
      <c r="H2807" s="60"/>
      <c r="I2807" s="60"/>
      <c r="J2807" s="60"/>
      <c r="K2807" s="60"/>
      <c r="L2807" s="60"/>
      <c r="M2807" s="64"/>
      <c r="N2807" s="33"/>
    </row>
    <row r="2808" ht="24" customHeight="1" spans="2:14">
      <c r="B2808" s="33"/>
      <c r="C2808" s="60"/>
      <c r="D2808" s="60"/>
      <c r="E2808" s="60"/>
      <c r="F2808" s="60"/>
      <c r="G2808" s="60"/>
      <c r="H2808" s="60"/>
      <c r="I2808" s="60"/>
      <c r="J2808" s="60"/>
      <c r="K2808" s="60"/>
      <c r="L2808" s="60"/>
      <c r="M2808" s="64"/>
      <c r="N2808" s="33"/>
    </row>
    <row r="2809" ht="24" customHeight="1" spans="2:14">
      <c r="B2809" s="33"/>
      <c r="C2809" s="60"/>
      <c r="D2809" s="60"/>
      <c r="E2809" s="60"/>
      <c r="F2809" s="60"/>
      <c r="G2809" s="60"/>
      <c r="H2809" s="60"/>
      <c r="I2809" s="60"/>
      <c r="J2809" s="60"/>
      <c r="K2809" s="60"/>
      <c r="L2809" s="60"/>
      <c r="M2809" s="64"/>
      <c r="N2809" s="33"/>
    </row>
    <row r="2810" ht="24" customHeight="1" spans="2:14">
      <c r="B2810" s="33"/>
      <c r="C2810" s="60"/>
      <c r="D2810" s="60"/>
      <c r="E2810" s="60"/>
      <c r="F2810" s="60"/>
      <c r="G2810" s="60"/>
      <c r="H2810" s="60"/>
      <c r="I2810" s="60"/>
      <c r="J2810" s="60"/>
      <c r="K2810" s="60"/>
      <c r="L2810" s="60"/>
      <c r="M2810" s="64"/>
      <c r="N2810" s="33"/>
    </row>
    <row r="2811" ht="24" customHeight="1" spans="2:14">
      <c r="B2811" s="33"/>
      <c r="C2811" s="60"/>
      <c r="D2811" s="60"/>
      <c r="E2811" s="60"/>
      <c r="F2811" s="60"/>
      <c r="G2811" s="60"/>
      <c r="H2811" s="60"/>
      <c r="I2811" s="60"/>
      <c r="J2811" s="60"/>
      <c r="K2811" s="60"/>
      <c r="L2811" s="60"/>
      <c r="M2811" s="64"/>
      <c r="N2811" s="33"/>
    </row>
    <row r="2812" ht="24" customHeight="1" spans="2:14">
      <c r="B2812" s="33"/>
      <c r="C2812" s="60"/>
      <c r="D2812" s="60"/>
      <c r="E2812" s="60"/>
      <c r="F2812" s="60"/>
      <c r="G2812" s="60"/>
      <c r="H2812" s="60"/>
      <c r="I2812" s="60"/>
      <c r="J2812" s="60"/>
      <c r="K2812" s="60"/>
      <c r="L2812" s="60"/>
      <c r="M2812" s="64"/>
      <c r="N2812" s="33"/>
    </row>
    <row r="2813" ht="24" customHeight="1" spans="2:14">
      <c r="B2813" s="33"/>
      <c r="C2813" s="60"/>
      <c r="D2813" s="60"/>
      <c r="E2813" s="60"/>
      <c r="F2813" s="60"/>
      <c r="G2813" s="60"/>
      <c r="H2813" s="60"/>
      <c r="I2813" s="60"/>
      <c r="J2813" s="60"/>
      <c r="K2813" s="60"/>
      <c r="L2813" s="60"/>
      <c r="M2813" s="64"/>
      <c r="N2813" s="33"/>
    </row>
    <row r="2814" ht="24" customHeight="1" spans="2:14">
      <c r="B2814" s="33"/>
      <c r="C2814" s="60"/>
      <c r="D2814" s="60"/>
      <c r="E2814" s="60"/>
      <c r="F2814" s="60"/>
      <c r="G2814" s="60"/>
      <c r="H2814" s="60"/>
      <c r="I2814" s="60"/>
      <c r="J2814" s="60"/>
      <c r="K2814" s="60"/>
      <c r="L2814" s="60"/>
      <c r="M2814" s="64"/>
      <c r="N2814" s="33"/>
    </row>
    <row r="2815" ht="24" customHeight="1" spans="2:14">
      <c r="B2815" s="33"/>
      <c r="C2815" s="60"/>
      <c r="D2815" s="60"/>
      <c r="E2815" s="60"/>
      <c r="F2815" s="60"/>
      <c r="G2815" s="60"/>
      <c r="H2815" s="60"/>
      <c r="I2815" s="60"/>
      <c r="J2815" s="60"/>
      <c r="K2815" s="60"/>
      <c r="L2815" s="60"/>
      <c r="M2815" s="64"/>
      <c r="N2815" s="33"/>
    </row>
    <row r="2816" ht="24" customHeight="1" spans="2:14">
      <c r="B2816" s="33"/>
      <c r="C2816" s="60"/>
      <c r="D2816" s="60"/>
      <c r="E2816" s="60"/>
      <c r="F2816" s="60"/>
      <c r="G2816" s="60"/>
      <c r="H2816" s="60"/>
      <c r="I2816" s="60"/>
      <c r="J2816" s="60"/>
      <c r="K2816" s="60"/>
      <c r="L2816" s="60"/>
      <c r="M2816" s="64"/>
      <c r="N2816" s="33"/>
    </row>
    <row r="2817" ht="24" customHeight="1" spans="2:14">
      <c r="B2817" s="33"/>
      <c r="C2817" s="60"/>
      <c r="D2817" s="60"/>
      <c r="E2817" s="60"/>
      <c r="F2817" s="60"/>
      <c r="G2817" s="60"/>
      <c r="H2817" s="60"/>
      <c r="I2817" s="60"/>
      <c r="J2817" s="60"/>
      <c r="K2817" s="60"/>
      <c r="L2817" s="60"/>
      <c r="M2817" s="64"/>
      <c r="N2817" s="33"/>
    </row>
    <row r="2818" ht="24" customHeight="1" spans="2:14">
      <c r="B2818" s="33"/>
      <c r="C2818" s="60"/>
      <c r="D2818" s="60"/>
      <c r="E2818" s="60"/>
      <c r="F2818" s="60"/>
      <c r="G2818" s="60"/>
      <c r="H2818" s="60"/>
      <c r="I2818" s="60"/>
      <c r="J2818" s="60"/>
      <c r="K2818" s="60"/>
      <c r="L2818" s="60"/>
      <c r="M2818" s="64"/>
      <c r="N2818" s="33"/>
    </row>
    <row r="2819" ht="24" customHeight="1" spans="2:14">
      <c r="B2819" s="33"/>
      <c r="C2819" s="60"/>
      <c r="D2819" s="60"/>
      <c r="E2819" s="60"/>
      <c r="F2819" s="60"/>
      <c r="G2819" s="60"/>
      <c r="H2819" s="60"/>
      <c r="I2819" s="60"/>
      <c r="J2819" s="60"/>
      <c r="K2819" s="60"/>
      <c r="L2819" s="60"/>
      <c r="M2819" s="64"/>
      <c r="N2819" s="33"/>
    </row>
    <row r="2820" ht="24" customHeight="1" spans="2:14">
      <c r="B2820" s="33"/>
      <c r="C2820" s="60"/>
      <c r="D2820" s="60"/>
      <c r="E2820" s="60"/>
      <c r="F2820" s="60"/>
      <c r="G2820" s="60"/>
      <c r="H2820" s="60"/>
      <c r="I2820" s="60"/>
      <c r="J2820" s="60"/>
      <c r="K2820" s="60"/>
      <c r="L2820" s="60"/>
      <c r="M2820" s="64"/>
      <c r="N2820" s="33"/>
    </row>
    <row r="2821" ht="24" customHeight="1" spans="2:14">
      <c r="B2821" s="33"/>
      <c r="C2821" s="60"/>
      <c r="D2821" s="60"/>
      <c r="E2821" s="60"/>
      <c r="F2821" s="60"/>
      <c r="G2821" s="60"/>
      <c r="H2821" s="60"/>
      <c r="I2821" s="60"/>
      <c r="J2821" s="60"/>
      <c r="K2821" s="60"/>
      <c r="L2821" s="60"/>
      <c r="M2821" s="64"/>
      <c r="N2821" s="33"/>
    </row>
    <row r="2822" ht="24" customHeight="1" spans="2:14">
      <c r="B2822" s="33"/>
      <c r="C2822" s="60"/>
      <c r="D2822" s="60"/>
      <c r="E2822" s="60"/>
      <c r="F2822" s="60"/>
      <c r="G2822" s="60"/>
      <c r="H2822" s="60"/>
      <c r="I2822" s="60"/>
      <c r="J2822" s="60"/>
      <c r="K2822" s="60"/>
      <c r="L2822" s="60"/>
      <c r="M2822" s="64"/>
      <c r="N2822" s="33"/>
    </row>
    <row r="2823" ht="24" customHeight="1" spans="2:14">
      <c r="B2823" s="33"/>
      <c r="C2823" s="60"/>
      <c r="D2823" s="60"/>
      <c r="E2823" s="60"/>
      <c r="F2823" s="60"/>
      <c r="G2823" s="60"/>
      <c r="H2823" s="60"/>
      <c r="I2823" s="60"/>
      <c r="J2823" s="60"/>
      <c r="K2823" s="60"/>
      <c r="L2823" s="60"/>
      <c r="M2823" s="64"/>
      <c r="N2823" s="33"/>
    </row>
    <row r="2824" ht="24" customHeight="1" spans="2:14">
      <c r="B2824" s="33"/>
      <c r="C2824" s="60"/>
      <c r="D2824" s="60"/>
      <c r="E2824" s="60"/>
      <c r="F2824" s="60"/>
      <c r="G2824" s="60"/>
      <c r="H2824" s="60"/>
      <c r="I2824" s="60"/>
      <c r="J2824" s="60"/>
      <c r="K2824" s="60"/>
      <c r="L2824" s="60"/>
      <c r="M2824" s="64"/>
      <c r="N2824" s="33"/>
    </row>
    <row r="2825" ht="24" customHeight="1" spans="2:14">
      <c r="B2825" s="33"/>
      <c r="C2825" s="60"/>
      <c r="D2825" s="60"/>
      <c r="E2825" s="60"/>
      <c r="F2825" s="60"/>
      <c r="G2825" s="60"/>
      <c r="H2825" s="60"/>
      <c r="I2825" s="60"/>
      <c r="J2825" s="60"/>
      <c r="K2825" s="60"/>
      <c r="L2825" s="60"/>
      <c r="M2825" s="64"/>
      <c r="N2825" s="33"/>
    </row>
    <row r="2826" ht="24" customHeight="1" spans="2:14">
      <c r="B2826" s="33"/>
      <c r="C2826" s="60"/>
      <c r="D2826" s="60"/>
      <c r="E2826" s="60"/>
      <c r="F2826" s="60"/>
      <c r="G2826" s="60"/>
      <c r="H2826" s="60"/>
      <c r="I2826" s="60"/>
      <c r="J2826" s="60"/>
      <c r="K2826" s="60"/>
      <c r="L2826" s="60"/>
      <c r="M2826" s="64"/>
      <c r="N2826" s="33"/>
    </row>
    <row r="2827" ht="24" customHeight="1" spans="2:14">
      <c r="B2827" s="33"/>
      <c r="C2827" s="60"/>
      <c r="D2827" s="60"/>
      <c r="E2827" s="60"/>
      <c r="F2827" s="60"/>
      <c r="G2827" s="60"/>
      <c r="H2827" s="60"/>
      <c r="I2827" s="60"/>
      <c r="J2827" s="60"/>
      <c r="K2827" s="60"/>
      <c r="L2827" s="60"/>
      <c r="M2827" s="64"/>
      <c r="N2827" s="33"/>
    </row>
    <row r="2828" ht="24" customHeight="1" spans="2:14">
      <c r="B2828" s="33"/>
      <c r="C2828" s="60"/>
      <c r="D2828" s="60"/>
      <c r="E2828" s="60"/>
      <c r="F2828" s="60"/>
      <c r="G2828" s="60"/>
      <c r="H2828" s="60"/>
      <c r="I2828" s="60"/>
      <c r="J2828" s="60"/>
      <c r="K2828" s="60"/>
      <c r="L2828" s="60"/>
      <c r="M2828" s="64"/>
      <c r="N2828" s="33"/>
    </row>
    <row r="2829" ht="24" customHeight="1" spans="2:14">
      <c r="B2829" s="33"/>
      <c r="C2829" s="60"/>
      <c r="D2829" s="60"/>
      <c r="E2829" s="60"/>
      <c r="F2829" s="60"/>
      <c r="G2829" s="60"/>
      <c r="H2829" s="60"/>
      <c r="I2829" s="60"/>
      <c r="J2829" s="60"/>
      <c r="K2829" s="60"/>
      <c r="L2829" s="60"/>
      <c r="M2829" s="64"/>
      <c r="N2829" s="33"/>
    </row>
    <row r="2830" ht="24" customHeight="1" spans="2:14">
      <c r="B2830" s="33"/>
      <c r="C2830" s="60"/>
      <c r="D2830" s="60"/>
      <c r="E2830" s="60"/>
      <c r="F2830" s="60"/>
      <c r="G2830" s="60"/>
      <c r="H2830" s="60"/>
      <c r="I2830" s="60"/>
      <c r="J2830" s="60"/>
      <c r="K2830" s="60"/>
      <c r="L2830" s="60"/>
      <c r="M2830" s="64"/>
      <c r="N2830" s="33"/>
    </row>
    <row r="2831" ht="24" customHeight="1" spans="2:14">
      <c r="B2831" s="33"/>
      <c r="C2831" s="60"/>
      <c r="D2831" s="60"/>
      <c r="E2831" s="60"/>
      <c r="F2831" s="60"/>
      <c r="G2831" s="60"/>
      <c r="H2831" s="60"/>
      <c r="I2831" s="60"/>
      <c r="J2831" s="60"/>
      <c r="K2831" s="60"/>
      <c r="L2831" s="60"/>
      <c r="M2831" s="64"/>
      <c r="N2831" s="33"/>
    </row>
    <row r="2832" ht="24" customHeight="1" spans="2:14">
      <c r="B2832" s="33"/>
      <c r="C2832" s="60"/>
      <c r="D2832" s="60"/>
      <c r="E2832" s="60"/>
      <c r="F2832" s="60"/>
      <c r="G2832" s="60"/>
      <c r="H2832" s="60"/>
      <c r="I2832" s="60"/>
      <c r="J2832" s="60"/>
      <c r="K2832" s="60"/>
      <c r="L2832" s="60"/>
      <c r="M2832" s="64"/>
      <c r="N2832" s="33"/>
    </row>
    <row r="2833" ht="24" customHeight="1" spans="2:14">
      <c r="B2833" s="33"/>
      <c r="C2833" s="60"/>
      <c r="D2833" s="60"/>
      <c r="E2833" s="60"/>
      <c r="F2833" s="60"/>
      <c r="G2833" s="60"/>
      <c r="H2833" s="60"/>
      <c r="I2833" s="60"/>
      <c r="J2833" s="60"/>
      <c r="K2833" s="60"/>
      <c r="L2833" s="60"/>
      <c r="M2833" s="64"/>
      <c r="N2833" s="33"/>
    </row>
    <row r="2834" ht="24" customHeight="1" spans="2:14">
      <c r="B2834" s="33"/>
      <c r="C2834" s="60"/>
      <c r="D2834" s="60"/>
      <c r="E2834" s="60"/>
      <c r="F2834" s="60"/>
      <c r="G2834" s="60"/>
      <c r="H2834" s="60"/>
      <c r="I2834" s="60"/>
      <c r="J2834" s="60"/>
      <c r="K2834" s="60"/>
      <c r="L2834" s="60"/>
      <c r="M2834" s="64"/>
      <c r="N2834" s="33"/>
    </row>
    <row r="2835" ht="24" customHeight="1" spans="2:14">
      <c r="B2835" s="33"/>
      <c r="C2835" s="60"/>
      <c r="D2835" s="60"/>
      <c r="E2835" s="60"/>
      <c r="F2835" s="60"/>
      <c r="G2835" s="60"/>
      <c r="H2835" s="60"/>
      <c r="I2835" s="60"/>
      <c r="J2835" s="60"/>
      <c r="K2835" s="60"/>
      <c r="L2835" s="60"/>
      <c r="M2835" s="64"/>
      <c r="N2835" s="33"/>
    </row>
    <row r="2836" ht="24" customHeight="1" spans="2:14">
      <c r="B2836" s="33"/>
      <c r="C2836" s="60"/>
      <c r="D2836" s="60"/>
      <c r="E2836" s="60"/>
      <c r="F2836" s="60"/>
      <c r="G2836" s="60"/>
      <c r="H2836" s="60"/>
      <c r="I2836" s="60"/>
      <c r="J2836" s="60"/>
      <c r="K2836" s="60"/>
      <c r="L2836" s="60"/>
      <c r="M2836" s="64"/>
      <c r="N2836" s="33"/>
    </row>
    <row r="2837" ht="24" customHeight="1" spans="2:14">
      <c r="B2837" s="33"/>
      <c r="C2837" s="60"/>
      <c r="D2837" s="60"/>
      <c r="E2837" s="60"/>
      <c r="F2837" s="60"/>
      <c r="G2837" s="60"/>
      <c r="H2837" s="60"/>
      <c r="I2837" s="60"/>
      <c r="J2837" s="60"/>
      <c r="K2837" s="60"/>
      <c r="L2837" s="60"/>
      <c r="M2837" s="64"/>
      <c r="N2837" s="33"/>
    </row>
    <row r="2838" ht="24" customHeight="1" spans="2:14">
      <c r="B2838" s="33"/>
      <c r="C2838" s="60"/>
      <c r="D2838" s="60"/>
      <c r="E2838" s="60"/>
      <c r="F2838" s="60"/>
      <c r="G2838" s="60"/>
      <c r="H2838" s="60"/>
      <c r="I2838" s="60"/>
      <c r="J2838" s="60"/>
      <c r="K2838" s="60"/>
      <c r="L2838" s="60"/>
      <c r="M2838" s="64"/>
      <c r="N2838" s="33"/>
    </row>
    <row r="2839" ht="24" customHeight="1" spans="2:14">
      <c r="B2839" s="33"/>
      <c r="C2839" s="60"/>
      <c r="D2839" s="60"/>
      <c r="E2839" s="60"/>
      <c r="F2839" s="60"/>
      <c r="G2839" s="60"/>
      <c r="H2839" s="60"/>
      <c r="I2839" s="60"/>
      <c r="J2839" s="60"/>
      <c r="K2839" s="60"/>
      <c r="L2839" s="60"/>
      <c r="M2839" s="64"/>
      <c r="N2839" s="33"/>
    </row>
    <row r="2840" ht="24" customHeight="1" spans="2:14">
      <c r="B2840" s="33"/>
      <c r="C2840" s="60"/>
      <c r="D2840" s="60"/>
      <c r="E2840" s="60"/>
      <c r="F2840" s="60"/>
      <c r="G2840" s="60"/>
      <c r="H2840" s="60"/>
      <c r="I2840" s="60"/>
      <c r="J2840" s="60"/>
      <c r="K2840" s="60"/>
      <c r="L2840" s="60"/>
      <c r="M2840" s="64"/>
      <c r="N2840" s="33"/>
    </row>
    <row r="2841" ht="24" customHeight="1" spans="2:14">
      <c r="B2841" s="33"/>
      <c r="C2841" s="60"/>
      <c r="D2841" s="60"/>
      <c r="E2841" s="60"/>
      <c r="F2841" s="60"/>
      <c r="G2841" s="60"/>
      <c r="H2841" s="60"/>
      <c r="I2841" s="60"/>
      <c r="J2841" s="60"/>
      <c r="K2841" s="60"/>
      <c r="L2841" s="60"/>
      <c r="M2841" s="64"/>
      <c r="N2841" s="33"/>
    </row>
    <row r="2842" ht="24" customHeight="1" spans="2:14">
      <c r="B2842" s="33"/>
      <c r="C2842" s="60"/>
      <c r="D2842" s="60"/>
      <c r="E2842" s="60"/>
      <c r="F2842" s="60"/>
      <c r="G2842" s="60"/>
      <c r="H2842" s="60"/>
      <c r="I2842" s="60"/>
      <c r="J2842" s="60"/>
      <c r="K2842" s="60"/>
      <c r="L2842" s="60"/>
      <c r="M2842" s="64"/>
      <c r="N2842" s="33"/>
    </row>
    <row r="2843" ht="24" customHeight="1" spans="2:14">
      <c r="B2843" s="33"/>
      <c r="C2843" s="60"/>
      <c r="D2843" s="60"/>
      <c r="E2843" s="60"/>
      <c r="F2843" s="60"/>
      <c r="G2843" s="60"/>
      <c r="H2843" s="60"/>
      <c r="I2843" s="60"/>
      <c r="J2843" s="60"/>
      <c r="K2843" s="60"/>
      <c r="L2843" s="60"/>
      <c r="M2843" s="64"/>
      <c r="N2843" s="33"/>
    </row>
    <row r="2844" ht="24" customHeight="1" spans="2:14">
      <c r="B2844" s="33"/>
      <c r="C2844" s="60"/>
      <c r="D2844" s="60"/>
      <c r="E2844" s="60"/>
      <c r="F2844" s="60"/>
      <c r="G2844" s="60"/>
      <c r="H2844" s="60"/>
      <c r="I2844" s="60"/>
      <c r="J2844" s="60"/>
      <c r="K2844" s="60"/>
      <c r="L2844" s="60"/>
      <c r="M2844" s="64"/>
      <c r="N2844" s="33"/>
    </row>
    <row r="2845" ht="24" customHeight="1" spans="2:14">
      <c r="B2845" s="33"/>
      <c r="C2845" s="60"/>
      <c r="D2845" s="60"/>
      <c r="E2845" s="60"/>
      <c r="F2845" s="60"/>
      <c r="G2845" s="60"/>
      <c r="H2845" s="60"/>
      <c r="I2845" s="60"/>
      <c r="J2845" s="60"/>
      <c r="K2845" s="60"/>
      <c r="L2845" s="60"/>
      <c r="M2845" s="64"/>
      <c r="N2845" s="33"/>
    </row>
    <row r="2846" ht="24" customHeight="1" spans="2:14">
      <c r="B2846" s="33"/>
      <c r="C2846" s="60"/>
      <c r="D2846" s="60"/>
      <c r="E2846" s="60"/>
      <c r="F2846" s="60"/>
      <c r="G2846" s="60"/>
      <c r="H2846" s="60"/>
      <c r="I2846" s="60"/>
      <c r="J2846" s="60"/>
      <c r="K2846" s="60"/>
      <c r="L2846" s="60"/>
      <c r="M2846" s="64"/>
      <c r="N2846" s="33"/>
    </row>
    <row r="2847" ht="24" customHeight="1" spans="2:14">
      <c r="B2847" s="33"/>
      <c r="C2847" s="60"/>
      <c r="D2847" s="60"/>
      <c r="E2847" s="60"/>
      <c r="F2847" s="60"/>
      <c r="G2847" s="60"/>
      <c r="H2847" s="60"/>
      <c r="I2847" s="60"/>
      <c r="J2847" s="60"/>
      <c r="K2847" s="60"/>
      <c r="L2847" s="60"/>
      <c r="M2847" s="64"/>
      <c r="N2847" s="33"/>
    </row>
    <row r="2848" ht="24" customHeight="1" spans="2:14">
      <c r="B2848" s="33"/>
      <c r="C2848" s="60"/>
      <c r="D2848" s="60"/>
      <c r="E2848" s="60"/>
      <c r="F2848" s="60"/>
      <c r="G2848" s="60"/>
      <c r="H2848" s="60"/>
      <c r="I2848" s="60"/>
      <c r="J2848" s="60"/>
      <c r="K2848" s="60"/>
      <c r="L2848" s="60"/>
      <c r="M2848" s="64"/>
      <c r="N2848" s="33"/>
    </row>
    <row r="2849" ht="24" customHeight="1" spans="2:14">
      <c r="B2849" s="33"/>
      <c r="C2849" s="60"/>
      <c r="D2849" s="60"/>
      <c r="E2849" s="60"/>
      <c r="F2849" s="60"/>
      <c r="G2849" s="60"/>
      <c r="H2849" s="60"/>
      <c r="I2849" s="60"/>
      <c r="J2849" s="60"/>
      <c r="K2849" s="60"/>
      <c r="L2849" s="60"/>
      <c r="M2849" s="64"/>
      <c r="N2849" s="33"/>
    </row>
    <row r="2850" ht="24" customHeight="1" spans="2:14">
      <c r="B2850" s="33"/>
      <c r="C2850" s="60"/>
      <c r="D2850" s="60"/>
      <c r="E2850" s="60"/>
      <c r="F2850" s="60"/>
      <c r="G2850" s="60"/>
      <c r="H2850" s="60"/>
      <c r="I2850" s="60"/>
      <c r="J2850" s="60"/>
      <c r="K2850" s="60"/>
      <c r="L2850" s="60"/>
      <c r="M2850" s="64"/>
      <c r="N2850" s="33"/>
    </row>
    <row r="2851" ht="24" customHeight="1" spans="2:14">
      <c r="B2851" s="33"/>
      <c r="C2851" s="60"/>
      <c r="D2851" s="60"/>
      <c r="E2851" s="60"/>
      <c r="F2851" s="60"/>
      <c r="G2851" s="60"/>
      <c r="H2851" s="60"/>
      <c r="I2851" s="60"/>
      <c r="J2851" s="60"/>
      <c r="K2851" s="60"/>
      <c r="L2851" s="60"/>
      <c r="M2851" s="64"/>
      <c r="N2851" s="33"/>
    </row>
    <row r="2852" ht="24" customHeight="1" spans="2:14">
      <c r="B2852" s="33"/>
      <c r="C2852" s="60"/>
      <c r="D2852" s="60"/>
      <c r="E2852" s="60"/>
      <c r="F2852" s="60"/>
      <c r="G2852" s="60"/>
      <c r="H2852" s="60"/>
      <c r="I2852" s="60"/>
      <c r="J2852" s="60"/>
      <c r="K2852" s="60"/>
      <c r="L2852" s="60"/>
      <c r="M2852" s="64"/>
      <c r="N2852" s="33"/>
    </row>
    <row r="2853" ht="24" customHeight="1" spans="2:14">
      <c r="B2853" s="33"/>
      <c r="C2853" s="60"/>
      <c r="D2853" s="60"/>
      <c r="E2853" s="60"/>
      <c r="F2853" s="60"/>
      <c r="G2853" s="60"/>
      <c r="H2853" s="60"/>
      <c r="I2853" s="60"/>
      <c r="J2853" s="60"/>
      <c r="K2853" s="60"/>
      <c r="L2853" s="60"/>
      <c r="M2853" s="64"/>
      <c r="N2853" s="33"/>
    </row>
    <row r="2854" ht="24" customHeight="1" spans="2:14">
      <c r="B2854" s="33"/>
      <c r="C2854" s="60"/>
      <c r="D2854" s="60"/>
      <c r="E2854" s="60"/>
      <c r="F2854" s="60"/>
      <c r="G2854" s="60"/>
      <c r="H2854" s="60"/>
      <c r="I2854" s="60"/>
      <c r="J2854" s="60"/>
      <c r="K2854" s="60"/>
      <c r="L2854" s="60"/>
      <c r="M2854" s="64"/>
      <c r="N2854" s="33"/>
    </row>
    <row r="2855" ht="24" customHeight="1" spans="2:14">
      <c r="B2855" s="33"/>
      <c r="C2855" s="60"/>
      <c r="D2855" s="60"/>
      <c r="E2855" s="60"/>
      <c r="F2855" s="60"/>
      <c r="G2855" s="60"/>
      <c r="H2855" s="60"/>
      <c r="I2855" s="60"/>
      <c r="J2855" s="60"/>
      <c r="K2855" s="60"/>
      <c r="L2855" s="60"/>
      <c r="M2855" s="64"/>
      <c r="N2855" s="33"/>
    </row>
    <row r="2856" ht="24" customHeight="1" spans="2:14">
      <c r="B2856" s="33"/>
      <c r="C2856" s="60"/>
      <c r="D2856" s="60"/>
      <c r="E2856" s="60"/>
      <c r="F2856" s="60"/>
      <c r="G2856" s="60"/>
      <c r="H2856" s="60"/>
      <c r="I2856" s="60"/>
      <c r="J2856" s="60"/>
      <c r="K2856" s="60"/>
      <c r="L2856" s="60"/>
      <c r="M2856" s="64"/>
      <c r="N2856" s="33"/>
    </row>
    <row r="2857" ht="24" customHeight="1" spans="2:14">
      <c r="B2857" s="33"/>
      <c r="C2857" s="60"/>
      <c r="D2857" s="60"/>
      <c r="E2857" s="60"/>
      <c r="F2857" s="60"/>
      <c r="G2857" s="60"/>
      <c r="H2857" s="60"/>
      <c r="I2857" s="60"/>
      <c r="J2857" s="60"/>
      <c r="K2857" s="60"/>
      <c r="L2857" s="60"/>
      <c r="M2857" s="64"/>
      <c r="N2857" s="33"/>
    </row>
    <row r="2858" ht="24" customHeight="1" spans="2:14">
      <c r="B2858" s="33"/>
      <c r="C2858" s="60"/>
      <c r="D2858" s="60"/>
      <c r="E2858" s="60"/>
      <c r="F2858" s="60"/>
      <c r="G2858" s="60"/>
      <c r="H2858" s="60"/>
      <c r="I2858" s="60"/>
      <c r="J2858" s="60"/>
      <c r="K2858" s="60"/>
      <c r="L2858" s="60"/>
      <c r="M2858" s="64"/>
      <c r="N2858" s="33"/>
    </row>
    <row r="2859" ht="24" customHeight="1" spans="2:14">
      <c r="B2859" s="33"/>
      <c r="C2859" s="60"/>
      <c r="D2859" s="60"/>
      <c r="E2859" s="60"/>
      <c r="F2859" s="60"/>
      <c r="G2859" s="60"/>
      <c r="H2859" s="60"/>
      <c r="I2859" s="60"/>
      <c r="J2859" s="60"/>
      <c r="K2859" s="60"/>
      <c r="L2859" s="60"/>
      <c r="M2859" s="64"/>
      <c r="N2859" s="33"/>
    </row>
    <row r="2860" ht="24" customHeight="1" spans="2:14">
      <c r="B2860" s="33"/>
      <c r="C2860" s="60"/>
      <c r="D2860" s="60"/>
      <c r="E2860" s="60"/>
      <c r="F2860" s="60"/>
      <c r="G2860" s="60"/>
      <c r="H2860" s="60"/>
      <c r="I2860" s="60"/>
      <c r="J2860" s="60"/>
      <c r="K2860" s="60"/>
      <c r="L2860" s="60"/>
      <c r="M2860" s="64"/>
      <c r="N2860" s="33"/>
    </row>
    <row r="2861" ht="24" customHeight="1" spans="2:14">
      <c r="B2861" s="33"/>
      <c r="C2861" s="60"/>
      <c r="D2861" s="60"/>
      <c r="E2861" s="60"/>
      <c r="F2861" s="60"/>
      <c r="G2861" s="60"/>
      <c r="H2861" s="60"/>
      <c r="I2861" s="60"/>
      <c r="J2861" s="60"/>
      <c r="K2861" s="60"/>
      <c r="L2861" s="60"/>
      <c r="M2861" s="64"/>
      <c r="N2861" s="33"/>
    </row>
    <row r="2862" ht="24" customHeight="1" spans="2:14">
      <c r="B2862" s="33"/>
      <c r="C2862" s="60"/>
      <c r="D2862" s="60"/>
      <c r="E2862" s="60"/>
      <c r="F2862" s="60"/>
      <c r="G2862" s="60"/>
      <c r="H2862" s="60"/>
      <c r="I2862" s="60"/>
      <c r="J2862" s="60"/>
      <c r="K2862" s="60"/>
      <c r="L2862" s="60"/>
      <c r="M2862" s="64"/>
      <c r="N2862" s="33"/>
    </row>
    <row r="2863" ht="24" customHeight="1" spans="2:14">
      <c r="B2863" s="33"/>
      <c r="C2863" s="60"/>
      <c r="D2863" s="60"/>
      <c r="E2863" s="60"/>
      <c r="F2863" s="60"/>
      <c r="G2863" s="60"/>
      <c r="H2863" s="60"/>
      <c r="I2863" s="60"/>
      <c r="J2863" s="60"/>
      <c r="K2863" s="60"/>
      <c r="L2863" s="60"/>
      <c r="M2863" s="64"/>
      <c r="N2863" s="33"/>
    </row>
    <row r="2864" ht="24" customHeight="1" spans="2:14">
      <c r="B2864" s="33"/>
      <c r="C2864" s="60"/>
      <c r="D2864" s="60"/>
      <c r="E2864" s="60"/>
      <c r="F2864" s="60"/>
      <c r="G2864" s="60"/>
      <c r="H2864" s="60"/>
      <c r="I2864" s="60"/>
      <c r="J2864" s="60"/>
      <c r="K2864" s="60"/>
      <c r="L2864" s="60"/>
      <c r="M2864" s="64"/>
      <c r="N2864" s="33"/>
    </row>
    <row r="2865" ht="24" customHeight="1" spans="2:14">
      <c r="B2865" s="33"/>
      <c r="C2865" s="60"/>
      <c r="D2865" s="60"/>
      <c r="E2865" s="60"/>
      <c r="F2865" s="60"/>
      <c r="G2865" s="60"/>
      <c r="H2865" s="60"/>
      <c r="I2865" s="60"/>
      <c r="J2865" s="60"/>
      <c r="K2865" s="60"/>
      <c r="L2865" s="60"/>
      <c r="M2865" s="64"/>
      <c r="N2865" s="33"/>
    </row>
    <row r="2866" ht="24" customHeight="1" spans="2:14">
      <c r="B2866" s="33"/>
      <c r="C2866" s="60"/>
      <c r="D2866" s="60"/>
      <c r="E2866" s="60"/>
      <c r="F2866" s="60"/>
      <c r="G2866" s="60"/>
      <c r="H2866" s="60"/>
      <c r="I2866" s="60"/>
      <c r="J2866" s="60"/>
      <c r="K2866" s="60"/>
      <c r="L2866" s="60"/>
      <c r="M2866" s="64"/>
      <c r="N2866" s="33"/>
    </row>
    <row r="2867" ht="24" customHeight="1" spans="2:14">
      <c r="B2867" s="33"/>
      <c r="C2867" s="60"/>
      <c r="D2867" s="60"/>
      <c r="E2867" s="60"/>
      <c r="F2867" s="60"/>
      <c r="G2867" s="60"/>
      <c r="H2867" s="60"/>
      <c r="I2867" s="60"/>
      <c r="J2867" s="60"/>
      <c r="K2867" s="60"/>
      <c r="L2867" s="60"/>
      <c r="M2867" s="64"/>
      <c r="N2867" s="33"/>
    </row>
    <row r="2868" ht="24" customHeight="1" spans="2:14">
      <c r="B2868" s="33"/>
      <c r="C2868" s="60"/>
      <c r="D2868" s="60"/>
      <c r="E2868" s="60"/>
      <c r="F2868" s="60"/>
      <c r="G2868" s="60"/>
      <c r="H2868" s="60"/>
      <c r="I2868" s="60"/>
      <c r="J2868" s="60"/>
      <c r="K2868" s="60"/>
      <c r="L2868" s="60"/>
      <c r="M2868" s="64"/>
      <c r="N2868" s="33"/>
    </row>
    <row r="2869" ht="24" customHeight="1" spans="2:14">
      <c r="B2869" s="33"/>
      <c r="C2869" s="60"/>
      <c r="D2869" s="60"/>
      <c r="E2869" s="60"/>
      <c r="F2869" s="60"/>
      <c r="G2869" s="60"/>
      <c r="H2869" s="60"/>
      <c r="I2869" s="60"/>
      <c r="J2869" s="60"/>
      <c r="K2869" s="60"/>
      <c r="L2869" s="60"/>
      <c r="M2869" s="64"/>
      <c r="N2869" s="33"/>
    </row>
    <row r="2870" ht="24" customHeight="1" spans="2:14">
      <c r="B2870" s="33"/>
      <c r="C2870" s="60"/>
      <c r="D2870" s="60"/>
      <c r="E2870" s="60"/>
      <c r="F2870" s="60"/>
      <c r="G2870" s="60"/>
      <c r="H2870" s="60"/>
      <c r="I2870" s="60"/>
      <c r="J2870" s="60"/>
      <c r="K2870" s="60"/>
      <c r="L2870" s="60"/>
      <c r="M2870" s="64"/>
      <c r="N2870" s="33"/>
    </row>
    <row r="2871" ht="24" customHeight="1" spans="2:14">
      <c r="B2871" s="33"/>
      <c r="C2871" s="60"/>
      <c r="D2871" s="60"/>
      <c r="E2871" s="60"/>
      <c r="F2871" s="60"/>
      <c r="G2871" s="60"/>
      <c r="H2871" s="60"/>
      <c r="I2871" s="60"/>
      <c r="J2871" s="60"/>
      <c r="K2871" s="60"/>
      <c r="L2871" s="60"/>
      <c r="M2871" s="64"/>
      <c r="N2871" s="33"/>
    </row>
    <row r="2872" ht="24" customHeight="1" spans="2:14">
      <c r="B2872" s="33"/>
      <c r="C2872" s="60"/>
      <c r="D2872" s="60"/>
      <c r="E2872" s="60"/>
      <c r="F2872" s="60"/>
      <c r="G2872" s="60"/>
      <c r="H2872" s="60"/>
      <c r="I2872" s="60"/>
      <c r="J2872" s="60"/>
      <c r="K2872" s="60"/>
      <c r="L2872" s="60"/>
      <c r="M2872" s="64"/>
      <c r="N2872" s="33"/>
    </row>
    <row r="2873" ht="24" customHeight="1" spans="2:14">
      <c r="B2873" s="33"/>
      <c r="C2873" s="60"/>
      <c r="D2873" s="60"/>
      <c r="E2873" s="60"/>
      <c r="F2873" s="60"/>
      <c r="G2873" s="60"/>
      <c r="H2873" s="60"/>
      <c r="I2873" s="60"/>
      <c r="J2873" s="60"/>
      <c r="K2873" s="60"/>
      <c r="L2873" s="60"/>
      <c r="M2873" s="64"/>
      <c r="N2873" s="33"/>
    </row>
    <row r="2874" ht="24" customHeight="1" spans="2:14">
      <c r="B2874" s="33"/>
      <c r="C2874" s="60"/>
      <c r="D2874" s="60"/>
      <c r="E2874" s="60"/>
      <c r="F2874" s="60"/>
      <c r="G2874" s="60"/>
      <c r="H2874" s="60"/>
      <c r="I2874" s="60"/>
      <c r="J2874" s="60"/>
      <c r="K2874" s="60"/>
      <c r="L2874" s="60"/>
      <c r="M2874" s="64"/>
      <c r="N2874" s="33"/>
    </row>
    <row r="2875" ht="24" customHeight="1" spans="2:14">
      <c r="B2875" s="33"/>
      <c r="C2875" s="60"/>
      <c r="D2875" s="60"/>
      <c r="E2875" s="60"/>
      <c r="F2875" s="60"/>
      <c r="G2875" s="60"/>
      <c r="H2875" s="60"/>
      <c r="I2875" s="60"/>
      <c r="J2875" s="60"/>
      <c r="K2875" s="60"/>
      <c r="L2875" s="60"/>
      <c r="M2875" s="64"/>
      <c r="N2875" s="33"/>
    </row>
    <row r="2876" ht="24" customHeight="1" spans="2:14">
      <c r="B2876" s="33"/>
      <c r="C2876" s="60"/>
      <c r="D2876" s="60"/>
      <c r="E2876" s="60"/>
      <c r="F2876" s="60"/>
      <c r="G2876" s="60"/>
      <c r="H2876" s="60"/>
      <c r="I2876" s="60"/>
      <c r="J2876" s="60"/>
      <c r="K2876" s="60"/>
      <c r="L2876" s="60"/>
      <c r="M2876" s="64"/>
      <c r="N2876" s="33"/>
    </row>
    <row r="2877" ht="24" customHeight="1" spans="2:14">
      <c r="B2877" s="33"/>
      <c r="C2877" s="60"/>
      <c r="D2877" s="60"/>
      <c r="E2877" s="60"/>
      <c r="F2877" s="60"/>
      <c r="G2877" s="60"/>
      <c r="H2877" s="60"/>
      <c r="I2877" s="60"/>
      <c r="J2877" s="60"/>
      <c r="K2877" s="60"/>
      <c r="L2877" s="60"/>
      <c r="M2877" s="64"/>
      <c r="N2877" s="33"/>
    </row>
    <row r="2878" ht="24" customHeight="1" spans="2:14">
      <c r="B2878" s="33"/>
      <c r="C2878" s="60"/>
      <c r="D2878" s="60"/>
      <c r="E2878" s="60"/>
      <c r="F2878" s="60"/>
      <c r="G2878" s="60"/>
      <c r="H2878" s="60"/>
      <c r="I2878" s="60"/>
      <c r="J2878" s="60"/>
      <c r="K2878" s="60"/>
      <c r="L2878" s="60"/>
      <c r="M2878" s="64"/>
      <c r="N2878" s="33"/>
    </row>
    <row r="2879" ht="24" customHeight="1" spans="2:14">
      <c r="B2879" s="33"/>
      <c r="C2879" s="60"/>
      <c r="D2879" s="60"/>
      <c r="E2879" s="60"/>
      <c r="F2879" s="60"/>
      <c r="G2879" s="60"/>
      <c r="H2879" s="60"/>
      <c r="I2879" s="60"/>
      <c r="J2879" s="60"/>
      <c r="K2879" s="60"/>
      <c r="L2879" s="60"/>
      <c r="M2879" s="64"/>
      <c r="N2879" s="33"/>
    </row>
    <row r="2880" ht="24" customHeight="1" spans="2:14">
      <c r="B2880" s="33"/>
      <c r="C2880" s="60"/>
      <c r="D2880" s="60"/>
      <c r="E2880" s="60"/>
      <c r="F2880" s="60"/>
      <c r="G2880" s="60"/>
      <c r="H2880" s="60"/>
      <c r="I2880" s="60"/>
      <c r="J2880" s="60"/>
      <c r="K2880" s="60"/>
      <c r="L2880" s="60"/>
      <c r="M2880" s="64"/>
      <c r="N2880" s="33"/>
    </row>
    <row r="2881" ht="24" customHeight="1" spans="2:14">
      <c r="B2881" s="33"/>
      <c r="C2881" s="60"/>
      <c r="D2881" s="60"/>
      <c r="E2881" s="60"/>
      <c r="F2881" s="60"/>
      <c r="G2881" s="60"/>
      <c r="H2881" s="60"/>
      <c r="I2881" s="60"/>
      <c r="J2881" s="60"/>
      <c r="K2881" s="60"/>
      <c r="L2881" s="60"/>
      <c r="M2881" s="64"/>
      <c r="N2881" s="33"/>
    </row>
    <row r="2882" ht="24" customHeight="1" spans="2:14">
      <c r="B2882" s="33"/>
      <c r="C2882" s="60"/>
      <c r="D2882" s="60"/>
      <c r="E2882" s="60"/>
      <c r="F2882" s="60"/>
      <c r="G2882" s="60"/>
      <c r="H2882" s="60"/>
      <c r="I2882" s="60"/>
      <c r="J2882" s="60"/>
      <c r="K2882" s="60"/>
      <c r="L2882" s="60"/>
      <c r="M2882" s="64"/>
      <c r="N2882" s="33"/>
    </row>
    <row r="2883" ht="24" customHeight="1" spans="2:14">
      <c r="B2883" s="33"/>
      <c r="C2883" s="60"/>
      <c r="D2883" s="60"/>
      <c r="E2883" s="60"/>
      <c r="F2883" s="60"/>
      <c r="G2883" s="60"/>
      <c r="H2883" s="60"/>
      <c r="I2883" s="60"/>
      <c r="J2883" s="60"/>
      <c r="K2883" s="60"/>
      <c r="L2883" s="60"/>
      <c r="M2883" s="64"/>
      <c r="N2883" s="33"/>
    </row>
    <row r="2884" ht="24" customHeight="1" spans="2:14">
      <c r="B2884" s="33"/>
      <c r="C2884" s="60"/>
      <c r="D2884" s="60"/>
      <c r="E2884" s="60"/>
      <c r="F2884" s="60"/>
      <c r="G2884" s="60"/>
      <c r="H2884" s="60"/>
      <c r="I2884" s="60"/>
      <c r="J2884" s="60"/>
      <c r="K2884" s="60"/>
      <c r="L2884" s="60"/>
      <c r="M2884" s="64"/>
      <c r="N2884" s="33"/>
    </row>
    <row r="2885" ht="24" customHeight="1" spans="2:14">
      <c r="B2885" s="33"/>
      <c r="C2885" s="60"/>
      <c r="D2885" s="60"/>
      <c r="E2885" s="60"/>
      <c r="F2885" s="60"/>
      <c r="G2885" s="60"/>
      <c r="H2885" s="60"/>
      <c r="I2885" s="60"/>
      <c r="J2885" s="60"/>
      <c r="K2885" s="60"/>
      <c r="L2885" s="60"/>
      <c r="M2885" s="64"/>
      <c r="N2885" s="33"/>
    </row>
    <row r="2886" ht="24" customHeight="1" spans="2:14">
      <c r="B2886" s="33"/>
      <c r="C2886" s="60"/>
      <c r="D2886" s="60"/>
      <c r="E2886" s="60"/>
      <c r="F2886" s="60"/>
      <c r="G2886" s="60"/>
      <c r="H2886" s="60"/>
      <c r="I2886" s="60"/>
      <c r="J2886" s="60"/>
      <c r="K2886" s="60"/>
      <c r="L2886" s="60"/>
      <c r="M2886" s="64"/>
      <c r="N2886" s="33"/>
    </row>
    <row r="2887" ht="24" customHeight="1" spans="2:14">
      <c r="B2887" s="33"/>
      <c r="C2887" s="60"/>
      <c r="D2887" s="60"/>
      <c r="E2887" s="60"/>
      <c r="F2887" s="60"/>
      <c r="G2887" s="60"/>
      <c r="H2887" s="60"/>
      <c r="I2887" s="60"/>
      <c r="J2887" s="60"/>
      <c r="K2887" s="60"/>
      <c r="L2887" s="60"/>
      <c r="M2887" s="64"/>
      <c r="N2887" s="33"/>
    </row>
    <row r="2888" ht="24" customHeight="1" spans="2:14">
      <c r="B2888" s="33"/>
      <c r="C2888" s="60"/>
      <c r="D2888" s="60"/>
      <c r="E2888" s="60"/>
      <c r="F2888" s="60"/>
      <c r="G2888" s="60"/>
      <c r="H2888" s="60"/>
      <c r="I2888" s="60"/>
      <c r="J2888" s="60"/>
      <c r="K2888" s="60"/>
      <c r="L2888" s="60"/>
      <c r="M2888" s="64"/>
      <c r="N2888" s="33"/>
    </row>
    <row r="2889" ht="24" customHeight="1" spans="2:14">
      <c r="B2889" s="33"/>
      <c r="C2889" s="60"/>
      <c r="D2889" s="60"/>
      <c r="E2889" s="60"/>
      <c r="F2889" s="60"/>
      <c r="G2889" s="60"/>
      <c r="H2889" s="60"/>
      <c r="I2889" s="60"/>
      <c r="J2889" s="60"/>
      <c r="K2889" s="60"/>
      <c r="L2889" s="60"/>
      <c r="M2889" s="64"/>
      <c r="N2889" s="33"/>
    </row>
    <row r="2890" ht="24" customHeight="1" spans="2:14">
      <c r="B2890" s="33"/>
      <c r="C2890" s="60"/>
      <c r="D2890" s="60"/>
      <c r="E2890" s="60"/>
      <c r="F2890" s="60"/>
      <c r="G2890" s="60"/>
      <c r="H2890" s="60"/>
      <c r="I2890" s="60"/>
      <c r="J2890" s="60"/>
      <c r="K2890" s="60"/>
      <c r="L2890" s="60"/>
      <c r="M2890" s="64"/>
      <c r="N2890" s="33"/>
    </row>
    <row r="2891" ht="24" customHeight="1" spans="2:14">
      <c r="B2891" s="33"/>
      <c r="C2891" s="60"/>
      <c r="D2891" s="60"/>
      <c r="E2891" s="60"/>
      <c r="F2891" s="60"/>
      <c r="G2891" s="60"/>
      <c r="H2891" s="60"/>
      <c r="I2891" s="60"/>
      <c r="J2891" s="60"/>
      <c r="K2891" s="60"/>
      <c r="L2891" s="60"/>
      <c r="M2891" s="64"/>
      <c r="N2891" s="33"/>
    </row>
    <row r="2892" ht="24" customHeight="1" spans="2:14">
      <c r="B2892" s="33"/>
      <c r="C2892" s="60"/>
      <c r="D2892" s="60"/>
      <c r="E2892" s="60"/>
      <c r="F2892" s="60"/>
      <c r="G2892" s="60"/>
      <c r="H2892" s="60"/>
      <c r="I2892" s="60"/>
      <c r="J2892" s="60"/>
      <c r="K2892" s="60"/>
      <c r="L2892" s="60"/>
      <c r="M2892" s="64"/>
      <c r="N2892" s="33"/>
    </row>
    <row r="2893" ht="24" customHeight="1" spans="2:14">
      <c r="B2893" s="33"/>
      <c r="C2893" s="60"/>
      <c r="D2893" s="60"/>
      <c r="E2893" s="60"/>
      <c r="F2893" s="60"/>
      <c r="G2893" s="60"/>
      <c r="H2893" s="60"/>
      <c r="I2893" s="60"/>
      <c r="J2893" s="60"/>
      <c r="K2893" s="60"/>
      <c r="L2893" s="60"/>
      <c r="M2893" s="64"/>
      <c r="N2893" s="33"/>
    </row>
    <row r="2894" ht="24" customHeight="1" spans="2:14">
      <c r="B2894" s="33"/>
      <c r="C2894" s="60"/>
      <c r="D2894" s="60"/>
      <c r="E2894" s="60"/>
      <c r="F2894" s="60"/>
      <c r="G2894" s="60"/>
      <c r="H2894" s="60"/>
      <c r="I2894" s="60"/>
      <c r="J2894" s="60"/>
      <c r="K2894" s="60"/>
      <c r="L2894" s="60"/>
      <c r="M2894" s="64"/>
      <c r="N2894" s="33"/>
    </row>
    <row r="2895" ht="24" customHeight="1" spans="2:14">
      <c r="B2895" s="33"/>
      <c r="C2895" s="60"/>
      <c r="D2895" s="60"/>
      <c r="E2895" s="60"/>
      <c r="F2895" s="60"/>
      <c r="G2895" s="60"/>
      <c r="H2895" s="60"/>
      <c r="I2895" s="60"/>
      <c r="J2895" s="60"/>
      <c r="K2895" s="60"/>
      <c r="L2895" s="60"/>
      <c r="M2895" s="64"/>
      <c r="N2895" s="33"/>
    </row>
    <row r="2896" ht="24" customHeight="1" spans="2:14">
      <c r="B2896" s="33"/>
      <c r="C2896" s="60"/>
      <c r="D2896" s="60"/>
      <c r="E2896" s="60"/>
      <c r="F2896" s="60"/>
      <c r="G2896" s="60"/>
      <c r="H2896" s="60"/>
      <c r="I2896" s="60"/>
      <c r="J2896" s="60"/>
      <c r="K2896" s="60"/>
      <c r="L2896" s="60"/>
      <c r="M2896" s="64"/>
      <c r="N2896" s="33"/>
    </row>
    <row r="2897" ht="24" customHeight="1" spans="2:14">
      <c r="B2897" s="33"/>
      <c r="C2897" s="60"/>
      <c r="D2897" s="60"/>
      <c r="E2897" s="60"/>
      <c r="F2897" s="60"/>
      <c r="G2897" s="60"/>
      <c r="H2897" s="60"/>
      <c r="I2897" s="60"/>
      <c r="J2897" s="60"/>
      <c r="K2897" s="60"/>
      <c r="L2897" s="60"/>
      <c r="M2897" s="64"/>
      <c r="N2897" s="33"/>
    </row>
    <row r="2898" ht="24" customHeight="1" spans="2:14">
      <c r="B2898" s="33"/>
      <c r="C2898" s="60"/>
      <c r="D2898" s="60"/>
      <c r="E2898" s="60"/>
      <c r="F2898" s="60"/>
      <c r="G2898" s="60"/>
      <c r="H2898" s="60"/>
      <c r="I2898" s="60"/>
      <c r="J2898" s="60"/>
      <c r="K2898" s="60"/>
      <c r="L2898" s="60"/>
      <c r="M2898" s="64"/>
      <c r="N2898" s="33"/>
    </row>
    <row r="2899" ht="24" customHeight="1" spans="2:14">
      <c r="B2899" s="33"/>
      <c r="C2899" s="60"/>
      <c r="D2899" s="60"/>
      <c r="E2899" s="60"/>
      <c r="F2899" s="60"/>
      <c r="G2899" s="60"/>
      <c r="H2899" s="60"/>
      <c r="I2899" s="60"/>
      <c r="J2899" s="60"/>
      <c r="K2899" s="60"/>
      <c r="L2899" s="60"/>
      <c r="M2899" s="64"/>
      <c r="N2899" s="33"/>
    </row>
    <row r="2900" ht="24" customHeight="1" spans="2:14">
      <c r="B2900" s="33"/>
      <c r="C2900" s="60"/>
      <c r="D2900" s="60"/>
      <c r="E2900" s="60"/>
      <c r="F2900" s="60"/>
      <c r="G2900" s="60"/>
      <c r="H2900" s="60"/>
      <c r="I2900" s="60"/>
      <c r="J2900" s="60"/>
      <c r="K2900" s="60"/>
      <c r="L2900" s="60"/>
      <c r="M2900" s="64"/>
      <c r="N2900" s="33"/>
    </row>
    <row r="2901" ht="24" customHeight="1" spans="2:14">
      <c r="B2901" s="33"/>
      <c r="C2901" s="60"/>
      <c r="D2901" s="60"/>
      <c r="E2901" s="60"/>
      <c r="F2901" s="60"/>
      <c r="G2901" s="60"/>
      <c r="H2901" s="60"/>
      <c r="I2901" s="60"/>
      <c r="J2901" s="60"/>
      <c r="K2901" s="60"/>
      <c r="L2901" s="60"/>
      <c r="M2901" s="64"/>
      <c r="N2901" s="33"/>
    </row>
    <row r="2902" ht="24" customHeight="1" spans="2:14">
      <c r="B2902" s="33"/>
      <c r="C2902" s="60"/>
      <c r="D2902" s="60"/>
      <c r="E2902" s="60"/>
      <c r="F2902" s="60"/>
      <c r="G2902" s="60"/>
      <c r="H2902" s="60"/>
      <c r="I2902" s="60"/>
      <c r="J2902" s="60"/>
      <c r="K2902" s="60"/>
      <c r="L2902" s="60"/>
      <c r="M2902" s="64"/>
      <c r="N2902" s="33"/>
    </row>
    <row r="2903" ht="24" customHeight="1" spans="2:14">
      <c r="B2903" s="33"/>
      <c r="C2903" s="60"/>
      <c r="D2903" s="60"/>
      <c r="E2903" s="60"/>
      <c r="F2903" s="60"/>
      <c r="G2903" s="60"/>
      <c r="H2903" s="60"/>
      <c r="I2903" s="60"/>
      <c r="J2903" s="60"/>
      <c r="K2903" s="60"/>
      <c r="L2903" s="60"/>
      <c r="M2903" s="64"/>
      <c r="N2903" s="33"/>
    </row>
    <row r="2904" ht="24" customHeight="1" spans="2:14">
      <c r="B2904" s="33"/>
      <c r="C2904" s="60"/>
      <c r="D2904" s="60"/>
      <c r="E2904" s="60"/>
      <c r="F2904" s="60"/>
      <c r="G2904" s="60"/>
      <c r="H2904" s="60"/>
      <c r="I2904" s="60"/>
      <c r="J2904" s="60"/>
      <c r="K2904" s="60"/>
      <c r="L2904" s="60"/>
      <c r="M2904" s="64"/>
      <c r="N2904" s="33"/>
    </row>
    <row r="2905" ht="24" customHeight="1" spans="2:14">
      <c r="B2905" s="33"/>
      <c r="C2905" s="60"/>
      <c r="D2905" s="60"/>
      <c r="E2905" s="60"/>
      <c r="F2905" s="60"/>
      <c r="G2905" s="60"/>
      <c r="H2905" s="60"/>
      <c r="I2905" s="60"/>
      <c r="J2905" s="60"/>
      <c r="K2905" s="60"/>
      <c r="L2905" s="60"/>
      <c r="M2905" s="64"/>
      <c r="N2905" s="33"/>
    </row>
    <row r="2906" ht="24" customHeight="1" spans="2:14">
      <c r="B2906" s="33"/>
      <c r="C2906" s="60"/>
      <c r="D2906" s="60"/>
      <c r="E2906" s="60"/>
      <c r="F2906" s="60"/>
      <c r="G2906" s="60"/>
      <c r="H2906" s="60"/>
      <c r="I2906" s="60"/>
      <c r="J2906" s="60"/>
      <c r="K2906" s="60"/>
      <c r="L2906" s="60"/>
      <c r="M2906" s="64"/>
      <c r="N2906" s="33"/>
    </row>
    <row r="2907" ht="24" customHeight="1" spans="2:14">
      <c r="B2907" s="33"/>
      <c r="C2907" s="60"/>
      <c r="D2907" s="60"/>
      <c r="E2907" s="60"/>
      <c r="F2907" s="60"/>
      <c r="G2907" s="60"/>
      <c r="H2907" s="60"/>
      <c r="I2907" s="60"/>
      <c r="J2907" s="60"/>
      <c r="K2907" s="60"/>
      <c r="L2907" s="60"/>
      <c r="M2907" s="64"/>
      <c r="N2907" s="33"/>
    </row>
    <row r="2908" ht="24" customHeight="1" spans="2:14">
      <c r="B2908" s="33"/>
      <c r="C2908" s="60"/>
      <c r="D2908" s="60"/>
      <c r="E2908" s="60"/>
      <c r="F2908" s="60"/>
      <c r="G2908" s="60"/>
      <c r="H2908" s="60"/>
      <c r="I2908" s="60"/>
      <c r="J2908" s="60"/>
      <c r="K2908" s="60"/>
      <c r="L2908" s="60"/>
      <c r="M2908" s="64"/>
      <c r="N2908" s="33"/>
    </row>
    <row r="2909" ht="24" customHeight="1" spans="2:14">
      <c r="B2909" s="33"/>
      <c r="C2909" s="60"/>
      <c r="D2909" s="60"/>
      <c r="E2909" s="60"/>
      <c r="F2909" s="60"/>
      <c r="G2909" s="60"/>
      <c r="H2909" s="60"/>
      <c r="I2909" s="60"/>
      <c r="J2909" s="60"/>
      <c r="K2909" s="60"/>
      <c r="L2909" s="60"/>
      <c r="M2909" s="64"/>
      <c r="N2909" s="33"/>
    </row>
    <row r="2910" ht="24" customHeight="1" spans="2:14">
      <c r="B2910" s="33"/>
      <c r="C2910" s="60"/>
      <c r="D2910" s="60"/>
      <c r="E2910" s="60"/>
      <c r="F2910" s="60"/>
      <c r="G2910" s="60"/>
      <c r="H2910" s="60"/>
      <c r="I2910" s="60"/>
      <c r="J2910" s="60"/>
      <c r="K2910" s="60"/>
      <c r="L2910" s="60"/>
      <c r="M2910" s="64"/>
      <c r="N2910" s="33"/>
    </row>
    <row r="2911" ht="24" customHeight="1" spans="2:14">
      <c r="B2911" s="33"/>
      <c r="C2911" s="60"/>
      <c r="D2911" s="60"/>
      <c r="E2911" s="60"/>
      <c r="F2911" s="60"/>
      <c r="G2911" s="60"/>
      <c r="H2911" s="60"/>
      <c r="I2911" s="60"/>
      <c r="J2911" s="60"/>
      <c r="K2911" s="60"/>
      <c r="L2911" s="60"/>
      <c r="M2911" s="64"/>
      <c r="N2911" s="33"/>
    </row>
    <row r="2912" ht="24" customHeight="1" spans="2:14">
      <c r="B2912" s="33"/>
      <c r="C2912" s="60"/>
      <c r="D2912" s="60"/>
      <c r="E2912" s="60"/>
      <c r="F2912" s="60"/>
      <c r="G2912" s="60"/>
      <c r="H2912" s="60"/>
      <c r="I2912" s="60"/>
      <c r="J2912" s="60"/>
      <c r="K2912" s="60"/>
      <c r="L2912" s="60"/>
      <c r="M2912" s="64"/>
      <c r="N2912" s="33"/>
    </row>
    <row r="2913" ht="24" customHeight="1" spans="2:14">
      <c r="B2913" s="33"/>
      <c r="C2913" s="60"/>
      <c r="D2913" s="60"/>
      <c r="E2913" s="60"/>
      <c r="F2913" s="60"/>
      <c r="G2913" s="60"/>
      <c r="H2913" s="60"/>
      <c r="I2913" s="60"/>
      <c r="J2913" s="60"/>
      <c r="K2913" s="60"/>
      <c r="L2913" s="60"/>
      <c r="M2913" s="64"/>
      <c r="N2913" s="33"/>
    </row>
    <row r="2914" ht="24" customHeight="1" spans="2:14">
      <c r="B2914" s="33"/>
      <c r="C2914" s="60"/>
      <c r="D2914" s="60"/>
      <c r="E2914" s="60"/>
      <c r="F2914" s="60"/>
      <c r="G2914" s="60"/>
      <c r="H2914" s="60"/>
      <c r="I2914" s="60"/>
      <c r="J2914" s="60"/>
      <c r="K2914" s="60"/>
      <c r="L2914" s="60"/>
      <c r="M2914" s="64"/>
      <c r="N2914" s="33"/>
    </row>
    <row r="2915" ht="24" customHeight="1" spans="2:14">
      <c r="B2915" s="33"/>
      <c r="C2915" s="60"/>
      <c r="D2915" s="60"/>
      <c r="E2915" s="60"/>
      <c r="F2915" s="60"/>
      <c r="G2915" s="60"/>
      <c r="H2915" s="60"/>
      <c r="I2915" s="60"/>
      <c r="J2915" s="60"/>
      <c r="K2915" s="60"/>
      <c r="L2915" s="60"/>
      <c r="M2915" s="64"/>
      <c r="N2915" s="33"/>
    </row>
    <row r="2916" ht="24" customHeight="1" spans="2:14">
      <c r="B2916" s="33"/>
      <c r="C2916" s="60"/>
      <c r="D2916" s="60"/>
      <c r="E2916" s="60"/>
      <c r="F2916" s="60"/>
      <c r="G2916" s="60"/>
      <c r="H2916" s="60"/>
      <c r="I2916" s="60"/>
      <c r="J2916" s="60"/>
      <c r="K2916" s="60"/>
      <c r="L2916" s="60"/>
      <c r="M2916" s="64"/>
      <c r="N2916" s="33"/>
    </row>
    <row r="2917" ht="24" customHeight="1" spans="2:14">
      <c r="B2917" s="33"/>
      <c r="C2917" s="60"/>
      <c r="D2917" s="60"/>
      <c r="E2917" s="60"/>
      <c r="F2917" s="60"/>
      <c r="G2917" s="60"/>
      <c r="H2917" s="60"/>
      <c r="I2917" s="60"/>
      <c r="J2917" s="60"/>
      <c r="K2917" s="60"/>
      <c r="L2917" s="60"/>
      <c r="M2917" s="64"/>
      <c r="N2917" s="33"/>
    </row>
    <row r="2918" ht="24" customHeight="1" spans="2:14">
      <c r="B2918" s="33"/>
      <c r="C2918" s="60"/>
      <c r="D2918" s="60"/>
      <c r="E2918" s="60"/>
      <c r="F2918" s="60"/>
      <c r="G2918" s="60"/>
      <c r="H2918" s="60"/>
      <c r="I2918" s="60"/>
      <c r="J2918" s="60"/>
      <c r="K2918" s="60"/>
      <c r="L2918" s="60"/>
      <c r="M2918" s="64"/>
      <c r="N2918" s="33"/>
    </row>
    <row r="2919" ht="24" customHeight="1" spans="2:14">
      <c r="B2919" s="33"/>
      <c r="C2919" s="60"/>
      <c r="D2919" s="60"/>
      <c r="E2919" s="60"/>
      <c r="F2919" s="60"/>
      <c r="G2919" s="60"/>
      <c r="H2919" s="60"/>
      <c r="I2919" s="60"/>
      <c r="J2919" s="60"/>
      <c r="K2919" s="60"/>
      <c r="L2919" s="60"/>
      <c r="M2919" s="64"/>
      <c r="N2919" s="33"/>
    </row>
    <row r="2920" ht="24" customHeight="1" spans="2:14">
      <c r="B2920" s="33"/>
      <c r="C2920" s="60"/>
      <c r="D2920" s="60"/>
      <c r="E2920" s="60"/>
      <c r="F2920" s="60"/>
      <c r="G2920" s="60"/>
      <c r="H2920" s="60"/>
      <c r="I2920" s="60"/>
      <c r="J2920" s="60"/>
      <c r="K2920" s="60"/>
      <c r="L2920" s="60"/>
      <c r="M2920" s="64"/>
      <c r="N2920" s="33"/>
    </row>
    <row r="2921" ht="24" customHeight="1" spans="2:14">
      <c r="B2921" s="33"/>
      <c r="C2921" s="60"/>
      <c r="D2921" s="60"/>
      <c r="E2921" s="60"/>
      <c r="F2921" s="60"/>
      <c r="G2921" s="60"/>
      <c r="H2921" s="60"/>
      <c r="I2921" s="60"/>
      <c r="J2921" s="60"/>
      <c r="K2921" s="60"/>
      <c r="L2921" s="60"/>
      <c r="M2921" s="64"/>
      <c r="N2921" s="33"/>
    </row>
    <row r="2922" ht="24" customHeight="1" spans="2:14">
      <c r="B2922" s="33"/>
      <c r="C2922" s="60"/>
      <c r="D2922" s="60"/>
      <c r="E2922" s="60"/>
      <c r="F2922" s="60"/>
      <c r="G2922" s="60"/>
      <c r="H2922" s="60"/>
      <c r="I2922" s="60"/>
      <c r="J2922" s="60"/>
      <c r="K2922" s="60"/>
      <c r="L2922" s="60"/>
      <c r="M2922" s="64"/>
      <c r="N2922" s="33"/>
    </row>
    <row r="2923" ht="24" customHeight="1" spans="2:14">
      <c r="B2923" s="33"/>
      <c r="C2923" s="60"/>
      <c r="D2923" s="60"/>
      <c r="E2923" s="60"/>
      <c r="F2923" s="60"/>
      <c r="G2923" s="60"/>
      <c r="H2923" s="60"/>
      <c r="I2923" s="60"/>
      <c r="J2923" s="60"/>
      <c r="K2923" s="60"/>
      <c r="L2923" s="60"/>
      <c r="M2923" s="64"/>
      <c r="N2923" s="33"/>
    </row>
    <row r="2924" ht="24" customHeight="1" spans="2:14">
      <c r="B2924" s="33"/>
      <c r="C2924" s="60"/>
      <c r="D2924" s="60"/>
      <c r="E2924" s="60"/>
      <c r="F2924" s="60"/>
      <c r="G2924" s="60"/>
      <c r="H2924" s="60"/>
      <c r="I2924" s="60"/>
      <c r="J2924" s="60"/>
      <c r="K2924" s="60"/>
      <c r="L2924" s="60"/>
      <c r="M2924" s="64"/>
      <c r="N2924" s="33"/>
    </row>
    <row r="2925" ht="24" customHeight="1" spans="2:14">
      <c r="B2925" s="33"/>
      <c r="C2925" s="60"/>
      <c r="D2925" s="60"/>
      <c r="E2925" s="60"/>
      <c r="F2925" s="60"/>
      <c r="G2925" s="60"/>
      <c r="H2925" s="60"/>
      <c r="I2925" s="60"/>
      <c r="J2925" s="60"/>
      <c r="K2925" s="60"/>
      <c r="L2925" s="60"/>
      <c r="M2925" s="64"/>
      <c r="N2925" s="33"/>
    </row>
    <row r="2926" ht="24" customHeight="1" spans="2:14">
      <c r="B2926" s="33"/>
      <c r="C2926" s="60"/>
      <c r="D2926" s="60"/>
      <c r="E2926" s="60"/>
      <c r="F2926" s="60"/>
      <c r="G2926" s="60"/>
      <c r="H2926" s="60"/>
      <c r="I2926" s="60"/>
      <c r="J2926" s="60"/>
      <c r="K2926" s="60"/>
      <c r="L2926" s="60"/>
      <c r="M2926" s="64"/>
      <c r="N2926" s="33"/>
    </row>
    <row r="2927" ht="24" customHeight="1" spans="2:14">
      <c r="B2927" s="33"/>
      <c r="C2927" s="60"/>
      <c r="D2927" s="60"/>
      <c r="E2927" s="60"/>
      <c r="F2927" s="60"/>
      <c r="G2927" s="60"/>
      <c r="H2927" s="60"/>
      <c r="I2927" s="60"/>
      <c r="J2927" s="60"/>
      <c r="K2927" s="60"/>
      <c r="L2927" s="60"/>
      <c r="M2927" s="64"/>
      <c r="N2927" s="33"/>
    </row>
    <row r="2928" ht="24" customHeight="1" spans="2:14">
      <c r="B2928" s="33"/>
      <c r="C2928" s="60"/>
      <c r="D2928" s="60"/>
      <c r="E2928" s="60"/>
      <c r="F2928" s="60"/>
      <c r="G2928" s="60"/>
      <c r="H2928" s="60"/>
      <c r="I2928" s="60"/>
      <c r="J2928" s="60"/>
      <c r="K2928" s="60"/>
      <c r="L2928" s="60"/>
      <c r="M2928" s="64"/>
      <c r="N2928" s="33"/>
    </row>
    <row r="2929" ht="24" customHeight="1" spans="2:14">
      <c r="B2929" s="33"/>
      <c r="C2929" s="60"/>
      <c r="D2929" s="60"/>
      <c r="E2929" s="60"/>
      <c r="F2929" s="60"/>
      <c r="G2929" s="60"/>
      <c r="H2929" s="60"/>
      <c r="I2929" s="60"/>
      <c r="J2929" s="60"/>
      <c r="K2929" s="60"/>
      <c r="L2929" s="60"/>
      <c r="M2929" s="64"/>
      <c r="N2929" s="33"/>
    </row>
    <row r="2930" ht="24" customHeight="1" spans="2:14">
      <c r="B2930" s="33"/>
      <c r="C2930" s="60"/>
      <c r="D2930" s="60"/>
      <c r="E2930" s="60"/>
      <c r="F2930" s="60"/>
      <c r="G2930" s="60"/>
      <c r="H2930" s="60"/>
      <c r="I2930" s="60"/>
      <c r="J2930" s="60"/>
      <c r="K2930" s="60"/>
      <c r="L2930" s="60"/>
      <c r="M2930" s="64"/>
      <c r="N2930" s="33"/>
    </row>
    <row r="2931" ht="24" customHeight="1" spans="2:14">
      <c r="B2931" s="33"/>
      <c r="C2931" s="60"/>
      <c r="D2931" s="60"/>
      <c r="E2931" s="60"/>
      <c r="F2931" s="60"/>
      <c r="G2931" s="60"/>
      <c r="H2931" s="60"/>
      <c r="I2931" s="60"/>
      <c r="J2931" s="60"/>
      <c r="K2931" s="60"/>
      <c r="L2931" s="60"/>
      <c r="M2931" s="64"/>
      <c r="N2931" s="33"/>
    </row>
    <row r="2932" ht="24" customHeight="1" spans="2:14">
      <c r="B2932" s="33"/>
      <c r="C2932" s="60"/>
      <c r="D2932" s="60"/>
      <c r="E2932" s="60"/>
      <c r="F2932" s="60"/>
      <c r="G2932" s="60"/>
      <c r="H2932" s="60"/>
      <c r="I2932" s="60"/>
      <c r="J2932" s="60"/>
      <c r="K2932" s="60"/>
      <c r="L2932" s="60"/>
      <c r="M2932" s="64"/>
      <c r="N2932" s="33"/>
    </row>
    <row r="2933" ht="24" customHeight="1" spans="2:14">
      <c r="B2933" s="33"/>
      <c r="C2933" s="60"/>
      <c r="D2933" s="60"/>
      <c r="E2933" s="60"/>
      <c r="F2933" s="60"/>
      <c r="G2933" s="60"/>
      <c r="H2933" s="60"/>
      <c r="I2933" s="60"/>
      <c r="J2933" s="60"/>
      <c r="K2933" s="60"/>
      <c r="L2933" s="60"/>
      <c r="M2933" s="64"/>
      <c r="N2933" s="33"/>
    </row>
    <row r="2934" ht="24" customHeight="1" spans="2:14">
      <c r="B2934" s="33"/>
      <c r="C2934" s="60"/>
      <c r="D2934" s="60"/>
      <c r="E2934" s="60"/>
      <c r="F2934" s="60"/>
      <c r="G2934" s="60"/>
      <c r="H2934" s="60"/>
      <c r="I2934" s="60"/>
      <c r="J2934" s="60"/>
      <c r="K2934" s="60"/>
      <c r="L2934" s="60"/>
      <c r="M2934" s="64"/>
      <c r="N2934" s="33"/>
    </row>
    <row r="2935" ht="24" customHeight="1" spans="2:14">
      <c r="B2935" s="33"/>
      <c r="C2935" s="60"/>
      <c r="D2935" s="60"/>
      <c r="E2935" s="60"/>
      <c r="F2935" s="60"/>
      <c r="G2935" s="60"/>
      <c r="H2935" s="60"/>
      <c r="I2935" s="60"/>
      <c r="J2935" s="60"/>
      <c r="K2935" s="60"/>
      <c r="L2935" s="60"/>
      <c r="M2935" s="64"/>
      <c r="N2935" s="33"/>
    </row>
    <row r="2936" ht="24" customHeight="1" spans="2:14">
      <c r="B2936" s="33"/>
      <c r="C2936" s="60"/>
      <c r="D2936" s="60"/>
      <c r="E2936" s="60"/>
      <c r="F2936" s="60"/>
      <c r="G2936" s="60"/>
      <c r="H2936" s="60"/>
      <c r="I2936" s="60"/>
      <c r="J2936" s="60"/>
      <c r="K2936" s="60"/>
      <c r="L2936" s="60"/>
      <c r="M2936" s="64"/>
      <c r="N2936" s="33"/>
    </row>
    <row r="2937" ht="24" customHeight="1" spans="2:14">
      <c r="B2937" s="33"/>
      <c r="C2937" s="60"/>
      <c r="D2937" s="60"/>
      <c r="E2937" s="60"/>
      <c r="F2937" s="60"/>
      <c r="G2937" s="60"/>
      <c r="H2937" s="60"/>
      <c r="I2937" s="60"/>
      <c r="J2937" s="60"/>
      <c r="K2937" s="60"/>
      <c r="L2937" s="60"/>
      <c r="M2937" s="64"/>
      <c r="N2937" s="33"/>
    </row>
    <row r="2938" ht="24" customHeight="1" spans="2:14">
      <c r="B2938" s="33"/>
      <c r="C2938" s="60"/>
      <c r="D2938" s="60"/>
      <c r="E2938" s="60"/>
      <c r="F2938" s="60"/>
      <c r="G2938" s="60"/>
      <c r="H2938" s="60"/>
      <c r="I2938" s="60"/>
      <c r="J2938" s="60"/>
      <c r="K2938" s="60"/>
      <c r="L2938" s="60"/>
      <c r="M2938" s="64"/>
      <c r="N2938" s="33"/>
    </row>
    <row r="2939" ht="24" customHeight="1" spans="2:14">
      <c r="B2939" s="33"/>
      <c r="C2939" s="60"/>
      <c r="D2939" s="60"/>
      <c r="E2939" s="60"/>
      <c r="F2939" s="60"/>
      <c r="G2939" s="60"/>
      <c r="H2939" s="60"/>
      <c r="I2939" s="60"/>
      <c r="J2939" s="60"/>
      <c r="K2939" s="60"/>
      <c r="L2939" s="60"/>
      <c r="M2939" s="64"/>
      <c r="N2939" s="33"/>
    </row>
    <row r="2940" ht="24" customHeight="1" spans="2:14">
      <c r="B2940" s="33"/>
      <c r="C2940" s="60"/>
      <c r="D2940" s="60"/>
      <c r="E2940" s="60"/>
      <c r="F2940" s="60"/>
      <c r="G2940" s="60"/>
      <c r="H2940" s="60"/>
      <c r="I2940" s="60"/>
      <c r="J2940" s="60"/>
      <c r="K2940" s="60"/>
      <c r="L2940" s="60"/>
      <c r="M2940" s="64"/>
      <c r="N2940" s="33"/>
    </row>
    <row r="2941" ht="24" customHeight="1" spans="2:14">
      <c r="B2941" s="33"/>
      <c r="C2941" s="60"/>
      <c r="D2941" s="60"/>
      <c r="E2941" s="60"/>
      <c r="F2941" s="60"/>
      <c r="G2941" s="60"/>
      <c r="H2941" s="60"/>
      <c r="I2941" s="60"/>
      <c r="J2941" s="60"/>
      <c r="K2941" s="60"/>
      <c r="L2941" s="60"/>
      <c r="M2941" s="64"/>
      <c r="N2941" s="33"/>
    </row>
    <row r="2942" ht="24" customHeight="1" spans="2:14">
      <c r="B2942" s="33"/>
      <c r="C2942" s="60"/>
      <c r="D2942" s="60"/>
      <c r="E2942" s="60"/>
      <c r="F2942" s="60"/>
      <c r="G2942" s="60"/>
      <c r="H2942" s="60"/>
      <c r="I2942" s="60"/>
      <c r="J2942" s="60"/>
      <c r="K2942" s="60"/>
      <c r="L2942" s="60"/>
      <c r="M2942" s="64"/>
      <c r="N2942" s="33"/>
    </row>
    <row r="2943" ht="24" customHeight="1" spans="2:14">
      <c r="B2943" s="33"/>
      <c r="C2943" s="60"/>
      <c r="D2943" s="60"/>
      <c r="E2943" s="60"/>
      <c r="F2943" s="60"/>
      <c r="G2943" s="60"/>
      <c r="H2943" s="60"/>
      <c r="I2943" s="60"/>
      <c r="J2943" s="60"/>
      <c r="K2943" s="60"/>
      <c r="L2943" s="60"/>
      <c r="M2943" s="64"/>
      <c r="N2943" s="33"/>
    </row>
    <row r="2944" ht="24" customHeight="1" spans="2:14">
      <c r="B2944" s="33"/>
      <c r="C2944" s="60"/>
      <c r="D2944" s="60"/>
      <c r="E2944" s="60"/>
      <c r="F2944" s="60"/>
      <c r="G2944" s="60"/>
      <c r="H2944" s="60"/>
      <c r="I2944" s="60"/>
      <c r="J2944" s="60"/>
      <c r="K2944" s="60"/>
      <c r="L2944" s="60"/>
      <c r="M2944" s="64"/>
      <c r="N2944" s="33"/>
    </row>
    <row r="2945" ht="24" customHeight="1" spans="2:14">
      <c r="B2945" s="33"/>
      <c r="C2945" s="60"/>
      <c r="D2945" s="60"/>
      <c r="E2945" s="60"/>
      <c r="F2945" s="60"/>
      <c r="G2945" s="60"/>
      <c r="H2945" s="60"/>
      <c r="I2945" s="60"/>
      <c r="J2945" s="60"/>
      <c r="K2945" s="60"/>
      <c r="L2945" s="60"/>
      <c r="M2945" s="64"/>
      <c r="N2945" s="33"/>
    </row>
    <row r="2946" ht="24" customHeight="1" spans="2:14">
      <c r="B2946" s="33"/>
      <c r="C2946" s="60"/>
      <c r="D2946" s="60"/>
      <c r="E2946" s="60"/>
      <c r="F2946" s="60"/>
      <c r="G2946" s="60"/>
      <c r="H2946" s="60"/>
      <c r="I2946" s="60"/>
      <c r="J2946" s="60"/>
      <c r="K2946" s="60"/>
      <c r="L2946" s="60"/>
      <c r="M2946" s="64"/>
      <c r="N2946" s="33"/>
    </row>
    <row r="2947" ht="24" customHeight="1" spans="2:14">
      <c r="B2947" s="33"/>
      <c r="C2947" s="60"/>
      <c r="D2947" s="60"/>
      <c r="E2947" s="60"/>
      <c r="F2947" s="60"/>
      <c r="G2947" s="60"/>
      <c r="H2947" s="60"/>
      <c r="I2947" s="60"/>
      <c r="J2947" s="60"/>
      <c r="K2947" s="60"/>
      <c r="L2947" s="60"/>
      <c r="M2947" s="64"/>
      <c r="N2947" s="33"/>
    </row>
    <row r="2948" ht="24" customHeight="1" spans="2:14">
      <c r="B2948" s="33"/>
      <c r="C2948" s="60"/>
      <c r="D2948" s="60"/>
      <c r="E2948" s="60"/>
      <c r="F2948" s="60"/>
      <c r="G2948" s="60"/>
      <c r="H2948" s="60"/>
      <c r="I2948" s="60"/>
      <c r="J2948" s="60"/>
      <c r="K2948" s="60"/>
      <c r="L2948" s="60"/>
      <c r="M2948" s="64"/>
      <c r="N2948" s="33"/>
    </row>
    <row r="2949" ht="24" customHeight="1" spans="2:14">
      <c r="B2949" s="33"/>
      <c r="C2949" s="60"/>
      <c r="D2949" s="60"/>
      <c r="E2949" s="60"/>
      <c r="F2949" s="60"/>
      <c r="G2949" s="60"/>
      <c r="H2949" s="60"/>
      <c r="I2949" s="60"/>
      <c r="J2949" s="60"/>
      <c r="K2949" s="60"/>
      <c r="L2949" s="60"/>
      <c r="M2949" s="64"/>
      <c r="N2949" s="33"/>
    </row>
    <row r="2950" ht="24" customHeight="1" spans="2:14">
      <c r="B2950" s="33"/>
      <c r="C2950" s="60"/>
      <c r="D2950" s="60"/>
      <c r="E2950" s="60"/>
      <c r="F2950" s="60"/>
      <c r="G2950" s="60"/>
      <c r="H2950" s="60"/>
      <c r="I2950" s="60"/>
      <c r="J2950" s="60"/>
      <c r="K2950" s="60"/>
      <c r="L2950" s="60"/>
      <c r="M2950" s="64"/>
      <c r="N2950" s="33"/>
    </row>
    <row r="2951" ht="24" customHeight="1" spans="2:14">
      <c r="B2951" s="33"/>
      <c r="C2951" s="60"/>
      <c r="D2951" s="60"/>
      <c r="E2951" s="60"/>
      <c r="F2951" s="60"/>
      <c r="G2951" s="60"/>
      <c r="H2951" s="60"/>
      <c r="I2951" s="60"/>
      <c r="J2951" s="60"/>
      <c r="K2951" s="60"/>
      <c r="L2951" s="60"/>
      <c r="M2951" s="64"/>
      <c r="N2951" s="33"/>
    </row>
    <row r="2952" ht="24" customHeight="1" spans="2:14">
      <c r="B2952" s="33"/>
      <c r="C2952" s="60"/>
      <c r="D2952" s="60"/>
      <c r="E2952" s="60"/>
      <c r="F2952" s="60"/>
      <c r="G2952" s="60"/>
      <c r="H2952" s="60"/>
      <c r="I2952" s="60"/>
      <c r="J2952" s="60"/>
      <c r="K2952" s="60"/>
      <c r="L2952" s="60"/>
      <c r="M2952" s="64"/>
      <c r="N2952" s="33"/>
    </row>
    <row r="2953" ht="24" customHeight="1" spans="2:14">
      <c r="B2953" s="33"/>
      <c r="C2953" s="60"/>
      <c r="D2953" s="60"/>
      <c r="E2953" s="60"/>
      <c r="F2953" s="60"/>
      <c r="G2953" s="60"/>
      <c r="H2953" s="60"/>
      <c r="I2953" s="60"/>
      <c r="J2953" s="60"/>
      <c r="K2953" s="60"/>
      <c r="L2953" s="60"/>
      <c r="M2953" s="64"/>
      <c r="N2953" s="33"/>
    </row>
    <row r="2954" ht="24" customHeight="1" spans="2:14">
      <c r="B2954" s="33"/>
      <c r="C2954" s="60"/>
      <c r="D2954" s="60"/>
      <c r="E2954" s="60"/>
      <c r="F2954" s="60"/>
      <c r="G2954" s="60"/>
      <c r="H2954" s="60"/>
      <c r="I2954" s="60"/>
      <c r="J2954" s="60"/>
      <c r="K2954" s="60"/>
      <c r="L2954" s="60"/>
      <c r="M2954" s="64"/>
      <c r="N2954" s="33"/>
    </row>
    <row r="2955" ht="24" customHeight="1" spans="2:14">
      <c r="B2955" s="33"/>
      <c r="C2955" s="60"/>
      <c r="D2955" s="60"/>
      <c r="E2955" s="60"/>
      <c r="F2955" s="60"/>
      <c r="G2955" s="60"/>
      <c r="H2955" s="60"/>
      <c r="I2955" s="60"/>
      <c r="J2955" s="60"/>
      <c r="K2955" s="60"/>
      <c r="L2955" s="60"/>
      <c r="M2955" s="64"/>
      <c r="N2955" s="33"/>
    </row>
    <row r="2956" ht="24" customHeight="1" spans="2:14">
      <c r="B2956" s="33"/>
      <c r="C2956" s="60"/>
      <c r="D2956" s="60"/>
      <c r="E2956" s="60"/>
      <c r="F2956" s="60"/>
      <c r="G2956" s="60"/>
      <c r="H2956" s="60"/>
      <c r="I2956" s="60"/>
      <c r="J2956" s="60"/>
      <c r="K2956" s="60"/>
      <c r="L2956" s="60"/>
      <c r="M2956" s="64"/>
      <c r="N2956" s="33"/>
    </row>
    <row r="2957" ht="24" customHeight="1" spans="2:14">
      <c r="B2957" s="33"/>
      <c r="C2957" s="60"/>
      <c r="D2957" s="60"/>
      <c r="E2957" s="60"/>
      <c r="F2957" s="60"/>
      <c r="G2957" s="60"/>
      <c r="H2957" s="60"/>
      <c r="I2957" s="60"/>
      <c r="J2957" s="60"/>
      <c r="K2957" s="60"/>
      <c r="L2957" s="60"/>
      <c r="M2957" s="64"/>
      <c r="N2957" s="33"/>
    </row>
    <row r="2958" ht="24" customHeight="1" spans="2:14">
      <c r="B2958" s="33"/>
      <c r="C2958" s="60"/>
      <c r="D2958" s="60"/>
      <c r="E2958" s="60"/>
      <c r="F2958" s="60"/>
      <c r="G2958" s="60"/>
      <c r="H2958" s="60"/>
      <c r="I2958" s="60"/>
      <c r="J2958" s="60"/>
      <c r="K2958" s="60"/>
      <c r="L2958" s="60"/>
      <c r="M2958" s="64"/>
      <c r="N2958" s="33"/>
    </row>
    <row r="2959" ht="24" customHeight="1" spans="2:14">
      <c r="B2959" s="33"/>
      <c r="C2959" s="60"/>
      <c r="D2959" s="60"/>
      <c r="E2959" s="60"/>
      <c r="F2959" s="60"/>
      <c r="G2959" s="60"/>
      <c r="H2959" s="60"/>
      <c r="I2959" s="60"/>
      <c r="J2959" s="60"/>
      <c r="K2959" s="60"/>
      <c r="L2959" s="60"/>
      <c r="M2959" s="64"/>
      <c r="N2959" s="33"/>
    </row>
    <row r="2960" ht="24" customHeight="1" spans="2:14">
      <c r="B2960" s="33"/>
      <c r="C2960" s="60"/>
      <c r="D2960" s="60"/>
      <c r="E2960" s="60"/>
      <c r="F2960" s="60"/>
      <c r="G2960" s="60"/>
      <c r="H2960" s="60"/>
      <c r="I2960" s="60"/>
      <c r="J2960" s="60"/>
      <c r="K2960" s="60"/>
      <c r="L2960" s="60"/>
      <c r="M2960" s="64"/>
      <c r="N2960" s="33"/>
    </row>
    <row r="2961" ht="24" customHeight="1" spans="2:14">
      <c r="B2961" s="33"/>
      <c r="C2961" s="60"/>
      <c r="D2961" s="60"/>
      <c r="E2961" s="60"/>
      <c r="F2961" s="60"/>
      <c r="G2961" s="60"/>
      <c r="H2961" s="60"/>
      <c r="I2961" s="60"/>
      <c r="J2961" s="60"/>
      <c r="K2961" s="60"/>
      <c r="L2961" s="60"/>
      <c r="M2961" s="64"/>
      <c r="N2961" s="33"/>
    </row>
    <row r="2962" ht="24" customHeight="1" spans="2:14">
      <c r="B2962" s="33"/>
      <c r="C2962" s="60"/>
      <c r="D2962" s="60"/>
      <c r="E2962" s="60"/>
      <c r="F2962" s="60"/>
      <c r="G2962" s="60"/>
      <c r="H2962" s="60"/>
      <c r="I2962" s="60"/>
      <c r="J2962" s="60"/>
      <c r="K2962" s="60"/>
      <c r="L2962" s="60"/>
      <c r="M2962" s="64"/>
      <c r="N2962" s="33"/>
    </row>
    <row r="2963" ht="24" customHeight="1" spans="2:14">
      <c r="B2963" s="33"/>
      <c r="C2963" s="60"/>
      <c r="D2963" s="60"/>
      <c r="E2963" s="60"/>
      <c r="F2963" s="60"/>
      <c r="G2963" s="60"/>
      <c r="H2963" s="60"/>
      <c r="I2963" s="60"/>
      <c r="J2963" s="60"/>
      <c r="K2963" s="60"/>
      <c r="L2963" s="60"/>
      <c r="M2963" s="64"/>
      <c r="N2963" s="33"/>
    </row>
    <row r="2964" ht="24" customHeight="1" spans="2:14">
      <c r="B2964" s="33"/>
      <c r="C2964" s="60"/>
      <c r="D2964" s="60"/>
      <c r="E2964" s="60"/>
      <c r="F2964" s="60"/>
      <c r="G2964" s="60"/>
      <c r="H2964" s="60"/>
      <c r="I2964" s="60"/>
      <c r="J2964" s="60"/>
      <c r="K2964" s="60"/>
      <c r="L2964" s="60"/>
      <c r="M2964" s="64"/>
      <c r="N2964" s="33"/>
    </row>
    <row r="2965" ht="24" customHeight="1" spans="2:14">
      <c r="B2965" s="33"/>
      <c r="C2965" s="60"/>
      <c r="D2965" s="60"/>
      <c r="E2965" s="60"/>
      <c r="F2965" s="60"/>
      <c r="G2965" s="60"/>
      <c r="H2965" s="60"/>
      <c r="I2965" s="60"/>
      <c r="J2965" s="60"/>
      <c r="K2965" s="60"/>
      <c r="L2965" s="60"/>
      <c r="M2965" s="64"/>
      <c r="N2965" s="33"/>
    </row>
    <row r="2966" ht="24" customHeight="1" spans="2:14">
      <c r="B2966" s="33"/>
      <c r="C2966" s="60"/>
      <c r="D2966" s="60"/>
      <c r="E2966" s="60"/>
      <c r="F2966" s="60"/>
      <c r="G2966" s="60"/>
      <c r="H2966" s="60"/>
      <c r="I2966" s="60"/>
      <c r="J2966" s="60"/>
      <c r="K2966" s="60"/>
      <c r="L2966" s="60"/>
      <c r="M2966" s="64"/>
      <c r="N2966" s="33"/>
    </row>
    <row r="2967" ht="24" customHeight="1" spans="2:14">
      <c r="B2967" s="33"/>
      <c r="C2967" s="60"/>
      <c r="D2967" s="60"/>
      <c r="E2967" s="60"/>
      <c r="F2967" s="60"/>
      <c r="G2967" s="60"/>
      <c r="H2967" s="60"/>
      <c r="I2967" s="60"/>
      <c r="J2967" s="60"/>
      <c r="K2967" s="60"/>
      <c r="L2967" s="60"/>
      <c r="M2967" s="64"/>
      <c r="N2967" s="33"/>
    </row>
    <row r="2968" ht="24" customHeight="1" spans="2:14">
      <c r="B2968" s="33"/>
      <c r="C2968" s="60"/>
      <c r="D2968" s="60"/>
      <c r="E2968" s="60"/>
      <c r="F2968" s="60"/>
      <c r="G2968" s="60"/>
      <c r="H2968" s="60"/>
      <c r="I2968" s="60"/>
      <c r="J2968" s="60"/>
      <c r="K2968" s="60"/>
      <c r="L2968" s="60"/>
      <c r="M2968" s="64"/>
      <c r="N2968" s="33"/>
    </row>
    <row r="2969" ht="24" customHeight="1" spans="2:14">
      <c r="B2969" s="33"/>
      <c r="C2969" s="60"/>
      <c r="D2969" s="60"/>
      <c r="E2969" s="60"/>
      <c r="F2969" s="60"/>
      <c r="G2969" s="60"/>
      <c r="H2969" s="60"/>
      <c r="I2969" s="60"/>
      <c r="J2969" s="60"/>
      <c r="K2969" s="60"/>
      <c r="L2969" s="60"/>
      <c r="M2969" s="64"/>
      <c r="N2969" s="33"/>
    </row>
    <row r="2970" ht="24" customHeight="1" spans="2:14">
      <c r="B2970" s="33"/>
      <c r="C2970" s="60"/>
      <c r="D2970" s="60"/>
      <c r="E2970" s="60"/>
      <c r="F2970" s="60"/>
      <c r="G2970" s="60"/>
      <c r="H2970" s="60"/>
      <c r="I2970" s="60"/>
      <c r="J2970" s="60"/>
      <c r="K2970" s="60"/>
      <c r="L2970" s="60"/>
      <c r="M2970" s="64"/>
      <c r="N2970" s="33"/>
    </row>
    <row r="2971" ht="24" customHeight="1" spans="2:14">
      <c r="B2971" s="33"/>
      <c r="C2971" s="60"/>
      <c r="D2971" s="60"/>
      <c r="E2971" s="60"/>
      <c r="F2971" s="60"/>
      <c r="G2971" s="60"/>
      <c r="H2971" s="60"/>
      <c r="I2971" s="60"/>
      <c r="J2971" s="60"/>
      <c r="K2971" s="60"/>
      <c r="L2971" s="60"/>
      <c r="M2971" s="64"/>
      <c r="N2971" s="33"/>
    </row>
    <row r="2972" ht="24" customHeight="1" spans="2:14">
      <c r="B2972" s="33"/>
      <c r="C2972" s="60"/>
      <c r="D2972" s="60"/>
      <c r="E2972" s="60"/>
      <c r="F2972" s="60"/>
      <c r="G2972" s="60"/>
      <c r="H2972" s="60"/>
      <c r="I2972" s="60"/>
      <c r="J2972" s="60"/>
      <c r="K2972" s="60"/>
      <c r="L2972" s="60"/>
      <c r="M2972" s="64"/>
      <c r="N2972" s="33"/>
    </row>
    <row r="2973" ht="24" customHeight="1" spans="2:14">
      <c r="B2973" s="33"/>
      <c r="C2973" s="60"/>
      <c r="D2973" s="60"/>
      <c r="E2973" s="60"/>
      <c r="F2973" s="60"/>
      <c r="G2973" s="60"/>
      <c r="H2973" s="60"/>
      <c r="I2973" s="60"/>
      <c r="J2973" s="60"/>
      <c r="K2973" s="60"/>
      <c r="L2973" s="60"/>
      <c r="M2973" s="64"/>
      <c r="N2973" s="33"/>
    </row>
    <row r="2974" ht="24" customHeight="1" spans="2:14">
      <c r="B2974" s="33"/>
      <c r="C2974" s="60"/>
      <c r="D2974" s="60"/>
      <c r="E2974" s="60"/>
      <c r="F2974" s="60"/>
      <c r="G2974" s="60"/>
      <c r="H2974" s="60"/>
      <c r="I2974" s="60"/>
      <c r="J2974" s="60"/>
      <c r="K2974" s="60"/>
      <c r="L2974" s="60"/>
      <c r="M2974" s="64"/>
      <c r="N2974" s="33"/>
    </row>
    <row r="2975" ht="24" customHeight="1" spans="2:14">
      <c r="B2975" s="33"/>
      <c r="C2975" s="60"/>
      <c r="D2975" s="60"/>
      <c r="E2975" s="60"/>
      <c r="F2975" s="60"/>
      <c r="G2975" s="60"/>
      <c r="H2975" s="60"/>
      <c r="I2975" s="60"/>
      <c r="J2975" s="60"/>
      <c r="K2975" s="60"/>
      <c r="L2975" s="60"/>
      <c r="M2975" s="64"/>
      <c r="N2975" s="33"/>
    </row>
    <row r="2976" ht="24" customHeight="1" spans="2:14">
      <c r="B2976" s="33"/>
      <c r="C2976" s="60"/>
      <c r="D2976" s="60"/>
      <c r="E2976" s="60"/>
      <c r="F2976" s="60"/>
      <c r="G2976" s="60"/>
      <c r="H2976" s="60"/>
      <c r="I2976" s="60"/>
      <c r="J2976" s="60"/>
      <c r="K2976" s="60"/>
      <c r="L2976" s="60"/>
      <c r="M2976" s="64"/>
      <c r="N2976" s="33"/>
    </row>
    <row r="2977" ht="24" customHeight="1" spans="2:14">
      <c r="B2977" s="33"/>
      <c r="C2977" s="60"/>
      <c r="D2977" s="60"/>
      <c r="E2977" s="60"/>
      <c r="F2977" s="60"/>
      <c r="G2977" s="60"/>
      <c r="H2977" s="60"/>
      <c r="I2977" s="60"/>
      <c r="J2977" s="60"/>
      <c r="K2977" s="60"/>
      <c r="L2977" s="60"/>
      <c r="M2977" s="64"/>
      <c r="N2977" s="33"/>
    </row>
    <row r="2978" ht="24" customHeight="1" spans="2:14">
      <c r="B2978" s="33"/>
      <c r="C2978" s="60"/>
      <c r="D2978" s="60"/>
      <c r="E2978" s="60"/>
      <c r="F2978" s="60"/>
      <c r="G2978" s="60"/>
      <c r="H2978" s="60"/>
      <c r="I2978" s="60"/>
      <c r="J2978" s="60"/>
      <c r="K2978" s="60"/>
      <c r="L2978" s="60"/>
      <c r="M2978" s="64"/>
      <c r="N2978" s="33"/>
    </row>
    <row r="2979" ht="24" customHeight="1" spans="2:14">
      <c r="B2979" s="33"/>
      <c r="C2979" s="60"/>
      <c r="D2979" s="60"/>
      <c r="E2979" s="60"/>
      <c r="F2979" s="60"/>
      <c r="G2979" s="60"/>
      <c r="H2979" s="60"/>
      <c r="I2979" s="60"/>
      <c r="J2979" s="60"/>
      <c r="K2979" s="60"/>
      <c r="L2979" s="60"/>
      <c r="M2979" s="64"/>
      <c r="N2979" s="33"/>
    </row>
    <row r="2980" ht="24" customHeight="1" spans="2:14">
      <c r="B2980" s="33"/>
      <c r="C2980" s="60"/>
      <c r="D2980" s="60"/>
      <c r="E2980" s="60"/>
      <c r="F2980" s="60"/>
      <c r="G2980" s="60"/>
      <c r="H2980" s="60"/>
      <c r="I2980" s="60"/>
      <c r="J2980" s="60"/>
      <c r="K2980" s="60"/>
      <c r="L2980" s="60"/>
      <c r="M2980" s="64"/>
      <c r="N2980" s="33"/>
    </row>
    <row r="2981" ht="24" customHeight="1" spans="2:14">
      <c r="B2981" s="33"/>
      <c r="C2981" s="60"/>
      <c r="D2981" s="60"/>
      <c r="E2981" s="60"/>
      <c r="F2981" s="60"/>
      <c r="G2981" s="60"/>
      <c r="H2981" s="60"/>
      <c r="I2981" s="60"/>
      <c r="J2981" s="60"/>
      <c r="K2981" s="60"/>
      <c r="L2981" s="60"/>
      <c r="M2981" s="64"/>
      <c r="N2981" s="33"/>
    </row>
    <row r="2982" ht="24" customHeight="1" spans="2:14">
      <c r="B2982" s="33"/>
      <c r="C2982" s="60"/>
      <c r="D2982" s="60"/>
      <c r="E2982" s="60"/>
      <c r="F2982" s="60"/>
      <c r="G2982" s="60"/>
      <c r="H2982" s="60"/>
      <c r="I2982" s="60"/>
      <c r="J2982" s="60"/>
      <c r="K2982" s="60"/>
      <c r="L2982" s="60"/>
      <c r="M2982" s="64"/>
      <c r="N2982" s="33"/>
    </row>
    <row r="2983" ht="24" customHeight="1" spans="2:14">
      <c r="B2983" s="33"/>
      <c r="C2983" s="60"/>
      <c r="D2983" s="60"/>
      <c r="E2983" s="60"/>
      <c r="F2983" s="60"/>
      <c r="G2983" s="60"/>
      <c r="H2983" s="60"/>
      <c r="I2983" s="60"/>
      <c r="J2983" s="60"/>
      <c r="K2983" s="60"/>
      <c r="L2983" s="60"/>
      <c r="M2983" s="64"/>
      <c r="N2983" s="33"/>
    </row>
    <row r="2984" ht="24" customHeight="1" spans="2:14">
      <c r="B2984" s="33"/>
      <c r="C2984" s="60"/>
      <c r="D2984" s="60"/>
      <c r="E2984" s="60"/>
      <c r="F2984" s="60"/>
      <c r="G2984" s="60"/>
      <c r="H2984" s="60"/>
      <c r="I2984" s="60"/>
      <c r="J2984" s="60"/>
      <c r="K2984" s="60"/>
      <c r="L2984" s="60"/>
      <c r="M2984" s="64"/>
      <c r="N2984" s="33"/>
    </row>
    <row r="2985" ht="24" customHeight="1" spans="2:14">
      <c r="B2985" s="33"/>
      <c r="C2985" s="60"/>
      <c r="D2985" s="60"/>
      <c r="E2985" s="60"/>
      <c r="F2985" s="60"/>
      <c r="G2985" s="60"/>
      <c r="H2985" s="60"/>
      <c r="I2985" s="60"/>
      <c r="J2985" s="60"/>
      <c r="K2985" s="60"/>
      <c r="L2985" s="60"/>
      <c r="M2985" s="64"/>
      <c r="N2985" s="33"/>
    </row>
    <row r="2986" ht="24" customHeight="1" spans="2:14">
      <c r="B2986" s="33"/>
      <c r="C2986" s="60"/>
      <c r="D2986" s="60"/>
      <c r="E2986" s="60"/>
      <c r="F2986" s="60"/>
      <c r="G2986" s="60"/>
      <c r="H2986" s="60"/>
      <c r="I2986" s="60"/>
      <c r="J2986" s="60"/>
      <c r="K2986" s="60"/>
      <c r="L2986" s="60"/>
      <c r="M2986" s="64"/>
      <c r="N2986" s="33"/>
    </row>
    <row r="2987" ht="24" customHeight="1" spans="2:14">
      <c r="B2987" s="33"/>
      <c r="C2987" s="60"/>
      <c r="D2987" s="60"/>
      <c r="E2987" s="60"/>
      <c r="F2987" s="60"/>
      <c r="G2987" s="60"/>
      <c r="H2987" s="60"/>
      <c r="I2987" s="60"/>
      <c r="J2987" s="60"/>
      <c r="K2987" s="60"/>
      <c r="L2987" s="60"/>
      <c r="M2987" s="64"/>
      <c r="N2987" s="33"/>
    </row>
    <row r="2988" ht="24" customHeight="1" spans="2:14">
      <c r="B2988" s="33"/>
      <c r="C2988" s="60"/>
      <c r="D2988" s="60"/>
      <c r="E2988" s="60"/>
      <c r="F2988" s="60"/>
      <c r="G2988" s="60"/>
      <c r="H2988" s="60"/>
      <c r="I2988" s="60"/>
      <c r="J2988" s="60"/>
      <c r="K2988" s="60"/>
      <c r="L2988" s="60"/>
      <c r="M2988" s="64"/>
      <c r="N2988" s="33"/>
    </row>
    <row r="2989" ht="24" customHeight="1" spans="2:14">
      <c r="B2989" s="33"/>
      <c r="C2989" s="60"/>
      <c r="D2989" s="60"/>
      <c r="E2989" s="60"/>
      <c r="F2989" s="60"/>
      <c r="G2989" s="60"/>
      <c r="H2989" s="60"/>
      <c r="I2989" s="60"/>
      <c r="J2989" s="60"/>
      <c r="K2989" s="60"/>
      <c r="L2989" s="60"/>
      <c r="M2989" s="64"/>
      <c r="N2989" s="33"/>
    </row>
    <row r="2990" ht="24" customHeight="1" spans="2:14">
      <c r="B2990" s="33"/>
      <c r="C2990" s="60"/>
      <c r="D2990" s="60"/>
      <c r="E2990" s="60"/>
      <c r="F2990" s="60"/>
      <c r="G2990" s="60"/>
      <c r="H2990" s="60"/>
      <c r="I2990" s="60"/>
      <c r="J2990" s="60"/>
      <c r="K2990" s="60"/>
      <c r="L2990" s="60"/>
      <c r="M2990" s="64"/>
      <c r="N2990" s="33"/>
    </row>
    <row r="2991" ht="24" customHeight="1" spans="2:14">
      <c r="B2991" s="33"/>
      <c r="C2991" s="60"/>
      <c r="D2991" s="60"/>
      <c r="E2991" s="60"/>
      <c r="F2991" s="60"/>
      <c r="G2991" s="60"/>
      <c r="H2991" s="60"/>
      <c r="I2991" s="60"/>
      <c r="J2991" s="60"/>
      <c r="K2991" s="60"/>
      <c r="L2991" s="60"/>
      <c r="M2991" s="64"/>
      <c r="N2991" s="33"/>
    </row>
    <row r="2992" ht="24" customHeight="1" spans="2:14">
      <c r="B2992" s="33"/>
      <c r="C2992" s="60"/>
      <c r="D2992" s="60"/>
      <c r="E2992" s="60"/>
      <c r="F2992" s="60"/>
      <c r="G2992" s="60"/>
      <c r="H2992" s="60"/>
      <c r="I2992" s="60"/>
      <c r="J2992" s="60"/>
      <c r="K2992" s="60"/>
      <c r="L2992" s="60"/>
      <c r="M2992" s="64"/>
      <c r="N2992" s="33"/>
    </row>
    <row r="2993" ht="24" customHeight="1" spans="2:14">
      <c r="B2993" s="33"/>
      <c r="C2993" s="60"/>
      <c r="D2993" s="60"/>
      <c r="E2993" s="60"/>
      <c r="F2993" s="60"/>
      <c r="G2993" s="60"/>
      <c r="H2993" s="60"/>
      <c r="I2993" s="60"/>
      <c r="J2993" s="60"/>
      <c r="K2993" s="60"/>
      <c r="L2993" s="60"/>
      <c r="M2993" s="64"/>
      <c r="N2993" s="33"/>
    </row>
    <row r="2994" ht="24" customHeight="1" spans="2:14">
      <c r="B2994" s="33"/>
      <c r="C2994" s="60"/>
      <c r="D2994" s="60"/>
      <c r="E2994" s="60"/>
      <c r="F2994" s="60"/>
      <c r="G2994" s="60"/>
      <c r="H2994" s="60"/>
      <c r="I2994" s="60"/>
      <c r="J2994" s="60"/>
      <c r="K2994" s="60"/>
      <c r="L2994" s="60"/>
      <c r="M2994" s="64"/>
      <c r="N2994" s="33"/>
    </row>
    <row r="2995" ht="24" customHeight="1" spans="2:14">
      <c r="B2995" s="33"/>
      <c r="C2995" s="60"/>
      <c r="D2995" s="60"/>
      <c r="E2995" s="60"/>
      <c r="F2995" s="60"/>
      <c r="G2995" s="60"/>
      <c r="H2995" s="60"/>
      <c r="I2995" s="60"/>
      <c r="J2995" s="60"/>
      <c r="K2995" s="60"/>
      <c r="L2995" s="60"/>
      <c r="M2995" s="64"/>
      <c r="N2995" s="33"/>
    </row>
    <row r="2996" ht="24" customHeight="1" spans="2:14">
      <c r="B2996" s="33"/>
      <c r="C2996" s="60"/>
      <c r="D2996" s="60"/>
      <c r="E2996" s="60"/>
      <c r="F2996" s="60"/>
      <c r="G2996" s="60"/>
      <c r="H2996" s="60"/>
      <c r="I2996" s="60"/>
      <c r="J2996" s="60"/>
      <c r="K2996" s="60"/>
      <c r="L2996" s="60"/>
      <c r="M2996" s="64"/>
      <c r="N2996" s="33"/>
    </row>
    <row r="2997" ht="24" customHeight="1" spans="2:14">
      <c r="B2997" s="33"/>
      <c r="C2997" s="60"/>
      <c r="D2997" s="60"/>
      <c r="E2997" s="60"/>
      <c r="F2997" s="60"/>
      <c r="G2997" s="60"/>
      <c r="H2997" s="60"/>
      <c r="I2997" s="60"/>
      <c r="J2997" s="60"/>
      <c r="K2997" s="60"/>
      <c r="L2997" s="60"/>
      <c r="M2997" s="64"/>
      <c r="N2997" s="33"/>
    </row>
    <row r="2998" ht="24" customHeight="1" spans="2:14">
      <c r="B2998" s="33"/>
      <c r="C2998" s="60"/>
      <c r="D2998" s="60"/>
      <c r="E2998" s="60"/>
      <c r="F2998" s="60"/>
      <c r="G2998" s="60"/>
      <c r="H2998" s="60"/>
      <c r="I2998" s="60"/>
      <c r="J2998" s="60"/>
      <c r="K2998" s="60"/>
      <c r="L2998" s="60"/>
      <c r="M2998" s="64"/>
      <c r="N2998" s="33"/>
    </row>
    <row r="2999" ht="24" customHeight="1" spans="2:14">
      <c r="B2999" s="33"/>
      <c r="C2999" s="60"/>
      <c r="D2999" s="60"/>
      <c r="E2999" s="60"/>
      <c r="F2999" s="60"/>
      <c r="G2999" s="60"/>
      <c r="H2999" s="60"/>
      <c r="I2999" s="60"/>
      <c r="J2999" s="60"/>
      <c r="K2999" s="60"/>
      <c r="L2999" s="60"/>
      <c r="M2999" s="64"/>
      <c r="N2999" s="33"/>
    </row>
    <row r="3000" ht="24" customHeight="1" spans="2:14">
      <c r="B3000" s="33"/>
      <c r="C3000" s="60"/>
      <c r="D3000" s="60"/>
      <c r="E3000" s="60"/>
      <c r="F3000" s="60"/>
      <c r="G3000" s="60"/>
      <c r="H3000" s="60"/>
      <c r="I3000" s="60"/>
      <c r="J3000" s="60"/>
      <c r="K3000" s="60"/>
      <c r="L3000" s="60"/>
      <c r="M3000" s="64"/>
      <c r="N3000" s="33"/>
    </row>
    <row r="3001" ht="24" customHeight="1" spans="2:14">
      <c r="B3001" s="33"/>
      <c r="C3001" s="60"/>
      <c r="D3001" s="60"/>
      <c r="E3001" s="60"/>
      <c r="F3001" s="60"/>
      <c r="G3001" s="60"/>
      <c r="H3001" s="60"/>
      <c r="I3001" s="60"/>
      <c r="J3001" s="60"/>
      <c r="K3001" s="60"/>
      <c r="L3001" s="60"/>
      <c r="M3001" s="64"/>
      <c r="N3001" s="33"/>
    </row>
    <row r="3002" ht="24" customHeight="1" spans="2:14">
      <c r="B3002" s="33"/>
      <c r="C3002" s="60"/>
      <c r="D3002" s="60"/>
      <c r="E3002" s="60"/>
      <c r="F3002" s="60"/>
      <c r="G3002" s="60"/>
      <c r="H3002" s="60"/>
      <c r="I3002" s="60"/>
      <c r="J3002" s="60"/>
      <c r="K3002" s="60"/>
      <c r="L3002" s="60"/>
      <c r="M3002" s="64"/>
      <c r="N3002" s="33"/>
    </row>
    <row r="3003" ht="24" customHeight="1" spans="2:14">
      <c r="B3003" s="33"/>
      <c r="C3003" s="60"/>
      <c r="D3003" s="60"/>
      <c r="E3003" s="60"/>
      <c r="F3003" s="60"/>
      <c r="G3003" s="60"/>
      <c r="H3003" s="60"/>
      <c r="I3003" s="60"/>
      <c r="J3003" s="60"/>
      <c r="K3003" s="60"/>
      <c r="L3003" s="60"/>
      <c r="M3003" s="64"/>
      <c r="N3003" s="33"/>
    </row>
    <row r="3004" ht="24" customHeight="1" spans="2:14">
      <c r="B3004" s="33"/>
      <c r="C3004" s="60"/>
      <c r="D3004" s="60"/>
      <c r="E3004" s="60"/>
      <c r="F3004" s="60"/>
      <c r="G3004" s="60"/>
      <c r="H3004" s="60"/>
      <c r="I3004" s="60"/>
      <c r="J3004" s="60"/>
      <c r="K3004" s="60"/>
      <c r="L3004" s="60"/>
      <c r="M3004" s="64"/>
      <c r="N3004" s="33"/>
    </row>
    <row r="3005" ht="24" customHeight="1" spans="2:14">
      <c r="B3005" s="33"/>
      <c r="C3005" s="60"/>
      <c r="D3005" s="60"/>
      <c r="E3005" s="60"/>
      <c r="F3005" s="60"/>
      <c r="G3005" s="60"/>
      <c r="H3005" s="60"/>
      <c r="I3005" s="60"/>
      <c r="J3005" s="60"/>
      <c r="K3005" s="60"/>
      <c r="L3005" s="60"/>
      <c r="M3005" s="64"/>
      <c r="N3005" s="33"/>
    </row>
    <row r="3006" ht="24" customHeight="1" spans="2:14">
      <c r="B3006" s="33"/>
      <c r="C3006" s="60"/>
      <c r="D3006" s="60"/>
      <c r="E3006" s="60"/>
      <c r="F3006" s="60"/>
      <c r="G3006" s="60"/>
      <c r="H3006" s="60"/>
      <c r="I3006" s="60"/>
      <c r="J3006" s="60"/>
      <c r="K3006" s="60"/>
      <c r="L3006" s="60"/>
      <c r="M3006" s="64"/>
      <c r="N3006" s="33"/>
    </row>
    <row r="3007" ht="24" customHeight="1" spans="2:14">
      <c r="B3007" s="33"/>
      <c r="C3007" s="60"/>
      <c r="D3007" s="60"/>
      <c r="E3007" s="60"/>
      <c r="F3007" s="60"/>
      <c r="G3007" s="60"/>
      <c r="H3007" s="60"/>
      <c r="I3007" s="60"/>
      <c r="J3007" s="60"/>
      <c r="K3007" s="60"/>
      <c r="L3007" s="60"/>
      <c r="M3007" s="64"/>
      <c r="N3007" s="33"/>
    </row>
    <row r="3008" ht="24" customHeight="1" spans="2:14">
      <c r="B3008" s="33"/>
      <c r="C3008" s="60"/>
      <c r="D3008" s="60"/>
      <c r="E3008" s="60"/>
      <c r="F3008" s="60"/>
      <c r="G3008" s="60"/>
      <c r="H3008" s="60"/>
      <c r="I3008" s="60"/>
      <c r="J3008" s="60"/>
      <c r="K3008" s="60"/>
      <c r="L3008" s="60"/>
      <c r="M3008" s="64"/>
      <c r="N3008" s="33"/>
    </row>
    <row r="3009" ht="24" customHeight="1" spans="2:14">
      <c r="B3009" s="33"/>
      <c r="C3009" s="60"/>
      <c r="D3009" s="60"/>
      <c r="E3009" s="60"/>
      <c r="F3009" s="60"/>
      <c r="G3009" s="60"/>
      <c r="H3009" s="60"/>
      <c r="I3009" s="60"/>
      <c r="J3009" s="60"/>
      <c r="K3009" s="60"/>
      <c r="L3009" s="60"/>
      <c r="M3009" s="64"/>
      <c r="N3009" s="33"/>
    </row>
    <row r="3010" ht="24" customHeight="1" spans="2:14">
      <c r="B3010" s="33"/>
      <c r="C3010" s="60"/>
      <c r="D3010" s="60"/>
      <c r="E3010" s="60"/>
      <c r="F3010" s="60"/>
      <c r="G3010" s="60"/>
      <c r="H3010" s="60"/>
      <c r="I3010" s="60"/>
      <c r="J3010" s="60"/>
      <c r="K3010" s="60"/>
      <c r="L3010" s="60"/>
      <c r="M3010" s="64"/>
      <c r="N3010" s="33"/>
    </row>
    <row r="3011" ht="24" customHeight="1" spans="2:14">
      <c r="B3011" s="33"/>
      <c r="C3011" s="60"/>
      <c r="D3011" s="60"/>
      <c r="E3011" s="60"/>
      <c r="F3011" s="60"/>
      <c r="G3011" s="60"/>
      <c r="H3011" s="60"/>
      <c r="I3011" s="60"/>
      <c r="J3011" s="60"/>
      <c r="K3011" s="60"/>
      <c r="L3011" s="60"/>
      <c r="M3011" s="64"/>
      <c r="N3011" s="33"/>
    </row>
    <row r="3012" ht="24" customHeight="1" spans="2:14">
      <c r="B3012" s="33"/>
      <c r="C3012" s="60"/>
      <c r="D3012" s="60"/>
      <c r="E3012" s="60"/>
      <c r="F3012" s="60"/>
      <c r="G3012" s="60"/>
      <c r="H3012" s="60"/>
      <c r="I3012" s="60"/>
      <c r="J3012" s="60"/>
      <c r="K3012" s="60"/>
      <c r="L3012" s="60"/>
      <c r="M3012" s="64"/>
      <c r="N3012" s="33"/>
    </row>
    <row r="3013" ht="24" customHeight="1" spans="2:14">
      <c r="B3013" s="33"/>
      <c r="C3013" s="60"/>
      <c r="D3013" s="60"/>
      <c r="E3013" s="60"/>
      <c r="F3013" s="60"/>
      <c r="G3013" s="60"/>
      <c r="H3013" s="60"/>
      <c r="I3013" s="60"/>
      <c r="J3013" s="60"/>
      <c r="K3013" s="60"/>
      <c r="L3013" s="60"/>
      <c r="M3013" s="64"/>
      <c r="N3013" s="33"/>
    </row>
    <row r="3014" ht="24" customHeight="1" spans="2:14">
      <c r="B3014" s="33"/>
      <c r="C3014" s="60"/>
      <c r="D3014" s="60"/>
      <c r="E3014" s="60"/>
      <c r="F3014" s="60"/>
      <c r="G3014" s="60"/>
      <c r="H3014" s="60"/>
      <c r="I3014" s="60"/>
      <c r="J3014" s="60"/>
      <c r="K3014" s="60"/>
      <c r="L3014" s="60"/>
      <c r="M3014" s="64"/>
      <c r="N3014" s="33"/>
    </row>
    <row r="3015" ht="24" customHeight="1" spans="2:14">
      <c r="B3015" s="33"/>
      <c r="C3015" s="60"/>
      <c r="D3015" s="60"/>
      <c r="E3015" s="60"/>
      <c r="F3015" s="60"/>
      <c r="G3015" s="60"/>
      <c r="H3015" s="60"/>
      <c r="I3015" s="60"/>
      <c r="J3015" s="60"/>
      <c r="K3015" s="60"/>
      <c r="L3015" s="60"/>
      <c r="M3015" s="64"/>
      <c r="N3015" s="33"/>
    </row>
    <row r="3016" ht="24" customHeight="1" spans="2:14">
      <c r="B3016" s="33"/>
      <c r="C3016" s="60"/>
      <c r="D3016" s="60"/>
      <c r="E3016" s="60"/>
      <c r="F3016" s="60"/>
      <c r="G3016" s="60"/>
      <c r="H3016" s="60"/>
      <c r="I3016" s="60"/>
      <c r="J3016" s="60"/>
      <c r="K3016" s="60"/>
      <c r="L3016" s="60"/>
      <c r="M3016" s="64"/>
      <c r="N3016" s="33"/>
    </row>
    <row r="3017" ht="24" customHeight="1" spans="2:14">
      <c r="B3017" s="33"/>
      <c r="C3017" s="60"/>
      <c r="D3017" s="60"/>
      <c r="E3017" s="60"/>
      <c r="F3017" s="60"/>
      <c r="G3017" s="60"/>
      <c r="H3017" s="60"/>
      <c r="I3017" s="60"/>
      <c r="J3017" s="60"/>
      <c r="K3017" s="60"/>
      <c r="L3017" s="60"/>
      <c r="M3017" s="64"/>
      <c r="N3017" s="33"/>
    </row>
    <row r="3018" ht="24" customHeight="1" spans="2:14">
      <c r="B3018" s="33"/>
      <c r="C3018" s="60"/>
      <c r="D3018" s="60"/>
      <c r="E3018" s="60"/>
      <c r="F3018" s="60"/>
      <c r="G3018" s="60"/>
      <c r="H3018" s="60"/>
      <c r="I3018" s="60"/>
      <c r="J3018" s="60"/>
      <c r="K3018" s="60"/>
      <c r="L3018" s="60"/>
      <c r="M3018" s="64"/>
      <c r="N3018" s="33"/>
    </row>
    <row r="3019" ht="24" customHeight="1" spans="2:14">
      <c r="B3019" s="33"/>
      <c r="C3019" s="60"/>
      <c r="D3019" s="60"/>
      <c r="E3019" s="60"/>
      <c r="F3019" s="60"/>
      <c r="G3019" s="60"/>
      <c r="H3019" s="60"/>
      <c r="I3019" s="60"/>
      <c r="J3019" s="60"/>
      <c r="K3019" s="60"/>
      <c r="L3019" s="60"/>
      <c r="M3019" s="64"/>
      <c r="N3019" s="33"/>
    </row>
    <row r="3020" ht="24" customHeight="1" spans="2:14">
      <c r="B3020" s="33"/>
      <c r="C3020" s="60"/>
      <c r="D3020" s="60"/>
      <c r="E3020" s="60"/>
      <c r="F3020" s="60"/>
      <c r="G3020" s="60"/>
      <c r="H3020" s="60"/>
      <c r="I3020" s="60"/>
      <c r="J3020" s="60"/>
      <c r="K3020" s="60"/>
      <c r="L3020" s="60"/>
      <c r="M3020" s="64"/>
      <c r="N3020" s="33"/>
    </row>
    <row r="3021" ht="24" customHeight="1" spans="2:14">
      <c r="B3021" s="33"/>
      <c r="C3021" s="60"/>
      <c r="D3021" s="60"/>
      <c r="E3021" s="60"/>
      <c r="F3021" s="60"/>
      <c r="G3021" s="60"/>
      <c r="H3021" s="60"/>
      <c r="I3021" s="60"/>
      <c r="J3021" s="60"/>
      <c r="K3021" s="60"/>
      <c r="L3021" s="60"/>
      <c r="M3021" s="64"/>
      <c r="N3021" s="33"/>
    </row>
    <row r="3022" ht="24" customHeight="1" spans="2:14">
      <c r="B3022" s="33"/>
      <c r="C3022" s="60"/>
      <c r="D3022" s="60"/>
      <c r="E3022" s="60"/>
      <c r="F3022" s="60"/>
      <c r="G3022" s="60"/>
      <c r="H3022" s="60"/>
      <c r="I3022" s="60"/>
      <c r="J3022" s="60"/>
      <c r="K3022" s="60"/>
      <c r="L3022" s="60"/>
      <c r="M3022" s="64"/>
      <c r="N3022" s="33"/>
    </row>
    <row r="3023" ht="24" customHeight="1" spans="2:14">
      <c r="B3023" s="33"/>
      <c r="C3023" s="60"/>
      <c r="D3023" s="60"/>
      <c r="E3023" s="60"/>
      <c r="F3023" s="60"/>
      <c r="G3023" s="60"/>
      <c r="H3023" s="60"/>
      <c r="I3023" s="60"/>
      <c r="J3023" s="60"/>
      <c r="K3023" s="60"/>
      <c r="L3023" s="60"/>
      <c r="M3023" s="64"/>
      <c r="N3023" s="33"/>
    </row>
    <row r="3024" ht="24" customHeight="1" spans="2:14">
      <c r="B3024" s="33"/>
      <c r="C3024" s="60"/>
      <c r="D3024" s="60"/>
      <c r="E3024" s="60"/>
      <c r="F3024" s="60"/>
      <c r="G3024" s="60"/>
      <c r="H3024" s="60"/>
      <c r="I3024" s="60"/>
      <c r="J3024" s="60"/>
      <c r="K3024" s="60"/>
      <c r="L3024" s="60"/>
      <c r="M3024" s="64"/>
      <c r="N3024" s="33"/>
    </row>
    <row r="3025" ht="24" customHeight="1" spans="2:14">
      <c r="B3025" s="33"/>
      <c r="C3025" s="60"/>
      <c r="D3025" s="60"/>
      <c r="E3025" s="60"/>
      <c r="F3025" s="60"/>
      <c r="G3025" s="60"/>
      <c r="H3025" s="60"/>
      <c r="I3025" s="60"/>
      <c r="J3025" s="60"/>
      <c r="K3025" s="60"/>
      <c r="L3025" s="60"/>
      <c r="M3025" s="64"/>
      <c r="N3025" s="33"/>
    </row>
    <row r="3026" ht="24" customHeight="1" spans="2:14">
      <c r="B3026" s="33"/>
      <c r="C3026" s="60"/>
      <c r="D3026" s="60"/>
      <c r="E3026" s="60"/>
      <c r="F3026" s="60"/>
      <c r="G3026" s="60"/>
      <c r="H3026" s="60"/>
      <c r="I3026" s="60"/>
      <c r="J3026" s="60"/>
      <c r="K3026" s="60"/>
      <c r="L3026" s="60"/>
      <c r="M3026" s="64"/>
      <c r="N3026" s="33"/>
    </row>
    <row r="3027" ht="24" customHeight="1" spans="2:14">
      <c r="B3027" s="33"/>
      <c r="C3027" s="60"/>
      <c r="D3027" s="60"/>
      <c r="E3027" s="60"/>
      <c r="F3027" s="60"/>
      <c r="G3027" s="60"/>
      <c r="H3027" s="60"/>
      <c r="I3027" s="60"/>
      <c r="J3027" s="60"/>
      <c r="K3027" s="60"/>
      <c r="L3027" s="60"/>
      <c r="M3027" s="64"/>
      <c r="N3027" s="33"/>
    </row>
    <row r="3028" ht="24" customHeight="1" spans="2:14">
      <c r="B3028" s="33"/>
      <c r="C3028" s="60"/>
      <c r="D3028" s="60"/>
      <c r="E3028" s="60"/>
      <c r="F3028" s="60"/>
      <c r="G3028" s="60"/>
      <c r="H3028" s="60"/>
      <c r="I3028" s="60"/>
      <c r="J3028" s="60"/>
      <c r="K3028" s="60"/>
      <c r="L3028" s="60"/>
      <c r="M3028" s="64"/>
      <c r="N3028" s="33"/>
    </row>
    <row r="3029" ht="24" customHeight="1" spans="2:14">
      <c r="B3029" s="33"/>
      <c r="C3029" s="60"/>
      <c r="D3029" s="60"/>
      <c r="E3029" s="60"/>
      <c r="F3029" s="60"/>
      <c r="G3029" s="60"/>
      <c r="H3029" s="60"/>
      <c r="I3029" s="60"/>
      <c r="J3029" s="60"/>
      <c r="K3029" s="60"/>
      <c r="L3029" s="60"/>
      <c r="M3029" s="64"/>
      <c r="N3029" s="33"/>
    </row>
    <row r="3030" ht="24" customHeight="1" spans="2:14">
      <c r="B3030" s="33"/>
      <c r="C3030" s="60"/>
      <c r="D3030" s="60"/>
      <c r="E3030" s="60"/>
      <c r="F3030" s="60"/>
      <c r="G3030" s="60"/>
      <c r="H3030" s="60"/>
      <c r="I3030" s="60"/>
      <c r="J3030" s="60"/>
      <c r="K3030" s="60"/>
      <c r="L3030" s="60"/>
      <c r="M3030" s="64"/>
      <c r="N3030" s="33"/>
    </row>
    <row r="3031" ht="24" customHeight="1" spans="2:14">
      <c r="B3031" s="33"/>
      <c r="C3031" s="60"/>
      <c r="D3031" s="60"/>
      <c r="E3031" s="60"/>
      <c r="F3031" s="60"/>
      <c r="G3031" s="60"/>
      <c r="H3031" s="60"/>
      <c r="I3031" s="60"/>
      <c r="J3031" s="60"/>
      <c r="K3031" s="60"/>
      <c r="L3031" s="60"/>
      <c r="M3031" s="64"/>
      <c r="N3031" s="33"/>
    </row>
    <row r="3032" ht="24" customHeight="1" spans="2:14">
      <c r="B3032" s="33"/>
      <c r="C3032" s="60"/>
      <c r="D3032" s="60"/>
      <c r="E3032" s="60"/>
      <c r="F3032" s="60"/>
      <c r="G3032" s="60"/>
      <c r="H3032" s="60"/>
      <c r="I3032" s="60"/>
      <c r="J3032" s="60"/>
      <c r="K3032" s="60"/>
      <c r="L3032" s="60"/>
      <c r="M3032" s="64"/>
      <c r="N3032" s="33"/>
    </row>
    <row r="3033" ht="24" customHeight="1" spans="2:14">
      <c r="B3033" s="33"/>
      <c r="C3033" s="60"/>
      <c r="D3033" s="60"/>
      <c r="E3033" s="60"/>
      <c r="F3033" s="60"/>
      <c r="G3033" s="60"/>
      <c r="H3033" s="60"/>
      <c r="I3033" s="60"/>
      <c r="J3033" s="60"/>
      <c r="K3033" s="60"/>
      <c r="L3033" s="60"/>
      <c r="M3033" s="64"/>
      <c r="N3033" s="33"/>
    </row>
    <row r="3034" ht="24" customHeight="1" spans="2:14">
      <c r="B3034" s="33"/>
      <c r="C3034" s="60"/>
      <c r="D3034" s="60"/>
      <c r="E3034" s="60"/>
      <c r="F3034" s="60"/>
      <c r="G3034" s="60"/>
      <c r="H3034" s="60"/>
      <c r="I3034" s="60"/>
      <c r="J3034" s="60"/>
      <c r="K3034" s="60"/>
      <c r="L3034" s="60"/>
      <c r="M3034" s="64"/>
      <c r="N3034" s="33"/>
    </row>
    <row r="3035" ht="24" customHeight="1" spans="2:14">
      <c r="B3035" s="33"/>
      <c r="C3035" s="60"/>
      <c r="D3035" s="60"/>
      <c r="E3035" s="60"/>
      <c r="F3035" s="60"/>
      <c r="G3035" s="60"/>
      <c r="H3035" s="60"/>
      <c r="I3035" s="60"/>
      <c r="J3035" s="60"/>
      <c r="K3035" s="60"/>
      <c r="L3035" s="60"/>
      <c r="M3035" s="64"/>
      <c r="N3035" s="33"/>
    </row>
    <row r="3036" ht="24" customHeight="1" spans="2:14">
      <c r="B3036" s="33"/>
      <c r="C3036" s="60"/>
      <c r="D3036" s="60"/>
      <c r="E3036" s="60"/>
      <c r="F3036" s="60"/>
      <c r="G3036" s="60"/>
      <c r="H3036" s="60"/>
      <c r="I3036" s="60"/>
      <c r="J3036" s="60"/>
      <c r="K3036" s="60"/>
      <c r="L3036" s="60"/>
      <c r="M3036" s="64"/>
      <c r="N3036" s="33"/>
    </row>
    <row r="3037" ht="24" customHeight="1" spans="2:14">
      <c r="B3037" s="33"/>
      <c r="C3037" s="60"/>
      <c r="D3037" s="60"/>
      <c r="E3037" s="60"/>
      <c r="F3037" s="60"/>
      <c r="G3037" s="60"/>
      <c r="H3037" s="60"/>
      <c r="I3037" s="60"/>
      <c r="J3037" s="60"/>
      <c r="K3037" s="60"/>
      <c r="L3037" s="60"/>
      <c r="M3037" s="64"/>
      <c r="N3037" s="33"/>
    </row>
    <row r="3038" ht="24" customHeight="1" spans="2:14">
      <c r="B3038" s="33"/>
      <c r="C3038" s="60"/>
      <c r="D3038" s="60"/>
      <c r="E3038" s="60"/>
      <c r="F3038" s="60"/>
      <c r="G3038" s="60"/>
      <c r="H3038" s="60"/>
      <c r="I3038" s="60"/>
      <c r="J3038" s="60"/>
      <c r="K3038" s="60"/>
      <c r="L3038" s="60"/>
      <c r="M3038" s="64"/>
      <c r="N3038" s="33"/>
    </row>
    <row r="3039" ht="24" customHeight="1" spans="2:14">
      <c r="B3039" s="33"/>
      <c r="C3039" s="60"/>
      <c r="D3039" s="60"/>
      <c r="E3039" s="60"/>
      <c r="F3039" s="60"/>
      <c r="G3039" s="60"/>
      <c r="H3039" s="60"/>
      <c r="I3039" s="60"/>
      <c r="J3039" s="60"/>
      <c r="K3039" s="60"/>
      <c r="L3039" s="60"/>
      <c r="M3039" s="64"/>
      <c r="N3039" s="33"/>
    </row>
    <row r="3040" ht="24" customHeight="1" spans="2:14">
      <c r="B3040" s="33"/>
      <c r="C3040" s="60"/>
      <c r="D3040" s="60"/>
      <c r="E3040" s="60"/>
      <c r="F3040" s="60"/>
      <c r="G3040" s="60"/>
      <c r="H3040" s="60"/>
      <c r="I3040" s="60"/>
      <c r="J3040" s="60"/>
      <c r="K3040" s="60"/>
      <c r="L3040" s="60"/>
      <c r="M3040" s="64"/>
      <c r="N3040" s="33"/>
    </row>
    <row r="3041" ht="24" customHeight="1" spans="2:14">
      <c r="B3041" s="33"/>
      <c r="C3041" s="60"/>
      <c r="D3041" s="60"/>
      <c r="E3041" s="60"/>
      <c r="F3041" s="60"/>
      <c r="G3041" s="60"/>
      <c r="H3041" s="60"/>
      <c r="I3041" s="60"/>
      <c r="J3041" s="60"/>
      <c r="K3041" s="60"/>
      <c r="L3041" s="60"/>
      <c r="M3041" s="64"/>
      <c r="N3041" s="33"/>
    </row>
    <row r="3042" ht="24" customHeight="1" spans="2:14">
      <c r="B3042" s="33"/>
      <c r="C3042" s="60"/>
      <c r="D3042" s="60"/>
      <c r="E3042" s="60"/>
      <c r="F3042" s="60"/>
      <c r="G3042" s="60"/>
      <c r="H3042" s="60"/>
      <c r="I3042" s="60"/>
      <c r="J3042" s="60"/>
      <c r="K3042" s="60"/>
      <c r="L3042" s="60"/>
      <c r="M3042" s="64"/>
      <c r="N3042" s="33"/>
    </row>
    <row r="3043" ht="24" customHeight="1" spans="2:14">
      <c r="B3043" s="33"/>
      <c r="C3043" s="60"/>
      <c r="D3043" s="60"/>
      <c r="E3043" s="60"/>
      <c r="F3043" s="60"/>
      <c r="G3043" s="60"/>
      <c r="H3043" s="60"/>
      <c r="I3043" s="60"/>
      <c r="J3043" s="60"/>
      <c r="K3043" s="60"/>
      <c r="L3043" s="60"/>
      <c r="M3043" s="64"/>
      <c r="N3043" s="33"/>
    </row>
    <row r="3044" ht="24" customHeight="1" spans="2:14">
      <c r="B3044" s="33"/>
      <c r="C3044" s="60"/>
      <c r="D3044" s="60"/>
      <c r="E3044" s="60"/>
      <c r="F3044" s="60"/>
      <c r="G3044" s="60"/>
      <c r="H3044" s="60"/>
      <c r="I3044" s="60"/>
      <c r="J3044" s="60"/>
      <c r="K3044" s="60"/>
      <c r="L3044" s="60"/>
      <c r="M3044" s="64"/>
      <c r="N3044" s="33"/>
    </row>
    <row r="3045" ht="24" customHeight="1" spans="2:14">
      <c r="B3045" s="33"/>
      <c r="C3045" s="60"/>
      <c r="D3045" s="60"/>
      <c r="E3045" s="60"/>
      <c r="F3045" s="60"/>
      <c r="G3045" s="60"/>
      <c r="H3045" s="60"/>
      <c r="I3045" s="60"/>
      <c r="J3045" s="60"/>
      <c r="K3045" s="60"/>
      <c r="L3045" s="60"/>
      <c r="M3045" s="64"/>
      <c r="N3045" s="33"/>
    </row>
    <row r="3046" ht="24" customHeight="1" spans="2:14">
      <c r="B3046" s="33"/>
      <c r="C3046" s="60"/>
      <c r="D3046" s="60"/>
      <c r="E3046" s="60"/>
      <c r="F3046" s="60"/>
      <c r="G3046" s="60"/>
      <c r="H3046" s="60"/>
      <c r="I3046" s="60"/>
      <c r="J3046" s="60"/>
      <c r="K3046" s="60"/>
      <c r="L3046" s="60"/>
      <c r="M3046" s="64"/>
      <c r="N3046" s="33"/>
    </row>
    <row r="3047" ht="24" customHeight="1" spans="2:14">
      <c r="B3047" s="33"/>
      <c r="C3047" s="60"/>
      <c r="D3047" s="60"/>
      <c r="E3047" s="60"/>
      <c r="F3047" s="60"/>
      <c r="G3047" s="60"/>
      <c r="H3047" s="60"/>
      <c r="I3047" s="60"/>
      <c r="J3047" s="60"/>
      <c r="K3047" s="60"/>
      <c r="L3047" s="60"/>
      <c r="M3047" s="64"/>
      <c r="N3047" s="33"/>
    </row>
    <row r="3048" ht="24" customHeight="1" spans="2:14">
      <c r="B3048" s="33"/>
      <c r="C3048" s="60"/>
      <c r="D3048" s="60"/>
      <c r="E3048" s="60"/>
      <c r="F3048" s="60"/>
      <c r="G3048" s="60"/>
      <c r="H3048" s="60"/>
      <c r="I3048" s="60"/>
      <c r="J3048" s="60"/>
      <c r="K3048" s="60"/>
      <c r="L3048" s="60"/>
      <c r="M3048" s="64"/>
      <c r="N3048" s="33"/>
    </row>
    <row r="3049" ht="24" customHeight="1" spans="2:14">
      <c r="B3049" s="33"/>
      <c r="C3049" s="60"/>
      <c r="D3049" s="60"/>
      <c r="E3049" s="60"/>
      <c r="F3049" s="60"/>
      <c r="G3049" s="60"/>
      <c r="H3049" s="60"/>
      <c r="I3049" s="60"/>
      <c r="J3049" s="60"/>
      <c r="K3049" s="60"/>
      <c r="L3049" s="60"/>
      <c r="M3049" s="64"/>
      <c r="N3049" s="33"/>
    </row>
    <row r="3050" ht="24" customHeight="1" spans="2:14">
      <c r="B3050" s="33"/>
      <c r="C3050" s="60"/>
      <c r="D3050" s="60"/>
      <c r="E3050" s="60"/>
      <c r="F3050" s="60"/>
      <c r="G3050" s="60"/>
      <c r="H3050" s="60"/>
      <c r="I3050" s="60"/>
      <c r="J3050" s="60"/>
      <c r="K3050" s="60"/>
      <c r="L3050" s="60"/>
      <c r="M3050" s="64"/>
      <c r="N3050" s="33"/>
    </row>
    <row r="3051" ht="24" customHeight="1" spans="2:14">
      <c r="B3051" s="33"/>
      <c r="C3051" s="60"/>
      <c r="D3051" s="60"/>
      <c r="E3051" s="60"/>
      <c r="F3051" s="60"/>
      <c r="G3051" s="60"/>
      <c r="H3051" s="60"/>
      <c r="I3051" s="60"/>
      <c r="J3051" s="60"/>
      <c r="K3051" s="60"/>
      <c r="L3051" s="60"/>
      <c r="M3051" s="64"/>
      <c r="N3051" s="33"/>
    </row>
    <row r="3052" ht="24" customHeight="1" spans="2:14">
      <c r="B3052" s="33"/>
      <c r="C3052" s="60"/>
      <c r="D3052" s="60"/>
      <c r="E3052" s="60"/>
      <c r="F3052" s="60"/>
      <c r="G3052" s="60"/>
      <c r="H3052" s="60"/>
      <c r="I3052" s="60"/>
      <c r="J3052" s="60"/>
      <c r="K3052" s="60"/>
      <c r="L3052" s="60"/>
      <c r="M3052" s="64"/>
      <c r="N3052" s="33"/>
    </row>
    <row r="3053" ht="24" customHeight="1" spans="2:14">
      <c r="B3053" s="33"/>
      <c r="C3053" s="60"/>
      <c r="D3053" s="60"/>
      <c r="E3053" s="60"/>
      <c r="F3053" s="60"/>
      <c r="G3053" s="60"/>
      <c r="H3053" s="60"/>
      <c r="I3053" s="60"/>
      <c r="J3053" s="60"/>
      <c r="K3053" s="60"/>
      <c r="L3053" s="60"/>
      <c r="M3053" s="64"/>
      <c r="N3053" s="33"/>
    </row>
    <row r="3054" ht="24" customHeight="1" spans="2:14">
      <c r="B3054" s="33"/>
      <c r="C3054" s="60"/>
      <c r="D3054" s="60"/>
      <c r="E3054" s="60"/>
      <c r="F3054" s="60"/>
      <c r="G3054" s="60"/>
      <c r="H3054" s="60"/>
      <c r="I3054" s="60"/>
      <c r="J3054" s="60"/>
      <c r="K3054" s="60"/>
      <c r="L3054" s="60"/>
      <c r="M3054" s="64"/>
      <c r="N3054" s="33"/>
    </row>
    <row r="3055" ht="24" customHeight="1" spans="2:14">
      <c r="B3055" s="33"/>
      <c r="C3055" s="60"/>
      <c r="D3055" s="60"/>
      <c r="E3055" s="60"/>
      <c r="F3055" s="60"/>
      <c r="G3055" s="60"/>
      <c r="H3055" s="60"/>
      <c r="I3055" s="60"/>
      <c r="J3055" s="60"/>
      <c r="K3055" s="60"/>
      <c r="L3055" s="60"/>
      <c r="M3055" s="64"/>
      <c r="N3055" s="33"/>
    </row>
    <row r="3056" ht="24" customHeight="1" spans="2:14">
      <c r="B3056" s="33"/>
      <c r="C3056" s="60"/>
      <c r="D3056" s="60"/>
      <c r="E3056" s="60"/>
      <c r="F3056" s="60"/>
      <c r="G3056" s="60"/>
      <c r="H3056" s="60"/>
      <c r="I3056" s="60"/>
      <c r="J3056" s="60"/>
      <c r="K3056" s="60"/>
      <c r="L3056" s="60"/>
      <c r="M3056" s="64"/>
      <c r="N3056" s="33"/>
    </row>
    <row r="3057" ht="24" customHeight="1" spans="2:14">
      <c r="B3057" s="33"/>
      <c r="C3057" s="60"/>
      <c r="D3057" s="60"/>
      <c r="E3057" s="60"/>
      <c r="F3057" s="60"/>
      <c r="G3057" s="60"/>
      <c r="H3057" s="60"/>
      <c r="I3057" s="60"/>
      <c r="J3057" s="60"/>
      <c r="K3057" s="60"/>
      <c r="L3057" s="60"/>
      <c r="M3057" s="64"/>
      <c r="N3057" s="33"/>
    </row>
    <row r="3058" ht="24" customHeight="1" spans="2:14">
      <c r="B3058" s="33"/>
      <c r="C3058" s="60"/>
      <c r="D3058" s="60"/>
      <c r="E3058" s="60"/>
      <c r="F3058" s="60"/>
      <c r="G3058" s="60"/>
      <c r="H3058" s="60"/>
      <c r="I3058" s="60"/>
      <c r="J3058" s="60"/>
      <c r="K3058" s="60"/>
      <c r="L3058" s="60"/>
      <c r="M3058" s="64"/>
      <c r="N3058" s="33"/>
    </row>
    <row r="3059" ht="24" customHeight="1" spans="2:14">
      <c r="B3059" s="33"/>
      <c r="C3059" s="60"/>
      <c r="D3059" s="60"/>
      <c r="E3059" s="60"/>
      <c r="F3059" s="60"/>
      <c r="G3059" s="60"/>
      <c r="H3059" s="60"/>
      <c r="I3059" s="60"/>
      <c r="J3059" s="60"/>
      <c r="K3059" s="60"/>
      <c r="L3059" s="60"/>
      <c r="M3059" s="64"/>
      <c r="N3059" s="33"/>
    </row>
    <row r="3060" ht="24" customHeight="1" spans="2:14">
      <c r="B3060" s="33"/>
      <c r="C3060" s="60"/>
      <c r="D3060" s="60"/>
      <c r="E3060" s="60"/>
      <c r="F3060" s="60"/>
      <c r="G3060" s="60"/>
      <c r="H3060" s="60"/>
      <c r="I3060" s="60"/>
      <c r="J3060" s="60"/>
      <c r="K3060" s="60"/>
      <c r="L3060" s="60"/>
      <c r="M3060" s="64"/>
      <c r="N3060" s="33"/>
    </row>
    <row r="3061" ht="24" customHeight="1" spans="2:14">
      <c r="B3061" s="33"/>
      <c r="C3061" s="60"/>
      <c r="D3061" s="60"/>
      <c r="E3061" s="60"/>
      <c r="F3061" s="60"/>
      <c r="G3061" s="60"/>
      <c r="H3061" s="60"/>
      <c r="I3061" s="60"/>
      <c r="J3061" s="60"/>
      <c r="K3061" s="60"/>
      <c r="L3061" s="60"/>
      <c r="M3061" s="64"/>
      <c r="N3061" s="33"/>
    </row>
    <row r="3062" ht="24" customHeight="1" spans="2:14">
      <c r="B3062" s="33"/>
      <c r="C3062" s="60"/>
      <c r="D3062" s="60"/>
      <c r="E3062" s="60"/>
      <c r="F3062" s="60"/>
      <c r="G3062" s="60"/>
      <c r="H3062" s="60"/>
      <c r="I3062" s="60"/>
      <c r="J3062" s="60"/>
      <c r="K3062" s="60"/>
      <c r="L3062" s="60"/>
      <c r="M3062" s="64"/>
      <c r="N3062" s="33"/>
    </row>
    <row r="3063" ht="24" customHeight="1" spans="2:14">
      <c r="B3063" s="33"/>
      <c r="C3063" s="60"/>
      <c r="D3063" s="60"/>
      <c r="E3063" s="60"/>
      <c r="F3063" s="60"/>
      <c r="G3063" s="60"/>
      <c r="H3063" s="60"/>
      <c r="I3063" s="60"/>
      <c r="J3063" s="60"/>
      <c r="K3063" s="60"/>
      <c r="L3063" s="60"/>
      <c r="M3063" s="64"/>
      <c r="N3063" s="33"/>
    </row>
    <row r="3064" ht="24" customHeight="1" spans="2:14">
      <c r="B3064" s="33"/>
      <c r="C3064" s="60"/>
      <c r="D3064" s="60"/>
      <c r="E3064" s="60"/>
      <c r="F3064" s="60"/>
      <c r="G3064" s="60"/>
      <c r="H3064" s="60"/>
      <c r="I3064" s="60"/>
      <c r="J3064" s="60"/>
      <c r="K3064" s="60"/>
      <c r="L3064" s="60"/>
      <c r="M3064" s="64"/>
      <c r="N3064" s="33"/>
    </row>
    <row r="3065" ht="24" customHeight="1" spans="2:14">
      <c r="B3065" s="33"/>
      <c r="C3065" s="60"/>
      <c r="D3065" s="60"/>
      <c r="E3065" s="60"/>
      <c r="F3065" s="60"/>
      <c r="G3065" s="60"/>
      <c r="H3065" s="60"/>
      <c r="I3065" s="60"/>
      <c r="J3065" s="60"/>
      <c r="K3065" s="60"/>
      <c r="L3065" s="60"/>
      <c r="M3065" s="64"/>
      <c r="N3065" s="33"/>
    </row>
    <row r="3066" ht="24" customHeight="1" spans="2:14">
      <c r="B3066" s="33"/>
      <c r="C3066" s="60"/>
      <c r="D3066" s="60"/>
      <c r="E3066" s="60"/>
      <c r="F3066" s="60"/>
      <c r="G3066" s="60"/>
      <c r="H3066" s="60"/>
      <c r="I3066" s="60"/>
      <c r="J3066" s="60"/>
      <c r="K3066" s="60"/>
      <c r="L3066" s="60"/>
      <c r="M3066" s="64"/>
      <c r="N3066" s="33"/>
    </row>
    <row r="3067" ht="24" customHeight="1" spans="2:14">
      <c r="B3067" s="33"/>
      <c r="C3067" s="60"/>
      <c r="D3067" s="60"/>
      <c r="E3067" s="60"/>
      <c r="F3067" s="60"/>
      <c r="G3067" s="60"/>
      <c r="H3067" s="60"/>
      <c r="I3067" s="60"/>
      <c r="J3067" s="60"/>
      <c r="K3067" s="60"/>
      <c r="L3067" s="60"/>
      <c r="M3067" s="64"/>
      <c r="N3067" s="33"/>
    </row>
    <row r="3068" ht="24" customHeight="1" spans="2:14">
      <c r="B3068" s="33"/>
      <c r="C3068" s="60"/>
      <c r="D3068" s="60"/>
      <c r="E3068" s="60"/>
      <c r="F3068" s="60"/>
      <c r="G3068" s="60"/>
      <c r="H3068" s="60"/>
      <c r="I3068" s="60"/>
      <c r="J3068" s="60"/>
      <c r="K3068" s="60"/>
      <c r="L3068" s="60"/>
      <c r="M3068" s="64"/>
      <c r="N3068" s="33"/>
    </row>
    <row r="3069" ht="24" customHeight="1" spans="2:14">
      <c r="B3069" s="33"/>
      <c r="C3069" s="60"/>
      <c r="D3069" s="60"/>
      <c r="E3069" s="60"/>
      <c r="F3069" s="60"/>
      <c r="G3069" s="60"/>
      <c r="H3069" s="60"/>
      <c r="I3069" s="60"/>
      <c r="J3069" s="60"/>
      <c r="K3069" s="60"/>
      <c r="L3069" s="60"/>
      <c r="M3069" s="64"/>
      <c r="N3069" s="33"/>
    </row>
    <row r="3070" ht="24" customHeight="1" spans="2:14">
      <c r="B3070" s="33"/>
      <c r="C3070" s="60"/>
      <c r="D3070" s="60"/>
      <c r="E3070" s="60"/>
      <c r="F3070" s="60"/>
      <c r="G3070" s="60"/>
      <c r="H3070" s="60"/>
      <c r="I3070" s="60"/>
      <c r="J3070" s="60"/>
      <c r="K3070" s="60"/>
      <c r="L3070" s="60"/>
      <c r="M3070" s="64"/>
      <c r="N3070" s="33"/>
    </row>
    <row r="3071" ht="24" customHeight="1" spans="2:14">
      <c r="B3071" s="33"/>
      <c r="C3071" s="60"/>
      <c r="D3071" s="60"/>
      <c r="E3071" s="60"/>
      <c r="F3071" s="60"/>
      <c r="G3071" s="60"/>
      <c r="H3071" s="60"/>
      <c r="I3071" s="60"/>
      <c r="J3071" s="60"/>
      <c r="K3071" s="60"/>
      <c r="L3071" s="60"/>
      <c r="M3071" s="64"/>
      <c r="N3071" s="33"/>
    </row>
    <row r="3072" ht="24" customHeight="1" spans="2:14">
      <c r="B3072" s="33"/>
      <c r="C3072" s="60"/>
      <c r="D3072" s="60"/>
      <c r="E3072" s="60"/>
      <c r="F3072" s="60"/>
      <c r="G3072" s="60"/>
      <c r="H3072" s="60"/>
      <c r="I3072" s="60"/>
      <c r="J3072" s="60"/>
      <c r="K3072" s="60"/>
      <c r="L3072" s="60"/>
      <c r="M3072" s="64"/>
      <c r="N3072" s="33"/>
    </row>
    <row r="3073" ht="24" customHeight="1" spans="2:14">
      <c r="B3073" s="33"/>
      <c r="C3073" s="60"/>
      <c r="D3073" s="60"/>
      <c r="E3073" s="60"/>
      <c r="F3073" s="60"/>
      <c r="G3073" s="60"/>
      <c r="H3073" s="60"/>
      <c r="I3073" s="60"/>
      <c r="J3073" s="60"/>
      <c r="K3073" s="60"/>
      <c r="L3073" s="60"/>
      <c r="M3073" s="64"/>
      <c r="N3073" s="33"/>
    </row>
    <row r="3074" ht="24" customHeight="1" spans="2:14">
      <c r="B3074" s="33"/>
      <c r="C3074" s="60"/>
      <c r="D3074" s="60"/>
      <c r="E3074" s="60"/>
      <c r="F3074" s="60"/>
      <c r="G3074" s="60"/>
      <c r="H3074" s="60"/>
      <c r="I3074" s="60"/>
      <c r="J3074" s="60"/>
      <c r="K3074" s="60"/>
      <c r="L3074" s="60"/>
      <c r="M3074" s="64"/>
      <c r="N3074" s="33"/>
    </row>
    <row r="3075" ht="24" customHeight="1" spans="2:14">
      <c r="B3075" s="33"/>
      <c r="C3075" s="60"/>
      <c r="D3075" s="60"/>
      <c r="E3075" s="60"/>
      <c r="F3075" s="60"/>
      <c r="G3075" s="60"/>
      <c r="H3075" s="60"/>
      <c r="I3075" s="60"/>
      <c r="J3075" s="60"/>
      <c r="K3075" s="60"/>
      <c r="L3075" s="60"/>
      <c r="M3075" s="64"/>
      <c r="N3075" s="33"/>
    </row>
    <row r="3076" ht="24" customHeight="1" spans="2:14">
      <c r="B3076" s="33"/>
      <c r="C3076" s="60"/>
      <c r="D3076" s="60"/>
      <c r="E3076" s="60"/>
      <c r="F3076" s="60"/>
      <c r="G3076" s="60"/>
      <c r="H3076" s="60"/>
      <c r="I3076" s="60"/>
      <c r="J3076" s="60"/>
      <c r="K3076" s="60"/>
      <c r="L3076" s="60"/>
      <c r="M3076" s="64"/>
      <c r="N3076" s="33"/>
    </row>
    <row r="3077" ht="24" customHeight="1" spans="2:14">
      <c r="B3077" s="33"/>
      <c r="C3077" s="60"/>
      <c r="D3077" s="60"/>
      <c r="E3077" s="60"/>
      <c r="F3077" s="60"/>
      <c r="G3077" s="60"/>
      <c r="H3077" s="60"/>
      <c r="I3077" s="60"/>
      <c r="J3077" s="60"/>
      <c r="K3077" s="60"/>
      <c r="L3077" s="60"/>
      <c r="M3077" s="64"/>
      <c r="N3077" s="33"/>
    </row>
    <row r="3078" ht="24" customHeight="1" spans="2:14">
      <c r="B3078" s="33"/>
      <c r="C3078" s="60"/>
      <c r="D3078" s="60"/>
      <c r="E3078" s="60"/>
      <c r="F3078" s="60"/>
      <c r="G3078" s="60"/>
      <c r="H3078" s="60"/>
      <c r="I3078" s="60"/>
      <c r="J3078" s="60"/>
      <c r="K3078" s="60"/>
      <c r="L3078" s="60"/>
      <c r="M3078" s="64"/>
      <c r="N3078" s="33"/>
    </row>
    <row r="3079" ht="24" customHeight="1" spans="2:14">
      <c r="B3079" s="33"/>
      <c r="C3079" s="60"/>
      <c r="D3079" s="60"/>
      <c r="E3079" s="60"/>
      <c r="F3079" s="60"/>
      <c r="G3079" s="60"/>
      <c r="H3079" s="60"/>
      <c r="I3079" s="60"/>
      <c r="J3079" s="60"/>
      <c r="K3079" s="60"/>
      <c r="L3079" s="60"/>
      <c r="M3079" s="64"/>
      <c r="N3079" s="33"/>
    </row>
    <row r="3080" ht="24" customHeight="1" spans="2:14">
      <c r="B3080" s="33"/>
      <c r="C3080" s="60"/>
      <c r="D3080" s="60"/>
      <c r="E3080" s="60"/>
      <c r="F3080" s="60"/>
      <c r="G3080" s="60"/>
      <c r="H3080" s="60"/>
      <c r="I3080" s="60"/>
      <c r="J3080" s="60"/>
      <c r="K3080" s="60"/>
      <c r="L3080" s="60"/>
      <c r="M3080" s="64"/>
      <c r="N3080" s="33"/>
    </row>
    <row r="3081" ht="24" customHeight="1" spans="2:14">
      <c r="B3081" s="33"/>
      <c r="C3081" s="60"/>
      <c r="D3081" s="60"/>
      <c r="E3081" s="60"/>
      <c r="F3081" s="60"/>
      <c r="G3081" s="60"/>
      <c r="H3081" s="60"/>
      <c r="I3081" s="60"/>
      <c r="J3081" s="60"/>
      <c r="K3081" s="60"/>
      <c r="L3081" s="60"/>
      <c r="M3081" s="64"/>
      <c r="N3081" s="33"/>
    </row>
    <row r="3082" ht="24" customHeight="1" spans="2:14">
      <c r="B3082" s="33"/>
      <c r="C3082" s="60"/>
      <c r="D3082" s="60"/>
      <c r="E3082" s="60"/>
      <c r="F3082" s="60"/>
      <c r="G3082" s="60"/>
      <c r="H3082" s="60"/>
      <c r="I3082" s="60"/>
      <c r="J3082" s="60"/>
      <c r="K3082" s="60"/>
      <c r="L3082" s="60"/>
      <c r="M3082" s="64"/>
      <c r="N3082" s="33"/>
    </row>
    <row r="3083" ht="24" customHeight="1" spans="2:14">
      <c r="B3083" s="33"/>
      <c r="C3083" s="60"/>
      <c r="D3083" s="60"/>
      <c r="E3083" s="60"/>
      <c r="F3083" s="60"/>
      <c r="G3083" s="60"/>
      <c r="H3083" s="60"/>
      <c r="I3083" s="60"/>
      <c r="J3083" s="60"/>
      <c r="K3083" s="60"/>
      <c r="L3083" s="60"/>
      <c r="M3083" s="64"/>
      <c r="N3083" s="33"/>
    </row>
    <row r="3084" ht="24" customHeight="1" spans="2:14">
      <c r="B3084" s="33"/>
      <c r="C3084" s="60"/>
      <c r="D3084" s="60"/>
      <c r="E3084" s="60"/>
      <c r="F3084" s="60"/>
      <c r="G3084" s="60"/>
      <c r="H3084" s="60"/>
      <c r="I3084" s="60"/>
      <c r="J3084" s="60"/>
      <c r="K3084" s="60"/>
      <c r="L3084" s="60"/>
      <c r="M3084" s="64"/>
      <c r="N3084" s="33"/>
    </row>
    <row r="3085" ht="24" customHeight="1" spans="2:14">
      <c r="B3085" s="33"/>
      <c r="C3085" s="60"/>
      <c r="D3085" s="60"/>
      <c r="E3085" s="60"/>
      <c r="F3085" s="60"/>
      <c r="G3085" s="60"/>
      <c r="H3085" s="60"/>
      <c r="I3085" s="60"/>
      <c r="J3085" s="60"/>
      <c r="K3085" s="60"/>
      <c r="L3085" s="60"/>
      <c r="M3085" s="64"/>
      <c r="N3085" s="33"/>
    </row>
    <row r="3086" ht="24" customHeight="1" spans="2:14">
      <c r="B3086" s="33"/>
      <c r="C3086" s="60"/>
      <c r="D3086" s="60"/>
      <c r="E3086" s="60"/>
      <c r="F3086" s="60"/>
      <c r="G3086" s="60"/>
      <c r="H3086" s="60"/>
      <c r="I3086" s="60"/>
      <c r="J3086" s="60"/>
      <c r="K3086" s="60"/>
      <c r="L3086" s="60"/>
      <c r="M3086" s="64"/>
      <c r="N3086" s="33"/>
    </row>
    <row r="3087" ht="24" customHeight="1" spans="2:14">
      <c r="B3087" s="33"/>
      <c r="C3087" s="60"/>
      <c r="D3087" s="60"/>
      <c r="E3087" s="60"/>
      <c r="F3087" s="60"/>
      <c r="G3087" s="60"/>
      <c r="H3087" s="60"/>
      <c r="I3087" s="60"/>
      <c r="J3087" s="60"/>
      <c r="K3087" s="60"/>
      <c r="L3087" s="60"/>
      <c r="M3087" s="64"/>
      <c r="N3087" s="33"/>
    </row>
    <row r="3088" ht="24" customHeight="1" spans="2:14">
      <c r="B3088" s="33"/>
      <c r="C3088" s="60"/>
      <c r="D3088" s="60"/>
      <c r="E3088" s="60"/>
      <c r="F3088" s="60"/>
      <c r="G3088" s="60"/>
      <c r="H3088" s="60"/>
      <c r="I3088" s="60"/>
      <c r="J3088" s="60"/>
      <c r="K3088" s="60"/>
      <c r="L3088" s="60"/>
      <c r="M3088" s="64"/>
      <c r="N3088" s="33"/>
    </row>
    <row r="3089" ht="24" customHeight="1" spans="2:14">
      <c r="B3089" s="33"/>
      <c r="C3089" s="60"/>
      <c r="D3089" s="60"/>
      <c r="E3089" s="60"/>
      <c r="F3089" s="60"/>
      <c r="G3089" s="60"/>
      <c r="H3089" s="60"/>
      <c r="I3089" s="60"/>
      <c r="J3089" s="60"/>
      <c r="K3089" s="60"/>
      <c r="L3089" s="60"/>
      <c r="M3089" s="64"/>
      <c r="N3089" s="33"/>
    </row>
    <row r="3090" ht="24" customHeight="1" spans="2:14">
      <c r="B3090" s="33"/>
      <c r="C3090" s="60"/>
      <c r="D3090" s="60"/>
      <c r="E3090" s="60"/>
      <c r="F3090" s="60"/>
      <c r="G3090" s="60"/>
      <c r="H3090" s="60"/>
      <c r="I3090" s="60"/>
      <c r="J3090" s="60"/>
      <c r="K3090" s="60"/>
      <c r="L3090" s="60"/>
      <c r="M3090" s="64"/>
      <c r="N3090" s="33"/>
    </row>
    <row r="3091" ht="24" customHeight="1" spans="2:14">
      <c r="B3091" s="33"/>
      <c r="C3091" s="60"/>
      <c r="D3091" s="60"/>
      <c r="E3091" s="60"/>
      <c r="F3091" s="60"/>
      <c r="G3091" s="60"/>
      <c r="H3091" s="60"/>
      <c r="I3091" s="60"/>
      <c r="J3091" s="60"/>
      <c r="K3091" s="60"/>
      <c r="L3091" s="60"/>
      <c r="M3091" s="64"/>
      <c r="N3091" s="33"/>
    </row>
    <row r="3092" ht="24" customHeight="1" spans="2:14">
      <c r="B3092" s="33"/>
      <c r="C3092" s="60"/>
      <c r="D3092" s="60"/>
      <c r="E3092" s="60"/>
      <c r="F3092" s="60"/>
      <c r="G3092" s="60"/>
      <c r="H3092" s="60"/>
      <c r="I3092" s="60"/>
      <c r="J3092" s="60"/>
      <c r="K3092" s="60"/>
      <c r="L3092" s="60"/>
      <c r="M3092" s="64"/>
      <c r="N3092" s="33"/>
    </row>
    <row r="3093" ht="24" customHeight="1" spans="2:14">
      <c r="B3093" s="33"/>
      <c r="C3093" s="60"/>
      <c r="D3093" s="60"/>
      <c r="E3093" s="60"/>
      <c r="F3093" s="60"/>
      <c r="G3093" s="60"/>
      <c r="H3093" s="60"/>
      <c r="I3093" s="60"/>
      <c r="J3093" s="60"/>
      <c r="K3093" s="60"/>
      <c r="L3093" s="60"/>
      <c r="M3093" s="64"/>
      <c r="N3093" s="33"/>
    </row>
    <row r="3094" ht="24" customHeight="1" spans="2:14">
      <c r="B3094" s="33"/>
      <c r="C3094" s="60"/>
      <c r="D3094" s="60"/>
      <c r="E3094" s="60"/>
      <c r="F3094" s="60"/>
      <c r="G3094" s="60"/>
      <c r="H3094" s="60"/>
      <c r="I3094" s="60"/>
      <c r="J3094" s="60"/>
      <c r="K3094" s="60"/>
      <c r="L3094" s="60"/>
      <c r="M3094" s="64"/>
      <c r="N3094" s="33"/>
    </row>
    <row r="3095" ht="24" customHeight="1" spans="2:14">
      <c r="B3095" s="33"/>
      <c r="C3095" s="60"/>
      <c r="D3095" s="60"/>
      <c r="E3095" s="60"/>
      <c r="F3095" s="60"/>
      <c r="G3095" s="60"/>
      <c r="H3095" s="60"/>
      <c r="I3095" s="60"/>
      <c r="J3095" s="60"/>
      <c r="K3095" s="60"/>
      <c r="L3095" s="60"/>
      <c r="M3095" s="64"/>
      <c r="N3095" s="33"/>
    </row>
    <row r="3096" ht="24" customHeight="1" spans="2:14">
      <c r="B3096" s="33"/>
      <c r="C3096" s="60"/>
      <c r="D3096" s="60"/>
      <c r="E3096" s="60"/>
      <c r="F3096" s="60"/>
      <c r="G3096" s="60"/>
      <c r="H3096" s="60"/>
      <c r="I3096" s="60"/>
      <c r="J3096" s="60"/>
      <c r="K3096" s="60"/>
      <c r="L3096" s="60"/>
      <c r="M3096" s="64"/>
      <c r="N3096" s="33"/>
    </row>
    <row r="3097" ht="24" customHeight="1" spans="2:14">
      <c r="B3097" s="33"/>
      <c r="C3097" s="60"/>
      <c r="D3097" s="60"/>
      <c r="E3097" s="60"/>
      <c r="F3097" s="60"/>
      <c r="G3097" s="60"/>
      <c r="H3097" s="60"/>
      <c r="I3097" s="60"/>
      <c r="J3097" s="60"/>
      <c r="K3097" s="60"/>
      <c r="L3097" s="60"/>
      <c r="M3097" s="64"/>
      <c r="N3097" s="33"/>
    </row>
    <row r="3098" ht="24" customHeight="1" spans="2:14">
      <c r="B3098" s="33"/>
      <c r="C3098" s="60"/>
      <c r="D3098" s="60"/>
      <c r="E3098" s="60"/>
      <c r="F3098" s="60"/>
      <c r="G3098" s="60"/>
      <c r="H3098" s="60"/>
      <c r="I3098" s="60"/>
      <c r="J3098" s="60"/>
      <c r="K3098" s="60"/>
      <c r="L3098" s="60"/>
      <c r="M3098" s="64"/>
      <c r="N3098" s="33"/>
    </row>
    <row r="3099" ht="24" customHeight="1" spans="2:14">
      <c r="B3099" s="33"/>
      <c r="C3099" s="60"/>
      <c r="D3099" s="60"/>
      <c r="E3099" s="60"/>
      <c r="F3099" s="60"/>
      <c r="G3099" s="60"/>
      <c r="H3099" s="60"/>
      <c r="I3099" s="60"/>
      <c r="J3099" s="60"/>
      <c r="K3099" s="60"/>
      <c r="L3099" s="60"/>
      <c r="M3099" s="64"/>
      <c r="N3099" s="33"/>
    </row>
    <row r="3100" ht="24" customHeight="1" spans="2:14">
      <c r="B3100" s="33"/>
      <c r="C3100" s="60"/>
      <c r="D3100" s="60"/>
      <c r="E3100" s="60"/>
      <c r="F3100" s="60"/>
      <c r="G3100" s="60"/>
      <c r="H3100" s="60"/>
      <c r="I3100" s="60"/>
      <c r="J3100" s="60"/>
      <c r="K3100" s="60"/>
      <c r="L3100" s="60"/>
      <c r="M3100" s="64"/>
      <c r="N3100" s="33"/>
    </row>
    <row r="3101" ht="24" customHeight="1" spans="2:14">
      <c r="B3101" s="33"/>
      <c r="C3101" s="60"/>
      <c r="D3101" s="60"/>
      <c r="E3101" s="60"/>
      <c r="F3101" s="60"/>
      <c r="G3101" s="60"/>
      <c r="H3101" s="60"/>
      <c r="I3101" s="60"/>
      <c r="J3101" s="60"/>
      <c r="K3101" s="60"/>
      <c r="L3101" s="60"/>
      <c r="M3101" s="64"/>
      <c r="N3101" s="33"/>
    </row>
    <row r="3102" ht="24" customHeight="1" spans="2:14">
      <c r="B3102" s="33"/>
      <c r="C3102" s="60"/>
      <c r="D3102" s="60"/>
      <c r="E3102" s="60"/>
      <c r="F3102" s="60"/>
      <c r="G3102" s="60"/>
      <c r="H3102" s="60"/>
      <c r="I3102" s="60"/>
      <c r="J3102" s="60"/>
      <c r="K3102" s="60"/>
      <c r="L3102" s="60"/>
      <c r="M3102" s="64"/>
      <c r="N3102" s="33"/>
    </row>
    <row r="3103" ht="24" customHeight="1" spans="2:14">
      <c r="B3103" s="33"/>
      <c r="C3103" s="60"/>
      <c r="D3103" s="60"/>
      <c r="E3103" s="60"/>
      <c r="F3103" s="60"/>
      <c r="G3103" s="60"/>
      <c r="H3103" s="60"/>
      <c r="I3103" s="60"/>
      <c r="J3103" s="60"/>
      <c r="K3103" s="60"/>
      <c r="L3103" s="60"/>
      <c r="M3103" s="64"/>
      <c r="N3103" s="33"/>
    </row>
    <row r="3104" ht="24" customHeight="1" spans="2:14">
      <c r="B3104" s="33"/>
      <c r="C3104" s="60"/>
      <c r="D3104" s="60"/>
      <c r="E3104" s="60"/>
      <c r="F3104" s="60"/>
      <c r="G3104" s="60"/>
      <c r="H3104" s="60"/>
      <c r="I3104" s="60"/>
      <c r="J3104" s="60"/>
      <c r="K3104" s="60"/>
      <c r="L3104" s="60"/>
      <c r="M3104" s="64"/>
      <c r="N3104" s="33"/>
    </row>
    <row r="3105" ht="24" customHeight="1" spans="2:14">
      <c r="B3105" s="33"/>
      <c r="C3105" s="60"/>
      <c r="D3105" s="60"/>
      <c r="E3105" s="60"/>
      <c r="F3105" s="60"/>
      <c r="G3105" s="60"/>
      <c r="H3105" s="60"/>
      <c r="I3105" s="60"/>
      <c r="J3105" s="60"/>
      <c r="K3105" s="60"/>
      <c r="L3105" s="60"/>
      <c r="M3105" s="64"/>
      <c r="N3105" s="33"/>
    </row>
    <row r="3106" ht="24" customHeight="1" spans="2:14">
      <c r="B3106" s="33"/>
      <c r="C3106" s="60"/>
      <c r="D3106" s="60"/>
      <c r="E3106" s="60"/>
      <c r="F3106" s="60"/>
      <c r="G3106" s="60"/>
      <c r="H3106" s="60"/>
      <c r="I3106" s="60"/>
      <c r="J3106" s="60"/>
      <c r="K3106" s="60"/>
      <c r="L3106" s="60"/>
      <c r="M3106" s="64"/>
      <c r="N3106" s="33"/>
    </row>
    <row r="3107" ht="24" customHeight="1" spans="2:14">
      <c r="B3107" s="33"/>
      <c r="C3107" s="60"/>
      <c r="D3107" s="60"/>
      <c r="E3107" s="60"/>
      <c r="F3107" s="60"/>
      <c r="G3107" s="60"/>
      <c r="H3107" s="60"/>
      <c r="I3107" s="60"/>
      <c r="J3107" s="60"/>
      <c r="K3107" s="60"/>
      <c r="L3107" s="60"/>
      <c r="M3107" s="64"/>
      <c r="N3107" s="33"/>
    </row>
    <row r="3108" ht="24" customHeight="1" spans="2:14">
      <c r="B3108" s="33"/>
      <c r="C3108" s="60"/>
      <c r="D3108" s="60"/>
      <c r="E3108" s="60"/>
      <c r="F3108" s="60"/>
      <c r="G3108" s="60"/>
      <c r="H3108" s="60"/>
      <c r="I3108" s="60"/>
      <c r="J3108" s="60"/>
      <c r="K3108" s="60"/>
      <c r="L3108" s="60"/>
      <c r="M3108" s="64"/>
      <c r="N3108" s="33"/>
    </row>
    <row r="3109" ht="24" customHeight="1" spans="2:14">
      <c r="B3109" s="33"/>
      <c r="C3109" s="60"/>
      <c r="D3109" s="60"/>
      <c r="E3109" s="60"/>
      <c r="F3109" s="60"/>
      <c r="G3109" s="60"/>
      <c r="H3109" s="60"/>
      <c r="I3109" s="60"/>
      <c r="J3109" s="60"/>
      <c r="K3109" s="60"/>
      <c r="L3109" s="60"/>
      <c r="M3109" s="64"/>
      <c r="N3109" s="33"/>
    </row>
    <row r="3110" ht="24" customHeight="1" spans="2:14">
      <c r="B3110" s="33"/>
      <c r="C3110" s="60"/>
      <c r="D3110" s="60"/>
      <c r="E3110" s="60"/>
      <c r="F3110" s="60"/>
      <c r="G3110" s="60"/>
      <c r="H3110" s="60"/>
      <c r="I3110" s="60"/>
      <c r="J3110" s="60"/>
      <c r="K3110" s="60"/>
      <c r="L3110" s="60"/>
      <c r="M3110" s="64"/>
      <c r="N3110" s="33"/>
    </row>
    <row r="3111" ht="24" customHeight="1" spans="2:14">
      <c r="B3111" s="33"/>
      <c r="C3111" s="60"/>
      <c r="D3111" s="60"/>
      <c r="E3111" s="60"/>
      <c r="F3111" s="60"/>
      <c r="G3111" s="60"/>
      <c r="H3111" s="60"/>
      <c r="I3111" s="60"/>
      <c r="J3111" s="60"/>
      <c r="K3111" s="60"/>
      <c r="L3111" s="60"/>
      <c r="M3111" s="64"/>
      <c r="N3111" s="33"/>
    </row>
    <row r="3112" ht="24" customHeight="1" spans="2:14">
      <c r="B3112" s="33"/>
      <c r="C3112" s="60"/>
      <c r="D3112" s="60"/>
      <c r="E3112" s="60"/>
      <c r="F3112" s="60"/>
      <c r="G3112" s="60"/>
      <c r="H3112" s="60"/>
      <c r="I3112" s="60"/>
      <c r="J3112" s="60"/>
      <c r="K3112" s="60"/>
      <c r="L3112" s="60"/>
      <c r="M3112" s="64"/>
      <c r="N3112" s="33"/>
    </row>
    <row r="3113" ht="24" customHeight="1" spans="2:14">
      <c r="B3113" s="33"/>
      <c r="C3113" s="60"/>
      <c r="D3113" s="60"/>
      <c r="E3113" s="60"/>
      <c r="F3113" s="60"/>
      <c r="G3113" s="60"/>
      <c r="H3113" s="60"/>
      <c r="I3113" s="60"/>
      <c r="J3113" s="60"/>
      <c r="K3113" s="60"/>
      <c r="L3113" s="60"/>
      <c r="M3113" s="64"/>
      <c r="N3113" s="33"/>
    </row>
    <row r="3114" ht="24" customHeight="1" spans="2:14">
      <c r="B3114" s="33"/>
      <c r="C3114" s="60"/>
      <c r="D3114" s="60"/>
      <c r="E3114" s="60"/>
      <c r="F3114" s="60"/>
      <c r="G3114" s="60"/>
      <c r="H3114" s="60"/>
      <c r="I3114" s="60"/>
      <c r="J3114" s="60"/>
      <c r="K3114" s="60"/>
      <c r="L3114" s="60"/>
      <c r="M3114" s="64"/>
      <c r="N3114" s="33"/>
    </row>
    <row r="3115" ht="24" customHeight="1" spans="2:14">
      <c r="B3115" s="33"/>
      <c r="C3115" s="60"/>
      <c r="D3115" s="60"/>
      <c r="E3115" s="60"/>
      <c r="F3115" s="60"/>
      <c r="G3115" s="60"/>
      <c r="H3115" s="60"/>
      <c r="I3115" s="60"/>
      <c r="J3115" s="60"/>
      <c r="K3115" s="60"/>
      <c r="L3115" s="60"/>
      <c r="M3115" s="64"/>
      <c r="N3115" s="33"/>
    </row>
    <row r="3116" ht="24" customHeight="1" spans="2:14">
      <c r="B3116" s="33"/>
      <c r="C3116" s="60"/>
      <c r="D3116" s="60"/>
      <c r="E3116" s="60"/>
      <c r="F3116" s="60"/>
      <c r="G3116" s="60"/>
      <c r="H3116" s="60"/>
      <c r="I3116" s="60"/>
      <c r="J3116" s="60"/>
      <c r="K3116" s="60"/>
      <c r="L3116" s="60"/>
      <c r="M3116" s="64"/>
      <c r="N3116" s="33"/>
    </row>
    <row r="3117" ht="24" customHeight="1" spans="2:14">
      <c r="B3117" s="33"/>
      <c r="C3117" s="60"/>
      <c r="D3117" s="60"/>
      <c r="E3117" s="60"/>
      <c r="F3117" s="60"/>
      <c r="G3117" s="60"/>
      <c r="H3117" s="60"/>
      <c r="I3117" s="60"/>
      <c r="J3117" s="60"/>
      <c r="K3117" s="60"/>
      <c r="L3117" s="60"/>
      <c r="M3117" s="64"/>
      <c r="N3117" s="33"/>
    </row>
    <row r="3118" ht="24" customHeight="1" spans="2:14">
      <c r="B3118" s="33"/>
      <c r="C3118" s="60"/>
      <c r="D3118" s="60"/>
      <c r="E3118" s="60"/>
      <c r="F3118" s="60"/>
      <c r="G3118" s="60"/>
      <c r="H3118" s="60"/>
      <c r="I3118" s="60"/>
      <c r="J3118" s="60"/>
      <c r="K3118" s="60"/>
      <c r="L3118" s="60"/>
      <c r="M3118" s="64"/>
      <c r="N3118" s="33"/>
    </row>
    <row r="3119" ht="24" customHeight="1" spans="2:14">
      <c r="B3119" s="33"/>
      <c r="C3119" s="60"/>
      <c r="D3119" s="60"/>
      <c r="E3119" s="60"/>
      <c r="F3119" s="60"/>
      <c r="G3119" s="60"/>
      <c r="H3119" s="60"/>
      <c r="I3119" s="60"/>
      <c r="J3119" s="60"/>
      <c r="K3119" s="60"/>
      <c r="L3119" s="60"/>
      <c r="M3119" s="64"/>
      <c r="N3119" s="33"/>
    </row>
    <row r="3120" ht="24" customHeight="1" spans="2:14">
      <c r="B3120" s="33"/>
      <c r="C3120" s="60"/>
      <c r="D3120" s="60"/>
      <c r="E3120" s="60"/>
      <c r="F3120" s="60"/>
      <c r="G3120" s="60"/>
      <c r="H3120" s="60"/>
      <c r="I3120" s="60"/>
      <c r="J3120" s="60"/>
      <c r="K3120" s="60"/>
      <c r="L3120" s="60"/>
      <c r="M3120" s="64"/>
      <c r="N3120" s="33"/>
    </row>
    <row r="3121" ht="24" customHeight="1" spans="2:14">
      <c r="B3121" s="33"/>
      <c r="C3121" s="60"/>
      <c r="D3121" s="60"/>
      <c r="E3121" s="60"/>
      <c r="F3121" s="60"/>
      <c r="G3121" s="60"/>
      <c r="H3121" s="60"/>
      <c r="I3121" s="60"/>
      <c r="J3121" s="60"/>
      <c r="K3121" s="60"/>
      <c r="L3121" s="60"/>
      <c r="M3121" s="64"/>
      <c r="N3121" s="33"/>
    </row>
    <row r="3122" ht="24" customHeight="1" spans="2:14">
      <c r="B3122" s="33"/>
      <c r="C3122" s="60"/>
      <c r="D3122" s="60"/>
      <c r="E3122" s="60"/>
      <c r="F3122" s="60"/>
      <c r="G3122" s="60"/>
      <c r="H3122" s="60"/>
      <c r="I3122" s="60"/>
      <c r="J3122" s="60"/>
      <c r="K3122" s="60"/>
      <c r="L3122" s="60"/>
      <c r="M3122" s="64"/>
      <c r="N3122" s="33"/>
    </row>
    <row r="3123" ht="24" customHeight="1" spans="2:14">
      <c r="B3123" s="33"/>
      <c r="C3123" s="60"/>
      <c r="D3123" s="60"/>
      <c r="E3123" s="60"/>
      <c r="F3123" s="60"/>
      <c r="G3123" s="60"/>
      <c r="H3123" s="60"/>
      <c r="I3123" s="60"/>
      <c r="J3123" s="60"/>
      <c r="K3123" s="60"/>
      <c r="L3123" s="60"/>
      <c r="M3123" s="64"/>
      <c r="N3123" s="33"/>
    </row>
    <row r="3124" ht="24" customHeight="1" spans="2:14">
      <c r="B3124" s="33"/>
      <c r="C3124" s="60"/>
      <c r="D3124" s="60"/>
      <c r="E3124" s="60"/>
      <c r="F3124" s="60"/>
      <c r="G3124" s="60"/>
      <c r="H3124" s="60"/>
      <c r="I3124" s="60"/>
      <c r="J3124" s="60"/>
      <c r="K3124" s="60"/>
      <c r="L3124" s="60"/>
      <c r="M3124" s="64"/>
      <c r="N3124" s="33"/>
    </row>
    <row r="3125" ht="24" customHeight="1" spans="2:14">
      <c r="B3125" s="33"/>
      <c r="C3125" s="60"/>
      <c r="D3125" s="60"/>
      <c r="E3125" s="60"/>
      <c r="F3125" s="60"/>
      <c r="G3125" s="60"/>
      <c r="H3125" s="60"/>
      <c r="I3125" s="60"/>
      <c r="J3125" s="60"/>
      <c r="K3125" s="60"/>
      <c r="L3125" s="60"/>
      <c r="M3125" s="64"/>
      <c r="N3125" s="33"/>
    </row>
    <row r="3126" ht="24" customHeight="1" spans="2:14">
      <c r="B3126" s="33"/>
      <c r="C3126" s="60"/>
      <c r="D3126" s="60"/>
      <c r="E3126" s="60"/>
      <c r="F3126" s="60"/>
      <c r="G3126" s="60"/>
      <c r="H3126" s="60"/>
      <c r="I3126" s="60"/>
      <c r="J3126" s="60"/>
      <c r="K3126" s="60"/>
      <c r="L3126" s="60"/>
      <c r="M3126" s="64"/>
      <c r="N3126" s="33"/>
    </row>
    <row r="3127" ht="24" customHeight="1" spans="2:14">
      <c r="B3127" s="33"/>
      <c r="C3127" s="60"/>
      <c r="D3127" s="60"/>
      <c r="E3127" s="60"/>
      <c r="F3127" s="60"/>
      <c r="G3127" s="60"/>
      <c r="H3127" s="60"/>
      <c r="I3127" s="60"/>
      <c r="J3127" s="60"/>
      <c r="K3127" s="60"/>
      <c r="L3127" s="60"/>
      <c r="M3127" s="64"/>
      <c r="N3127" s="33"/>
    </row>
    <row r="3128" ht="24" customHeight="1" spans="2:14">
      <c r="B3128" s="33"/>
      <c r="C3128" s="60"/>
      <c r="D3128" s="60"/>
      <c r="E3128" s="60"/>
      <c r="F3128" s="60"/>
      <c r="G3128" s="60"/>
      <c r="H3128" s="60"/>
      <c r="I3128" s="60"/>
      <c r="J3128" s="60"/>
      <c r="K3128" s="60"/>
      <c r="L3128" s="60"/>
      <c r="M3128" s="64"/>
      <c r="N3128" s="33"/>
    </row>
    <row r="3129" ht="24" customHeight="1" spans="2:14">
      <c r="B3129" s="33"/>
      <c r="C3129" s="60"/>
      <c r="D3129" s="60"/>
      <c r="E3129" s="60"/>
      <c r="F3129" s="60"/>
      <c r="G3129" s="60"/>
      <c r="H3129" s="60"/>
      <c r="I3129" s="60"/>
      <c r="J3129" s="60"/>
      <c r="K3129" s="60"/>
      <c r="L3129" s="60"/>
      <c r="M3129" s="64"/>
      <c r="N3129" s="33"/>
    </row>
    <row r="3130" ht="24" customHeight="1" spans="2:14">
      <c r="B3130" s="33"/>
      <c r="C3130" s="60"/>
      <c r="D3130" s="60"/>
      <c r="E3130" s="60"/>
      <c r="F3130" s="60"/>
      <c r="G3130" s="60"/>
      <c r="H3130" s="60"/>
      <c r="I3130" s="60"/>
      <c r="J3130" s="60"/>
      <c r="K3130" s="60"/>
      <c r="L3130" s="60"/>
      <c r="M3130" s="64"/>
      <c r="N3130" s="33"/>
    </row>
    <row r="3131" ht="24" customHeight="1" spans="2:14">
      <c r="B3131" s="33"/>
      <c r="C3131" s="60"/>
      <c r="D3131" s="60"/>
      <c r="E3131" s="60"/>
      <c r="F3131" s="60"/>
      <c r="G3131" s="60"/>
      <c r="H3131" s="60"/>
      <c r="I3131" s="60"/>
      <c r="J3131" s="60"/>
      <c r="K3131" s="60"/>
      <c r="L3131" s="60"/>
      <c r="M3131" s="64"/>
      <c r="N3131" s="33"/>
    </row>
    <row r="3132" ht="24" customHeight="1" spans="2:14">
      <c r="B3132" s="33"/>
      <c r="C3132" s="60"/>
      <c r="D3132" s="60"/>
      <c r="E3132" s="60"/>
      <c r="F3132" s="60"/>
      <c r="G3132" s="60"/>
      <c r="H3132" s="60"/>
      <c r="I3132" s="60"/>
      <c r="J3132" s="60"/>
      <c r="K3132" s="60"/>
      <c r="L3132" s="60"/>
      <c r="M3132" s="64"/>
      <c r="N3132" s="33"/>
    </row>
    <row r="3133" ht="24" customHeight="1" spans="2:14">
      <c r="B3133" s="33"/>
      <c r="C3133" s="60"/>
      <c r="D3133" s="60"/>
      <c r="E3133" s="60"/>
      <c r="F3133" s="60"/>
      <c r="G3133" s="60"/>
      <c r="H3133" s="60"/>
      <c r="I3133" s="60"/>
      <c r="J3133" s="60"/>
      <c r="K3133" s="60"/>
      <c r="L3133" s="60"/>
      <c r="M3133" s="64"/>
      <c r="N3133" s="33"/>
    </row>
    <row r="3134" ht="24" customHeight="1" spans="2:14">
      <c r="B3134" s="33"/>
      <c r="C3134" s="60"/>
      <c r="D3134" s="60"/>
      <c r="E3134" s="60"/>
      <c r="F3134" s="60"/>
      <c r="G3134" s="60"/>
      <c r="H3134" s="60"/>
      <c r="I3134" s="60"/>
      <c r="J3134" s="60"/>
      <c r="K3134" s="60"/>
      <c r="L3134" s="60"/>
      <c r="M3134" s="64"/>
      <c r="N3134" s="33"/>
    </row>
    <row r="3135" ht="24" customHeight="1" spans="2:14">
      <c r="B3135" s="33"/>
      <c r="C3135" s="60"/>
      <c r="D3135" s="60"/>
      <c r="E3135" s="60"/>
      <c r="F3135" s="60"/>
      <c r="G3135" s="60"/>
      <c r="H3135" s="60"/>
      <c r="I3135" s="60"/>
      <c r="J3135" s="60"/>
      <c r="K3135" s="60"/>
      <c r="L3135" s="60"/>
      <c r="M3135" s="64"/>
      <c r="N3135" s="33"/>
    </row>
    <row r="3136" ht="24" customHeight="1" spans="2:14">
      <c r="B3136" s="33"/>
      <c r="C3136" s="60"/>
      <c r="D3136" s="60"/>
      <c r="E3136" s="60"/>
      <c r="F3136" s="60"/>
      <c r="G3136" s="60"/>
      <c r="H3136" s="60"/>
      <c r="I3136" s="60"/>
      <c r="J3136" s="60"/>
      <c r="K3136" s="60"/>
      <c r="L3136" s="60"/>
      <c r="M3136" s="64"/>
      <c r="N3136" s="33"/>
    </row>
    <row r="3137" ht="24" customHeight="1" spans="2:14">
      <c r="B3137" s="33"/>
      <c r="C3137" s="60"/>
      <c r="D3137" s="60"/>
      <c r="E3137" s="60"/>
      <c r="F3137" s="60"/>
      <c r="G3137" s="60"/>
      <c r="H3137" s="60"/>
      <c r="I3137" s="60"/>
      <c r="J3137" s="60"/>
      <c r="K3137" s="60"/>
      <c r="L3137" s="60"/>
      <c r="M3137" s="64"/>
      <c r="N3137" s="33"/>
    </row>
    <row r="3138" ht="24" customHeight="1" spans="2:14">
      <c r="B3138" s="33"/>
      <c r="C3138" s="60"/>
      <c r="D3138" s="60"/>
      <c r="E3138" s="60"/>
      <c r="F3138" s="60"/>
      <c r="G3138" s="60"/>
      <c r="H3138" s="60"/>
      <c r="I3138" s="60"/>
      <c r="J3138" s="60"/>
      <c r="K3138" s="60"/>
      <c r="L3138" s="60"/>
      <c r="M3138" s="64"/>
      <c r="N3138" s="33"/>
    </row>
    <row r="3139" ht="24" customHeight="1" spans="2:14">
      <c r="B3139" s="33"/>
      <c r="C3139" s="60"/>
      <c r="D3139" s="60"/>
      <c r="E3139" s="60"/>
      <c r="F3139" s="60"/>
      <c r="G3139" s="60"/>
      <c r="H3139" s="60"/>
      <c r="I3139" s="60"/>
      <c r="J3139" s="60"/>
      <c r="K3139" s="60"/>
      <c r="L3139" s="60"/>
      <c r="M3139" s="64"/>
      <c r="N3139" s="33"/>
    </row>
    <row r="3140" ht="24" customHeight="1" spans="2:14">
      <c r="B3140" s="33"/>
      <c r="C3140" s="60"/>
      <c r="D3140" s="60"/>
      <c r="E3140" s="60"/>
      <c r="F3140" s="60"/>
      <c r="G3140" s="60"/>
      <c r="H3140" s="60"/>
      <c r="I3140" s="60"/>
      <c r="J3140" s="60"/>
      <c r="K3140" s="60"/>
      <c r="L3140" s="60"/>
      <c r="M3140" s="64"/>
      <c r="N3140" s="33"/>
    </row>
    <row r="3141" ht="24" customHeight="1" spans="2:14">
      <c r="B3141" s="33"/>
      <c r="C3141" s="60"/>
      <c r="D3141" s="60"/>
      <c r="E3141" s="60"/>
      <c r="F3141" s="60"/>
      <c r="G3141" s="60"/>
      <c r="H3141" s="60"/>
      <c r="I3141" s="60"/>
      <c r="J3141" s="60"/>
      <c r="K3141" s="60"/>
      <c r="L3141" s="60"/>
      <c r="M3141" s="64"/>
      <c r="N3141" s="33"/>
    </row>
    <row r="3142" ht="24" customHeight="1" spans="2:14">
      <c r="B3142" s="33"/>
      <c r="C3142" s="60"/>
      <c r="D3142" s="60"/>
      <c r="E3142" s="60"/>
      <c r="F3142" s="60"/>
      <c r="G3142" s="60"/>
      <c r="H3142" s="60"/>
      <c r="I3142" s="60"/>
      <c r="J3142" s="60"/>
      <c r="K3142" s="60"/>
      <c r="L3142" s="60"/>
      <c r="M3142" s="64"/>
      <c r="N3142" s="33"/>
    </row>
    <row r="3143" ht="24" customHeight="1" spans="2:14">
      <c r="B3143" s="33"/>
      <c r="C3143" s="60"/>
      <c r="D3143" s="60"/>
      <c r="E3143" s="60"/>
      <c r="F3143" s="60"/>
      <c r="G3143" s="60"/>
      <c r="H3143" s="60"/>
      <c r="I3143" s="60"/>
      <c r="J3143" s="60"/>
      <c r="K3143" s="60"/>
      <c r="L3143" s="60"/>
      <c r="M3143" s="64"/>
      <c r="N3143" s="33"/>
    </row>
    <row r="3144" ht="24" customHeight="1" spans="2:14">
      <c r="B3144" s="33"/>
      <c r="C3144" s="60"/>
      <c r="D3144" s="60"/>
      <c r="E3144" s="60"/>
      <c r="F3144" s="60"/>
      <c r="G3144" s="60"/>
      <c r="H3144" s="60"/>
      <c r="I3144" s="60"/>
      <c r="J3144" s="60"/>
      <c r="K3144" s="60"/>
      <c r="L3144" s="60"/>
      <c r="M3144" s="64"/>
      <c r="N3144" s="33"/>
    </row>
    <row r="3145" ht="24" customHeight="1" spans="2:14">
      <c r="B3145" s="33"/>
      <c r="C3145" s="60"/>
      <c r="D3145" s="60"/>
      <c r="E3145" s="60"/>
      <c r="F3145" s="60"/>
      <c r="G3145" s="60"/>
      <c r="H3145" s="60"/>
      <c r="I3145" s="60"/>
      <c r="J3145" s="60"/>
      <c r="K3145" s="60"/>
      <c r="L3145" s="60"/>
      <c r="M3145" s="64"/>
      <c r="N3145" s="33"/>
    </row>
    <row r="3146" ht="24" customHeight="1" spans="2:14">
      <c r="B3146" s="33"/>
      <c r="C3146" s="60"/>
      <c r="D3146" s="60"/>
      <c r="E3146" s="60"/>
      <c r="F3146" s="60"/>
      <c r="G3146" s="60"/>
      <c r="H3146" s="60"/>
      <c r="I3146" s="60"/>
      <c r="J3146" s="60"/>
      <c r="K3146" s="60"/>
      <c r="L3146" s="60"/>
      <c r="M3146" s="64"/>
      <c r="N3146" s="33"/>
    </row>
    <row r="3147" ht="24" customHeight="1" spans="2:14">
      <c r="B3147" s="33"/>
      <c r="C3147" s="60"/>
      <c r="D3147" s="60"/>
      <c r="E3147" s="60"/>
      <c r="F3147" s="60"/>
      <c r="G3147" s="60"/>
      <c r="H3147" s="60"/>
      <c r="I3147" s="60"/>
      <c r="J3147" s="60"/>
      <c r="K3147" s="60"/>
      <c r="L3147" s="60"/>
      <c r="M3147" s="64"/>
      <c r="N3147" s="33"/>
    </row>
    <row r="3148" ht="24" customHeight="1" spans="2:14">
      <c r="B3148" s="33"/>
      <c r="C3148" s="60"/>
      <c r="D3148" s="60"/>
      <c r="E3148" s="60"/>
      <c r="F3148" s="60"/>
      <c r="G3148" s="60"/>
      <c r="H3148" s="60"/>
      <c r="I3148" s="60"/>
      <c r="J3148" s="60"/>
      <c r="K3148" s="60"/>
      <c r="L3148" s="60"/>
      <c r="M3148" s="64"/>
      <c r="N3148" s="33"/>
    </row>
    <row r="3149" ht="24" customHeight="1" spans="2:14">
      <c r="B3149" s="33"/>
      <c r="C3149" s="60"/>
      <c r="D3149" s="60"/>
      <c r="E3149" s="60"/>
      <c r="F3149" s="60"/>
      <c r="G3149" s="60"/>
      <c r="H3149" s="60"/>
      <c r="I3149" s="60"/>
      <c r="J3149" s="60"/>
      <c r="K3149" s="60"/>
      <c r="L3149" s="60"/>
      <c r="M3149" s="64"/>
      <c r="N3149" s="33"/>
    </row>
    <row r="3150" ht="24" customHeight="1" spans="2:14">
      <c r="B3150" s="33"/>
      <c r="C3150" s="60"/>
      <c r="D3150" s="60"/>
      <c r="E3150" s="60"/>
      <c r="F3150" s="60"/>
      <c r="G3150" s="60"/>
      <c r="H3150" s="60"/>
      <c r="I3150" s="60"/>
      <c r="J3150" s="60"/>
      <c r="K3150" s="60"/>
      <c r="L3150" s="60"/>
      <c r="M3150" s="64"/>
      <c r="N3150" s="33"/>
    </row>
    <row r="3151" ht="24" customHeight="1" spans="2:14">
      <c r="B3151" s="33"/>
      <c r="C3151" s="60"/>
      <c r="D3151" s="60"/>
      <c r="E3151" s="60"/>
      <c r="F3151" s="60"/>
      <c r="G3151" s="60"/>
      <c r="H3151" s="60"/>
      <c r="I3151" s="60"/>
      <c r="J3151" s="60"/>
      <c r="K3151" s="60"/>
      <c r="L3151" s="60"/>
      <c r="M3151" s="64"/>
      <c r="N3151" s="33"/>
    </row>
    <row r="3152" ht="24" customHeight="1" spans="2:14">
      <c r="B3152" s="33"/>
      <c r="C3152" s="60"/>
      <c r="D3152" s="60"/>
      <c r="E3152" s="60"/>
      <c r="F3152" s="60"/>
      <c r="G3152" s="60"/>
      <c r="H3152" s="60"/>
      <c r="I3152" s="60"/>
      <c r="J3152" s="60"/>
      <c r="K3152" s="60"/>
      <c r="L3152" s="60"/>
      <c r="M3152" s="64"/>
      <c r="N3152" s="33"/>
    </row>
    <row r="3153" ht="24" customHeight="1" spans="2:14">
      <c r="B3153" s="33"/>
      <c r="C3153" s="60"/>
      <c r="D3153" s="60"/>
      <c r="E3153" s="60"/>
      <c r="F3153" s="60"/>
      <c r="G3153" s="60"/>
      <c r="H3153" s="60"/>
      <c r="I3153" s="60"/>
      <c r="J3153" s="60"/>
      <c r="K3153" s="60"/>
      <c r="L3153" s="60"/>
      <c r="M3153" s="64"/>
      <c r="N3153" s="33"/>
    </row>
    <row r="3154" ht="24" customHeight="1" spans="2:14">
      <c r="B3154" s="33"/>
      <c r="C3154" s="60"/>
      <c r="D3154" s="60"/>
      <c r="E3154" s="60"/>
      <c r="F3154" s="60"/>
      <c r="G3154" s="60"/>
      <c r="H3154" s="60"/>
      <c r="I3154" s="60"/>
      <c r="J3154" s="60"/>
      <c r="K3154" s="60"/>
      <c r="L3154" s="60"/>
      <c r="M3154" s="64"/>
      <c r="N3154" s="33"/>
    </row>
    <row r="3155" ht="24" customHeight="1" spans="2:14">
      <c r="B3155" s="33"/>
      <c r="C3155" s="60"/>
      <c r="D3155" s="60"/>
      <c r="E3155" s="60"/>
      <c r="F3155" s="60"/>
      <c r="G3155" s="60"/>
      <c r="H3155" s="60"/>
      <c r="I3155" s="60"/>
      <c r="J3155" s="60"/>
      <c r="K3155" s="60"/>
      <c r="L3155" s="60"/>
      <c r="M3155" s="64"/>
      <c r="N3155" s="33"/>
    </row>
    <row r="3156" ht="24" customHeight="1" spans="2:14">
      <c r="B3156" s="33"/>
      <c r="C3156" s="60"/>
      <c r="D3156" s="60"/>
      <c r="E3156" s="60"/>
      <c r="F3156" s="60"/>
      <c r="G3156" s="60"/>
      <c r="H3156" s="60"/>
      <c r="I3156" s="60"/>
      <c r="J3156" s="60"/>
      <c r="K3156" s="60"/>
      <c r="L3156" s="60"/>
      <c r="M3156" s="64"/>
      <c r="N3156" s="33"/>
    </row>
    <row r="3157" ht="24" customHeight="1" spans="2:14">
      <c r="B3157" s="33"/>
      <c r="C3157" s="60"/>
      <c r="D3157" s="60"/>
      <c r="E3157" s="60"/>
      <c r="F3157" s="60"/>
      <c r="G3157" s="60"/>
      <c r="H3157" s="60"/>
      <c r="I3157" s="60"/>
      <c r="J3157" s="60"/>
      <c r="K3157" s="60"/>
      <c r="L3157" s="60"/>
      <c r="M3157" s="64"/>
      <c r="N3157" s="33"/>
    </row>
    <row r="3158" ht="24" customHeight="1" spans="2:14">
      <c r="B3158" s="33"/>
      <c r="C3158" s="60"/>
      <c r="D3158" s="60"/>
      <c r="E3158" s="60"/>
      <c r="F3158" s="60"/>
      <c r="G3158" s="60"/>
      <c r="H3158" s="60"/>
      <c r="I3158" s="60"/>
      <c r="J3158" s="60"/>
      <c r="K3158" s="60"/>
      <c r="L3158" s="60"/>
      <c r="M3158" s="64"/>
      <c r="N3158" s="33"/>
    </row>
    <row r="3159" ht="24" customHeight="1" spans="2:14">
      <c r="B3159" s="33"/>
      <c r="C3159" s="60"/>
      <c r="D3159" s="60"/>
      <c r="E3159" s="60"/>
      <c r="F3159" s="60"/>
      <c r="G3159" s="60"/>
      <c r="H3159" s="60"/>
      <c r="I3159" s="60"/>
      <c r="J3159" s="60"/>
      <c r="K3159" s="60"/>
      <c r="L3159" s="60"/>
      <c r="M3159" s="64"/>
      <c r="N3159" s="33"/>
    </row>
    <row r="3160" ht="24" customHeight="1" spans="2:14">
      <c r="B3160" s="33"/>
      <c r="C3160" s="60"/>
      <c r="D3160" s="60"/>
      <c r="E3160" s="60"/>
      <c r="F3160" s="60"/>
      <c r="G3160" s="60"/>
      <c r="H3160" s="60"/>
      <c r="I3160" s="60"/>
      <c r="J3160" s="60"/>
      <c r="K3160" s="60"/>
      <c r="L3160" s="60"/>
      <c r="M3160" s="64"/>
      <c r="N3160" s="33"/>
    </row>
    <row r="3161" ht="24" customHeight="1" spans="2:14">
      <c r="B3161" s="33"/>
      <c r="C3161" s="60"/>
      <c r="D3161" s="60"/>
      <c r="E3161" s="60"/>
      <c r="F3161" s="60"/>
      <c r="G3161" s="60"/>
      <c r="H3161" s="60"/>
      <c r="I3161" s="60"/>
      <c r="J3161" s="60"/>
      <c r="K3161" s="60"/>
      <c r="L3161" s="60"/>
      <c r="M3161" s="64"/>
      <c r="N3161" s="33"/>
    </row>
    <row r="3162" ht="24" customHeight="1" spans="2:14">
      <c r="B3162" s="33"/>
      <c r="C3162" s="60"/>
      <c r="D3162" s="60"/>
      <c r="E3162" s="60"/>
      <c r="F3162" s="60"/>
      <c r="G3162" s="60"/>
      <c r="H3162" s="60"/>
      <c r="I3162" s="60"/>
      <c r="J3162" s="60"/>
      <c r="K3162" s="60"/>
      <c r="L3162" s="60"/>
      <c r="M3162" s="64"/>
      <c r="N3162" s="33"/>
    </row>
    <row r="3163" ht="24" customHeight="1" spans="2:14">
      <c r="B3163" s="33"/>
      <c r="C3163" s="60"/>
      <c r="D3163" s="60"/>
      <c r="E3163" s="60"/>
      <c r="F3163" s="60"/>
      <c r="G3163" s="60"/>
      <c r="H3163" s="60"/>
      <c r="I3163" s="60"/>
      <c r="J3163" s="60"/>
      <c r="K3163" s="60"/>
      <c r="L3163" s="60"/>
      <c r="M3163" s="64"/>
      <c r="N3163" s="33"/>
    </row>
    <row r="3164" ht="24" customHeight="1" spans="2:14">
      <c r="B3164" s="33"/>
      <c r="C3164" s="60"/>
      <c r="D3164" s="60"/>
      <c r="E3164" s="60"/>
      <c r="F3164" s="60"/>
      <c r="G3164" s="60"/>
      <c r="H3164" s="60"/>
      <c r="I3164" s="60"/>
      <c r="J3164" s="60"/>
      <c r="K3164" s="60"/>
      <c r="L3164" s="60"/>
      <c r="M3164" s="64"/>
      <c r="N3164" s="33"/>
    </row>
    <row r="3165" ht="24" customHeight="1" spans="2:14">
      <c r="B3165" s="33"/>
      <c r="C3165" s="60"/>
      <c r="D3165" s="60"/>
      <c r="E3165" s="60"/>
      <c r="F3165" s="60"/>
      <c r="G3165" s="60"/>
      <c r="H3165" s="60"/>
      <c r="I3165" s="60"/>
      <c r="J3165" s="60"/>
      <c r="K3165" s="60"/>
      <c r="L3165" s="60"/>
      <c r="M3165" s="64"/>
      <c r="N3165" s="33"/>
    </row>
    <row r="3166" ht="24" customHeight="1" spans="2:14">
      <c r="B3166" s="33"/>
      <c r="C3166" s="60"/>
      <c r="D3166" s="60"/>
      <c r="E3166" s="60"/>
      <c r="F3166" s="60"/>
      <c r="G3166" s="60"/>
      <c r="H3166" s="60"/>
      <c r="I3166" s="60"/>
      <c r="J3166" s="60"/>
      <c r="K3166" s="60"/>
      <c r="L3166" s="60"/>
      <c r="M3166" s="64"/>
      <c r="N3166" s="33"/>
    </row>
    <row r="3167" ht="24" customHeight="1" spans="2:14">
      <c r="B3167" s="33"/>
      <c r="C3167" s="60"/>
      <c r="D3167" s="60"/>
      <c r="E3167" s="60"/>
      <c r="F3167" s="60"/>
      <c r="G3167" s="60"/>
      <c r="H3167" s="60"/>
      <c r="I3167" s="60"/>
      <c r="J3167" s="60"/>
      <c r="K3167" s="60"/>
      <c r="L3167" s="60"/>
      <c r="M3167" s="64"/>
      <c r="N3167" s="33"/>
    </row>
    <row r="3168" ht="24" customHeight="1" spans="2:14">
      <c r="B3168" s="33"/>
      <c r="C3168" s="60"/>
      <c r="D3168" s="60"/>
      <c r="E3168" s="60"/>
      <c r="F3168" s="60"/>
      <c r="G3168" s="60"/>
      <c r="H3168" s="60"/>
      <c r="I3168" s="60"/>
      <c r="J3168" s="60"/>
      <c r="K3168" s="60"/>
      <c r="L3168" s="60"/>
      <c r="M3168" s="64"/>
      <c r="N3168" s="33"/>
    </row>
    <row r="3169" ht="24" customHeight="1" spans="2:14">
      <c r="B3169" s="33"/>
      <c r="C3169" s="60"/>
      <c r="D3169" s="60"/>
      <c r="E3169" s="60"/>
      <c r="F3169" s="60"/>
      <c r="G3169" s="60"/>
      <c r="H3169" s="60"/>
      <c r="I3169" s="60"/>
      <c r="J3169" s="60"/>
      <c r="K3169" s="60"/>
      <c r="L3169" s="60"/>
      <c r="M3169" s="64"/>
      <c r="N3169" s="33"/>
    </row>
    <row r="3170" ht="24" customHeight="1" spans="2:14">
      <c r="B3170" s="33"/>
      <c r="C3170" s="60"/>
      <c r="D3170" s="60"/>
      <c r="E3170" s="60"/>
      <c r="F3170" s="60"/>
      <c r="G3170" s="60"/>
      <c r="H3170" s="60"/>
      <c r="I3170" s="60"/>
      <c r="J3170" s="60"/>
      <c r="K3170" s="60"/>
      <c r="L3170" s="60"/>
      <c r="M3170" s="64"/>
      <c r="N3170" s="33"/>
    </row>
    <row r="3171" ht="24" customHeight="1" spans="2:14">
      <c r="B3171" s="33"/>
      <c r="C3171" s="60"/>
      <c r="D3171" s="60"/>
      <c r="E3171" s="60"/>
      <c r="F3171" s="60"/>
      <c r="G3171" s="60"/>
      <c r="H3171" s="60"/>
      <c r="I3171" s="60"/>
      <c r="J3171" s="60"/>
      <c r="K3171" s="60"/>
      <c r="L3171" s="60"/>
      <c r="M3171" s="64"/>
      <c r="N3171" s="33"/>
    </row>
    <row r="3172" ht="24" customHeight="1" spans="2:14">
      <c r="B3172" s="33"/>
      <c r="C3172" s="60"/>
      <c r="D3172" s="60"/>
      <c r="E3172" s="60"/>
      <c r="F3172" s="60"/>
      <c r="G3172" s="60"/>
      <c r="H3172" s="60"/>
      <c r="I3172" s="60"/>
      <c r="J3172" s="60"/>
      <c r="K3172" s="60"/>
      <c r="L3172" s="60"/>
      <c r="M3172" s="64"/>
      <c r="N3172" s="33"/>
    </row>
    <row r="3173" ht="24" customHeight="1" spans="2:14">
      <c r="B3173" s="33"/>
      <c r="C3173" s="60"/>
      <c r="D3173" s="60"/>
      <c r="E3173" s="60"/>
      <c r="F3173" s="60"/>
      <c r="G3173" s="60"/>
      <c r="H3173" s="60"/>
      <c r="I3173" s="60"/>
      <c r="J3173" s="60"/>
      <c r="K3173" s="60"/>
      <c r="L3173" s="60"/>
      <c r="M3173" s="64"/>
      <c r="N3173" s="33"/>
    </row>
    <row r="3174" ht="24" customHeight="1" spans="2:14">
      <c r="B3174" s="33"/>
      <c r="C3174" s="60"/>
      <c r="D3174" s="60"/>
      <c r="E3174" s="60"/>
      <c r="F3174" s="60"/>
      <c r="G3174" s="60"/>
      <c r="H3174" s="60"/>
      <c r="I3174" s="60"/>
      <c r="J3174" s="60"/>
      <c r="K3174" s="60"/>
      <c r="L3174" s="60"/>
      <c r="M3174" s="64"/>
      <c r="N3174" s="33"/>
    </row>
    <row r="3175" ht="24" customHeight="1" spans="2:14">
      <c r="B3175" s="33"/>
      <c r="C3175" s="60"/>
      <c r="D3175" s="60"/>
      <c r="E3175" s="60"/>
      <c r="F3175" s="60"/>
      <c r="G3175" s="60"/>
      <c r="H3175" s="60"/>
      <c r="I3175" s="60"/>
      <c r="J3175" s="60"/>
      <c r="K3175" s="60"/>
      <c r="L3175" s="60"/>
      <c r="M3175" s="64"/>
      <c r="N3175" s="33"/>
    </row>
    <row r="3176" ht="24" customHeight="1" spans="2:14">
      <c r="B3176" s="33"/>
      <c r="C3176" s="60"/>
      <c r="D3176" s="60"/>
      <c r="E3176" s="60"/>
      <c r="F3176" s="60"/>
      <c r="G3176" s="60"/>
      <c r="H3176" s="60"/>
      <c r="I3176" s="60"/>
      <c r="J3176" s="60"/>
      <c r="K3176" s="60"/>
      <c r="L3176" s="60"/>
      <c r="M3176" s="64"/>
      <c r="N3176" s="33"/>
    </row>
    <row r="3177" ht="24" customHeight="1" spans="2:14">
      <c r="B3177" s="33"/>
      <c r="C3177" s="60"/>
      <c r="D3177" s="60"/>
      <c r="E3177" s="60"/>
      <c r="F3177" s="60"/>
      <c r="G3177" s="60"/>
      <c r="H3177" s="60"/>
      <c r="I3177" s="60"/>
      <c r="J3177" s="60"/>
      <c r="K3177" s="60"/>
      <c r="L3177" s="60"/>
      <c r="M3177" s="64"/>
      <c r="N3177" s="33"/>
    </row>
    <row r="3178" ht="24" customHeight="1" spans="2:14">
      <c r="B3178" s="33"/>
      <c r="C3178" s="60"/>
      <c r="D3178" s="60"/>
      <c r="E3178" s="60"/>
      <c r="F3178" s="60"/>
      <c r="G3178" s="60"/>
      <c r="H3178" s="60"/>
      <c r="I3178" s="60"/>
      <c r="J3178" s="60"/>
      <c r="K3178" s="60"/>
      <c r="L3178" s="60"/>
      <c r="M3178" s="64"/>
      <c r="N3178" s="33"/>
    </row>
    <row r="3179" ht="24" customHeight="1" spans="2:14">
      <c r="B3179" s="33"/>
      <c r="C3179" s="60"/>
      <c r="D3179" s="60"/>
      <c r="E3179" s="60"/>
      <c r="F3179" s="60"/>
      <c r="G3179" s="60"/>
      <c r="H3179" s="60"/>
      <c r="I3179" s="60"/>
      <c r="J3179" s="60"/>
      <c r="K3179" s="60"/>
      <c r="L3179" s="60"/>
      <c r="M3179" s="64"/>
      <c r="N3179" s="33"/>
    </row>
    <row r="3180" ht="24" customHeight="1" spans="2:14">
      <c r="B3180" s="33"/>
      <c r="C3180" s="60"/>
      <c r="D3180" s="60"/>
      <c r="E3180" s="60"/>
      <c r="F3180" s="60"/>
      <c r="G3180" s="60"/>
      <c r="H3180" s="60"/>
      <c r="I3180" s="60"/>
      <c r="J3180" s="60"/>
      <c r="K3180" s="60"/>
      <c r="L3180" s="60"/>
      <c r="M3180" s="64"/>
      <c r="N3180" s="33"/>
    </row>
    <row r="3181" ht="24" customHeight="1" spans="2:14">
      <c r="B3181" s="33"/>
      <c r="C3181" s="60"/>
      <c r="D3181" s="60"/>
      <c r="E3181" s="60"/>
      <c r="F3181" s="60"/>
      <c r="G3181" s="60"/>
      <c r="H3181" s="60"/>
      <c r="I3181" s="60"/>
      <c r="J3181" s="60"/>
      <c r="K3181" s="60"/>
      <c r="L3181" s="60"/>
      <c r="M3181" s="64"/>
      <c r="N3181" s="33"/>
    </row>
    <row r="3182" ht="24" customHeight="1" spans="2:14">
      <c r="B3182" s="33"/>
      <c r="C3182" s="60"/>
      <c r="D3182" s="60"/>
      <c r="E3182" s="60"/>
      <c r="F3182" s="60"/>
      <c r="G3182" s="60"/>
      <c r="H3182" s="60"/>
      <c r="I3182" s="60"/>
      <c r="J3182" s="60"/>
      <c r="K3182" s="60"/>
      <c r="L3182" s="60"/>
      <c r="M3182" s="64"/>
      <c r="N3182" s="33"/>
    </row>
    <row r="3183" ht="24" customHeight="1" spans="2:14">
      <c r="B3183" s="33"/>
      <c r="C3183" s="60"/>
      <c r="D3183" s="60"/>
      <c r="E3183" s="60"/>
      <c r="F3183" s="60"/>
      <c r="G3183" s="60"/>
      <c r="H3183" s="60"/>
      <c r="I3183" s="60"/>
      <c r="J3183" s="60"/>
      <c r="K3183" s="60"/>
      <c r="L3183" s="60"/>
      <c r="M3183" s="64"/>
      <c r="N3183" s="33"/>
    </row>
    <row r="3184" ht="24" customHeight="1" spans="2:14">
      <c r="B3184" s="33"/>
      <c r="C3184" s="60"/>
      <c r="D3184" s="60"/>
      <c r="E3184" s="60"/>
      <c r="F3184" s="60"/>
      <c r="G3184" s="60"/>
      <c r="H3184" s="60"/>
      <c r="I3184" s="60"/>
      <c r="J3184" s="60"/>
      <c r="K3184" s="60"/>
      <c r="L3184" s="60"/>
      <c r="M3184" s="64"/>
      <c r="N3184" s="33"/>
    </row>
    <row r="3185" ht="24" customHeight="1" spans="2:14">
      <c r="B3185" s="33"/>
      <c r="C3185" s="60"/>
      <c r="D3185" s="60"/>
      <c r="E3185" s="60"/>
      <c r="F3185" s="60"/>
      <c r="G3185" s="60"/>
      <c r="H3185" s="60"/>
      <c r="I3185" s="60"/>
      <c r="J3185" s="60"/>
      <c r="K3185" s="60"/>
      <c r="L3185" s="60"/>
      <c r="M3185" s="64"/>
      <c r="N3185" s="33"/>
    </row>
    <row r="3186" ht="24" customHeight="1" spans="2:14">
      <c r="B3186" s="33"/>
      <c r="C3186" s="60"/>
      <c r="D3186" s="60"/>
      <c r="E3186" s="60"/>
      <c r="F3186" s="60"/>
      <c r="G3186" s="60"/>
      <c r="H3186" s="60"/>
      <c r="I3186" s="60"/>
      <c r="J3186" s="60"/>
      <c r="K3186" s="60"/>
      <c r="L3186" s="60"/>
      <c r="M3186" s="64"/>
      <c r="N3186" s="33"/>
    </row>
    <row r="3187" ht="24" customHeight="1" spans="2:14">
      <c r="B3187" s="33"/>
      <c r="C3187" s="60"/>
      <c r="D3187" s="60"/>
      <c r="E3187" s="60"/>
      <c r="F3187" s="60"/>
      <c r="G3187" s="60"/>
      <c r="H3187" s="60"/>
      <c r="I3187" s="60"/>
      <c r="J3187" s="60"/>
      <c r="K3187" s="60"/>
      <c r="L3187" s="60"/>
      <c r="M3187" s="64"/>
      <c r="N3187" s="33"/>
    </row>
    <row r="3188" ht="24" customHeight="1" spans="2:14">
      <c r="B3188" s="33"/>
      <c r="C3188" s="60"/>
      <c r="D3188" s="60"/>
      <c r="E3188" s="60"/>
      <c r="F3188" s="60"/>
      <c r="G3188" s="60"/>
      <c r="H3188" s="60"/>
      <c r="I3188" s="60"/>
      <c r="J3188" s="60"/>
      <c r="K3188" s="60"/>
      <c r="L3188" s="60"/>
      <c r="M3188" s="64"/>
      <c r="N3188" s="33"/>
    </row>
    <row r="3189" ht="24" customHeight="1" spans="2:14">
      <c r="B3189" s="33"/>
      <c r="C3189" s="60"/>
      <c r="D3189" s="60"/>
      <c r="E3189" s="60"/>
      <c r="F3189" s="60"/>
      <c r="G3189" s="60"/>
      <c r="H3189" s="60"/>
      <c r="I3189" s="60"/>
      <c r="J3189" s="60"/>
      <c r="K3189" s="60"/>
      <c r="L3189" s="60"/>
      <c r="M3189" s="64"/>
      <c r="N3189" s="33"/>
    </row>
    <row r="3190" ht="24" customHeight="1" spans="2:14">
      <c r="B3190" s="33"/>
      <c r="C3190" s="60"/>
      <c r="D3190" s="60"/>
      <c r="E3190" s="60"/>
      <c r="F3190" s="60"/>
      <c r="G3190" s="60"/>
      <c r="H3190" s="60"/>
      <c r="I3190" s="60"/>
      <c r="J3190" s="60"/>
      <c r="K3190" s="60"/>
      <c r="L3190" s="60"/>
      <c r="M3190" s="64"/>
      <c r="N3190" s="33"/>
    </row>
    <row r="3191" ht="24" customHeight="1" spans="2:14">
      <c r="B3191" s="33"/>
      <c r="C3191" s="60"/>
      <c r="D3191" s="60"/>
      <c r="E3191" s="60"/>
      <c r="F3191" s="60"/>
      <c r="G3191" s="60"/>
      <c r="H3191" s="60"/>
      <c r="I3191" s="60"/>
      <c r="J3191" s="60"/>
      <c r="K3191" s="60"/>
      <c r="L3191" s="60"/>
      <c r="M3191" s="64"/>
      <c r="N3191" s="33"/>
    </row>
    <row r="3192" ht="24" customHeight="1" spans="2:14">
      <c r="B3192" s="33"/>
      <c r="C3192" s="60"/>
      <c r="D3192" s="60"/>
      <c r="E3192" s="60"/>
      <c r="F3192" s="60"/>
      <c r="G3192" s="60"/>
      <c r="H3192" s="60"/>
      <c r="I3192" s="60"/>
      <c r="J3192" s="60"/>
      <c r="K3192" s="60"/>
      <c r="L3192" s="60"/>
      <c r="M3192" s="64"/>
      <c r="N3192" s="33"/>
    </row>
    <row r="3193" ht="24" customHeight="1" spans="2:14">
      <c r="B3193" s="33"/>
      <c r="C3193" s="60"/>
      <c r="D3193" s="60"/>
      <c r="E3193" s="60"/>
      <c r="F3193" s="60"/>
      <c r="G3193" s="60"/>
      <c r="H3193" s="60"/>
      <c r="I3193" s="60"/>
      <c r="J3193" s="60"/>
      <c r="K3193" s="60"/>
      <c r="L3193" s="60"/>
      <c r="M3193" s="64"/>
      <c r="N3193" s="33"/>
    </row>
    <row r="3194" ht="24" customHeight="1" spans="2:14">
      <c r="B3194" s="33"/>
      <c r="C3194" s="60"/>
      <c r="D3194" s="60"/>
      <c r="E3194" s="60"/>
      <c r="F3194" s="60"/>
      <c r="G3194" s="60"/>
      <c r="H3194" s="60"/>
      <c r="I3194" s="60"/>
      <c r="J3194" s="60"/>
      <c r="K3194" s="60"/>
      <c r="L3194" s="60"/>
      <c r="M3194" s="64"/>
      <c r="N3194" s="33"/>
    </row>
    <row r="3195" ht="24" customHeight="1" spans="2:14">
      <c r="B3195" s="33"/>
      <c r="C3195" s="60"/>
      <c r="D3195" s="60"/>
      <c r="E3195" s="60"/>
      <c r="F3195" s="60"/>
      <c r="G3195" s="60"/>
      <c r="H3195" s="60"/>
      <c r="I3195" s="60"/>
      <c r="J3195" s="60"/>
      <c r="K3195" s="60"/>
      <c r="L3195" s="60"/>
      <c r="M3195" s="64"/>
      <c r="N3195" s="33"/>
    </row>
    <row r="3196" ht="24" customHeight="1" spans="2:14">
      <c r="B3196" s="33"/>
      <c r="C3196" s="60"/>
      <c r="D3196" s="60"/>
      <c r="E3196" s="60"/>
      <c r="F3196" s="60"/>
      <c r="G3196" s="60"/>
      <c r="H3196" s="60"/>
      <c r="I3196" s="60"/>
      <c r="J3196" s="60"/>
      <c r="K3196" s="60"/>
      <c r="L3196" s="60"/>
      <c r="M3196" s="64"/>
      <c r="N3196" s="33"/>
    </row>
    <row r="3197" ht="24" customHeight="1" spans="2:14">
      <c r="B3197" s="33"/>
      <c r="C3197" s="60"/>
      <c r="D3197" s="60"/>
      <c r="E3197" s="60"/>
      <c r="F3197" s="60"/>
      <c r="G3197" s="60"/>
      <c r="H3197" s="60"/>
      <c r="I3197" s="60"/>
      <c r="J3197" s="60"/>
      <c r="K3197" s="60"/>
      <c r="L3197" s="60"/>
      <c r="M3197" s="64"/>
      <c r="N3197" s="33"/>
    </row>
    <row r="3198" ht="24" customHeight="1" spans="2:14">
      <c r="B3198" s="33"/>
      <c r="C3198" s="60"/>
      <c r="D3198" s="60"/>
      <c r="E3198" s="60"/>
      <c r="F3198" s="60"/>
      <c r="G3198" s="60"/>
      <c r="H3198" s="60"/>
      <c r="I3198" s="60"/>
      <c r="J3198" s="60"/>
      <c r="K3198" s="60"/>
      <c r="L3198" s="60"/>
      <c r="M3198" s="64"/>
      <c r="N3198" s="33"/>
    </row>
    <row r="3199" ht="24" customHeight="1" spans="2:14">
      <c r="B3199" s="33"/>
      <c r="C3199" s="60"/>
      <c r="D3199" s="60"/>
      <c r="E3199" s="60"/>
      <c r="F3199" s="60"/>
      <c r="G3199" s="60"/>
      <c r="H3199" s="60"/>
      <c r="I3199" s="60"/>
      <c r="J3199" s="60"/>
      <c r="K3199" s="60"/>
      <c r="L3199" s="60"/>
      <c r="M3199" s="64"/>
      <c r="N3199" s="33"/>
    </row>
    <row r="3200" ht="24" customHeight="1" spans="2:14">
      <c r="B3200" s="33"/>
      <c r="C3200" s="60"/>
      <c r="D3200" s="60"/>
      <c r="E3200" s="60"/>
      <c r="F3200" s="60"/>
      <c r="G3200" s="60"/>
      <c r="H3200" s="60"/>
      <c r="I3200" s="60"/>
      <c r="J3200" s="60"/>
      <c r="K3200" s="60"/>
      <c r="L3200" s="60"/>
      <c r="M3200" s="64"/>
      <c r="N3200" s="33"/>
    </row>
    <row r="3201" ht="24" customHeight="1" spans="2:14">
      <c r="B3201" s="33"/>
      <c r="C3201" s="60"/>
      <c r="D3201" s="60"/>
      <c r="E3201" s="60"/>
      <c r="F3201" s="60"/>
      <c r="G3201" s="60"/>
      <c r="H3201" s="60"/>
      <c r="I3201" s="60"/>
      <c r="J3201" s="60"/>
      <c r="K3201" s="60"/>
      <c r="L3201" s="60"/>
      <c r="M3201" s="64"/>
      <c r="N3201" s="33"/>
    </row>
    <row r="3202" ht="24" customHeight="1" spans="2:14">
      <c r="B3202" s="33"/>
      <c r="C3202" s="60"/>
      <c r="D3202" s="60"/>
      <c r="E3202" s="60"/>
      <c r="F3202" s="60"/>
      <c r="G3202" s="60"/>
      <c r="H3202" s="60"/>
      <c r="I3202" s="60"/>
      <c r="J3202" s="60"/>
      <c r="K3202" s="60"/>
      <c r="L3202" s="60"/>
      <c r="M3202" s="64"/>
      <c r="N3202" s="33"/>
    </row>
    <row r="3203" ht="24" customHeight="1" spans="2:14">
      <c r="B3203" s="33"/>
      <c r="C3203" s="60"/>
      <c r="D3203" s="60"/>
      <c r="E3203" s="60"/>
      <c r="F3203" s="60"/>
      <c r="G3203" s="60"/>
      <c r="H3203" s="60"/>
      <c r="I3203" s="60"/>
      <c r="J3203" s="60"/>
      <c r="K3203" s="60"/>
      <c r="L3203" s="60"/>
      <c r="M3203" s="64"/>
      <c r="N3203" s="33"/>
    </row>
    <row r="3204" ht="24" customHeight="1" spans="2:14">
      <c r="B3204" s="33"/>
      <c r="C3204" s="60"/>
      <c r="D3204" s="60"/>
      <c r="E3204" s="60"/>
      <c r="F3204" s="60"/>
      <c r="G3204" s="60"/>
      <c r="H3204" s="60"/>
      <c r="I3204" s="60"/>
      <c r="J3204" s="60"/>
      <c r="K3204" s="60"/>
      <c r="L3204" s="60"/>
      <c r="M3204" s="64"/>
      <c r="N3204" s="33"/>
    </row>
    <row r="3205" ht="24" customHeight="1" spans="2:14">
      <c r="B3205" s="33"/>
      <c r="C3205" s="60"/>
      <c r="D3205" s="60"/>
      <c r="E3205" s="60"/>
      <c r="F3205" s="60"/>
      <c r="G3205" s="60"/>
      <c r="H3205" s="60"/>
      <c r="I3205" s="60"/>
      <c r="J3205" s="60"/>
      <c r="K3205" s="60"/>
      <c r="L3205" s="60"/>
      <c r="M3205" s="64"/>
      <c r="N3205" s="33"/>
    </row>
    <row r="3206" ht="24" customHeight="1" spans="2:14">
      <c r="B3206" s="33"/>
      <c r="C3206" s="60"/>
      <c r="D3206" s="60"/>
      <c r="E3206" s="60"/>
      <c r="F3206" s="60"/>
      <c r="G3206" s="60"/>
      <c r="H3206" s="60"/>
      <c r="I3206" s="60"/>
      <c r="J3206" s="60"/>
      <c r="K3206" s="60"/>
      <c r="L3206" s="60"/>
      <c r="M3206" s="64"/>
      <c r="N3206" s="33"/>
    </row>
    <row r="3207" ht="24" customHeight="1" spans="2:14">
      <c r="B3207" s="33"/>
      <c r="C3207" s="60"/>
      <c r="D3207" s="60"/>
      <c r="E3207" s="60"/>
      <c r="F3207" s="60"/>
      <c r="G3207" s="60"/>
      <c r="H3207" s="60"/>
      <c r="I3207" s="60"/>
      <c r="J3207" s="60"/>
      <c r="K3207" s="60"/>
      <c r="L3207" s="60"/>
      <c r="M3207" s="64"/>
      <c r="N3207" s="33"/>
    </row>
    <row r="3208" ht="24" customHeight="1" spans="2:14">
      <c r="B3208" s="33"/>
      <c r="C3208" s="60"/>
      <c r="D3208" s="60"/>
      <c r="E3208" s="60"/>
      <c r="F3208" s="60"/>
      <c r="G3208" s="60"/>
      <c r="H3208" s="60"/>
      <c r="I3208" s="60"/>
      <c r="J3208" s="60"/>
      <c r="K3208" s="60"/>
      <c r="L3208" s="60"/>
      <c r="M3208" s="64"/>
      <c r="N3208" s="33"/>
    </row>
    <row r="3209" ht="24" customHeight="1" spans="2:14">
      <c r="B3209" s="33"/>
      <c r="C3209" s="60"/>
      <c r="D3209" s="60"/>
      <c r="E3209" s="60"/>
      <c r="F3209" s="60"/>
      <c r="G3209" s="60"/>
      <c r="H3209" s="60"/>
      <c r="I3209" s="60"/>
      <c r="J3209" s="60"/>
      <c r="K3209" s="60"/>
      <c r="L3209" s="60"/>
      <c r="M3209" s="64"/>
      <c r="N3209" s="33"/>
    </row>
    <row r="3210" ht="24" customHeight="1" spans="2:14">
      <c r="B3210" s="33"/>
      <c r="C3210" s="60"/>
      <c r="D3210" s="60"/>
      <c r="E3210" s="60"/>
      <c r="F3210" s="60"/>
      <c r="G3210" s="60"/>
      <c r="H3210" s="60"/>
      <c r="I3210" s="60"/>
      <c r="J3210" s="60"/>
      <c r="K3210" s="60"/>
      <c r="L3210" s="60"/>
      <c r="M3210" s="64"/>
      <c r="N3210" s="33"/>
    </row>
    <row r="3211" ht="24" customHeight="1" spans="2:14">
      <c r="B3211" s="33"/>
      <c r="C3211" s="60"/>
      <c r="D3211" s="60"/>
      <c r="E3211" s="60"/>
      <c r="F3211" s="60"/>
      <c r="G3211" s="60"/>
      <c r="H3211" s="60"/>
      <c r="I3211" s="60"/>
      <c r="J3211" s="60"/>
      <c r="K3211" s="60"/>
      <c r="L3211" s="60"/>
      <c r="M3211" s="64"/>
      <c r="N3211" s="33"/>
    </row>
    <row r="3212" ht="24" customHeight="1" spans="2:14">
      <c r="B3212" s="33"/>
      <c r="C3212" s="60"/>
      <c r="D3212" s="60"/>
      <c r="E3212" s="60"/>
      <c r="F3212" s="60"/>
      <c r="G3212" s="60"/>
      <c r="H3212" s="60"/>
      <c r="I3212" s="60"/>
      <c r="J3212" s="60"/>
      <c r="K3212" s="60"/>
      <c r="L3212" s="60"/>
      <c r="M3212" s="64"/>
      <c r="N3212" s="33"/>
    </row>
    <row r="3213" ht="24" customHeight="1" spans="2:14">
      <c r="B3213" s="33"/>
      <c r="C3213" s="60"/>
      <c r="D3213" s="60"/>
      <c r="E3213" s="60"/>
      <c r="F3213" s="60"/>
      <c r="G3213" s="60"/>
      <c r="H3213" s="60"/>
      <c r="I3213" s="60"/>
      <c r="J3213" s="60"/>
      <c r="K3213" s="60"/>
      <c r="L3213" s="60"/>
      <c r="M3213" s="64"/>
      <c r="N3213" s="33"/>
    </row>
    <row r="3214" ht="24" customHeight="1" spans="2:14">
      <c r="B3214" s="33"/>
      <c r="C3214" s="60"/>
      <c r="D3214" s="60"/>
      <c r="E3214" s="60"/>
      <c r="F3214" s="60"/>
      <c r="G3214" s="60"/>
      <c r="H3214" s="60"/>
      <c r="I3214" s="60"/>
      <c r="J3214" s="60"/>
      <c r="K3214" s="60"/>
      <c r="L3214" s="60"/>
      <c r="M3214" s="64"/>
      <c r="N3214" s="33"/>
    </row>
    <row r="3215" ht="24" customHeight="1" spans="2:14">
      <c r="B3215" s="33"/>
      <c r="C3215" s="60"/>
      <c r="D3215" s="60"/>
      <c r="E3215" s="60"/>
      <c r="F3215" s="60"/>
      <c r="G3215" s="60"/>
      <c r="H3215" s="60"/>
      <c r="I3215" s="60"/>
      <c r="J3215" s="60"/>
      <c r="K3215" s="60"/>
      <c r="L3215" s="60"/>
      <c r="M3215" s="64"/>
      <c r="N3215" s="33"/>
    </row>
    <row r="3216" ht="24" customHeight="1" spans="2:14">
      <c r="B3216" s="33"/>
      <c r="C3216" s="60"/>
      <c r="D3216" s="60"/>
      <c r="E3216" s="60"/>
      <c r="F3216" s="60"/>
      <c r="G3216" s="60"/>
      <c r="H3216" s="60"/>
      <c r="I3216" s="60"/>
      <c r="J3216" s="60"/>
      <c r="K3216" s="60"/>
      <c r="L3216" s="60"/>
      <c r="M3216" s="64"/>
      <c r="N3216" s="33"/>
    </row>
    <row r="3217" ht="24" customHeight="1" spans="2:14">
      <c r="B3217" s="33"/>
      <c r="C3217" s="60"/>
      <c r="D3217" s="60"/>
      <c r="E3217" s="60"/>
      <c r="F3217" s="60"/>
      <c r="G3217" s="60"/>
      <c r="H3217" s="60"/>
      <c r="I3217" s="60"/>
      <c r="J3217" s="60"/>
      <c r="K3217" s="60"/>
      <c r="L3217" s="60"/>
      <c r="M3217" s="64"/>
      <c r="N3217" s="33"/>
    </row>
    <row r="3218" ht="24" customHeight="1" spans="2:14">
      <c r="B3218" s="33"/>
      <c r="C3218" s="60"/>
      <c r="D3218" s="60"/>
      <c r="E3218" s="60"/>
      <c r="F3218" s="60"/>
      <c r="G3218" s="60"/>
      <c r="H3218" s="60"/>
      <c r="I3218" s="60"/>
      <c r="J3218" s="60"/>
      <c r="K3218" s="60"/>
      <c r="L3218" s="60"/>
      <c r="M3218" s="64"/>
      <c r="N3218" s="33"/>
    </row>
    <row r="3219" ht="24" customHeight="1" spans="2:14">
      <c r="B3219" s="33"/>
      <c r="C3219" s="60"/>
      <c r="D3219" s="60"/>
      <c r="E3219" s="60"/>
      <c r="F3219" s="60"/>
      <c r="G3219" s="60"/>
      <c r="H3219" s="60"/>
      <c r="I3219" s="60"/>
      <c r="J3219" s="60"/>
      <c r="K3219" s="60"/>
      <c r="L3219" s="60"/>
      <c r="M3219" s="64"/>
      <c r="N3219" s="33"/>
    </row>
    <row r="3220" ht="24" customHeight="1" spans="2:14">
      <c r="B3220" s="33"/>
      <c r="C3220" s="60"/>
      <c r="D3220" s="60"/>
      <c r="E3220" s="60"/>
      <c r="F3220" s="60"/>
      <c r="G3220" s="60"/>
      <c r="H3220" s="60"/>
      <c r="I3220" s="60"/>
      <c r="J3220" s="60"/>
      <c r="K3220" s="60"/>
      <c r="L3220" s="60"/>
      <c r="M3220" s="64"/>
      <c r="N3220" s="33"/>
    </row>
    <row r="3221" ht="24" customHeight="1" spans="2:14">
      <c r="B3221" s="33"/>
      <c r="C3221" s="60"/>
      <c r="D3221" s="60"/>
      <c r="E3221" s="60"/>
      <c r="F3221" s="60"/>
      <c r="G3221" s="60"/>
      <c r="H3221" s="60"/>
      <c r="I3221" s="60"/>
      <c r="J3221" s="60"/>
      <c r="K3221" s="60"/>
      <c r="L3221" s="60"/>
      <c r="M3221" s="64"/>
      <c r="N3221" s="33"/>
    </row>
    <row r="3222" ht="24" customHeight="1" spans="2:14">
      <c r="B3222" s="33"/>
      <c r="C3222" s="60"/>
      <c r="D3222" s="60"/>
      <c r="E3222" s="60"/>
      <c r="F3222" s="60"/>
      <c r="G3222" s="60"/>
      <c r="H3222" s="60"/>
      <c r="I3222" s="60"/>
      <c r="J3222" s="60"/>
      <c r="K3222" s="60"/>
      <c r="L3222" s="60"/>
      <c r="M3222" s="64"/>
      <c r="N3222" s="33"/>
    </row>
    <row r="3223" ht="24" customHeight="1" spans="2:14">
      <c r="B3223" s="33"/>
      <c r="C3223" s="60"/>
      <c r="D3223" s="60"/>
      <c r="E3223" s="60"/>
      <c r="F3223" s="60"/>
      <c r="G3223" s="60"/>
      <c r="H3223" s="60"/>
      <c r="I3223" s="60"/>
      <c r="J3223" s="60"/>
      <c r="K3223" s="60"/>
      <c r="L3223" s="60"/>
      <c r="M3223" s="64"/>
      <c r="N3223" s="33"/>
    </row>
    <row r="3224" ht="24" customHeight="1" spans="2:14">
      <c r="B3224" s="33"/>
      <c r="C3224" s="60"/>
      <c r="D3224" s="60"/>
      <c r="E3224" s="60"/>
      <c r="F3224" s="60"/>
      <c r="G3224" s="60"/>
      <c r="H3224" s="60"/>
      <c r="I3224" s="60"/>
      <c r="J3224" s="60"/>
      <c r="K3224" s="60"/>
      <c r="L3224" s="60"/>
      <c r="M3224" s="64"/>
      <c r="N3224" s="33"/>
    </row>
    <row r="3225" ht="24" customHeight="1" spans="2:14">
      <c r="B3225" s="33"/>
      <c r="C3225" s="60"/>
      <c r="D3225" s="60"/>
      <c r="E3225" s="60"/>
      <c r="F3225" s="60"/>
      <c r="G3225" s="60"/>
      <c r="H3225" s="60"/>
      <c r="I3225" s="60"/>
      <c r="J3225" s="60"/>
      <c r="K3225" s="60"/>
      <c r="L3225" s="60"/>
      <c r="M3225" s="64"/>
      <c r="N3225" s="33"/>
    </row>
    <row r="3226" ht="24" customHeight="1" spans="2:14">
      <c r="B3226" s="33"/>
      <c r="C3226" s="60"/>
      <c r="D3226" s="60"/>
      <c r="E3226" s="60"/>
      <c r="F3226" s="60"/>
      <c r="G3226" s="60"/>
      <c r="H3226" s="60"/>
      <c r="I3226" s="60"/>
      <c r="J3226" s="60"/>
      <c r="K3226" s="60"/>
      <c r="L3226" s="60"/>
      <c r="M3226" s="64"/>
      <c r="N3226" s="33"/>
    </row>
    <row r="3227" ht="24" customHeight="1" spans="2:14">
      <c r="B3227" s="33"/>
      <c r="C3227" s="60"/>
      <c r="D3227" s="60"/>
      <c r="E3227" s="60"/>
      <c r="F3227" s="60"/>
      <c r="G3227" s="60"/>
      <c r="H3227" s="60"/>
      <c r="I3227" s="60"/>
      <c r="J3227" s="60"/>
      <c r="K3227" s="60"/>
      <c r="L3227" s="60"/>
      <c r="M3227" s="64"/>
      <c r="N3227" s="33"/>
    </row>
    <row r="3228" ht="24" customHeight="1" spans="2:14">
      <c r="B3228" s="33"/>
      <c r="C3228" s="60"/>
      <c r="D3228" s="60"/>
      <c r="E3228" s="60"/>
      <c r="F3228" s="60"/>
      <c r="G3228" s="60"/>
      <c r="H3228" s="60"/>
      <c r="I3228" s="60"/>
      <c r="J3228" s="60"/>
      <c r="K3228" s="60"/>
      <c r="L3228" s="60"/>
      <c r="M3228" s="64"/>
      <c r="N3228" s="33"/>
    </row>
    <row r="3229" ht="24" customHeight="1" spans="2:14">
      <c r="B3229" s="33"/>
      <c r="C3229" s="60"/>
      <c r="D3229" s="60"/>
      <c r="E3229" s="60"/>
      <c r="F3229" s="60"/>
      <c r="G3229" s="60"/>
      <c r="H3229" s="60"/>
      <c r="I3229" s="60"/>
      <c r="J3229" s="60"/>
      <c r="K3229" s="60"/>
      <c r="L3229" s="60"/>
      <c r="M3229" s="64"/>
      <c r="N3229" s="33"/>
    </row>
    <row r="3230" ht="24" customHeight="1" spans="2:14">
      <c r="B3230" s="33"/>
      <c r="C3230" s="60"/>
      <c r="D3230" s="60"/>
      <c r="E3230" s="60"/>
      <c r="F3230" s="60"/>
      <c r="G3230" s="60"/>
      <c r="H3230" s="60"/>
      <c r="I3230" s="60"/>
      <c r="J3230" s="60"/>
      <c r="K3230" s="60"/>
      <c r="L3230" s="60"/>
      <c r="M3230" s="64"/>
      <c r="N3230" s="33"/>
    </row>
    <row r="3231" ht="24" customHeight="1" spans="2:14">
      <c r="B3231" s="33"/>
      <c r="C3231" s="60"/>
      <c r="D3231" s="60"/>
      <c r="E3231" s="60"/>
      <c r="F3231" s="60"/>
      <c r="G3231" s="60"/>
      <c r="H3231" s="60"/>
      <c r="I3231" s="60"/>
      <c r="J3231" s="60"/>
      <c r="K3231" s="60"/>
      <c r="L3231" s="60"/>
      <c r="M3231" s="64"/>
      <c r="N3231" s="33"/>
    </row>
    <row r="3232" ht="24" customHeight="1" spans="2:14">
      <c r="B3232" s="33"/>
      <c r="C3232" s="60"/>
      <c r="D3232" s="60"/>
      <c r="E3232" s="60"/>
      <c r="F3232" s="60"/>
      <c r="G3232" s="60"/>
      <c r="H3232" s="60"/>
      <c r="I3232" s="60"/>
      <c r="J3232" s="60"/>
      <c r="K3232" s="60"/>
      <c r="L3232" s="60"/>
      <c r="M3232" s="64"/>
      <c r="N3232" s="33"/>
    </row>
    <row r="3233" ht="24" customHeight="1" spans="2:14">
      <c r="B3233" s="33"/>
      <c r="C3233" s="60"/>
      <c r="D3233" s="60"/>
      <c r="E3233" s="60"/>
      <c r="F3233" s="60"/>
      <c r="G3233" s="60"/>
      <c r="H3233" s="60"/>
      <c r="I3233" s="60"/>
      <c r="J3233" s="60"/>
      <c r="K3233" s="60"/>
      <c r="L3233" s="60"/>
      <c r="M3233" s="64"/>
      <c r="N3233" s="33"/>
    </row>
    <row r="3234" ht="24" customHeight="1" spans="2:14">
      <c r="B3234" s="33"/>
      <c r="C3234" s="60"/>
      <c r="D3234" s="60"/>
      <c r="E3234" s="60"/>
      <c r="F3234" s="60"/>
      <c r="G3234" s="60"/>
      <c r="H3234" s="60"/>
      <c r="I3234" s="60"/>
      <c r="J3234" s="60"/>
      <c r="K3234" s="60"/>
      <c r="L3234" s="60"/>
      <c r="M3234" s="64"/>
      <c r="N3234" s="33"/>
    </row>
    <row r="3235" ht="24" customHeight="1" spans="2:14">
      <c r="B3235" s="33"/>
      <c r="C3235" s="60"/>
      <c r="D3235" s="60"/>
      <c r="E3235" s="60"/>
      <c r="F3235" s="60"/>
      <c r="G3235" s="60"/>
      <c r="H3235" s="60"/>
      <c r="I3235" s="60"/>
      <c r="J3235" s="60"/>
      <c r="K3235" s="60"/>
      <c r="L3235" s="60"/>
      <c r="M3235" s="64"/>
      <c r="N3235" s="33"/>
    </row>
    <row r="3236" ht="24" customHeight="1" spans="2:14">
      <c r="B3236" s="33"/>
      <c r="C3236" s="60"/>
      <c r="D3236" s="60"/>
      <c r="E3236" s="60"/>
      <c r="F3236" s="60"/>
      <c r="G3236" s="60"/>
      <c r="H3236" s="60"/>
      <c r="I3236" s="60"/>
      <c r="J3236" s="60"/>
      <c r="K3236" s="60"/>
      <c r="L3236" s="60"/>
      <c r="M3236" s="64"/>
      <c r="N3236" s="33"/>
    </row>
    <row r="3237" ht="24" customHeight="1" spans="2:14">
      <c r="B3237" s="33"/>
      <c r="C3237" s="60"/>
      <c r="D3237" s="60"/>
      <c r="E3237" s="60"/>
      <c r="F3237" s="60"/>
      <c r="G3237" s="60"/>
      <c r="H3237" s="60"/>
      <c r="I3237" s="60"/>
      <c r="J3237" s="60"/>
      <c r="K3237" s="60"/>
      <c r="L3237" s="60"/>
      <c r="M3237" s="64"/>
      <c r="N3237" s="33"/>
    </row>
    <row r="3238" ht="24" customHeight="1" spans="2:14">
      <c r="B3238" s="33"/>
      <c r="C3238" s="60"/>
      <c r="D3238" s="60"/>
      <c r="E3238" s="60"/>
      <c r="F3238" s="60"/>
      <c r="G3238" s="60"/>
      <c r="H3238" s="60"/>
      <c r="I3238" s="60"/>
      <c r="J3238" s="60"/>
      <c r="K3238" s="60"/>
      <c r="L3238" s="60"/>
      <c r="M3238" s="64"/>
      <c r="N3238" s="33"/>
    </row>
    <row r="3239" ht="24" customHeight="1" spans="2:14">
      <c r="B3239" s="33"/>
      <c r="C3239" s="60"/>
      <c r="D3239" s="60"/>
      <c r="E3239" s="60"/>
      <c r="F3239" s="60"/>
      <c r="G3239" s="60"/>
      <c r="H3239" s="60"/>
      <c r="I3239" s="60"/>
      <c r="J3239" s="60"/>
      <c r="K3239" s="60"/>
      <c r="L3239" s="60"/>
      <c r="M3239" s="64"/>
      <c r="N3239" s="33"/>
    </row>
    <row r="3240" ht="24" customHeight="1" spans="2:14">
      <c r="B3240" s="33"/>
      <c r="C3240" s="60"/>
      <c r="D3240" s="60"/>
      <c r="E3240" s="60"/>
      <c r="F3240" s="60"/>
      <c r="G3240" s="60"/>
      <c r="H3240" s="60"/>
      <c r="I3240" s="60"/>
      <c r="J3240" s="60"/>
      <c r="K3240" s="60"/>
      <c r="L3240" s="60"/>
      <c r="M3240" s="64"/>
      <c r="N3240" s="33"/>
    </row>
    <row r="3241" ht="24" customHeight="1" spans="2:14">
      <c r="B3241" s="33"/>
      <c r="C3241" s="60"/>
      <c r="D3241" s="60"/>
      <c r="E3241" s="60"/>
      <c r="F3241" s="60"/>
      <c r="G3241" s="60"/>
      <c r="H3241" s="60"/>
      <c r="I3241" s="60"/>
      <c r="J3241" s="60"/>
      <c r="K3241" s="60"/>
      <c r="L3241" s="60"/>
      <c r="M3241" s="64"/>
      <c r="N3241" s="33"/>
    </row>
    <row r="3242" ht="24" customHeight="1" spans="2:14">
      <c r="B3242" s="33"/>
      <c r="C3242" s="60"/>
      <c r="D3242" s="60"/>
      <c r="E3242" s="60"/>
      <c r="F3242" s="60"/>
      <c r="G3242" s="60"/>
      <c r="H3242" s="60"/>
      <c r="I3242" s="60"/>
      <c r="J3242" s="60"/>
      <c r="K3242" s="60"/>
      <c r="L3242" s="60"/>
      <c r="M3242" s="64"/>
      <c r="N3242" s="33"/>
    </row>
    <row r="3243" ht="24" customHeight="1" spans="2:14">
      <c r="B3243" s="33"/>
      <c r="C3243" s="60"/>
      <c r="D3243" s="60"/>
      <c r="E3243" s="60"/>
      <c r="F3243" s="60"/>
      <c r="G3243" s="60"/>
      <c r="H3243" s="60"/>
      <c r="I3243" s="60"/>
      <c r="J3243" s="60"/>
      <c r="K3243" s="60"/>
      <c r="L3243" s="60"/>
      <c r="M3243" s="64"/>
      <c r="N3243" s="33"/>
    </row>
    <row r="3244" ht="24" customHeight="1" spans="2:14">
      <c r="B3244" s="33"/>
      <c r="C3244" s="60"/>
      <c r="D3244" s="60"/>
      <c r="E3244" s="60"/>
      <c r="F3244" s="60"/>
      <c r="G3244" s="60"/>
      <c r="H3244" s="60"/>
      <c r="I3244" s="60"/>
      <c r="J3244" s="60"/>
      <c r="K3244" s="60"/>
      <c r="L3244" s="60"/>
      <c r="M3244" s="64"/>
      <c r="N3244" s="33"/>
    </row>
    <row r="3245" ht="24" customHeight="1" spans="2:14">
      <c r="B3245" s="33"/>
      <c r="C3245" s="60"/>
      <c r="D3245" s="60"/>
      <c r="E3245" s="60"/>
      <c r="F3245" s="60"/>
      <c r="G3245" s="60"/>
      <c r="H3245" s="60"/>
      <c r="I3245" s="60"/>
      <c r="J3245" s="60"/>
      <c r="K3245" s="60"/>
      <c r="L3245" s="60"/>
      <c r="M3245" s="64"/>
      <c r="N3245" s="33"/>
    </row>
    <row r="3246" ht="24" customHeight="1" spans="2:14">
      <c r="B3246" s="33"/>
      <c r="C3246" s="60"/>
      <c r="D3246" s="60"/>
      <c r="E3246" s="60"/>
      <c r="F3246" s="60"/>
      <c r="G3246" s="60"/>
      <c r="H3246" s="60"/>
      <c r="I3246" s="60"/>
      <c r="J3246" s="60"/>
      <c r="K3246" s="60"/>
      <c r="L3246" s="60"/>
      <c r="M3246" s="64"/>
      <c r="N3246" s="33"/>
    </row>
    <row r="3247" ht="24" customHeight="1" spans="2:14">
      <c r="B3247" s="33"/>
      <c r="C3247" s="60"/>
      <c r="D3247" s="60"/>
      <c r="E3247" s="60"/>
      <c r="F3247" s="60"/>
      <c r="G3247" s="60"/>
      <c r="H3247" s="60"/>
      <c r="I3247" s="60"/>
      <c r="J3247" s="60"/>
      <c r="K3247" s="60"/>
      <c r="L3247" s="60"/>
      <c r="M3247" s="64"/>
      <c r="N3247" s="33"/>
    </row>
    <row r="3248" ht="24" customHeight="1" spans="2:14">
      <c r="B3248" s="33"/>
      <c r="C3248" s="60"/>
      <c r="D3248" s="60"/>
      <c r="E3248" s="60"/>
      <c r="F3248" s="60"/>
      <c r="G3248" s="60"/>
      <c r="H3248" s="60"/>
      <c r="I3248" s="60"/>
      <c r="J3248" s="60"/>
      <c r="K3248" s="60"/>
      <c r="L3248" s="60"/>
      <c r="M3248" s="64"/>
      <c r="N3248" s="33"/>
    </row>
    <row r="3249" ht="24" customHeight="1" spans="2:14">
      <c r="B3249" s="33"/>
      <c r="C3249" s="60"/>
      <c r="D3249" s="60"/>
      <c r="E3249" s="60"/>
      <c r="F3249" s="60"/>
      <c r="G3249" s="60"/>
      <c r="H3249" s="60"/>
      <c r="I3249" s="60"/>
      <c r="J3249" s="60"/>
      <c r="K3249" s="60"/>
      <c r="L3249" s="60"/>
      <c r="M3249" s="64"/>
      <c r="N3249" s="33"/>
    </row>
    <row r="3250" ht="24" customHeight="1" spans="2:14">
      <c r="B3250" s="33"/>
      <c r="C3250" s="60"/>
      <c r="D3250" s="60"/>
      <c r="E3250" s="60"/>
      <c r="F3250" s="60"/>
      <c r="G3250" s="60"/>
      <c r="H3250" s="60"/>
      <c r="I3250" s="60"/>
      <c r="J3250" s="60"/>
      <c r="K3250" s="60"/>
      <c r="L3250" s="60"/>
      <c r="M3250" s="64"/>
      <c r="N3250" s="33"/>
    </row>
    <row r="3251" ht="24" customHeight="1" spans="2:14">
      <c r="B3251" s="33"/>
      <c r="C3251" s="60"/>
      <c r="D3251" s="60"/>
      <c r="E3251" s="60"/>
      <c r="F3251" s="60"/>
      <c r="G3251" s="60"/>
      <c r="H3251" s="60"/>
      <c r="I3251" s="60"/>
      <c r="J3251" s="60"/>
      <c r="K3251" s="60"/>
      <c r="L3251" s="60"/>
      <c r="M3251" s="64"/>
      <c r="N3251" s="33"/>
    </row>
    <row r="3252" ht="24" customHeight="1" spans="2:14">
      <c r="B3252" s="33"/>
      <c r="C3252" s="60"/>
      <c r="D3252" s="60"/>
      <c r="E3252" s="60"/>
      <c r="F3252" s="60"/>
      <c r="G3252" s="60"/>
      <c r="H3252" s="60"/>
      <c r="I3252" s="60"/>
      <c r="J3252" s="60"/>
      <c r="K3252" s="60"/>
      <c r="L3252" s="60"/>
      <c r="M3252" s="64"/>
      <c r="N3252" s="33"/>
    </row>
    <row r="3253" ht="24" customHeight="1" spans="2:14">
      <c r="B3253" s="33"/>
      <c r="C3253" s="60"/>
      <c r="D3253" s="60"/>
      <c r="E3253" s="60"/>
      <c r="F3253" s="60"/>
      <c r="G3253" s="60"/>
      <c r="H3253" s="60"/>
      <c r="I3253" s="60"/>
      <c r="J3253" s="60"/>
      <c r="K3253" s="60"/>
      <c r="L3253" s="60"/>
      <c r="M3253" s="64"/>
      <c r="N3253" s="33"/>
    </row>
    <row r="3254" ht="24" customHeight="1" spans="2:14">
      <c r="B3254" s="33"/>
      <c r="C3254" s="60"/>
      <c r="D3254" s="60"/>
      <c r="E3254" s="60"/>
      <c r="F3254" s="60"/>
      <c r="G3254" s="60"/>
      <c r="H3254" s="60"/>
      <c r="I3254" s="60"/>
      <c r="J3254" s="60"/>
      <c r="K3254" s="60"/>
      <c r="L3254" s="60"/>
      <c r="M3254" s="64"/>
      <c r="N3254" s="33"/>
    </row>
    <row r="3255" ht="24" customHeight="1" spans="2:14">
      <c r="B3255" s="33"/>
      <c r="C3255" s="60"/>
      <c r="D3255" s="60"/>
      <c r="E3255" s="60"/>
      <c r="F3255" s="60"/>
      <c r="G3255" s="60"/>
      <c r="H3255" s="60"/>
      <c r="I3255" s="60"/>
      <c r="J3255" s="60"/>
      <c r="K3255" s="60"/>
      <c r="L3255" s="60"/>
      <c r="M3255" s="64"/>
      <c r="N3255" s="33"/>
    </row>
    <row r="3256" ht="24" customHeight="1" spans="2:14">
      <c r="B3256" s="33"/>
      <c r="C3256" s="60"/>
      <c r="D3256" s="60"/>
      <c r="E3256" s="60"/>
      <c r="F3256" s="60"/>
      <c r="G3256" s="60"/>
      <c r="H3256" s="60"/>
      <c r="I3256" s="60"/>
      <c r="J3256" s="60"/>
      <c r="K3256" s="60"/>
      <c r="L3256" s="60"/>
      <c r="M3256" s="64"/>
      <c r="N3256" s="33"/>
    </row>
    <row r="3257" ht="24" customHeight="1" spans="2:14">
      <c r="B3257" s="33"/>
      <c r="C3257" s="60"/>
      <c r="D3257" s="60"/>
      <c r="E3257" s="60"/>
      <c r="F3257" s="60"/>
      <c r="G3257" s="60"/>
      <c r="H3257" s="60"/>
      <c r="I3257" s="60"/>
      <c r="J3257" s="60"/>
      <c r="K3257" s="60"/>
      <c r="L3257" s="60"/>
      <c r="M3257" s="64"/>
      <c r="N3257" s="33"/>
    </row>
    <row r="3258" ht="24" customHeight="1" spans="2:14">
      <c r="B3258" s="33"/>
      <c r="C3258" s="60"/>
      <c r="D3258" s="60"/>
      <c r="E3258" s="60"/>
      <c r="F3258" s="60"/>
      <c r="G3258" s="60"/>
      <c r="H3258" s="60"/>
      <c r="I3258" s="60"/>
      <c r="J3258" s="60"/>
      <c r="K3258" s="60"/>
      <c r="L3258" s="60"/>
      <c r="M3258" s="64"/>
      <c r="N3258" s="33"/>
    </row>
    <row r="3259" ht="24" customHeight="1" spans="2:14">
      <c r="B3259" s="33"/>
      <c r="C3259" s="60"/>
      <c r="D3259" s="60"/>
      <c r="E3259" s="60"/>
      <c r="F3259" s="60"/>
      <c r="G3259" s="60"/>
      <c r="H3259" s="60"/>
      <c r="I3259" s="60"/>
      <c r="J3259" s="60"/>
      <c r="K3259" s="60"/>
      <c r="L3259" s="60"/>
      <c r="M3259" s="64"/>
      <c r="N3259" s="33"/>
    </row>
    <row r="3260" ht="24" customHeight="1" spans="2:14">
      <c r="B3260" s="33"/>
      <c r="C3260" s="60"/>
      <c r="D3260" s="60"/>
      <c r="E3260" s="60"/>
      <c r="F3260" s="60"/>
      <c r="G3260" s="60"/>
      <c r="H3260" s="60"/>
      <c r="I3260" s="60"/>
      <c r="J3260" s="60"/>
      <c r="K3260" s="60"/>
      <c r="L3260" s="60"/>
      <c r="M3260" s="64"/>
      <c r="N3260" s="33"/>
    </row>
    <row r="3261" ht="24" customHeight="1" spans="2:14">
      <c r="B3261" s="33"/>
      <c r="C3261" s="60"/>
      <c r="D3261" s="60"/>
      <c r="E3261" s="60"/>
      <c r="F3261" s="60"/>
      <c r="G3261" s="60"/>
      <c r="H3261" s="60"/>
      <c r="I3261" s="60"/>
      <c r="J3261" s="60"/>
      <c r="K3261" s="60"/>
      <c r="L3261" s="60"/>
      <c r="M3261" s="64"/>
      <c r="N3261" s="33"/>
    </row>
    <row r="3262" ht="24" customHeight="1" spans="2:14">
      <c r="B3262" s="33"/>
      <c r="C3262" s="60"/>
      <c r="D3262" s="60"/>
      <c r="E3262" s="60"/>
      <c r="F3262" s="60"/>
      <c r="G3262" s="60"/>
      <c r="H3262" s="60"/>
      <c r="I3262" s="60"/>
      <c r="J3262" s="60"/>
      <c r="K3262" s="60"/>
      <c r="L3262" s="60"/>
      <c r="M3262" s="64"/>
      <c r="N3262" s="33"/>
    </row>
    <row r="3263" ht="24" customHeight="1" spans="2:14">
      <c r="B3263" s="33"/>
      <c r="C3263" s="60"/>
      <c r="D3263" s="60"/>
      <c r="E3263" s="60"/>
      <c r="F3263" s="60"/>
      <c r="G3263" s="60"/>
      <c r="H3263" s="60"/>
      <c r="I3263" s="60"/>
      <c r="J3263" s="60"/>
      <c r="K3263" s="60"/>
      <c r="L3263" s="60"/>
      <c r="M3263" s="64"/>
      <c r="N3263" s="33"/>
    </row>
    <row r="3264" ht="24" customHeight="1" spans="2:14">
      <c r="B3264" s="33"/>
      <c r="C3264" s="60"/>
      <c r="D3264" s="60"/>
      <c r="E3264" s="60"/>
      <c r="F3264" s="60"/>
      <c r="G3264" s="60"/>
      <c r="H3264" s="60"/>
      <c r="I3264" s="60"/>
      <c r="J3264" s="60"/>
      <c r="K3264" s="60"/>
      <c r="L3264" s="60"/>
      <c r="M3264" s="64"/>
      <c r="N3264" s="33"/>
    </row>
    <row r="3265" ht="24" customHeight="1" spans="2:14">
      <c r="B3265" s="33"/>
      <c r="C3265" s="60"/>
      <c r="D3265" s="60"/>
      <c r="E3265" s="60"/>
      <c r="F3265" s="60"/>
      <c r="G3265" s="60"/>
      <c r="H3265" s="60"/>
      <c r="I3265" s="60"/>
      <c r="J3265" s="60"/>
      <c r="K3265" s="60"/>
      <c r="L3265" s="60"/>
      <c r="M3265" s="64"/>
      <c r="N3265" s="33"/>
    </row>
    <row r="3266" ht="24" customHeight="1" spans="2:14">
      <c r="B3266" s="33"/>
      <c r="C3266" s="60"/>
      <c r="D3266" s="60"/>
      <c r="E3266" s="60"/>
      <c r="F3266" s="60"/>
      <c r="G3266" s="60"/>
      <c r="H3266" s="60"/>
      <c r="I3266" s="60"/>
      <c r="J3266" s="60"/>
      <c r="K3266" s="60"/>
      <c r="L3266" s="60"/>
      <c r="M3266" s="64"/>
      <c r="N3266" s="33"/>
    </row>
    <row r="3267" ht="24" customHeight="1" spans="2:14">
      <c r="B3267" s="33"/>
      <c r="C3267" s="60"/>
      <c r="D3267" s="60"/>
      <c r="E3267" s="60"/>
      <c r="F3267" s="60"/>
      <c r="G3267" s="60"/>
      <c r="H3267" s="60"/>
      <c r="I3267" s="60"/>
      <c r="J3267" s="60"/>
      <c r="K3267" s="60"/>
      <c r="L3267" s="60"/>
      <c r="M3267" s="64"/>
      <c r="N3267" s="33"/>
    </row>
    <row r="3268" ht="24" customHeight="1" spans="2:14">
      <c r="B3268" s="33"/>
      <c r="C3268" s="60"/>
      <c r="D3268" s="60"/>
      <c r="E3268" s="60"/>
      <c r="F3268" s="60"/>
      <c r="G3268" s="60"/>
      <c r="H3268" s="60"/>
      <c r="I3268" s="60"/>
      <c r="J3268" s="60"/>
      <c r="K3268" s="60"/>
      <c r="L3268" s="60"/>
      <c r="M3268" s="64"/>
      <c r="N3268" s="33"/>
    </row>
    <row r="3269" ht="24" customHeight="1" spans="2:14">
      <c r="B3269" s="33"/>
      <c r="C3269" s="60"/>
      <c r="D3269" s="60"/>
      <c r="E3269" s="60"/>
      <c r="F3269" s="60"/>
      <c r="G3269" s="60"/>
      <c r="H3269" s="60"/>
      <c r="I3269" s="60"/>
      <c r="J3269" s="60"/>
      <c r="K3269" s="60"/>
      <c r="L3269" s="60"/>
      <c r="M3269" s="64"/>
      <c r="N3269" s="33"/>
    </row>
    <row r="3270" ht="24" customHeight="1" spans="2:14">
      <c r="B3270" s="33"/>
      <c r="C3270" s="60"/>
      <c r="D3270" s="60"/>
      <c r="E3270" s="60"/>
      <c r="F3270" s="60"/>
      <c r="G3270" s="60"/>
      <c r="H3270" s="60"/>
      <c r="I3270" s="60"/>
      <c r="J3270" s="60"/>
      <c r="K3270" s="60"/>
      <c r="L3270" s="60"/>
      <c r="M3270" s="64"/>
      <c r="N3270" s="33"/>
    </row>
    <row r="3271" ht="24" customHeight="1" spans="2:14">
      <c r="B3271" s="33"/>
      <c r="C3271" s="60"/>
      <c r="D3271" s="60"/>
      <c r="E3271" s="60"/>
      <c r="F3271" s="60"/>
      <c r="G3271" s="60"/>
      <c r="H3271" s="60"/>
      <c r="I3271" s="60"/>
      <c r="J3271" s="60"/>
      <c r="K3271" s="60"/>
      <c r="L3271" s="60"/>
      <c r="M3271" s="64"/>
      <c r="N3271" s="33"/>
    </row>
    <row r="3272" ht="24" customHeight="1" spans="2:14">
      <c r="B3272" s="33"/>
      <c r="C3272" s="60"/>
      <c r="D3272" s="60"/>
      <c r="E3272" s="60"/>
      <c r="F3272" s="60"/>
      <c r="G3272" s="60"/>
      <c r="H3272" s="60"/>
      <c r="I3272" s="60"/>
      <c r="J3272" s="60"/>
      <c r="K3272" s="60"/>
      <c r="L3272" s="60"/>
      <c r="M3272" s="64"/>
      <c r="N3272" s="33"/>
    </row>
    <row r="3273" ht="24" customHeight="1" spans="2:14">
      <c r="B3273" s="33"/>
      <c r="C3273" s="60"/>
      <c r="D3273" s="60"/>
      <c r="E3273" s="60"/>
      <c r="F3273" s="60"/>
      <c r="G3273" s="60"/>
      <c r="H3273" s="60"/>
      <c r="I3273" s="60"/>
      <c r="J3273" s="60"/>
      <c r="K3273" s="60"/>
      <c r="L3273" s="60"/>
      <c r="M3273" s="64"/>
      <c r="N3273" s="33"/>
    </row>
    <row r="3274" ht="24" customHeight="1" spans="2:14">
      <c r="B3274" s="33"/>
      <c r="C3274" s="60"/>
      <c r="D3274" s="60"/>
      <c r="E3274" s="60"/>
      <c r="F3274" s="60"/>
      <c r="G3274" s="60"/>
      <c r="H3274" s="60"/>
      <c r="I3274" s="60"/>
      <c r="J3274" s="60"/>
      <c r="K3274" s="60"/>
      <c r="L3274" s="60"/>
      <c r="M3274" s="64"/>
      <c r="N3274" s="33"/>
    </row>
    <row r="3275" ht="24" customHeight="1" spans="2:14">
      <c r="B3275" s="33"/>
      <c r="C3275" s="60"/>
      <c r="D3275" s="60"/>
      <c r="E3275" s="60"/>
      <c r="F3275" s="60"/>
      <c r="G3275" s="60"/>
      <c r="H3275" s="60"/>
      <c r="I3275" s="60"/>
      <c r="J3275" s="60"/>
      <c r="K3275" s="60"/>
      <c r="L3275" s="60"/>
      <c r="M3275" s="64"/>
      <c r="N3275" s="33"/>
    </row>
    <row r="3276" ht="24" customHeight="1" spans="2:14">
      <c r="B3276" s="33"/>
      <c r="C3276" s="60"/>
      <c r="D3276" s="60"/>
      <c r="E3276" s="60"/>
      <c r="F3276" s="60"/>
      <c r="G3276" s="60"/>
      <c r="H3276" s="60"/>
      <c r="I3276" s="60"/>
      <c r="J3276" s="60"/>
      <c r="K3276" s="60"/>
      <c r="L3276" s="60"/>
      <c r="M3276" s="64"/>
      <c r="N3276" s="33"/>
    </row>
    <row r="3277" ht="24" customHeight="1" spans="2:14">
      <c r="B3277" s="33"/>
      <c r="C3277" s="60"/>
      <c r="D3277" s="60"/>
      <c r="E3277" s="60"/>
      <c r="F3277" s="60"/>
      <c r="G3277" s="60"/>
      <c r="H3277" s="60"/>
      <c r="I3277" s="60"/>
      <c r="J3277" s="60"/>
      <c r="K3277" s="60"/>
      <c r="L3277" s="60"/>
      <c r="M3277" s="64"/>
      <c r="N3277" s="33"/>
    </row>
    <row r="3278" ht="24" customHeight="1" spans="2:14">
      <c r="B3278" s="33"/>
      <c r="C3278" s="60"/>
      <c r="D3278" s="60"/>
      <c r="E3278" s="60"/>
      <c r="F3278" s="60"/>
      <c r="G3278" s="60"/>
      <c r="H3278" s="60"/>
      <c r="I3278" s="60"/>
      <c r="J3278" s="60"/>
      <c r="K3278" s="60"/>
      <c r="L3278" s="60"/>
      <c r="M3278" s="64"/>
      <c r="N3278" s="33"/>
    </row>
    <row r="3279" ht="24" customHeight="1" spans="2:14">
      <c r="B3279" s="33"/>
      <c r="C3279" s="60"/>
      <c r="D3279" s="60"/>
      <c r="E3279" s="60"/>
      <c r="F3279" s="60"/>
      <c r="G3279" s="60"/>
      <c r="H3279" s="60"/>
      <c r="I3279" s="60"/>
      <c r="J3279" s="60"/>
      <c r="K3279" s="60"/>
      <c r="L3279" s="60"/>
      <c r="M3279" s="64"/>
      <c r="N3279" s="33"/>
    </row>
    <row r="3280" ht="24" customHeight="1" spans="2:14">
      <c r="B3280" s="33"/>
      <c r="C3280" s="60"/>
      <c r="D3280" s="60"/>
      <c r="E3280" s="60"/>
      <c r="F3280" s="60"/>
      <c r="G3280" s="60"/>
      <c r="H3280" s="60"/>
      <c r="I3280" s="60"/>
      <c r="J3280" s="60"/>
      <c r="K3280" s="60"/>
      <c r="L3280" s="60"/>
      <c r="M3280" s="64"/>
      <c r="N3280" s="33"/>
    </row>
    <row r="3281" ht="24" customHeight="1" spans="2:14">
      <c r="B3281" s="33"/>
      <c r="C3281" s="60"/>
      <c r="D3281" s="60"/>
      <c r="E3281" s="60"/>
      <c r="F3281" s="60"/>
      <c r="G3281" s="60"/>
      <c r="H3281" s="60"/>
      <c r="I3281" s="60"/>
      <c r="J3281" s="60"/>
      <c r="K3281" s="60"/>
      <c r="L3281" s="60"/>
      <c r="M3281" s="64"/>
      <c r="N3281" s="33"/>
    </row>
    <row r="3282" ht="24" customHeight="1" spans="2:14">
      <c r="B3282" s="33"/>
      <c r="C3282" s="60"/>
      <c r="D3282" s="60"/>
      <c r="E3282" s="60"/>
      <c r="F3282" s="60"/>
      <c r="G3282" s="60"/>
      <c r="H3282" s="60"/>
      <c r="I3282" s="60"/>
      <c r="J3282" s="60"/>
      <c r="K3282" s="60"/>
      <c r="L3282" s="60"/>
      <c r="M3282" s="64"/>
      <c r="N3282" s="33"/>
    </row>
    <row r="3283" ht="24" customHeight="1" spans="2:14">
      <c r="B3283" s="33"/>
      <c r="C3283" s="60"/>
      <c r="D3283" s="60"/>
      <c r="E3283" s="60"/>
      <c r="F3283" s="60"/>
      <c r="G3283" s="60"/>
      <c r="H3283" s="60"/>
      <c r="I3283" s="60"/>
      <c r="J3283" s="60"/>
      <c r="K3283" s="60"/>
      <c r="L3283" s="60"/>
      <c r="M3283" s="64"/>
      <c r="N3283" s="33"/>
    </row>
    <row r="3284" ht="24" customHeight="1" spans="2:14">
      <c r="B3284" s="33"/>
      <c r="C3284" s="60"/>
      <c r="D3284" s="60"/>
      <c r="E3284" s="60"/>
      <c r="F3284" s="60"/>
      <c r="G3284" s="60"/>
      <c r="H3284" s="60"/>
      <c r="I3284" s="60"/>
      <c r="J3284" s="60"/>
      <c r="K3284" s="60"/>
      <c r="L3284" s="60"/>
      <c r="M3284" s="64"/>
      <c r="N3284" s="33"/>
    </row>
    <row r="3285" ht="24" customHeight="1" spans="2:14">
      <c r="B3285" s="33"/>
      <c r="C3285" s="60"/>
      <c r="D3285" s="60"/>
      <c r="E3285" s="60"/>
      <c r="F3285" s="60"/>
      <c r="G3285" s="60"/>
      <c r="H3285" s="60"/>
      <c r="I3285" s="60"/>
      <c r="J3285" s="60"/>
      <c r="K3285" s="60"/>
      <c r="L3285" s="60"/>
      <c r="M3285" s="64"/>
      <c r="N3285" s="33"/>
    </row>
    <row r="3286" ht="24" customHeight="1" spans="2:14">
      <c r="B3286" s="33"/>
      <c r="C3286" s="60"/>
      <c r="D3286" s="60"/>
      <c r="E3286" s="60"/>
      <c r="F3286" s="60"/>
      <c r="G3286" s="60"/>
      <c r="H3286" s="60"/>
      <c r="I3286" s="60"/>
      <c r="J3286" s="60"/>
      <c r="K3286" s="60"/>
      <c r="L3286" s="60"/>
      <c r="M3286" s="64"/>
      <c r="N3286" s="33"/>
    </row>
    <row r="3287" ht="24" customHeight="1" spans="2:14">
      <c r="B3287" s="33"/>
      <c r="C3287" s="60"/>
      <c r="D3287" s="60"/>
      <c r="E3287" s="60"/>
      <c r="F3287" s="60"/>
      <c r="G3287" s="60"/>
      <c r="H3287" s="60"/>
      <c r="I3287" s="60"/>
      <c r="J3287" s="60"/>
      <c r="K3287" s="60"/>
      <c r="L3287" s="60"/>
      <c r="M3287" s="64"/>
      <c r="N3287" s="33"/>
    </row>
    <row r="3288" ht="24" customHeight="1" spans="2:14">
      <c r="B3288" s="33"/>
      <c r="C3288" s="60"/>
      <c r="D3288" s="60"/>
      <c r="E3288" s="60"/>
      <c r="F3288" s="60"/>
      <c r="G3288" s="60"/>
      <c r="H3288" s="60"/>
      <c r="I3288" s="60"/>
      <c r="J3288" s="60"/>
      <c r="K3288" s="60"/>
      <c r="L3288" s="60"/>
      <c r="M3288" s="64"/>
      <c r="N3288" s="33"/>
    </row>
    <row r="3289" ht="24" customHeight="1" spans="2:14">
      <c r="B3289" s="33"/>
      <c r="C3289" s="60"/>
      <c r="D3289" s="60"/>
      <c r="E3289" s="60"/>
      <c r="F3289" s="60"/>
      <c r="G3289" s="60"/>
      <c r="H3289" s="60"/>
      <c r="I3289" s="60"/>
      <c r="J3289" s="60"/>
      <c r="K3289" s="60"/>
      <c r="L3289" s="60"/>
      <c r="M3289" s="64"/>
      <c r="N3289" s="33"/>
    </row>
    <row r="3290" ht="24" customHeight="1" spans="2:14">
      <c r="B3290" s="33"/>
      <c r="C3290" s="60"/>
      <c r="D3290" s="60"/>
      <c r="E3290" s="60"/>
      <c r="F3290" s="60"/>
      <c r="G3290" s="60"/>
      <c r="H3290" s="60"/>
      <c r="I3290" s="60"/>
      <c r="J3290" s="60"/>
      <c r="K3290" s="60"/>
      <c r="L3290" s="60"/>
      <c r="M3290" s="64"/>
      <c r="N3290" s="33"/>
    </row>
    <row r="3291" ht="24" customHeight="1" spans="2:14">
      <c r="B3291" s="33"/>
      <c r="C3291" s="60"/>
      <c r="D3291" s="60"/>
      <c r="E3291" s="60"/>
      <c r="F3291" s="60"/>
      <c r="G3291" s="60"/>
      <c r="H3291" s="60"/>
      <c r="I3291" s="60"/>
      <c r="J3291" s="60"/>
      <c r="K3291" s="60"/>
      <c r="L3291" s="60"/>
      <c r="M3291" s="64"/>
      <c r="N3291" s="33"/>
    </row>
    <row r="3292" ht="24" customHeight="1" spans="2:14">
      <c r="B3292" s="33"/>
      <c r="C3292" s="60"/>
      <c r="D3292" s="60"/>
      <c r="E3292" s="60"/>
      <c r="F3292" s="60"/>
      <c r="G3292" s="60"/>
      <c r="H3292" s="60"/>
      <c r="I3292" s="60"/>
      <c r="J3292" s="60"/>
      <c r="K3292" s="60"/>
      <c r="L3292" s="60"/>
      <c r="M3292" s="64"/>
      <c r="N3292" s="33"/>
    </row>
    <row r="3293" ht="24" customHeight="1" spans="2:14">
      <c r="B3293" s="33"/>
      <c r="C3293" s="60"/>
      <c r="D3293" s="60"/>
      <c r="E3293" s="60"/>
      <c r="F3293" s="60"/>
      <c r="G3293" s="60"/>
      <c r="H3293" s="60"/>
      <c r="I3293" s="60"/>
      <c r="J3293" s="60"/>
      <c r="K3293" s="60"/>
      <c r="L3293" s="60"/>
      <c r="M3293" s="64"/>
      <c r="N3293" s="33"/>
    </row>
    <row r="3294" ht="24" customHeight="1" spans="2:14">
      <c r="B3294" s="33"/>
      <c r="C3294" s="60"/>
      <c r="D3294" s="60"/>
      <c r="E3294" s="60"/>
      <c r="F3294" s="60"/>
      <c r="G3294" s="60"/>
      <c r="H3294" s="60"/>
      <c r="I3294" s="60"/>
      <c r="J3294" s="60"/>
      <c r="K3294" s="60"/>
      <c r="L3294" s="60"/>
      <c r="M3294" s="64"/>
      <c r="N3294" s="33"/>
    </row>
    <row r="3295" ht="24" customHeight="1" spans="2:14">
      <c r="B3295" s="33"/>
      <c r="C3295" s="60"/>
      <c r="D3295" s="60"/>
      <c r="E3295" s="60"/>
      <c r="F3295" s="60"/>
      <c r="G3295" s="60"/>
      <c r="H3295" s="60"/>
      <c r="I3295" s="60"/>
      <c r="J3295" s="60"/>
      <c r="K3295" s="60"/>
      <c r="L3295" s="60"/>
      <c r="M3295" s="64"/>
      <c r="N3295" s="33"/>
    </row>
    <row r="3296" ht="24" customHeight="1" spans="2:14">
      <c r="B3296" s="33"/>
      <c r="C3296" s="60"/>
      <c r="D3296" s="60"/>
      <c r="E3296" s="60"/>
      <c r="F3296" s="60"/>
      <c r="G3296" s="60"/>
      <c r="H3296" s="60"/>
      <c r="I3296" s="60"/>
      <c r="J3296" s="60"/>
      <c r="K3296" s="60"/>
      <c r="L3296" s="60"/>
      <c r="M3296" s="64"/>
      <c r="N3296" s="33"/>
    </row>
    <row r="3297" ht="24" customHeight="1" spans="2:14">
      <c r="B3297" s="33"/>
      <c r="C3297" s="60"/>
      <c r="D3297" s="60"/>
      <c r="E3297" s="60"/>
      <c r="F3297" s="60"/>
      <c r="G3297" s="60"/>
      <c r="H3297" s="60"/>
      <c r="I3297" s="60"/>
      <c r="J3297" s="60"/>
      <c r="K3297" s="60"/>
      <c r="L3297" s="60"/>
      <c r="M3297" s="64"/>
      <c r="N3297" s="33"/>
    </row>
    <row r="3298" ht="24" customHeight="1" spans="2:14">
      <c r="B3298" s="33"/>
      <c r="C3298" s="60"/>
      <c r="D3298" s="60"/>
      <c r="E3298" s="60"/>
      <c r="F3298" s="60"/>
      <c r="G3298" s="60"/>
      <c r="H3298" s="60"/>
      <c r="I3298" s="60"/>
      <c r="J3298" s="60"/>
      <c r="K3298" s="60"/>
      <c r="L3298" s="60"/>
      <c r="M3298" s="64"/>
      <c r="N3298" s="33"/>
    </row>
    <row r="3299" ht="24" customHeight="1" spans="2:14">
      <c r="B3299" s="33"/>
      <c r="C3299" s="60"/>
      <c r="D3299" s="60"/>
      <c r="E3299" s="60"/>
      <c r="F3299" s="60"/>
      <c r="G3299" s="60"/>
      <c r="H3299" s="60"/>
      <c r="I3299" s="60"/>
      <c r="J3299" s="60"/>
      <c r="K3299" s="60"/>
      <c r="L3299" s="60"/>
      <c r="M3299" s="64"/>
      <c r="N3299" s="33"/>
    </row>
    <row r="3300" ht="24" customHeight="1" spans="2:14">
      <c r="B3300" s="33"/>
      <c r="C3300" s="60"/>
      <c r="D3300" s="60"/>
      <c r="E3300" s="60"/>
      <c r="F3300" s="60"/>
      <c r="G3300" s="60"/>
      <c r="H3300" s="60"/>
      <c r="I3300" s="60"/>
      <c r="J3300" s="60"/>
      <c r="K3300" s="60"/>
      <c r="L3300" s="60"/>
      <c r="M3300" s="64"/>
      <c r="N3300" s="33"/>
    </row>
    <row r="3301" ht="24" customHeight="1" spans="2:14">
      <c r="B3301" s="33"/>
      <c r="C3301" s="60"/>
      <c r="D3301" s="60"/>
      <c r="E3301" s="60"/>
      <c r="F3301" s="60"/>
      <c r="G3301" s="60"/>
      <c r="H3301" s="60"/>
      <c r="I3301" s="60"/>
      <c r="J3301" s="60"/>
      <c r="K3301" s="60"/>
      <c r="L3301" s="60"/>
      <c r="M3301" s="64"/>
      <c r="N3301" s="33"/>
    </row>
    <row r="3302" ht="24" customHeight="1" spans="2:14">
      <c r="B3302" s="33"/>
      <c r="C3302" s="60"/>
      <c r="D3302" s="60"/>
      <c r="E3302" s="60"/>
      <c r="F3302" s="60"/>
      <c r="G3302" s="60"/>
      <c r="H3302" s="60"/>
      <c r="I3302" s="60"/>
      <c r="J3302" s="60"/>
      <c r="K3302" s="60"/>
      <c r="L3302" s="60"/>
      <c r="M3302" s="64"/>
      <c r="N3302" s="33"/>
    </row>
    <row r="3303" ht="24" customHeight="1" spans="2:14">
      <c r="B3303" s="33"/>
      <c r="C3303" s="60"/>
      <c r="D3303" s="60"/>
      <c r="E3303" s="60"/>
      <c r="F3303" s="60"/>
      <c r="G3303" s="60"/>
      <c r="H3303" s="60"/>
      <c r="I3303" s="60"/>
      <c r="J3303" s="60"/>
      <c r="K3303" s="60"/>
      <c r="L3303" s="60"/>
      <c r="M3303" s="64"/>
      <c r="N3303" s="33"/>
    </row>
    <row r="3304" ht="24" customHeight="1" spans="2:14">
      <c r="B3304" s="33"/>
      <c r="C3304" s="60"/>
      <c r="D3304" s="60"/>
      <c r="E3304" s="60"/>
      <c r="F3304" s="60"/>
      <c r="G3304" s="60"/>
      <c r="H3304" s="60"/>
      <c r="I3304" s="60"/>
      <c r="J3304" s="60"/>
      <c r="K3304" s="60"/>
      <c r="L3304" s="60"/>
      <c r="M3304" s="64"/>
      <c r="N3304" s="33"/>
    </row>
    <row r="3305" ht="24" customHeight="1" spans="2:14">
      <c r="B3305" s="33"/>
      <c r="C3305" s="60"/>
      <c r="D3305" s="60"/>
      <c r="E3305" s="60"/>
      <c r="F3305" s="60"/>
      <c r="G3305" s="60"/>
      <c r="H3305" s="60"/>
      <c r="I3305" s="60"/>
      <c r="J3305" s="60"/>
      <c r="K3305" s="60"/>
      <c r="L3305" s="60"/>
      <c r="M3305" s="64"/>
      <c r="N3305" s="33"/>
    </row>
    <row r="3306" ht="24" customHeight="1" spans="2:14">
      <c r="B3306" s="33"/>
      <c r="C3306" s="60"/>
      <c r="D3306" s="60"/>
      <c r="E3306" s="60"/>
      <c r="F3306" s="60"/>
      <c r="G3306" s="60"/>
      <c r="H3306" s="60"/>
      <c r="I3306" s="60"/>
      <c r="J3306" s="60"/>
      <c r="K3306" s="60"/>
      <c r="L3306" s="60"/>
      <c r="M3306" s="64"/>
      <c r="N3306" s="33"/>
    </row>
    <row r="3307" ht="24" customHeight="1" spans="2:14">
      <c r="B3307" s="33"/>
      <c r="C3307" s="60"/>
      <c r="D3307" s="60"/>
      <c r="E3307" s="60"/>
      <c r="F3307" s="60"/>
      <c r="G3307" s="60"/>
      <c r="H3307" s="60"/>
      <c r="I3307" s="60"/>
      <c r="J3307" s="60"/>
      <c r="K3307" s="60"/>
      <c r="L3307" s="60"/>
      <c r="M3307" s="64"/>
      <c r="N3307" s="33"/>
    </row>
    <row r="3308" ht="24" customHeight="1" spans="2:14">
      <c r="B3308" s="33"/>
      <c r="C3308" s="60"/>
      <c r="D3308" s="60"/>
      <c r="E3308" s="60"/>
      <c r="F3308" s="60"/>
      <c r="G3308" s="60"/>
      <c r="H3308" s="60"/>
      <c r="I3308" s="60"/>
      <c r="J3308" s="60"/>
      <c r="K3308" s="60"/>
      <c r="L3308" s="60"/>
      <c r="M3308" s="64"/>
      <c r="N3308" s="33"/>
    </row>
    <row r="3309" ht="24" customHeight="1" spans="2:14">
      <c r="B3309" s="33"/>
      <c r="C3309" s="60"/>
      <c r="D3309" s="60"/>
      <c r="E3309" s="60"/>
      <c r="F3309" s="60"/>
      <c r="G3309" s="60"/>
      <c r="H3309" s="60"/>
      <c r="I3309" s="60"/>
      <c r="J3309" s="60"/>
      <c r="K3309" s="60"/>
      <c r="L3309" s="60"/>
      <c r="M3309" s="64"/>
      <c r="N3309" s="33"/>
    </row>
    <row r="3310" ht="24" customHeight="1" spans="2:14">
      <c r="B3310" s="33"/>
      <c r="C3310" s="60"/>
      <c r="D3310" s="60"/>
      <c r="E3310" s="60"/>
      <c r="F3310" s="60"/>
      <c r="G3310" s="60"/>
      <c r="H3310" s="60"/>
      <c r="I3310" s="60"/>
      <c r="J3310" s="60"/>
      <c r="K3310" s="60"/>
      <c r="L3310" s="60"/>
      <c r="M3310" s="64"/>
      <c r="N3310" s="33"/>
    </row>
    <row r="3311" ht="24" customHeight="1" spans="2:14">
      <c r="B3311" s="33"/>
      <c r="C3311" s="60"/>
      <c r="D3311" s="60"/>
      <c r="E3311" s="60"/>
      <c r="F3311" s="60"/>
      <c r="G3311" s="60"/>
      <c r="H3311" s="60"/>
      <c r="I3311" s="60"/>
      <c r="J3311" s="60"/>
      <c r="K3311" s="60"/>
      <c r="L3311" s="60"/>
      <c r="M3311" s="64"/>
      <c r="N3311" s="33"/>
    </row>
    <row r="3312" ht="24" customHeight="1" spans="2:14">
      <c r="B3312" s="33"/>
      <c r="C3312" s="60"/>
      <c r="D3312" s="60"/>
      <c r="E3312" s="60"/>
      <c r="F3312" s="60"/>
      <c r="G3312" s="60"/>
      <c r="H3312" s="60"/>
      <c r="I3312" s="60"/>
      <c r="J3312" s="60"/>
      <c r="K3312" s="60"/>
      <c r="L3312" s="60"/>
      <c r="M3312" s="64"/>
      <c r="N3312" s="33"/>
    </row>
    <row r="3313" ht="24" customHeight="1" spans="2:14">
      <c r="B3313" s="33"/>
      <c r="C3313" s="60"/>
      <c r="D3313" s="60"/>
      <c r="E3313" s="60"/>
      <c r="F3313" s="60"/>
      <c r="G3313" s="60"/>
      <c r="H3313" s="60"/>
      <c r="I3313" s="60"/>
      <c r="J3313" s="60"/>
      <c r="K3313" s="60"/>
      <c r="L3313" s="60"/>
      <c r="M3313" s="64"/>
      <c r="N3313" s="33"/>
    </row>
    <row r="3314" ht="24" customHeight="1" spans="2:14">
      <c r="B3314" s="33"/>
      <c r="C3314" s="60"/>
      <c r="D3314" s="60"/>
      <c r="E3314" s="60"/>
      <c r="F3314" s="60"/>
      <c r="G3314" s="60"/>
      <c r="H3314" s="60"/>
      <c r="I3314" s="60"/>
      <c r="J3314" s="60"/>
      <c r="K3314" s="60"/>
      <c r="L3314" s="60"/>
      <c r="M3314" s="64"/>
      <c r="N3314" s="33"/>
    </row>
    <row r="3315" ht="24" customHeight="1" spans="2:14">
      <c r="B3315" s="33"/>
      <c r="C3315" s="60"/>
      <c r="D3315" s="60"/>
      <c r="E3315" s="60"/>
      <c r="F3315" s="60"/>
      <c r="G3315" s="60"/>
      <c r="H3315" s="60"/>
      <c r="I3315" s="60"/>
      <c r="J3315" s="60"/>
      <c r="K3315" s="60"/>
      <c r="L3315" s="60"/>
      <c r="M3315" s="64"/>
      <c r="N3315" s="33"/>
    </row>
    <row r="3316" ht="24" customHeight="1" spans="2:14">
      <c r="B3316" s="33"/>
      <c r="C3316" s="60"/>
      <c r="D3316" s="60"/>
      <c r="E3316" s="60"/>
      <c r="F3316" s="60"/>
      <c r="G3316" s="60"/>
      <c r="H3316" s="60"/>
      <c r="I3316" s="60"/>
      <c r="J3316" s="60"/>
      <c r="K3316" s="60"/>
      <c r="L3316" s="60"/>
      <c r="M3316" s="64"/>
      <c r="N3316" s="33"/>
    </row>
    <row r="3317" ht="24" customHeight="1" spans="2:14">
      <c r="B3317" s="33"/>
      <c r="C3317" s="60"/>
      <c r="D3317" s="60"/>
      <c r="E3317" s="60"/>
      <c r="F3317" s="60"/>
      <c r="G3317" s="60"/>
      <c r="H3317" s="60"/>
      <c r="I3317" s="60"/>
      <c r="J3317" s="60"/>
      <c r="K3317" s="60"/>
      <c r="L3317" s="60"/>
      <c r="M3317" s="64"/>
      <c r="N3317" s="33"/>
    </row>
    <row r="3318" ht="24" customHeight="1" spans="2:14">
      <c r="B3318" s="33"/>
      <c r="C3318" s="60"/>
      <c r="D3318" s="60"/>
      <c r="E3318" s="60"/>
      <c r="F3318" s="60"/>
      <c r="G3318" s="60"/>
      <c r="H3318" s="60"/>
      <c r="I3318" s="60"/>
      <c r="J3318" s="60"/>
      <c r="K3318" s="60"/>
      <c r="L3318" s="60"/>
      <c r="M3318" s="64"/>
      <c r="N3318" s="33"/>
    </row>
    <row r="3319" ht="24" customHeight="1" spans="2:14">
      <c r="B3319" s="33"/>
      <c r="C3319" s="60"/>
      <c r="D3319" s="60"/>
      <c r="E3319" s="60"/>
      <c r="F3319" s="60"/>
      <c r="G3319" s="60"/>
      <c r="H3319" s="60"/>
      <c r="I3319" s="60"/>
      <c r="J3319" s="60"/>
      <c r="K3319" s="60"/>
      <c r="L3319" s="60"/>
      <c r="M3319" s="64"/>
      <c r="N3319" s="33"/>
    </row>
    <row r="3320" ht="24" customHeight="1" spans="2:14">
      <c r="B3320" s="33"/>
      <c r="C3320" s="60"/>
      <c r="D3320" s="60"/>
      <c r="E3320" s="60"/>
      <c r="F3320" s="60"/>
      <c r="G3320" s="60"/>
      <c r="H3320" s="60"/>
      <c r="I3320" s="60"/>
      <c r="J3320" s="60"/>
      <c r="K3320" s="60"/>
      <c r="L3320" s="60"/>
      <c r="M3320" s="64"/>
      <c r="N3320" s="33"/>
    </row>
    <row r="3321" ht="24" customHeight="1" spans="2:14">
      <c r="B3321" s="33"/>
      <c r="C3321" s="60"/>
      <c r="D3321" s="60"/>
      <c r="E3321" s="60"/>
      <c r="F3321" s="60"/>
      <c r="G3321" s="60"/>
      <c r="H3321" s="60"/>
      <c r="I3321" s="60"/>
      <c r="J3321" s="60"/>
      <c r="K3321" s="60"/>
      <c r="L3321" s="60"/>
      <c r="M3321" s="64"/>
      <c r="N3321" s="33"/>
    </row>
    <row r="3322" ht="24" customHeight="1" spans="2:14">
      <c r="B3322" s="33"/>
      <c r="C3322" s="60"/>
      <c r="D3322" s="60"/>
      <c r="E3322" s="60"/>
      <c r="F3322" s="60"/>
      <c r="G3322" s="60"/>
      <c r="H3322" s="60"/>
      <c r="I3322" s="60"/>
      <c r="J3322" s="60"/>
      <c r="K3322" s="60"/>
      <c r="L3322" s="60"/>
      <c r="M3322" s="64"/>
      <c r="N3322" s="33"/>
    </row>
    <row r="3323" ht="24" customHeight="1" spans="2:14">
      <c r="B3323" s="33"/>
      <c r="C3323" s="60"/>
      <c r="D3323" s="60"/>
      <c r="E3323" s="60"/>
      <c r="F3323" s="60"/>
      <c r="G3323" s="60"/>
      <c r="H3323" s="60"/>
      <c r="I3323" s="60"/>
      <c r="J3323" s="60"/>
      <c r="K3323" s="60"/>
      <c r="L3323" s="60"/>
      <c r="M3323" s="64"/>
      <c r="N3323" s="33"/>
    </row>
    <row r="3324" ht="24" customHeight="1" spans="2:14">
      <c r="B3324" s="33"/>
      <c r="C3324" s="60"/>
      <c r="D3324" s="60"/>
      <c r="E3324" s="60"/>
      <c r="F3324" s="60"/>
      <c r="G3324" s="60"/>
      <c r="H3324" s="60"/>
      <c r="I3324" s="60"/>
      <c r="J3324" s="60"/>
      <c r="K3324" s="60"/>
      <c r="L3324" s="60"/>
      <c r="M3324" s="64"/>
      <c r="N3324" s="33"/>
    </row>
    <row r="3325" ht="24" customHeight="1" spans="2:14">
      <c r="B3325" s="33"/>
      <c r="C3325" s="60"/>
      <c r="D3325" s="60"/>
      <c r="E3325" s="60"/>
      <c r="F3325" s="60"/>
      <c r="G3325" s="60"/>
      <c r="H3325" s="60"/>
      <c r="I3325" s="60"/>
      <c r="J3325" s="60"/>
      <c r="K3325" s="60"/>
      <c r="L3325" s="60"/>
      <c r="M3325" s="64"/>
      <c r="N3325" s="33"/>
    </row>
    <row r="3326" ht="24" customHeight="1" spans="2:14">
      <c r="B3326" s="33"/>
      <c r="C3326" s="60"/>
      <c r="D3326" s="60"/>
      <c r="E3326" s="60"/>
      <c r="F3326" s="60"/>
      <c r="G3326" s="60"/>
      <c r="H3326" s="60"/>
      <c r="I3326" s="60"/>
      <c r="J3326" s="60"/>
      <c r="K3326" s="60"/>
      <c r="L3326" s="60"/>
      <c r="M3326" s="64"/>
      <c r="N3326" s="33"/>
    </row>
    <row r="3327" ht="24" customHeight="1" spans="2:14">
      <c r="B3327" s="33"/>
      <c r="C3327" s="60"/>
      <c r="D3327" s="60"/>
      <c r="E3327" s="60"/>
      <c r="F3327" s="60"/>
      <c r="G3327" s="60"/>
      <c r="H3327" s="60"/>
      <c r="I3327" s="60"/>
      <c r="J3327" s="60"/>
      <c r="K3327" s="60"/>
      <c r="L3327" s="60"/>
      <c r="M3327" s="64"/>
      <c r="N3327" s="33"/>
    </row>
    <row r="3328" ht="24" customHeight="1" spans="2:14">
      <c r="B3328" s="33"/>
      <c r="C3328" s="60"/>
      <c r="D3328" s="60"/>
      <c r="E3328" s="60"/>
      <c r="F3328" s="60"/>
      <c r="G3328" s="60"/>
      <c r="H3328" s="60"/>
      <c r="I3328" s="60"/>
      <c r="J3328" s="60"/>
      <c r="K3328" s="60"/>
      <c r="L3328" s="60"/>
      <c r="M3328" s="64"/>
      <c r="N3328" s="33"/>
    </row>
    <row r="3329" ht="24" customHeight="1" spans="2:14">
      <c r="B3329" s="33"/>
      <c r="C3329" s="60"/>
      <c r="D3329" s="60"/>
      <c r="E3329" s="60"/>
      <c r="F3329" s="60"/>
      <c r="G3329" s="60"/>
      <c r="H3329" s="60"/>
      <c r="I3329" s="60"/>
      <c r="J3329" s="60"/>
      <c r="K3329" s="60"/>
      <c r="L3329" s="60"/>
      <c r="M3329" s="64"/>
      <c r="N3329" s="33"/>
    </row>
    <row r="3330" ht="24" customHeight="1" spans="2:14">
      <c r="B3330" s="33"/>
      <c r="C3330" s="60"/>
      <c r="D3330" s="60"/>
      <c r="E3330" s="60"/>
      <c r="F3330" s="60"/>
      <c r="G3330" s="60"/>
      <c r="H3330" s="60"/>
      <c r="I3330" s="60"/>
      <c r="J3330" s="60"/>
      <c r="K3330" s="60"/>
      <c r="L3330" s="60"/>
      <c r="M3330" s="64"/>
      <c r="N3330" s="33"/>
    </row>
    <row r="3331" ht="24" customHeight="1" spans="2:14">
      <c r="B3331" s="33"/>
      <c r="C3331" s="60"/>
      <c r="D3331" s="60"/>
      <c r="E3331" s="60"/>
      <c r="F3331" s="60"/>
      <c r="G3331" s="60"/>
      <c r="H3331" s="60"/>
      <c r="I3331" s="60"/>
      <c r="J3331" s="60"/>
      <c r="K3331" s="60"/>
      <c r="L3331" s="60"/>
      <c r="M3331" s="64"/>
      <c r="N3331" s="33"/>
    </row>
    <row r="3332" ht="24" customHeight="1" spans="2:14">
      <c r="B3332" s="33"/>
      <c r="C3332" s="60"/>
      <c r="D3332" s="60"/>
      <c r="E3332" s="60"/>
      <c r="F3332" s="60"/>
      <c r="G3332" s="60"/>
      <c r="H3332" s="60"/>
      <c r="I3332" s="60"/>
      <c r="J3332" s="60"/>
      <c r="K3332" s="60"/>
      <c r="L3332" s="60"/>
      <c r="M3332" s="64"/>
      <c r="N3332" s="33"/>
    </row>
    <row r="3333" ht="24" customHeight="1" spans="2:14">
      <c r="B3333" s="33"/>
      <c r="C3333" s="60"/>
      <c r="D3333" s="60"/>
      <c r="E3333" s="60"/>
      <c r="F3333" s="60"/>
      <c r="G3333" s="60"/>
      <c r="H3333" s="60"/>
      <c r="I3333" s="60"/>
      <c r="J3333" s="60"/>
      <c r="K3333" s="60"/>
      <c r="L3333" s="60"/>
      <c r="M3333" s="64"/>
      <c r="N3333" s="33"/>
    </row>
    <row r="3334" ht="24" customHeight="1" spans="2:14">
      <c r="B3334" s="33"/>
      <c r="C3334" s="60"/>
      <c r="D3334" s="60"/>
      <c r="E3334" s="60"/>
      <c r="F3334" s="60"/>
      <c r="G3334" s="60"/>
      <c r="H3334" s="60"/>
      <c r="I3334" s="60"/>
      <c r="J3334" s="60"/>
      <c r="K3334" s="60"/>
      <c r="L3334" s="60"/>
      <c r="M3334" s="64"/>
      <c r="N3334" s="33"/>
    </row>
    <row r="3335" ht="24" customHeight="1" spans="2:14">
      <c r="B3335" s="33"/>
      <c r="C3335" s="60"/>
      <c r="D3335" s="60"/>
      <c r="E3335" s="60"/>
      <c r="F3335" s="60"/>
      <c r="G3335" s="60"/>
      <c r="H3335" s="60"/>
      <c r="I3335" s="60"/>
      <c r="J3335" s="60"/>
      <c r="K3335" s="60"/>
      <c r="L3335" s="60"/>
      <c r="M3335" s="64"/>
      <c r="N3335" s="33"/>
    </row>
    <row r="3336" ht="24" customHeight="1" spans="2:14">
      <c r="B3336" s="33"/>
      <c r="C3336" s="60"/>
      <c r="D3336" s="60"/>
      <c r="E3336" s="60"/>
      <c r="F3336" s="60"/>
      <c r="G3336" s="60"/>
      <c r="H3336" s="60"/>
      <c r="I3336" s="60"/>
      <c r="J3336" s="60"/>
      <c r="K3336" s="60"/>
      <c r="L3336" s="60"/>
      <c r="M3336" s="64"/>
      <c r="N3336" s="33"/>
    </row>
    <row r="3337" ht="24" customHeight="1" spans="2:14">
      <c r="B3337" s="33"/>
      <c r="C3337" s="60"/>
      <c r="D3337" s="60"/>
      <c r="E3337" s="60"/>
      <c r="F3337" s="60"/>
      <c r="G3337" s="60"/>
      <c r="H3337" s="60"/>
      <c r="I3337" s="60"/>
      <c r="J3337" s="60"/>
      <c r="K3337" s="60"/>
      <c r="L3337" s="60"/>
      <c r="M3337" s="64"/>
      <c r="N3337" s="33"/>
    </row>
    <row r="3338" ht="24" customHeight="1" spans="2:14">
      <c r="B3338" s="33"/>
      <c r="C3338" s="60"/>
      <c r="D3338" s="60"/>
      <c r="E3338" s="60"/>
      <c r="F3338" s="60"/>
      <c r="G3338" s="60"/>
      <c r="H3338" s="60"/>
      <c r="I3338" s="60"/>
      <c r="J3338" s="60"/>
      <c r="K3338" s="60"/>
      <c r="L3338" s="60"/>
      <c r="M3338" s="64"/>
      <c r="N3338" s="33"/>
    </row>
    <row r="3339" ht="24" customHeight="1" spans="2:14">
      <c r="B3339" s="33"/>
      <c r="C3339" s="60"/>
      <c r="D3339" s="60"/>
      <c r="E3339" s="60"/>
      <c r="F3339" s="60"/>
      <c r="G3339" s="60"/>
      <c r="H3339" s="60"/>
      <c r="I3339" s="60"/>
      <c r="J3339" s="60"/>
      <c r="K3339" s="60"/>
      <c r="L3339" s="60"/>
      <c r="M3339" s="64"/>
      <c r="N3339" s="33"/>
    </row>
    <row r="3340" ht="24" customHeight="1" spans="2:14">
      <c r="B3340" s="33"/>
      <c r="C3340" s="60"/>
      <c r="D3340" s="60"/>
      <c r="E3340" s="60"/>
      <c r="F3340" s="60"/>
      <c r="G3340" s="60"/>
      <c r="H3340" s="60"/>
      <c r="I3340" s="60"/>
      <c r="J3340" s="60"/>
      <c r="K3340" s="60"/>
      <c r="L3340" s="60"/>
      <c r="M3340" s="64"/>
      <c r="N3340" s="33"/>
    </row>
    <row r="3341" ht="24" customHeight="1" spans="2:14">
      <c r="B3341" s="33"/>
      <c r="C3341" s="60"/>
      <c r="D3341" s="60"/>
      <c r="E3341" s="60"/>
      <c r="F3341" s="60"/>
      <c r="G3341" s="60"/>
      <c r="H3341" s="60"/>
      <c r="I3341" s="60"/>
      <c r="J3341" s="60"/>
      <c r="K3341" s="60"/>
      <c r="L3341" s="60"/>
      <c r="M3341" s="64"/>
      <c r="N3341" s="33"/>
    </row>
    <row r="3342" ht="24" customHeight="1" spans="2:14">
      <c r="B3342" s="33"/>
      <c r="C3342" s="60"/>
      <c r="D3342" s="60"/>
      <c r="E3342" s="60"/>
      <c r="F3342" s="60"/>
      <c r="G3342" s="60"/>
      <c r="H3342" s="60"/>
      <c r="I3342" s="60"/>
      <c r="J3342" s="60"/>
      <c r="K3342" s="60"/>
      <c r="L3342" s="60"/>
      <c r="M3342" s="64"/>
      <c r="N3342" s="33"/>
    </row>
    <row r="3343" ht="24" customHeight="1" spans="2:14">
      <c r="B3343" s="33"/>
      <c r="C3343" s="60"/>
      <c r="D3343" s="60"/>
      <c r="E3343" s="60"/>
      <c r="F3343" s="60"/>
      <c r="G3343" s="60"/>
      <c r="H3343" s="60"/>
      <c r="I3343" s="60"/>
      <c r="J3343" s="60"/>
      <c r="K3343" s="60"/>
      <c r="L3343" s="60"/>
      <c r="M3343" s="64"/>
      <c r="N3343" s="33"/>
    </row>
    <row r="3344" ht="24" customHeight="1" spans="2:14">
      <c r="B3344" s="33"/>
      <c r="C3344" s="60"/>
      <c r="D3344" s="60"/>
      <c r="E3344" s="60"/>
      <c r="F3344" s="60"/>
      <c r="G3344" s="60"/>
      <c r="H3344" s="60"/>
      <c r="I3344" s="60"/>
      <c r="J3344" s="60"/>
      <c r="K3344" s="60"/>
      <c r="L3344" s="60"/>
      <c r="M3344" s="64"/>
      <c r="N3344" s="33"/>
    </row>
    <row r="3345" ht="24" customHeight="1" spans="2:14">
      <c r="B3345" s="33"/>
      <c r="C3345" s="60"/>
      <c r="D3345" s="60"/>
      <c r="E3345" s="60"/>
      <c r="F3345" s="60"/>
      <c r="G3345" s="60"/>
      <c r="H3345" s="60"/>
      <c r="I3345" s="60"/>
      <c r="J3345" s="60"/>
      <c r="K3345" s="60"/>
      <c r="L3345" s="60"/>
      <c r="M3345" s="64"/>
      <c r="N3345" s="33"/>
    </row>
    <row r="3346" ht="24" customHeight="1" spans="2:14">
      <c r="B3346" s="33"/>
      <c r="C3346" s="60"/>
      <c r="D3346" s="60"/>
      <c r="E3346" s="60"/>
      <c r="F3346" s="60"/>
      <c r="G3346" s="60"/>
      <c r="H3346" s="60"/>
      <c r="I3346" s="60"/>
      <c r="J3346" s="60"/>
      <c r="K3346" s="60"/>
      <c r="L3346" s="60"/>
      <c r="M3346" s="64"/>
      <c r="N3346" s="33"/>
    </row>
    <row r="3347" ht="24" customHeight="1" spans="2:14">
      <c r="B3347" s="33"/>
      <c r="C3347" s="60"/>
      <c r="D3347" s="60"/>
      <c r="E3347" s="60"/>
      <c r="F3347" s="60"/>
      <c r="G3347" s="60"/>
      <c r="H3347" s="60"/>
      <c r="I3347" s="60"/>
      <c r="J3347" s="60"/>
      <c r="K3347" s="60"/>
      <c r="L3347" s="60"/>
      <c r="M3347" s="64"/>
      <c r="N3347" s="33"/>
    </row>
    <row r="3348" ht="24" customHeight="1" spans="2:14">
      <c r="B3348" s="33"/>
      <c r="C3348" s="60"/>
      <c r="D3348" s="60"/>
      <c r="E3348" s="60"/>
      <c r="F3348" s="60"/>
      <c r="G3348" s="60"/>
      <c r="H3348" s="60"/>
      <c r="I3348" s="60"/>
      <c r="J3348" s="60"/>
      <c r="K3348" s="60"/>
      <c r="L3348" s="60"/>
      <c r="M3348" s="64"/>
      <c r="N3348" s="33"/>
    </row>
    <row r="3349" ht="24" customHeight="1" spans="2:14">
      <c r="B3349" s="33"/>
      <c r="C3349" s="60"/>
      <c r="D3349" s="60"/>
      <c r="E3349" s="60"/>
      <c r="F3349" s="60"/>
      <c r="G3349" s="60"/>
      <c r="H3349" s="60"/>
      <c r="I3349" s="60"/>
      <c r="J3349" s="60"/>
      <c r="K3349" s="60"/>
      <c r="L3349" s="60"/>
      <c r="M3349" s="64"/>
      <c r="N3349" s="33"/>
    </row>
    <row r="3350" ht="24" customHeight="1" spans="2:14">
      <c r="B3350" s="33"/>
      <c r="C3350" s="60"/>
      <c r="D3350" s="60"/>
      <c r="E3350" s="60"/>
      <c r="F3350" s="60"/>
      <c r="G3350" s="60"/>
      <c r="H3350" s="60"/>
      <c r="I3350" s="60"/>
      <c r="J3350" s="60"/>
      <c r="K3350" s="60"/>
      <c r="L3350" s="60"/>
      <c r="M3350" s="64"/>
      <c r="N3350" s="33"/>
    </row>
    <row r="3351" ht="24" customHeight="1" spans="2:14">
      <c r="B3351" s="33"/>
      <c r="C3351" s="60"/>
      <c r="D3351" s="60"/>
      <c r="E3351" s="60"/>
      <c r="F3351" s="60"/>
      <c r="G3351" s="60"/>
      <c r="H3351" s="60"/>
      <c r="I3351" s="60"/>
      <c r="J3351" s="60"/>
      <c r="K3351" s="60"/>
      <c r="L3351" s="60"/>
      <c r="M3351" s="64"/>
      <c r="N3351" s="33"/>
    </row>
    <row r="3352" ht="24" customHeight="1" spans="2:14">
      <c r="B3352" s="33"/>
      <c r="C3352" s="60"/>
      <c r="D3352" s="60"/>
      <c r="E3352" s="60"/>
      <c r="F3352" s="60"/>
      <c r="G3352" s="60"/>
      <c r="H3352" s="60"/>
      <c r="I3352" s="60"/>
      <c r="J3352" s="60"/>
      <c r="K3352" s="60"/>
      <c r="L3352" s="60"/>
      <c r="M3352" s="64"/>
      <c r="N3352" s="33"/>
    </row>
    <row r="3353" ht="24" customHeight="1" spans="2:14">
      <c r="B3353" s="33"/>
      <c r="C3353" s="60"/>
      <c r="D3353" s="60"/>
      <c r="E3353" s="60"/>
      <c r="F3353" s="60"/>
      <c r="G3353" s="60"/>
      <c r="H3353" s="60"/>
      <c r="I3353" s="60"/>
      <c r="J3353" s="60"/>
      <c r="K3353" s="60"/>
      <c r="L3353" s="60"/>
      <c r="M3353" s="64"/>
      <c r="N3353" s="33"/>
    </row>
    <row r="3354" ht="24" customHeight="1" spans="2:14">
      <c r="B3354" s="33"/>
      <c r="C3354" s="60"/>
      <c r="D3354" s="60"/>
      <c r="E3354" s="60"/>
      <c r="F3354" s="60"/>
      <c r="G3354" s="60"/>
      <c r="H3354" s="60"/>
      <c r="I3354" s="60"/>
      <c r="J3354" s="60"/>
      <c r="K3354" s="60"/>
      <c r="L3354" s="60"/>
      <c r="M3354" s="64"/>
      <c r="N3354" s="33"/>
    </row>
    <row r="3355" ht="24" customHeight="1" spans="2:14">
      <c r="B3355" s="33"/>
      <c r="C3355" s="60"/>
      <c r="D3355" s="60"/>
      <c r="E3355" s="60"/>
      <c r="F3355" s="60"/>
      <c r="G3355" s="60"/>
      <c r="H3355" s="60"/>
      <c r="I3355" s="60"/>
      <c r="J3355" s="60"/>
      <c r="K3355" s="60"/>
      <c r="L3355" s="60"/>
      <c r="M3355" s="64"/>
      <c r="N3355" s="33"/>
    </row>
    <row r="3356" ht="24" customHeight="1" spans="2:14">
      <c r="B3356" s="33"/>
      <c r="C3356" s="60"/>
      <c r="D3356" s="60"/>
      <c r="E3356" s="60"/>
      <c r="F3356" s="60"/>
      <c r="G3356" s="60"/>
      <c r="H3356" s="60"/>
      <c r="I3356" s="60"/>
      <c r="J3356" s="60"/>
      <c r="K3356" s="60"/>
      <c r="L3356" s="60"/>
      <c r="M3356" s="64"/>
      <c r="N3356" s="33"/>
    </row>
    <row r="3357" ht="24" customHeight="1" spans="2:14">
      <c r="B3357" s="33"/>
      <c r="C3357" s="60"/>
      <c r="D3357" s="60"/>
      <c r="E3357" s="60"/>
      <c r="F3357" s="60"/>
      <c r="G3357" s="60"/>
      <c r="H3357" s="60"/>
      <c r="I3357" s="60"/>
      <c r="J3357" s="60"/>
      <c r="K3357" s="60"/>
      <c r="L3357" s="60"/>
      <c r="M3357" s="64"/>
      <c r="N3357" s="33"/>
    </row>
    <row r="3358" ht="24" customHeight="1" spans="2:14">
      <c r="B3358" s="33"/>
      <c r="C3358" s="60"/>
      <c r="D3358" s="60"/>
      <c r="E3358" s="60"/>
      <c r="F3358" s="60"/>
      <c r="G3358" s="60"/>
      <c r="H3358" s="60"/>
      <c r="I3358" s="60"/>
      <c r="J3358" s="60"/>
      <c r="K3358" s="60"/>
      <c r="L3358" s="60"/>
      <c r="M3358" s="64"/>
      <c r="N3358" s="33"/>
    </row>
    <row r="3359" ht="24" customHeight="1" spans="2:14">
      <c r="B3359" s="33"/>
      <c r="C3359" s="60"/>
      <c r="D3359" s="60"/>
      <c r="E3359" s="60"/>
      <c r="F3359" s="60"/>
      <c r="G3359" s="60"/>
      <c r="H3359" s="60"/>
      <c r="I3359" s="60"/>
      <c r="J3359" s="60"/>
      <c r="K3359" s="60"/>
      <c r="L3359" s="60"/>
      <c r="M3359" s="64"/>
      <c r="N3359" s="33"/>
    </row>
    <row r="3360" ht="24" customHeight="1" spans="2:14">
      <c r="B3360" s="33"/>
      <c r="C3360" s="60"/>
      <c r="D3360" s="60"/>
      <c r="E3360" s="60"/>
      <c r="F3360" s="60"/>
      <c r="G3360" s="60"/>
      <c r="H3360" s="60"/>
      <c r="I3360" s="60"/>
      <c r="J3360" s="60"/>
      <c r="K3360" s="60"/>
      <c r="L3360" s="60"/>
      <c r="M3360" s="64"/>
      <c r="N3360" s="33"/>
    </row>
    <row r="3361" ht="24" customHeight="1" spans="2:14">
      <c r="B3361" s="33"/>
      <c r="C3361" s="60"/>
      <c r="D3361" s="60"/>
      <c r="E3361" s="60"/>
      <c r="F3361" s="60"/>
      <c r="G3361" s="60"/>
      <c r="H3361" s="60"/>
      <c r="I3361" s="60"/>
      <c r="J3361" s="60"/>
      <c r="K3361" s="60"/>
      <c r="L3361" s="60"/>
      <c r="M3361" s="64"/>
      <c r="N3361" s="33"/>
    </row>
    <row r="3362" ht="24" customHeight="1" spans="2:14">
      <c r="B3362" s="33"/>
      <c r="C3362" s="60"/>
      <c r="D3362" s="60"/>
      <c r="E3362" s="60"/>
      <c r="F3362" s="60"/>
      <c r="G3362" s="60"/>
      <c r="H3362" s="60"/>
      <c r="I3362" s="60"/>
      <c r="J3362" s="60"/>
      <c r="K3362" s="60"/>
      <c r="L3362" s="60"/>
      <c r="M3362" s="64"/>
      <c r="N3362" s="33"/>
    </row>
    <row r="3363" ht="24" customHeight="1" spans="2:14">
      <c r="B3363" s="33"/>
      <c r="C3363" s="60"/>
      <c r="D3363" s="60"/>
      <c r="E3363" s="60"/>
      <c r="F3363" s="60"/>
      <c r="G3363" s="60"/>
      <c r="H3363" s="60"/>
      <c r="I3363" s="60"/>
      <c r="J3363" s="60"/>
      <c r="K3363" s="60"/>
      <c r="L3363" s="60"/>
      <c r="M3363" s="64"/>
      <c r="N3363" s="33"/>
    </row>
    <row r="3364" ht="24" customHeight="1" spans="2:14">
      <c r="B3364" s="33"/>
      <c r="C3364" s="60"/>
      <c r="D3364" s="60"/>
      <c r="E3364" s="60"/>
      <c r="F3364" s="60"/>
      <c r="G3364" s="60"/>
      <c r="H3364" s="60"/>
      <c r="I3364" s="60"/>
      <c r="J3364" s="60"/>
      <c r="K3364" s="60"/>
      <c r="L3364" s="60"/>
      <c r="M3364" s="64"/>
      <c r="N3364" s="33"/>
    </row>
    <row r="3365" ht="24" customHeight="1" spans="2:14">
      <c r="B3365" s="33"/>
      <c r="C3365" s="60"/>
      <c r="D3365" s="60"/>
      <c r="E3365" s="60"/>
      <c r="F3365" s="60"/>
      <c r="G3365" s="60"/>
      <c r="H3365" s="60"/>
      <c r="I3365" s="60"/>
      <c r="J3365" s="60"/>
      <c r="K3365" s="60"/>
      <c r="L3365" s="60"/>
      <c r="M3365" s="64"/>
      <c r="N3365" s="33"/>
    </row>
    <row r="3366" ht="24" customHeight="1" spans="2:14">
      <c r="B3366" s="33"/>
      <c r="C3366" s="60"/>
      <c r="D3366" s="60"/>
      <c r="E3366" s="60"/>
      <c r="F3366" s="60"/>
      <c r="G3366" s="60"/>
      <c r="H3366" s="60"/>
      <c r="I3366" s="60"/>
      <c r="J3366" s="60"/>
      <c r="K3366" s="60"/>
      <c r="L3366" s="60"/>
      <c r="M3366" s="64"/>
      <c r="N3366" s="33"/>
    </row>
    <row r="3367" ht="24" customHeight="1" spans="2:14">
      <c r="B3367" s="33"/>
      <c r="C3367" s="60"/>
      <c r="D3367" s="60"/>
      <c r="E3367" s="60"/>
      <c r="F3367" s="60"/>
      <c r="G3367" s="60"/>
      <c r="H3367" s="60"/>
      <c r="I3367" s="60"/>
      <c r="J3367" s="60"/>
      <c r="K3367" s="60"/>
      <c r="L3367" s="60"/>
      <c r="M3367" s="64"/>
      <c r="N3367" s="33"/>
    </row>
    <row r="3368" ht="24" customHeight="1" spans="2:14">
      <c r="B3368" s="33"/>
      <c r="C3368" s="60"/>
      <c r="D3368" s="60"/>
      <c r="E3368" s="60"/>
      <c r="F3368" s="60"/>
      <c r="G3368" s="60"/>
      <c r="H3368" s="60"/>
      <c r="I3368" s="60"/>
      <c r="J3368" s="60"/>
      <c r="K3368" s="60"/>
      <c r="L3368" s="60"/>
      <c r="M3368" s="64"/>
      <c r="N3368" s="33"/>
    </row>
    <row r="3369" ht="24" customHeight="1" spans="2:14">
      <c r="B3369" s="33"/>
      <c r="C3369" s="60"/>
      <c r="D3369" s="60"/>
      <c r="E3369" s="60"/>
      <c r="F3369" s="60"/>
      <c r="G3369" s="60"/>
      <c r="H3369" s="60"/>
      <c r="I3369" s="60"/>
      <c r="J3369" s="60"/>
      <c r="K3369" s="60"/>
      <c r="L3369" s="60"/>
      <c r="M3369" s="64"/>
      <c r="N3369" s="33"/>
    </row>
    <row r="3370" ht="24" customHeight="1" spans="2:14">
      <c r="B3370" s="33"/>
      <c r="C3370" s="60"/>
      <c r="D3370" s="60"/>
      <c r="E3370" s="60"/>
      <c r="F3370" s="60"/>
      <c r="G3370" s="60"/>
      <c r="H3370" s="60"/>
      <c r="I3370" s="60"/>
      <c r="J3370" s="60"/>
      <c r="K3370" s="60"/>
      <c r="L3370" s="60"/>
      <c r="M3370" s="64"/>
      <c r="N3370" s="33"/>
    </row>
    <row r="3371" ht="24" customHeight="1" spans="2:14">
      <c r="B3371" s="33"/>
      <c r="C3371" s="60"/>
      <c r="D3371" s="60"/>
      <c r="E3371" s="60"/>
      <c r="F3371" s="60"/>
      <c r="G3371" s="60"/>
      <c r="H3371" s="60"/>
      <c r="I3371" s="60"/>
      <c r="J3371" s="60"/>
      <c r="K3371" s="60"/>
      <c r="L3371" s="60"/>
      <c r="M3371" s="64"/>
      <c r="N3371" s="33"/>
    </row>
    <row r="3372" ht="24" customHeight="1" spans="2:14">
      <c r="B3372" s="33"/>
      <c r="C3372" s="60"/>
      <c r="D3372" s="60"/>
      <c r="E3372" s="60"/>
      <c r="F3372" s="60"/>
      <c r="G3372" s="60"/>
      <c r="H3372" s="60"/>
      <c r="I3372" s="60"/>
      <c r="J3372" s="60"/>
      <c r="K3372" s="60"/>
      <c r="L3372" s="60"/>
      <c r="M3372" s="64"/>
      <c r="N3372" s="33"/>
    </row>
    <row r="3373" ht="24" customHeight="1" spans="2:14">
      <c r="B3373" s="33"/>
      <c r="C3373" s="60"/>
      <c r="D3373" s="60"/>
      <c r="E3373" s="60"/>
      <c r="F3373" s="60"/>
      <c r="G3373" s="60"/>
      <c r="H3373" s="60"/>
      <c r="I3373" s="60"/>
      <c r="J3373" s="60"/>
      <c r="K3373" s="60"/>
      <c r="L3373" s="60"/>
      <c r="M3373" s="64"/>
      <c r="N3373" s="33"/>
    </row>
    <row r="3374" ht="24" customHeight="1" spans="2:14">
      <c r="B3374" s="33"/>
      <c r="C3374" s="60"/>
      <c r="D3374" s="60"/>
      <c r="E3374" s="60"/>
      <c r="F3374" s="60"/>
      <c r="G3374" s="60"/>
      <c r="H3374" s="60"/>
      <c r="I3374" s="60"/>
      <c r="J3374" s="60"/>
      <c r="K3374" s="60"/>
      <c r="L3374" s="60"/>
      <c r="M3374" s="64"/>
      <c r="N3374" s="33"/>
    </row>
    <row r="3375" ht="24" customHeight="1" spans="2:14">
      <c r="B3375" s="33"/>
      <c r="C3375" s="60"/>
      <c r="D3375" s="60"/>
      <c r="E3375" s="60"/>
      <c r="F3375" s="60"/>
      <c r="G3375" s="60"/>
      <c r="H3375" s="60"/>
      <c r="I3375" s="60"/>
      <c r="J3375" s="60"/>
      <c r="K3375" s="60"/>
      <c r="L3375" s="60"/>
      <c r="M3375" s="64"/>
      <c r="N3375" s="33"/>
    </row>
    <row r="3376" ht="24" customHeight="1" spans="2:14">
      <c r="B3376" s="33"/>
      <c r="C3376" s="60"/>
      <c r="D3376" s="60"/>
      <c r="E3376" s="60"/>
      <c r="F3376" s="60"/>
      <c r="G3376" s="60"/>
      <c r="H3376" s="60"/>
      <c r="I3376" s="60"/>
      <c r="J3376" s="60"/>
      <c r="K3376" s="60"/>
      <c r="L3376" s="60"/>
      <c r="M3376" s="64"/>
      <c r="N3376" s="33"/>
    </row>
    <row r="3377" ht="24" customHeight="1" spans="2:14">
      <c r="B3377" s="33"/>
      <c r="C3377" s="60"/>
      <c r="D3377" s="60"/>
      <c r="E3377" s="60"/>
      <c r="F3377" s="60"/>
      <c r="G3377" s="60"/>
      <c r="H3377" s="60"/>
      <c r="I3377" s="60"/>
      <c r="J3377" s="60"/>
      <c r="K3377" s="60"/>
      <c r="L3377" s="60"/>
      <c r="M3377" s="64"/>
      <c r="N3377" s="33"/>
    </row>
    <row r="3378" ht="24" customHeight="1" spans="2:14">
      <c r="B3378" s="33"/>
      <c r="C3378" s="60"/>
      <c r="D3378" s="60"/>
      <c r="E3378" s="60"/>
      <c r="F3378" s="60"/>
      <c r="G3378" s="60"/>
      <c r="H3378" s="60"/>
      <c r="I3378" s="60"/>
      <c r="J3378" s="60"/>
      <c r="K3378" s="60"/>
      <c r="L3378" s="60"/>
      <c r="M3378" s="64"/>
      <c r="N3378" s="33"/>
    </row>
    <row r="3379" ht="24" customHeight="1" spans="2:14">
      <c r="B3379" s="33"/>
      <c r="C3379" s="60"/>
      <c r="D3379" s="60"/>
      <c r="E3379" s="60"/>
      <c r="F3379" s="60"/>
      <c r="G3379" s="60"/>
      <c r="H3379" s="60"/>
      <c r="I3379" s="60"/>
      <c r="J3379" s="60"/>
      <c r="K3379" s="60"/>
      <c r="L3379" s="60"/>
      <c r="M3379" s="64"/>
      <c r="N3379" s="33"/>
    </row>
    <row r="3380" ht="24" customHeight="1" spans="2:14">
      <c r="B3380" s="33"/>
      <c r="C3380" s="60"/>
      <c r="D3380" s="60"/>
      <c r="E3380" s="60"/>
      <c r="F3380" s="60"/>
      <c r="G3380" s="60"/>
      <c r="H3380" s="60"/>
      <c r="I3380" s="60"/>
      <c r="J3380" s="60"/>
      <c r="K3380" s="60"/>
      <c r="L3380" s="60"/>
      <c r="M3380" s="64"/>
      <c r="N3380" s="33"/>
    </row>
    <row r="3381" ht="24" customHeight="1" spans="2:14">
      <c r="B3381" s="33"/>
      <c r="C3381" s="60"/>
      <c r="D3381" s="60"/>
      <c r="E3381" s="60"/>
      <c r="F3381" s="60"/>
      <c r="G3381" s="60"/>
      <c r="H3381" s="60"/>
      <c r="I3381" s="60"/>
      <c r="J3381" s="60"/>
      <c r="K3381" s="60"/>
      <c r="L3381" s="60"/>
      <c r="M3381" s="64"/>
      <c r="N3381" s="33"/>
    </row>
    <row r="3382" ht="24" customHeight="1" spans="2:14">
      <c r="B3382" s="33"/>
      <c r="C3382" s="60"/>
      <c r="D3382" s="60"/>
      <c r="E3382" s="60"/>
      <c r="F3382" s="60"/>
      <c r="G3382" s="60"/>
      <c r="H3382" s="60"/>
      <c r="I3382" s="60"/>
      <c r="J3382" s="60"/>
      <c r="K3382" s="60"/>
      <c r="L3382" s="60"/>
      <c r="M3382" s="64"/>
      <c r="N3382" s="33"/>
    </row>
    <row r="3383" ht="24" customHeight="1" spans="2:14">
      <c r="B3383" s="33"/>
      <c r="C3383" s="60"/>
      <c r="D3383" s="60"/>
      <c r="E3383" s="60"/>
      <c r="F3383" s="60"/>
      <c r="G3383" s="60"/>
      <c r="H3383" s="60"/>
      <c r="I3383" s="60"/>
      <c r="J3383" s="60"/>
      <c r="K3383" s="60"/>
      <c r="L3383" s="60"/>
      <c r="M3383" s="64"/>
      <c r="N3383" s="33"/>
    </row>
    <row r="3384" ht="24" customHeight="1" spans="2:14">
      <c r="B3384" s="33"/>
      <c r="C3384" s="60"/>
      <c r="D3384" s="60"/>
      <c r="E3384" s="60"/>
      <c r="F3384" s="60"/>
      <c r="G3384" s="60"/>
      <c r="H3384" s="60"/>
      <c r="I3384" s="60"/>
      <c r="J3384" s="60"/>
      <c r="K3384" s="60"/>
      <c r="L3384" s="60"/>
      <c r="M3384" s="64"/>
      <c r="N3384" s="33"/>
    </row>
    <row r="3385" ht="24" customHeight="1" spans="2:14">
      <c r="B3385" s="33"/>
      <c r="C3385" s="60"/>
      <c r="D3385" s="60"/>
      <c r="E3385" s="60"/>
      <c r="F3385" s="60"/>
      <c r="G3385" s="60"/>
      <c r="H3385" s="60"/>
      <c r="I3385" s="60"/>
      <c r="J3385" s="60"/>
      <c r="K3385" s="60"/>
      <c r="L3385" s="60"/>
      <c r="M3385" s="64"/>
      <c r="N3385" s="33"/>
    </row>
    <row r="3386" ht="24" customHeight="1" spans="2:14">
      <c r="B3386" s="33"/>
      <c r="C3386" s="60"/>
      <c r="D3386" s="60"/>
      <c r="E3386" s="60"/>
      <c r="F3386" s="60"/>
      <c r="G3386" s="60"/>
      <c r="H3386" s="60"/>
      <c r="I3386" s="60"/>
      <c r="J3386" s="60"/>
      <c r="K3386" s="60"/>
      <c r="L3386" s="60"/>
      <c r="M3386" s="64"/>
      <c r="N3386" s="33"/>
    </row>
    <row r="3387" ht="24" customHeight="1" spans="2:14">
      <c r="B3387" s="33"/>
      <c r="C3387" s="60"/>
      <c r="D3387" s="60"/>
      <c r="E3387" s="60"/>
      <c r="F3387" s="60"/>
      <c r="G3387" s="60"/>
      <c r="H3387" s="60"/>
      <c r="I3387" s="60"/>
      <c r="J3387" s="60"/>
      <c r="K3387" s="60"/>
      <c r="L3387" s="60"/>
      <c r="M3387" s="64"/>
      <c r="N3387" s="33"/>
    </row>
    <row r="3388" ht="24" customHeight="1" spans="2:14">
      <c r="B3388" s="33"/>
      <c r="C3388" s="60"/>
      <c r="D3388" s="60"/>
      <c r="E3388" s="60"/>
      <c r="F3388" s="60"/>
      <c r="G3388" s="60"/>
      <c r="H3388" s="60"/>
      <c r="I3388" s="60"/>
      <c r="J3388" s="60"/>
      <c r="K3388" s="60"/>
      <c r="L3388" s="60"/>
      <c r="M3388" s="64"/>
      <c r="N3388" s="33"/>
    </row>
    <row r="3389" ht="24" customHeight="1" spans="2:14">
      <c r="B3389" s="33"/>
      <c r="C3389" s="60"/>
      <c r="D3389" s="60"/>
      <c r="E3389" s="60"/>
      <c r="F3389" s="60"/>
      <c r="G3389" s="60"/>
      <c r="H3389" s="60"/>
      <c r="I3389" s="60"/>
      <c r="J3389" s="60"/>
      <c r="K3389" s="60"/>
      <c r="L3389" s="60"/>
      <c r="M3389" s="64"/>
      <c r="N3389" s="33"/>
    </row>
    <row r="3390" ht="24" customHeight="1" spans="2:14">
      <c r="B3390" s="33"/>
      <c r="C3390" s="60"/>
      <c r="D3390" s="60"/>
      <c r="E3390" s="60"/>
      <c r="F3390" s="60"/>
      <c r="G3390" s="60"/>
      <c r="H3390" s="60"/>
      <c r="I3390" s="60"/>
      <c r="J3390" s="60"/>
      <c r="K3390" s="60"/>
      <c r="L3390" s="60"/>
      <c r="M3390" s="64"/>
      <c r="N3390" s="33"/>
    </row>
    <row r="3391" ht="24" customHeight="1" spans="2:14">
      <c r="B3391" s="33"/>
      <c r="C3391" s="60"/>
      <c r="D3391" s="60"/>
      <c r="E3391" s="60"/>
      <c r="F3391" s="60"/>
      <c r="G3391" s="60"/>
      <c r="H3391" s="60"/>
      <c r="I3391" s="60"/>
      <c r="J3391" s="60"/>
      <c r="K3391" s="60"/>
      <c r="L3391" s="60"/>
      <c r="M3391" s="64"/>
      <c r="N3391" s="33"/>
    </row>
    <row r="3392" ht="24" customHeight="1" spans="2:14">
      <c r="B3392" s="33"/>
      <c r="C3392" s="60"/>
      <c r="D3392" s="60"/>
      <c r="E3392" s="60"/>
      <c r="F3392" s="60"/>
      <c r="G3392" s="60"/>
      <c r="H3392" s="60"/>
      <c r="I3392" s="60"/>
      <c r="J3392" s="60"/>
      <c r="K3392" s="60"/>
      <c r="L3392" s="60"/>
      <c r="M3392" s="64"/>
      <c r="N3392" s="33"/>
    </row>
    <row r="3393" ht="24" customHeight="1" spans="2:14">
      <c r="B3393" s="33"/>
      <c r="C3393" s="60"/>
      <c r="D3393" s="60"/>
      <c r="E3393" s="60"/>
      <c r="F3393" s="60"/>
      <c r="G3393" s="60"/>
      <c r="H3393" s="60"/>
      <c r="I3393" s="60"/>
      <c r="J3393" s="60"/>
      <c r="K3393" s="60"/>
      <c r="L3393" s="60"/>
      <c r="M3393" s="64"/>
      <c r="N3393" s="33"/>
    </row>
    <row r="3394" ht="24" customHeight="1" spans="2:14">
      <c r="B3394" s="33"/>
      <c r="C3394" s="60"/>
      <c r="D3394" s="60"/>
      <c r="E3394" s="60"/>
      <c r="F3394" s="60"/>
      <c r="G3394" s="60"/>
      <c r="H3394" s="60"/>
      <c r="I3394" s="60"/>
      <c r="J3394" s="60"/>
      <c r="K3394" s="60"/>
      <c r="L3394" s="60"/>
      <c r="M3394" s="64"/>
      <c r="N3394" s="33"/>
    </row>
    <row r="3395" ht="24" customHeight="1" spans="2:14">
      <c r="B3395" s="33"/>
      <c r="C3395" s="60"/>
      <c r="D3395" s="60"/>
      <c r="E3395" s="60"/>
      <c r="F3395" s="60"/>
      <c r="G3395" s="60"/>
      <c r="H3395" s="60"/>
      <c r="I3395" s="60"/>
      <c r="J3395" s="60"/>
      <c r="K3395" s="60"/>
      <c r="L3395" s="60"/>
      <c r="M3395" s="64"/>
      <c r="N3395" s="33"/>
    </row>
    <row r="3396" ht="24" customHeight="1" spans="2:14">
      <c r="B3396" s="33"/>
      <c r="C3396" s="60"/>
      <c r="D3396" s="60"/>
      <c r="E3396" s="60"/>
      <c r="F3396" s="60"/>
      <c r="G3396" s="60"/>
      <c r="H3396" s="60"/>
      <c r="I3396" s="60"/>
      <c r="J3396" s="60"/>
      <c r="K3396" s="60"/>
      <c r="L3396" s="60"/>
      <c r="M3396" s="64"/>
      <c r="N3396" s="33"/>
    </row>
    <row r="3397" ht="24" customHeight="1" spans="2:14">
      <c r="B3397" s="33"/>
      <c r="C3397" s="60"/>
      <c r="D3397" s="60"/>
      <c r="E3397" s="60"/>
      <c r="F3397" s="60"/>
      <c r="G3397" s="60"/>
      <c r="H3397" s="60"/>
      <c r="I3397" s="60"/>
      <c r="J3397" s="60"/>
      <c r="K3397" s="60"/>
      <c r="L3397" s="60"/>
      <c r="M3397" s="64"/>
      <c r="N3397" s="33"/>
    </row>
    <row r="3398" ht="24" customHeight="1" spans="2:14">
      <c r="B3398" s="33"/>
      <c r="C3398" s="60"/>
      <c r="D3398" s="60"/>
      <c r="E3398" s="60"/>
      <c r="F3398" s="60"/>
      <c r="G3398" s="60"/>
      <c r="H3398" s="60"/>
      <c r="I3398" s="60"/>
      <c r="J3398" s="60"/>
      <c r="K3398" s="60"/>
      <c r="L3398" s="60"/>
      <c r="M3398" s="64"/>
      <c r="N3398" s="33"/>
    </row>
    <row r="3399" ht="24" customHeight="1" spans="2:14">
      <c r="B3399" s="33"/>
      <c r="C3399" s="60"/>
      <c r="D3399" s="60"/>
      <c r="E3399" s="60"/>
      <c r="F3399" s="60"/>
      <c r="G3399" s="60"/>
      <c r="H3399" s="60"/>
      <c r="I3399" s="60"/>
      <c r="J3399" s="60"/>
      <c r="K3399" s="60"/>
      <c r="L3399" s="60"/>
      <c r="M3399" s="64"/>
      <c r="N3399" s="33"/>
    </row>
    <row r="3400" ht="24" customHeight="1" spans="2:14">
      <c r="B3400" s="33"/>
      <c r="C3400" s="60"/>
      <c r="D3400" s="60"/>
      <c r="E3400" s="60"/>
      <c r="F3400" s="60"/>
      <c r="G3400" s="60"/>
      <c r="H3400" s="60"/>
      <c r="I3400" s="60"/>
      <c r="J3400" s="60"/>
      <c r="K3400" s="60"/>
      <c r="L3400" s="60"/>
      <c r="M3400" s="64"/>
      <c r="N3400" s="33"/>
    </row>
    <row r="3401" ht="24" customHeight="1" spans="2:14">
      <c r="B3401" s="33"/>
      <c r="C3401" s="60"/>
      <c r="D3401" s="60"/>
      <c r="E3401" s="60"/>
      <c r="F3401" s="60"/>
      <c r="G3401" s="60"/>
      <c r="H3401" s="60"/>
      <c r="I3401" s="60"/>
      <c r="J3401" s="60"/>
      <c r="K3401" s="60"/>
      <c r="L3401" s="60"/>
      <c r="M3401" s="64"/>
      <c r="N3401" s="33"/>
    </row>
    <row r="3402" ht="24" customHeight="1" spans="2:14">
      <c r="B3402" s="33"/>
      <c r="C3402" s="60"/>
      <c r="D3402" s="60"/>
      <c r="E3402" s="60"/>
      <c r="F3402" s="60"/>
      <c r="G3402" s="60"/>
      <c r="H3402" s="60"/>
      <c r="I3402" s="60"/>
      <c r="J3402" s="60"/>
      <c r="K3402" s="60"/>
      <c r="L3402" s="60"/>
      <c r="M3402" s="64"/>
      <c r="N3402" s="33"/>
    </row>
    <row r="3403" ht="24" customHeight="1" spans="2:14">
      <c r="B3403" s="33"/>
      <c r="C3403" s="60"/>
      <c r="D3403" s="60"/>
      <c r="E3403" s="60"/>
      <c r="F3403" s="60"/>
      <c r="G3403" s="60"/>
      <c r="H3403" s="60"/>
      <c r="I3403" s="60"/>
      <c r="J3403" s="60"/>
      <c r="K3403" s="60"/>
      <c r="L3403" s="60"/>
      <c r="M3403" s="64"/>
      <c r="N3403" s="33"/>
    </row>
    <row r="3404" ht="24" customHeight="1" spans="2:14">
      <c r="B3404" s="33"/>
      <c r="C3404" s="60"/>
      <c r="D3404" s="60"/>
      <c r="E3404" s="60"/>
      <c r="F3404" s="60"/>
      <c r="G3404" s="60"/>
      <c r="H3404" s="60"/>
      <c r="I3404" s="60"/>
      <c r="J3404" s="60"/>
      <c r="K3404" s="60"/>
      <c r="L3404" s="60"/>
      <c r="M3404" s="64"/>
      <c r="N3404" s="33"/>
    </row>
    <row r="3405" ht="24" customHeight="1" spans="2:14">
      <c r="B3405" s="33"/>
      <c r="C3405" s="60"/>
      <c r="D3405" s="60"/>
      <c r="E3405" s="60"/>
      <c r="F3405" s="60"/>
      <c r="G3405" s="60"/>
      <c r="H3405" s="60"/>
      <c r="I3405" s="60"/>
      <c r="J3405" s="60"/>
      <c r="K3405" s="60"/>
      <c r="L3405" s="60"/>
      <c r="M3405" s="64"/>
      <c r="N3405" s="33"/>
    </row>
    <row r="3406" ht="24" customHeight="1" spans="2:14">
      <c r="B3406" s="33"/>
      <c r="C3406" s="60"/>
      <c r="D3406" s="60"/>
      <c r="E3406" s="60"/>
      <c r="F3406" s="60"/>
      <c r="G3406" s="60"/>
      <c r="H3406" s="60"/>
      <c r="I3406" s="60"/>
      <c r="J3406" s="60"/>
      <c r="K3406" s="60"/>
      <c r="L3406" s="60"/>
      <c r="M3406" s="64"/>
      <c r="N3406" s="33"/>
    </row>
    <row r="3407" ht="24" customHeight="1" spans="2:14">
      <c r="B3407" s="33"/>
      <c r="C3407" s="60"/>
      <c r="D3407" s="60"/>
      <c r="E3407" s="60"/>
      <c r="F3407" s="60"/>
      <c r="G3407" s="60"/>
      <c r="H3407" s="60"/>
      <c r="I3407" s="60"/>
      <c r="J3407" s="60"/>
      <c r="K3407" s="60"/>
      <c r="L3407" s="60"/>
      <c r="M3407" s="64"/>
      <c r="N3407" s="33"/>
    </row>
    <row r="3408" ht="24" customHeight="1" spans="2:14">
      <c r="B3408" s="33"/>
      <c r="C3408" s="60"/>
      <c r="D3408" s="60"/>
      <c r="E3408" s="60"/>
      <c r="F3408" s="60"/>
      <c r="G3408" s="60"/>
      <c r="H3408" s="60"/>
      <c r="I3408" s="60"/>
      <c r="J3408" s="60"/>
      <c r="K3408" s="60"/>
      <c r="L3408" s="60"/>
      <c r="M3408" s="64"/>
      <c r="N3408" s="33"/>
    </row>
    <row r="3409" ht="24" customHeight="1" spans="2:14">
      <c r="B3409" s="33"/>
      <c r="C3409" s="60"/>
      <c r="D3409" s="60"/>
      <c r="E3409" s="60"/>
      <c r="F3409" s="60"/>
      <c r="G3409" s="60"/>
      <c r="H3409" s="60"/>
      <c r="I3409" s="60"/>
      <c r="J3409" s="60"/>
      <c r="K3409" s="60"/>
      <c r="L3409" s="60"/>
      <c r="M3409" s="64"/>
      <c r="N3409" s="33"/>
    </row>
    <row r="3410" ht="24" customHeight="1" spans="2:14">
      <c r="B3410" s="33"/>
      <c r="C3410" s="60"/>
      <c r="D3410" s="60"/>
      <c r="E3410" s="60"/>
      <c r="F3410" s="60"/>
      <c r="G3410" s="60"/>
      <c r="H3410" s="60"/>
      <c r="I3410" s="60"/>
      <c r="J3410" s="60"/>
      <c r="K3410" s="60"/>
      <c r="L3410" s="60"/>
      <c r="M3410" s="64"/>
      <c r="N3410" s="33"/>
    </row>
    <row r="3411" ht="24" customHeight="1" spans="2:14">
      <c r="B3411" s="33"/>
      <c r="C3411" s="60"/>
      <c r="D3411" s="60"/>
      <c r="E3411" s="60"/>
      <c r="F3411" s="60"/>
      <c r="G3411" s="60"/>
      <c r="H3411" s="60"/>
      <c r="I3411" s="60"/>
      <c r="J3411" s="60"/>
      <c r="K3411" s="60"/>
      <c r="L3411" s="60"/>
      <c r="M3411" s="64"/>
      <c r="N3411" s="33"/>
    </row>
    <row r="3412" ht="24" customHeight="1" spans="2:14">
      <c r="B3412" s="33"/>
      <c r="C3412" s="60"/>
      <c r="D3412" s="60"/>
      <c r="E3412" s="60"/>
      <c r="F3412" s="60"/>
      <c r="G3412" s="60"/>
      <c r="H3412" s="60"/>
      <c r="I3412" s="60"/>
      <c r="J3412" s="60"/>
      <c r="K3412" s="60"/>
      <c r="L3412" s="60"/>
      <c r="M3412" s="64"/>
      <c r="N3412" s="33"/>
    </row>
    <row r="3413" ht="24" customHeight="1" spans="2:14">
      <c r="B3413" s="33"/>
      <c r="C3413" s="60"/>
      <c r="D3413" s="60"/>
      <c r="E3413" s="60"/>
      <c r="F3413" s="60"/>
      <c r="G3413" s="60"/>
      <c r="H3413" s="60"/>
      <c r="I3413" s="60"/>
      <c r="J3413" s="60"/>
      <c r="K3413" s="60"/>
      <c r="L3413" s="60"/>
      <c r="M3413" s="64"/>
      <c r="N3413" s="33"/>
    </row>
    <row r="3414" ht="24" customHeight="1" spans="2:14">
      <c r="B3414" s="33"/>
      <c r="C3414" s="60"/>
      <c r="D3414" s="60"/>
      <c r="E3414" s="60"/>
      <c r="F3414" s="60"/>
      <c r="G3414" s="60"/>
      <c r="H3414" s="60"/>
      <c r="I3414" s="60"/>
      <c r="J3414" s="60"/>
      <c r="K3414" s="60"/>
      <c r="L3414" s="60"/>
      <c r="M3414" s="64"/>
      <c r="N3414" s="33"/>
    </row>
    <row r="3415" ht="24" customHeight="1" spans="2:14">
      <c r="B3415" s="33"/>
      <c r="C3415" s="60"/>
      <c r="D3415" s="60"/>
      <c r="E3415" s="60"/>
      <c r="F3415" s="60"/>
      <c r="G3415" s="60"/>
      <c r="H3415" s="60"/>
      <c r="I3415" s="60"/>
      <c r="J3415" s="60"/>
      <c r="K3415" s="60"/>
      <c r="L3415" s="60"/>
      <c r="M3415" s="64"/>
      <c r="N3415" s="33"/>
    </row>
    <row r="3416" ht="24" customHeight="1" spans="2:14">
      <c r="B3416" s="33"/>
      <c r="C3416" s="60"/>
      <c r="D3416" s="60"/>
      <c r="E3416" s="60"/>
      <c r="F3416" s="60"/>
      <c r="G3416" s="60"/>
      <c r="H3416" s="60"/>
      <c r="I3416" s="60"/>
      <c r="J3416" s="60"/>
      <c r="K3416" s="60"/>
      <c r="L3416" s="60"/>
      <c r="M3416" s="64"/>
      <c r="N3416" s="33"/>
    </row>
    <row r="3417" ht="24" customHeight="1" spans="2:14">
      <c r="B3417" s="33"/>
      <c r="C3417" s="60"/>
      <c r="D3417" s="60"/>
      <c r="E3417" s="60"/>
      <c r="F3417" s="60"/>
      <c r="G3417" s="60"/>
      <c r="H3417" s="60"/>
      <c r="I3417" s="60"/>
      <c r="J3417" s="60"/>
      <c r="K3417" s="60"/>
      <c r="L3417" s="60"/>
      <c r="M3417" s="64"/>
      <c r="N3417" s="33"/>
    </row>
    <row r="3418" ht="24" customHeight="1" spans="2:14">
      <c r="B3418" s="33"/>
      <c r="C3418" s="60"/>
      <c r="D3418" s="60"/>
      <c r="E3418" s="60"/>
      <c r="F3418" s="60"/>
      <c r="G3418" s="60"/>
      <c r="H3418" s="60"/>
      <c r="I3418" s="60"/>
      <c r="J3418" s="60"/>
      <c r="K3418" s="60"/>
      <c r="L3418" s="60"/>
      <c r="M3418" s="64"/>
      <c r="N3418" s="33"/>
    </row>
    <row r="3419" ht="24" customHeight="1" spans="2:14">
      <c r="B3419" s="33"/>
      <c r="C3419" s="60"/>
      <c r="D3419" s="60"/>
      <c r="E3419" s="60"/>
      <c r="F3419" s="60"/>
      <c r="G3419" s="60"/>
      <c r="H3419" s="60"/>
      <c r="I3419" s="60"/>
      <c r="J3419" s="60"/>
      <c r="K3419" s="60"/>
      <c r="L3419" s="60"/>
      <c r="M3419" s="64"/>
      <c r="N3419" s="33"/>
    </row>
    <row r="3420" ht="24" customHeight="1" spans="2:14">
      <c r="B3420" s="33"/>
      <c r="C3420" s="60"/>
      <c r="D3420" s="60"/>
      <c r="E3420" s="60"/>
      <c r="F3420" s="60"/>
      <c r="G3420" s="60"/>
      <c r="H3420" s="60"/>
      <c r="I3420" s="60"/>
      <c r="J3420" s="60"/>
      <c r="K3420" s="60"/>
      <c r="L3420" s="60"/>
      <c r="M3420" s="64"/>
      <c r="N3420" s="33"/>
    </row>
    <row r="3421" ht="24" customHeight="1" spans="2:14">
      <c r="B3421" s="33"/>
      <c r="C3421" s="60"/>
      <c r="D3421" s="60"/>
      <c r="E3421" s="60"/>
      <c r="F3421" s="60"/>
      <c r="G3421" s="60"/>
      <c r="H3421" s="60"/>
      <c r="I3421" s="60"/>
      <c r="J3421" s="60"/>
      <c r="K3421" s="60"/>
      <c r="L3421" s="60"/>
      <c r="M3421" s="64"/>
      <c r="N3421" s="33"/>
    </row>
    <row r="3422" ht="24" customHeight="1" spans="2:14">
      <c r="B3422" s="33"/>
      <c r="C3422" s="60"/>
      <c r="D3422" s="60"/>
      <c r="E3422" s="60"/>
      <c r="F3422" s="60"/>
      <c r="G3422" s="60"/>
      <c r="H3422" s="60"/>
      <c r="I3422" s="60"/>
      <c r="J3422" s="60"/>
      <c r="K3422" s="60"/>
      <c r="L3422" s="60"/>
      <c r="M3422" s="64"/>
      <c r="N3422" s="33"/>
    </row>
    <row r="3423" ht="24" customHeight="1" spans="2:14">
      <c r="B3423" s="33"/>
      <c r="C3423" s="60"/>
      <c r="D3423" s="60"/>
      <c r="E3423" s="60"/>
      <c r="F3423" s="60"/>
      <c r="G3423" s="60"/>
      <c r="H3423" s="60"/>
      <c r="I3423" s="60"/>
      <c r="J3423" s="60"/>
      <c r="K3423" s="60"/>
      <c r="L3423" s="60"/>
      <c r="M3423" s="64"/>
      <c r="N3423" s="33"/>
    </row>
    <row r="3424" ht="24" customHeight="1" spans="2:14">
      <c r="B3424" s="33"/>
      <c r="C3424" s="60"/>
      <c r="D3424" s="60"/>
      <c r="E3424" s="60"/>
      <c r="F3424" s="60"/>
      <c r="G3424" s="60"/>
      <c r="H3424" s="60"/>
      <c r="I3424" s="60"/>
      <c r="J3424" s="60"/>
      <c r="K3424" s="60"/>
      <c r="L3424" s="60"/>
      <c r="M3424" s="64"/>
      <c r="N3424" s="33"/>
    </row>
    <row r="3425" ht="24" customHeight="1" spans="2:14">
      <c r="B3425" s="33"/>
      <c r="C3425" s="60"/>
      <c r="D3425" s="60"/>
      <c r="E3425" s="60"/>
      <c r="F3425" s="60"/>
      <c r="G3425" s="60"/>
      <c r="H3425" s="60"/>
      <c r="I3425" s="60"/>
      <c r="J3425" s="60"/>
      <c r="K3425" s="60"/>
      <c r="L3425" s="60"/>
      <c r="M3425" s="64"/>
      <c r="N3425" s="33"/>
    </row>
    <row r="3426" ht="24" customHeight="1" spans="2:14">
      <c r="B3426" s="33"/>
      <c r="C3426" s="60"/>
      <c r="D3426" s="60"/>
      <c r="E3426" s="60"/>
      <c r="F3426" s="60"/>
      <c r="G3426" s="60"/>
      <c r="H3426" s="60"/>
      <c r="I3426" s="60"/>
      <c r="J3426" s="60"/>
      <c r="K3426" s="60"/>
      <c r="L3426" s="60"/>
      <c r="M3426" s="64"/>
      <c r="N3426" s="33"/>
    </row>
    <row r="3427" ht="24" customHeight="1" spans="2:14">
      <c r="B3427" s="33"/>
      <c r="C3427" s="60"/>
      <c r="D3427" s="60"/>
      <c r="E3427" s="60"/>
      <c r="F3427" s="60"/>
      <c r="G3427" s="60"/>
      <c r="H3427" s="60"/>
      <c r="I3427" s="60"/>
      <c r="J3427" s="60"/>
      <c r="K3427" s="60"/>
      <c r="L3427" s="60"/>
      <c r="M3427" s="64"/>
      <c r="N3427" s="33"/>
    </row>
    <row r="3428" ht="24" customHeight="1" spans="2:14">
      <c r="B3428" s="33"/>
      <c r="C3428" s="60"/>
      <c r="D3428" s="60"/>
      <c r="E3428" s="60"/>
      <c r="F3428" s="60"/>
      <c r="G3428" s="60"/>
      <c r="H3428" s="60"/>
      <c r="I3428" s="60"/>
      <c r="J3428" s="60"/>
      <c r="K3428" s="60"/>
      <c r="L3428" s="60"/>
      <c r="M3428" s="64"/>
      <c r="N3428" s="33"/>
    </row>
    <row r="3429" ht="24" customHeight="1" spans="2:14">
      <c r="B3429" s="33"/>
      <c r="C3429" s="60"/>
      <c r="D3429" s="60"/>
      <c r="E3429" s="60"/>
      <c r="F3429" s="60"/>
      <c r="G3429" s="60"/>
      <c r="H3429" s="60"/>
      <c r="I3429" s="60"/>
      <c r="J3429" s="60"/>
      <c r="K3429" s="60"/>
      <c r="L3429" s="60"/>
      <c r="M3429" s="64"/>
      <c r="N3429" s="33"/>
    </row>
    <row r="3430" ht="24" customHeight="1" spans="2:14">
      <c r="B3430" s="33"/>
      <c r="C3430" s="60"/>
      <c r="D3430" s="60"/>
      <c r="E3430" s="60"/>
      <c r="F3430" s="60"/>
      <c r="G3430" s="60"/>
      <c r="H3430" s="60"/>
      <c r="I3430" s="60"/>
      <c r="J3430" s="60"/>
      <c r="K3430" s="60"/>
      <c r="L3430" s="60"/>
      <c r="M3430" s="64"/>
      <c r="N3430" s="33"/>
    </row>
    <row r="3431" ht="24" customHeight="1" spans="2:14">
      <c r="B3431" s="33"/>
      <c r="C3431" s="60"/>
      <c r="D3431" s="60"/>
      <c r="E3431" s="60"/>
      <c r="F3431" s="60"/>
      <c r="G3431" s="60"/>
      <c r="H3431" s="60"/>
      <c r="I3431" s="60"/>
      <c r="J3431" s="60"/>
      <c r="K3431" s="60"/>
      <c r="L3431" s="60"/>
      <c r="M3431" s="64"/>
      <c r="N3431" s="33"/>
    </row>
    <row r="3432" ht="24" customHeight="1" spans="2:14">
      <c r="B3432" s="33"/>
      <c r="C3432" s="60"/>
      <c r="D3432" s="60"/>
      <c r="E3432" s="60"/>
      <c r="F3432" s="60"/>
      <c r="G3432" s="60"/>
      <c r="H3432" s="60"/>
      <c r="I3432" s="60"/>
      <c r="J3432" s="60"/>
      <c r="K3432" s="60"/>
      <c r="L3432" s="60"/>
      <c r="M3432" s="64"/>
      <c r="N3432" s="33"/>
    </row>
    <row r="3433" ht="24" customHeight="1" spans="2:14">
      <c r="B3433" s="33"/>
      <c r="C3433" s="60"/>
      <c r="D3433" s="60"/>
      <c r="E3433" s="60"/>
      <c r="F3433" s="60"/>
      <c r="G3433" s="60"/>
      <c r="H3433" s="60"/>
      <c r="I3433" s="60"/>
      <c r="J3433" s="60"/>
      <c r="K3433" s="60"/>
      <c r="L3433" s="60"/>
      <c r="M3433" s="64"/>
      <c r="N3433" s="33"/>
    </row>
    <row r="3434" ht="24" customHeight="1" spans="2:14">
      <c r="B3434" s="33"/>
      <c r="C3434" s="60"/>
      <c r="D3434" s="60"/>
      <c r="E3434" s="60"/>
      <c r="F3434" s="60"/>
      <c r="G3434" s="60"/>
      <c r="H3434" s="60"/>
      <c r="I3434" s="60"/>
      <c r="J3434" s="60"/>
      <c r="K3434" s="60"/>
      <c r="L3434" s="60"/>
      <c r="M3434" s="64"/>
      <c r="N3434" s="33"/>
    </row>
    <row r="3435" ht="24" customHeight="1" spans="2:14">
      <c r="B3435" s="33"/>
      <c r="C3435" s="60"/>
      <c r="D3435" s="60"/>
      <c r="E3435" s="60"/>
      <c r="F3435" s="60"/>
      <c r="G3435" s="60"/>
      <c r="H3435" s="60"/>
      <c r="I3435" s="60"/>
      <c r="J3435" s="60"/>
      <c r="K3435" s="60"/>
      <c r="L3435" s="60"/>
      <c r="M3435" s="64"/>
      <c r="N3435" s="33"/>
    </row>
    <row r="3436" ht="24" customHeight="1" spans="2:14">
      <c r="B3436" s="33"/>
      <c r="C3436" s="60"/>
      <c r="D3436" s="60"/>
      <c r="E3436" s="60"/>
      <c r="F3436" s="60"/>
      <c r="G3436" s="60"/>
      <c r="H3436" s="60"/>
      <c r="I3436" s="60"/>
      <c r="J3436" s="60"/>
      <c r="K3436" s="60"/>
      <c r="L3436" s="60"/>
      <c r="M3436" s="64"/>
      <c r="N3436" s="33"/>
    </row>
    <row r="3437" ht="24" customHeight="1" spans="2:14">
      <c r="B3437" s="33"/>
      <c r="C3437" s="60"/>
      <c r="D3437" s="60"/>
      <c r="E3437" s="60"/>
      <c r="F3437" s="60"/>
      <c r="G3437" s="60"/>
      <c r="H3437" s="60"/>
      <c r="I3437" s="60"/>
      <c r="J3437" s="60"/>
      <c r="K3437" s="60"/>
      <c r="L3437" s="60"/>
      <c r="M3437" s="64"/>
      <c r="N3437" s="33"/>
    </row>
    <row r="3438" ht="24" customHeight="1" spans="2:14">
      <c r="B3438" s="33"/>
      <c r="C3438" s="60"/>
      <c r="D3438" s="60"/>
      <c r="E3438" s="60"/>
      <c r="F3438" s="60"/>
      <c r="G3438" s="60"/>
      <c r="H3438" s="60"/>
      <c r="I3438" s="60"/>
      <c r="J3438" s="60"/>
      <c r="K3438" s="60"/>
      <c r="L3438" s="60"/>
      <c r="M3438" s="64"/>
      <c r="N3438" s="33"/>
    </row>
    <row r="3439" ht="24" customHeight="1" spans="2:14">
      <c r="B3439" s="33"/>
      <c r="C3439" s="60"/>
      <c r="D3439" s="60"/>
      <c r="E3439" s="60"/>
      <c r="F3439" s="60"/>
      <c r="G3439" s="60"/>
      <c r="H3439" s="60"/>
      <c r="I3439" s="60"/>
      <c r="J3439" s="60"/>
      <c r="K3439" s="60"/>
      <c r="L3439" s="60"/>
      <c r="M3439" s="64"/>
      <c r="N3439" s="33"/>
    </row>
    <row r="3440" ht="24" customHeight="1" spans="2:14">
      <c r="B3440" s="33"/>
      <c r="C3440" s="60"/>
      <c r="D3440" s="60"/>
      <c r="E3440" s="60"/>
      <c r="F3440" s="60"/>
      <c r="G3440" s="60"/>
      <c r="H3440" s="60"/>
      <c r="I3440" s="60"/>
      <c r="J3440" s="60"/>
      <c r="K3440" s="60"/>
      <c r="L3440" s="60"/>
      <c r="M3440" s="64"/>
      <c r="N3440" s="33"/>
    </row>
    <row r="3441" ht="24" customHeight="1" spans="2:14">
      <c r="B3441" s="33"/>
      <c r="C3441" s="60"/>
      <c r="D3441" s="60"/>
      <c r="E3441" s="60"/>
      <c r="F3441" s="60"/>
      <c r="G3441" s="60"/>
      <c r="H3441" s="60"/>
      <c r="I3441" s="60"/>
      <c r="J3441" s="60"/>
      <c r="K3441" s="60"/>
      <c r="L3441" s="60"/>
      <c r="M3441" s="64"/>
      <c r="N3441" s="33"/>
    </row>
    <row r="3442" ht="24" customHeight="1" spans="2:14">
      <c r="B3442" s="33"/>
      <c r="C3442" s="60"/>
      <c r="D3442" s="60"/>
      <c r="E3442" s="60"/>
      <c r="F3442" s="60"/>
      <c r="G3442" s="60"/>
      <c r="H3442" s="60"/>
      <c r="I3442" s="60"/>
      <c r="J3442" s="60"/>
      <c r="K3442" s="60"/>
      <c r="L3442" s="60"/>
      <c r="M3442" s="64"/>
      <c r="N3442" s="33"/>
    </row>
    <row r="3443" ht="24" customHeight="1" spans="2:14">
      <c r="B3443" s="33"/>
      <c r="C3443" s="60"/>
      <c r="D3443" s="60"/>
      <c r="E3443" s="60"/>
      <c r="F3443" s="60"/>
      <c r="G3443" s="60"/>
      <c r="H3443" s="60"/>
      <c r="I3443" s="60"/>
      <c r="J3443" s="60"/>
      <c r="K3443" s="60"/>
      <c r="L3443" s="60"/>
      <c r="M3443" s="64"/>
      <c r="N3443" s="33"/>
    </row>
    <row r="3444" ht="24" customHeight="1" spans="2:14">
      <c r="B3444" s="33"/>
      <c r="C3444" s="60"/>
      <c r="D3444" s="60"/>
      <c r="E3444" s="60"/>
      <c r="F3444" s="60"/>
      <c r="G3444" s="60"/>
      <c r="H3444" s="60"/>
      <c r="I3444" s="60"/>
      <c r="J3444" s="60"/>
      <c r="K3444" s="60"/>
      <c r="L3444" s="60"/>
      <c r="M3444" s="64"/>
      <c r="N3444" s="33"/>
    </row>
    <row r="3445" ht="24" customHeight="1" spans="2:14">
      <c r="B3445" s="33"/>
      <c r="C3445" s="60"/>
      <c r="D3445" s="60"/>
      <c r="E3445" s="60"/>
      <c r="F3445" s="60"/>
      <c r="G3445" s="60"/>
      <c r="H3445" s="60"/>
      <c r="I3445" s="60"/>
      <c r="J3445" s="60"/>
      <c r="K3445" s="60"/>
      <c r="L3445" s="60"/>
      <c r="M3445" s="64"/>
      <c r="N3445" s="33"/>
    </row>
    <row r="3446" ht="24" customHeight="1" spans="2:14">
      <c r="B3446" s="33"/>
      <c r="C3446" s="60"/>
      <c r="D3446" s="60"/>
      <c r="E3446" s="60"/>
      <c r="F3446" s="60"/>
      <c r="G3446" s="60"/>
      <c r="H3446" s="60"/>
      <c r="I3446" s="60"/>
      <c r="J3446" s="60"/>
      <c r="K3446" s="60"/>
      <c r="L3446" s="60"/>
      <c r="M3446" s="64"/>
      <c r="N3446" s="33"/>
    </row>
    <row r="3447" ht="24" customHeight="1" spans="2:14">
      <c r="B3447" s="33"/>
      <c r="C3447" s="60"/>
      <c r="D3447" s="60"/>
      <c r="E3447" s="60"/>
      <c r="F3447" s="60"/>
      <c r="G3447" s="60"/>
      <c r="H3447" s="60"/>
      <c r="I3447" s="60"/>
      <c r="J3447" s="60"/>
      <c r="K3447" s="60"/>
      <c r="L3447" s="60"/>
      <c r="M3447" s="64"/>
      <c r="N3447" s="33"/>
    </row>
    <row r="3448" ht="24" customHeight="1" spans="2:14">
      <c r="B3448" s="33"/>
      <c r="C3448" s="60"/>
      <c r="D3448" s="60"/>
      <c r="E3448" s="60"/>
      <c r="F3448" s="60"/>
      <c r="G3448" s="60"/>
      <c r="H3448" s="60"/>
      <c r="I3448" s="60"/>
      <c r="J3448" s="60"/>
      <c r="K3448" s="60"/>
      <c r="L3448" s="60"/>
      <c r="M3448" s="64"/>
      <c r="N3448" s="33"/>
    </row>
    <row r="3449" ht="24" customHeight="1" spans="2:14">
      <c r="B3449" s="33"/>
      <c r="C3449" s="60"/>
      <c r="D3449" s="60"/>
      <c r="E3449" s="60"/>
      <c r="F3449" s="60"/>
      <c r="G3449" s="60"/>
      <c r="H3449" s="60"/>
      <c r="I3449" s="60"/>
      <c r="J3449" s="60"/>
      <c r="K3449" s="60"/>
      <c r="L3449" s="60"/>
      <c r="M3449" s="64"/>
      <c r="N3449" s="33"/>
    </row>
    <row r="3450" ht="24" customHeight="1" spans="2:14">
      <c r="B3450" s="33"/>
      <c r="C3450" s="60"/>
      <c r="D3450" s="60"/>
      <c r="E3450" s="60"/>
      <c r="F3450" s="60"/>
      <c r="G3450" s="60"/>
      <c r="H3450" s="60"/>
      <c r="I3450" s="60"/>
      <c r="J3450" s="60"/>
      <c r="K3450" s="60"/>
      <c r="L3450" s="60"/>
      <c r="M3450" s="64"/>
      <c r="N3450" s="33"/>
    </row>
    <row r="3451" ht="24" customHeight="1" spans="2:14">
      <c r="B3451" s="33"/>
      <c r="C3451" s="60"/>
      <c r="D3451" s="60"/>
      <c r="E3451" s="60"/>
      <c r="F3451" s="60"/>
      <c r="G3451" s="60"/>
      <c r="H3451" s="60"/>
      <c r="I3451" s="60"/>
      <c r="J3451" s="60"/>
      <c r="K3451" s="60"/>
      <c r="L3451" s="60"/>
      <c r="M3451" s="64"/>
      <c r="N3451" s="33"/>
    </row>
    <row r="3452" ht="24" customHeight="1" spans="2:14">
      <c r="B3452" s="33"/>
      <c r="C3452" s="60"/>
      <c r="D3452" s="60"/>
      <c r="E3452" s="60"/>
      <c r="F3452" s="60"/>
      <c r="G3452" s="60"/>
      <c r="H3452" s="60"/>
      <c r="I3452" s="60"/>
      <c r="J3452" s="60"/>
      <c r="K3452" s="60"/>
      <c r="L3452" s="60"/>
      <c r="M3452" s="64"/>
      <c r="N3452" s="33"/>
    </row>
    <row r="3453" ht="24" customHeight="1" spans="2:14">
      <c r="B3453" s="33"/>
      <c r="C3453" s="60"/>
      <c r="D3453" s="60"/>
      <c r="E3453" s="60"/>
      <c r="F3453" s="60"/>
      <c r="G3453" s="60"/>
      <c r="H3453" s="60"/>
      <c r="I3453" s="60"/>
      <c r="J3453" s="60"/>
      <c r="K3453" s="60"/>
      <c r="L3453" s="60"/>
      <c r="M3453" s="64"/>
      <c r="N3453" s="33"/>
    </row>
    <row r="3454" ht="24" customHeight="1" spans="2:14">
      <c r="B3454" s="33"/>
      <c r="C3454" s="60"/>
      <c r="D3454" s="60"/>
      <c r="E3454" s="60"/>
      <c r="F3454" s="60"/>
      <c r="G3454" s="60"/>
      <c r="H3454" s="60"/>
      <c r="I3454" s="60"/>
      <c r="J3454" s="60"/>
      <c r="K3454" s="60"/>
      <c r="L3454" s="60"/>
      <c r="M3454" s="64"/>
      <c r="N3454" s="33"/>
    </row>
    <row r="3455" ht="24" customHeight="1" spans="2:14">
      <c r="B3455" s="33"/>
      <c r="C3455" s="60"/>
      <c r="D3455" s="60"/>
      <c r="E3455" s="60"/>
      <c r="F3455" s="60"/>
      <c r="G3455" s="60"/>
      <c r="H3455" s="60"/>
      <c r="I3455" s="60"/>
      <c r="J3455" s="60"/>
      <c r="K3455" s="60"/>
      <c r="L3455" s="60"/>
      <c r="M3455" s="64"/>
      <c r="N3455" s="33"/>
    </row>
    <row r="3456" ht="24" customHeight="1" spans="2:14">
      <c r="B3456" s="33"/>
      <c r="C3456" s="60"/>
      <c r="D3456" s="60"/>
      <c r="E3456" s="60"/>
      <c r="F3456" s="60"/>
      <c r="G3456" s="60"/>
      <c r="H3456" s="60"/>
      <c r="I3456" s="60"/>
      <c r="J3456" s="60"/>
      <c r="K3456" s="60"/>
      <c r="L3456" s="60"/>
      <c r="M3456" s="64"/>
      <c r="N3456" s="33"/>
    </row>
    <row r="3457" ht="24" customHeight="1" spans="2:14">
      <c r="B3457" s="33"/>
      <c r="C3457" s="60"/>
      <c r="D3457" s="60"/>
      <c r="E3457" s="60"/>
      <c r="F3457" s="60"/>
      <c r="G3457" s="60"/>
      <c r="H3457" s="60"/>
      <c r="I3457" s="60"/>
      <c r="J3457" s="60"/>
      <c r="K3457" s="60"/>
      <c r="L3457" s="60"/>
      <c r="M3457" s="64"/>
      <c r="N3457" s="33"/>
    </row>
    <row r="3458" ht="24" customHeight="1" spans="2:14">
      <c r="B3458" s="33"/>
      <c r="C3458" s="60"/>
      <c r="D3458" s="60"/>
      <c r="E3458" s="60"/>
      <c r="F3458" s="60"/>
      <c r="G3458" s="60"/>
      <c r="H3458" s="60"/>
      <c r="I3458" s="60"/>
      <c r="J3458" s="60"/>
      <c r="K3458" s="60"/>
      <c r="L3458" s="60"/>
      <c r="M3458" s="64"/>
      <c r="N3458" s="33"/>
    </row>
    <row r="3459" ht="24" customHeight="1" spans="2:14">
      <c r="B3459" s="33"/>
      <c r="C3459" s="60"/>
      <c r="D3459" s="60"/>
      <c r="E3459" s="60"/>
      <c r="F3459" s="60"/>
      <c r="G3459" s="60"/>
      <c r="H3459" s="60"/>
      <c r="I3459" s="60"/>
      <c r="J3459" s="60"/>
      <c r="K3459" s="60"/>
      <c r="L3459" s="60"/>
      <c r="M3459" s="64"/>
      <c r="N3459" s="33"/>
    </row>
    <row r="3460" ht="24" customHeight="1" spans="2:14">
      <c r="B3460" s="33"/>
      <c r="C3460" s="60"/>
      <c r="D3460" s="60"/>
      <c r="E3460" s="60"/>
      <c r="F3460" s="60"/>
      <c r="G3460" s="60"/>
      <c r="H3460" s="60"/>
      <c r="I3460" s="60"/>
      <c r="J3460" s="60"/>
      <c r="K3460" s="60"/>
      <c r="L3460" s="60"/>
      <c r="M3460" s="64"/>
      <c r="N3460" s="33"/>
    </row>
    <row r="3461" ht="24" customHeight="1" spans="2:14">
      <c r="B3461" s="33"/>
      <c r="C3461" s="60"/>
      <c r="D3461" s="60"/>
      <c r="E3461" s="60"/>
      <c r="F3461" s="60"/>
      <c r="G3461" s="60"/>
      <c r="H3461" s="60"/>
      <c r="I3461" s="60"/>
      <c r="J3461" s="60"/>
      <c r="K3461" s="60"/>
      <c r="L3461" s="60"/>
      <c r="M3461" s="64"/>
      <c r="N3461" s="33"/>
    </row>
    <row r="3462" ht="24" customHeight="1" spans="2:14">
      <c r="B3462" s="33"/>
      <c r="C3462" s="60"/>
      <c r="D3462" s="60"/>
      <c r="E3462" s="60"/>
      <c r="F3462" s="60"/>
      <c r="G3462" s="60"/>
      <c r="H3462" s="60"/>
      <c r="I3462" s="60"/>
      <c r="J3462" s="60"/>
      <c r="K3462" s="60"/>
      <c r="L3462" s="60"/>
      <c r="M3462" s="64"/>
      <c r="N3462" s="33"/>
    </row>
    <row r="3463" ht="24" customHeight="1" spans="2:14">
      <c r="B3463" s="33"/>
      <c r="C3463" s="60"/>
      <c r="D3463" s="60"/>
      <c r="E3463" s="60"/>
      <c r="F3463" s="60"/>
      <c r="G3463" s="60"/>
      <c r="H3463" s="60"/>
      <c r="I3463" s="60"/>
      <c r="J3463" s="60"/>
      <c r="K3463" s="60"/>
      <c r="L3463" s="60"/>
      <c r="M3463" s="64"/>
      <c r="N3463" s="33"/>
    </row>
    <row r="3464" ht="24" customHeight="1" spans="2:14">
      <c r="B3464" s="33"/>
      <c r="C3464" s="60"/>
      <c r="D3464" s="60"/>
      <c r="E3464" s="60"/>
      <c r="F3464" s="60"/>
      <c r="G3464" s="60"/>
      <c r="H3464" s="60"/>
      <c r="I3464" s="60"/>
      <c r="J3464" s="60"/>
      <c r="K3464" s="60"/>
      <c r="L3464" s="60"/>
      <c r="M3464" s="64"/>
      <c r="N3464" s="33"/>
    </row>
    <row r="3465" ht="24" customHeight="1" spans="2:14">
      <c r="B3465" s="33"/>
      <c r="C3465" s="60"/>
      <c r="D3465" s="60"/>
      <c r="E3465" s="60"/>
      <c r="F3465" s="60"/>
      <c r="G3465" s="60"/>
      <c r="H3465" s="60"/>
      <c r="I3465" s="60"/>
      <c r="J3465" s="60"/>
      <c r="K3465" s="60"/>
      <c r="L3465" s="60"/>
      <c r="M3465" s="64"/>
      <c r="N3465" s="33"/>
    </row>
    <row r="3466" ht="24" customHeight="1" spans="2:14">
      <c r="B3466" s="33"/>
      <c r="C3466" s="60"/>
      <c r="D3466" s="60"/>
      <c r="E3466" s="60"/>
      <c r="F3466" s="60"/>
      <c r="G3466" s="60"/>
      <c r="H3466" s="60"/>
      <c r="I3466" s="60"/>
      <c r="J3466" s="60"/>
      <c r="K3466" s="60"/>
      <c r="L3466" s="60"/>
      <c r="M3466" s="64"/>
      <c r="N3466" s="33"/>
    </row>
    <row r="3467" ht="24" customHeight="1" spans="2:14">
      <c r="B3467" s="33"/>
      <c r="C3467" s="60"/>
      <c r="D3467" s="60"/>
      <c r="E3467" s="60"/>
      <c r="F3467" s="60"/>
      <c r="G3467" s="60"/>
      <c r="H3467" s="60"/>
      <c r="I3467" s="60"/>
      <c r="J3467" s="60"/>
      <c r="K3467" s="60"/>
      <c r="L3467" s="60"/>
      <c r="M3467" s="64"/>
      <c r="N3467" s="33"/>
    </row>
    <row r="3468" ht="24" customHeight="1" spans="2:14">
      <c r="B3468" s="33"/>
      <c r="C3468" s="60"/>
      <c r="D3468" s="60"/>
      <c r="E3468" s="60"/>
      <c r="F3468" s="60"/>
      <c r="G3468" s="60"/>
      <c r="H3468" s="60"/>
      <c r="I3468" s="60"/>
      <c r="J3468" s="60"/>
      <c r="K3468" s="60"/>
      <c r="L3468" s="60"/>
      <c r="M3468" s="64"/>
      <c r="N3468" s="33"/>
    </row>
    <row r="3469" ht="24" customHeight="1" spans="2:14">
      <c r="B3469" s="33"/>
      <c r="C3469" s="60"/>
      <c r="D3469" s="60"/>
      <c r="E3469" s="60"/>
      <c r="F3469" s="60"/>
      <c r="G3469" s="60"/>
      <c r="H3469" s="60"/>
      <c r="I3469" s="60"/>
      <c r="J3469" s="60"/>
      <c r="K3469" s="60"/>
      <c r="L3469" s="60"/>
      <c r="M3469" s="64"/>
      <c r="N3469" s="33"/>
    </row>
    <row r="3470" ht="24" customHeight="1" spans="2:14">
      <c r="B3470" s="33"/>
      <c r="C3470" s="60"/>
      <c r="D3470" s="60"/>
      <c r="E3470" s="60"/>
      <c r="F3470" s="60"/>
      <c r="G3470" s="60"/>
      <c r="H3470" s="60"/>
      <c r="I3470" s="60"/>
      <c r="J3470" s="60"/>
      <c r="K3470" s="60"/>
      <c r="L3470" s="60"/>
      <c r="M3470" s="64"/>
      <c r="N3470" s="33"/>
    </row>
    <row r="3471" ht="24" customHeight="1" spans="2:14">
      <c r="B3471" s="33"/>
      <c r="C3471" s="60"/>
      <c r="D3471" s="60"/>
      <c r="E3471" s="60"/>
      <c r="F3471" s="60"/>
      <c r="G3471" s="60"/>
      <c r="H3471" s="60"/>
      <c r="I3471" s="60"/>
      <c r="J3471" s="60"/>
      <c r="K3471" s="60"/>
      <c r="L3471" s="60"/>
      <c r="M3471" s="64"/>
      <c r="N3471" s="33"/>
    </row>
    <row r="3472" ht="24" customHeight="1" spans="2:14">
      <c r="B3472" s="33"/>
      <c r="C3472" s="60"/>
      <c r="D3472" s="60"/>
      <c r="E3472" s="60"/>
      <c r="F3472" s="60"/>
      <c r="G3472" s="60"/>
      <c r="H3472" s="60"/>
      <c r="I3472" s="60"/>
      <c r="J3472" s="60"/>
      <c r="K3472" s="60"/>
      <c r="L3472" s="60"/>
      <c r="M3472" s="64"/>
      <c r="N3472" s="33"/>
    </row>
    <row r="3473" ht="24" customHeight="1" spans="2:14">
      <c r="B3473" s="33"/>
      <c r="C3473" s="60"/>
      <c r="D3473" s="60"/>
      <c r="E3473" s="60"/>
      <c r="F3473" s="60"/>
      <c r="G3473" s="60"/>
      <c r="H3473" s="60"/>
      <c r="I3473" s="60"/>
      <c r="J3473" s="60"/>
      <c r="K3473" s="60"/>
      <c r="L3473" s="60"/>
      <c r="M3473" s="64"/>
      <c r="N3473" s="33"/>
    </row>
    <row r="3474" ht="24" customHeight="1" spans="2:14">
      <c r="B3474" s="33"/>
      <c r="C3474" s="60"/>
      <c r="D3474" s="60"/>
      <c r="E3474" s="60"/>
      <c r="F3474" s="60"/>
      <c r="G3474" s="60"/>
      <c r="H3474" s="60"/>
      <c r="I3474" s="60"/>
      <c r="J3474" s="60"/>
      <c r="K3474" s="60"/>
      <c r="L3474" s="60"/>
      <c r="M3474" s="64"/>
      <c r="N3474" s="33"/>
    </row>
    <row r="3475" ht="24" customHeight="1" spans="2:14">
      <c r="B3475" s="33"/>
      <c r="C3475" s="60"/>
      <c r="D3475" s="60"/>
      <c r="E3475" s="60"/>
      <c r="F3475" s="60"/>
      <c r="G3475" s="60"/>
      <c r="H3475" s="60"/>
      <c r="I3475" s="60"/>
      <c r="J3475" s="60"/>
      <c r="K3475" s="60"/>
      <c r="L3475" s="60"/>
      <c r="M3475" s="64"/>
      <c r="N3475" s="33"/>
    </row>
    <row r="3476" ht="24" customHeight="1" spans="2:14">
      <c r="B3476" s="33"/>
      <c r="C3476" s="60"/>
      <c r="D3476" s="60"/>
      <c r="E3476" s="60"/>
      <c r="F3476" s="60"/>
      <c r="G3476" s="60"/>
      <c r="H3476" s="60"/>
      <c r="I3476" s="60"/>
      <c r="J3476" s="60"/>
      <c r="K3476" s="60"/>
      <c r="L3476" s="60"/>
      <c r="M3476" s="64"/>
      <c r="N3476" s="33"/>
    </row>
    <row r="3477" ht="24" customHeight="1" spans="2:14">
      <c r="B3477" s="33"/>
      <c r="C3477" s="60"/>
      <c r="D3477" s="60"/>
      <c r="E3477" s="60"/>
      <c r="F3477" s="60"/>
      <c r="G3477" s="60"/>
      <c r="H3477" s="60"/>
      <c r="I3477" s="60"/>
      <c r="J3477" s="60"/>
      <c r="K3477" s="60"/>
      <c r="L3477" s="60"/>
      <c r="M3477" s="64"/>
      <c r="N3477" s="33"/>
    </row>
    <row r="3478" ht="24" customHeight="1" spans="2:14">
      <c r="B3478" s="33"/>
      <c r="C3478" s="60"/>
      <c r="D3478" s="60"/>
      <c r="E3478" s="60"/>
      <c r="F3478" s="60"/>
      <c r="G3478" s="60"/>
      <c r="H3478" s="60"/>
      <c r="I3478" s="60"/>
      <c r="J3478" s="60"/>
      <c r="K3478" s="60"/>
      <c r="L3478" s="60"/>
      <c r="M3478" s="64"/>
      <c r="N3478" s="33"/>
    </row>
    <row r="3479" ht="24" customHeight="1" spans="2:14">
      <c r="B3479" s="33"/>
      <c r="C3479" s="60"/>
      <c r="D3479" s="60"/>
      <c r="E3479" s="60"/>
      <c r="F3479" s="60"/>
      <c r="G3479" s="60"/>
      <c r="H3479" s="60"/>
      <c r="I3479" s="60"/>
      <c r="J3479" s="60"/>
      <c r="K3479" s="60"/>
      <c r="L3479" s="60"/>
      <c r="M3479" s="64"/>
      <c r="N3479" s="33"/>
    </row>
    <row r="3480" ht="24" customHeight="1" spans="2:14">
      <c r="B3480" s="33"/>
      <c r="C3480" s="60"/>
      <c r="D3480" s="60"/>
      <c r="E3480" s="60"/>
      <c r="F3480" s="60"/>
      <c r="G3480" s="60"/>
      <c r="H3480" s="60"/>
      <c r="I3480" s="60"/>
      <c r="J3480" s="60"/>
      <c r="K3480" s="60"/>
      <c r="L3480" s="60"/>
      <c r="M3480" s="64"/>
      <c r="N3480" s="33"/>
    </row>
    <row r="3481" ht="24" customHeight="1" spans="2:14">
      <c r="B3481" s="33"/>
      <c r="C3481" s="60"/>
      <c r="D3481" s="60"/>
      <c r="E3481" s="60"/>
      <c r="F3481" s="60"/>
      <c r="G3481" s="60"/>
      <c r="H3481" s="60"/>
      <c r="I3481" s="60"/>
      <c r="J3481" s="60"/>
      <c r="K3481" s="60"/>
      <c r="L3481" s="60"/>
      <c r="M3481" s="64"/>
      <c r="N3481" s="33"/>
    </row>
    <row r="3482" ht="24" customHeight="1" spans="2:14">
      <c r="B3482" s="33"/>
      <c r="C3482" s="60"/>
      <c r="D3482" s="60"/>
      <c r="E3482" s="60"/>
      <c r="F3482" s="60"/>
      <c r="G3482" s="60"/>
      <c r="H3482" s="60"/>
      <c r="I3482" s="60"/>
      <c r="J3482" s="60"/>
      <c r="K3482" s="60"/>
      <c r="L3482" s="60"/>
      <c r="M3482" s="64"/>
      <c r="N3482" s="33"/>
    </row>
    <row r="3483" ht="24" customHeight="1" spans="2:14">
      <c r="B3483" s="33"/>
      <c r="C3483" s="60"/>
      <c r="D3483" s="60"/>
      <c r="E3483" s="60"/>
      <c r="F3483" s="60"/>
      <c r="G3483" s="60"/>
      <c r="H3483" s="60"/>
      <c r="I3483" s="60"/>
      <c r="J3483" s="60"/>
      <c r="K3483" s="60"/>
      <c r="L3483" s="60"/>
      <c r="M3483" s="64"/>
      <c r="N3483" s="33"/>
    </row>
    <row r="3484" ht="24" customHeight="1" spans="2:14">
      <c r="B3484" s="33"/>
      <c r="C3484" s="60"/>
      <c r="D3484" s="60"/>
      <c r="E3484" s="60"/>
      <c r="F3484" s="60"/>
      <c r="G3484" s="60"/>
      <c r="H3484" s="60"/>
      <c r="I3484" s="60"/>
      <c r="J3484" s="60"/>
      <c r="K3484" s="60"/>
      <c r="L3484" s="60"/>
      <c r="M3484" s="64"/>
      <c r="N3484" s="33"/>
    </row>
    <row r="3485" ht="24" customHeight="1" spans="2:14">
      <c r="B3485" s="33"/>
      <c r="C3485" s="60"/>
      <c r="D3485" s="60"/>
      <c r="E3485" s="60"/>
      <c r="F3485" s="60"/>
      <c r="G3485" s="60"/>
      <c r="H3485" s="60"/>
      <c r="I3485" s="60"/>
      <c r="J3485" s="60"/>
      <c r="K3485" s="60"/>
      <c r="L3485" s="60"/>
      <c r="M3485" s="64"/>
      <c r="N3485" s="33"/>
    </row>
    <row r="3486" ht="24" customHeight="1" spans="2:14">
      <c r="B3486" s="33"/>
      <c r="C3486" s="60"/>
      <c r="D3486" s="60"/>
      <c r="E3486" s="60"/>
      <c r="F3486" s="60"/>
      <c r="G3486" s="60"/>
      <c r="H3486" s="60"/>
      <c r="I3486" s="60"/>
      <c r="J3486" s="60"/>
      <c r="K3486" s="60"/>
      <c r="L3486" s="60"/>
      <c r="M3486" s="64"/>
      <c r="N3486" s="33"/>
    </row>
    <row r="3487" ht="24" customHeight="1" spans="2:14">
      <c r="B3487" s="33"/>
      <c r="C3487" s="60"/>
      <c r="D3487" s="60"/>
      <c r="E3487" s="60"/>
      <c r="F3487" s="60"/>
      <c r="G3487" s="60"/>
      <c r="H3487" s="60"/>
      <c r="I3487" s="60"/>
      <c r="J3487" s="60"/>
      <c r="K3487" s="60"/>
      <c r="L3487" s="60"/>
      <c r="M3487" s="64"/>
      <c r="N3487" s="33"/>
    </row>
    <row r="3488" ht="24" customHeight="1" spans="2:14">
      <c r="B3488" s="33"/>
      <c r="C3488" s="60"/>
      <c r="D3488" s="60"/>
      <c r="E3488" s="60"/>
      <c r="F3488" s="60"/>
      <c r="G3488" s="60"/>
      <c r="H3488" s="60"/>
      <c r="I3488" s="60"/>
      <c r="J3488" s="60"/>
      <c r="K3488" s="60"/>
      <c r="L3488" s="60"/>
      <c r="M3488" s="64"/>
      <c r="N3488" s="33"/>
    </row>
    <row r="3489" ht="24" customHeight="1" spans="2:14">
      <c r="B3489" s="33"/>
      <c r="C3489" s="60"/>
      <c r="D3489" s="60"/>
      <c r="E3489" s="60"/>
      <c r="F3489" s="60"/>
      <c r="G3489" s="60"/>
      <c r="H3489" s="60"/>
      <c r="I3489" s="60"/>
      <c r="J3489" s="60"/>
      <c r="K3489" s="60"/>
      <c r="L3489" s="60"/>
      <c r="M3489" s="64"/>
      <c r="N3489" s="33"/>
    </row>
    <row r="3490" ht="24" customHeight="1" spans="2:14">
      <c r="B3490" s="33"/>
      <c r="C3490" s="60"/>
      <c r="D3490" s="60"/>
      <c r="E3490" s="60"/>
      <c r="F3490" s="60"/>
      <c r="G3490" s="60"/>
      <c r="H3490" s="60"/>
      <c r="I3490" s="60"/>
      <c r="J3490" s="60"/>
      <c r="K3490" s="60"/>
      <c r="L3490" s="60"/>
      <c r="M3490" s="64"/>
      <c r="N3490" s="33"/>
    </row>
    <row r="3491" ht="24" customHeight="1" spans="2:14">
      <c r="B3491" s="33"/>
      <c r="C3491" s="60"/>
      <c r="D3491" s="60"/>
      <c r="E3491" s="60"/>
      <c r="F3491" s="60"/>
      <c r="G3491" s="60"/>
      <c r="H3491" s="60"/>
      <c r="I3491" s="60"/>
      <c r="J3491" s="60"/>
      <c r="K3491" s="60"/>
      <c r="L3491" s="60"/>
      <c r="M3491" s="64"/>
      <c r="N3491" s="33"/>
    </row>
    <row r="3492" ht="24" customHeight="1" spans="2:14">
      <c r="B3492" s="33"/>
      <c r="C3492" s="60"/>
      <c r="D3492" s="60"/>
      <c r="E3492" s="60"/>
      <c r="F3492" s="60"/>
      <c r="G3492" s="60"/>
      <c r="H3492" s="60"/>
      <c r="I3492" s="60"/>
      <c r="J3492" s="60"/>
      <c r="K3492" s="60"/>
      <c r="L3492" s="60"/>
      <c r="M3492" s="64"/>
      <c r="N3492" s="33"/>
    </row>
    <row r="3493" ht="24" customHeight="1" spans="2:14">
      <c r="B3493" s="33"/>
      <c r="C3493" s="60"/>
      <c r="D3493" s="60"/>
      <c r="E3493" s="60"/>
      <c r="F3493" s="60"/>
      <c r="G3493" s="60"/>
      <c r="H3493" s="60"/>
      <c r="I3493" s="60"/>
      <c r="J3493" s="60"/>
      <c r="K3493" s="60"/>
      <c r="L3493" s="60"/>
      <c r="M3493" s="64"/>
      <c r="N3493" s="33"/>
    </row>
    <row r="3494" ht="24" customHeight="1" spans="2:14">
      <c r="B3494" s="33"/>
      <c r="C3494" s="60"/>
      <c r="D3494" s="60"/>
      <c r="E3494" s="60"/>
      <c r="F3494" s="60"/>
      <c r="G3494" s="60"/>
      <c r="H3494" s="60"/>
      <c r="I3494" s="60"/>
      <c r="J3494" s="60"/>
      <c r="K3494" s="60"/>
      <c r="L3494" s="60"/>
      <c r="M3494" s="64"/>
      <c r="N3494" s="33"/>
    </row>
    <row r="3495" ht="24" customHeight="1" spans="2:14">
      <c r="B3495" s="33"/>
      <c r="C3495" s="60"/>
      <c r="D3495" s="60"/>
      <c r="E3495" s="60"/>
      <c r="F3495" s="60"/>
      <c r="G3495" s="60"/>
      <c r="H3495" s="60"/>
      <c r="I3495" s="60"/>
      <c r="J3495" s="60"/>
      <c r="K3495" s="60"/>
      <c r="L3495" s="60"/>
      <c r="M3495" s="64"/>
      <c r="N3495" s="33"/>
    </row>
    <row r="3496" ht="24" customHeight="1" spans="2:14">
      <c r="B3496" s="33"/>
      <c r="C3496" s="60"/>
      <c r="D3496" s="60"/>
      <c r="E3496" s="60"/>
      <c r="F3496" s="60"/>
      <c r="G3496" s="60"/>
      <c r="H3496" s="60"/>
      <c r="I3496" s="60"/>
      <c r="J3496" s="60"/>
      <c r="K3496" s="60"/>
      <c r="L3496" s="60"/>
      <c r="M3496" s="64"/>
      <c r="N3496" s="33"/>
    </row>
    <row r="3497" ht="24" customHeight="1" spans="2:14">
      <c r="B3497" s="33"/>
      <c r="C3497" s="60"/>
      <c r="D3497" s="60"/>
      <c r="E3497" s="60"/>
      <c r="F3497" s="60"/>
      <c r="G3497" s="60"/>
      <c r="H3497" s="60"/>
      <c r="I3497" s="60"/>
      <c r="J3497" s="60"/>
      <c r="K3497" s="60"/>
      <c r="L3497" s="60"/>
      <c r="M3497" s="64"/>
      <c r="N3497" s="33"/>
    </row>
    <row r="3498" ht="24" customHeight="1" spans="2:14">
      <c r="B3498" s="33"/>
      <c r="C3498" s="60"/>
      <c r="D3498" s="60"/>
      <c r="E3498" s="60"/>
      <c r="F3498" s="60"/>
      <c r="G3498" s="60"/>
      <c r="H3498" s="60"/>
      <c r="I3498" s="60"/>
      <c r="J3498" s="60"/>
      <c r="K3498" s="60"/>
      <c r="L3498" s="60"/>
      <c r="M3498" s="64"/>
      <c r="N3498" s="33"/>
    </row>
    <row r="3499" ht="24" customHeight="1" spans="2:14">
      <c r="B3499" s="33"/>
      <c r="C3499" s="60"/>
      <c r="D3499" s="60"/>
      <c r="E3499" s="60"/>
      <c r="F3499" s="60"/>
      <c r="G3499" s="60"/>
      <c r="H3499" s="60"/>
      <c r="I3499" s="60"/>
      <c r="J3499" s="60"/>
      <c r="K3499" s="60"/>
      <c r="L3499" s="60"/>
      <c r="M3499" s="64"/>
      <c r="N3499" s="33"/>
    </row>
    <row r="3500" ht="24" customHeight="1" spans="2:14">
      <c r="B3500" s="33"/>
      <c r="C3500" s="60"/>
      <c r="D3500" s="60"/>
      <c r="E3500" s="60"/>
      <c r="F3500" s="60"/>
      <c r="G3500" s="60"/>
      <c r="H3500" s="60"/>
      <c r="I3500" s="60"/>
      <c r="J3500" s="60"/>
      <c r="K3500" s="60"/>
      <c r="L3500" s="60"/>
      <c r="M3500" s="64"/>
      <c r="N3500" s="33"/>
    </row>
    <row r="3501" ht="24" customHeight="1" spans="2:14">
      <c r="B3501" s="33"/>
      <c r="C3501" s="60"/>
      <c r="D3501" s="60"/>
      <c r="E3501" s="60"/>
      <c r="F3501" s="60"/>
      <c r="G3501" s="60"/>
      <c r="H3501" s="60"/>
      <c r="I3501" s="60"/>
      <c r="J3501" s="60"/>
      <c r="K3501" s="60"/>
      <c r="L3501" s="60"/>
      <c r="M3501" s="64"/>
      <c r="N3501" s="33"/>
    </row>
    <row r="3502" ht="24" customHeight="1" spans="2:14">
      <c r="B3502" s="33"/>
      <c r="C3502" s="60"/>
      <c r="D3502" s="60"/>
      <c r="E3502" s="60"/>
      <c r="F3502" s="60"/>
      <c r="G3502" s="60"/>
      <c r="H3502" s="60"/>
      <c r="I3502" s="60"/>
      <c r="J3502" s="60"/>
      <c r="K3502" s="60"/>
      <c r="L3502" s="60"/>
      <c r="M3502" s="64"/>
      <c r="N3502" s="33"/>
    </row>
    <row r="3503" ht="24" customHeight="1" spans="2:14">
      <c r="B3503" s="33"/>
      <c r="C3503" s="60"/>
      <c r="D3503" s="60"/>
      <c r="E3503" s="60"/>
      <c r="F3503" s="60"/>
      <c r="G3503" s="60"/>
      <c r="H3503" s="60"/>
      <c r="I3503" s="60"/>
      <c r="J3503" s="60"/>
      <c r="K3503" s="60"/>
      <c r="L3503" s="60"/>
      <c r="M3503" s="64"/>
      <c r="N3503" s="33"/>
    </row>
    <row r="3504" ht="24" customHeight="1" spans="2:14">
      <c r="B3504" s="33"/>
      <c r="C3504" s="60"/>
      <c r="D3504" s="60"/>
      <c r="E3504" s="60"/>
      <c r="F3504" s="60"/>
      <c r="G3504" s="60"/>
      <c r="H3504" s="60"/>
      <c r="I3504" s="60"/>
      <c r="J3504" s="60"/>
      <c r="K3504" s="60"/>
      <c r="L3504" s="60"/>
      <c r="M3504" s="64"/>
      <c r="N3504" s="33"/>
    </row>
    <row r="3505" ht="24" customHeight="1" spans="2:14">
      <c r="B3505" s="33"/>
      <c r="C3505" s="60"/>
      <c r="D3505" s="60"/>
      <c r="E3505" s="60"/>
      <c r="F3505" s="60"/>
      <c r="G3505" s="60"/>
      <c r="H3505" s="60"/>
      <c r="I3505" s="60"/>
      <c r="J3505" s="60"/>
      <c r="K3505" s="60"/>
      <c r="L3505" s="60"/>
      <c r="M3505" s="64"/>
      <c r="N3505" s="33"/>
    </row>
    <row r="3506" ht="24" customHeight="1" spans="2:14">
      <c r="B3506" s="33"/>
      <c r="C3506" s="60"/>
      <c r="D3506" s="60"/>
      <c r="E3506" s="60"/>
      <c r="F3506" s="60"/>
      <c r="G3506" s="60"/>
      <c r="H3506" s="60"/>
      <c r="I3506" s="60"/>
      <c r="J3506" s="60"/>
      <c r="K3506" s="60"/>
      <c r="L3506" s="60"/>
      <c r="M3506" s="64"/>
      <c r="N3506" s="33"/>
    </row>
    <row r="3507" ht="24" customHeight="1" spans="2:14">
      <c r="B3507" s="33"/>
      <c r="C3507" s="60"/>
      <c r="D3507" s="60"/>
      <c r="E3507" s="60"/>
      <c r="F3507" s="60"/>
      <c r="G3507" s="60"/>
      <c r="H3507" s="60"/>
      <c r="I3507" s="60"/>
      <c r="J3507" s="60"/>
      <c r="K3507" s="60"/>
      <c r="L3507" s="60"/>
      <c r="M3507" s="64"/>
      <c r="N3507" s="33"/>
    </row>
    <row r="3508" ht="24" customHeight="1" spans="2:14">
      <c r="B3508" s="33"/>
      <c r="C3508" s="60"/>
      <c r="D3508" s="60"/>
      <c r="E3508" s="60"/>
      <c r="F3508" s="60"/>
      <c r="G3508" s="60"/>
      <c r="H3508" s="60"/>
      <c r="I3508" s="60"/>
      <c r="J3508" s="60"/>
      <c r="K3508" s="60"/>
      <c r="L3508" s="60"/>
      <c r="M3508" s="64"/>
      <c r="N3508" s="33"/>
    </row>
    <row r="3509" ht="24" customHeight="1" spans="2:14">
      <c r="B3509" s="33"/>
      <c r="C3509" s="60"/>
      <c r="D3509" s="60"/>
      <c r="E3509" s="60"/>
      <c r="F3509" s="60"/>
      <c r="G3509" s="60"/>
      <c r="H3509" s="60"/>
      <c r="I3509" s="60"/>
      <c r="J3509" s="60"/>
      <c r="K3509" s="60"/>
      <c r="L3509" s="60"/>
      <c r="M3509" s="64"/>
      <c r="N3509" s="33"/>
    </row>
    <row r="3510" ht="24" customHeight="1" spans="2:14">
      <c r="B3510" s="33"/>
      <c r="C3510" s="60"/>
      <c r="D3510" s="60"/>
      <c r="E3510" s="60"/>
      <c r="F3510" s="60"/>
      <c r="G3510" s="60"/>
      <c r="H3510" s="60"/>
      <c r="I3510" s="60"/>
      <c r="J3510" s="60"/>
      <c r="K3510" s="60"/>
      <c r="L3510" s="60"/>
      <c r="M3510" s="64"/>
      <c r="N3510" s="33"/>
    </row>
    <row r="3511" ht="24" customHeight="1" spans="2:14">
      <c r="B3511" s="33"/>
      <c r="C3511" s="60"/>
      <c r="D3511" s="60"/>
      <c r="E3511" s="60"/>
      <c r="F3511" s="60"/>
      <c r="G3511" s="60"/>
      <c r="H3511" s="60"/>
      <c r="I3511" s="60"/>
      <c r="J3511" s="60"/>
      <c r="K3511" s="60"/>
      <c r="L3511" s="60"/>
      <c r="M3511" s="64"/>
      <c r="N3511" s="33"/>
    </row>
    <row r="3512" ht="24" customHeight="1" spans="2:14">
      <c r="B3512" s="33"/>
      <c r="C3512" s="60"/>
      <c r="D3512" s="60"/>
      <c r="E3512" s="60"/>
      <c r="F3512" s="60"/>
      <c r="G3512" s="60"/>
      <c r="H3512" s="60"/>
      <c r="I3512" s="60"/>
      <c r="J3512" s="60"/>
      <c r="K3512" s="60"/>
      <c r="L3512" s="60"/>
      <c r="M3512" s="64"/>
      <c r="N3512" s="33"/>
    </row>
    <row r="3513" ht="24" customHeight="1" spans="2:14">
      <c r="B3513" s="33"/>
      <c r="C3513" s="60"/>
      <c r="D3513" s="60"/>
      <c r="E3513" s="60"/>
      <c r="F3513" s="60"/>
      <c r="G3513" s="60"/>
      <c r="H3513" s="60"/>
      <c r="I3513" s="60"/>
      <c r="J3513" s="60"/>
      <c r="K3513" s="60"/>
      <c r="L3513" s="60"/>
      <c r="M3513" s="64"/>
      <c r="N3513" s="33"/>
    </row>
    <row r="3514" ht="24" customHeight="1" spans="2:14">
      <c r="B3514" s="33"/>
      <c r="C3514" s="60"/>
      <c r="D3514" s="60"/>
      <c r="E3514" s="60"/>
      <c r="F3514" s="60"/>
      <c r="G3514" s="60"/>
      <c r="H3514" s="60"/>
      <c r="I3514" s="60"/>
      <c r="J3514" s="60"/>
      <c r="K3514" s="60"/>
      <c r="L3514" s="60"/>
      <c r="M3514" s="64"/>
      <c r="N3514" s="33"/>
    </row>
    <row r="3515" ht="24" customHeight="1" spans="2:14">
      <c r="B3515" s="33"/>
      <c r="C3515" s="60"/>
      <c r="D3515" s="60"/>
      <c r="E3515" s="60"/>
      <c r="F3515" s="60"/>
      <c r="G3515" s="60"/>
      <c r="H3515" s="60"/>
      <c r="I3515" s="60"/>
      <c r="J3515" s="60"/>
      <c r="K3515" s="60"/>
      <c r="L3515" s="60"/>
      <c r="M3515" s="64"/>
      <c r="N3515" s="33"/>
    </row>
    <row r="3516" ht="24" customHeight="1" spans="2:14">
      <c r="B3516" s="33"/>
      <c r="C3516" s="60"/>
      <c r="D3516" s="60"/>
      <c r="E3516" s="60"/>
      <c r="F3516" s="60"/>
      <c r="G3516" s="60"/>
      <c r="H3516" s="60"/>
      <c r="I3516" s="60"/>
      <c r="J3516" s="60"/>
      <c r="K3516" s="60"/>
      <c r="L3516" s="60"/>
      <c r="M3516" s="64"/>
      <c r="N3516" s="33"/>
    </row>
    <row r="3517" ht="24" customHeight="1" spans="2:14">
      <c r="B3517" s="33"/>
      <c r="C3517" s="60"/>
      <c r="D3517" s="60"/>
      <c r="E3517" s="60"/>
      <c r="F3517" s="60"/>
      <c r="G3517" s="60"/>
      <c r="H3517" s="60"/>
      <c r="I3517" s="60"/>
      <c r="J3517" s="60"/>
      <c r="K3517" s="60"/>
      <c r="L3517" s="60"/>
      <c r="M3517" s="64"/>
      <c r="N3517" s="33"/>
    </row>
    <row r="3518" ht="24" customHeight="1" spans="2:14">
      <c r="B3518" s="33"/>
      <c r="C3518" s="60"/>
      <c r="D3518" s="60"/>
      <c r="E3518" s="60"/>
      <c r="F3518" s="60"/>
      <c r="G3518" s="60"/>
      <c r="H3518" s="60"/>
      <c r="I3518" s="60"/>
      <c r="J3518" s="60"/>
      <c r="K3518" s="60"/>
      <c r="L3518" s="60"/>
      <c r="M3518" s="64"/>
      <c r="N3518" s="33"/>
    </row>
    <row r="3519" ht="24" customHeight="1" spans="2:14">
      <c r="B3519" s="33"/>
      <c r="C3519" s="60"/>
      <c r="D3519" s="60"/>
      <c r="E3519" s="60"/>
      <c r="F3519" s="60"/>
      <c r="G3519" s="60"/>
      <c r="H3519" s="60"/>
      <c r="I3519" s="60"/>
      <c r="J3519" s="60"/>
      <c r="K3519" s="60"/>
      <c r="L3519" s="60"/>
      <c r="M3519" s="64"/>
      <c r="N3519" s="33"/>
    </row>
    <row r="3520" ht="24" customHeight="1" spans="2:14">
      <c r="B3520" s="33"/>
      <c r="C3520" s="60"/>
      <c r="D3520" s="60"/>
      <c r="E3520" s="60"/>
      <c r="F3520" s="60"/>
      <c r="G3520" s="60"/>
      <c r="H3520" s="60"/>
      <c r="I3520" s="60"/>
      <c r="J3520" s="60"/>
      <c r="K3520" s="60"/>
      <c r="L3520" s="60"/>
      <c r="M3520" s="64"/>
      <c r="N3520" s="33"/>
    </row>
    <row r="3521" ht="24" customHeight="1" spans="2:14">
      <c r="B3521" s="33"/>
      <c r="C3521" s="60"/>
      <c r="D3521" s="60"/>
      <c r="E3521" s="60"/>
      <c r="F3521" s="60"/>
      <c r="G3521" s="60"/>
      <c r="H3521" s="60"/>
      <c r="I3521" s="60"/>
      <c r="J3521" s="60"/>
      <c r="K3521" s="60"/>
      <c r="L3521" s="60"/>
      <c r="M3521" s="64"/>
      <c r="N3521" s="33"/>
    </row>
    <row r="3522" ht="24" customHeight="1" spans="2:14">
      <c r="B3522" s="33"/>
      <c r="C3522" s="60"/>
      <c r="D3522" s="60"/>
      <c r="E3522" s="60"/>
      <c r="F3522" s="60"/>
      <c r="G3522" s="60"/>
      <c r="H3522" s="60"/>
      <c r="I3522" s="60"/>
      <c r="J3522" s="60"/>
      <c r="K3522" s="60"/>
      <c r="L3522" s="60"/>
      <c r="M3522" s="64"/>
      <c r="N3522" s="33"/>
    </row>
    <row r="3523" ht="24" customHeight="1" spans="2:14">
      <c r="B3523" s="33"/>
      <c r="C3523" s="60"/>
      <c r="D3523" s="60"/>
      <c r="E3523" s="60"/>
      <c r="F3523" s="60"/>
      <c r="G3523" s="60"/>
      <c r="H3523" s="60"/>
      <c r="I3523" s="60"/>
      <c r="J3523" s="60"/>
      <c r="K3523" s="60"/>
      <c r="L3523" s="60"/>
      <c r="M3523" s="64"/>
      <c r="N3523" s="33"/>
    </row>
    <row r="3524" ht="24" customHeight="1" spans="2:14">
      <c r="B3524" s="33"/>
      <c r="C3524" s="60"/>
      <c r="D3524" s="60"/>
      <c r="E3524" s="60"/>
      <c r="F3524" s="60"/>
      <c r="G3524" s="60"/>
      <c r="H3524" s="60"/>
      <c r="I3524" s="60"/>
      <c r="J3524" s="60"/>
      <c r="K3524" s="60"/>
      <c r="L3524" s="60"/>
      <c r="M3524" s="64"/>
      <c r="N3524" s="33"/>
    </row>
    <row r="3525" ht="24" customHeight="1" spans="2:14">
      <c r="B3525" s="33"/>
      <c r="C3525" s="60"/>
      <c r="D3525" s="60"/>
      <c r="E3525" s="60"/>
      <c r="F3525" s="60"/>
      <c r="G3525" s="60"/>
      <c r="H3525" s="60"/>
      <c r="I3525" s="60"/>
      <c r="J3525" s="60"/>
      <c r="K3525" s="60"/>
      <c r="L3525" s="60"/>
      <c r="M3525" s="64"/>
      <c r="N3525" s="33"/>
    </row>
    <row r="3526" ht="24" customHeight="1" spans="2:14">
      <c r="B3526" s="33"/>
      <c r="C3526" s="60"/>
      <c r="D3526" s="60"/>
      <c r="E3526" s="60"/>
      <c r="F3526" s="60"/>
      <c r="G3526" s="60"/>
      <c r="H3526" s="60"/>
      <c r="I3526" s="60"/>
      <c r="J3526" s="60"/>
      <c r="K3526" s="60"/>
      <c r="L3526" s="60"/>
      <c r="M3526" s="64"/>
      <c r="N3526" s="33"/>
    </row>
    <row r="3527" ht="24" customHeight="1" spans="2:14">
      <c r="B3527" s="33"/>
      <c r="C3527" s="60"/>
      <c r="D3527" s="60"/>
      <c r="E3527" s="60"/>
      <c r="F3527" s="60"/>
      <c r="G3527" s="60"/>
      <c r="H3527" s="60"/>
      <c r="I3527" s="60"/>
      <c r="J3527" s="60"/>
      <c r="K3527" s="60"/>
      <c r="L3527" s="60"/>
      <c r="M3527" s="64"/>
      <c r="N3527" s="33"/>
    </row>
    <row r="3528" ht="24" customHeight="1" spans="2:14">
      <c r="B3528" s="33"/>
      <c r="C3528" s="60"/>
      <c r="D3528" s="60"/>
      <c r="E3528" s="60"/>
      <c r="F3528" s="60"/>
      <c r="G3528" s="60"/>
      <c r="H3528" s="60"/>
      <c r="I3528" s="60"/>
      <c r="J3528" s="60"/>
      <c r="K3528" s="60"/>
      <c r="L3528" s="60"/>
      <c r="M3528" s="64"/>
      <c r="N3528" s="33"/>
    </row>
    <row r="3529" ht="24" customHeight="1" spans="2:14">
      <c r="B3529" s="33"/>
      <c r="C3529" s="60"/>
      <c r="D3529" s="60"/>
      <c r="E3529" s="60"/>
      <c r="F3529" s="60"/>
      <c r="G3529" s="60"/>
      <c r="H3529" s="60"/>
      <c r="I3529" s="60"/>
      <c r="J3529" s="60"/>
      <c r="K3529" s="60"/>
      <c r="L3529" s="60"/>
      <c r="M3529" s="64"/>
      <c r="N3529" s="33"/>
    </row>
    <row r="3530" ht="24" customHeight="1" spans="2:14">
      <c r="B3530" s="33"/>
      <c r="C3530" s="60"/>
      <c r="D3530" s="60"/>
      <c r="E3530" s="60"/>
      <c r="F3530" s="60"/>
      <c r="G3530" s="60"/>
      <c r="H3530" s="60"/>
      <c r="I3530" s="60"/>
      <c r="J3530" s="60"/>
      <c r="K3530" s="60"/>
      <c r="L3530" s="60"/>
      <c r="M3530" s="64"/>
      <c r="N3530" s="33"/>
    </row>
    <row r="3531" ht="24" customHeight="1" spans="2:14">
      <c r="B3531" s="33"/>
      <c r="C3531" s="60"/>
      <c r="D3531" s="60"/>
      <c r="E3531" s="60"/>
      <c r="F3531" s="60"/>
      <c r="G3531" s="60"/>
      <c r="H3531" s="60"/>
      <c r="I3531" s="60"/>
      <c r="J3531" s="60"/>
      <c r="K3531" s="60"/>
      <c r="L3531" s="60"/>
      <c r="M3531" s="64"/>
      <c r="N3531" s="33"/>
    </row>
    <row r="3532" ht="24" customHeight="1" spans="2:14">
      <c r="B3532" s="33"/>
      <c r="C3532" s="60"/>
      <c r="D3532" s="60"/>
      <c r="E3532" s="60"/>
      <c r="F3532" s="60"/>
      <c r="G3532" s="60"/>
      <c r="H3532" s="60"/>
      <c r="I3532" s="60"/>
      <c r="J3532" s="60"/>
      <c r="K3532" s="60"/>
      <c r="L3532" s="60"/>
      <c r="M3532" s="64"/>
      <c r="N3532" s="33"/>
    </row>
    <row r="3533" ht="24" customHeight="1" spans="2:14">
      <c r="B3533" s="33"/>
      <c r="C3533" s="60"/>
      <c r="D3533" s="60"/>
      <c r="E3533" s="60"/>
      <c r="F3533" s="60"/>
      <c r="G3533" s="60"/>
      <c r="H3533" s="60"/>
      <c r="I3533" s="60"/>
      <c r="J3533" s="60"/>
      <c r="K3533" s="60"/>
      <c r="L3533" s="60"/>
      <c r="M3533" s="64"/>
      <c r="N3533" s="33"/>
    </row>
    <row r="3534" ht="24" customHeight="1" spans="2:14">
      <c r="B3534" s="33"/>
      <c r="C3534" s="60"/>
      <c r="D3534" s="60"/>
      <c r="E3534" s="60"/>
      <c r="F3534" s="60"/>
      <c r="G3534" s="60"/>
      <c r="H3534" s="60"/>
      <c r="I3534" s="60"/>
      <c r="J3534" s="60"/>
      <c r="K3534" s="60"/>
      <c r="L3534" s="60"/>
      <c r="M3534" s="64"/>
      <c r="N3534" s="33"/>
    </row>
    <row r="3535" ht="24" customHeight="1" spans="2:14">
      <c r="B3535" s="33"/>
      <c r="C3535" s="60"/>
      <c r="D3535" s="60"/>
      <c r="E3535" s="60"/>
      <c r="F3535" s="60"/>
      <c r="G3535" s="60"/>
      <c r="H3535" s="60"/>
      <c r="I3535" s="60"/>
      <c r="J3535" s="60"/>
      <c r="K3535" s="60"/>
      <c r="L3535" s="60"/>
      <c r="M3535" s="64"/>
      <c r="N3535" s="33"/>
    </row>
    <row r="3536" ht="24" customHeight="1" spans="2:14">
      <c r="B3536" s="33"/>
      <c r="C3536" s="60"/>
      <c r="D3536" s="60"/>
      <c r="E3536" s="60"/>
      <c r="F3536" s="60"/>
      <c r="G3536" s="60"/>
      <c r="H3536" s="60"/>
      <c r="I3536" s="60"/>
      <c r="J3536" s="60"/>
      <c r="K3536" s="60"/>
      <c r="L3536" s="60"/>
      <c r="M3536" s="64"/>
      <c r="N3536" s="33"/>
    </row>
    <row r="3537" ht="24" customHeight="1" spans="2:14">
      <c r="B3537" s="33"/>
      <c r="C3537" s="60"/>
      <c r="D3537" s="60"/>
      <c r="E3537" s="60"/>
      <c r="F3537" s="60"/>
      <c r="G3537" s="60"/>
      <c r="H3537" s="60"/>
      <c r="I3537" s="60"/>
      <c r="J3537" s="60"/>
      <c r="K3537" s="60"/>
      <c r="L3537" s="60"/>
      <c r="M3537" s="64"/>
      <c r="N3537" s="33"/>
    </row>
    <row r="3538" ht="24" customHeight="1" spans="2:14">
      <c r="B3538" s="33"/>
      <c r="C3538" s="60"/>
      <c r="D3538" s="60"/>
      <c r="E3538" s="60"/>
      <c r="F3538" s="60"/>
      <c r="G3538" s="60"/>
      <c r="H3538" s="60"/>
      <c r="I3538" s="60"/>
      <c r="J3538" s="60"/>
      <c r="K3538" s="60"/>
      <c r="L3538" s="60"/>
      <c r="M3538" s="64"/>
      <c r="N3538" s="33"/>
    </row>
    <row r="3539" ht="24" customHeight="1" spans="2:14">
      <c r="B3539" s="33"/>
      <c r="C3539" s="60"/>
      <c r="D3539" s="60"/>
      <c r="E3539" s="60"/>
      <c r="F3539" s="60"/>
      <c r="G3539" s="60"/>
      <c r="H3539" s="60"/>
      <c r="I3539" s="60"/>
      <c r="J3539" s="60"/>
      <c r="K3539" s="60"/>
      <c r="L3539" s="60"/>
      <c r="M3539" s="64"/>
      <c r="N3539" s="33"/>
    </row>
    <row r="3540" ht="24" customHeight="1" spans="2:14">
      <c r="B3540" s="33"/>
      <c r="C3540" s="60"/>
      <c r="D3540" s="60"/>
      <c r="E3540" s="60"/>
      <c r="F3540" s="60"/>
      <c r="G3540" s="60"/>
      <c r="H3540" s="60"/>
      <c r="I3540" s="60"/>
      <c r="J3540" s="60"/>
      <c r="K3540" s="60"/>
      <c r="L3540" s="60"/>
      <c r="M3540" s="64"/>
      <c r="N3540" s="33"/>
    </row>
    <row r="3541" ht="24" customHeight="1" spans="2:14">
      <c r="B3541" s="33"/>
      <c r="C3541" s="60"/>
      <c r="D3541" s="60"/>
      <c r="E3541" s="60"/>
      <c r="F3541" s="60"/>
      <c r="G3541" s="60"/>
      <c r="H3541" s="60"/>
      <c r="I3541" s="60"/>
      <c r="J3541" s="60"/>
      <c r="K3541" s="60"/>
      <c r="L3541" s="60"/>
      <c r="M3541" s="64"/>
      <c r="N3541" s="33"/>
    </row>
    <row r="3542" ht="24" customHeight="1" spans="2:14">
      <c r="B3542" s="33"/>
      <c r="C3542" s="60"/>
      <c r="D3542" s="60"/>
      <c r="E3542" s="60"/>
      <c r="F3542" s="60"/>
      <c r="G3542" s="60"/>
      <c r="H3542" s="60"/>
      <c r="I3542" s="60"/>
      <c r="J3542" s="60"/>
      <c r="K3542" s="60"/>
      <c r="L3542" s="60"/>
      <c r="M3542" s="64"/>
      <c r="N3542" s="33"/>
    </row>
    <row r="3543" ht="24" customHeight="1" spans="2:14">
      <c r="B3543" s="33"/>
      <c r="C3543" s="60"/>
      <c r="D3543" s="60"/>
      <c r="E3543" s="60"/>
      <c r="F3543" s="60"/>
      <c r="G3543" s="60"/>
      <c r="H3543" s="60"/>
      <c r="I3543" s="60"/>
      <c r="J3543" s="60"/>
      <c r="K3543" s="60"/>
      <c r="L3543" s="60"/>
      <c r="M3543" s="64"/>
      <c r="N3543" s="33"/>
    </row>
    <row r="3544" ht="24" customHeight="1" spans="2:14">
      <c r="B3544" s="33"/>
      <c r="C3544" s="60"/>
      <c r="D3544" s="60"/>
      <c r="E3544" s="60"/>
      <c r="F3544" s="60"/>
      <c r="G3544" s="60"/>
      <c r="H3544" s="60"/>
      <c r="I3544" s="60"/>
      <c r="J3544" s="60"/>
      <c r="K3544" s="60"/>
      <c r="L3544" s="60"/>
      <c r="M3544" s="64"/>
      <c r="N3544" s="33"/>
    </row>
    <row r="3545" ht="24" customHeight="1" spans="2:14">
      <c r="B3545" s="33"/>
      <c r="C3545" s="60"/>
      <c r="D3545" s="60"/>
      <c r="E3545" s="60"/>
      <c r="F3545" s="60"/>
      <c r="G3545" s="60"/>
      <c r="H3545" s="60"/>
      <c r="I3545" s="60"/>
      <c r="J3545" s="60"/>
      <c r="K3545" s="60"/>
      <c r="L3545" s="60"/>
      <c r="M3545" s="64"/>
      <c r="N3545" s="33"/>
    </row>
    <row r="3546" ht="24" customHeight="1" spans="2:14">
      <c r="B3546" s="33"/>
      <c r="C3546" s="60"/>
      <c r="D3546" s="60"/>
      <c r="E3546" s="60"/>
      <c r="F3546" s="60"/>
      <c r="G3546" s="60"/>
      <c r="H3546" s="60"/>
      <c r="I3546" s="60"/>
      <c r="J3546" s="60"/>
      <c r="K3546" s="60"/>
      <c r="L3546" s="60"/>
      <c r="M3546" s="64"/>
      <c r="N3546" s="33"/>
    </row>
    <row r="3547" ht="24" customHeight="1" spans="2:14">
      <c r="B3547" s="33"/>
      <c r="C3547" s="60"/>
      <c r="D3547" s="60"/>
      <c r="E3547" s="60"/>
      <c r="F3547" s="60"/>
      <c r="G3547" s="60"/>
      <c r="H3547" s="60"/>
      <c r="I3547" s="60"/>
      <c r="J3547" s="60"/>
      <c r="K3547" s="60"/>
      <c r="L3547" s="60"/>
      <c r="M3547" s="64"/>
      <c r="N3547" s="33"/>
    </row>
    <row r="3548" ht="24" customHeight="1" spans="2:14">
      <c r="B3548" s="33"/>
      <c r="C3548" s="60"/>
      <c r="D3548" s="60"/>
      <c r="E3548" s="60"/>
      <c r="F3548" s="60"/>
      <c r="G3548" s="60"/>
      <c r="H3548" s="60"/>
      <c r="I3548" s="60"/>
      <c r="J3548" s="60"/>
      <c r="K3548" s="60"/>
      <c r="L3548" s="60"/>
      <c r="M3548" s="64"/>
      <c r="N3548" s="33"/>
    </row>
    <row r="3549" ht="24" customHeight="1" spans="2:14">
      <c r="B3549" s="33"/>
      <c r="C3549" s="60"/>
      <c r="D3549" s="60"/>
      <c r="E3549" s="60"/>
      <c r="F3549" s="60"/>
      <c r="G3549" s="60"/>
      <c r="H3549" s="60"/>
      <c r="I3549" s="60"/>
      <c r="J3549" s="60"/>
      <c r="K3549" s="60"/>
      <c r="L3549" s="60"/>
      <c r="M3549" s="64"/>
      <c r="N3549" s="33"/>
    </row>
    <row r="3550" ht="24" customHeight="1" spans="2:14">
      <c r="B3550" s="33"/>
      <c r="C3550" s="60"/>
      <c r="D3550" s="60"/>
      <c r="E3550" s="60"/>
      <c r="F3550" s="60"/>
      <c r="G3550" s="60"/>
      <c r="H3550" s="60"/>
      <c r="I3550" s="60"/>
      <c r="J3550" s="60"/>
      <c r="K3550" s="60"/>
      <c r="L3550" s="60"/>
      <c r="M3550" s="64"/>
      <c r="N3550" s="33"/>
    </row>
    <row r="3551" ht="24" customHeight="1" spans="2:14">
      <c r="B3551" s="33"/>
      <c r="C3551" s="60"/>
      <c r="D3551" s="60"/>
      <c r="E3551" s="60"/>
      <c r="F3551" s="60"/>
      <c r="G3551" s="60"/>
      <c r="H3551" s="60"/>
      <c r="I3551" s="60"/>
      <c r="J3551" s="60"/>
      <c r="K3551" s="60"/>
      <c r="L3551" s="60"/>
      <c r="M3551" s="64"/>
      <c r="N3551" s="33"/>
    </row>
    <row r="3552" ht="24" customHeight="1" spans="2:14">
      <c r="B3552" s="33"/>
      <c r="C3552" s="60"/>
      <c r="D3552" s="60"/>
      <c r="E3552" s="60"/>
      <c r="F3552" s="60"/>
      <c r="G3552" s="60"/>
      <c r="H3552" s="60"/>
      <c r="I3552" s="60"/>
      <c r="J3552" s="60"/>
      <c r="K3552" s="60"/>
      <c r="L3552" s="60"/>
      <c r="M3552" s="64"/>
      <c r="N3552" s="33"/>
    </row>
    <row r="3553" ht="24" customHeight="1" spans="2:14">
      <c r="B3553" s="33"/>
      <c r="C3553" s="60"/>
      <c r="D3553" s="60"/>
      <c r="E3553" s="60"/>
      <c r="F3553" s="60"/>
      <c r="G3553" s="60"/>
      <c r="H3553" s="60"/>
      <c r="I3553" s="60"/>
      <c r="J3553" s="60"/>
      <c r="K3553" s="60"/>
      <c r="L3553" s="60"/>
      <c r="M3553" s="64"/>
      <c r="N3553" s="33"/>
    </row>
    <row r="3554" ht="24" customHeight="1" spans="2:14">
      <c r="B3554" s="33"/>
      <c r="C3554" s="60"/>
      <c r="D3554" s="60"/>
      <c r="E3554" s="60"/>
      <c r="F3554" s="60"/>
      <c r="G3554" s="60"/>
      <c r="H3554" s="60"/>
      <c r="I3554" s="60"/>
      <c r="J3554" s="60"/>
      <c r="K3554" s="60"/>
      <c r="L3554" s="60"/>
      <c r="M3554" s="64"/>
      <c r="N3554" s="33"/>
    </row>
    <row r="3555" ht="24" customHeight="1" spans="2:14">
      <c r="B3555" s="33"/>
      <c r="C3555" s="60"/>
      <c r="D3555" s="60"/>
      <c r="E3555" s="60"/>
      <c r="F3555" s="60"/>
      <c r="G3555" s="60"/>
      <c r="H3555" s="60"/>
      <c r="I3555" s="60"/>
      <c r="J3555" s="60"/>
      <c r="K3555" s="60"/>
      <c r="L3555" s="60"/>
      <c r="M3555" s="64"/>
      <c r="N3555" s="33"/>
    </row>
    <row r="3556" ht="24" customHeight="1" spans="2:14">
      <c r="B3556" s="33"/>
      <c r="C3556" s="60"/>
      <c r="D3556" s="60"/>
      <c r="E3556" s="60"/>
      <c r="F3556" s="60"/>
      <c r="G3556" s="60"/>
      <c r="H3556" s="60"/>
      <c r="I3556" s="60"/>
      <c r="J3556" s="60"/>
      <c r="K3556" s="60"/>
      <c r="L3556" s="60"/>
      <c r="M3556" s="64"/>
      <c r="N3556" s="33"/>
    </row>
    <row r="3557" ht="24" customHeight="1" spans="2:14">
      <c r="B3557" s="33"/>
      <c r="C3557" s="60"/>
      <c r="D3557" s="60"/>
      <c r="E3557" s="60"/>
      <c r="F3557" s="60"/>
      <c r="G3557" s="60"/>
      <c r="H3557" s="60"/>
      <c r="I3557" s="60"/>
      <c r="J3557" s="60"/>
      <c r="K3557" s="60"/>
      <c r="L3557" s="60"/>
      <c r="M3557" s="64"/>
      <c r="N3557" s="33"/>
    </row>
    <row r="3558" ht="24" customHeight="1" spans="2:14">
      <c r="B3558" s="33"/>
      <c r="C3558" s="60"/>
      <c r="D3558" s="60"/>
      <c r="E3558" s="60"/>
      <c r="F3558" s="60"/>
      <c r="G3558" s="60"/>
      <c r="H3558" s="60"/>
      <c r="I3558" s="60"/>
      <c r="J3558" s="60"/>
      <c r="K3558" s="60"/>
      <c r="L3558" s="60"/>
      <c r="M3558" s="64"/>
      <c r="N3558" s="33"/>
    </row>
    <row r="3559" ht="24" customHeight="1" spans="2:14">
      <c r="B3559" s="33"/>
      <c r="C3559" s="60"/>
      <c r="D3559" s="60"/>
      <c r="E3559" s="60"/>
      <c r="F3559" s="60"/>
      <c r="G3559" s="60"/>
      <c r="H3559" s="60"/>
      <c r="I3559" s="60"/>
      <c r="J3559" s="60"/>
      <c r="K3559" s="60"/>
      <c r="L3559" s="60"/>
      <c r="M3559" s="64"/>
      <c r="N3559" s="33"/>
    </row>
    <row r="3560" ht="24" customHeight="1" spans="2:14">
      <c r="B3560" s="33"/>
      <c r="C3560" s="60"/>
      <c r="D3560" s="60"/>
      <c r="E3560" s="60"/>
      <c r="F3560" s="60"/>
      <c r="G3560" s="60"/>
      <c r="H3560" s="60"/>
      <c r="I3560" s="60"/>
      <c r="J3560" s="60"/>
      <c r="K3560" s="60"/>
      <c r="L3560" s="60"/>
      <c r="M3560" s="64"/>
      <c r="N3560" s="33"/>
    </row>
    <row r="3561" ht="24" customHeight="1" spans="2:14">
      <c r="B3561" s="33"/>
      <c r="C3561" s="60"/>
      <c r="D3561" s="60"/>
      <c r="E3561" s="60"/>
      <c r="F3561" s="60"/>
      <c r="G3561" s="60"/>
      <c r="H3561" s="60"/>
      <c r="I3561" s="60"/>
      <c r="J3561" s="60"/>
      <c r="K3561" s="60"/>
      <c r="L3561" s="60"/>
      <c r="M3561" s="64"/>
      <c r="N3561" s="33"/>
    </row>
    <row r="3562" ht="24" customHeight="1" spans="2:14">
      <c r="B3562" s="33"/>
      <c r="C3562" s="60"/>
      <c r="D3562" s="60"/>
      <c r="E3562" s="60"/>
      <c r="F3562" s="60"/>
      <c r="G3562" s="60"/>
      <c r="H3562" s="60"/>
      <c r="I3562" s="60"/>
      <c r="J3562" s="60"/>
      <c r="K3562" s="60"/>
      <c r="L3562" s="60"/>
      <c r="M3562" s="64"/>
      <c r="N3562" s="33"/>
    </row>
    <row r="3563" ht="24" customHeight="1" spans="2:14">
      <c r="B3563" s="33"/>
      <c r="C3563" s="60"/>
      <c r="D3563" s="60"/>
      <c r="E3563" s="60"/>
      <c r="F3563" s="60"/>
      <c r="G3563" s="60"/>
      <c r="H3563" s="60"/>
      <c r="I3563" s="60"/>
      <c r="J3563" s="60"/>
      <c r="K3563" s="60"/>
      <c r="L3563" s="60"/>
      <c r="M3563" s="64"/>
      <c r="N3563" s="33"/>
    </row>
    <row r="3564" ht="24" customHeight="1" spans="2:14">
      <c r="B3564" s="33"/>
      <c r="C3564" s="60"/>
      <c r="D3564" s="60"/>
      <c r="E3564" s="60"/>
      <c r="F3564" s="60"/>
      <c r="G3564" s="60"/>
      <c r="H3564" s="60"/>
      <c r="I3564" s="60"/>
      <c r="J3564" s="60"/>
      <c r="K3564" s="60"/>
      <c r="L3564" s="60"/>
      <c r="M3564" s="64"/>
      <c r="N3564" s="33"/>
    </row>
    <row r="3565" ht="24" customHeight="1" spans="2:14">
      <c r="B3565" s="33"/>
      <c r="C3565" s="60"/>
      <c r="D3565" s="60"/>
      <c r="E3565" s="60"/>
      <c r="F3565" s="60"/>
      <c r="G3565" s="60"/>
      <c r="H3565" s="60"/>
      <c r="I3565" s="60"/>
      <c r="J3565" s="60"/>
      <c r="K3565" s="60"/>
      <c r="L3565" s="60"/>
      <c r="M3565" s="64"/>
      <c r="N3565" s="33"/>
    </row>
    <row r="3566" ht="24" customHeight="1" spans="2:14">
      <c r="B3566" s="33"/>
      <c r="C3566" s="60"/>
      <c r="D3566" s="60"/>
      <c r="E3566" s="60"/>
      <c r="F3566" s="60"/>
      <c r="G3566" s="60"/>
      <c r="H3566" s="60"/>
      <c r="I3566" s="60"/>
      <c r="J3566" s="60"/>
      <c r="K3566" s="60"/>
      <c r="L3566" s="60"/>
      <c r="M3566" s="64"/>
      <c r="N3566" s="33"/>
    </row>
    <row r="3567" ht="24" customHeight="1" spans="2:14">
      <c r="B3567" s="33"/>
      <c r="C3567" s="60"/>
      <c r="D3567" s="60"/>
      <c r="E3567" s="60"/>
      <c r="F3567" s="60"/>
      <c r="G3567" s="60"/>
      <c r="H3567" s="60"/>
      <c r="I3567" s="60"/>
      <c r="J3567" s="60"/>
      <c r="K3567" s="60"/>
      <c r="L3567" s="60"/>
      <c r="M3567" s="64"/>
      <c r="N3567" s="33"/>
    </row>
    <row r="3568" ht="24" customHeight="1" spans="2:14">
      <c r="B3568" s="33"/>
      <c r="C3568" s="60"/>
      <c r="D3568" s="60"/>
      <c r="E3568" s="60"/>
      <c r="F3568" s="60"/>
      <c r="G3568" s="60"/>
      <c r="H3568" s="60"/>
      <c r="I3568" s="60"/>
      <c r="J3568" s="60"/>
      <c r="K3568" s="60"/>
      <c r="L3568" s="60"/>
      <c r="M3568" s="64"/>
      <c r="N3568" s="33"/>
    </row>
    <row r="3569" ht="24" customHeight="1" spans="2:14">
      <c r="B3569" s="33"/>
      <c r="C3569" s="60"/>
      <c r="D3569" s="60"/>
      <c r="E3569" s="60"/>
      <c r="F3569" s="60"/>
      <c r="G3569" s="60"/>
      <c r="H3569" s="60"/>
      <c r="I3569" s="60"/>
      <c r="J3569" s="60"/>
      <c r="K3569" s="60"/>
      <c r="L3569" s="60"/>
      <c r="M3569" s="64"/>
      <c r="N3569" s="33"/>
    </row>
    <row r="3570" ht="24" customHeight="1" spans="2:14">
      <c r="B3570" s="33"/>
      <c r="C3570" s="60"/>
      <c r="D3570" s="60"/>
      <c r="E3570" s="60"/>
      <c r="F3570" s="60"/>
      <c r="G3570" s="60"/>
      <c r="H3570" s="60"/>
      <c r="I3570" s="60"/>
      <c r="J3570" s="60"/>
      <c r="K3570" s="60"/>
      <c r="L3570" s="60"/>
      <c r="M3570" s="64"/>
      <c r="N3570" s="33"/>
    </row>
    <row r="3571" ht="24" customHeight="1" spans="2:14">
      <c r="B3571" s="33"/>
      <c r="C3571" s="60"/>
      <c r="D3571" s="60"/>
      <c r="E3571" s="60"/>
      <c r="F3571" s="60"/>
      <c r="G3571" s="60"/>
      <c r="H3571" s="60"/>
      <c r="I3571" s="60"/>
      <c r="J3571" s="60"/>
      <c r="K3571" s="60"/>
      <c r="L3571" s="60"/>
      <c r="M3571" s="64"/>
      <c r="N3571" s="33"/>
    </row>
    <row r="3572" ht="24" customHeight="1" spans="2:14">
      <c r="B3572" s="33"/>
      <c r="C3572" s="60"/>
      <c r="D3572" s="60"/>
      <c r="E3572" s="60"/>
      <c r="F3572" s="60"/>
      <c r="G3572" s="60"/>
      <c r="H3572" s="60"/>
      <c r="I3572" s="60"/>
      <c r="J3572" s="60"/>
      <c r="K3572" s="60"/>
      <c r="L3572" s="60"/>
      <c r="M3572" s="64"/>
      <c r="N3572" s="33"/>
    </row>
    <row r="3573" ht="24" customHeight="1" spans="2:14">
      <c r="B3573" s="33"/>
      <c r="C3573" s="60"/>
      <c r="D3573" s="60"/>
      <c r="E3573" s="60"/>
      <c r="F3573" s="60"/>
      <c r="G3573" s="60"/>
      <c r="H3573" s="60"/>
      <c r="I3573" s="60"/>
      <c r="J3573" s="60"/>
      <c r="K3573" s="60"/>
      <c r="L3573" s="60"/>
      <c r="M3573" s="64"/>
      <c r="N3573" s="33"/>
    </row>
    <row r="3574" ht="24" customHeight="1" spans="2:14">
      <c r="B3574" s="33"/>
      <c r="C3574" s="60"/>
      <c r="D3574" s="60"/>
      <c r="E3574" s="60"/>
      <c r="F3574" s="60"/>
      <c r="G3574" s="60"/>
      <c r="H3574" s="60"/>
      <c r="I3574" s="60"/>
      <c r="J3574" s="60"/>
      <c r="K3574" s="60"/>
      <c r="L3574" s="60"/>
      <c r="M3574" s="64"/>
      <c r="N3574" s="33"/>
    </row>
    <row r="3575" ht="24" customHeight="1" spans="2:14">
      <c r="B3575" s="33"/>
      <c r="C3575" s="60"/>
      <c r="D3575" s="60"/>
      <c r="E3575" s="60"/>
      <c r="F3575" s="60"/>
      <c r="G3575" s="60"/>
      <c r="H3575" s="60"/>
      <c r="I3575" s="60"/>
      <c r="J3575" s="60"/>
      <c r="K3575" s="60"/>
      <c r="L3575" s="60"/>
      <c r="M3575" s="64"/>
      <c r="N3575" s="33"/>
    </row>
    <row r="3576" ht="24" customHeight="1" spans="2:14">
      <c r="B3576" s="33"/>
      <c r="C3576" s="60"/>
      <c r="D3576" s="60"/>
      <c r="E3576" s="60"/>
      <c r="F3576" s="60"/>
      <c r="G3576" s="60"/>
      <c r="H3576" s="60"/>
      <c r="I3576" s="60"/>
      <c r="J3576" s="60"/>
      <c r="K3576" s="60"/>
      <c r="L3576" s="60"/>
      <c r="M3576" s="64"/>
      <c r="N3576" s="33"/>
    </row>
    <row r="3577" ht="24" customHeight="1" spans="2:14">
      <c r="B3577" s="33"/>
      <c r="C3577" s="60"/>
      <c r="D3577" s="60"/>
      <c r="E3577" s="60"/>
      <c r="F3577" s="60"/>
      <c r="G3577" s="60"/>
      <c r="H3577" s="60"/>
      <c r="I3577" s="60"/>
      <c r="J3577" s="60"/>
      <c r="K3577" s="60"/>
      <c r="L3577" s="60"/>
      <c r="M3577" s="64"/>
      <c r="N3577" s="33"/>
    </row>
    <row r="3578" ht="24" customHeight="1" spans="2:14">
      <c r="B3578" s="33"/>
      <c r="C3578" s="60"/>
      <c r="D3578" s="60"/>
      <c r="E3578" s="60"/>
      <c r="F3578" s="60"/>
      <c r="G3578" s="60"/>
      <c r="H3578" s="60"/>
      <c r="I3578" s="60"/>
      <c r="J3578" s="60"/>
      <c r="K3578" s="60"/>
      <c r="L3578" s="60"/>
      <c r="M3578" s="64"/>
      <c r="N3578" s="33"/>
    </row>
    <row r="3579" ht="24" customHeight="1" spans="2:14">
      <c r="B3579" s="33"/>
      <c r="C3579" s="60"/>
      <c r="D3579" s="60"/>
      <c r="E3579" s="60"/>
      <c r="F3579" s="60"/>
      <c r="G3579" s="60"/>
      <c r="H3579" s="60"/>
      <c r="I3579" s="60"/>
      <c r="J3579" s="60"/>
      <c r="K3579" s="60"/>
      <c r="L3579" s="60"/>
      <c r="M3579" s="64"/>
      <c r="N3579" s="33"/>
    </row>
    <row r="3580" ht="24" customHeight="1" spans="2:14">
      <c r="B3580" s="33"/>
      <c r="C3580" s="60"/>
      <c r="D3580" s="60"/>
      <c r="E3580" s="60"/>
      <c r="F3580" s="60"/>
      <c r="G3580" s="60"/>
      <c r="H3580" s="60"/>
      <c r="I3580" s="60"/>
      <c r="J3580" s="60"/>
      <c r="K3580" s="60"/>
      <c r="L3580" s="60"/>
      <c r="M3580" s="64"/>
      <c r="N3580" s="33"/>
    </row>
    <row r="3581" ht="24" customHeight="1" spans="2:14">
      <c r="B3581" s="33"/>
      <c r="C3581" s="60"/>
      <c r="D3581" s="60"/>
      <c r="E3581" s="60"/>
      <c r="F3581" s="60"/>
      <c r="G3581" s="60"/>
      <c r="H3581" s="60"/>
      <c r="I3581" s="60"/>
      <c r="J3581" s="60"/>
      <c r="K3581" s="60"/>
      <c r="L3581" s="60"/>
      <c r="M3581" s="64"/>
      <c r="N3581" s="33"/>
    </row>
    <row r="3582" ht="24" customHeight="1" spans="2:14">
      <c r="B3582" s="33"/>
      <c r="C3582" s="60"/>
      <c r="D3582" s="60"/>
      <c r="E3582" s="60"/>
      <c r="F3582" s="60"/>
      <c r="G3582" s="60"/>
      <c r="H3582" s="60"/>
      <c r="I3582" s="60"/>
      <c r="J3582" s="60"/>
      <c r="K3582" s="60"/>
      <c r="L3582" s="60"/>
      <c r="M3582" s="64"/>
      <c r="N3582" s="33"/>
    </row>
    <row r="3583" ht="24" customHeight="1" spans="2:14">
      <c r="B3583" s="33"/>
      <c r="C3583" s="60"/>
      <c r="D3583" s="60"/>
      <c r="E3583" s="60"/>
      <c r="F3583" s="60"/>
      <c r="G3583" s="60"/>
      <c r="H3583" s="60"/>
      <c r="I3583" s="60"/>
      <c r="J3583" s="60"/>
      <c r="K3583" s="60"/>
      <c r="L3583" s="60"/>
      <c r="M3583" s="64"/>
      <c r="N3583" s="33"/>
    </row>
    <row r="3584" ht="24" customHeight="1" spans="2:14">
      <c r="B3584" s="33"/>
      <c r="C3584" s="60"/>
      <c r="D3584" s="60"/>
      <c r="E3584" s="60"/>
      <c r="F3584" s="60"/>
      <c r="G3584" s="60"/>
      <c r="H3584" s="60"/>
      <c r="I3584" s="60"/>
      <c r="J3584" s="60"/>
      <c r="K3584" s="60"/>
      <c r="L3584" s="60"/>
      <c r="M3584" s="64"/>
      <c r="N3584" s="33"/>
    </row>
    <row r="3585" ht="24" customHeight="1" spans="2:14">
      <c r="B3585" s="33"/>
      <c r="C3585" s="60"/>
      <c r="D3585" s="60"/>
      <c r="E3585" s="60"/>
      <c r="F3585" s="60"/>
      <c r="G3585" s="60"/>
      <c r="H3585" s="60"/>
      <c r="I3585" s="60"/>
      <c r="J3585" s="60"/>
      <c r="K3585" s="60"/>
      <c r="L3585" s="60"/>
      <c r="M3585" s="64"/>
      <c r="N3585" s="33"/>
    </row>
    <row r="3586" ht="24" customHeight="1" spans="2:14">
      <c r="B3586" s="33"/>
      <c r="C3586" s="60"/>
      <c r="D3586" s="60"/>
      <c r="E3586" s="60"/>
      <c r="F3586" s="60"/>
      <c r="G3586" s="60"/>
      <c r="H3586" s="60"/>
      <c r="I3586" s="60"/>
      <c r="J3586" s="60"/>
      <c r="K3586" s="60"/>
      <c r="L3586" s="60"/>
      <c r="M3586" s="64"/>
      <c r="N3586" s="33"/>
    </row>
    <row r="3587" ht="24" customHeight="1" spans="2:14">
      <c r="B3587" s="33"/>
      <c r="C3587" s="60"/>
      <c r="D3587" s="60"/>
      <c r="E3587" s="60"/>
      <c r="F3587" s="60"/>
      <c r="G3587" s="60"/>
      <c r="H3587" s="60"/>
      <c r="I3587" s="60"/>
      <c r="J3587" s="60"/>
      <c r="K3587" s="60"/>
      <c r="L3587" s="60"/>
      <c r="M3587" s="64"/>
      <c r="N3587" s="33"/>
    </row>
    <row r="3588" ht="24" customHeight="1" spans="2:14">
      <c r="B3588" s="33"/>
      <c r="C3588" s="60"/>
      <c r="D3588" s="60"/>
      <c r="E3588" s="60"/>
      <c r="F3588" s="60"/>
      <c r="G3588" s="60"/>
      <c r="H3588" s="60"/>
      <c r="I3588" s="60"/>
      <c r="J3588" s="60"/>
      <c r="K3588" s="60"/>
      <c r="L3588" s="60"/>
      <c r="M3588" s="64"/>
      <c r="N3588" s="33"/>
    </row>
    <row r="3589" ht="24" customHeight="1" spans="2:14">
      <c r="B3589" s="33"/>
      <c r="C3589" s="60"/>
      <c r="D3589" s="60"/>
      <c r="E3589" s="60"/>
      <c r="F3589" s="60"/>
      <c r="G3589" s="60"/>
      <c r="H3589" s="60"/>
      <c r="I3589" s="60"/>
      <c r="J3589" s="60"/>
      <c r="K3589" s="60"/>
      <c r="L3589" s="60"/>
      <c r="M3589" s="64"/>
      <c r="N3589" s="33"/>
    </row>
    <row r="3590" ht="24" customHeight="1" spans="2:14">
      <c r="B3590" s="33"/>
      <c r="C3590" s="60"/>
      <c r="D3590" s="60"/>
      <c r="E3590" s="60"/>
      <c r="F3590" s="60"/>
      <c r="G3590" s="60"/>
      <c r="H3590" s="60"/>
      <c r="I3590" s="60"/>
      <c r="J3590" s="60"/>
      <c r="K3590" s="60"/>
      <c r="L3590" s="60"/>
      <c r="M3590" s="64"/>
      <c r="N3590" s="33"/>
    </row>
    <row r="3591" ht="24" customHeight="1" spans="2:14">
      <c r="B3591" s="33"/>
      <c r="C3591" s="60"/>
      <c r="D3591" s="60"/>
      <c r="E3591" s="60"/>
      <c r="F3591" s="60"/>
      <c r="G3591" s="60"/>
      <c r="H3591" s="60"/>
      <c r="I3591" s="60"/>
      <c r="J3591" s="60"/>
      <c r="K3591" s="60"/>
      <c r="L3591" s="60"/>
      <c r="M3591" s="64"/>
      <c r="N3591" s="33"/>
    </row>
    <row r="3592" ht="24" customHeight="1" spans="2:14">
      <c r="B3592" s="33"/>
      <c r="C3592" s="60"/>
      <c r="D3592" s="60"/>
      <c r="E3592" s="60"/>
      <c r="F3592" s="60"/>
      <c r="G3592" s="60"/>
      <c r="H3592" s="60"/>
      <c r="I3592" s="60"/>
      <c r="J3592" s="60"/>
      <c r="K3592" s="60"/>
      <c r="L3592" s="60"/>
      <c r="M3592" s="64"/>
      <c r="N3592" s="33"/>
    </row>
    <row r="3593" ht="24" customHeight="1" spans="2:14">
      <c r="B3593" s="33"/>
      <c r="C3593" s="60"/>
      <c r="D3593" s="60"/>
      <c r="E3593" s="60"/>
      <c r="F3593" s="60"/>
      <c r="G3593" s="60"/>
      <c r="H3593" s="60"/>
      <c r="I3593" s="60"/>
      <c r="J3593" s="60"/>
      <c r="K3593" s="60"/>
      <c r="L3593" s="60"/>
      <c r="M3593" s="64"/>
      <c r="N3593" s="33"/>
    </row>
    <row r="3594" ht="24" customHeight="1" spans="2:14">
      <c r="B3594" s="33"/>
      <c r="C3594" s="60"/>
      <c r="D3594" s="60"/>
      <c r="E3594" s="60"/>
      <c r="F3594" s="60"/>
      <c r="G3594" s="60"/>
      <c r="H3594" s="60"/>
      <c r="I3594" s="60"/>
      <c r="J3594" s="60"/>
      <c r="K3594" s="60"/>
      <c r="L3594" s="60"/>
      <c r="M3594" s="64"/>
      <c r="N3594" s="33"/>
    </row>
    <row r="3595" ht="24" customHeight="1" spans="2:14">
      <c r="B3595" s="33"/>
      <c r="C3595" s="60"/>
      <c r="D3595" s="60"/>
      <c r="E3595" s="60"/>
      <c r="F3595" s="60"/>
      <c r="G3595" s="60"/>
      <c r="H3595" s="60"/>
      <c r="I3595" s="60"/>
      <c r="J3595" s="60"/>
      <c r="K3595" s="60"/>
      <c r="L3595" s="60"/>
      <c r="M3595" s="64"/>
      <c r="N3595" s="33"/>
    </row>
    <row r="3596" ht="24" customHeight="1" spans="2:14">
      <c r="B3596" s="33"/>
      <c r="C3596" s="60"/>
      <c r="D3596" s="60"/>
      <c r="E3596" s="60"/>
      <c r="F3596" s="60"/>
      <c r="G3596" s="60"/>
      <c r="H3596" s="60"/>
      <c r="I3596" s="60"/>
      <c r="J3596" s="60"/>
      <c r="K3596" s="60"/>
      <c r="L3596" s="60"/>
      <c r="M3596" s="64"/>
      <c r="N3596" s="33"/>
    </row>
    <row r="3597" ht="24" customHeight="1" spans="2:14">
      <c r="B3597" s="33"/>
      <c r="C3597" s="60"/>
      <c r="D3597" s="60"/>
      <c r="E3597" s="60"/>
      <c r="F3597" s="60"/>
      <c r="G3597" s="60"/>
      <c r="H3597" s="60"/>
      <c r="I3597" s="60"/>
      <c r="J3597" s="60"/>
      <c r="K3597" s="60"/>
      <c r="L3597" s="60"/>
      <c r="M3597" s="64"/>
      <c r="N3597" s="33"/>
    </row>
    <row r="3598" ht="24" customHeight="1" spans="2:14">
      <c r="B3598" s="33"/>
      <c r="C3598" s="60"/>
      <c r="D3598" s="60"/>
      <c r="E3598" s="60"/>
      <c r="F3598" s="60"/>
      <c r="G3598" s="60"/>
      <c r="H3598" s="60"/>
      <c r="I3598" s="60"/>
      <c r="J3598" s="60"/>
      <c r="K3598" s="60"/>
      <c r="L3598" s="60"/>
      <c r="M3598" s="64"/>
      <c r="N3598" s="33"/>
    </row>
    <row r="3599" ht="24" customHeight="1" spans="2:14">
      <c r="B3599" s="33"/>
      <c r="C3599" s="60"/>
      <c r="D3599" s="60"/>
      <c r="E3599" s="60"/>
      <c r="F3599" s="60"/>
      <c r="G3599" s="60"/>
      <c r="H3599" s="60"/>
      <c r="I3599" s="60"/>
      <c r="J3599" s="60"/>
      <c r="K3599" s="60"/>
      <c r="L3599" s="60"/>
      <c r="M3599" s="64"/>
      <c r="N3599" s="33"/>
    </row>
    <row r="3600" ht="24" customHeight="1" spans="2:14">
      <c r="B3600" s="33"/>
      <c r="C3600" s="60"/>
      <c r="D3600" s="60"/>
      <c r="E3600" s="60"/>
      <c r="F3600" s="60"/>
      <c r="G3600" s="60"/>
      <c r="H3600" s="60"/>
      <c r="I3600" s="60"/>
      <c r="J3600" s="60"/>
      <c r="K3600" s="60"/>
      <c r="L3600" s="60"/>
      <c r="M3600" s="64"/>
      <c r="N3600" s="33"/>
    </row>
    <row r="3601" ht="24" customHeight="1" spans="2:14">
      <c r="B3601" s="33"/>
      <c r="C3601" s="60"/>
      <c r="D3601" s="60"/>
      <c r="E3601" s="60"/>
      <c r="F3601" s="60"/>
      <c r="G3601" s="60"/>
      <c r="H3601" s="60"/>
      <c r="I3601" s="60"/>
      <c r="J3601" s="60"/>
      <c r="K3601" s="60"/>
      <c r="L3601" s="60"/>
      <c r="M3601" s="64"/>
      <c r="N3601" s="33"/>
    </row>
    <row r="3602" ht="24" customHeight="1" spans="2:14">
      <c r="B3602" s="33"/>
      <c r="C3602" s="60"/>
      <c r="D3602" s="60"/>
      <c r="E3602" s="60"/>
      <c r="F3602" s="60"/>
      <c r="G3602" s="60"/>
      <c r="H3602" s="60"/>
      <c r="I3602" s="60"/>
      <c r="J3602" s="60"/>
      <c r="K3602" s="60"/>
      <c r="L3602" s="60"/>
      <c r="M3602" s="64"/>
      <c r="N3602" s="33"/>
    </row>
    <row r="3603" ht="24" customHeight="1" spans="2:14">
      <c r="B3603" s="33"/>
      <c r="C3603" s="60"/>
      <c r="D3603" s="60"/>
      <c r="E3603" s="60"/>
      <c r="F3603" s="60"/>
      <c r="G3603" s="60"/>
      <c r="H3603" s="60"/>
      <c r="I3603" s="60"/>
      <c r="J3603" s="60"/>
      <c r="K3603" s="60"/>
      <c r="L3603" s="60"/>
      <c r="M3603" s="64"/>
      <c r="N3603" s="33"/>
    </row>
    <row r="3604" ht="24" customHeight="1" spans="2:14">
      <c r="B3604" s="33"/>
      <c r="C3604" s="60"/>
      <c r="D3604" s="60"/>
      <c r="E3604" s="60"/>
      <c r="F3604" s="60"/>
      <c r="G3604" s="60"/>
      <c r="H3604" s="60"/>
      <c r="I3604" s="60"/>
      <c r="J3604" s="60"/>
      <c r="K3604" s="60"/>
      <c r="L3604" s="60"/>
      <c r="M3604" s="64"/>
      <c r="N3604" s="33"/>
    </row>
    <row r="3605" ht="24" customHeight="1" spans="2:14">
      <c r="B3605" s="33"/>
      <c r="C3605" s="60"/>
      <c r="D3605" s="60"/>
      <c r="E3605" s="60"/>
      <c r="F3605" s="60"/>
      <c r="G3605" s="60"/>
      <c r="H3605" s="60"/>
      <c r="I3605" s="60"/>
      <c r="J3605" s="60"/>
      <c r="K3605" s="60"/>
      <c r="L3605" s="60"/>
      <c r="M3605" s="64"/>
      <c r="N3605" s="33"/>
    </row>
    <row r="3606" ht="24" customHeight="1" spans="2:14">
      <c r="B3606" s="33"/>
      <c r="C3606" s="60"/>
      <c r="D3606" s="60"/>
      <c r="E3606" s="60"/>
      <c r="F3606" s="60"/>
      <c r="G3606" s="60"/>
      <c r="H3606" s="60"/>
      <c r="I3606" s="60"/>
      <c r="J3606" s="60"/>
      <c r="K3606" s="60"/>
      <c r="L3606" s="60"/>
      <c r="M3606" s="64"/>
      <c r="N3606" s="33"/>
    </row>
    <row r="3607" ht="24" customHeight="1" spans="2:14">
      <c r="B3607" s="33"/>
      <c r="C3607" s="60"/>
      <c r="D3607" s="60"/>
      <c r="E3607" s="60"/>
      <c r="F3607" s="60"/>
      <c r="G3607" s="60"/>
      <c r="H3607" s="60"/>
      <c r="I3607" s="60"/>
      <c r="J3607" s="60"/>
      <c r="K3607" s="60"/>
      <c r="L3607" s="60"/>
      <c r="M3607" s="64"/>
      <c r="N3607" s="33"/>
    </row>
    <row r="3608" ht="24" customHeight="1" spans="2:14">
      <c r="B3608" s="33"/>
      <c r="C3608" s="60"/>
      <c r="D3608" s="60"/>
      <c r="E3608" s="60"/>
      <c r="F3608" s="60"/>
      <c r="G3608" s="60"/>
      <c r="H3608" s="60"/>
      <c r="I3608" s="60"/>
      <c r="J3608" s="60"/>
      <c r="K3608" s="60"/>
      <c r="L3608" s="60"/>
      <c r="M3608" s="64"/>
      <c r="N3608" s="33"/>
    </row>
    <row r="3609" ht="24" customHeight="1" spans="2:14">
      <c r="B3609" s="33"/>
      <c r="C3609" s="60"/>
      <c r="D3609" s="60"/>
      <c r="E3609" s="60"/>
      <c r="F3609" s="60"/>
      <c r="G3609" s="60"/>
      <c r="H3609" s="60"/>
      <c r="I3609" s="60"/>
      <c r="J3609" s="60"/>
      <c r="K3609" s="60"/>
      <c r="L3609" s="60"/>
      <c r="M3609" s="64"/>
      <c r="N3609" s="33"/>
    </row>
    <row r="3610" ht="24" customHeight="1" spans="2:14">
      <c r="B3610" s="33"/>
      <c r="C3610" s="60"/>
      <c r="D3610" s="60"/>
      <c r="E3610" s="60"/>
      <c r="F3610" s="60"/>
      <c r="G3610" s="60"/>
      <c r="H3610" s="60"/>
      <c r="I3610" s="60"/>
      <c r="J3610" s="60"/>
      <c r="K3610" s="60"/>
      <c r="L3610" s="60"/>
      <c r="M3610" s="64"/>
      <c r="N3610" s="33"/>
    </row>
    <row r="3611" ht="24" customHeight="1" spans="2:14">
      <c r="B3611" s="33"/>
      <c r="C3611" s="60"/>
      <c r="D3611" s="60"/>
      <c r="E3611" s="60"/>
      <c r="F3611" s="60"/>
      <c r="G3611" s="60"/>
      <c r="H3611" s="60"/>
      <c r="I3611" s="60"/>
      <c r="J3611" s="60"/>
      <c r="K3611" s="60"/>
      <c r="L3611" s="60"/>
      <c r="M3611" s="64"/>
      <c r="N3611" s="33"/>
    </row>
    <row r="3612" ht="24" customHeight="1" spans="2:14">
      <c r="B3612" s="33"/>
      <c r="C3612" s="60"/>
      <c r="D3612" s="60"/>
      <c r="E3612" s="60"/>
      <c r="F3612" s="60"/>
      <c r="G3612" s="60"/>
      <c r="H3612" s="60"/>
      <c r="I3612" s="60"/>
      <c r="J3612" s="60"/>
      <c r="K3612" s="60"/>
      <c r="L3612" s="60"/>
      <c r="M3612" s="64"/>
      <c r="N3612" s="33"/>
    </row>
    <row r="3613" ht="24" customHeight="1" spans="2:14">
      <c r="B3613" s="33"/>
      <c r="C3613" s="60"/>
      <c r="D3613" s="60"/>
      <c r="E3613" s="60"/>
      <c r="F3613" s="60"/>
      <c r="G3613" s="60"/>
      <c r="H3613" s="60"/>
      <c r="I3613" s="60"/>
      <c r="J3613" s="60"/>
      <c r="K3613" s="60"/>
      <c r="L3613" s="60"/>
      <c r="M3613" s="64"/>
      <c r="N3613" s="33"/>
    </row>
    <row r="3614" ht="24" customHeight="1" spans="2:14">
      <c r="B3614" s="33"/>
      <c r="C3614" s="60"/>
      <c r="D3614" s="60"/>
      <c r="E3614" s="60"/>
      <c r="F3614" s="60"/>
      <c r="G3614" s="60"/>
      <c r="H3614" s="60"/>
      <c r="I3614" s="60"/>
      <c r="J3614" s="60"/>
      <c r="K3614" s="60"/>
      <c r="L3614" s="60"/>
      <c r="M3614" s="64"/>
      <c r="N3614" s="33"/>
    </row>
    <row r="3615" ht="24" customHeight="1" spans="2:14">
      <c r="B3615" s="33"/>
      <c r="C3615" s="60"/>
      <c r="D3615" s="60"/>
      <c r="E3615" s="60"/>
      <c r="F3615" s="60"/>
      <c r="G3615" s="60"/>
      <c r="H3615" s="60"/>
      <c r="I3615" s="60"/>
      <c r="J3615" s="60"/>
      <c r="K3615" s="60"/>
      <c r="L3615" s="60"/>
      <c r="M3615" s="64"/>
      <c r="N3615" s="33"/>
    </row>
    <row r="3616" ht="24" customHeight="1" spans="2:14">
      <c r="B3616" s="33"/>
      <c r="C3616" s="60"/>
      <c r="D3616" s="60"/>
      <c r="E3616" s="60"/>
      <c r="F3616" s="60"/>
      <c r="G3616" s="60"/>
      <c r="H3616" s="60"/>
      <c r="I3616" s="60"/>
      <c r="J3616" s="60"/>
      <c r="K3616" s="60"/>
      <c r="L3616" s="60"/>
      <c r="M3616" s="64"/>
      <c r="N3616" s="33"/>
    </row>
    <row r="3617" ht="24" customHeight="1" spans="2:14">
      <c r="B3617" s="33"/>
      <c r="C3617" s="60"/>
      <c r="D3617" s="60"/>
      <c r="E3617" s="60"/>
      <c r="F3617" s="60"/>
      <c r="G3617" s="60"/>
      <c r="H3617" s="60"/>
      <c r="I3617" s="60"/>
      <c r="J3617" s="60"/>
      <c r="K3617" s="60"/>
      <c r="L3617" s="60"/>
      <c r="M3617" s="64"/>
      <c r="N3617" s="33"/>
    </row>
    <row r="3618" ht="24" customHeight="1" spans="2:14">
      <c r="B3618" s="33"/>
      <c r="C3618" s="60"/>
      <c r="D3618" s="60"/>
      <c r="E3618" s="60"/>
      <c r="F3618" s="60"/>
      <c r="G3618" s="60"/>
      <c r="H3618" s="60"/>
      <c r="I3618" s="60"/>
      <c r="J3618" s="60"/>
      <c r="K3618" s="60"/>
      <c r="L3618" s="60"/>
      <c r="M3618" s="64"/>
      <c r="N3618" s="33"/>
    </row>
    <row r="3619" ht="24" customHeight="1" spans="2:14">
      <c r="B3619" s="33"/>
      <c r="C3619" s="60"/>
      <c r="D3619" s="60"/>
      <c r="E3619" s="60"/>
      <c r="F3619" s="60"/>
      <c r="G3619" s="60"/>
      <c r="H3619" s="60"/>
      <c r="I3619" s="60"/>
      <c r="J3619" s="60"/>
      <c r="K3619" s="60"/>
      <c r="L3619" s="60"/>
      <c r="M3619" s="64"/>
      <c r="N3619" s="33"/>
    </row>
    <row r="3620" ht="24" customHeight="1" spans="2:14">
      <c r="B3620" s="33"/>
      <c r="C3620" s="60"/>
      <c r="D3620" s="60"/>
      <c r="E3620" s="60"/>
      <c r="F3620" s="60"/>
      <c r="G3620" s="60"/>
      <c r="H3620" s="60"/>
      <c r="I3620" s="60"/>
      <c r="J3620" s="60"/>
      <c r="K3620" s="60"/>
      <c r="L3620" s="60"/>
      <c r="M3620" s="64"/>
      <c r="N3620" s="33"/>
    </row>
    <row r="3621" ht="24" customHeight="1" spans="2:14">
      <c r="B3621" s="33"/>
      <c r="C3621" s="60"/>
      <c r="D3621" s="60"/>
      <c r="E3621" s="60"/>
      <c r="F3621" s="60"/>
      <c r="G3621" s="60"/>
      <c r="H3621" s="60"/>
      <c r="I3621" s="60"/>
      <c r="J3621" s="60"/>
      <c r="K3621" s="60"/>
      <c r="L3621" s="60"/>
      <c r="M3621" s="64"/>
      <c r="N3621" s="33"/>
    </row>
    <row r="3622" ht="24" customHeight="1" spans="2:14">
      <c r="B3622" s="33"/>
      <c r="C3622" s="60"/>
      <c r="D3622" s="60"/>
      <c r="E3622" s="60"/>
      <c r="F3622" s="60"/>
      <c r="G3622" s="60"/>
      <c r="H3622" s="60"/>
      <c r="I3622" s="60"/>
      <c r="J3622" s="60"/>
      <c r="K3622" s="60"/>
      <c r="L3622" s="60"/>
      <c r="M3622" s="64"/>
      <c r="N3622" s="33"/>
    </row>
    <row r="3623" ht="24" customHeight="1" spans="2:14">
      <c r="B3623" s="33"/>
      <c r="C3623" s="60"/>
      <c r="D3623" s="60"/>
      <c r="E3623" s="60"/>
      <c r="F3623" s="60"/>
      <c r="G3623" s="60"/>
      <c r="H3623" s="60"/>
      <c r="I3623" s="60"/>
      <c r="J3623" s="60"/>
      <c r="K3623" s="60"/>
      <c r="L3623" s="60"/>
      <c r="M3623" s="64"/>
      <c r="N3623" s="33"/>
    </row>
    <row r="3624" ht="24" customHeight="1" spans="2:14">
      <c r="B3624" s="33"/>
      <c r="C3624" s="60"/>
      <c r="D3624" s="60"/>
      <c r="E3624" s="60"/>
      <c r="F3624" s="60"/>
      <c r="G3624" s="60"/>
      <c r="H3624" s="60"/>
      <c r="I3624" s="60"/>
      <c r="J3624" s="60"/>
      <c r="K3624" s="60"/>
      <c r="L3624" s="60"/>
      <c r="M3624" s="64"/>
      <c r="N3624" s="33"/>
    </row>
    <row r="3625" ht="24" customHeight="1" spans="2:14">
      <c r="B3625" s="33"/>
      <c r="C3625" s="60"/>
      <c r="D3625" s="60"/>
      <c r="E3625" s="60"/>
      <c r="F3625" s="60"/>
      <c r="G3625" s="60"/>
      <c r="H3625" s="60"/>
      <c r="I3625" s="60"/>
      <c r="J3625" s="60"/>
      <c r="K3625" s="60"/>
      <c r="L3625" s="60"/>
      <c r="M3625" s="64"/>
      <c r="N3625" s="33"/>
    </row>
    <row r="3626" ht="24" customHeight="1" spans="2:14">
      <c r="B3626" s="33"/>
      <c r="C3626" s="60"/>
      <c r="D3626" s="60"/>
      <c r="E3626" s="60"/>
      <c r="F3626" s="60"/>
      <c r="G3626" s="60"/>
      <c r="H3626" s="60"/>
      <c r="I3626" s="60"/>
      <c r="J3626" s="60"/>
      <c r="K3626" s="60"/>
      <c r="L3626" s="60"/>
      <c r="M3626" s="64"/>
      <c r="N3626" s="33"/>
    </row>
    <row r="3627" ht="24" customHeight="1" spans="2:14">
      <c r="B3627" s="33"/>
      <c r="C3627" s="60"/>
      <c r="D3627" s="60"/>
      <c r="E3627" s="60"/>
      <c r="F3627" s="60"/>
      <c r="G3627" s="60"/>
      <c r="H3627" s="60"/>
      <c r="I3627" s="60"/>
      <c r="J3627" s="60"/>
      <c r="K3627" s="60"/>
      <c r="L3627" s="60"/>
      <c r="M3627" s="64"/>
      <c r="N3627" s="33"/>
    </row>
    <row r="3628" ht="24" customHeight="1" spans="2:14">
      <c r="B3628" s="33"/>
      <c r="C3628" s="60"/>
      <c r="D3628" s="60"/>
      <c r="E3628" s="60"/>
      <c r="F3628" s="60"/>
      <c r="G3628" s="60"/>
      <c r="H3628" s="60"/>
      <c r="I3628" s="60"/>
      <c r="J3628" s="60"/>
      <c r="K3628" s="60"/>
      <c r="L3628" s="60"/>
      <c r="M3628" s="64"/>
      <c r="N3628" s="33"/>
    </row>
    <row r="3629" ht="24" customHeight="1" spans="2:14">
      <c r="B3629" s="33"/>
      <c r="C3629" s="60"/>
      <c r="D3629" s="60"/>
      <c r="E3629" s="60"/>
      <c r="F3629" s="60"/>
      <c r="G3629" s="60"/>
      <c r="H3629" s="60"/>
      <c r="I3629" s="60"/>
      <c r="J3629" s="60"/>
      <c r="K3629" s="60"/>
      <c r="L3629" s="60"/>
      <c r="M3629" s="64"/>
      <c r="N3629" s="33"/>
    </row>
    <row r="3630" ht="24" customHeight="1" spans="2:14">
      <c r="B3630" s="33"/>
      <c r="C3630" s="60"/>
      <c r="D3630" s="60"/>
      <c r="E3630" s="60"/>
      <c r="F3630" s="60"/>
      <c r="G3630" s="60"/>
      <c r="H3630" s="60"/>
      <c r="I3630" s="60"/>
      <c r="J3630" s="60"/>
      <c r="K3630" s="60"/>
      <c r="L3630" s="60"/>
      <c r="M3630" s="64"/>
      <c r="N3630" s="33"/>
    </row>
    <row r="3631" ht="24" customHeight="1" spans="2:14">
      <c r="B3631" s="33"/>
      <c r="C3631" s="60"/>
      <c r="D3631" s="60"/>
      <c r="E3631" s="60"/>
      <c r="F3631" s="60"/>
      <c r="G3631" s="60"/>
      <c r="H3631" s="60"/>
      <c r="I3631" s="60"/>
      <c r="J3631" s="60"/>
      <c r="K3631" s="60"/>
      <c r="L3631" s="60"/>
      <c r="M3631" s="64"/>
      <c r="N3631" s="33"/>
    </row>
    <row r="3632" ht="24" customHeight="1" spans="2:14">
      <c r="B3632" s="33"/>
      <c r="C3632" s="60"/>
      <c r="D3632" s="60"/>
      <c r="E3632" s="60"/>
      <c r="F3632" s="60"/>
      <c r="G3632" s="60"/>
      <c r="H3632" s="60"/>
      <c r="I3632" s="60"/>
      <c r="J3632" s="60"/>
      <c r="K3632" s="60"/>
      <c r="L3632" s="60"/>
      <c r="M3632" s="64"/>
      <c r="N3632" s="33"/>
    </row>
    <row r="3633" ht="24" customHeight="1" spans="2:14">
      <c r="B3633" s="33"/>
      <c r="C3633" s="60"/>
      <c r="D3633" s="60"/>
      <c r="E3633" s="60"/>
      <c r="F3633" s="60"/>
      <c r="G3633" s="60"/>
      <c r="H3633" s="60"/>
      <c r="I3633" s="60"/>
      <c r="J3633" s="60"/>
      <c r="K3633" s="60"/>
      <c r="L3633" s="60"/>
      <c r="M3633" s="64"/>
      <c r="N3633" s="33"/>
    </row>
    <row r="3634" ht="24" customHeight="1" spans="2:14">
      <c r="B3634" s="33"/>
      <c r="C3634" s="60"/>
      <c r="D3634" s="60"/>
      <c r="E3634" s="60"/>
      <c r="F3634" s="60"/>
      <c r="G3634" s="60"/>
      <c r="H3634" s="60"/>
      <c r="I3634" s="60"/>
      <c r="J3634" s="60"/>
      <c r="K3634" s="60"/>
      <c r="L3634" s="60"/>
      <c r="M3634" s="64"/>
      <c r="N3634" s="33"/>
    </row>
    <row r="3635" ht="24" customHeight="1" spans="2:14">
      <c r="B3635" s="33"/>
      <c r="C3635" s="60"/>
      <c r="D3635" s="60"/>
      <c r="E3635" s="60"/>
      <c r="F3635" s="60"/>
      <c r="G3635" s="60"/>
      <c r="H3635" s="60"/>
      <c r="I3635" s="60"/>
      <c r="J3635" s="60"/>
      <c r="K3635" s="60"/>
      <c r="L3635" s="60"/>
      <c r="M3635" s="64"/>
      <c r="N3635" s="33"/>
    </row>
    <row r="3636" ht="24" customHeight="1" spans="2:14">
      <c r="B3636" s="33"/>
      <c r="C3636" s="60"/>
      <c r="D3636" s="60"/>
      <c r="E3636" s="60"/>
      <c r="F3636" s="60"/>
      <c r="G3636" s="60"/>
      <c r="H3636" s="60"/>
      <c r="I3636" s="60"/>
      <c r="J3636" s="60"/>
      <c r="K3636" s="60"/>
      <c r="L3636" s="60"/>
      <c r="M3636" s="64"/>
      <c r="N3636" s="33"/>
    </row>
    <row r="3637" ht="24" customHeight="1" spans="2:14">
      <c r="B3637" s="33"/>
      <c r="C3637" s="60"/>
      <c r="D3637" s="60"/>
      <c r="E3637" s="60"/>
      <c r="F3637" s="60"/>
      <c r="G3637" s="60"/>
      <c r="H3637" s="60"/>
      <c r="I3637" s="60"/>
      <c r="J3637" s="60"/>
      <c r="K3637" s="60"/>
      <c r="L3637" s="60"/>
      <c r="M3637" s="64"/>
      <c r="N3637" s="33"/>
    </row>
    <row r="3638" ht="24" customHeight="1" spans="2:14">
      <c r="B3638" s="33"/>
      <c r="C3638" s="60"/>
      <c r="D3638" s="60"/>
      <c r="E3638" s="60"/>
      <c r="F3638" s="60"/>
      <c r="G3638" s="60"/>
      <c r="H3638" s="60"/>
      <c r="I3638" s="60"/>
      <c r="J3638" s="60"/>
      <c r="K3638" s="60"/>
      <c r="L3638" s="60"/>
      <c r="M3638" s="64"/>
      <c r="N3638" s="33"/>
    </row>
    <row r="3639" ht="24" customHeight="1" spans="2:14">
      <c r="B3639" s="33"/>
      <c r="C3639" s="60"/>
      <c r="D3639" s="60"/>
      <c r="E3639" s="60"/>
      <c r="F3639" s="60"/>
      <c r="G3639" s="60"/>
      <c r="H3639" s="60"/>
      <c r="I3639" s="60"/>
      <c r="J3639" s="60"/>
      <c r="K3639" s="60"/>
      <c r="L3639" s="60"/>
      <c r="M3639" s="64"/>
      <c r="N3639" s="33"/>
    </row>
    <row r="3640" ht="24" customHeight="1" spans="2:14">
      <c r="B3640" s="33"/>
      <c r="C3640" s="60"/>
      <c r="D3640" s="60"/>
      <c r="E3640" s="60"/>
      <c r="F3640" s="60"/>
      <c r="G3640" s="60"/>
      <c r="H3640" s="60"/>
      <c r="I3640" s="60"/>
      <c r="J3640" s="60"/>
      <c r="K3640" s="60"/>
      <c r="L3640" s="60"/>
      <c r="M3640" s="64"/>
      <c r="N3640" s="33"/>
    </row>
    <row r="3641" ht="24" customHeight="1" spans="2:14">
      <c r="B3641" s="33"/>
      <c r="C3641" s="60"/>
      <c r="D3641" s="60"/>
      <c r="E3641" s="60"/>
      <c r="F3641" s="60"/>
      <c r="G3641" s="60"/>
      <c r="H3641" s="60"/>
      <c r="I3641" s="60"/>
      <c r="J3641" s="60"/>
      <c r="K3641" s="60"/>
      <c r="L3641" s="60"/>
      <c r="M3641" s="64"/>
      <c r="N3641" s="33"/>
    </row>
    <row r="3642" ht="24" customHeight="1" spans="2:14">
      <c r="B3642" s="33"/>
      <c r="C3642" s="60"/>
      <c r="D3642" s="60"/>
      <c r="E3642" s="60"/>
      <c r="F3642" s="60"/>
      <c r="G3642" s="60"/>
      <c r="H3642" s="60"/>
      <c r="I3642" s="60"/>
      <c r="J3642" s="60"/>
      <c r="K3642" s="60"/>
      <c r="L3642" s="60"/>
      <c r="M3642" s="64"/>
      <c r="N3642" s="33"/>
    </row>
    <row r="3643" ht="24" customHeight="1" spans="2:14">
      <c r="B3643" s="33"/>
      <c r="C3643" s="60"/>
      <c r="D3643" s="60"/>
      <c r="E3643" s="60"/>
      <c r="F3643" s="60"/>
      <c r="G3643" s="60"/>
      <c r="H3643" s="60"/>
      <c r="I3643" s="60"/>
      <c r="J3643" s="60"/>
      <c r="K3643" s="60"/>
      <c r="L3643" s="60"/>
      <c r="M3643" s="64"/>
      <c r="N3643" s="33"/>
    </row>
    <row r="3644" ht="24" customHeight="1" spans="2:14">
      <c r="B3644" s="33"/>
      <c r="C3644" s="60"/>
      <c r="D3644" s="60"/>
      <c r="E3644" s="60"/>
      <c r="F3644" s="60"/>
      <c r="G3644" s="60"/>
      <c r="H3644" s="60"/>
      <c r="I3644" s="60"/>
      <c r="J3644" s="60"/>
      <c r="K3644" s="60"/>
      <c r="L3644" s="60"/>
      <c r="M3644" s="64"/>
      <c r="N3644" s="33"/>
    </row>
    <row r="3645" ht="24" customHeight="1" spans="2:14">
      <c r="B3645" s="33"/>
      <c r="C3645" s="60"/>
      <c r="D3645" s="60"/>
      <c r="E3645" s="60"/>
      <c r="F3645" s="60"/>
      <c r="G3645" s="60"/>
      <c r="H3645" s="60"/>
      <c r="I3645" s="60"/>
      <c r="J3645" s="60"/>
      <c r="K3645" s="60"/>
      <c r="L3645" s="60"/>
      <c r="M3645" s="64"/>
      <c r="N3645" s="33"/>
    </row>
    <row r="3646" ht="24" customHeight="1" spans="2:14">
      <c r="B3646" s="33"/>
      <c r="C3646" s="60"/>
      <c r="D3646" s="60"/>
      <c r="E3646" s="60"/>
      <c r="F3646" s="60"/>
      <c r="G3646" s="60"/>
      <c r="H3646" s="60"/>
      <c r="I3646" s="60"/>
      <c r="J3646" s="60"/>
      <c r="K3646" s="60"/>
      <c r="L3646" s="60"/>
      <c r="M3646" s="64"/>
      <c r="N3646" s="33"/>
    </row>
    <row r="3647" ht="24" customHeight="1" spans="2:14">
      <c r="B3647" s="33"/>
      <c r="C3647" s="60"/>
      <c r="D3647" s="60"/>
      <c r="E3647" s="60"/>
      <c r="F3647" s="60"/>
      <c r="G3647" s="60"/>
      <c r="H3647" s="60"/>
      <c r="I3647" s="60"/>
      <c r="J3647" s="60"/>
      <c r="K3647" s="60"/>
      <c r="L3647" s="60"/>
      <c r="M3647" s="64"/>
      <c r="N3647" s="33"/>
    </row>
    <row r="3648" ht="24" customHeight="1" spans="2:14">
      <c r="B3648" s="33"/>
      <c r="C3648" s="60"/>
      <c r="D3648" s="60"/>
      <c r="E3648" s="60"/>
      <c r="F3648" s="60"/>
      <c r="G3648" s="60"/>
      <c r="H3648" s="60"/>
      <c r="I3648" s="60"/>
      <c r="J3648" s="60"/>
      <c r="K3648" s="60"/>
      <c r="L3648" s="60"/>
      <c r="M3648" s="64"/>
      <c r="N3648" s="33"/>
    </row>
    <row r="3649" ht="24" customHeight="1" spans="2:14">
      <c r="B3649" s="33"/>
      <c r="C3649" s="60"/>
      <c r="D3649" s="60"/>
      <c r="E3649" s="60"/>
      <c r="F3649" s="60"/>
      <c r="G3649" s="60"/>
      <c r="H3649" s="60"/>
      <c r="I3649" s="60"/>
      <c r="J3649" s="60"/>
      <c r="K3649" s="60"/>
      <c r="L3649" s="60"/>
      <c r="M3649" s="64"/>
      <c r="N3649" s="33"/>
    </row>
    <row r="3650" ht="24" customHeight="1" spans="2:14">
      <c r="B3650" s="33"/>
      <c r="C3650" s="60"/>
      <c r="D3650" s="60"/>
      <c r="E3650" s="60"/>
      <c r="F3650" s="60"/>
      <c r="G3650" s="60"/>
      <c r="H3650" s="60"/>
      <c r="I3650" s="60"/>
      <c r="J3650" s="60"/>
      <c r="K3650" s="60"/>
      <c r="L3650" s="60"/>
      <c r="M3650" s="64"/>
      <c r="N3650" s="33"/>
    </row>
    <row r="3651" ht="24" customHeight="1" spans="2:14">
      <c r="B3651" s="33"/>
      <c r="C3651" s="60"/>
      <c r="D3651" s="60"/>
      <c r="E3651" s="60"/>
      <c r="F3651" s="60"/>
      <c r="G3651" s="60"/>
      <c r="H3651" s="60"/>
      <c r="I3651" s="60"/>
      <c r="J3651" s="60"/>
      <c r="K3651" s="60"/>
      <c r="L3651" s="60"/>
      <c r="M3651" s="64"/>
      <c r="N3651" s="33"/>
    </row>
    <row r="3652" ht="24" customHeight="1" spans="2:14">
      <c r="B3652" s="33"/>
      <c r="C3652" s="60"/>
      <c r="D3652" s="60"/>
      <c r="E3652" s="60"/>
      <c r="F3652" s="60"/>
      <c r="G3652" s="60"/>
      <c r="H3652" s="60"/>
      <c r="I3652" s="60"/>
      <c r="J3652" s="60"/>
      <c r="K3652" s="60"/>
      <c r="L3652" s="60"/>
      <c r="M3652" s="64"/>
      <c r="N3652" s="33"/>
    </row>
    <row r="3653" ht="24" customHeight="1" spans="2:14">
      <c r="B3653" s="33"/>
      <c r="C3653" s="60"/>
      <c r="D3653" s="60"/>
      <c r="E3653" s="60"/>
      <c r="F3653" s="60"/>
      <c r="G3653" s="60"/>
      <c r="H3653" s="60"/>
      <c r="I3653" s="60"/>
      <c r="J3653" s="60"/>
      <c r="K3653" s="60"/>
      <c r="L3653" s="60"/>
      <c r="M3653" s="64"/>
      <c r="N3653" s="33"/>
    </row>
    <row r="3654" ht="24" customHeight="1" spans="2:14">
      <c r="B3654" s="33"/>
      <c r="C3654" s="60"/>
      <c r="D3654" s="60"/>
      <c r="E3654" s="60"/>
      <c r="F3654" s="60"/>
      <c r="G3654" s="60"/>
      <c r="H3654" s="60"/>
      <c r="I3654" s="60"/>
      <c r="J3654" s="60"/>
      <c r="K3654" s="60"/>
      <c r="L3654" s="60"/>
      <c r="M3654" s="64"/>
      <c r="N3654" s="33"/>
    </row>
    <row r="3655" ht="24" customHeight="1" spans="2:14">
      <c r="B3655" s="33"/>
      <c r="C3655" s="60"/>
      <c r="D3655" s="60"/>
      <c r="E3655" s="60"/>
      <c r="F3655" s="60"/>
      <c r="G3655" s="60"/>
      <c r="H3655" s="60"/>
      <c r="I3655" s="60"/>
      <c r="J3655" s="60"/>
      <c r="K3655" s="60"/>
      <c r="L3655" s="60"/>
      <c r="M3655" s="64"/>
      <c r="N3655" s="33"/>
    </row>
    <row r="3656" ht="24" customHeight="1" spans="2:14">
      <c r="B3656" s="33"/>
      <c r="C3656" s="60"/>
      <c r="D3656" s="60"/>
      <c r="E3656" s="60"/>
      <c r="F3656" s="60"/>
      <c r="G3656" s="60"/>
      <c r="H3656" s="60"/>
      <c r="I3656" s="60"/>
      <c r="J3656" s="60"/>
      <c r="K3656" s="60"/>
      <c r="L3656" s="60"/>
      <c r="M3656" s="64"/>
      <c r="N3656" s="33"/>
    </row>
    <row r="3657" ht="24" customHeight="1" spans="2:14">
      <c r="B3657" s="33"/>
      <c r="C3657" s="60"/>
      <c r="D3657" s="60"/>
      <c r="E3657" s="60"/>
      <c r="F3657" s="60"/>
      <c r="G3657" s="60"/>
      <c r="H3657" s="60"/>
      <c r="I3657" s="60"/>
      <c r="J3657" s="60"/>
      <c r="K3657" s="60"/>
      <c r="L3657" s="60"/>
      <c r="M3657" s="64"/>
      <c r="N3657" s="33"/>
    </row>
    <row r="3658" ht="24" customHeight="1" spans="2:14">
      <c r="B3658" s="33"/>
      <c r="C3658" s="60"/>
      <c r="D3658" s="60"/>
      <c r="E3658" s="60"/>
      <c r="F3658" s="60"/>
      <c r="G3658" s="60"/>
      <c r="H3658" s="60"/>
      <c r="I3658" s="60"/>
      <c r="J3658" s="60"/>
      <c r="K3658" s="60"/>
      <c r="L3658" s="60"/>
      <c r="M3658" s="64"/>
      <c r="N3658" s="33"/>
    </row>
    <row r="3659" ht="24" customHeight="1" spans="2:14">
      <c r="B3659" s="33"/>
      <c r="C3659" s="60"/>
      <c r="D3659" s="60"/>
      <c r="E3659" s="60"/>
      <c r="F3659" s="60"/>
      <c r="G3659" s="60"/>
      <c r="H3659" s="60"/>
      <c r="I3659" s="60"/>
      <c r="J3659" s="60"/>
      <c r="K3659" s="60"/>
      <c r="L3659" s="60"/>
      <c r="M3659" s="64"/>
      <c r="N3659" s="33"/>
    </row>
    <row r="3660" ht="24" customHeight="1" spans="2:14">
      <c r="B3660" s="33"/>
      <c r="C3660" s="60"/>
      <c r="D3660" s="60"/>
      <c r="E3660" s="60"/>
      <c r="F3660" s="60"/>
      <c r="G3660" s="60"/>
      <c r="H3660" s="60"/>
      <c r="I3660" s="60"/>
      <c r="J3660" s="60"/>
      <c r="K3660" s="60"/>
      <c r="L3660" s="60"/>
      <c r="M3660" s="64"/>
      <c r="N3660" s="33"/>
    </row>
    <row r="3661" ht="24" customHeight="1" spans="2:14">
      <c r="B3661" s="33"/>
      <c r="C3661" s="60"/>
      <c r="D3661" s="60"/>
      <c r="E3661" s="60"/>
      <c r="F3661" s="60"/>
      <c r="G3661" s="60"/>
      <c r="H3661" s="60"/>
      <c r="I3661" s="60"/>
      <c r="J3661" s="60"/>
      <c r="K3661" s="60"/>
      <c r="L3661" s="60"/>
      <c r="M3661" s="64"/>
      <c r="N3661" s="33"/>
    </row>
    <row r="3662" ht="24" customHeight="1" spans="2:14">
      <c r="B3662" s="33"/>
      <c r="C3662" s="60"/>
      <c r="D3662" s="60"/>
      <c r="E3662" s="60"/>
      <c r="F3662" s="60"/>
      <c r="G3662" s="60"/>
      <c r="H3662" s="60"/>
      <c r="I3662" s="60"/>
      <c r="J3662" s="60"/>
      <c r="K3662" s="60"/>
      <c r="L3662" s="60"/>
      <c r="M3662" s="64"/>
      <c r="N3662" s="33"/>
    </row>
    <row r="3663" ht="24" customHeight="1" spans="2:14">
      <c r="B3663" s="33"/>
      <c r="C3663" s="60"/>
      <c r="D3663" s="60"/>
      <c r="E3663" s="60"/>
      <c r="F3663" s="60"/>
      <c r="G3663" s="60"/>
      <c r="H3663" s="60"/>
      <c r="I3663" s="60"/>
      <c r="J3663" s="60"/>
      <c r="K3663" s="60"/>
      <c r="L3663" s="60"/>
      <c r="M3663" s="64"/>
      <c r="N3663" s="33"/>
    </row>
    <row r="3664" ht="24" customHeight="1" spans="2:14">
      <c r="B3664" s="33"/>
      <c r="C3664" s="60"/>
      <c r="D3664" s="60"/>
      <c r="E3664" s="60"/>
      <c r="F3664" s="60"/>
      <c r="G3664" s="60"/>
      <c r="H3664" s="60"/>
      <c r="I3664" s="60"/>
      <c r="J3664" s="60"/>
      <c r="K3664" s="60"/>
      <c r="L3664" s="60"/>
      <c r="M3664" s="64"/>
      <c r="N3664" s="33"/>
    </row>
    <row r="3665" ht="24" customHeight="1" spans="2:14">
      <c r="B3665" s="33"/>
      <c r="C3665" s="60"/>
      <c r="D3665" s="60"/>
      <c r="E3665" s="60"/>
      <c r="F3665" s="60"/>
      <c r="G3665" s="60"/>
      <c r="H3665" s="60"/>
      <c r="I3665" s="60"/>
      <c r="J3665" s="60"/>
      <c r="K3665" s="60"/>
      <c r="L3665" s="60"/>
      <c r="M3665" s="64"/>
      <c r="N3665" s="33"/>
    </row>
    <row r="3666" ht="24" customHeight="1" spans="2:14">
      <c r="B3666" s="33"/>
      <c r="C3666" s="60"/>
      <c r="D3666" s="60"/>
      <c r="E3666" s="60"/>
      <c r="F3666" s="60"/>
      <c r="G3666" s="60"/>
      <c r="H3666" s="60"/>
      <c r="I3666" s="60"/>
      <c r="J3666" s="60"/>
      <c r="K3666" s="60"/>
      <c r="L3666" s="60"/>
      <c r="M3666" s="64"/>
      <c r="N3666" s="33"/>
    </row>
    <row r="3667" ht="24" customHeight="1" spans="2:14">
      <c r="B3667" s="33"/>
      <c r="C3667" s="60"/>
      <c r="D3667" s="60"/>
      <c r="E3667" s="60"/>
      <c r="F3667" s="60"/>
      <c r="G3667" s="60"/>
      <c r="H3667" s="60"/>
      <c r="I3667" s="60"/>
      <c r="J3667" s="60"/>
      <c r="K3667" s="60"/>
      <c r="L3667" s="60"/>
      <c r="M3667" s="64"/>
      <c r="N3667" s="33"/>
    </row>
    <row r="3668" ht="24" customHeight="1" spans="2:14">
      <c r="B3668" s="33"/>
      <c r="C3668" s="60"/>
      <c r="D3668" s="60"/>
      <c r="E3668" s="60"/>
      <c r="F3668" s="60"/>
      <c r="G3668" s="60"/>
      <c r="H3668" s="60"/>
      <c r="I3668" s="60"/>
      <c r="J3668" s="60"/>
      <c r="K3668" s="60"/>
      <c r="L3668" s="60"/>
      <c r="M3668" s="64"/>
      <c r="N3668" s="33"/>
    </row>
    <row r="3669" ht="24" customHeight="1" spans="2:14">
      <c r="B3669" s="33"/>
      <c r="C3669" s="60"/>
      <c r="D3669" s="60"/>
      <c r="E3669" s="60"/>
      <c r="F3669" s="60"/>
      <c r="G3669" s="60"/>
      <c r="H3669" s="60"/>
      <c r="I3669" s="60"/>
      <c r="J3669" s="60"/>
      <c r="K3669" s="60"/>
      <c r="L3669" s="60"/>
      <c r="M3669" s="64"/>
      <c r="N3669" s="33"/>
    </row>
    <row r="3670" ht="24" customHeight="1" spans="2:14">
      <c r="B3670" s="33"/>
      <c r="C3670" s="60"/>
      <c r="D3670" s="60"/>
      <c r="E3670" s="60"/>
      <c r="F3670" s="60"/>
      <c r="G3670" s="60"/>
      <c r="H3670" s="60"/>
      <c r="I3670" s="60"/>
      <c r="J3670" s="60"/>
      <c r="K3670" s="60"/>
      <c r="L3670" s="60"/>
      <c r="M3670" s="64"/>
      <c r="N3670" s="33"/>
    </row>
    <row r="3671" ht="24" customHeight="1" spans="2:14">
      <c r="B3671" s="33"/>
      <c r="C3671" s="60"/>
      <c r="D3671" s="60"/>
      <c r="E3671" s="60"/>
      <c r="F3671" s="60"/>
      <c r="G3671" s="60"/>
      <c r="H3671" s="60"/>
      <c r="I3671" s="60"/>
      <c r="J3671" s="60"/>
      <c r="K3671" s="60"/>
      <c r="L3671" s="60"/>
      <c r="M3671" s="64"/>
      <c r="N3671" s="33"/>
    </row>
    <row r="3672" ht="24" customHeight="1" spans="2:14">
      <c r="B3672" s="33"/>
      <c r="C3672" s="60"/>
      <c r="D3672" s="60"/>
      <c r="E3672" s="60"/>
      <c r="F3672" s="60"/>
      <c r="G3672" s="60"/>
      <c r="H3672" s="60"/>
      <c r="I3672" s="60"/>
      <c r="J3672" s="60"/>
      <c r="K3672" s="60"/>
      <c r="L3672" s="60"/>
      <c r="M3672" s="64"/>
      <c r="N3672" s="33"/>
    </row>
    <row r="3673" ht="24" customHeight="1" spans="2:14">
      <c r="B3673" s="33"/>
      <c r="C3673" s="60"/>
      <c r="D3673" s="60"/>
      <c r="E3673" s="60"/>
      <c r="F3673" s="60"/>
      <c r="G3673" s="60"/>
      <c r="H3673" s="60"/>
      <c r="I3673" s="60"/>
      <c r="J3673" s="60"/>
      <c r="K3673" s="60"/>
      <c r="L3673" s="60"/>
      <c r="M3673" s="64"/>
      <c r="N3673" s="33"/>
    </row>
    <row r="3674" ht="24" customHeight="1" spans="2:14">
      <c r="B3674" s="33"/>
      <c r="C3674" s="60"/>
      <c r="D3674" s="60"/>
      <c r="E3674" s="60"/>
      <c r="F3674" s="60"/>
      <c r="G3674" s="60"/>
      <c r="H3674" s="60"/>
      <c r="I3674" s="60"/>
      <c r="J3674" s="60"/>
      <c r="K3674" s="60"/>
      <c r="L3674" s="60"/>
      <c r="M3674" s="64"/>
      <c r="N3674" s="33"/>
    </row>
    <row r="3675" ht="24" customHeight="1" spans="2:14">
      <c r="B3675" s="33"/>
      <c r="C3675" s="60"/>
      <c r="D3675" s="60"/>
      <c r="E3675" s="60"/>
      <c r="F3675" s="60"/>
      <c r="G3675" s="60"/>
      <c r="H3675" s="60"/>
      <c r="I3675" s="60"/>
      <c r="J3675" s="60"/>
      <c r="K3675" s="60"/>
      <c r="L3675" s="60"/>
      <c r="M3675" s="64"/>
      <c r="N3675" s="33"/>
    </row>
    <row r="3676" ht="24" customHeight="1" spans="2:14">
      <c r="B3676" s="33"/>
      <c r="C3676" s="60"/>
      <c r="D3676" s="60"/>
      <c r="E3676" s="60"/>
      <c r="F3676" s="60"/>
      <c r="G3676" s="60"/>
      <c r="H3676" s="60"/>
      <c r="I3676" s="60"/>
      <c r="J3676" s="60"/>
      <c r="K3676" s="60"/>
      <c r="L3676" s="60"/>
      <c r="M3676" s="64"/>
      <c r="N3676" s="33"/>
    </row>
    <row r="3677" ht="24" customHeight="1" spans="2:14">
      <c r="B3677" s="33"/>
      <c r="C3677" s="60"/>
      <c r="D3677" s="60"/>
      <c r="E3677" s="60"/>
      <c r="F3677" s="60"/>
      <c r="G3677" s="60"/>
      <c r="H3677" s="60"/>
      <c r="I3677" s="60"/>
      <c r="J3677" s="60"/>
      <c r="K3677" s="60"/>
      <c r="L3677" s="60"/>
      <c r="M3677" s="64"/>
      <c r="N3677" s="33"/>
    </row>
    <row r="3678" ht="24" customHeight="1" spans="2:14">
      <c r="B3678" s="33"/>
      <c r="C3678" s="60"/>
      <c r="D3678" s="60"/>
      <c r="E3678" s="60"/>
      <c r="F3678" s="60"/>
      <c r="G3678" s="60"/>
      <c r="H3678" s="60"/>
      <c r="I3678" s="60"/>
      <c r="J3678" s="60"/>
      <c r="K3678" s="60"/>
      <c r="L3678" s="60"/>
      <c r="M3678" s="64"/>
      <c r="N3678" s="33"/>
    </row>
    <row r="3679" ht="24" customHeight="1" spans="2:14">
      <c r="B3679" s="33"/>
      <c r="C3679" s="60"/>
      <c r="D3679" s="60"/>
      <c r="E3679" s="60"/>
      <c r="F3679" s="60"/>
      <c r="G3679" s="60"/>
      <c r="H3679" s="60"/>
      <c r="I3679" s="60"/>
      <c r="J3679" s="60"/>
      <c r="K3679" s="60"/>
      <c r="L3679" s="60"/>
      <c r="M3679" s="64"/>
      <c r="N3679" s="33"/>
    </row>
    <row r="3680" ht="24" customHeight="1" spans="2:14">
      <c r="B3680" s="33"/>
      <c r="C3680" s="60"/>
      <c r="D3680" s="60"/>
      <c r="E3680" s="60"/>
      <c r="F3680" s="60"/>
      <c r="G3680" s="60"/>
      <c r="H3680" s="60"/>
      <c r="I3680" s="60"/>
      <c r="J3680" s="60"/>
      <c r="K3680" s="60"/>
      <c r="L3680" s="60"/>
      <c r="M3680" s="64"/>
      <c r="N3680" s="33"/>
    </row>
    <row r="3681" ht="24" customHeight="1" spans="2:14">
      <c r="B3681" s="33"/>
      <c r="C3681" s="60"/>
      <c r="D3681" s="60"/>
      <c r="E3681" s="60"/>
      <c r="F3681" s="60"/>
      <c r="G3681" s="60"/>
      <c r="H3681" s="60"/>
      <c r="I3681" s="60"/>
      <c r="J3681" s="60"/>
      <c r="K3681" s="60"/>
      <c r="L3681" s="60"/>
      <c r="M3681" s="64"/>
      <c r="N3681" s="33"/>
    </row>
    <row r="3682" ht="24" customHeight="1" spans="2:14">
      <c r="B3682" s="33"/>
      <c r="C3682" s="60"/>
      <c r="D3682" s="60"/>
      <c r="E3682" s="60"/>
      <c r="F3682" s="60"/>
      <c r="G3682" s="60"/>
      <c r="H3682" s="60"/>
      <c r="I3682" s="60"/>
      <c r="J3682" s="60"/>
      <c r="K3682" s="60"/>
      <c r="L3682" s="60"/>
      <c r="M3682" s="64"/>
      <c r="N3682" s="33"/>
    </row>
    <row r="3683" ht="24" customHeight="1" spans="2:14">
      <c r="B3683" s="33"/>
      <c r="C3683" s="60"/>
      <c r="D3683" s="60"/>
      <c r="E3683" s="60"/>
      <c r="F3683" s="60"/>
      <c r="G3683" s="60"/>
      <c r="H3683" s="60"/>
      <c r="I3683" s="60"/>
      <c r="J3683" s="60"/>
      <c r="K3683" s="60"/>
      <c r="L3683" s="60"/>
      <c r="M3683" s="64"/>
      <c r="N3683" s="33"/>
    </row>
    <row r="3684" ht="24" customHeight="1" spans="2:14">
      <c r="B3684" s="33"/>
      <c r="C3684" s="60"/>
      <c r="D3684" s="60"/>
      <c r="E3684" s="60"/>
      <c r="F3684" s="60"/>
      <c r="G3684" s="60"/>
      <c r="H3684" s="60"/>
      <c r="I3684" s="60"/>
      <c r="J3684" s="60"/>
      <c r="K3684" s="60"/>
      <c r="L3684" s="60"/>
      <c r="M3684" s="64"/>
      <c r="N3684" s="33"/>
    </row>
    <row r="3685" ht="24" customHeight="1" spans="2:14">
      <c r="B3685" s="33"/>
      <c r="C3685" s="60"/>
      <c r="D3685" s="60"/>
      <c r="E3685" s="60"/>
      <c r="F3685" s="60"/>
      <c r="G3685" s="60"/>
      <c r="H3685" s="60"/>
      <c r="I3685" s="60"/>
      <c r="J3685" s="60"/>
      <c r="K3685" s="60"/>
      <c r="L3685" s="60"/>
      <c r="M3685" s="64"/>
      <c r="N3685" s="33"/>
    </row>
    <row r="3686" ht="24" customHeight="1" spans="2:14">
      <c r="B3686" s="33"/>
      <c r="C3686" s="60"/>
      <c r="D3686" s="60"/>
      <c r="E3686" s="60"/>
      <c r="F3686" s="60"/>
      <c r="G3686" s="60"/>
      <c r="H3686" s="60"/>
      <c r="I3686" s="60"/>
      <c r="J3686" s="60"/>
      <c r="K3686" s="60"/>
      <c r="L3686" s="60"/>
      <c r="M3686" s="64"/>
      <c r="N3686" s="33"/>
    </row>
    <row r="3687" ht="24" customHeight="1" spans="2:14">
      <c r="B3687" s="33"/>
      <c r="C3687" s="60"/>
      <c r="D3687" s="60"/>
      <c r="E3687" s="60"/>
      <c r="F3687" s="60"/>
      <c r="G3687" s="60"/>
      <c r="H3687" s="60"/>
      <c r="I3687" s="60"/>
      <c r="J3687" s="60"/>
      <c r="K3687" s="60"/>
      <c r="L3687" s="60"/>
      <c r="M3687" s="64"/>
      <c r="N3687" s="33"/>
    </row>
    <row r="3688" ht="24" customHeight="1" spans="2:14">
      <c r="B3688" s="33"/>
      <c r="C3688" s="60"/>
      <c r="D3688" s="60"/>
      <c r="E3688" s="60"/>
      <c r="F3688" s="60"/>
      <c r="G3688" s="60"/>
      <c r="H3688" s="60"/>
      <c r="I3688" s="60"/>
      <c r="J3688" s="60"/>
      <c r="K3688" s="60"/>
      <c r="L3688" s="60"/>
      <c r="M3688" s="64"/>
      <c r="N3688" s="33"/>
    </row>
    <row r="3689" ht="24" customHeight="1" spans="2:14">
      <c r="B3689" s="33"/>
      <c r="C3689" s="60"/>
      <c r="D3689" s="60"/>
      <c r="E3689" s="60"/>
      <c r="F3689" s="60"/>
      <c r="G3689" s="60"/>
      <c r="H3689" s="60"/>
      <c r="I3689" s="60"/>
      <c r="J3689" s="60"/>
      <c r="K3689" s="60"/>
      <c r="L3689" s="60"/>
      <c r="M3689" s="64"/>
      <c r="N3689" s="33"/>
    </row>
    <row r="3690" ht="24" customHeight="1" spans="2:14">
      <c r="B3690" s="33"/>
      <c r="C3690" s="60"/>
      <c r="D3690" s="60"/>
      <c r="E3690" s="60"/>
      <c r="F3690" s="60"/>
      <c r="G3690" s="60"/>
      <c r="H3690" s="60"/>
      <c r="I3690" s="60"/>
      <c r="J3690" s="60"/>
      <c r="K3690" s="60"/>
      <c r="L3690" s="60"/>
      <c r="M3690" s="64"/>
      <c r="N3690" s="33"/>
    </row>
    <row r="3691" ht="24" customHeight="1" spans="2:14">
      <c r="B3691" s="33"/>
      <c r="C3691" s="60"/>
      <c r="D3691" s="60"/>
      <c r="E3691" s="60"/>
      <c r="F3691" s="60"/>
      <c r="G3691" s="60"/>
      <c r="H3691" s="60"/>
      <c r="I3691" s="60"/>
      <c r="J3691" s="60"/>
      <c r="K3691" s="60"/>
      <c r="L3691" s="60"/>
      <c r="M3691" s="64"/>
      <c r="N3691" s="33"/>
    </row>
    <row r="3692" ht="24" customHeight="1" spans="2:14">
      <c r="B3692" s="33"/>
      <c r="C3692" s="60"/>
      <c r="D3692" s="60"/>
      <c r="E3692" s="60"/>
      <c r="F3692" s="60"/>
      <c r="G3692" s="60"/>
      <c r="H3692" s="60"/>
      <c r="I3692" s="60"/>
      <c r="J3692" s="60"/>
      <c r="K3692" s="60"/>
      <c r="L3692" s="60"/>
      <c r="M3692" s="64"/>
      <c r="N3692" s="33"/>
    </row>
    <row r="3693" ht="24" customHeight="1" spans="2:14">
      <c r="B3693" s="33"/>
      <c r="C3693" s="60"/>
      <c r="D3693" s="60"/>
      <c r="E3693" s="60"/>
      <c r="F3693" s="60"/>
      <c r="G3693" s="60"/>
      <c r="H3693" s="60"/>
      <c r="I3693" s="60"/>
      <c r="J3693" s="60"/>
      <c r="K3693" s="60"/>
      <c r="L3693" s="60"/>
      <c r="M3693" s="64"/>
      <c r="N3693" s="33"/>
    </row>
    <row r="3694" ht="24" customHeight="1" spans="2:14">
      <c r="B3694" s="33"/>
      <c r="C3694" s="60"/>
      <c r="D3694" s="60"/>
      <c r="E3694" s="60"/>
      <c r="F3694" s="60"/>
      <c r="G3694" s="60"/>
      <c r="H3694" s="60"/>
      <c r="I3694" s="60"/>
      <c r="J3694" s="60"/>
      <c r="K3694" s="60"/>
      <c r="L3694" s="60"/>
      <c r="M3694" s="64"/>
      <c r="N3694" s="33"/>
    </row>
    <row r="3695" ht="24" customHeight="1" spans="2:14">
      <c r="B3695" s="33"/>
      <c r="C3695" s="60"/>
      <c r="D3695" s="60"/>
      <c r="E3695" s="60"/>
      <c r="F3695" s="60"/>
      <c r="G3695" s="60"/>
      <c r="H3695" s="60"/>
      <c r="I3695" s="60"/>
      <c r="J3695" s="60"/>
      <c r="K3695" s="60"/>
      <c r="L3695" s="60"/>
      <c r="M3695" s="64"/>
      <c r="N3695" s="33"/>
    </row>
    <row r="3696" ht="24" customHeight="1" spans="2:14">
      <c r="B3696" s="33"/>
      <c r="C3696" s="60"/>
      <c r="D3696" s="60"/>
      <c r="E3696" s="60"/>
      <c r="F3696" s="60"/>
      <c r="G3696" s="60"/>
      <c r="H3696" s="60"/>
      <c r="I3696" s="60"/>
      <c r="J3696" s="60"/>
      <c r="K3696" s="60"/>
      <c r="L3696" s="60"/>
      <c r="M3696" s="64"/>
      <c r="N3696" s="33"/>
    </row>
    <row r="3697" ht="24" customHeight="1" spans="2:14">
      <c r="B3697" s="33"/>
      <c r="C3697" s="60"/>
      <c r="D3697" s="60"/>
      <c r="E3697" s="60"/>
      <c r="F3697" s="60"/>
      <c r="G3697" s="60"/>
      <c r="H3697" s="60"/>
      <c r="I3697" s="60"/>
      <c r="J3697" s="60"/>
      <c r="K3697" s="60"/>
      <c r="L3697" s="60"/>
      <c r="M3697" s="64"/>
      <c r="N3697" s="33"/>
    </row>
    <row r="3698" ht="24" customHeight="1" spans="2:14">
      <c r="B3698" s="33"/>
      <c r="C3698" s="60"/>
      <c r="D3698" s="60"/>
      <c r="E3698" s="60"/>
      <c r="F3698" s="60"/>
      <c r="G3698" s="60"/>
      <c r="H3698" s="60"/>
      <c r="I3698" s="60"/>
      <c r="J3698" s="60"/>
      <c r="K3698" s="60"/>
      <c r="L3698" s="60"/>
      <c r="M3698" s="64"/>
      <c r="N3698" s="33"/>
    </row>
    <row r="3699" ht="24" customHeight="1" spans="2:14">
      <c r="B3699" s="33"/>
      <c r="C3699" s="60"/>
      <c r="D3699" s="60"/>
      <c r="E3699" s="60"/>
      <c r="F3699" s="60"/>
      <c r="G3699" s="60"/>
      <c r="H3699" s="60"/>
      <c r="I3699" s="60"/>
      <c r="J3699" s="60"/>
      <c r="K3699" s="60"/>
      <c r="L3699" s="60"/>
      <c r="M3699" s="64"/>
      <c r="N3699" s="33"/>
    </row>
    <row r="3700" ht="24" customHeight="1" spans="2:14">
      <c r="B3700" s="33"/>
      <c r="C3700" s="60"/>
      <c r="D3700" s="60"/>
      <c r="E3700" s="60"/>
      <c r="F3700" s="60"/>
      <c r="G3700" s="60"/>
      <c r="H3700" s="60"/>
      <c r="I3700" s="60"/>
      <c r="J3700" s="60"/>
      <c r="K3700" s="60"/>
      <c r="L3700" s="60"/>
      <c r="M3700" s="64"/>
      <c r="N3700" s="33"/>
    </row>
    <row r="3701" ht="24" customHeight="1" spans="2:14">
      <c r="B3701" s="33"/>
      <c r="C3701" s="60"/>
      <c r="D3701" s="60"/>
      <c r="E3701" s="60"/>
      <c r="F3701" s="60"/>
      <c r="G3701" s="60"/>
      <c r="H3701" s="60"/>
      <c r="I3701" s="60"/>
      <c r="J3701" s="60"/>
      <c r="K3701" s="60"/>
      <c r="L3701" s="60"/>
      <c r="M3701" s="64"/>
      <c r="N3701" s="33"/>
    </row>
    <row r="3702" ht="24" customHeight="1" spans="2:14">
      <c r="B3702" s="33"/>
      <c r="C3702" s="60"/>
      <c r="D3702" s="60"/>
      <c r="E3702" s="60"/>
      <c r="F3702" s="60"/>
      <c r="G3702" s="60"/>
      <c r="H3702" s="60"/>
      <c r="I3702" s="60"/>
      <c r="J3702" s="60"/>
      <c r="K3702" s="60"/>
      <c r="L3702" s="60"/>
      <c r="M3702" s="64"/>
      <c r="N3702" s="33"/>
    </row>
    <row r="3703" ht="24" customHeight="1" spans="2:14">
      <c r="B3703" s="33"/>
      <c r="C3703" s="60"/>
      <c r="D3703" s="60"/>
      <c r="E3703" s="60"/>
      <c r="F3703" s="60"/>
      <c r="G3703" s="60"/>
      <c r="H3703" s="60"/>
      <c r="I3703" s="60"/>
      <c r="J3703" s="60"/>
      <c r="K3703" s="60"/>
      <c r="L3703" s="60"/>
      <c r="M3703" s="64"/>
      <c r="N3703" s="33"/>
    </row>
    <row r="3704" ht="24" customHeight="1" spans="2:14">
      <c r="B3704" s="33"/>
      <c r="C3704" s="60"/>
      <c r="D3704" s="60"/>
      <c r="E3704" s="60"/>
      <c r="F3704" s="60"/>
      <c r="G3704" s="60"/>
      <c r="H3704" s="60"/>
      <c r="I3704" s="60"/>
      <c r="J3704" s="60"/>
      <c r="K3704" s="60"/>
      <c r="L3704" s="60"/>
      <c r="M3704" s="64"/>
      <c r="N3704" s="33"/>
    </row>
    <row r="3705" ht="24" customHeight="1" spans="2:14">
      <c r="B3705" s="33"/>
      <c r="C3705" s="60"/>
      <c r="D3705" s="60"/>
      <c r="E3705" s="60"/>
      <c r="F3705" s="60"/>
      <c r="G3705" s="60"/>
      <c r="H3705" s="60"/>
      <c r="I3705" s="60"/>
      <c r="J3705" s="60"/>
      <c r="K3705" s="60"/>
      <c r="L3705" s="60"/>
      <c r="M3705" s="64"/>
      <c r="N3705" s="33"/>
    </row>
    <row r="3706" ht="24" customHeight="1" spans="2:14">
      <c r="B3706" s="33"/>
      <c r="C3706" s="60"/>
      <c r="D3706" s="60"/>
      <c r="E3706" s="60"/>
      <c r="F3706" s="60"/>
      <c r="G3706" s="60"/>
      <c r="H3706" s="60"/>
      <c r="I3706" s="60"/>
      <c r="J3706" s="60"/>
      <c r="K3706" s="60"/>
      <c r="L3706" s="60"/>
      <c r="M3706" s="64"/>
      <c r="N3706" s="33"/>
    </row>
    <row r="3707" ht="24" customHeight="1" spans="2:14">
      <c r="B3707" s="33"/>
      <c r="C3707" s="60"/>
      <c r="D3707" s="60"/>
      <c r="E3707" s="60"/>
      <c r="F3707" s="60"/>
      <c r="G3707" s="60"/>
      <c r="H3707" s="60"/>
      <c r="I3707" s="60"/>
      <c r="J3707" s="60"/>
      <c r="K3707" s="60"/>
      <c r="L3707" s="60"/>
      <c r="M3707" s="64"/>
      <c r="N3707" s="33"/>
    </row>
    <row r="3708" ht="24" customHeight="1" spans="2:14">
      <c r="B3708" s="33"/>
      <c r="C3708" s="60"/>
      <c r="D3708" s="60"/>
      <c r="E3708" s="60"/>
      <c r="F3708" s="60"/>
      <c r="G3708" s="60"/>
      <c r="H3708" s="60"/>
      <c r="I3708" s="60"/>
      <c r="J3708" s="60"/>
      <c r="K3708" s="60"/>
      <c r="L3708" s="60"/>
      <c r="M3708" s="64"/>
      <c r="N3708" s="33"/>
    </row>
    <row r="3709" ht="24" customHeight="1" spans="2:14">
      <c r="B3709" s="33"/>
      <c r="C3709" s="60"/>
      <c r="D3709" s="60"/>
      <c r="E3709" s="60"/>
      <c r="F3709" s="60"/>
      <c r="G3709" s="60"/>
      <c r="H3709" s="60"/>
      <c r="I3709" s="60"/>
      <c r="J3709" s="60"/>
      <c r="K3709" s="60"/>
      <c r="L3709" s="60"/>
      <c r="M3709" s="64"/>
      <c r="N3709" s="33"/>
    </row>
    <row r="3710" ht="24" customHeight="1" spans="2:14">
      <c r="B3710" s="33"/>
      <c r="C3710" s="60"/>
      <c r="D3710" s="60"/>
      <c r="E3710" s="60"/>
      <c r="F3710" s="60"/>
      <c r="G3710" s="60"/>
      <c r="H3710" s="60"/>
      <c r="I3710" s="60"/>
      <c r="J3710" s="60"/>
      <c r="K3710" s="60"/>
      <c r="L3710" s="60"/>
      <c r="M3710" s="64"/>
      <c r="N3710" s="33"/>
    </row>
    <row r="3711" ht="24" customHeight="1" spans="2:14">
      <c r="B3711" s="33"/>
      <c r="C3711" s="60"/>
      <c r="D3711" s="60"/>
      <c r="E3711" s="60"/>
      <c r="F3711" s="60"/>
      <c r="G3711" s="60"/>
      <c r="H3711" s="60"/>
      <c r="I3711" s="60"/>
      <c r="J3711" s="60"/>
      <c r="K3711" s="60"/>
      <c r="L3711" s="60"/>
      <c r="M3711" s="64"/>
      <c r="N3711" s="33"/>
    </row>
    <row r="3712" ht="24" customHeight="1" spans="2:14">
      <c r="B3712" s="33"/>
      <c r="C3712" s="60"/>
      <c r="D3712" s="60"/>
      <c r="E3712" s="60"/>
      <c r="F3712" s="60"/>
      <c r="G3712" s="60"/>
      <c r="H3712" s="60"/>
      <c r="I3712" s="60"/>
      <c r="J3712" s="60"/>
      <c r="K3712" s="60"/>
      <c r="L3712" s="60"/>
      <c r="M3712" s="64"/>
      <c r="N3712" s="33"/>
    </row>
    <row r="3713" ht="24" customHeight="1" spans="2:14">
      <c r="B3713" s="33"/>
      <c r="C3713" s="60"/>
      <c r="D3713" s="60"/>
      <c r="E3713" s="60"/>
      <c r="F3713" s="60"/>
      <c r="G3713" s="60"/>
      <c r="H3713" s="60"/>
      <c r="I3713" s="60"/>
      <c r="J3713" s="60"/>
      <c r="K3713" s="60"/>
      <c r="L3713" s="60"/>
      <c r="M3713" s="64"/>
      <c r="N3713" s="33"/>
    </row>
    <row r="3714" ht="24" customHeight="1" spans="2:14">
      <c r="B3714" s="33"/>
      <c r="C3714" s="60"/>
      <c r="D3714" s="60"/>
      <c r="E3714" s="60"/>
      <c r="F3714" s="60"/>
      <c r="G3714" s="60"/>
      <c r="H3714" s="60"/>
      <c r="I3714" s="60"/>
      <c r="J3714" s="60"/>
      <c r="K3714" s="60"/>
      <c r="L3714" s="60"/>
      <c r="M3714" s="64"/>
      <c r="N3714" s="33"/>
    </row>
    <row r="3715" ht="24" customHeight="1" spans="2:14">
      <c r="B3715" s="33"/>
      <c r="C3715" s="60"/>
      <c r="D3715" s="60"/>
      <c r="E3715" s="60"/>
      <c r="F3715" s="60"/>
      <c r="G3715" s="60"/>
      <c r="H3715" s="60"/>
      <c r="I3715" s="60"/>
      <c r="J3715" s="60"/>
      <c r="K3715" s="60"/>
      <c r="L3715" s="60"/>
      <c r="M3715" s="64"/>
      <c r="N3715" s="33"/>
    </row>
    <row r="3716" ht="24" customHeight="1" spans="2:14">
      <c r="B3716" s="33"/>
      <c r="C3716" s="60"/>
      <c r="D3716" s="60"/>
      <c r="E3716" s="60"/>
      <c r="F3716" s="60"/>
      <c r="G3716" s="60"/>
      <c r="H3716" s="60"/>
      <c r="I3716" s="60"/>
      <c r="J3716" s="60"/>
      <c r="K3716" s="60"/>
      <c r="L3716" s="60"/>
      <c r="M3716" s="64"/>
      <c r="N3716" s="33"/>
    </row>
    <row r="3717" ht="24" customHeight="1" spans="2:14">
      <c r="B3717" s="33"/>
      <c r="C3717" s="60"/>
      <c r="D3717" s="60"/>
      <c r="E3717" s="60"/>
      <c r="F3717" s="60"/>
      <c r="G3717" s="60"/>
      <c r="H3717" s="60"/>
      <c r="I3717" s="60"/>
      <c r="J3717" s="60"/>
      <c r="K3717" s="60"/>
      <c r="L3717" s="60"/>
      <c r="M3717" s="64"/>
      <c r="N3717" s="33"/>
    </row>
    <row r="3718" ht="24" customHeight="1" spans="2:14">
      <c r="B3718" s="33"/>
      <c r="C3718" s="60"/>
      <c r="D3718" s="60"/>
      <c r="E3718" s="60"/>
      <c r="F3718" s="60"/>
      <c r="G3718" s="60"/>
      <c r="H3718" s="60"/>
      <c r="I3718" s="60"/>
      <c r="J3718" s="60"/>
      <c r="K3718" s="60"/>
      <c r="L3718" s="60"/>
      <c r="M3718" s="64"/>
      <c r="N3718" s="33"/>
    </row>
    <row r="3719" ht="24" customHeight="1" spans="2:14">
      <c r="B3719" s="33"/>
      <c r="C3719" s="60"/>
      <c r="D3719" s="60"/>
      <c r="E3719" s="60"/>
      <c r="F3719" s="60"/>
      <c r="G3719" s="60"/>
      <c r="H3719" s="60"/>
      <c r="I3719" s="60"/>
      <c r="J3719" s="60"/>
      <c r="K3719" s="60"/>
      <c r="L3719" s="60"/>
      <c r="M3719" s="64"/>
      <c r="N3719" s="33"/>
    </row>
    <row r="3720" ht="24" customHeight="1" spans="2:14">
      <c r="B3720" s="33"/>
      <c r="C3720" s="60"/>
      <c r="D3720" s="60"/>
      <c r="E3720" s="60"/>
      <c r="F3720" s="60"/>
      <c r="G3720" s="60"/>
      <c r="H3720" s="60"/>
      <c r="I3720" s="60"/>
      <c r="J3720" s="60"/>
      <c r="K3720" s="60"/>
      <c r="L3720" s="60"/>
      <c r="M3720" s="64"/>
      <c r="N3720" s="33"/>
    </row>
    <row r="3721" ht="24" customHeight="1" spans="2:14">
      <c r="B3721" s="33"/>
      <c r="C3721" s="60"/>
      <c r="D3721" s="60"/>
      <c r="E3721" s="60"/>
      <c r="F3721" s="60"/>
      <c r="G3721" s="60"/>
      <c r="H3721" s="60"/>
      <c r="I3721" s="60"/>
      <c r="J3721" s="60"/>
      <c r="K3721" s="60"/>
      <c r="L3721" s="60"/>
      <c r="M3721" s="64"/>
      <c r="N3721" s="33"/>
    </row>
    <row r="3722" ht="24" customHeight="1" spans="2:14">
      <c r="B3722" s="33"/>
      <c r="C3722" s="60"/>
      <c r="D3722" s="60"/>
      <c r="E3722" s="60"/>
      <c r="F3722" s="60"/>
      <c r="G3722" s="60"/>
      <c r="H3722" s="60"/>
      <c r="I3722" s="60"/>
      <c r="J3722" s="60"/>
      <c r="K3722" s="60"/>
      <c r="L3722" s="60"/>
      <c r="M3722" s="64"/>
      <c r="N3722" s="33"/>
    </row>
    <row r="3723" ht="24" customHeight="1" spans="2:14">
      <c r="B3723" s="33"/>
      <c r="C3723" s="60"/>
      <c r="D3723" s="60"/>
      <c r="E3723" s="60"/>
      <c r="F3723" s="60"/>
      <c r="G3723" s="60"/>
      <c r="H3723" s="60"/>
      <c r="I3723" s="60"/>
      <c r="J3723" s="60"/>
      <c r="K3723" s="60"/>
      <c r="L3723" s="60"/>
      <c r="M3723" s="64"/>
      <c r="N3723" s="33"/>
    </row>
    <row r="3724" ht="24" customHeight="1" spans="2:14">
      <c r="B3724" s="33"/>
      <c r="C3724" s="60"/>
      <c r="D3724" s="60"/>
      <c r="E3724" s="60"/>
      <c r="F3724" s="60"/>
      <c r="G3724" s="60"/>
      <c r="H3724" s="60"/>
      <c r="I3724" s="60"/>
      <c r="J3724" s="60"/>
      <c r="K3724" s="60"/>
      <c r="L3724" s="60"/>
      <c r="M3724" s="64"/>
      <c r="N3724" s="33"/>
    </row>
    <row r="3725" ht="24" customHeight="1" spans="2:14">
      <c r="B3725" s="33"/>
      <c r="C3725" s="60"/>
      <c r="D3725" s="60"/>
      <c r="E3725" s="60"/>
      <c r="F3725" s="60"/>
      <c r="G3725" s="60"/>
      <c r="H3725" s="60"/>
      <c r="I3725" s="60"/>
      <c r="J3725" s="60"/>
      <c r="K3725" s="60"/>
      <c r="L3725" s="60"/>
      <c r="M3725" s="64"/>
      <c r="N3725" s="33"/>
    </row>
    <row r="3726" ht="24" customHeight="1" spans="2:14">
      <c r="B3726" s="33"/>
      <c r="C3726" s="60"/>
      <c r="D3726" s="60"/>
      <c r="E3726" s="60"/>
      <c r="F3726" s="60"/>
      <c r="G3726" s="60"/>
      <c r="H3726" s="60"/>
      <c r="I3726" s="60"/>
      <c r="J3726" s="60"/>
      <c r="K3726" s="60"/>
      <c r="L3726" s="60"/>
      <c r="M3726" s="64"/>
      <c r="N3726" s="33"/>
    </row>
    <row r="3727" ht="24" customHeight="1" spans="2:14">
      <c r="B3727" s="33"/>
      <c r="C3727" s="60"/>
      <c r="D3727" s="60"/>
      <c r="E3727" s="60"/>
      <c r="F3727" s="60"/>
      <c r="G3727" s="60"/>
      <c r="H3727" s="60"/>
      <c r="I3727" s="60"/>
      <c r="J3727" s="60"/>
      <c r="K3727" s="60"/>
      <c r="L3727" s="60"/>
      <c r="M3727" s="64"/>
      <c r="N3727" s="33"/>
    </row>
    <row r="3728" ht="24" customHeight="1" spans="2:14">
      <c r="B3728" s="33"/>
      <c r="C3728" s="60"/>
      <c r="D3728" s="60"/>
      <c r="E3728" s="60"/>
      <c r="F3728" s="60"/>
      <c r="G3728" s="60"/>
      <c r="H3728" s="60"/>
      <c r="I3728" s="60"/>
      <c r="J3728" s="60"/>
      <c r="K3728" s="60"/>
      <c r="L3728" s="60"/>
      <c r="M3728" s="64"/>
      <c r="N3728" s="33"/>
    </row>
    <row r="3729" ht="24" customHeight="1" spans="2:14">
      <c r="B3729" s="33"/>
      <c r="C3729" s="60"/>
      <c r="D3729" s="60"/>
      <c r="E3729" s="60"/>
      <c r="F3729" s="60"/>
      <c r="G3729" s="60"/>
      <c r="H3729" s="60"/>
      <c r="I3729" s="60"/>
      <c r="J3729" s="60"/>
      <c r="K3729" s="60"/>
      <c r="L3729" s="60"/>
      <c r="M3729" s="64"/>
      <c r="N3729" s="33"/>
    </row>
    <row r="3730" ht="24" customHeight="1" spans="2:14">
      <c r="B3730" s="33"/>
      <c r="C3730" s="60"/>
      <c r="D3730" s="60"/>
      <c r="E3730" s="60"/>
      <c r="F3730" s="60"/>
      <c r="G3730" s="60"/>
      <c r="H3730" s="60"/>
      <c r="I3730" s="60"/>
      <c r="J3730" s="60"/>
      <c r="K3730" s="60"/>
      <c r="L3730" s="60"/>
      <c r="M3730" s="64"/>
      <c r="N3730" s="33"/>
    </row>
    <row r="3731" ht="24" customHeight="1" spans="2:14">
      <c r="B3731" s="33"/>
      <c r="C3731" s="60"/>
      <c r="D3731" s="60"/>
      <c r="E3731" s="60"/>
      <c r="F3731" s="60"/>
      <c r="G3731" s="60"/>
      <c r="H3731" s="60"/>
      <c r="I3731" s="60"/>
      <c r="J3731" s="60"/>
      <c r="K3731" s="60"/>
      <c r="L3731" s="60"/>
      <c r="M3731" s="64"/>
      <c r="N3731" s="33"/>
    </row>
    <row r="3732" ht="24" customHeight="1" spans="2:14">
      <c r="B3732" s="33"/>
      <c r="C3732" s="60"/>
      <c r="D3732" s="60"/>
      <c r="E3732" s="60"/>
      <c r="F3732" s="60"/>
      <c r="G3732" s="60"/>
      <c r="H3732" s="60"/>
      <c r="I3732" s="60"/>
      <c r="J3732" s="60"/>
      <c r="K3732" s="60"/>
      <c r="L3732" s="60"/>
      <c r="M3732" s="64"/>
      <c r="N3732" s="33"/>
    </row>
    <row r="3733" ht="24" customHeight="1" spans="2:14">
      <c r="B3733" s="33"/>
      <c r="C3733" s="60"/>
      <c r="D3733" s="60"/>
      <c r="E3733" s="60"/>
      <c r="F3733" s="60"/>
      <c r="G3733" s="60"/>
      <c r="H3733" s="60"/>
      <c r="I3733" s="60"/>
      <c r="J3733" s="60"/>
      <c r="K3733" s="60"/>
      <c r="L3733" s="60"/>
      <c r="M3733" s="64"/>
      <c r="N3733" s="33"/>
    </row>
    <row r="3734" ht="24" customHeight="1" spans="2:14">
      <c r="B3734" s="33"/>
      <c r="C3734" s="60"/>
      <c r="D3734" s="60"/>
      <c r="E3734" s="60"/>
      <c r="F3734" s="60"/>
      <c r="G3734" s="60"/>
      <c r="H3734" s="60"/>
      <c r="I3734" s="60"/>
      <c r="J3734" s="60"/>
      <c r="K3734" s="60"/>
      <c r="L3734" s="60"/>
      <c r="M3734" s="64"/>
      <c r="N3734" s="33"/>
    </row>
    <row r="3735" ht="24" customHeight="1" spans="2:14">
      <c r="B3735" s="33"/>
      <c r="C3735" s="60"/>
      <c r="D3735" s="60"/>
      <c r="E3735" s="60"/>
      <c r="F3735" s="60"/>
      <c r="G3735" s="60"/>
      <c r="H3735" s="60"/>
      <c r="I3735" s="60"/>
      <c r="J3735" s="60"/>
      <c r="K3735" s="60"/>
      <c r="L3735" s="60"/>
      <c r="M3735" s="64"/>
      <c r="N3735" s="33"/>
    </row>
    <row r="3736" ht="24" customHeight="1" spans="2:14">
      <c r="B3736" s="33"/>
      <c r="C3736" s="60"/>
      <c r="D3736" s="60"/>
      <c r="E3736" s="60"/>
      <c r="F3736" s="60"/>
      <c r="G3736" s="60"/>
      <c r="H3736" s="60"/>
      <c r="I3736" s="60"/>
      <c r="J3736" s="60"/>
      <c r="K3736" s="60"/>
      <c r="L3736" s="60"/>
      <c r="M3736" s="64"/>
      <c r="N3736" s="33"/>
    </row>
    <row r="3737" ht="24" customHeight="1" spans="2:14">
      <c r="B3737" s="33"/>
      <c r="C3737" s="60"/>
      <c r="D3737" s="60"/>
      <c r="E3737" s="60"/>
      <c r="F3737" s="60"/>
      <c r="G3737" s="60"/>
      <c r="H3737" s="60"/>
      <c r="I3737" s="60"/>
      <c r="J3737" s="60"/>
      <c r="K3737" s="60"/>
      <c r="L3737" s="60"/>
      <c r="M3737" s="64"/>
      <c r="N3737" s="33"/>
    </row>
    <row r="3738" ht="24" customHeight="1" spans="2:14">
      <c r="B3738" s="33"/>
      <c r="C3738" s="60"/>
      <c r="D3738" s="60"/>
      <c r="E3738" s="60"/>
      <c r="F3738" s="60"/>
      <c r="G3738" s="60"/>
      <c r="H3738" s="60"/>
      <c r="I3738" s="60"/>
      <c r="J3738" s="60"/>
      <c r="K3738" s="60"/>
      <c r="L3738" s="60"/>
      <c r="M3738" s="64"/>
      <c r="N3738" s="33"/>
    </row>
    <row r="3739" ht="24" customHeight="1" spans="2:14">
      <c r="B3739" s="33"/>
      <c r="C3739" s="60"/>
      <c r="D3739" s="60"/>
      <c r="E3739" s="60"/>
      <c r="F3739" s="60"/>
      <c r="G3739" s="60"/>
      <c r="H3739" s="60"/>
      <c r="I3739" s="60"/>
      <c r="J3739" s="60"/>
      <c r="K3739" s="60"/>
      <c r="L3739" s="60"/>
      <c r="M3739" s="64"/>
      <c r="N3739" s="33"/>
    </row>
    <row r="3740" ht="24" customHeight="1" spans="2:14">
      <c r="B3740" s="33"/>
      <c r="C3740" s="60"/>
      <c r="D3740" s="60"/>
      <c r="E3740" s="60"/>
      <c r="F3740" s="60"/>
      <c r="G3740" s="60"/>
      <c r="H3740" s="60"/>
      <c r="I3740" s="60"/>
      <c r="J3740" s="60"/>
      <c r="K3740" s="60"/>
      <c r="L3740" s="60"/>
      <c r="M3740" s="64"/>
      <c r="N3740" s="33"/>
    </row>
    <row r="3741" ht="24" customHeight="1" spans="2:14">
      <c r="B3741" s="33"/>
      <c r="C3741" s="60"/>
      <c r="D3741" s="60"/>
      <c r="E3741" s="60"/>
      <c r="F3741" s="60"/>
      <c r="G3741" s="60"/>
      <c r="H3741" s="60"/>
      <c r="I3741" s="60"/>
      <c r="J3741" s="60"/>
      <c r="K3741" s="60"/>
      <c r="L3741" s="60"/>
      <c r="M3741" s="64"/>
      <c r="N3741" s="33"/>
    </row>
    <row r="3742" ht="24" customHeight="1" spans="2:14">
      <c r="B3742" s="33"/>
      <c r="C3742" s="60"/>
      <c r="D3742" s="60"/>
      <c r="E3742" s="60"/>
      <c r="F3742" s="60"/>
      <c r="G3742" s="60"/>
      <c r="H3742" s="60"/>
      <c r="I3742" s="60"/>
      <c r="J3742" s="60"/>
      <c r="K3742" s="60"/>
      <c r="L3742" s="60"/>
      <c r="M3742" s="64"/>
      <c r="N3742" s="33"/>
    </row>
    <row r="3743" ht="24" customHeight="1" spans="2:14">
      <c r="B3743" s="33"/>
      <c r="C3743" s="60"/>
      <c r="D3743" s="60"/>
      <c r="E3743" s="60"/>
      <c r="F3743" s="60"/>
      <c r="G3743" s="60"/>
      <c r="H3743" s="60"/>
      <c r="I3743" s="60"/>
      <c r="J3743" s="60"/>
      <c r="K3743" s="60"/>
      <c r="L3743" s="60"/>
      <c r="M3743" s="64"/>
      <c r="N3743" s="33"/>
    </row>
    <row r="3744" ht="24" customHeight="1" spans="2:14">
      <c r="B3744" s="33"/>
      <c r="C3744" s="60"/>
      <c r="D3744" s="60"/>
      <c r="E3744" s="60"/>
      <c r="F3744" s="60"/>
      <c r="G3744" s="60"/>
      <c r="H3744" s="60"/>
      <c r="I3744" s="60"/>
      <c r="J3744" s="60"/>
      <c r="K3744" s="60"/>
      <c r="L3744" s="60"/>
      <c r="M3744" s="64"/>
      <c r="N3744" s="33"/>
    </row>
    <row r="3745" ht="24" customHeight="1" spans="2:14">
      <c r="B3745" s="33"/>
      <c r="C3745" s="60"/>
      <c r="D3745" s="60"/>
      <c r="E3745" s="60"/>
      <c r="F3745" s="60"/>
      <c r="G3745" s="60"/>
      <c r="H3745" s="60"/>
      <c r="I3745" s="60"/>
      <c r="J3745" s="60"/>
      <c r="K3745" s="60"/>
      <c r="L3745" s="60"/>
      <c r="M3745" s="64"/>
      <c r="N3745" s="33"/>
    </row>
    <row r="3746" ht="24" customHeight="1" spans="2:14">
      <c r="B3746" s="33"/>
      <c r="C3746" s="60"/>
      <c r="D3746" s="60"/>
      <c r="E3746" s="60"/>
      <c r="F3746" s="60"/>
      <c r="G3746" s="60"/>
      <c r="H3746" s="60"/>
      <c r="I3746" s="60"/>
      <c r="J3746" s="60"/>
      <c r="K3746" s="60"/>
      <c r="L3746" s="60"/>
      <c r="M3746" s="64"/>
      <c r="N3746" s="33"/>
    </row>
    <row r="3747" ht="24" customHeight="1" spans="2:14">
      <c r="B3747" s="33"/>
      <c r="C3747" s="60"/>
      <c r="D3747" s="60"/>
      <c r="E3747" s="60"/>
      <c r="F3747" s="60"/>
      <c r="G3747" s="60"/>
      <c r="H3747" s="60"/>
      <c r="I3747" s="60"/>
      <c r="J3747" s="60"/>
      <c r="K3747" s="60"/>
      <c r="L3747" s="60"/>
      <c r="M3747" s="64"/>
      <c r="N3747" s="33"/>
    </row>
    <row r="3748" ht="24" customHeight="1" spans="2:14">
      <c r="B3748" s="33"/>
      <c r="C3748" s="60"/>
      <c r="D3748" s="60"/>
      <c r="E3748" s="60"/>
      <c r="F3748" s="60"/>
      <c r="G3748" s="60"/>
      <c r="H3748" s="60"/>
      <c r="I3748" s="60"/>
      <c r="J3748" s="60"/>
      <c r="K3748" s="60"/>
      <c r="L3748" s="60"/>
      <c r="M3748" s="64"/>
      <c r="N3748" s="33"/>
    </row>
    <row r="3749" ht="24" customHeight="1" spans="2:14">
      <c r="B3749" s="33"/>
      <c r="C3749" s="60"/>
      <c r="D3749" s="60"/>
      <c r="E3749" s="60"/>
      <c r="F3749" s="60"/>
      <c r="G3749" s="60"/>
      <c r="H3749" s="60"/>
      <c r="I3749" s="60"/>
      <c r="J3749" s="60"/>
      <c r="K3749" s="60"/>
      <c r="L3749" s="60"/>
      <c r="M3749" s="64"/>
      <c r="N3749" s="33"/>
    </row>
    <row r="3750" ht="24" customHeight="1" spans="2:14">
      <c r="B3750" s="33"/>
      <c r="C3750" s="60"/>
      <c r="D3750" s="60"/>
      <c r="E3750" s="60"/>
      <c r="F3750" s="60"/>
      <c r="G3750" s="60"/>
      <c r="H3750" s="60"/>
      <c r="I3750" s="60"/>
      <c r="J3750" s="60"/>
      <c r="K3750" s="60"/>
      <c r="L3750" s="60"/>
      <c r="M3750" s="64"/>
      <c r="N3750" s="33"/>
    </row>
    <row r="3751" ht="24" customHeight="1" spans="2:14">
      <c r="B3751" s="33"/>
      <c r="C3751" s="60"/>
      <c r="D3751" s="60"/>
      <c r="E3751" s="60"/>
      <c r="F3751" s="60"/>
      <c r="G3751" s="60"/>
      <c r="H3751" s="60"/>
      <c r="I3751" s="60"/>
      <c r="J3751" s="60"/>
      <c r="K3751" s="60"/>
      <c r="L3751" s="60"/>
      <c r="M3751" s="64"/>
      <c r="N3751" s="33"/>
    </row>
    <row r="3752" ht="24" customHeight="1" spans="2:14">
      <c r="B3752" s="33"/>
      <c r="C3752" s="60"/>
      <c r="D3752" s="60"/>
      <c r="E3752" s="60"/>
      <c r="F3752" s="60"/>
      <c r="G3752" s="60"/>
      <c r="H3752" s="60"/>
      <c r="I3752" s="60"/>
      <c r="J3752" s="60"/>
      <c r="K3752" s="60"/>
      <c r="L3752" s="60"/>
      <c r="M3752" s="64"/>
      <c r="N3752" s="33"/>
    </row>
    <row r="3753" ht="24" customHeight="1" spans="2:14">
      <c r="B3753" s="33"/>
      <c r="C3753" s="60"/>
      <c r="D3753" s="60"/>
      <c r="E3753" s="60"/>
      <c r="F3753" s="60"/>
      <c r="G3753" s="60"/>
      <c r="H3753" s="60"/>
      <c r="I3753" s="60"/>
      <c r="J3753" s="60"/>
      <c r="K3753" s="60"/>
      <c r="L3753" s="60"/>
      <c r="M3753" s="64"/>
      <c r="N3753" s="33"/>
    </row>
    <row r="3754" ht="24" customHeight="1" spans="2:14">
      <c r="B3754" s="33"/>
      <c r="C3754" s="60"/>
      <c r="D3754" s="60"/>
      <c r="E3754" s="60"/>
      <c r="F3754" s="60"/>
      <c r="G3754" s="60"/>
      <c r="H3754" s="60"/>
      <c r="I3754" s="60"/>
      <c r="J3754" s="60"/>
      <c r="K3754" s="60"/>
      <c r="L3754" s="60"/>
      <c r="M3754" s="64"/>
      <c r="N3754" s="33"/>
    </row>
    <row r="3755" ht="24" customHeight="1" spans="2:14">
      <c r="B3755" s="33"/>
      <c r="C3755" s="60"/>
      <c r="D3755" s="60"/>
      <c r="E3755" s="60"/>
      <c r="F3755" s="60"/>
      <c r="G3755" s="60"/>
      <c r="H3755" s="60"/>
      <c r="I3755" s="60"/>
      <c r="J3755" s="60"/>
      <c r="K3755" s="60"/>
      <c r="L3755" s="60"/>
      <c r="M3755" s="64"/>
      <c r="N3755" s="33"/>
    </row>
    <row r="3756" ht="24" customHeight="1" spans="2:14">
      <c r="B3756" s="33"/>
      <c r="C3756" s="60"/>
      <c r="D3756" s="60"/>
      <c r="E3756" s="60"/>
      <c r="F3756" s="60"/>
      <c r="G3756" s="60"/>
      <c r="H3756" s="60"/>
      <c r="I3756" s="60"/>
      <c r="J3756" s="60"/>
      <c r="K3756" s="60"/>
      <c r="L3756" s="60"/>
      <c r="M3756" s="64"/>
      <c r="N3756" s="33"/>
    </row>
    <row r="3757" ht="24" customHeight="1" spans="2:14">
      <c r="B3757" s="33"/>
      <c r="C3757" s="60"/>
      <c r="D3757" s="60"/>
      <c r="E3757" s="60"/>
      <c r="F3757" s="60"/>
      <c r="G3757" s="60"/>
      <c r="H3757" s="60"/>
      <c r="I3757" s="60"/>
      <c r="J3757" s="60"/>
      <c r="K3757" s="60"/>
      <c r="L3757" s="60"/>
      <c r="M3757" s="64"/>
      <c r="N3757" s="33"/>
    </row>
    <row r="3758" ht="24" customHeight="1" spans="2:14">
      <c r="B3758" s="33"/>
      <c r="C3758" s="60"/>
      <c r="D3758" s="60"/>
      <c r="E3758" s="60"/>
      <c r="F3758" s="60"/>
      <c r="G3758" s="60"/>
      <c r="H3758" s="60"/>
      <c r="I3758" s="60"/>
      <c r="J3758" s="60"/>
      <c r="K3758" s="60"/>
      <c r="L3758" s="60"/>
      <c r="M3758" s="64"/>
      <c r="N3758" s="33"/>
    </row>
    <row r="3759" ht="24" customHeight="1" spans="2:14">
      <c r="B3759" s="33"/>
      <c r="C3759" s="60"/>
      <c r="D3759" s="60"/>
      <c r="E3759" s="60"/>
      <c r="F3759" s="60"/>
      <c r="G3759" s="60"/>
      <c r="H3759" s="60"/>
      <c r="I3759" s="60"/>
      <c r="J3759" s="60"/>
      <c r="K3759" s="60"/>
      <c r="L3759" s="60"/>
      <c r="M3759" s="64"/>
      <c r="N3759" s="33"/>
    </row>
    <row r="3760" ht="24" customHeight="1" spans="2:14">
      <c r="B3760" s="33"/>
      <c r="C3760" s="60"/>
      <c r="D3760" s="60"/>
      <c r="E3760" s="60"/>
      <c r="F3760" s="60"/>
      <c r="G3760" s="60"/>
      <c r="H3760" s="60"/>
      <c r="I3760" s="60"/>
      <c r="J3760" s="60"/>
      <c r="K3760" s="60"/>
      <c r="L3760" s="60"/>
      <c r="M3760" s="64"/>
      <c r="N3760" s="33"/>
    </row>
    <row r="3761" ht="24" customHeight="1" spans="2:14">
      <c r="B3761" s="33"/>
      <c r="C3761" s="60"/>
      <c r="D3761" s="60"/>
      <c r="E3761" s="60"/>
      <c r="F3761" s="60"/>
      <c r="G3761" s="60"/>
      <c r="H3761" s="60"/>
      <c r="I3761" s="60"/>
      <c r="J3761" s="60"/>
      <c r="K3761" s="60"/>
      <c r="L3761" s="60"/>
      <c r="M3761" s="64"/>
      <c r="N3761" s="33"/>
    </row>
    <row r="3762" ht="24" customHeight="1" spans="2:14">
      <c r="B3762" s="33"/>
      <c r="C3762" s="60"/>
      <c r="D3762" s="60"/>
      <c r="E3762" s="60"/>
      <c r="F3762" s="60"/>
      <c r="G3762" s="60"/>
      <c r="H3762" s="60"/>
      <c r="I3762" s="60"/>
      <c r="J3762" s="60"/>
      <c r="K3762" s="60"/>
      <c r="L3762" s="60"/>
      <c r="M3762" s="64"/>
      <c r="N3762" s="33"/>
    </row>
    <row r="3763" ht="24" customHeight="1" spans="2:14">
      <c r="B3763" s="33"/>
      <c r="C3763" s="60"/>
      <c r="D3763" s="60"/>
      <c r="E3763" s="60"/>
      <c r="F3763" s="60"/>
      <c r="G3763" s="60"/>
      <c r="H3763" s="60"/>
      <c r="I3763" s="60"/>
      <c r="J3763" s="60"/>
      <c r="K3763" s="60"/>
      <c r="L3763" s="60"/>
      <c r="M3763" s="64"/>
      <c r="N3763" s="33"/>
    </row>
    <row r="3764" ht="24" customHeight="1" spans="2:14">
      <c r="B3764" s="33"/>
      <c r="C3764" s="60"/>
      <c r="D3764" s="60"/>
      <c r="E3764" s="60"/>
      <c r="F3764" s="60"/>
      <c r="G3764" s="60"/>
      <c r="H3764" s="60"/>
      <c r="I3764" s="60"/>
      <c r="J3764" s="60"/>
      <c r="K3764" s="60"/>
      <c r="L3764" s="60"/>
      <c r="M3764" s="64"/>
      <c r="N3764" s="33"/>
    </row>
    <row r="3765" ht="24" customHeight="1" spans="2:14">
      <c r="B3765" s="33"/>
      <c r="C3765" s="60"/>
      <c r="D3765" s="60"/>
      <c r="E3765" s="60"/>
      <c r="F3765" s="60"/>
      <c r="G3765" s="60"/>
      <c r="H3765" s="60"/>
      <c r="I3765" s="60"/>
      <c r="J3765" s="60"/>
      <c r="K3765" s="60"/>
      <c r="L3765" s="60"/>
      <c r="M3765" s="64"/>
      <c r="N3765" s="33"/>
    </row>
    <row r="3766" ht="24" customHeight="1" spans="2:14">
      <c r="B3766" s="33"/>
      <c r="C3766" s="60"/>
      <c r="D3766" s="60"/>
      <c r="E3766" s="60"/>
      <c r="F3766" s="60"/>
      <c r="G3766" s="60"/>
      <c r="H3766" s="60"/>
      <c r="I3766" s="60"/>
      <c r="J3766" s="60"/>
      <c r="K3766" s="60"/>
      <c r="L3766" s="60"/>
      <c r="M3766" s="64"/>
      <c r="N3766" s="33"/>
    </row>
    <row r="3767" ht="24" customHeight="1" spans="2:14">
      <c r="B3767" s="33"/>
      <c r="C3767" s="60"/>
      <c r="D3767" s="60"/>
      <c r="E3767" s="60"/>
      <c r="F3767" s="60"/>
      <c r="G3767" s="60"/>
      <c r="H3767" s="60"/>
      <c r="I3767" s="60"/>
      <c r="J3767" s="60"/>
      <c r="K3767" s="60"/>
      <c r="L3767" s="60"/>
      <c r="M3767" s="64"/>
      <c r="N3767" s="33"/>
    </row>
    <row r="3768" ht="24" customHeight="1" spans="2:14">
      <c r="B3768" s="33"/>
      <c r="C3768" s="60"/>
      <c r="D3768" s="60"/>
      <c r="E3768" s="60"/>
      <c r="F3768" s="60"/>
      <c r="G3768" s="60"/>
      <c r="H3768" s="60"/>
      <c r="I3768" s="60"/>
      <c r="J3768" s="60"/>
      <c r="K3768" s="60"/>
      <c r="L3768" s="60"/>
      <c r="M3768" s="64"/>
      <c r="N3768" s="33"/>
    </row>
    <row r="3769" ht="24" customHeight="1" spans="2:14">
      <c r="B3769" s="33"/>
      <c r="C3769" s="60"/>
      <c r="D3769" s="60"/>
      <c r="E3769" s="60"/>
      <c r="F3769" s="60"/>
      <c r="G3769" s="60"/>
      <c r="H3769" s="60"/>
      <c r="I3769" s="60"/>
      <c r="J3769" s="60"/>
      <c r="K3769" s="60"/>
      <c r="L3769" s="60"/>
      <c r="M3769" s="64"/>
      <c r="N3769" s="33"/>
    </row>
    <row r="3770" ht="24" customHeight="1" spans="2:14">
      <c r="B3770" s="33"/>
      <c r="C3770" s="60"/>
      <c r="D3770" s="60"/>
      <c r="E3770" s="60"/>
      <c r="F3770" s="60"/>
      <c r="G3770" s="60"/>
      <c r="H3770" s="60"/>
      <c r="I3770" s="60"/>
      <c r="J3770" s="60"/>
      <c r="K3770" s="60"/>
      <c r="L3770" s="60"/>
      <c r="M3770" s="64"/>
      <c r="N3770" s="33"/>
    </row>
    <row r="3771" ht="24" customHeight="1" spans="2:14">
      <c r="B3771" s="33"/>
      <c r="C3771" s="60"/>
      <c r="D3771" s="60"/>
      <c r="E3771" s="60"/>
      <c r="F3771" s="60"/>
      <c r="G3771" s="60"/>
      <c r="H3771" s="60"/>
      <c r="I3771" s="60"/>
      <c r="J3771" s="60"/>
      <c r="K3771" s="60"/>
      <c r="L3771" s="60"/>
      <c r="M3771" s="64"/>
      <c r="N3771" s="33"/>
    </row>
    <row r="3772" ht="24" customHeight="1" spans="2:14">
      <c r="B3772" s="33"/>
      <c r="C3772" s="60"/>
      <c r="D3772" s="60"/>
      <c r="E3772" s="60"/>
      <c r="F3772" s="60"/>
      <c r="G3772" s="60"/>
      <c r="H3772" s="60"/>
      <c r="I3772" s="60"/>
      <c r="J3772" s="60"/>
      <c r="K3772" s="60"/>
      <c r="L3772" s="60"/>
      <c r="M3772" s="64"/>
      <c r="N3772" s="33"/>
    </row>
    <row r="3773" ht="24" customHeight="1" spans="2:14">
      <c r="B3773" s="33"/>
      <c r="C3773" s="60"/>
      <c r="D3773" s="60"/>
      <c r="E3773" s="60"/>
      <c r="F3773" s="60"/>
      <c r="G3773" s="60"/>
      <c r="H3773" s="60"/>
      <c r="I3773" s="60"/>
      <c r="J3773" s="60"/>
      <c r="K3773" s="60"/>
      <c r="L3773" s="60"/>
      <c r="M3773" s="64"/>
      <c r="N3773" s="33"/>
    </row>
    <row r="3774" ht="24" customHeight="1" spans="2:14">
      <c r="B3774" s="33"/>
      <c r="C3774" s="60"/>
      <c r="D3774" s="60"/>
      <c r="E3774" s="60"/>
      <c r="F3774" s="60"/>
      <c r="G3774" s="60"/>
      <c r="H3774" s="60"/>
      <c r="I3774" s="60"/>
      <c r="J3774" s="60"/>
      <c r="K3774" s="60"/>
      <c r="L3774" s="60"/>
      <c r="M3774" s="64"/>
      <c r="N3774" s="33"/>
    </row>
    <row r="3775" ht="24" customHeight="1" spans="2:14">
      <c r="B3775" s="33"/>
      <c r="C3775" s="60"/>
      <c r="D3775" s="60"/>
      <c r="E3775" s="60"/>
      <c r="F3775" s="60"/>
      <c r="G3775" s="60"/>
      <c r="H3775" s="60"/>
      <c r="I3775" s="60"/>
      <c r="J3775" s="60"/>
      <c r="K3775" s="60"/>
      <c r="L3775" s="60"/>
      <c r="M3775" s="64"/>
      <c r="N3775" s="33"/>
    </row>
    <row r="3776" ht="24" customHeight="1" spans="2:14">
      <c r="B3776" s="33"/>
      <c r="C3776" s="60"/>
      <c r="D3776" s="60"/>
      <c r="E3776" s="60"/>
      <c r="F3776" s="60"/>
      <c r="G3776" s="60"/>
      <c r="H3776" s="60"/>
      <c r="I3776" s="60"/>
      <c r="J3776" s="60"/>
      <c r="K3776" s="60"/>
      <c r="L3776" s="60"/>
      <c r="M3776" s="64"/>
      <c r="N3776" s="33"/>
    </row>
    <row r="3777" ht="24" customHeight="1" spans="2:14">
      <c r="B3777" s="33"/>
      <c r="C3777" s="60"/>
      <c r="D3777" s="60"/>
      <c r="E3777" s="60"/>
      <c r="F3777" s="60"/>
      <c r="G3777" s="60"/>
      <c r="H3777" s="60"/>
      <c r="I3777" s="60"/>
      <c r="J3777" s="60"/>
      <c r="K3777" s="60"/>
      <c r="L3777" s="60"/>
      <c r="M3777" s="64"/>
      <c r="N3777" s="33"/>
    </row>
    <row r="3778" ht="24" customHeight="1" spans="2:14">
      <c r="B3778" s="33"/>
      <c r="C3778" s="60"/>
      <c r="D3778" s="60"/>
      <c r="E3778" s="60"/>
      <c r="F3778" s="60"/>
      <c r="G3778" s="60"/>
      <c r="H3778" s="60"/>
      <c r="I3778" s="60"/>
      <c r="J3778" s="60"/>
      <c r="K3778" s="60"/>
      <c r="L3778" s="60"/>
      <c r="M3778" s="64"/>
      <c r="N3778" s="33"/>
    </row>
    <row r="3779" ht="24" customHeight="1" spans="2:14">
      <c r="B3779" s="33"/>
      <c r="C3779" s="60"/>
      <c r="D3779" s="60"/>
      <c r="E3779" s="60"/>
      <c r="F3779" s="60"/>
      <c r="G3779" s="60"/>
      <c r="H3779" s="60"/>
      <c r="I3779" s="60"/>
      <c r="J3779" s="60"/>
      <c r="K3779" s="60"/>
      <c r="L3779" s="60"/>
      <c r="M3779" s="64"/>
      <c r="N3779" s="33"/>
    </row>
    <row r="3780" ht="24" customHeight="1" spans="2:14">
      <c r="B3780" s="33"/>
      <c r="C3780" s="60"/>
      <c r="D3780" s="60"/>
      <c r="E3780" s="60"/>
      <c r="F3780" s="60"/>
      <c r="G3780" s="60"/>
      <c r="H3780" s="60"/>
      <c r="I3780" s="60"/>
      <c r="J3780" s="60"/>
      <c r="K3780" s="60"/>
      <c r="L3780" s="60"/>
      <c r="M3780" s="64"/>
      <c r="N3780" s="33"/>
    </row>
    <row r="3781" ht="24" customHeight="1" spans="2:14">
      <c r="B3781" s="33"/>
      <c r="C3781" s="60"/>
      <c r="D3781" s="60"/>
      <c r="E3781" s="60"/>
      <c r="F3781" s="60"/>
      <c r="G3781" s="60"/>
      <c r="H3781" s="60"/>
      <c r="I3781" s="60"/>
      <c r="J3781" s="60"/>
      <c r="K3781" s="60"/>
      <c r="L3781" s="60"/>
      <c r="M3781" s="64"/>
      <c r="N3781" s="33"/>
    </row>
    <row r="3782" ht="24" customHeight="1" spans="2:14">
      <c r="B3782" s="33"/>
      <c r="C3782" s="60"/>
      <c r="D3782" s="60"/>
      <c r="E3782" s="60"/>
      <c r="F3782" s="60"/>
      <c r="G3782" s="60"/>
      <c r="H3782" s="60"/>
      <c r="I3782" s="60"/>
      <c r="J3782" s="60"/>
      <c r="K3782" s="60"/>
      <c r="L3782" s="60"/>
      <c r="M3782" s="64"/>
      <c r="N3782" s="33"/>
    </row>
    <row r="3783" ht="24" customHeight="1" spans="2:14">
      <c r="B3783" s="33"/>
      <c r="C3783" s="60"/>
      <c r="D3783" s="60"/>
      <c r="E3783" s="60"/>
      <c r="F3783" s="60"/>
      <c r="G3783" s="60"/>
      <c r="H3783" s="60"/>
      <c r="I3783" s="60"/>
      <c r="J3783" s="60"/>
      <c r="K3783" s="60"/>
      <c r="L3783" s="60"/>
      <c r="M3783" s="64"/>
      <c r="N3783" s="33"/>
    </row>
    <row r="3784" ht="24" customHeight="1" spans="2:14">
      <c r="B3784" s="33"/>
      <c r="C3784" s="60"/>
      <c r="D3784" s="60"/>
      <c r="E3784" s="60"/>
      <c r="F3784" s="60"/>
      <c r="G3784" s="60"/>
      <c r="H3784" s="60"/>
      <c r="I3784" s="60"/>
      <c r="J3784" s="60"/>
      <c r="K3784" s="60"/>
      <c r="L3784" s="60"/>
      <c r="M3784" s="64"/>
      <c r="N3784" s="33"/>
    </row>
    <row r="3785" ht="24" customHeight="1" spans="2:14">
      <c r="B3785" s="33"/>
      <c r="C3785" s="60"/>
      <c r="D3785" s="60"/>
      <c r="E3785" s="60"/>
      <c r="F3785" s="60"/>
      <c r="G3785" s="60"/>
      <c r="H3785" s="60"/>
      <c r="I3785" s="60"/>
      <c r="J3785" s="60"/>
      <c r="K3785" s="60"/>
      <c r="L3785" s="60"/>
      <c r="M3785" s="64"/>
      <c r="N3785" s="33"/>
    </row>
    <row r="3786" ht="24" customHeight="1" spans="2:14">
      <c r="B3786" s="33"/>
      <c r="C3786" s="60"/>
      <c r="D3786" s="60"/>
      <c r="E3786" s="60"/>
      <c r="F3786" s="60"/>
      <c r="G3786" s="60"/>
      <c r="H3786" s="60"/>
      <c r="I3786" s="60"/>
      <c r="J3786" s="60"/>
      <c r="K3786" s="60"/>
      <c r="L3786" s="60"/>
      <c r="M3786" s="64"/>
      <c r="N3786" s="33"/>
    </row>
    <row r="3787" ht="24" customHeight="1" spans="2:14">
      <c r="B3787" s="33"/>
      <c r="C3787" s="60"/>
      <c r="D3787" s="60"/>
      <c r="E3787" s="60"/>
      <c r="F3787" s="60"/>
      <c r="G3787" s="60"/>
      <c r="H3787" s="60"/>
      <c r="I3787" s="60"/>
      <c r="J3787" s="60"/>
      <c r="K3787" s="60"/>
      <c r="L3787" s="60"/>
      <c r="M3787" s="64"/>
      <c r="N3787" s="33"/>
    </row>
    <row r="3788" ht="24" customHeight="1" spans="2:14">
      <c r="B3788" s="33"/>
      <c r="C3788" s="60"/>
      <c r="D3788" s="60"/>
      <c r="E3788" s="60"/>
      <c r="F3788" s="60"/>
      <c r="G3788" s="60"/>
      <c r="H3788" s="60"/>
      <c r="I3788" s="60"/>
      <c r="J3788" s="60"/>
      <c r="K3788" s="60"/>
      <c r="L3788" s="60"/>
      <c r="M3788" s="64"/>
      <c r="N3788" s="33"/>
    </row>
    <row r="3789" ht="24" customHeight="1" spans="2:14">
      <c r="B3789" s="33"/>
      <c r="C3789" s="60"/>
      <c r="D3789" s="60"/>
      <c r="E3789" s="60"/>
      <c r="F3789" s="60"/>
      <c r="G3789" s="60"/>
      <c r="H3789" s="60"/>
      <c r="I3789" s="60"/>
      <c r="J3789" s="60"/>
      <c r="K3789" s="60"/>
      <c r="L3789" s="60"/>
      <c r="M3789" s="64"/>
      <c r="N3789" s="33"/>
    </row>
    <row r="3790" ht="24" customHeight="1" spans="2:14">
      <c r="B3790" s="33"/>
      <c r="C3790" s="60"/>
      <c r="D3790" s="60"/>
      <c r="E3790" s="60"/>
      <c r="F3790" s="60"/>
      <c r="G3790" s="60"/>
      <c r="H3790" s="60"/>
      <c r="I3790" s="60"/>
      <c r="J3790" s="60"/>
      <c r="K3790" s="60"/>
      <c r="L3790" s="60"/>
      <c r="M3790" s="64"/>
      <c r="N3790" s="33"/>
    </row>
    <row r="3791" ht="24" customHeight="1" spans="2:14">
      <c r="B3791" s="33"/>
      <c r="C3791" s="60"/>
      <c r="D3791" s="60"/>
      <c r="E3791" s="60"/>
      <c r="F3791" s="60"/>
      <c r="G3791" s="60"/>
      <c r="H3791" s="60"/>
      <c r="I3791" s="60"/>
      <c r="J3791" s="60"/>
      <c r="K3791" s="60"/>
      <c r="L3791" s="60"/>
      <c r="M3791" s="64"/>
      <c r="N3791" s="33"/>
    </row>
    <row r="3792" ht="24" customHeight="1" spans="2:14">
      <c r="B3792" s="33"/>
      <c r="C3792" s="60"/>
      <c r="D3792" s="60"/>
      <c r="E3792" s="60"/>
      <c r="F3792" s="60"/>
      <c r="G3792" s="60"/>
      <c r="H3792" s="60"/>
      <c r="I3792" s="60"/>
      <c r="J3792" s="60"/>
      <c r="K3792" s="60"/>
      <c r="L3792" s="60"/>
      <c r="M3792" s="64"/>
      <c r="N3792" s="33"/>
    </row>
    <row r="3793" ht="24" customHeight="1" spans="2:14">
      <c r="B3793" s="33"/>
      <c r="C3793" s="60"/>
      <c r="D3793" s="60"/>
      <c r="E3793" s="60"/>
      <c r="F3793" s="60"/>
      <c r="G3793" s="60"/>
      <c r="H3793" s="60"/>
      <c r="I3793" s="60"/>
      <c r="J3793" s="60"/>
      <c r="K3793" s="60"/>
      <c r="L3793" s="60"/>
      <c r="M3793" s="64"/>
      <c r="N3793" s="33"/>
    </row>
    <row r="3794" ht="24" customHeight="1" spans="2:14">
      <c r="B3794" s="33"/>
      <c r="C3794" s="60"/>
      <c r="D3794" s="60"/>
      <c r="E3794" s="60"/>
      <c r="F3794" s="60"/>
      <c r="G3794" s="60"/>
      <c r="H3794" s="60"/>
      <c r="I3794" s="60"/>
      <c r="J3794" s="60"/>
      <c r="K3794" s="60"/>
      <c r="L3794" s="60"/>
      <c r="M3794" s="64"/>
      <c r="N3794" s="33"/>
    </row>
    <row r="3795" ht="24" customHeight="1" spans="2:14">
      <c r="B3795" s="33"/>
      <c r="C3795" s="60"/>
      <c r="D3795" s="60"/>
      <c r="E3795" s="60"/>
      <c r="F3795" s="60"/>
      <c r="G3795" s="60"/>
      <c r="H3795" s="60"/>
      <c r="I3795" s="60"/>
      <c r="J3795" s="60"/>
      <c r="K3795" s="60"/>
      <c r="L3795" s="60"/>
      <c r="M3795" s="64"/>
      <c r="N3795" s="33"/>
    </row>
    <row r="3796" ht="24" customHeight="1" spans="2:14">
      <c r="B3796" s="33"/>
      <c r="C3796" s="60"/>
      <c r="D3796" s="60"/>
      <c r="E3796" s="60"/>
      <c r="F3796" s="60"/>
      <c r="G3796" s="60"/>
      <c r="H3796" s="60"/>
      <c r="I3796" s="60"/>
      <c r="J3796" s="60"/>
      <c r="K3796" s="60"/>
      <c r="L3796" s="60"/>
      <c r="M3796" s="64"/>
      <c r="N3796" s="33"/>
    </row>
    <row r="3797" ht="24" customHeight="1" spans="2:14">
      <c r="B3797" s="33"/>
      <c r="C3797" s="60"/>
      <c r="D3797" s="60"/>
      <c r="E3797" s="60"/>
      <c r="F3797" s="60"/>
      <c r="G3797" s="60"/>
      <c r="H3797" s="60"/>
      <c r="I3797" s="60"/>
      <c r="J3797" s="60"/>
      <c r="K3797" s="60"/>
      <c r="L3797" s="60"/>
      <c r="M3797" s="64"/>
      <c r="N3797" s="33"/>
    </row>
    <row r="3798" ht="24" customHeight="1" spans="2:14">
      <c r="B3798" s="33"/>
      <c r="C3798" s="60"/>
      <c r="D3798" s="60"/>
      <c r="E3798" s="60"/>
      <c r="F3798" s="60"/>
      <c r="G3798" s="60"/>
      <c r="H3798" s="60"/>
      <c r="I3798" s="60"/>
      <c r="J3798" s="60"/>
      <c r="K3798" s="60"/>
      <c r="L3798" s="60"/>
      <c r="M3798" s="64"/>
      <c r="N3798" s="33"/>
    </row>
    <row r="3799" ht="24" customHeight="1" spans="2:14">
      <c r="B3799" s="33"/>
      <c r="C3799" s="60"/>
      <c r="D3799" s="60"/>
      <c r="E3799" s="60"/>
      <c r="F3799" s="60"/>
      <c r="G3799" s="60"/>
      <c r="H3799" s="60"/>
      <c r="I3799" s="60"/>
      <c r="J3799" s="60"/>
      <c r="K3799" s="60"/>
      <c r="L3799" s="60"/>
      <c r="M3799" s="64"/>
      <c r="N3799" s="33"/>
    </row>
    <row r="3800" ht="24" customHeight="1" spans="2:14">
      <c r="B3800" s="33"/>
      <c r="C3800" s="60"/>
      <c r="D3800" s="60"/>
      <c r="E3800" s="60"/>
      <c r="F3800" s="60"/>
      <c r="G3800" s="60"/>
      <c r="H3800" s="60"/>
      <c r="I3800" s="60"/>
      <c r="J3800" s="60"/>
      <c r="K3800" s="60"/>
      <c r="L3800" s="60"/>
      <c r="M3800" s="64"/>
      <c r="N3800" s="33"/>
    </row>
    <row r="3801" ht="24" customHeight="1" spans="2:14">
      <c r="B3801" s="33"/>
      <c r="C3801" s="60"/>
      <c r="D3801" s="60"/>
      <c r="E3801" s="60"/>
      <c r="F3801" s="60"/>
      <c r="G3801" s="60"/>
      <c r="H3801" s="60"/>
      <c r="I3801" s="60"/>
      <c r="J3801" s="60"/>
      <c r="K3801" s="60"/>
      <c r="L3801" s="60"/>
      <c r="M3801" s="64"/>
      <c r="N3801" s="33"/>
    </row>
    <row r="3802" ht="24" customHeight="1" spans="2:14">
      <c r="B3802" s="33"/>
      <c r="C3802" s="60"/>
      <c r="D3802" s="60"/>
      <c r="E3802" s="60"/>
      <c r="F3802" s="60"/>
      <c r="G3802" s="60"/>
      <c r="H3802" s="60"/>
      <c r="I3802" s="60"/>
      <c r="J3802" s="60"/>
      <c r="K3802" s="60"/>
      <c r="L3802" s="60"/>
      <c r="M3802" s="64"/>
      <c r="N3802" s="33"/>
    </row>
    <row r="3803" ht="24" customHeight="1" spans="2:14">
      <c r="B3803" s="33"/>
      <c r="C3803" s="60"/>
      <c r="D3803" s="60"/>
      <c r="E3803" s="60"/>
      <c r="F3803" s="60"/>
      <c r="G3803" s="60"/>
      <c r="H3803" s="60"/>
      <c r="I3803" s="60"/>
      <c r="J3803" s="60"/>
      <c r="K3803" s="60"/>
      <c r="L3803" s="60"/>
      <c r="M3803" s="64"/>
      <c r="N3803" s="33"/>
    </row>
    <row r="3804" ht="24" customHeight="1" spans="2:14">
      <c r="B3804" s="33"/>
      <c r="C3804" s="60"/>
      <c r="D3804" s="60"/>
      <c r="E3804" s="60"/>
      <c r="F3804" s="60"/>
      <c r="G3804" s="60"/>
      <c r="H3804" s="60"/>
      <c r="I3804" s="60"/>
      <c r="J3804" s="60"/>
      <c r="K3804" s="60"/>
      <c r="L3804" s="60"/>
      <c r="M3804" s="64"/>
      <c r="N3804" s="33"/>
    </row>
    <row r="3805" ht="24" customHeight="1" spans="2:14">
      <c r="B3805" s="33"/>
      <c r="C3805" s="60"/>
      <c r="D3805" s="60"/>
      <c r="E3805" s="60"/>
      <c r="F3805" s="60"/>
      <c r="G3805" s="60"/>
      <c r="H3805" s="60"/>
      <c r="I3805" s="60"/>
      <c r="J3805" s="60"/>
      <c r="K3805" s="60"/>
      <c r="L3805" s="60"/>
      <c r="M3805" s="64"/>
      <c r="N3805" s="33"/>
    </row>
    <row r="3806" ht="24" customHeight="1" spans="2:14">
      <c r="B3806" s="33"/>
      <c r="C3806" s="60"/>
      <c r="D3806" s="60"/>
      <c r="E3806" s="60"/>
      <c r="F3806" s="60"/>
      <c r="G3806" s="60"/>
      <c r="H3806" s="60"/>
      <c r="I3806" s="60"/>
      <c r="J3806" s="60"/>
      <c r="K3806" s="60"/>
      <c r="L3806" s="60"/>
      <c r="M3806" s="64"/>
      <c r="N3806" s="33"/>
    </row>
    <row r="3807" ht="24" customHeight="1" spans="2:14">
      <c r="B3807" s="33"/>
      <c r="C3807" s="60"/>
      <c r="D3807" s="60"/>
      <c r="E3807" s="60"/>
      <c r="F3807" s="60"/>
      <c r="G3807" s="60"/>
      <c r="H3807" s="60"/>
      <c r="I3807" s="60"/>
      <c r="J3807" s="60"/>
      <c r="K3807" s="60"/>
      <c r="L3807" s="60"/>
      <c r="M3807" s="64"/>
      <c r="N3807" s="33"/>
    </row>
    <row r="3808" ht="24" customHeight="1" spans="2:14">
      <c r="B3808" s="33"/>
      <c r="C3808" s="60"/>
      <c r="D3808" s="60"/>
      <c r="E3808" s="60"/>
      <c r="F3808" s="60"/>
      <c r="G3808" s="60"/>
      <c r="H3808" s="60"/>
      <c r="I3808" s="60"/>
      <c r="J3808" s="60"/>
      <c r="K3808" s="60"/>
      <c r="L3808" s="60"/>
      <c r="M3808" s="64"/>
      <c r="N3808" s="33"/>
    </row>
    <row r="3809" ht="24" customHeight="1" spans="2:14">
      <c r="B3809" s="33"/>
      <c r="C3809" s="60"/>
      <c r="D3809" s="60"/>
      <c r="E3809" s="60"/>
      <c r="F3809" s="60"/>
      <c r="G3809" s="60"/>
      <c r="H3809" s="60"/>
      <c r="I3809" s="60"/>
      <c r="J3809" s="60"/>
      <c r="K3809" s="60"/>
      <c r="L3809" s="60"/>
      <c r="M3809" s="64"/>
      <c r="N3809" s="33"/>
    </row>
    <row r="3810" ht="24" customHeight="1" spans="2:14">
      <c r="B3810" s="33"/>
      <c r="C3810" s="60"/>
      <c r="D3810" s="60"/>
      <c r="E3810" s="60"/>
      <c r="F3810" s="60"/>
      <c r="G3810" s="60"/>
      <c r="H3810" s="60"/>
      <c r="I3810" s="60"/>
      <c r="J3810" s="60"/>
      <c r="K3810" s="60"/>
      <c r="L3810" s="60"/>
      <c r="M3810" s="64"/>
      <c r="N3810" s="33"/>
    </row>
    <row r="3811" ht="24" customHeight="1" spans="2:14">
      <c r="B3811" s="33"/>
      <c r="C3811" s="60"/>
      <c r="D3811" s="60"/>
      <c r="E3811" s="60"/>
      <c r="F3811" s="60"/>
      <c r="G3811" s="60"/>
      <c r="H3811" s="60"/>
      <c r="I3811" s="60"/>
      <c r="J3811" s="60"/>
      <c r="K3811" s="60"/>
      <c r="L3811" s="60"/>
      <c r="M3811" s="64"/>
      <c r="N3811" s="33"/>
    </row>
    <row r="3812" ht="24" customHeight="1" spans="2:14">
      <c r="B3812" s="33"/>
      <c r="C3812" s="60"/>
      <c r="D3812" s="60"/>
      <c r="E3812" s="60"/>
      <c r="F3812" s="60"/>
      <c r="G3812" s="60"/>
      <c r="H3812" s="60"/>
      <c r="I3812" s="60"/>
      <c r="J3812" s="60"/>
      <c r="K3812" s="60"/>
      <c r="L3812" s="60"/>
      <c r="M3812" s="64"/>
      <c r="N3812" s="33"/>
    </row>
    <row r="3813" ht="24" customHeight="1" spans="2:14">
      <c r="B3813" s="33"/>
      <c r="C3813" s="60"/>
      <c r="D3813" s="60"/>
      <c r="E3813" s="60"/>
      <c r="F3813" s="60"/>
      <c r="G3813" s="60"/>
      <c r="H3813" s="60"/>
      <c r="I3813" s="60"/>
      <c r="J3813" s="60"/>
      <c r="K3813" s="60"/>
      <c r="L3813" s="60"/>
      <c r="M3813" s="64"/>
      <c r="N3813" s="33"/>
    </row>
    <row r="3814" ht="24" customHeight="1" spans="2:14">
      <c r="B3814" s="33"/>
      <c r="C3814" s="60"/>
      <c r="D3814" s="60"/>
      <c r="E3814" s="60"/>
      <c r="F3814" s="60"/>
      <c r="G3814" s="60"/>
      <c r="H3814" s="60"/>
      <c r="I3814" s="60"/>
      <c r="J3814" s="60"/>
      <c r="K3814" s="60"/>
      <c r="L3814" s="60"/>
      <c r="M3814" s="64"/>
      <c r="N3814" s="33"/>
    </row>
    <row r="3815" ht="24" customHeight="1" spans="2:14">
      <c r="B3815" s="33"/>
      <c r="C3815" s="60"/>
      <c r="D3815" s="60"/>
      <c r="E3815" s="60"/>
      <c r="F3815" s="60"/>
      <c r="G3815" s="60"/>
      <c r="H3815" s="60"/>
      <c r="I3815" s="60"/>
      <c r="J3815" s="60"/>
      <c r="K3815" s="60"/>
      <c r="L3815" s="60"/>
      <c r="M3815" s="64"/>
      <c r="N3815" s="33"/>
    </row>
    <row r="3816" ht="24" customHeight="1" spans="2:14">
      <c r="B3816" s="33"/>
      <c r="C3816" s="60"/>
      <c r="D3816" s="60"/>
      <c r="E3816" s="60"/>
      <c r="F3816" s="60"/>
      <c r="G3816" s="60"/>
      <c r="H3816" s="60"/>
      <c r="I3816" s="60"/>
      <c r="J3816" s="60"/>
      <c r="K3816" s="60"/>
      <c r="L3816" s="60"/>
      <c r="M3816" s="64"/>
      <c r="N3816" s="33"/>
    </row>
    <row r="3817" ht="24" customHeight="1" spans="2:14">
      <c r="B3817" s="33"/>
      <c r="C3817" s="60"/>
      <c r="D3817" s="60"/>
      <c r="E3817" s="60"/>
      <c r="F3817" s="60"/>
      <c r="G3817" s="60"/>
      <c r="H3817" s="60"/>
      <c r="I3817" s="60"/>
      <c r="J3817" s="60"/>
      <c r="K3817" s="60"/>
      <c r="L3817" s="60"/>
      <c r="M3817" s="64"/>
      <c r="N3817" s="33"/>
    </row>
    <row r="3818" ht="24" customHeight="1" spans="2:14">
      <c r="B3818" s="33"/>
      <c r="C3818" s="60"/>
      <c r="D3818" s="60"/>
      <c r="E3818" s="60"/>
      <c r="F3818" s="60"/>
      <c r="G3818" s="60"/>
      <c r="H3818" s="60"/>
      <c r="I3818" s="60"/>
      <c r="J3818" s="60"/>
      <c r="K3818" s="60"/>
      <c r="L3818" s="60"/>
      <c r="M3818" s="64"/>
      <c r="N3818" s="33"/>
    </row>
    <row r="3819" ht="24" customHeight="1" spans="2:14">
      <c r="B3819" s="33"/>
      <c r="C3819" s="60"/>
      <c r="D3819" s="60"/>
      <c r="E3819" s="60"/>
      <c r="F3819" s="60"/>
      <c r="G3819" s="60"/>
      <c r="H3819" s="60"/>
      <c r="I3819" s="60"/>
      <c r="J3819" s="60"/>
      <c r="K3819" s="60"/>
      <c r="L3819" s="60"/>
      <c r="M3819" s="64"/>
      <c r="N3819" s="33"/>
    </row>
    <row r="3820" ht="24" customHeight="1" spans="2:14">
      <c r="B3820" s="33"/>
      <c r="C3820" s="60"/>
      <c r="D3820" s="60"/>
      <c r="E3820" s="60"/>
      <c r="F3820" s="60"/>
      <c r="G3820" s="60"/>
      <c r="H3820" s="60"/>
      <c r="I3820" s="60"/>
      <c r="J3820" s="60"/>
      <c r="K3820" s="60"/>
      <c r="L3820" s="60"/>
      <c r="M3820" s="64"/>
      <c r="N3820" s="33"/>
    </row>
    <row r="3821" ht="24" customHeight="1" spans="2:14">
      <c r="B3821" s="33"/>
      <c r="C3821" s="60"/>
      <c r="D3821" s="60"/>
      <c r="E3821" s="60"/>
      <c r="F3821" s="60"/>
      <c r="G3821" s="60"/>
      <c r="H3821" s="60"/>
      <c r="I3821" s="60"/>
      <c r="J3821" s="60"/>
      <c r="K3821" s="60"/>
      <c r="L3821" s="60"/>
      <c r="M3821" s="64"/>
      <c r="N3821" s="33"/>
    </row>
    <row r="3822" ht="24" customHeight="1" spans="2:14">
      <c r="B3822" s="33"/>
      <c r="C3822" s="60"/>
      <c r="D3822" s="60"/>
      <c r="E3822" s="60"/>
      <c r="F3822" s="60"/>
      <c r="G3822" s="60"/>
      <c r="H3822" s="60"/>
      <c r="I3822" s="60"/>
      <c r="J3822" s="60"/>
      <c r="K3822" s="60"/>
      <c r="L3822" s="60"/>
      <c r="M3822" s="64"/>
      <c r="N3822" s="33"/>
    </row>
    <row r="3823" ht="24" customHeight="1" spans="2:14">
      <c r="B3823" s="33"/>
      <c r="C3823" s="60"/>
      <c r="D3823" s="60"/>
      <c r="E3823" s="60"/>
      <c r="F3823" s="60"/>
      <c r="G3823" s="60"/>
      <c r="H3823" s="60"/>
      <c r="I3823" s="60"/>
      <c r="J3823" s="60"/>
      <c r="K3823" s="60"/>
      <c r="L3823" s="60"/>
      <c r="M3823" s="64"/>
      <c r="N3823" s="33"/>
    </row>
    <row r="3824" ht="24" customHeight="1" spans="2:14">
      <c r="B3824" s="33"/>
      <c r="C3824" s="60"/>
      <c r="D3824" s="60"/>
      <c r="E3824" s="60"/>
      <c r="F3824" s="60"/>
      <c r="G3824" s="60"/>
      <c r="H3824" s="60"/>
      <c r="I3824" s="60"/>
      <c r="J3824" s="60"/>
      <c r="K3824" s="60"/>
      <c r="L3824" s="60"/>
      <c r="M3824" s="64"/>
      <c r="N3824" s="33"/>
    </row>
    <row r="3825" ht="24" customHeight="1" spans="2:14">
      <c r="B3825" s="33"/>
      <c r="C3825" s="60"/>
      <c r="D3825" s="60"/>
      <c r="E3825" s="60"/>
      <c r="F3825" s="60"/>
      <c r="G3825" s="60"/>
      <c r="H3825" s="60"/>
      <c r="I3825" s="60"/>
      <c r="J3825" s="60"/>
      <c r="K3825" s="60"/>
      <c r="L3825" s="60"/>
      <c r="M3825" s="64"/>
      <c r="N3825" s="33"/>
    </row>
    <row r="3826" ht="24" customHeight="1" spans="2:14">
      <c r="B3826" s="33"/>
      <c r="C3826" s="60"/>
      <c r="D3826" s="60"/>
      <c r="E3826" s="60"/>
      <c r="F3826" s="60"/>
      <c r="G3826" s="60"/>
      <c r="H3826" s="60"/>
      <c r="I3826" s="60"/>
      <c r="J3826" s="60"/>
      <c r="K3826" s="60"/>
      <c r="L3826" s="60"/>
      <c r="M3826" s="64"/>
      <c r="N3826" s="33"/>
    </row>
    <row r="3827" ht="24" customHeight="1" spans="2:14">
      <c r="B3827" s="33"/>
      <c r="C3827" s="60"/>
      <c r="D3827" s="60"/>
      <c r="E3827" s="60"/>
      <c r="F3827" s="60"/>
      <c r="G3827" s="60"/>
      <c r="H3827" s="60"/>
      <c r="I3827" s="60"/>
      <c r="J3827" s="60"/>
      <c r="K3827" s="60"/>
      <c r="L3827" s="60"/>
      <c r="M3827" s="64"/>
      <c r="N3827" s="33"/>
    </row>
    <row r="3828" ht="24" customHeight="1" spans="2:14">
      <c r="B3828" s="33"/>
      <c r="C3828" s="60"/>
      <c r="D3828" s="60"/>
      <c r="E3828" s="60"/>
      <c r="F3828" s="60"/>
      <c r="G3828" s="60"/>
      <c r="H3828" s="60"/>
      <c r="I3828" s="60"/>
      <c r="J3828" s="60"/>
      <c r="K3828" s="60"/>
      <c r="L3828" s="60"/>
      <c r="M3828" s="64"/>
      <c r="N3828" s="33"/>
    </row>
    <row r="3829" ht="24" customHeight="1" spans="2:14">
      <c r="B3829" s="33"/>
      <c r="C3829" s="60"/>
      <c r="D3829" s="60"/>
      <c r="E3829" s="60"/>
      <c r="F3829" s="60"/>
      <c r="G3829" s="60"/>
      <c r="H3829" s="60"/>
      <c r="I3829" s="60"/>
      <c r="J3829" s="60"/>
      <c r="K3829" s="60"/>
      <c r="L3829" s="60"/>
      <c r="M3829" s="64"/>
      <c r="N3829" s="33"/>
    </row>
    <row r="3830" ht="24" customHeight="1" spans="2:14">
      <c r="B3830" s="33"/>
      <c r="C3830" s="60"/>
      <c r="D3830" s="60"/>
      <c r="E3830" s="60"/>
      <c r="F3830" s="60"/>
      <c r="G3830" s="60"/>
      <c r="H3830" s="60"/>
      <c r="I3830" s="60"/>
      <c r="J3830" s="60"/>
      <c r="K3830" s="60"/>
      <c r="L3830" s="60"/>
      <c r="M3830" s="64"/>
      <c r="N3830" s="33"/>
    </row>
    <row r="3831" ht="24" customHeight="1" spans="2:14">
      <c r="B3831" s="33"/>
      <c r="C3831" s="60"/>
      <c r="D3831" s="60"/>
      <c r="E3831" s="60"/>
      <c r="F3831" s="60"/>
      <c r="G3831" s="60"/>
      <c r="H3831" s="60"/>
      <c r="I3831" s="60"/>
      <c r="J3831" s="60"/>
      <c r="K3831" s="60"/>
      <c r="L3831" s="60"/>
      <c r="M3831" s="64"/>
      <c r="N3831" s="33"/>
    </row>
    <row r="3832" ht="24" customHeight="1" spans="2:14">
      <c r="B3832" s="33"/>
      <c r="C3832" s="60"/>
      <c r="D3832" s="60"/>
      <c r="E3832" s="60"/>
      <c r="F3832" s="60"/>
      <c r="G3832" s="60"/>
      <c r="H3832" s="60"/>
      <c r="I3832" s="60"/>
      <c r="J3832" s="60"/>
      <c r="K3832" s="60"/>
      <c r="L3832" s="60"/>
      <c r="M3832" s="64"/>
      <c r="N3832" s="33"/>
    </row>
    <row r="3833" ht="24" customHeight="1" spans="2:14">
      <c r="B3833" s="33"/>
      <c r="C3833" s="60"/>
      <c r="D3833" s="60"/>
      <c r="E3833" s="60"/>
      <c r="F3833" s="60"/>
      <c r="G3833" s="60"/>
      <c r="H3833" s="60"/>
      <c r="I3833" s="60"/>
      <c r="J3833" s="60"/>
      <c r="K3833" s="60"/>
      <c r="L3833" s="60"/>
      <c r="M3833" s="64"/>
      <c r="N3833" s="33"/>
    </row>
    <row r="3834" ht="24" customHeight="1" spans="2:14">
      <c r="B3834" s="33"/>
      <c r="C3834" s="60"/>
      <c r="D3834" s="60"/>
      <c r="E3834" s="60"/>
      <c r="F3834" s="60"/>
      <c r="G3834" s="60"/>
      <c r="H3834" s="60"/>
      <c r="I3834" s="60"/>
      <c r="J3834" s="60"/>
      <c r="K3834" s="60"/>
      <c r="L3834" s="60"/>
      <c r="M3834" s="64"/>
      <c r="N3834" s="33"/>
    </row>
    <row r="3835" ht="24" customHeight="1" spans="2:14">
      <c r="B3835" s="33"/>
      <c r="C3835" s="60"/>
      <c r="D3835" s="60"/>
      <c r="E3835" s="60"/>
      <c r="F3835" s="60"/>
      <c r="G3835" s="60"/>
      <c r="H3835" s="60"/>
      <c r="I3835" s="60"/>
      <c r="J3835" s="60"/>
      <c r="K3835" s="60"/>
      <c r="L3835" s="60"/>
      <c r="M3835" s="64"/>
      <c r="N3835" s="33"/>
    </row>
    <row r="3836" ht="24" customHeight="1" spans="2:14">
      <c r="B3836" s="33"/>
      <c r="C3836" s="60"/>
      <c r="D3836" s="60"/>
      <c r="E3836" s="60"/>
      <c r="F3836" s="60"/>
      <c r="G3836" s="60"/>
      <c r="H3836" s="60"/>
      <c r="I3836" s="60"/>
      <c r="J3836" s="60"/>
      <c r="K3836" s="60"/>
      <c r="L3836" s="60"/>
      <c r="M3836" s="64"/>
      <c r="N3836" s="33"/>
    </row>
    <row r="3837" ht="24" customHeight="1" spans="2:14">
      <c r="B3837" s="33"/>
      <c r="C3837" s="60"/>
      <c r="D3837" s="60"/>
      <c r="E3837" s="60"/>
      <c r="F3837" s="60"/>
      <c r="G3837" s="60"/>
      <c r="H3837" s="60"/>
      <c r="I3837" s="60"/>
      <c r="J3837" s="60"/>
      <c r="K3837" s="60"/>
      <c r="L3837" s="60"/>
      <c r="M3837" s="64"/>
      <c r="N3837" s="33"/>
    </row>
    <row r="3838" ht="24" customHeight="1" spans="2:14">
      <c r="B3838" s="33"/>
      <c r="C3838" s="60"/>
      <c r="D3838" s="60"/>
      <c r="E3838" s="60"/>
      <c r="F3838" s="60"/>
      <c r="G3838" s="60"/>
      <c r="H3838" s="60"/>
      <c r="I3838" s="60"/>
      <c r="J3838" s="60"/>
      <c r="K3838" s="60"/>
      <c r="L3838" s="60"/>
      <c r="M3838" s="64"/>
      <c r="N3838" s="33"/>
    </row>
    <row r="3839" ht="24" customHeight="1" spans="2:14">
      <c r="B3839" s="33"/>
      <c r="C3839" s="60"/>
      <c r="D3839" s="60"/>
      <c r="E3839" s="60"/>
      <c r="F3839" s="60"/>
      <c r="G3839" s="60"/>
      <c r="H3839" s="60"/>
      <c r="I3839" s="60"/>
      <c r="J3839" s="60"/>
      <c r="K3839" s="60"/>
      <c r="L3839" s="60"/>
      <c r="M3839" s="64"/>
      <c r="N3839" s="33"/>
    </row>
    <row r="3840" ht="24" customHeight="1" spans="2:14">
      <c r="B3840" s="33"/>
      <c r="C3840" s="60"/>
      <c r="D3840" s="60"/>
      <c r="E3840" s="60"/>
      <c r="F3840" s="60"/>
      <c r="G3840" s="60"/>
      <c r="H3840" s="60"/>
      <c r="I3840" s="60"/>
      <c r="J3840" s="60"/>
      <c r="K3840" s="60"/>
      <c r="L3840" s="60"/>
      <c r="M3840" s="64"/>
      <c r="N3840" s="33"/>
    </row>
    <row r="3841" ht="24" customHeight="1" spans="2:14">
      <c r="B3841" s="33"/>
      <c r="C3841" s="60"/>
      <c r="D3841" s="60"/>
      <c r="E3841" s="60"/>
      <c r="F3841" s="60"/>
      <c r="G3841" s="60"/>
      <c r="H3841" s="60"/>
      <c r="I3841" s="60"/>
      <c r="J3841" s="60"/>
      <c r="K3841" s="60"/>
      <c r="L3841" s="60"/>
      <c r="M3841" s="64"/>
      <c r="N3841" s="33"/>
    </row>
    <row r="3842" ht="24" customHeight="1" spans="2:14">
      <c r="B3842" s="33"/>
      <c r="C3842" s="60"/>
      <c r="D3842" s="60"/>
      <c r="E3842" s="60"/>
      <c r="F3842" s="60"/>
      <c r="G3842" s="60"/>
      <c r="H3842" s="60"/>
      <c r="I3842" s="60"/>
      <c r="J3842" s="60"/>
      <c r="K3842" s="60"/>
      <c r="L3842" s="60"/>
      <c r="M3842" s="64"/>
      <c r="N3842" s="33"/>
    </row>
    <row r="3843" ht="24" customHeight="1" spans="2:14">
      <c r="B3843" s="33"/>
      <c r="C3843" s="60"/>
      <c r="D3843" s="60"/>
      <c r="E3843" s="60"/>
      <c r="F3843" s="60"/>
      <c r="G3843" s="60"/>
      <c r="H3843" s="60"/>
      <c r="I3843" s="60"/>
      <c r="J3843" s="60"/>
      <c r="K3843" s="60"/>
      <c r="L3843" s="60"/>
      <c r="M3843" s="64"/>
      <c r="N3843" s="33"/>
    </row>
    <row r="3844" ht="24" customHeight="1" spans="2:14">
      <c r="B3844" s="33"/>
      <c r="C3844" s="60"/>
      <c r="D3844" s="60"/>
      <c r="E3844" s="60"/>
      <c r="F3844" s="60"/>
      <c r="G3844" s="60"/>
      <c r="H3844" s="60"/>
      <c r="I3844" s="60"/>
      <c r="J3844" s="60"/>
      <c r="K3844" s="60"/>
      <c r="L3844" s="60"/>
      <c r="M3844" s="64"/>
      <c r="N3844" s="33"/>
    </row>
    <row r="3845" ht="24" customHeight="1" spans="2:14">
      <c r="B3845" s="33"/>
      <c r="C3845" s="60"/>
      <c r="D3845" s="60"/>
      <c r="E3845" s="60"/>
      <c r="F3845" s="60"/>
      <c r="G3845" s="60"/>
      <c r="H3845" s="60"/>
      <c r="I3845" s="60"/>
      <c r="J3845" s="60"/>
      <c r="K3845" s="60"/>
      <c r="L3845" s="60"/>
      <c r="M3845" s="64"/>
      <c r="N3845" s="33"/>
    </row>
    <row r="3846" ht="24" customHeight="1" spans="2:14">
      <c r="B3846" s="33"/>
      <c r="C3846" s="60"/>
      <c r="D3846" s="60"/>
      <c r="E3846" s="60"/>
      <c r="F3846" s="60"/>
      <c r="G3846" s="60"/>
      <c r="H3846" s="60"/>
      <c r="I3846" s="60"/>
      <c r="J3846" s="60"/>
      <c r="K3846" s="60"/>
      <c r="L3846" s="60"/>
      <c r="M3846" s="64"/>
      <c r="N3846" s="33"/>
    </row>
    <row r="3847" ht="24" customHeight="1" spans="2:14">
      <c r="B3847" s="33"/>
      <c r="C3847" s="60"/>
      <c r="D3847" s="60"/>
      <c r="E3847" s="60"/>
      <c r="F3847" s="60"/>
      <c r="G3847" s="60"/>
      <c r="H3847" s="60"/>
      <c r="I3847" s="60"/>
      <c r="J3847" s="60"/>
      <c r="K3847" s="60"/>
      <c r="L3847" s="60"/>
      <c r="M3847" s="64"/>
      <c r="N3847" s="33"/>
    </row>
    <row r="3848" ht="24" customHeight="1" spans="2:14">
      <c r="B3848" s="33"/>
      <c r="C3848" s="60"/>
      <c r="D3848" s="60"/>
      <c r="E3848" s="60"/>
      <c r="F3848" s="60"/>
      <c r="G3848" s="60"/>
      <c r="H3848" s="60"/>
      <c r="I3848" s="60"/>
      <c r="J3848" s="60"/>
      <c r="K3848" s="60"/>
      <c r="L3848" s="60"/>
      <c r="M3848" s="64"/>
      <c r="N3848" s="33"/>
    </row>
    <row r="3849" ht="24" customHeight="1" spans="2:14">
      <c r="B3849" s="33"/>
      <c r="C3849" s="60"/>
      <c r="D3849" s="60"/>
      <c r="E3849" s="60"/>
      <c r="F3849" s="60"/>
      <c r="G3849" s="60"/>
      <c r="H3849" s="60"/>
      <c r="I3849" s="60"/>
      <c r="J3849" s="60"/>
      <c r="K3849" s="60"/>
      <c r="L3849" s="60"/>
      <c r="M3849" s="64"/>
      <c r="N3849" s="33"/>
    </row>
    <row r="3850" ht="24" customHeight="1" spans="2:14">
      <c r="B3850" s="33"/>
      <c r="C3850" s="60"/>
      <c r="D3850" s="60"/>
      <c r="E3850" s="60"/>
      <c r="F3850" s="60"/>
      <c r="G3850" s="60"/>
      <c r="H3850" s="60"/>
      <c r="I3850" s="60"/>
      <c r="J3850" s="60"/>
      <c r="K3850" s="60"/>
      <c r="L3850" s="60"/>
      <c r="M3850" s="64"/>
      <c r="N3850" s="33"/>
    </row>
    <row r="3851" ht="24" customHeight="1" spans="2:14">
      <c r="B3851" s="33"/>
      <c r="C3851" s="60"/>
      <c r="D3851" s="60"/>
      <c r="E3851" s="60"/>
      <c r="F3851" s="60"/>
      <c r="G3851" s="60"/>
      <c r="H3851" s="60"/>
      <c r="I3851" s="60"/>
      <c r="J3851" s="60"/>
      <c r="K3851" s="60"/>
      <c r="L3851" s="60"/>
      <c r="M3851" s="64"/>
      <c r="N3851" s="33"/>
    </row>
    <row r="3852" ht="24" customHeight="1" spans="2:14">
      <c r="B3852" s="33"/>
      <c r="C3852" s="60"/>
      <c r="D3852" s="60"/>
      <c r="E3852" s="60"/>
      <c r="F3852" s="60"/>
      <c r="G3852" s="60"/>
      <c r="H3852" s="60"/>
      <c r="I3852" s="60"/>
      <c r="J3852" s="60"/>
      <c r="K3852" s="60"/>
      <c r="L3852" s="60"/>
      <c r="M3852" s="64"/>
      <c r="N3852" s="33"/>
    </row>
    <row r="3853" ht="24" customHeight="1" spans="2:14">
      <c r="B3853" s="33"/>
      <c r="C3853" s="60"/>
      <c r="D3853" s="60"/>
      <c r="E3853" s="60"/>
      <c r="F3853" s="60"/>
      <c r="G3853" s="60"/>
      <c r="H3853" s="60"/>
      <c r="I3853" s="60"/>
      <c r="J3853" s="60"/>
      <c r="K3853" s="60"/>
      <c r="L3853" s="60"/>
      <c r="M3853" s="64"/>
      <c r="N3853" s="33"/>
    </row>
    <row r="3854" ht="24" customHeight="1" spans="2:14">
      <c r="B3854" s="33"/>
      <c r="C3854" s="60"/>
      <c r="D3854" s="60"/>
      <c r="E3854" s="60"/>
      <c r="F3854" s="60"/>
      <c r="G3854" s="60"/>
      <c r="H3854" s="60"/>
      <c r="I3854" s="60"/>
      <c r="J3854" s="60"/>
      <c r="K3854" s="60"/>
      <c r="L3854" s="60"/>
      <c r="M3854" s="64"/>
      <c r="N3854" s="33"/>
    </row>
    <row r="3855" ht="24" customHeight="1" spans="2:14">
      <c r="B3855" s="33"/>
      <c r="C3855" s="60"/>
      <c r="D3855" s="60"/>
      <c r="E3855" s="60"/>
      <c r="F3855" s="60"/>
      <c r="G3855" s="60"/>
      <c r="H3855" s="60"/>
      <c r="I3855" s="60"/>
      <c r="J3855" s="60"/>
      <c r="K3855" s="60"/>
      <c r="L3855" s="60"/>
      <c r="M3855" s="64"/>
      <c r="N3855" s="33"/>
    </row>
    <row r="3856" ht="24" customHeight="1" spans="2:14">
      <c r="B3856" s="33"/>
      <c r="C3856" s="60"/>
      <c r="D3856" s="60"/>
      <c r="E3856" s="60"/>
      <c r="F3856" s="60"/>
      <c r="G3856" s="60"/>
      <c r="H3856" s="60"/>
      <c r="I3856" s="60"/>
      <c r="J3856" s="60"/>
      <c r="K3856" s="60"/>
      <c r="L3856" s="60"/>
      <c r="M3856" s="64"/>
      <c r="N3856" s="33"/>
    </row>
    <row r="3857" ht="24" customHeight="1" spans="2:14">
      <c r="B3857" s="33"/>
      <c r="C3857" s="60"/>
      <c r="D3857" s="60"/>
      <c r="E3857" s="60"/>
      <c r="F3857" s="60"/>
      <c r="G3857" s="60"/>
      <c r="H3857" s="60"/>
      <c r="I3857" s="60"/>
      <c r="J3857" s="60"/>
      <c r="K3857" s="60"/>
      <c r="L3857" s="60"/>
      <c r="M3857" s="64"/>
      <c r="N3857" s="33"/>
    </row>
    <row r="3858" ht="24" customHeight="1" spans="2:14">
      <c r="B3858" s="33"/>
      <c r="C3858" s="60"/>
      <c r="D3858" s="60"/>
      <c r="E3858" s="60"/>
      <c r="F3858" s="60"/>
      <c r="G3858" s="60"/>
      <c r="H3858" s="60"/>
      <c r="I3858" s="60"/>
      <c r="J3858" s="60"/>
      <c r="K3858" s="60"/>
      <c r="L3858" s="60"/>
      <c r="M3858" s="64"/>
      <c r="N3858" s="33"/>
    </row>
    <row r="3859" ht="24" customHeight="1" spans="2:14">
      <c r="B3859" s="33"/>
      <c r="C3859" s="60"/>
      <c r="D3859" s="60"/>
      <c r="E3859" s="60"/>
      <c r="F3859" s="60"/>
      <c r="G3859" s="60"/>
      <c r="H3859" s="60"/>
      <c r="I3859" s="60"/>
      <c r="J3859" s="60"/>
      <c r="K3859" s="60"/>
      <c r="L3859" s="60"/>
      <c r="M3859" s="64"/>
      <c r="N3859" s="33"/>
    </row>
    <row r="3860" ht="24" customHeight="1" spans="2:14">
      <c r="B3860" s="33"/>
      <c r="C3860" s="60"/>
      <c r="D3860" s="60"/>
      <c r="E3860" s="60"/>
      <c r="F3860" s="60"/>
      <c r="G3860" s="60"/>
      <c r="H3860" s="60"/>
      <c r="I3860" s="60"/>
      <c r="J3860" s="60"/>
      <c r="K3860" s="60"/>
      <c r="L3860" s="60"/>
      <c r="M3860" s="64"/>
      <c r="N3860" s="33"/>
    </row>
    <row r="3861" ht="24" customHeight="1" spans="2:14">
      <c r="B3861" s="33"/>
      <c r="C3861" s="60"/>
      <c r="D3861" s="60"/>
      <c r="E3861" s="60"/>
      <c r="F3861" s="60"/>
      <c r="G3861" s="60"/>
      <c r="H3861" s="60"/>
      <c r="I3861" s="60"/>
      <c r="J3861" s="60"/>
      <c r="K3861" s="60"/>
      <c r="L3861" s="60"/>
      <c r="M3861" s="64"/>
      <c r="N3861" s="33"/>
    </row>
    <row r="3862" ht="24" customHeight="1" spans="2:14">
      <c r="B3862" s="33"/>
      <c r="C3862" s="60"/>
      <c r="D3862" s="60"/>
      <c r="E3862" s="60"/>
      <c r="F3862" s="60"/>
      <c r="G3862" s="60"/>
      <c r="H3862" s="60"/>
      <c r="I3862" s="60"/>
      <c r="J3862" s="60"/>
      <c r="K3862" s="60"/>
      <c r="L3862" s="60"/>
      <c r="M3862" s="64"/>
      <c r="N3862" s="33"/>
    </row>
    <row r="3863" ht="24" customHeight="1" spans="2:14">
      <c r="B3863" s="33"/>
      <c r="C3863" s="60"/>
      <c r="D3863" s="60"/>
      <c r="E3863" s="60"/>
      <c r="F3863" s="60"/>
      <c r="G3863" s="60"/>
      <c r="H3863" s="60"/>
      <c r="I3863" s="60"/>
      <c r="J3863" s="60"/>
      <c r="K3863" s="60"/>
      <c r="L3863" s="60"/>
      <c r="M3863" s="64"/>
      <c r="N3863" s="33"/>
    </row>
    <row r="3864" ht="24" customHeight="1" spans="2:14">
      <c r="B3864" s="33"/>
      <c r="C3864" s="60"/>
      <c r="D3864" s="60"/>
      <c r="E3864" s="60"/>
      <c r="F3864" s="60"/>
      <c r="G3864" s="60"/>
      <c r="H3864" s="60"/>
      <c r="I3864" s="60"/>
      <c r="J3864" s="60"/>
      <c r="K3864" s="60"/>
      <c r="L3864" s="60"/>
      <c r="M3864" s="64"/>
      <c r="N3864" s="33"/>
    </row>
    <row r="3865" ht="24" customHeight="1" spans="2:14">
      <c r="B3865" s="33"/>
      <c r="C3865" s="60"/>
      <c r="D3865" s="60"/>
      <c r="E3865" s="60"/>
      <c r="F3865" s="60"/>
      <c r="G3865" s="60"/>
      <c r="H3865" s="60"/>
      <c r="I3865" s="60"/>
      <c r="J3865" s="60"/>
      <c r="K3865" s="60"/>
      <c r="L3865" s="60"/>
      <c r="M3865" s="64"/>
      <c r="N3865" s="33"/>
    </row>
    <row r="3866" ht="24" customHeight="1" spans="2:14">
      <c r="B3866" s="33"/>
      <c r="C3866" s="60"/>
      <c r="D3866" s="60"/>
      <c r="E3866" s="60"/>
      <c r="F3866" s="60"/>
      <c r="G3866" s="60"/>
      <c r="H3866" s="60"/>
      <c r="I3866" s="60"/>
      <c r="J3866" s="60"/>
      <c r="K3866" s="60"/>
      <c r="L3866" s="60"/>
      <c r="M3866" s="64"/>
      <c r="N3866" s="33"/>
    </row>
    <row r="3867" ht="24" customHeight="1" spans="2:14">
      <c r="B3867" s="33"/>
      <c r="C3867" s="60"/>
      <c r="D3867" s="60"/>
      <c r="E3867" s="60"/>
      <c r="F3867" s="60"/>
      <c r="G3867" s="60"/>
      <c r="H3867" s="60"/>
      <c r="I3867" s="60"/>
      <c r="J3867" s="60"/>
      <c r="K3867" s="60"/>
      <c r="L3867" s="60"/>
      <c r="M3867" s="64"/>
      <c r="N3867" s="33"/>
    </row>
    <row r="3868" ht="24" customHeight="1" spans="2:14">
      <c r="B3868" s="33"/>
      <c r="C3868" s="60"/>
      <c r="D3868" s="60"/>
      <c r="E3868" s="60"/>
      <c r="F3868" s="60"/>
      <c r="G3868" s="60"/>
      <c r="H3868" s="60"/>
      <c r="I3868" s="60"/>
      <c r="J3868" s="60"/>
      <c r="K3868" s="60"/>
      <c r="L3868" s="60"/>
      <c r="M3868" s="64"/>
      <c r="N3868" s="33"/>
    </row>
    <row r="3869" ht="24" customHeight="1" spans="2:14">
      <c r="B3869" s="33"/>
      <c r="C3869" s="60"/>
      <c r="D3869" s="60"/>
      <c r="E3869" s="60"/>
      <c r="F3869" s="60"/>
      <c r="G3869" s="60"/>
      <c r="H3869" s="60"/>
      <c r="I3869" s="60"/>
      <c r="J3869" s="60"/>
      <c r="K3869" s="60"/>
      <c r="L3869" s="60"/>
      <c r="M3869" s="64"/>
      <c r="N3869" s="33"/>
    </row>
    <row r="3870" ht="24" customHeight="1" spans="2:14">
      <c r="B3870" s="33"/>
      <c r="C3870" s="60"/>
      <c r="D3870" s="60"/>
      <c r="E3870" s="60"/>
      <c r="F3870" s="60"/>
      <c r="G3870" s="60"/>
      <c r="H3870" s="60"/>
      <c r="I3870" s="60"/>
      <c r="J3870" s="60"/>
      <c r="K3870" s="60"/>
      <c r="L3870" s="60"/>
      <c r="M3870" s="64"/>
      <c r="N3870" s="33"/>
    </row>
    <row r="3871" ht="24" customHeight="1" spans="2:14">
      <c r="B3871" s="33"/>
      <c r="C3871" s="60"/>
      <c r="D3871" s="60"/>
      <c r="E3871" s="60"/>
      <c r="F3871" s="60"/>
      <c r="G3871" s="60"/>
      <c r="H3871" s="60"/>
      <c r="I3871" s="60"/>
      <c r="J3871" s="60"/>
      <c r="K3871" s="60"/>
      <c r="L3871" s="60"/>
      <c r="M3871" s="64"/>
      <c r="N3871" s="33"/>
    </row>
    <row r="3872" ht="24" customHeight="1" spans="2:14">
      <c r="B3872" s="33"/>
      <c r="C3872" s="60"/>
      <c r="D3872" s="60"/>
      <c r="E3872" s="60"/>
      <c r="F3872" s="60"/>
      <c r="G3872" s="60"/>
      <c r="H3872" s="60"/>
      <c r="I3872" s="60"/>
      <c r="J3872" s="60"/>
      <c r="K3872" s="60"/>
      <c r="L3872" s="60"/>
      <c r="M3872" s="64"/>
      <c r="N3872" s="33"/>
    </row>
    <row r="3873" ht="24" customHeight="1" spans="2:14">
      <c r="B3873" s="33"/>
      <c r="C3873" s="60"/>
      <c r="D3873" s="60"/>
      <c r="E3873" s="60"/>
      <c r="F3873" s="60"/>
      <c r="G3873" s="60"/>
      <c r="H3873" s="60"/>
      <c r="I3873" s="60"/>
      <c r="J3873" s="60"/>
      <c r="K3873" s="60"/>
      <c r="L3873" s="60"/>
      <c r="M3873" s="64"/>
      <c r="N3873" s="33"/>
    </row>
    <row r="3874" ht="24" customHeight="1" spans="2:14">
      <c r="B3874" s="33"/>
      <c r="C3874" s="60"/>
      <c r="D3874" s="60"/>
      <c r="E3874" s="60"/>
      <c r="F3874" s="60"/>
      <c r="G3874" s="60"/>
      <c r="H3874" s="60"/>
      <c r="I3874" s="60"/>
      <c r="J3874" s="60"/>
      <c r="K3874" s="60"/>
      <c r="L3874" s="60"/>
      <c r="M3874" s="64"/>
      <c r="N3874" s="33"/>
    </row>
    <row r="3875" ht="24" customHeight="1" spans="2:14">
      <c r="B3875" s="33"/>
      <c r="C3875" s="60"/>
      <c r="D3875" s="60"/>
      <c r="E3875" s="60"/>
      <c r="F3875" s="60"/>
      <c r="G3875" s="60"/>
      <c r="H3875" s="60"/>
      <c r="I3875" s="60"/>
      <c r="J3875" s="60"/>
      <c r="K3875" s="60"/>
      <c r="L3875" s="60"/>
      <c r="M3875" s="64"/>
      <c r="N3875" s="33"/>
    </row>
    <row r="3876" ht="24" customHeight="1" spans="2:14">
      <c r="B3876" s="33"/>
      <c r="C3876" s="60"/>
      <c r="D3876" s="60"/>
      <c r="E3876" s="60"/>
      <c r="F3876" s="60"/>
      <c r="G3876" s="60"/>
      <c r="H3876" s="60"/>
      <c r="I3876" s="60"/>
      <c r="J3876" s="60"/>
      <c r="K3876" s="60"/>
      <c r="L3876" s="60"/>
      <c r="M3876" s="64"/>
      <c r="N3876" s="33"/>
    </row>
    <row r="3877" ht="24" customHeight="1" spans="2:14">
      <c r="B3877" s="33"/>
      <c r="C3877" s="60"/>
      <c r="D3877" s="60"/>
      <c r="E3877" s="60"/>
      <c r="F3877" s="60"/>
      <c r="G3877" s="60"/>
      <c r="H3877" s="60"/>
      <c r="I3877" s="60"/>
      <c r="J3877" s="60"/>
      <c r="K3877" s="60"/>
      <c r="L3877" s="60"/>
      <c r="M3877" s="64"/>
      <c r="N3877" s="33"/>
    </row>
    <row r="3878" ht="24" customHeight="1" spans="2:14">
      <c r="B3878" s="33"/>
      <c r="C3878" s="60"/>
      <c r="D3878" s="60"/>
      <c r="E3878" s="60"/>
      <c r="F3878" s="60"/>
      <c r="G3878" s="60"/>
      <c r="H3878" s="60"/>
      <c r="I3878" s="60"/>
      <c r="J3878" s="60"/>
      <c r="K3878" s="60"/>
      <c r="L3878" s="60"/>
      <c r="M3878" s="64"/>
      <c r="N3878" s="33"/>
    </row>
    <row r="3879" ht="24" customHeight="1" spans="2:14">
      <c r="B3879" s="33"/>
      <c r="C3879" s="60"/>
      <c r="D3879" s="60"/>
      <c r="E3879" s="60"/>
      <c r="F3879" s="60"/>
      <c r="G3879" s="60"/>
      <c r="H3879" s="60"/>
      <c r="I3879" s="60"/>
      <c r="J3879" s="60"/>
      <c r="K3879" s="60"/>
      <c r="L3879" s="60"/>
      <c r="M3879" s="64"/>
      <c r="N3879" s="33"/>
    </row>
    <row r="3880" ht="24" customHeight="1" spans="2:14">
      <c r="B3880" s="33"/>
      <c r="C3880" s="60"/>
      <c r="D3880" s="60"/>
      <c r="E3880" s="60"/>
      <c r="F3880" s="60"/>
      <c r="G3880" s="60"/>
      <c r="H3880" s="60"/>
      <c r="I3880" s="60"/>
      <c r="J3880" s="60"/>
      <c r="K3880" s="60"/>
      <c r="L3880" s="60"/>
      <c r="M3880" s="64"/>
      <c r="N3880" s="33"/>
    </row>
    <row r="3881" ht="24" customHeight="1" spans="2:14">
      <c r="B3881" s="33"/>
      <c r="C3881" s="60"/>
      <c r="D3881" s="60"/>
      <c r="E3881" s="60"/>
      <c r="F3881" s="60"/>
      <c r="G3881" s="60"/>
      <c r="H3881" s="60"/>
      <c r="I3881" s="60"/>
      <c r="J3881" s="60"/>
      <c r="K3881" s="60"/>
      <c r="L3881" s="60"/>
      <c r="M3881" s="64"/>
      <c r="N3881" s="33"/>
    </row>
    <row r="3882" ht="24" customHeight="1" spans="2:14">
      <c r="B3882" s="33"/>
      <c r="C3882" s="60"/>
      <c r="D3882" s="60"/>
      <c r="E3882" s="60"/>
      <c r="F3882" s="60"/>
      <c r="G3882" s="60"/>
      <c r="H3882" s="60"/>
      <c r="I3882" s="60"/>
      <c r="J3882" s="60"/>
      <c r="K3882" s="60"/>
      <c r="L3882" s="60"/>
      <c r="M3882" s="64"/>
      <c r="N3882" s="33"/>
    </row>
    <row r="3883" ht="24" customHeight="1" spans="2:14">
      <c r="B3883" s="33"/>
      <c r="C3883" s="60"/>
      <c r="D3883" s="60"/>
      <c r="E3883" s="60"/>
      <c r="F3883" s="60"/>
      <c r="G3883" s="60"/>
      <c r="H3883" s="60"/>
      <c r="I3883" s="60"/>
      <c r="J3883" s="60"/>
      <c r="K3883" s="60"/>
      <c r="L3883" s="60"/>
      <c r="M3883" s="64"/>
      <c r="N3883" s="33"/>
    </row>
    <row r="3884" ht="24" customHeight="1" spans="2:14">
      <c r="B3884" s="33"/>
      <c r="C3884" s="60"/>
      <c r="D3884" s="60"/>
      <c r="E3884" s="60"/>
      <c r="F3884" s="60"/>
      <c r="G3884" s="60"/>
      <c r="H3884" s="60"/>
      <c r="I3884" s="60"/>
      <c r="J3884" s="60"/>
      <c r="K3884" s="60"/>
      <c r="L3884" s="60"/>
      <c r="M3884" s="64"/>
      <c r="N3884" s="33"/>
    </row>
    <row r="3885" ht="24" customHeight="1" spans="2:14">
      <c r="B3885" s="33"/>
      <c r="C3885" s="60"/>
      <c r="D3885" s="60"/>
      <c r="E3885" s="60"/>
      <c r="F3885" s="60"/>
      <c r="G3885" s="60"/>
      <c r="H3885" s="60"/>
      <c r="I3885" s="60"/>
      <c r="J3885" s="60"/>
      <c r="K3885" s="60"/>
      <c r="L3885" s="60"/>
      <c r="M3885" s="64"/>
      <c r="N3885" s="33"/>
    </row>
    <row r="3886" ht="24" customHeight="1" spans="2:14">
      <c r="B3886" s="33"/>
      <c r="C3886" s="60"/>
      <c r="D3886" s="60"/>
      <c r="E3886" s="60"/>
      <c r="F3886" s="60"/>
      <c r="G3886" s="60"/>
      <c r="H3886" s="60"/>
      <c r="I3886" s="60"/>
      <c r="J3886" s="60"/>
      <c r="K3886" s="60"/>
      <c r="L3886" s="60"/>
      <c r="M3886" s="64"/>
      <c r="N3886" s="33"/>
    </row>
    <row r="3887" ht="24" customHeight="1" spans="2:14">
      <c r="B3887" s="33"/>
      <c r="C3887" s="60"/>
      <c r="D3887" s="60"/>
      <c r="E3887" s="60"/>
      <c r="F3887" s="60"/>
      <c r="G3887" s="60"/>
      <c r="H3887" s="60"/>
      <c r="I3887" s="60"/>
      <c r="J3887" s="60"/>
      <c r="K3887" s="60"/>
      <c r="L3887" s="60"/>
      <c r="M3887" s="64"/>
      <c r="N3887" s="33"/>
    </row>
    <row r="3888" ht="24" customHeight="1" spans="2:14">
      <c r="B3888" s="33"/>
      <c r="C3888" s="60"/>
      <c r="D3888" s="60"/>
      <c r="E3888" s="60"/>
      <c r="F3888" s="60"/>
      <c r="G3888" s="60"/>
      <c r="H3888" s="60"/>
      <c r="I3888" s="60"/>
      <c r="J3888" s="60"/>
      <c r="K3888" s="60"/>
      <c r="L3888" s="60"/>
      <c r="M3888" s="64"/>
      <c r="N3888" s="33"/>
    </row>
    <row r="3889" ht="24" customHeight="1" spans="2:14">
      <c r="B3889" s="33"/>
      <c r="C3889" s="60"/>
      <c r="D3889" s="60"/>
      <c r="E3889" s="60"/>
      <c r="F3889" s="60"/>
      <c r="G3889" s="60"/>
      <c r="H3889" s="60"/>
      <c r="I3889" s="60"/>
      <c r="J3889" s="60"/>
      <c r="K3889" s="60"/>
      <c r="L3889" s="60"/>
      <c r="M3889" s="64"/>
      <c r="N3889" s="33"/>
    </row>
    <row r="3890" ht="24" customHeight="1" spans="2:14">
      <c r="B3890" s="33"/>
      <c r="C3890" s="60"/>
      <c r="D3890" s="60"/>
      <c r="E3890" s="60"/>
      <c r="F3890" s="60"/>
      <c r="G3890" s="60"/>
      <c r="H3890" s="60"/>
      <c r="I3890" s="60"/>
      <c r="J3890" s="60"/>
      <c r="K3890" s="60"/>
      <c r="L3890" s="60"/>
      <c r="M3890" s="64"/>
      <c r="N3890" s="33"/>
    </row>
    <row r="3891" ht="24" customHeight="1" spans="2:14">
      <c r="B3891" s="33"/>
      <c r="C3891" s="60"/>
      <c r="D3891" s="60"/>
      <c r="E3891" s="60"/>
      <c r="F3891" s="60"/>
      <c r="G3891" s="60"/>
      <c r="H3891" s="60"/>
      <c r="I3891" s="60"/>
      <c r="J3891" s="60"/>
      <c r="K3891" s="60"/>
      <c r="L3891" s="60"/>
      <c r="M3891" s="64"/>
      <c r="N3891" s="33"/>
    </row>
    <row r="3892" ht="24" customHeight="1" spans="2:14">
      <c r="B3892" s="33"/>
      <c r="C3892" s="60"/>
      <c r="D3892" s="60"/>
      <c r="E3892" s="60"/>
      <c r="F3892" s="60"/>
      <c r="G3892" s="60"/>
      <c r="H3892" s="60"/>
      <c r="I3892" s="60"/>
      <c r="J3892" s="60"/>
      <c r="K3892" s="60"/>
      <c r="L3892" s="60"/>
      <c r="M3892" s="64"/>
      <c r="N3892" s="33"/>
    </row>
    <row r="3893" ht="24" customHeight="1" spans="2:14">
      <c r="B3893" s="33"/>
      <c r="C3893" s="60"/>
      <c r="D3893" s="60"/>
      <c r="E3893" s="60"/>
      <c r="F3893" s="60"/>
      <c r="G3893" s="60"/>
      <c r="H3893" s="60"/>
      <c r="I3893" s="60"/>
      <c r="J3893" s="60"/>
      <c r="K3893" s="60"/>
      <c r="L3893" s="60"/>
      <c r="M3893" s="64"/>
      <c r="N3893" s="33"/>
    </row>
    <row r="3894" ht="24" customHeight="1" spans="2:14">
      <c r="B3894" s="33"/>
      <c r="C3894" s="60"/>
      <c r="D3894" s="60"/>
      <c r="E3894" s="60"/>
      <c r="F3894" s="60"/>
      <c r="G3894" s="60"/>
      <c r="H3894" s="60"/>
      <c r="I3894" s="60"/>
      <c r="J3894" s="60"/>
      <c r="K3894" s="60"/>
      <c r="L3894" s="60"/>
      <c r="M3894" s="64"/>
      <c r="N3894" s="33"/>
    </row>
    <row r="3895" ht="24" customHeight="1" spans="2:14">
      <c r="B3895" s="33"/>
      <c r="C3895" s="60"/>
      <c r="D3895" s="60"/>
      <c r="E3895" s="60"/>
      <c r="F3895" s="60"/>
      <c r="G3895" s="60"/>
      <c r="H3895" s="60"/>
      <c r="I3895" s="60"/>
      <c r="J3895" s="60"/>
      <c r="K3895" s="60"/>
      <c r="L3895" s="60"/>
      <c r="M3895" s="64"/>
      <c r="N3895" s="33"/>
    </row>
    <row r="3896" ht="24" customHeight="1" spans="2:14">
      <c r="B3896" s="33"/>
      <c r="C3896" s="60"/>
      <c r="D3896" s="60"/>
      <c r="E3896" s="60"/>
      <c r="F3896" s="60"/>
      <c r="G3896" s="60"/>
      <c r="H3896" s="60"/>
      <c r="I3896" s="60"/>
      <c r="J3896" s="60"/>
      <c r="K3896" s="60"/>
      <c r="L3896" s="60"/>
      <c r="M3896" s="64"/>
      <c r="N3896" s="33"/>
    </row>
    <row r="3897" ht="24" customHeight="1" spans="2:14">
      <c r="B3897" s="33"/>
      <c r="C3897" s="60"/>
      <c r="D3897" s="60"/>
      <c r="E3897" s="60"/>
      <c r="F3897" s="60"/>
      <c r="G3897" s="60"/>
      <c r="H3897" s="60"/>
      <c r="I3897" s="60"/>
      <c r="J3897" s="60"/>
      <c r="K3897" s="60"/>
      <c r="L3897" s="60"/>
      <c r="M3897" s="64"/>
      <c r="N3897" s="33"/>
    </row>
    <row r="3898" ht="24" customHeight="1" spans="2:14">
      <c r="B3898" s="33"/>
      <c r="C3898" s="60"/>
      <c r="D3898" s="60"/>
      <c r="E3898" s="60"/>
      <c r="F3898" s="60"/>
      <c r="G3898" s="60"/>
      <c r="H3898" s="60"/>
      <c r="I3898" s="60"/>
      <c r="J3898" s="60"/>
      <c r="K3898" s="60"/>
      <c r="L3898" s="60"/>
      <c r="M3898" s="64"/>
      <c r="N3898" s="33"/>
    </row>
    <row r="3899" ht="24" customHeight="1" spans="2:14">
      <c r="B3899" s="33"/>
      <c r="C3899" s="60"/>
      <c r="D3899" s="60"/>
      <c r="E3899" s="60"/>
      <c r="F3899" s="60"/>
      <c r="G3899" s="60"/>
      <c r="H3899" s="60"/>
      <c r="I3899" s="60"/>
      <c r="J3899" s="60"/>
      <c r="K3899" s="60"/>
      <c r="L3899" s="60"/>
      <c r="M3899" s="64"/>
      <c r="N3899" s="33"/>
    </row>
    <row r="3900" ht="24" customHeight="1" spans="2:14">
      <c r="B3900" s="33"/>
      <c r="C3900" s="60"/>
      <c r="D3900" s="60"/>
      <c r="E3900" s="60"/>
      <c r="F3900" s="60"/>
      <c r="G3900" s="60"/>
      <c r="H3900" s="60"/>
      <c r="I3900" s="60"/>
      <c r="J3900" s="60"/>
      <c r="K3900" s="60"/>
      <c r="L3900" s="60"/>
      <c r="M3900" s="64"/>
      <c r="N3900" s="33"/>
    </row>
    <row r="3901" ht="24" customHeight="1" spans="2:14">
      <c r="B3901" s="33"/>
      <c r="C3901" s="60"/>
      <c r="D3901" s="60"/>
      <c r="E3901" s="60"/>
      <c r="F3901" s="60"/>
      <c r="G3901" s="60"/>
      <c r="H3901" s="60"/>
      <c r="I3901" s="60"/>
      <c r="J3901" s="60"/>
      <c r="K3901" s="60"/>
      <c r="L3901" s="60"/>
      <c r="M3901" s="64"/>
      <c r="N3901" s="33"/>
    </row>
    <row r="3902" ht="24" customHeight="1" spans="2:14">
      <c r="B3902" s="33"/>
      <c r="C3902" s="60"/>
      <c r="D3902" s="60"/>
      <c r="E3902" s="60"/>
      <c r="F3902" s="60"/>
      <c r="G3902" s="60"/>
      <c r="H3902" s="60"/>
      <c r="I3902" s="60"/>
      <c r="J3902" s="60"/>
      <c r="K3902" s="60"/>
      <c r="L3902" s="60"/>
      <c r="M3902" s="64"/>
      <c r="N3902" s="33"/>
    </row>
    <row r="3903" ht="24" customHeight="1" spans="2:14">
      <c r="B3903" s="33"/>
      <c r="C3903" s="60"/>
      <c r="D3903" s="60"/>
      <c r="E3903" s="60"/>
      <c r="F3903" s="60"/>
      <c r="G3903" s="60"/>
      <c r="H3903" s="60"/>
      <c r="I3903" s="60"/>
      <c r="J3903" s="60"/>
      <c r="K3903" s="60"/>
      <c r="L3903" s="60"/>
      <c r="M3903" s="64"/>
      <c r="N3903" s="33"/>
    </row>
    <row r="3904" ht="24" customHeight="1" spans="2:14">
      <c r="B3904" s="33"/>
      <c r="C3904" s="60"/>
      <c r="D3904" s="60"/>
      <c r="E3904" s="60"/>
      <c r="F3904" s="60"/>
      <c r="G3904" s="60"/>
      <c r="H3904" s="60"/>
      <c r="I3904" s="60"/>
      <c r="J3904" s="60"/>
      <c r="K3904" s="60"/>
      <c r="L3904" s="60"/>
      <c r="M3904" s="64"/>
      <c r="N3904" s="33"/>
    </row>
    <row r="3905" ht="24" customHeight="1" spans="2:14">
      <c r="B3905" s="33"/>
      <c r="C3905" s="60"/>
      <c r="D3905" s="60"/>
      <c r="E3905" s="60"/>
      <c r="F3905" s="60"/>
      <c r="G3905" s="60"/>
      <c r="H3905" s="60"/>
      <c r="I3905" s="60"/>
      <c r="J3905" s="60"/>
      <c r="K3905" s="60"/>
      <c r="L3905" s="60"/>
      <c r="M3905" s="64"/>
      <c r="N3905" s="33"/>
    </row>
    <row r="3906" ht="24" customHeight="1" spans="2:14">
      <c r="B3906" s="33"/>
      <c r="C3906" s="60"/>
      <c r="D3906" s="60"/>
      <c r="E3906" s="60"/>
      <c r="F3906" s="60"/>
      <c r="G3906" s="60"/>
      <c r="H3906" s="60"/>
      <c r="I3906" s="60"/>
      <c r="J3906" s="60"/>
      <c r="K3906" s="60"/>
      <c r="L3906" s="60"/>
      <c r="M3906" s="64"/>
      <c r="N3906" s="33"/>
    </row>
    <row r="3907" ht="24" customHeight="1" spans="2:14">
      <c r="B3907" s="33"/>
      <c r="C3907" s="60"/>
      <c r="D3907" s="60"/>
      <c r="E3907" s="60"/>
      <c r="F3907" s="60"/>
      <c r="G3907" s="60"/>
      <c r="H3907" s="60"/>
      <c r="I3907" s="60"/>
      <c r="J3907" s="60"/>
      <c r="K3907" s="60"/>
      <c r="L3907" s="60"/>
      <c r="M3907" s="64"/>
      <c r="N3907" s="33"/>
    </row>
    <row r="3908" ht="24" customHeight="1" spans="2:14">
      <c r="B3908" s="33"/>
      <c r="C3908" s="60"/>
      <c r="D3908" s="60"/>
      <c r="E3908" s="60"/>
      <c r="F3908" s="60"/>
      <c r="G3908" s="60"/>
      <c r="H3908" s="60"/>
      <c r="I3908" s="60"/>
      <c r="J3908" s="60"/>
      <c r="K3908" s="60"/>
      <c r="L3908" s="60"/>
      <c r="M3908" s="64"/>
      <c r="N3908" s="33"/>
    </row>
    <row r="3909" ht="24" customHeight="1" spans="2:14">
      <c r="B3909" s="33"/>
      <c r="C3909" s="60"/>
      <c r="D3909" s="60"/>
      <c r="E3909" s="60"/>
      <c r="F3909" s="60"/>
      <c r="G3909" s="60"/>
      <c r="H3909" s="60"/>
      <c r="I3909" s="60"/>
      <c r="J3909" s="60"/>
      <c r="K3909" s="60"/>
      <c r="L3909" s="60"/>
      <c r="M3909" s="64"/>
      <c r="N3909" s="33"/>
    </row>
    <row r="3910" ht="24" customHeight="1" spans="2:14">
      <c r="B3910" s="33"/>
      <c r="C3910" s="60"/>
      <c r="D3910" s="60"/>
      <c r="E3910" s="60"/>
      <c r="F3910" s="60"/>
      <c r="G3910" s="60"/>
      <c r="H3910" s="60"/>
      <c r="I3910" s="60"/>
      <c r="J3910" s="60"/>
      <c r="K3910" s="60"/>
      <c r="L3910" s="60"/>
      <c r="M3910" s="64"/>
      <c r="N3910" s="33"/>
    </row>
    <row r="3911" ht="24" customHeight="1" spans="2:14">
      <c r="B3911" s="33"/>
      <c r="C3911" s="60"/>
      <c r="D3911" s="60"/>
      <c r="E3911" s="60"/>
      <c r="F3911" s="60"/>
      <c r="G3911" s="60"/>
      <c r="H3911" s="60"/>
      <c r="I3911" s="60"/>
      <c r="J3911" s="60"/>
      <c r="K3911" s="60"/>
      <c r="L3911" s="60"/>
      <c r="M3911" s="64"/>
      <c r="N3911" s="33"/>
    </row>
    <row r="3912" ht="24" customHeight="1" spans="2:14">
      <c r="B3912" s="33"/>
      <c r="C3912" s="60"/>
      <c r="D3912" s="60"/>
      <c r="E3912" s="60"/>
      <c r="F3912" s="60"/>
      <c r="G3912" s="60"/>
      <c r="H3912" s="60"/>
      <c r="I3912" s="60"/>
      <c r="J3912" s="60"/>
      <c r="K3912" s="60"/>
      <c r="L3912" s="60"/>
      <c r="M3912" s="64"/>
      <c r="N3912" s="33"/>
    </row>
    <row r="3913" ht="24" customHeight="1" spans="2:14">
      <c r="B3913" s="33"/>
      <c r="C3913" s="60"/>
      <c r="D3913" s="60"/>
      <c r="E3913" s="60"/>
      <c r="F3913" s="60"/>
      <c r="G3913" s="60"/>
      <c r="H3913" s="60"/>
      <c r="I3913" s="60"/>
      <c r="J3913" s="60"/>
      <c r="K3913" s="60"/>
      <c r="L3913" s="60"/>
      <c r="M3913" s="64"/>
      <c r="N3913" s="33"/>
    </row>
    <row r="3914" ht="24" customHeight="1" spans="2:14">
      <c r="B3914" s="33"/>
      <c r="C3914" s="60"/>
      <c r="D3914" s="60"/>
      <c r="E3914" s="60"/>
      <c r="F3914" s="60"/>
      <c r="G3914" s="60"/>
      <c r="H3914" s="60"/>
      <c r="I3914" s="60"/>
      <c r="J3914" s="60"/>
      <c r="K3914" s="60"/>
      <c r="L3914" s="60"/>
      <c r="M3914" s="64"/>
      <c r="N3914" s="33"/>
    </row>
    <row r="3915" ht="24" customHeight="1" spans="2:14">
      <c r="B3915" s="33"/>
      <c r="C3915" s="60"/>
      <c r="D3915" s="60"/>
      <c r="E3915" s="60"/>
      <c r="F3915" s="60"/>
      <c r="G3915" s="60"/>
      <c r="H3915" s="60"/>
      <c r="I3915" s="60"/>
      <c r="J3915" s="60"/>
      <c r="K3915" s="60"/>
      <c r="L3915" s="60"/>
      <c r="M3915" s="64"/>
      <c r="N3915" s="33"/>
    </row>
    <row r="3916" ht="24" customHeight="1" spans="2:14">
      <c r="B3916" s="33"/>
      <c r="C3916" s="60"/>
      <c r="D3916" s="60"/>
      <c r="E3916" s="60"/>
      <c r="F3916" s="60"/>
      <c r="G3916" s="60"/>
      <c r="H3916" s="60"/>
      <c r="I3916" s="60"/>
      <c r="J3916" s="60"/>
      <c r="K3916" s="60"/>
      <c r="L3916" s="60"/>
      <c r="M3916" s="64"/>
      <c r="N3916" s="33"/>
    </row>
    <row r="3917" ht="24" customHeight="1" spans="2:14">
      <c r="B3917" s="33"/>
      <c r="C3917" s="60"/>
      <c r="D3917" s="60"/>
      <c r="E3917" s="60"/>
      <c r="F3917" s="60"/>
      <c r="G3917" s="60"/>
      <c r="H3917" s="60"/>
      <c r="I3917" s="60"/>
      <c r="J3917" s="60"/>
      <c r="K3917" s="60"/>
      <c r="L3917" s="60"/>
      <c r="M3917" s="64"/>
      <c r="N3917" s="33"/>
    </row>
    <row r="3918" ht="24" customHeight="1" spans="2:14">
      <c r="B3918" s="33"/>
      <c r="C3918" s="60"/>
      <c r="D3918" s="60"/>
      <c r="E3918" s="60"/>
      <c r="F3918" s="60"/>
      <c r="G3918" s="60"/>
      <c r="H3918" s="60"/>
      <c r="I3918" s="60"/>
      <c r="J3918" s="60"/>
      <c r="K3918" s="60"/>
      <c r="L3918" s="60"/>
      <c r="M3918" s="64"/>
      <c r="N3918" s="33"/>
    </row>
    <row r="3919" ht="24" customHeight="1" spans="2:14">
      <c r="B3919" s="33"/>
      <c r="C3919" s="60"/>
      <c r="D3919" s="60"/>
      <c r="E3919" s="60"/>
      <c r="F3919" s="60"/>
      <c r="G3919" s="60"/>
      <c r="H3919" s="60"/>
      <c r="I3919" s="60"/>
      <c r="J3919" s="60"/>
      <c r="K3919" s="60"/>
      <c r="L3919" s="60"/>
      <c r="M3919" s="64"/>
      <c r="N3919" s="33"/>
    </row>
    <row r="3920" ht="24" customHeight="1" spans="2:14">
      <c r="B3920" s="33"/>
      <c r="C3920" s="60"/>
      <c r="D3920" s="60"/>
      <c r="E3920" s="60"/>
      <c r="F3920" s="60"/>
      <c r="G3920" s="60"/>
      <c r="H3920" s="60"/>
      <c r="I3920" s="60"/>
      <c r="J3920" s="60"/>
      <c r="K3920" s="60"/>
      <c r="L3920" s="60"/>
      <c r="M3920" s="64"/>
      <c r="N3920" s="33"/>
    </row>
    <row r="3921" ht="24" customHeight="1" spans="2:14">
      <c r="B3921" s="33"/>
      <c r="C3921" s="60"/>
      <c r="D3921" s="60"/>
      <c r="E3921" s="60"/>
      <c r="F3921" s="60"/>
      <c r="G3921" s="60"/>
      <c r="H3921" s="60"/>
      <c r="I3921" s="60"/>
      <c r="J3921" s="60"/>
      <c r="K3921" s="60"/>
      <c r="L3921" s="60"/>
      <c r="M3921" s="64"/>
      <c r="N3921" s="33"/>
    </row>
    <row r="3922" ht="24" customHeight="1" spans="2:14">
      <c r="B3922" s="33"/>
      <c r="C3922" s="60"/>
      <c r="D3922" s="60"/>
      <c r="E3922" s="60"/>
      <c r="F3922" s="60"/>
      <c r="G3922" s="60"/>
      <c r="H3922" s="60"/>
      <c r="I3922" s="60"/>
      <c r="J3922" s="60"/>
      <c r="K3922" s="60"/>
      <c r="L3922" s="60"/>
      <c r="M3922" s="64"/>
      <c r="N3922" s="33"/>
    </row>
    <row r="3923" ht="24" customHeight="1" spans="2:14">
      <c r="B3923" s="33"/>
      <c r="C3923" s="60"/>
      <c r="D3923" s="60"/>
      <c r="E3923" s="60"/>
      <c r="F3923" s="60"/>
      <c r="G3923" s="60"/>
      <c r="H3923" s="60"/>
      <c r="I3923" s="60"/>
      <c r="J3923" s="60"/>
      <c r="K3923" s="60"/>
      <c r="L3923" s="60"/>
      <c r="M3923" s="64"/>
      <c r="N3923" s="33"/>
    </row>
    <row r="3924" ht="24" customHeight="1" spans="2:14">
      <c r="B3924" s="33"/>
      <c r="C3924" s="60"/>
      <c r="D3924" s="60"/>
      <c r="E3924" s="60"/>
      <c r="F3924" s="60"/>
      <c r="G3924" s="60"/>
      <c r="H3924" s="60"/>
      <c r="I3924" s="60"/>
      <c r="J3924" s="60"/>
      <c r="K3924" s="60"/>
      <c r="L3924" s="60"/>
      <c r="M3924" s="64"/>
      <c r="N3924" s="33"/>
    </row>
    <row r="3925" ht="24" customHeight="1" spans="2:14">
      <c r="B3925" s="33"/>
      <c r="C3925" s="60"/>
      <c r="D3925" s="60"/>
      <c r="E3925" s="60"/>
      <c r="F3925" s="60"/>
      <c r="G3925" s="60"/>
      <c r="H3925" s="60"/>
      <c r="I3925" s="60"/>
      <c r="J3925" s="60"/>
      <c r="K3925" s="60"/>
      <c r="L3925" s="60"/>
      <c r="M3925" s="64"/>
      <c r="N3925" s="33"/>
    </row>
    <row r="3926" ht="24" customHeight="1" spans="2:14">
      <c r="B3926" s="33"/>
      <c r="C3926" s="60"/>
      <c r="D3926" s="60"/>
      <c r="E3926" s="60"/>
      <c r="F3926" s="60"/>
      <c r="G3926" s="60"/>
      <c r="H3926" s="60"/>
      <c r="I3926" s="60"/>
      <c r="J3926" s="60"/>
      <c r="K3926" s="60"/>
      <c r="L3926" s="60"/>
      <c r="M3926" s="64"/>
      <c r="N3926" s="33"/>
    </row>
    <row r="3927" ht="24" customHeight="1" spans="2:14">
      <c r="B3927" s="33"/>
      <c r="C3927" s="60"/>
      <c r="D3927" s="60"/>
      <c r="E3927" s="60"/>
      <c r="F3927" s="60"/>
      <c r="G3927" s="60"/>
      <c r="H3927" s="60"/>
      <c r="I3927" s="60"/>
      <c r="J3927" s="60"/>
      <c r="K3927" s="60"/>
      <c r="L3927" s="60"/>
      <c r="M3927" s="64"/>
      <c r="N3927" s="33"/>
    </row>
    <row r="3928" ht="24" customHeight="1" spans="2:14">
      <c r="B3928" s="33"/>
      <c r="C3928" s="60"/>
      <c r="D3928" s="60"/>
      <c r="E3928" s="60"/>
      <c r="F3928" s="60"/>
      <c r="G3928" s="60"/>
      <c r="H3928" s="60"/>
      <c r="I3928" s="60"/>
      <c r="J3928" s="60"/>
      <c r="K3928" s="60"/>
      <c r="L3928" s="60"/>
      <c r="M3928" s="64"/>
      <c r="N3928" s="33"/>
    </row>
    <row r="3929" ht="24" customHeight="1" spans="2:14">
      <c r="B3929" s="33"/>
      <c r="C3929" s="60"/>
      <c r="D3929" s="60"/>
      <c r="E3929" s="60"/>
      <c r="F3929" s="60"/>
      <c r="G3929" s="60"/>
      <c r="H3929" s="60"/>
      <c r="I3929" s="60"/>
      <c r="J3929" s="60"/>
      <c r="K3929" s="60"/>
      <c r="L3929" s="60"/>
      <c r="M3929" s="64"/>
      <c r="N3929" s="33"/>
    </row>
    <row r="3930" ht="24" customHeight="1" spans="2:14">
      <c r="B3930" s="33"/>
      <c r="C3930" s="60"/>
      <c r="D3930" s="60"/>
      <c r="E3930" s="60"/>
      <c r="F3930" s="60"/>
      <c r="G3930" s="60"/>
      <c r="H3930" s="60"/>
      <c r="I3930" s="60"/>
      <c r="J3930" s="60"/>
      <c r="K3930" s="60"/>
      <c r="L3930" s="60"/>
      <c r="M3930" s="64"/>
      <c r="N3930" s="33"/>
    </row>
    <row r="3931" ht="24" customHeight="1" spans="2:14">
      <c r="B3931" s="33"/>
      <c r="C3931" s="60"/>
      <c r="D3931" s="60"/>
      <c r="E3931" s="60"/>
      <c r="F3931" s="60"/>
      <c r="G3931" s="60"/>
      <c r="H3931" s="60"/>
      <c r="I3931" s="60"/>
      <c r="J3931" s="60"/>
      <c r="K3931" s="60"/>
      <c r="L3931" s="60"/>
      <c r="M3931" s="64"/>
      <c r="N3931" s="33"/>
    </row>
    <row r="3932" ht="24" customHeight="1" spans="2:14">
      <c r="B3932" s="33"/>
      <c r="C3932" s="60"/>
      <c r="D3932" s="60"/>
      <c r="E3932" s="60"/>
      <c r="F3932" s="60"/>
      <c r="G3932" s="60"/>
      <c r="H3932" s="60"/>
      <c r="I3932" s="60"/>
      <c r="J3932" s="60"/>
      <c r="K3932" s="60"/>
      <c r="L3932" s="60"/>
      <c r="M3932" s="64"/>
      <c r="N3932" s="33"/>
    </row>
    <row r="3933" ht="24" customHeight="1" spans="2:14">
      <c r="B3933" s="33"/>
      <c r="C3933" s="60"/>
      <c r="D3933" s="60"/>
      <c r="E3933" s="60"/>
      <c r="F3933" s="60"/>
      <c r="G3933" s="60"/>
      <c r="H3933" s="60"/>
      <c r="I3933" s="60"/>
      <c r="J3933" s="60"/>
      <c r="K3933" s="60"/>
      <c r="L3933" s="60"/>
      <c r="M3933" s="64"/>
      <c r="N3933" s="33"/>
    </row>
    <row r="3934" ht="24" customHeight="1" spans="2:14">
      <c r="B3934" s="33"/>
      <c r="C3934" s="60"/>
      <c r="D3934" s="60"/>
      <c r="E3934" s="60"/>
      <c r="F3934" s="60"/>
      <c r="G3934" s="60"/>
      <c r="H3934" s="60"/>
      <c r="I3934" s="60"/>
      <c r="J3934" s="60"/>
      <c r="K3934" s="60"/>
      <c r="L3934" s="60"/>
      <c r="M3934" s="64"/>
      <c r="N3934" s="33"/>
    </row>
    <row r="3935" ht="24" customHeight="1" spans="2:14">
      <c r="B3935" s="33"/>
      <c r="C3935" s="60"/>
      <c r="D3935" s="60"/>
      <c r="E3935" s="60"/>
      <c r="F3935" s="60"/>
      <c r="G3935" s="60"/>
      <c r="H3935" s="60"/>
      <c r="I3935" s="60"/>
      <c r="J3935" s="60"/>
      <c r="K3935" s="60"/>
      <c r="L3935" s="60"/>
      <c r="M3935" s="64"/>
      <c r="N3935" s="33"/>
    </row>
    <row r="3936" ht="24" customHeight="1" spans="2:14">
      <c r="B3936" s="33"/>
      <c r="C3936" s="60"/>
      <c r="D3936" s="60"/>
      <c r="E3936" s="60"/>
      <c r="F3936" s="60"/>
      <c r="G3936" s="60"/>
      <c r="H3936" s="60"/>
      <c r="I3936" s="60"/>
      <c r="J3936" s="60"/>
      <c r="K3936" s="60"/>
      <c r="L3936" s="60"/>
      <c r="M3936" s="64"/>
      <c r="N3936" s="33"/>
    </row>
    <row r="3937" ht="24" customHeight="1" spans="2:14">
      <c r="B3937" s="33"/>
      <c r="C3937" s="60"/>
      <c r="D3937" s="60"/>
      <c r="E3937" s="60"/>
      <c r="F3937" s="60"/>
      <c r="G3937" s="60"/>
      <c r="H3937" s="60"/>
      <c r="I3937" s="60"/>
      <c r="J3937" s="60"/>
      <c r="K3937" s="60"/>
      <c r="L3937" s="60"/>
      <c r="M3937" s="64"/>
      <c r="N3937" s="33"/>
    </row>
    <row r="3938" ht="24" customHeight="1" spans="2:14">
      <c r="B3938" s="33"/>
      <c r="C3938" s="60"/>
      <c r="D3938" s="60"/>
      <c r="E3938" s="60"/>
      <c r="F3938" s="60"/>
      <c r="G3938" s="60"/>
      <c r="H3938" s="60"/>
      <c r="I3938" s="60"/>
      <c r="J3938" s="60"/>
      <c r="K3938" s="60"/>
      <c r="L3938" s="60"/>
      <c r="M3938" s="64"/>
      <c r="N3938" s="33"/>
    </row>
    <row r="3939" ht="24" customHeight="1" spans="2:14">
      <c r="B3939" s="33"/>
      <c r="C3939" s="60"/>
      <c r="D3939" s="60"/>
      <c r="E3939" s="60"/>
      <c r="F3939" s="60"/>
      <c r="G3939" s="60"/>
      <c r="H3939" s="60"/>
      <c r="I3939" s="60"/>
      <c r="J3939" s="60"/>
      <c r="K3939" s="60"/>
      <c r="L3939" s="60"/>
      <c r="M3939" s="64"/>
      <c r="N3939" s="33"/>
    </row>
    <row r="3940" ht="24" customHeight="1" spans="2:14">
      <c r="B3940" s="33"/>
      <c r="C3940" s="60"/>
      <c r="D3940" s="60"/>
      <c r="E3940" s="60"/>
      <c r="F3940" s="60"/>
      <c r="G3940" s="60"/>
      <c r="H3940" s="60"/>
      <c r="I3940" s="60"/>
      <c r="J3940" s="60"/>
      <c r="K3940" s="60"/>
      <c r="L3940" s="60"/>
      <c r="M3940" s="64"/>
      <c r="N3940" s="33"/>
    </row>
    <row r="3941" ht="24" customHeight="1" spans="2:14">
      <c r="B3941" s="33"/>
      <c r="C3941" s="60"/>
      <c r="D3941" s="60"/>
      <c r="E3941" s="60"/>
      <c r="F3941" s="60"/>
      <c r="G3941" s="60"/>
      <c r="H3941" s="60"/>
      <c r="I3941" s="60"/>
      <c r="J3941" s="60"/>
      <c r="K3941" s="60"/>
      <c r="L3941" s="60"/>
      <c r="M3941" s="64"/>
      <c r="N3941" s="33"/>
    </row>
    <row r="3942" ht="24" customHeight="1" spans="2:14">
      <c r="B3942" s="33"/>
      <c r="C3942" s="60"/>
      <c r="D3942" s="60"/>
      <c r="E3942" s="60"/>
      <c r="F3942" s="60"/>
      <c r="G3942" s="60"/>
      <c r="H3942" s="60"/>
      <c r="I3942" s="60"/>
      <c r="J3942" s="60"/>
      <c r="K3942" s="60"/>
      <c r="L3942" s="60"/>
      <c r="M3942" s="64"/>
      <c r="N3942" s="33"/>
    </row>
    <row r="3943" ht="24" customHeight="1" spans="2:14">
      <c r="B3943" s="33"/>
      <c r="C3943" s="60"/>
      <c r="D3943" s="60"/>
      <c r="E3943" s="60"/>
      <c r="F3943" s="60"/>
      <c r="G3943" s="60"/>
      <c r="H3943" s="60"/>
      <c r="I3943" s="60"/>
      <c r="J3943" s="60"/>
      <c r="K3943" s="60"/>
      <c r="L3943" s="60"/>
      <c r="M3943" s="64"/>
      <c r="N3943" s="33"/>
    </row>
    <row r="3944" ht="24" customHeight="1" spans="2:14">
      <c r="B3944" s="33"/>
      <c r="C3944" s="60"/>
      <c r="D3944" s="60"/>
      <c r="E3944" s="60"/>
      <c r="F3944" s="60"/>
      <c r="G3944" s="60"/>
      <c r="H3944" s="60"/>
      <c r="I3944" s="60"/>
      <c r="J3944" s="60"/>
      <c r="K3944" s="60"/>
      <c r="L3944" s="60"/>
      <c r="M3944" s="64"/>
      <c r="N3944" s="33"/>
    </row>
    <row r="3945" ht="24" customHeight="1" spans="2:14">
      <c r="B3945" s="33"/>
      <c r="C3945" s="60"/>
      <c r="D3945" s="60"/>
      <c r="E3945" s="60"/>
      <c r="F3945" s="60"/>
      <c r="G3945" s="60"/>
      <c r="H3945" s="60"/>
      <c r="I3945" s="60"/>
      <c r="J3945" s="60"/>
      <c r="K3945" s="60"/>
      <c r="L3945" s="60"/>
      <c r="M3945" s="64"/>
      <c r="N3945" s="33"/>
    </row>
    <row r="3946" ht="24" customHeight="1" spans="2:14">
      <c r="B3946" s="33"/>
      <c r="C3946" s="60"/>
      <c r="D3946" s="60"/>
      <c r="E3946" s="60"/>
      <c r="F3946" s="60"/>
      <c r="G3946" s="60"/>
      <c r="H3946" s="60"/>
      <c r="I3946" s="60"/>
      <c r="J3946" s="60"/>
      <c r="K3946" s="60"/>
      <c r="L3946" s="60"/>
      <c r="M3946" s="64"/>
      <c r="N3946" s="33"/>
    </row>
    <row r="3947" ht="24" customHeight="1" spans="2:14">
      <c r="B3947" s="33"/>
      <c r="C3947" s="60"/>
      <c r="D3947" s="60"/>
      <c r="E3947" s="60"/>
      <c r="F3947" s="60"/>
      <c r="G3947" s="60"/>
      <c r="H3947" s="60"/>
      <c r="I3947" s="60"/>
      <c r="J3947" s="60"/>
      <c r="K3947" s="60"/>
      <c r="L3947" s="60"/>
      <c r="M3947" s="64"/>
      <c r="N3947" s="33"/>
    </row>
    <row r="3948" ht="24" customHeight="1" spans="2:14">
      <c r="B3948" s="33"/>
      <c r="C3948" s="60"/>
      <c r="D3948" s="60"/>
      <c r="E3948" s="60"/>
      <c r="F3948" s="60"/>
      <c r="G3948" s="60"/>
      <c r="H3948" s="60"/>
      <c r="I3948" s="60"/>
      <c r="J3948" s="60"/>
      <c r="K3948" s="60"/>
      <c r="L3948" s="60"/>
      <c r="M3948" s="64"/>
      <c r="N3948" s="33"/>
    </row>
    <row r="3949" ht="24" customHeight="1" spans="2:14">
      <c r="B3949" s="33"/>
      <c r="C3949" s="60"/>
      <c r="D3949" s="60"/>
      <c r="E3949" s="60"/>
      <c r="F3949" s="60"/>
      <c r="G3949" s="60"/>
      <c r="H3949" s="60"/>
      <c r="I3949" s="60"/>
      <c r="J3949" s="60"/>
      <c r="K3949" s="60"/>
      <c r="L3949" s="60"/>
      <c r="M3949" s="64"/>
      <c r="N3949" s="33"/>
    </row>
    <row r="3950" ht="24" customHeight="1" spans="2:14">
      <c r="B3950" s="33"/>
      <c r="C3950" s="60"/>
      <c r="D3950" s="60"/>
      <c r="E3950" s="60"/>
      <c r="F3950" s="60"/>
      <c r="G3950" s="60"/>
      <c r="H3950" s="60"/>
      <c r="I3950" s="60"/>
      <c r="J3950" s="60"/>
      <c r="K3950" s="60"/>
      <c r="L3950" s="60"/>
      <c r="M3950" s="64"/>
      <c r="N3950" s="33"/>
    </row>
    <row r="3951" ht="24" customHeight="1" spans="2:14">
      <c r="B3951" s="33"/>
      <c r="C3951" s="60"/>
      <c r="D3951" s="60"/>
      <c r="E3951" s="60"/>
      <c r="F3951" s="60"/>
      <c r="G3951" s="60"/>
      <c r="H3951" s="60"/>
      <c r="I3951" s="60"/>
      <c r="J3951" s="60"/>
      <c r="K3951" s="60"/>
      <c r="L3951" s="60"/>
      <c r="M3951" s="64"/>
      <c r="N3951" s="33"/>
    </row>
    <row r="3952" ht="24" customHeight="1" spans="2:14">
      <c r="B3952" s="33"/>
      <c r="C3952" s="60"/>
      <c r="D3952" s="60"/>
      <c r="E3952" s="60"/>
      <c r="F3952" s="60"/>
      <c r="G3952" s="60"/>
      <c r="H3952" s="60"/>
      <c r="I3952" s="60"/>
      <c r="J3952" s="60"/>
      <c r="K3952" s="60"/>
      <c r="L3952" s="60"/>
      <c r="M3952" s="64"/>
      <c r="N3952" s="33"/>
    </row>
    <row r="3953" ht="24" customHeight="1" spans="2:14">
      <c r="B3953" s="33"/>
      <c r="C3953" s="60"/>
      <c r="D3953" s="60"/>
      <c r="E3953" s="60"/>
      <c r="F3953" s="60"/>
      <c r="G3953" s="60"/>
      <c r="H3953" s="60"/>
      <c r="I3953" s="60"/>
      <c r="J3953" s="60"/>
      <c r="K3953" s="60"/>
      <c r="L3953" s="60"/>
      <c r="M3953" s="64"/>
      <c r="N3953" s="33"/>
    </row>
    <row r="3954" ht="24" customHeight="1" spans="2:14">
      <c r="B3954" s="33"/>
      <c r="C3954" s="60"/>
      <c r="D3954" s="60"/>
      <c r="E3954" s="60"/>
      <c r="F3954" s="60"/>
      <c r="G3954" s="60"/>
      <c r="H3954" s="60"/>
      <c r="I3954" s="60"/>
      <c r="J3954" s="60"/>
      <c r="K3954" s="60"/>
      <c r="L3954" s="60"/>
      <c r="M3954" s="64"/>
      <c r="N3954" s="33"/>
    </row>
    <row r="3955" ht="24" customHeight="1" spans="2:14">
      <c r="B3955" s="33"/>
      <c r="C3955" s="60"/>
      <c r="D3955" s="60"/>
      <c r="E3955" s="60"/>
      <c r="F3955" s="60"/>
      <c r="G3955" s="60"/>
      <c r="H3955" s="60"/>
      <c r="I3955" s="60"/>
      <c r="J3955" s="60"/>
      <c r="K3955" s="60"/>
      <c r="L3955" s="60"/>
      <c r="M3955" s="64"/>
      <c r="N3955" s="33"/>
    </row>
    <row r="3956" ht="24" customHeight="1" spans="2:14">
      <c r="B3956" s="33"/>
      <c r="C3956" s="60"/>
      <c r="D3956" s="60"/>
      <c r="E3956" s="60"/>
      <c r="F3956" s="60"/>
      <c r="G3956" s="60"/>
      <c r="H3956" s="60"/>
      <c r="I3956" s="60"/>
      <c r="J3956" s="60"/>
      <c r="K3956" s="60"/>
      <c r="L3956" s="60"/>
      <c r="M3956" s="64"/>
      <c r="N3956" s="33"/>
    </row>
    <row r="3957" ht="24" customHeight="1" spans="2:14">
      <c r="B3957" s="33"/>
      <c r="C3957" s="60"/>
      <c r="D3957" s="60"/>
      <c r="E3957" s="60"/>
      <c r="F3957" s="60"/>
      <c r="G3957" s="60"/>
      <c r="H3957" s="60"/>
      <c r="I3957" s="60"/>
      <c r="J3957" s="60"/>
      <c r="K3957" s="60"/>
      <c r="L3957" s="60"/>
      <c r="M3957" s="64"/>
      <c r="N3957" s="33"/>
    </row>
    <row r="3958" ht="24" customHeight="1" spans="2:14">
      <c r="B3958" s="33"/>
      <c r="C3958" s="60"/>
      <c r="D3958" s="60"/>
      <c r="E3958" s="60"/>
      <c r="F3958" s="60"/>
      <c r="G3958" s="60"/>
      <c r="H3958" s="60"/>
      <c r="I3958" s="60"/>
      <c r="J3958" s="60"/>
      <c r="K3958" s="60"/>
      <c r="L3958" s="60"/>
      <c r="M3958" s="64"/>
      <c r="N3958" s="33"/>
    </row>
    <row r="3959" ht="24" customHeight="1" spans="2:14">
      <c r="B3959" s="33"/>
      <c r="C3959" s="60"/>
      <c r="D3959" s="60"/>
      <c r="E3959" s="60"/>
      <c r="F3959" s="60"/>
      <c r="G3959" s="60"/>
      <c r="H3959" s="60"/>
      <c r="I3959" s="60"/>
      <c r="J3959" s="60"/>
      <c r="K3959" s="60"/>
      <c r="L3959" s="60"/>
      <c r="M3959" s="64"/>
      <c r="N3959" s="33"/>
    </row>
    <row r="3960" ht="24" customHeight="1" spans="2:14">
      <c r="B3960" s="33"/>
      <c r="C3960" s="60"/>
      <c r="D3960" s="60"/>
      <c r="E3960" s="60"/>
      <c r="F3960" s="60"/>
      <c r="G3960" s="60"/>
      <c r="H3960" s="60"/>
      <c r="I3960" s="60"/>
      <c r="J3960" s="60"/>
      <c r="K3960" s="60"/>
      <c r="L3960" s="60"/>
      <c r="M3960" s="64"/>
      <c r="N3960" s="33"/>
    </row>
    <row r="3961" ht="24" customHeight="1" spans="2:14">
      <c r="B3961" s="33"/>
      <c r="C3961" s="60"/>
      <c r="D3961" s="60"/>
      <c r="E3961" s="60"/>
      <c r="F3961" s="60"/>
      <c r="G3961" s="60"/>
      <c r="H3961" s="60"/>
      <c r="I3961" s="60"/>
      <c r="J3961" s="60"/>
      <c r="K3961" s="60"/>
      <c r="L3961" s="60"/>
      <c r="M3961" s="64"/>
      <c r="N3961" s="33"/>
    </row>
    <row r="3962" ht="24" customHeight="1" spans="2:14">
      <c r="B3962" s="33"/>
      <c r="C3962" s="60"/>
      <c r="D3962" s="60"/>
      <c r="E3962" s="60"/>
      <c r="F3962" s="60"/>
      <c r="G3962" s="60"/>
      <c r="H3962" s="60"/>
      <c r="I3962" s="60"/>
      <c r="J3962" s="60"/>
      <c r="K3962" s="60"/>
      <c r="L3962" s="60"/>
      <c r="M3962" s="64"/>
      <c r="N3962" s="33"/>
    </row>
    <row r="3963" ht="24" customHeight="1" spans="2:14">
      <c r="B3963" s="33"/>
      <c r="C3963" s="60"/>
      <c r="D3963" s="60"/>
      <c r="E3963" s="60"/>
      <c r="F3963" s="60"/>
      <c r="G3963" s="60"/>
      <c r="H3963" s="60"/>
      <c r="I3963" s="60"/>
      <c r="J3963" s="60"/>
      <c r="K3963" s="60"/>
      <c r="L3963" s="60"/>
      <c r="M3963" s="64"/>
      <c r="N3963" s="33"/>
    </row>
    <row r="3964" ht="24" customHeight="1" spans="2:14">
      <c r="B3964" s="33"/>
      <c r="C3964" s="60"/>
      <c r="D3964" s="60"/>
      <c r="E3964" s="60"/>
      <c r="F3964" s="60"/>
      <c r="G3964" s="60"/>
      <c r="H3964" s="60"/>
      <c r="I3964" s="60"/>
      <c r="J3964" s="60"/>
      <c r="K3964" s="60"/>
      <c r="L3964" s="60"/>
      <c r="M3964" s="64"/>
      <c r="N3964" s="33"/>
    </row>
    <row r="3965" ht="24" customHeight="1" spans="2:14">
      <c r="B3965" s="33"/>
      <c r="C3965" s="60"/>
      <c r="D3965" s="60"/>
      <c r="E3965" s="60"/>
      <c r="F3965" s="60"/>
      <c r="G3965" s="60"/>
      <c r="H3965" s="60"/>
      <c r="I3965" s="60"/>
      <c r="J3965" s="60"/>
      <c r="K3965" s="60"/>
      <c r="L3965" s="60"/>
      <c r="M3965" s="64"/>
      <c r="N3965" s="33"/>
    </row>
    <row r="3966" ht="24" customHeight="1" spans="2:14">
      <c r="B3966" s="33"/>
      <c r="C3966" s="60"/>
      <c r="D3966" s="60"/>
      <c r="E3966" s="60"/>
      <c r="F3966" s="60"/>
      <c r="G3966" s="60"/>
      <c r="H3966" s="60"/>
      <c r="I3966" s="60"/>
      <c r="J3966" s="60"/>
      <c r="K3966" s="60"/>
      <c r="L3966" s="60"/>
      <c r="M3966" s="64"/>
      <c r="N3966" s="33"/>
    </row>
    <row r="3967" ht="24" customHeight="1" spans="2:14">
      <c r="B3967" s="33"/>
      <c r="C3967" s="60"/>
      <c r="D3967" s="60"/>
      <c r="E3967" s="60"/>
      <c r="F3967" s="60"/>
      <c r="G3967" s="60"/>
      <c r="H3967" s="60"/>
      <c r="I3967" s="60"/>
      <c r="J3967" s="60"/>
      <c r="K3967" s="60"/>
      <c r="L3967" s="60"/>
      <c r="M3967" s="64"/>
      <c r="N3967" s="33"/>
    </row>
    <row r="3968" ht="24" customHeight="1" spans="2:14">
      <c r="B3968" s="33"/>
      <c r="C3968" s="60"/>
      <c r="D3968" s="60"/>
      <c r="E3968" s="60"/>
      <c r="F3968" s="60"/>
      <c r="G3968" s="60"/>
      <c r="H3968" s="60"/>
      <c r="I3968" s="60"/>
      <c r="J3968" s="60"/>
      <c r="K3968" s="60"/>
      <c r="L3968" s="60"/>
      <c r="M3968" s="64"/>
      <c r="N3968" s="33"/>
    </row>
    <row r="3969" ht="24" customHeight="1" spans="2:14">
      <c r="B3969" s="33"/>
      <c r="C3969" s="60"/>
      <c r="D3969" s="60"/>
      <c r="E3969" s="60"/>
      <c r="F3969" s="60"/>
      <c r="G3969" s="60"/>
      <c r="H3969" s="60"/>
      <c r="I3969" s="60"/>
      <c r="J3969" s="60"/>
      <c r="K3969" s="60"/>
      <c r="L3969" s="60"/>
      <c r="M3969" s="64"/>
      <c r="N3969" s="33"/>
    </row>
    <row r="3970" ht="24" customHeight="1" spans="2:14">
      <c r="B3970" s="33"/>
      <c r="C3970" s="60"/>
      <c r="D3970" s="60"/>
      <c r="E3970" s="60"/>
      <c r="F3970" s="60"/>
      <c r="G3970" s="60"/>
      <c r="H3970" s="60"/>
      <c r="I3970" s="60"/>
      <c r="J3970" s="60"/>
      <c r="K3970" s="60"/>
      <c r="L3970" s="60"/>
      <c r="M3970" s="64"/>
      <c r="N3970" s="33"/>
    </row>
    <row r="3971" ht="24" customHeight="1" spans="2:14">
      <c r="B3971" s="33"/>
      <c r="C3971" s="60"/>
      <c r="D3971" s="60"/>
      <c r="E3971" s="60"/>
      <c r="F3971" s="60"/>
      <c r="G3971" s="60"/>
      <c r="H3971" s="60"/>
      <c r="I3971" s="60"/>
      <c r="J3971" s="60"/>
      <c r="K3971" s="60"/>
      <c r="L3971" s="60"/>
      <c r="M3971" s="64"/>
      <c r="N3971" s="33"/>
    </row>
    <row r="3972" ht="24" customHeight="1" spans="2:14">
      <c r="B3972" s="33"/>
      <c r="C3972" s="60"/>
      <c r="D3972" s="60"/>
      <c r="E3972" s="60"/>
      <c r="F3972" s="60"/>
      <c r="G3972" s="60"/>
      <c r="H3972" s="60"/>
      <c r="I3972" s="60"/>
      <c r="J3972" s="60"/>
      <c r="K3972" s="60"/>
      <c r="L3972" s="60"/>
      <c r="M3972" s="64"/>
      <c r="N3972" s="33"/>
    </row>
    <row r="3973" ht="24" customHeight="1" spans="2:14">
      <c r="B3973" s="33"/>
      <c r="C3973" s="60"/>
      <c r="D3973" s="60"/>
      <c r="E3973" s="60"/>
      <c r="F3973" s="60"/>
      <c r="G3973" s="60"/>
      <c r="H3973" s="60"/>
      <c r="I3973" s="60"/>
      <c r="J3973" s="60"/>
      <c r="K3973" s="60"/>
      <c r="L3973" s="60"/>
      <c r="M3973" s="64"/>
      <c r="N3973" s="33"/>
    </row>
    <row r="3974" ht="24" customHeight="1" spans="2:14">
      <c r="B3974" s="33"/>
      <c r="C3974" s="60"/>
      <c r="D3974" s="60"/>
      <c r="E3974" s="60"/>
      <c r="F3974" s="60"/>
      <c r="G3974" s="60"/>
      <c r="H3974" s="60"/>
      <c r="I3974" s="60"/>
      <c r="J3974" s="60"/>
      <c r="K3974" s="60"/>
      <c r="L3974" s="60"/>
      <c r="M3974" s="64"/>
      <c r="N3974" s="33"/>
    </row>
    <row r="3975" ht="24" customHeight="1" spans="2:14">
      <c r="B3975" s="33"/>
      <c r="C3975" s="60"/>
      <c r="D3975" s="60"/>
      <c r="E3975" s="60"/>
      <c r="F3975" s="60"/>
      <c r="G3975" s="60"/>
      <c r="H3975" s="60"/>
      <c r="I3975" s="60"/>
      <c r="J3975" s="60"/>
      <c r="K3975" s="60"/>
      <c r="L3975" s="60"/>
      <c r="M3975" s="64"/>
      <c r="N3975" s="33"/>
    </row>
    <row r="3976" ht="24" customHeight="1" spans="2:14">
      <c r="B3976" s="33"/>
      <c r="C3976" s="60"/>
      <c r="D3976" s="60"/>
      <c r="E3976" s="60"/>
      <c r="F3976" s="60"/>
      <c r="G3976" s="60"/>
      <c r="H3976" s="60"/>
      <c r="I3976" s="60"/>
      <c r="J3976" s="60"/>
      <c r="K3976" s="60"/>
      <c r="L3976" s="60"/>
      <c r="M3976" s="64"/>
      <c r="N3976" s="33"/>
    </row>
    <row r="3977" ht="24" customHeight="1" spans="2:14">
      <c r="B3977" s="33"/>
      <c r="C3977" s="60"/>
      <c r="D3977" s="60"/>
      <c r="E3977" s="60"/>
      <c r="F3977" s="60"/>
      <c r="G3977" s="60"/>
      <c r="H3977" s="60"/>
      <c r="I3977" s="60"/>
      <c r="J3977" s="60"/>
      <c r="K3977" s="60"/>
      <c r="L3977" s="60"/>
      <c r="M3977" s="64"/>
      <c r="N3977" s="33"/>
    </row>
    <row r="3978" ht="24" customHeight="1" spans="2:14">
      <c r="B3978" s="33"/>
      <c r="C3978" s="60"/>
      <c r="D3978" s="60"/>
      <c r="E3978" s="60"/>
      <c r="F3978" s="60"/>
      <c r="G3978" s="60"/>
      <c r="H3978" s="60"/>
      <c r="I3978" s="60"/>
      <c r="J3978" s="60"/>
      <c r="K3978" s="60"/>
      <c r="L3978" s="60"/>
      <c r="M3978" s="64"/>
      <c r="N3978" s="33"/>
    </row>
    <row r="3979" ht="24" customHeight="1" spans="2:14">
      <c r="B3979" s="33"/>
      <c r="C3979" s="60"/>
      <c r="D3979" s="60"/>
      <c r="E3979" s="60"/>
      <c r="F3979" s="60"/>
      <c r="G3979" s="60"/>
      <c r="H3979" s="60"/>
      <c r="I3979" s="60"/>
      <c r="J3979" s="60"/>
      <c r="K3979" s="60"/>
      <c r="L3979" s="60"/>
      <c r="M3979" s="64"/>
      <c r="N3979" s="33"/>
    </row>
    <row r="3980" ht="24" customHeight="1" spans="2:14">
      <c r="B3980" s="33"/>
      <c r="C3980" s="60"/>
      <c r="D3980" s="60"/>
      <c r="E3980" s="60"/>
      <c r="F3980" s="60"/>
      <c r="G3980" s="60"/>
      <c r="H3980" s="60"/>
      <c r="I3980" s="60"/>
      <c r="J3980" s="60"/>
      <c r="K3980" s="60"/>
      <c r="L3980" s="60"/>
      <c r="M3980" s="64"/>
      <c r="N3980" s="33"/>
    </row>
    <row r="3981" ht="24" customHeight="1" spans="2:14">
      <c r="B3981" s="33"/>
      <c r="C3981" s="60"/>
      <c r="D3981" s="60"/>
      <c r="E3981" s="60"/>
      <c r="F3981" s="60"/>
      <c r="G3981" s="60"/>
      <c r="H3981" s="60"/>
      <c r="I3981" s="60"/>
      <c r="J3981" s="60"/>
      <c r="K3981" s="60"/>
      <c r="L3981" s="60"/>
      <c r="M3981" s="64"/>
      <c r="N3981" s="33"/>
    </row>
    <row r="3982" ht="24" customHeight="1" spans="2:14">
      <c r="B3982" s="33"/>
      <c r="C3982" s="60"/>
      <c r="D3982" s="60"/>
      <c r="E3982" s="60"/>
      <c r="F3982" s="60"/>
      <c r="G3982" s="60"/>
      <c r="H3982" s="60"/>
      <c r="I3982" s="60"/>
      <c r="J3982" s="60"/>
      <c r="K3982" s="60"/>
      <c r="L3982" s="60"/>
      <c r="M3982" s="64"/>
      <c r="N3982" s="33"/>
    </row>
    <row r="3983" ht="24" customHeight="1" spans="2:14">
      <c r="B3983" s="33"/>
      <c r="C3983" s="60"/>
      <c r="D3983" s="60"/>
      <c r="E3983" s="60"/>
      <c r="F3983" s="60"/>
      <c r="G3983" s="60"/>
      <c r="H3983" s="60"/>
      <c r="I3983" s="60"/>
      <c r="J3983" s="60"/>
      <c r="K3983" s="60"/>
      <c r="L3983" s="60"/>
      <c r="M3983" s="64"/>
      <c r="N3983" s="33"/>
    </row>
    <row r="3984" ht="24" customHeight="1" spans="2:14">
      <c r="B3984" s="33"/>
      <c r="C3984" s="60"/>
      <c r="D3984" s="60"/>
      <c r="E3984" s="60"/>
      <c r="F3984" s="60"/>
      <c r="G3984" s="60"/>
      <c r="H3984" s="60"/>
      <c r="I3984" s="60"/>
      <c r="J3984" s="60"/>
      <c r="K3984" s="60"/>
      <c r="L3984" s="60"/>
      <c r="M3984" s="64"/>
      <c r="N3984" s="33"/>
    </row>
    <row r="3985" ht="24" customHeight="1" spans="2:14">
      <c r="B3985" s="33"/>
      <c r="C3985" s="60"/>
      <c r="D3985" s="60"/>
      <c r="E3985" s="60"/>
      <c r="F3985" s="60"/>
      <c r="G3985" s="60"/>
      <c r="H3985" s="60"/>
      <c r="I3985" s="60"/>
      <c r="J3985" s="60"/>
      <c r="K3985" s="60"/>
      <c r="L3985" s="60"/>
      <c r="M3985" s="64"/>
      <c r="N3985" s="33"/>
    </row>
    <row r="3986" ht="24" customHeight="1" spans="2:14">
      <c r="B3986" s="33"/>
      <c r="C3986" s="60"/>
      <c r="D3986" s="60"/>
      <c r="E3986" s="60"/>
      <c r="F3986" s="60"/>
      <c r="G3986" s="60"/>
      <c r="H3986" s="60"/>
      <c r="I3986" s="60"/>
      <c r="J3986" s="60"/>
      <c r="K3986" s="60"/>
      <c r="L3986" s="60"/>
      <c r="M3986" s="64"/>
      <c r="N3986" s="33"/>
    </row>
    <row r="3987" ht="24" customHeight="1" spans="2:14">
      <c r="B3987" s="33"/>
      <c r="C3987" s="60"/>
      <c r="D3987" s="60"/>
      <c r="E3987" s="60"/>
      <c r="F3987" s="60"/>
      <c r="G3987" s="60"/>
      <c r="H3987" s="60"/>
      <c r="I3987" s="60"/>
      <c r="J3987" s="60"/>
      <c r="K3987" s="60"/>
      <c r="L3987" s="60"/>
      <c r="M3987" s="64"/>
      <c r="N3987" s="33"/>
    </row>
    <row r="3988" ht="24" customHeight="1" spans="2:14">
      <c r="B3988" s="33"/>
      <c r="C3988" s="60"/>
      <c r="D3988" s="60"/>
      <c r="E3988" s="60"/>
      <c r="F3988" s="60"/>
      <c r="G3988" s="60"/>
      <c r="H3988" s="60"/>
      <c r="I3988" s="60"/>
      <c r="J3988" s="60"/>
      <c r="K3988" s="60"/>
      <c r="L3988" s="60"/>
      <c r="M3988" s="64"/>
      <c r="N3988" s="33"/>
    </row>
    <row r="3989" ht="24" customHeight="1" spans="2:14">
      <c r="B3989" s="33"/>
      <c r="C3989" s="60"/>
      <c r="D3989" s="60"/>
      <c r="E3989" s="60"/>
      <c r="F3989" s="60"/>
      <c r="G3989" s="60"/>
      <c r="H3989" s="60"/>
      <c r="I3989" s="60"/>
      <c r="J3989" s="60"/>
      <c r="K3989" s="60"/>
      <c r="L3989" s="60"/>
      <c r="M3989" s="64"/>
      <c r="N3989" s="33"/>
    </row>
    <row r="3990" ht="24" customHeight="1" spans="2:14">
      <c r="B3990" s="33"/>
      <c r="C3990" s="60"/>
      <c r="D3990" s="60"/>
      <c r="E3990" s="60"/>
      <c r="F3990" s="60"/>
      <c r="G3990" s="60"/>
      <c r="H3990" s="60"/>
      <c r="I3990" s="60"/>
      <c r="J3990" s="60"/>
      <c r="K3990" s="60"/>
      <c r="L3990" s="60"/>
      <c r="M3990" s="64"/>
      <c r="N3990" s="33"/>
    </row>
    <row r="3991" ht="24" customHeight="1" spans="2:14">
      <c r="B3991" s="33"/>
      <c r="C3991" s="60"/>
      <c r="D3991" s="60"/>
      <c r="E3991" s="60"/>
      <c r="F3991" s="60"/>
      <c r="G3991" s="60"/>
      <c r="H3991" s="60"/>
      <c r="I3991" s="60"/>
      <c r="J3991" s="60"/>
      <c r="K3991" s="60"/>
      <c r="L3991" s="60"/>
      <c r="M3991" s="64"/>
      <c r="N3991" s="33"/>
    </row>
    <row r="3992" ht="24" customHeight="1" spans="2:14">
      <c r="B3992" s="33"/>
      <c r="C3992" s="60"/>
      <c r="D3992" s="60"/>
      <c r="E3992" s="60"/>
      <c r="F3992" s="60"/>
      <c r="G3992" s="60"/>
      <c r="H3992" s="60"/>
      <c r="I3992" s="60"/>
      <c r="J3992" s="60"/>
      <c r="K3992" s="60"/>
      <c r="L3992" s="60"/>
      <c r="M3992" s="64"/>
      <c r="N3992" s="33"/>
    </row>
    <row r="3993" ht="24" customHeight="1" spans="2:14">
      <c r="B3993" s="33"/>
      <c r="C3993" s="60"/>
      <c r="D3993" s="60"/>
      <c r="E3993" s="60"/>
      <c r="F3993" s="60"/>
      <c r="G3993" s="60"/>
      <c r="H3993" s="60"/>
      <c r="I3993" s="60"/>
      <c r="J3993" s="60"/>
      <c r="K3993" s="60"/>
      <c r="L3993" s="60"/>
      <c r="M3993" s="64"/>
      <c r="N3993" s="33"/>
    </row>
    <row r="3994" ht="24" customHeight="1" spans="2:14">
      <c r="B3994" s="33"/>
      <c r="C3994" s="60"/>
      <c r="D3994" s="60"/>
      <c r="E3994" s="60"/>
      <c r="F3994" s="60"/>
      <c r="G3994" s="60"/>
      <c r="H3994" s="60"/>
      <c r="I3994" s="60"/>
      <c r="J3994" s="60"/>
      <c r="K3994" s="60"/>
      <c r="L3994" s="60"/>
      <c r="M3994" s="64"/>
      <c r="N3994" s="33"/>
    </row>
    <row r="3995" ht="24" customHeight="1" spans="2:14">
      <c r="B3995" s="33"/>
      <c r="C3995" s="60"/>
      <c r="D3995" s="60"/>
      <c r="E3995" s="60"/>
      <c r="F3995" s="60"/>
      <c r="G3995" s="60"/>
      <c r="H3995" s="60"/>
      <c r="I3995" s="60"/>
      <c r="J3995" s="60"/>
      <c r="K3995" s="60"/>
      <c r="L3995" s="60"/>
      <c r="M3995" s="64"/>
      <c r="N3995" s="33"/>
    </row>
    <row r="3996" ht="24" customHeight="1" spans="2:14">
      <c r="B3996" s="33"/>
      <c r="C3996" s="60"/>
      <c r="D3996" s="60"/>
      <c r="E3996" s="60"/>
      <c r="F3996" s="60"/>
      <c r="G3996" s="60"/>
      <c r="H3996" s="60"/>
      <c r="I3996" s="60"/>
      <c r="J3996" s="60"/>
      <c r="K3996" s="60"/>
      <c r="L3996" s="60"/>
      <c r="M3996" s="64"/>
      <c r="N3996" s="33"/>
    </row>
    <row r="3997" ht="24" customHeight="1" spans="2:14">
      <c r="B3997" s="33"/>
      <c r="C3997" s="60"/>
      <c r="D3997" s="60"/>
      <c r="E3997" s="60"/>
      <c r="F3997" s="60"/>
      <c r="G3997" s="60"/>
      <c r="H3997" s="60"/>
      <c r="I3997" s="60"/>
      <c r="J3997" s="60"/>
      <c r="K3997" s="60"/>
      <c r="L3997" s="60"/>
      <c r="M3997" s="64"/>
      <c r="N3997" s="33"/>
    </row>
    <row r="3998" ht="24" customHeight="1" spans="2:14">
      <c r="B3998" s="33"/>
      <c r="C3998" s="60"/>
      <c r="D3998" s="60"/>
      <c r="E3998" s="60"/>
      <c r="F3998" s="60"/>
      <c r="G3998" s="60"/>
      <c r="H3998" s="60"/>
      <c r="I3998" s="60"/>
      <c r="J3998" s="60"/>
      <c r="K3998" s="60"/>
      <c r="L3998" s="60"/>
      <c r="M3998" s="64"/>
      <c r="N3998" s="33"/>
    </row>
    <row r="3999" ht="24" customHeight="1" spans="2:14">
      <c r="B3999" s="33"/>
      <c r="C3999" s="60"/>
      <c r="D3999" s="60"/>
      <c r="E3999" s="60"/>
      <c r="F3999" s="60"/>
      <c r="G3999" s="60"/>
      <c r="H3999" s="60"/>
      <c r="I3999" s="60"/>
      <c r="J3999" s="60"/>
      <c r="K3999" s="60"/>
      <c r="L3999" s="60"/>
      <c r="M3999" s="64"/>
      <c r="N3999" s="33"/>
    </row>
    <row r="4000" ht="24" customHeight="1" spans="2:14">
      <c r="B4000" s="33"/>
      <c r="C4000" s="60"/>
      <c r="D4000" s="60"/>
      <c r="E4000" s="60"/>
      <c r="F4000" s="60"/>
      <c r="G4000" s="60"/>
      <c r="H4000" s="60"/>
      <c r="I4000" s="60"/>
      <c r="J4000" s="60"/>
      <c r="K4000" s="60"/>
      <c r="L4000" s="60"/>
      <c r="M4000" s="64"/>
      <c r="N4000" s="33"/>
    </row>
    <row r="4001" ht="24" customHeight="1" spans="2:14">
      <c r="B4001" s="33"/>
      <c r="C4001" s="60"/>
      <c r="D4001" s="60"/>
      <c r="E4001" s="60"/>
      <c r="F4001" s="60"/>
      <c r="G4001" s="60"/>
      <c r="H4001" s="60"/>
      <c r="I4001" s="60"/>
      <c r="J4001" s="60"/>
      <c r="K4001" s="60"/>
      <c r="L4001" s="60"/>
      <c r="M4001" s="64"/>
      <c r="N4001" s="33"/>
    </row>
    <row r="4002" ht="24" customHeight="1" spans="2:14">
      <c r="B4002" s="33"/>
      <c r="C4002" s="60"/>
      <c r="D4002" s="60"/>
      <c r="E4002" s="60"/>
      <c r="F4002" s="60"/>
      <c r="G4002" s="60"/>
      <c r="H4002" s="60"/>
      <c r="I4002" s="60"/>
      <c r="J4002" s="60"/>
      <c r="K4002" s="60"/>
      <c r="L4002" s="60"/>
      <c r="M4002" s="64"/>
      <c r="N4002" s="33"/>
    </row>
    <row r="4003" ht="24" customHeight="1" spans="2:14">
      <c r="B4003" s="33"/>
      <c r="C4003" s="60"/>
      <c r="D4003" s="60"/>
      <c r="E4003" s="60"/>
      <c r="F4003" s="60"/>
      <c r="G4003" s="60"/>
      <c r="H4003" s="60"/>
      <c r="I4003" s="60"/>
      <c r="J4003" s="60"/>
      <c r="K4003" s="60"/>
      <c r="L4003" s="60"/>
      <c r="M4003" s="64"/>
      <c r="N4003" s="33"/>
    </row>
    <row r="4004" ht="24" customHeight="1" spans="2:14">
      <c r="B4004" s="33"/>
      <c r="C4004" s="60"/>
      <c r="D4004" s="60"/>
      <c r="E4004" s="60"/>
      <c r="F4004" s="60"/>
      <c r="G4004" s="60"/>
      <c r="H4004" s="60"/>
      <c r="I4004" s="60"/>
      <c r="J4004" s="60"/>
      <c r="K4004" s="60"/>
      <c r="L4004" s="60"/>
      <c r="M4004" s="64"/>
      <c r="N4004" s="33"/>
    </row>
    <row r="4005" ht="24" customHeight="1" spans="2:14">
      <c r="B4005" s="33"/>
      <c r="C4005" s="60"/>
      <c r="D4005" s="60"/>
      <c r="E4005" s="60"/>
      <c r="F4005" s="60"/>
      <c r="G4005" s="60"/>
      <c r="H4005" s="60"/>
      <c r="I4005" s="60"/>
      <c r="J4005" s="60"/>
      <c r="K4005" s="60"/>
      <c r="L4005" s="60"/>
      <c r="M4005" s="64"/>
      <c r="N4005" s="33"/>
    </row>
    <row r="4006" ht="24" customHeight="1" spans="2:14">
      <c r="B4006" s="33"/>
      <c r="C4006" s="60"/>
      <c r="D4006" s="60"/>
      <c r="E4006" s="60"/>
      <c r="F4006" s="60"/>
      <c r="G4006" s="60"/>
      <c r="H4006" s="60"/>
      <c r="I4006" s="60"/>
      <c r="J4006" s="60"/>
      <c r="K4006" s="60"/>
      <c r="L4006" s="60"/>
      <c r="M4006" s="64"/>
      <c r="N4006" s="33"/>
    </row>
    <row r="4007" ht="24" customHeight="1" spans="2:14">
      <c r="B4007" s="33"/>
      <c r="C4007" s="60"/>
      <c r="D4007" s="60"/>
      <c r="E4007" s="60"/>
      <c r="F4007" s="60"/>
      <c r="G4007" s="60"/>
      <c r="H4007" s="60"/>
      <c r="I4007" s="60"/>
      <c r="J4007" s="60"/>
      <c r="K4007" s="60"/>
      <c r="L4007" s="60"/>
      <c r="M4007" s="64"/>
      <c r="N4007" s="33"/>
    </row>
    <row r="4008" ht="24" customHeight="1" spans="2:14">
      <c r="B4008" s="33"/>
      <c r="C4008" s="60"/>
      <c r="D4008" s="60"/>
      <c r="E4008" s="60"/>
      <c r="F4008" s="60"/>
      <c r="G4008" s="60"/>
      <c r="H4008" s="60"/>
      <c r="I4008" s="60"/>
      <c r="J4008" s="60"/>
      <c r="K4008" s="60"/>
      <c r="L4008" s="60"/>
      <c r="M4008" s="64"/>
      <c r="N4008" s="33"/>
    </row>
    <row r="4009" ht="24" customHeight="1" spans="2:14">
      <c r="B4009" s="33"/>
      <c r="C4009" s="60"/>
      <c r="D4009" s="60"/>
      <c r="E4009" s="60"/>
      <c r="F4009" s="60"/>
      <c r="G4009" s="60"/>
      <c r="H4009" s="60"/>
      <c r="I4009" s="60"/>
      <c r="J4009" s="60"/>
      <c r="K4009" s="60"/>
      <c r="L4009" s="60"/>
      <c r="M4009" s="64"/>
      <c r="N4009" s="33"/>
    </row>
    <row r="4010" ht="24" customHeight="1" spans="2:14">
      <c r="B4010" s="33"/>
      <c r="C4010" s="60"/>
      <c r="D4010" s="60"/>
      <c r="E4010" s="60"/>
      <c r="F4010" s="60"/>
      <c r="G4010" s="60"/>
      <c r="H4010" s="60"/>
      <c r="I4010" s="60"/>
      <c r="J4010" s="60"/>
      <c r="K4010" s="60"/>
      <c r="L4010" s="60"/>
      <c r="M4010" s="64"/>
      <c r="N4010" s="33"/>
    </row>
    <row r="4011" ht="24" customHeight="1" spans="2:14">
      <c r="B4011" s="33"/>
      <c r="C4011" s="60"/>
      <c r="D4011" s="60"/>
      <c r="E4011" s="60"/>
      <c r="F4011" s="60"/>
      <c r="G4011" s="60"/>
      <c r="H4011" s="60"/>
      <c r="I4011" s="60"/>
      <c r="J4011" s="60"/>
      <c r="K4011" s="60"/>
      <c r="L4011" s="60"/>
      <c r="M4011" s="64"/>
      <c r="N4011" s="33"/>
    </row>
    <row r="4012" ht="24" customHeight="1" spans="2:14">
      <c r="B4012" s="33"/>
      <c r="C4012" s="60"/>
      <c r="D4012" s="60"/>
      <c r="E4012" s="60"/>
      <c r="F4012" s="60"/>
      <c r="G4012" s="60"/>
      <c r="H4012" s="60"/>
      <c r="I4012" s="60"/>
      <c r="J4012" s="60"/>
      <c r="K4012" s="60"/>
      <c r="L4012" s="60"/>
      <c r="M4012" s="64"/>
      <c r="N4012" s="33"/>
    </row>
    <row r="4013" ht="24" customHeight="1" spans="2:14">
      <c r="B4013" s="33"/>
      <c r="C4013" s="60"/>
      <c r="D4013" s="60"/>
      <c r="E4013" s="60"/>
      <c r="F4013" s="60"/>
      <c r="G4013" s="60"/>
      <c r="H4013" s="60"/>
      <c r="I4013" s="60"/>
      <c r="J4013" s="60"/>
      <c r="K4013" s="60"/>
      <c r="L4013" s="60"/>
      <c r="M4013" s="64"/>
      <c r="N4013" s="33"/>
    </row>
    <row r="4014" ht="24" customHeight="1" spans="2:14">
      <c r="B4014" s="33"/>
      <c r="C4014" s="60"/>
      <c r="D4014" s="60"/>
      <c r="E4014" s="60"/>
      <c r="F4014" s="60"/>
      <c r="G4014" s="60"/>
      <c r="H4014" s="60"/>
      <c r="I4014" s="60"/>
      <c r="J4014" s="60"/>
      <c r="K4014" s="60"/>
      <c r="L4014" s="60"/>
      <c r="M4014" s="64"/>
      <c r="N4014" s="33"/>
    </row>
    <row r="4015" ht="24" customHeight="1" spans="2:14">
      <c r="B4015" s="33"/>
      <c r="C4015" s="60"/>
      <c r="D4015" s="60"/>
      <c r="E4015" s="60"/>
      <c r="F4015" s="60"/>
      <c r="G4015" s="60"/>
      <c r="H4015" s="60"/>
      <c r="I4015" s="60"/>
      <c r="J4015" s="60"/>
      <c r="K4015" s="60"/>
      <c r="L4015" s="60"/>
      <c r="M4015" s="64"/>
      <c r="N4015" s="33"/>
    </row>
    <row r="4016" ht="24" customHeight="1" spans="2:14">
      <c r="B4016" s="33"/>
      <c r="C4016" s="60"/>
      <c r="D4016" s="60"/>
      <c r="E4016" s="60"/>
      <c r="F4016" s="60"/>
      <c r="G4016" s="60"/>
      <c r="H4016" s="60"/>
      <c r="I4016" s="60"/>
      <c r="J4016" s="60"/>
      <c r="K4016" s="60"/>
      <c r="L4016" s="60"/>
      <c r="M4016" s="64"/>
      <c r="N4016" s="33"/>
    </row>
    <row r="4017" ht="24" customHeight="1" spans="2:14">
      <c r="B4017" s="33"/>
      <c r="C4017" s="60"/>
      <c r="D4017" s="60"/>
      <c r="E4017" s="60"/>
      <c r="F4017" s="60"/>
      <c r="G4017" s="60"/>
      <c r="H4017" s="60"/>
      <c r="I4017" s="60"/>
      <c r="J4017" s="60"/>
      <c r="K4017" s="60"/>
      <c r="L4017" s="60"/>
      <c r="M4017" s="64"/>
      <c r="N4017" s="33"/>
    </row>
    <row r="4018" ht="24" customHeight="1" spans="2:14">
      <c r="B4018" s="33"/>
      <c r="C4018" s="60"/>
      <c r="D4018" s="60"/>
      <c r="E4018" s="60"/>
      <c r="F4018" s="60"/>
      <c r="G4018" s="60"/>
      <c r="H4018" s="60"/>
      <c r="I4018" s="60"/>
      <c r="J4018" s="60"/>
      <c r="K4018" s="60"/>
      <c r="L4018" s="60"/>
      <c r="M4018" s="64"/>
      <c r="N4018" s="33"/>
    </row>
    <row r="4019" ht="24" customHeight="1" spans="2:14">
      <c r="B4019" s="33"/>
      <c r="C4019" s="60"/>
      <c r="D4019" s="60"/>
      <c r="E4019" s="60"/>
      <c r="F4019" s="60"/>
      <c r="G4019" s="60"/>
      <c r="H4019" s="60"/>
      <c r="I4019" s="60"/>
      <c r="J4019" s="60"/>
      <c r="K4019" s="60"/>
      <c r="L4019" s="60"/>
      <c r="M4019" s="64"/>
      <c r="N4019" s="33"/>
    </row>
    <row r="4020" ht="24" customHeight="1" spans="2:14">
      <c r="B4020" s="33"/>
      <c r="C4020" s="60"/>
      <c r="D4020" s="60"/>
      <c r="E4020" s="60"/>
      <c r="F4020" s="60"/>
      <c r="G4020" s="60"/>
      <c r="H4020" s="60"/>
      <c r="I4020" s="60"/>
      <c r="J4020" s="60"/>
      <c r="K4020" s="60"/>
      <c r="L4020" s="60"/>
      <c r="M4020" s="64"/>
      <c r="N4020" s="33"/>
    </row>
    <row r="4021" ht="24" customHeight="1" spans="2:14">
      <c r="B4021" s="33"/>
      <c r="C4021" s="60"/>
      <c r="D4021" s="60"/>
      <c r="E4021" s="60"/>
      <c r="F4021" s="60"/>
      <c r="G4021" s="60"/>
      <c r="H4021" s="60"/>
      <c r="I4021" s="60"/>
      <c r="J4021" s="60"/>
      <c r="K4021" s="60"/>
      <c r="L4021" s="60"/>
      <c r="M4021" s="64"/>
      <c r="N4021" s="33"/>
    </row>
    <row r="4022" ht="24" customHeight="1" spans="2:14">
      <c r="B4022" s="33"/>
      <c r="C4022" s="60"/>
      <c r="D4022" s="60"/>
      <c r="E4022" s="60"/>
      <c r="F4022" s="60"/>
      <c r="G4022" s="60"/>
      <c r="H4022" s="60"/>
      <c r="I4022" s="60"/>
      <c r="J4022" s="60"/>
      <c r="K4022" s="60"/>
      <c r="L4022" s="60"/>
      <c r="M4022" s="64"/>
      <c r="N4022" s="33"/>
    </row>
    <row r="4023" ht="24" customHeight="1" spans="2:14">
      <c r="B4023" s="33"/>
      <c r="C4023" s="60"/>
      <c r="D4023" s="60"/>
      <c r="E4023" s="60"/>
      <c r="F4023" s="60"/>
      <c r="G4023" s="60"/>
      <c r="H4023" s="60"/>
      <c r="I4023" s="60"/>
      <c r="J4023" s="60"/>
      <c r="K4023" s="60"/>
      <c r="L4023" s="60"/>
      <c r="M4023" s="64"/>
      <c r="N4023" s="33"/>
    </row>
    <row r="4024" ht="24" customHeight="1" spans="2:14">
      <c r="B4024" s="33"/>
      <c r="C4024" s="60"/>
      <c r="D4024" s="60"/>
      <c r="E4024" s="60"/>
      <c r="F4024" s="60"/>
      <c r="G4024" s="60"/>
      <c r="H4024" s="60"/>
      <c r="I4024" s="60"/>
      <c r="J4024" s="60"/>
      <c r="K4024" s="60"/>
      <c r="L4024" s="60"/>
      <c r="M4024" s="64"/>
      <c r="N4024" s="33"/>
    </row>
    <row r="4025" ht="24" customHeight="1" spans="2:14">
      <c r="B4025" s="33"/>
      <c r="C4025" s="60"/>
      <c r="D4025" s="60"/>
      <c r="E4025" s="60"/>
      <c r="F4025" s="60"/>
      <c r="G4025" s="60"/>
      <c r="H4025" s="60"/>
      <c r="I4025" s="60"/>
      <c r="J4025" s="60"/>
      <c r="K4025" s="60"/>
      <c r="L4025" s="60"/>
      <c r="M4025" s="64"/>
      <c r="N4025" s="33"/>
    </row>
    <row r="4026" ht="24" customHeight="1" spans="2:14">
      <c r="B4026" s="33"/>
      <c r="C4026" s="60"/>
      <c r="D4026" s="60"/>
      <c r="E4026" s="60"/>
      <c r="F4026" s="60"/>
      <c r="G4026" s="60"/>
      <c r="H4026" s="60"/>
      <c r="I4026" s="60"/>
      <c r="J4026" s="60"/>
      <c r="K4026" s="60"/>
      <c r="L4026" s="60"/>
      <c r="M4026" s="64"/>
      <c r="N4026" s="33"/>
    </row>
    <row r="4027" ht="24" customHeight="1" spans="2:14">
      <c r="B4027" s="33"/>
      <c r="C4027" s="60"/>
      <c r="D4027" s="60"/>
      <c r="E4027" s="60"/>
      <c r="F4027" s="60"/>
      <c r="G4027" s="60"/>
      <c r="H4027" s="60"/>
      <c r="I4027" s="60"/>
      <c r="J4027" s="60"/>
      <c r="K4027" s="60"/>
      <c r="L4027" s="60"/>
      <c r="M4027" s="64"/>
      <c r="N4027" s="33"/>
    </row>
    <row r="4028" ht="24" customHeight="1" spans="2:14">
      <c r="B4028" s="33"/>
      <c r="C4028" s="60"/>
      <c r="D4028" s="60"/>
      <c r="E4028" s="60"/>
      <c r="F4028" s="60"/>
      <c r="G4028" s="60"/>
      <c r="H4028" s="60"/>
      <c r="I4028" s="60"/>
      <c r="J4028" s="60"/>
      <c r="K4028" s="60"/>
      <c r="L4028" s="60"/>
      <c r="M4028" s="64"/>
      <c r="N4028" s="33"/>
    </row>
    <row r="4029" ht="24" customHeight="1" spans="2:14">
      <c r="B4029" s="33"/>
      <c r="C4029" s="60"/>
      <c r="D4029" s="60"/>
      <c r="E4029" s="60"/>
      <c r="F4029" s="60"/>
      <c r="G4029" s="60"/>
      <c r="H4029" s="60"/>
      <c r="I4029" s="60"/>
      <c r="J4029" s="60"/>
      <c r="K4029" s="60"/>
      <c r="L4029" s="60"/>
      <c r="M4029" s="64"/>
      <c r="N4029" s="33"/>
    </row>
    <row r="4030" ht="24" customHeight="1" spans="2:14">
      <c r="B4030" s="33"/>
      <c r="C4030" s="60"/>
      <c r="D4030" s="60"/>
      <c r="E4030" s="60"/>
      <c r="F4030" s="60"/>
      <c r="G4030" s="60"/>
      <c r="H4030" s="60"/>
      <c r="I4030" s="60"/>
      <c r="J4030" s="60"/>
      <c r="K4030" s="60"/>
      <c r="L4030" s="60"/>
      <c r="M4030" s="64"/>
      <c r="N4030" s="33"/>
    </row>
    <row r="4031" ht="24" customHeight="1" spans="2:14">
      <c r="B4031" s="33"/>
      <c r="C4031" s="60"/>
      <c r="D4031" s="60"/>
      <c r="E4031" s="60"/>
      <c r="F4031" s="60"/>
      <c r="G4031" s="60"/>
      <c r="H4031" s="60"/>
      <c r="I4031" s="60"/>
      <c r="J4031" s="60"/>
      <c r="K4031" s="60"/>
      <c r="L4031" s="60"/>
      <c r="M4031" s="64"/>
      <c r="N4031" s="33"/>
    </row>
    <row r="4032" ht="24" customHeight="1" spans="2:14">
      <c r="B4032" s="33"/>
      <c r="C4032" s="60"/>
      <c r="D4032" s="60"/>
      <c r="E4032" s="60"/>
      <c r="F4032" s="60"/>
      <c r="G4032" s="60"/>
      <c r="H4032" s="60"/>
      <c r="I4032" s="60"/>
      <c r="J4032" s="60"/>
      <c r="K4032" s="60"/>
      <c r="L4032" s="60"/>
      <c r="M4032" s="64"/>
      <c r="N4032" s="33"/>
    </row>
    <row r="4033" ht="24" customHeight="1" spans="2:14">
      <c r="B4033" s="33"/>
      <c r="C4033" s="60"/>
      <c r="D4033" s="60"/>
      <c r="E4033" s="60"/>
      <c r="F4033" s="60"/>
      <c r="G4033" s="60"/>
      <c r="H4033" s="60"/>
      <c r="I4033" s="60"/>
      <c r="J4033" s="60"/>
      <c r="K4033" s="60"/>
      <c r="L4033" s="60"/>
      <c r="M4033" s="64"/>
      <c r="N4033" s="33"/>
    </row>
    <row r="4034" ht="24" customHeight="1" spans="2:14">
      <c r="B4034" s="33"/>
      <c r="C4034" s="60"/>
      <c r="D4034" s="60"/>
      <c r="E4034" s="60"/>
      <c r="F4034" s="60"/>
      <c r="G4034" s="60"/>
      <c r="H4034" s="60"/>
      <c r="I4034" s="60"/>
      <c r="J4034" s="60"/>
      <c r="K4034" s="60"/>
      <c r="L4034" s="60"/>
      <c r="M4034" s="64"/>
      <c r="N4034" s="33"/>
    </row>
    <row r="4035" ht="24" customHeight="1" spans="2:14">
      <c r="B4035" s="33"/>
      <c r="C4035" s="60"/>
      <c r="D4035" s="60"/>
      <c r="E4035" s="60"/>
      <c r="F4035" s="60"/>
      <c r="G4035" s="60"/>
      <c r="H4035" s="60"/>
      <c r="I4035" s="60"/>
      <c r="J4035" s="60"/>
      <c r="K4035" s="60"/>
      <c r="L4035" s="60"/>
      <c r="M4035" s="64"/>
      <c r="N4035" s="33"/>
    </row>
    <row r="4036" ht="24" customHeight="1" spans="2:14">
      <c r="B4036" s="33"/>
      <c r="C4036" s="60"/>
      <c r="D4036" s="60"/>
      <c r="E4036" s="60"/>
      <c r="F4036" s="60"/>
      <c r="G4036" s="60"/>
      <c r="H4036" s="60"/>
      <c r="I4036" s="60"/>
      <c r="J4036" s="60"/>
      <c r="K4036" s="60"/>
      <c r="L4036" s="60"/>
      <c r="M4036" s="64"/>
      <c r="N4036" s="33"/>
    </row>
    <row r="4037" ht="24" customHeight="1" spans="2:14">
      <c r="B4037" s="33"/>
      <c r="C4037" s="60"/>
      <c r="D4037" s="60"/>
      <c r="E4037" s="60"/>
      <c r="F4037" s="60"/>
      <c r="G4037" s="60"/>
      <c r="H4037" s="60"/>
      <c r="I4037" s="60"/>
      <c r="J4037" s="60"/>
      <c r="K4037" s="60"/>
      <c r="L4037" s="60"/>
      <c r="M4037" s="64"/>
      <c r="N4037" s="33"/>
    </row>
    <row r="4038" ht="24" customHeight="1" spans="2:14">
      <c r="B4038" s="33"/>
      <c r="C4038" s="60"/>
      <c r="D4038" s="60"/>
      <c r="E4038" s="60"/>
      <c r="F4038" s="60"/>
      <c r="G4038" s="60"/>
      <c r="H4038" s="60"/>
      <c r="I4038" s="60"/>
      <c r="J4038" s="60"/>
      <c r="K4038" s="60"/>
      <c r="L4038" s="60"/>
      <c r="M4038" s="64"/>
      <c r="N4038" s="33"/>
    </row>
    <row r="4039" ht="24" customHeight="1" spans="2:14">
      <c r="B4039" s="33"/>
      <c r="C4039" s="60"/>
      <c r="D4039" s="60"/>
      <c r="E4039" s="60"/>
      <c r="F4039" s="60"/>
      <c r="G4039" s="60"/>
      <c r="H4039" s="60"/>
      <c r="I4039" s="60"/>
      <c r="J4039" s="60"/>
      <c r="K4039" s="60"/>
      <c r="L4039" s="60"/>
      <c r="M4039" s="64"/>
      <c r="N4039" s="33"/>
    </row>
    <row r="4040" ht="24" customHeight="1" spans="2:14">
      <c r="B4040" s="33"/>
      <c r="C4040" s="60"/>
      <c r="D4040" s="60"/>
      <c r="E4040" s="60"/>
      <c r="F4040" s="60"/>
      <c r="G4040" s="60"/>
      <c r="H4040" s="60"/>
      <c r="I4040" s="60"/>
      <c r="J4040" s="60"/>
      <c r="K4040" s="60"/>
      <c r="L4040" s="60"/>
      <c r="M4040" s="64"/>
      <c r="N4040" s="33"/>
    </row>
    <row r="4041" ht="24" customHeight="1" spans="2:14">
      <c r="B4041" s="33"/>
      <c r="C4041" s="60"/>
      <c r="D4041" s="60"/>
      <c r="E4041" s="60"/>
      <c r="F4041" s="60"/>
      <c r="G4041" s="60"/>
      <c r="H4041" s="60"/>
      <c r="I4041" s="60"/>
      <c r="J4041" s="60"/>
      <c r="K4041" s="60"/>
      <c r="L4041" s="60"/>
      <c r="M4041" s="64"/>
      <c r="N4041" s="33"/>
    </row>
    <row r="4042" ht="24" customHeight="1" spans="2:14">
      <c r="B4042" s="33"/>
      <c r="C4042" s="60"/>
      <c r="D4042" s="60"/>
      <c r="E4042" s="60"/>
      <c r="F4042" s="60"/>
      <c r="G4042" s="60"/>
      <c r="H4042" s="60"/>
      <c r="I4042" s="60"/>
      <c r="J4042" s="60"/>
      <c r="K4042" s="60"/>
      <c r="L4042" s="60"/>
      <c r="M4042" s="64"/>
      <c r="N4042" s="33"/>
    </row>
    <row r="4043" ht="24" customHeight="1" spans="2:14">
      <c r="B4043" s="33"/>
      <c r="C4043" s="60"/>
      <c r="D4043" s="60"/>
      <c r="E4043" s="60"/>
      <c r="F4043" s="60"/>
      <c r="G4043" s="60"/>
      <c r="H4043" s="60"/>
      <c r="I4043" s="60"/>
      <c r="J4043" s="60"/>
      <c r="K4043" s="60"/>
      <c r="L4043" s="60"/>
      <c r="M4043" s="64"/>
      <c r="N4043" s="33"/>
    </row>
    <row r="4044" ht="24" customHeight="1" spans="2:14">
      <c r="B4044" s="33"/>
      <c r="C4044" s="60"/>
      <c r="D4044" s="60"/>
      <c r="E4044" s="60"/>
      <c r="F4044" s="60"/>
      <c r="G4044" s="60"/>
      <c r="H4044" s="60"/>
      <c r="I4044" s="60"/>
      <c r="J4044" s="60"/>
      <c r="K4044" s="60"/>
      <c r="L4044" s="60"/>
      <c r="M4044" s="64"/>
      <c r="N4044" s="33"/>
    </row>
    <row r="4045" ht="24" customHeight="1" spans="2:14">
      <c r="B4045" s="33"/>
      <c r="C4045" s="60"/>
      <c r="D4045" s="60"/>
      <c r="E4045" s="60"/>
      <c r="F4045" s="60"/>
      <c r="G4045" s="60"/>
      <c r="H4045" s="60"/>
      <c r="I4045" s="60"/>
      <c r="J4045" s="60"/>
      <c r="K4045" s="60"/>
      <c r="L4045" s="60"/>
      <c r="M4045" s="64"/>
      <c r="N4045" s="33"/>
    </row>
    <row r="4046" ht="24" customHeight="1" spans="2:14">
      <c r="B4046" s="33"/>
      <c r="C4046" s="60"/>
      <c r="D4046" s="60"/>
      <c r="E4046" s="60"/>
      <c r="F4046" s="60"/>
      <c r="G4046" s="60"/>
      <c r="H4046" s="60"/>
      <c r="I4046" s="60"/>
      <c r="J4046" s="60"/>
      <c r="K4046" s="60"/>
      <c r="L4046" s="60"/>
      <c r="M4046" s="64"/>
      <c r="N4046" s="33"/>
    </row>
    <row r="4047" ht="24" customHeight="1" spans="2:14">
      <c r="B4047" s="33"/>
      <c r="C4047" s="60"/>
      <c r="D4047" s="60"/>
      <c r="E4047" s="60"/>
      <c r="F4047" s="60"/>
      <c r="G4047" s="60"/>
      <c r="H4047" s="60"/>
      <c r="I4047" s="60"/>
      <c r="J4047" s="60"/>
      <c r="K4047" s="60"/>
      <c r="L4047" s="60"/>
      <c r="M4047" s="64"/>
      <c r="N4047" s="33"/>
    </row>
    <row r="4048" ht="24" customHeight="1" spans="2:14">
      <c r="B4048" s="33"/>
      <c r="C4048" s="60"/>
      <c r="D4048" s="60"/>
      <c r="E4048" s="60"/>
      <c r="F4048" s="60"/>
      <c r="G4048" s="60"/>
      <c r="H4048" s="60"/>
      <c r="I4048" s="60"/>
      <c r="J4048" s="60"/>
      <c r="K4048" s="60"/>
      <c r="L4048" s="60"/>
      <c r="M4048" s="64"/>
      <c r="N4048" s="33"/>
    </row>
    <row r="4049" ht="24" customHeight="1" spans="2:14">
      <c r="B4049" s="33"/>
      <c r="C4049" s="60"/>
      <c r="D4049" s="60"/>
      <c r="E4049" s="60"/>
      <c r="F4049" s="60"/>
      <c r="G4049" s="60"/>
      <c r="H4049" s="60"/>
      <c r="I4049" s="60"/>
      <c r="J4049" s="60"/>
      <c r="K4049" s="60"/>
      <c r="L4049" s="60"/>
      <c r="M4049" s="64"/>
      <c r="N4049" s="33"/>
    </row>
    <row r="4050" ht="24" customHeight="1" spans="2:14">
      <c r="B4050" s="33"/>
      <c r="C4050" s="60"/>
      <c r="D4050" s="60"/>
      <c r="E4050" s="60"/>
      <c r="F4050" s="60"/>
      <c r="G4050" s="60"/>
      <c r="H4050" s="60"/>
      <c r="I4050" s="60"/>
      <c r="J4050" s="60"/>
      <c r="K4050" s="60"/>
      <c r="L4050" s="60"/>
      <c r="M4050" s="64"/>
      <c r="N4050" s="33"/>
    </row>
    <row r="4051" ht="24" customHeight="1" spans="2:14">
      <c r="B4051" s="33"/>
      <c r="C4051" s="60"/>
      <c r="D4051" s="60"/>
      <c r="E4051" s="60"/>
      <c r="F4051" s="60"/>
      <c r="G4051" s="60"/>
      <c r="H4051" s="60"/>
      <c r="I4051" s="60"/>
      <c r="J4051" s="60"/>
      <c r="K4051" s="60"/>
      <c r="L4051" s="60"/>
      <c r="M4051" s="64"/>
      <c r="N4051" s="33"/>
    </row>
    <row r="4052" ht="24" customHeight="1" spans="2:14">
      <c r="B4052" s="33"/>
      <c r="C4052" s="60"/>
      <c r="D4052" s="60"/>
      <c r="E4052" s="60"/>
      <c r="F4052" s="60"/>
      <c r="G4052" s="60"/>
      <c r="H4052" s="60"/>
      <c r="I4052" s="60"/>
      <c r="J4052" s="60"/>
      <c r="K4052" s="60"/>
      <c r="L4052" s="60"/>
      <c r="M4052" s="64"/>
      <c r="N4052" s="33"/>
    </row>
    <row r="4053" ht="24" customHeight="1" spans="2:14">
      <c r="B4053" s="33"/>
      <c r="C4053" s="60"/>
      <c r="D4053" s="60"/>
      <c r="E4053" s="60"/>
      <c r="F4053" s="60"/>
      <c r="G4053" s="60"/>
      <c r="H4053" s="60"/>
      <c r="I4053" s="60"/>
      <c r="J4053" s="60"/>
      <c r="K4053" s="60"/>
      <c r="L4053" s="60"/>
      <c r="M4053" s="64"/>
      <c r="N4053" s="33"/>
    </row>
    <row r="4054" ht="24" customHeight="1" spans="2:14">
      <c r="B4054" s="33"/>
      <c r="C4054" s="60"/>
      <c r="D4054" s="60"/>
      <c r="E4054" s="60"/>
      <c r="F4054" s="60"/>
      <c r="G4054" s="60"/>
      <c r="H4054" s="60"/>
      <c r="I4054" s="60"/>
      <c r="J4054" s="60"/>
      <c r="K4054" s="60"/>
      <c r="L4054" s="60"/>
      <c r="M4054" s="64"/>
      <c r="N4054" s="33"/>
    </row>
    <row r="4055" ht="24" customHeight="1" spans="2:14">
      <c r="B4055" s="33"/>
      <c r="C4055" s="60"/>
      <c r="D4055" s="60"/>
      <c r="E4055" s="60"/>
      <c r="F4055" s="60"/>
      <c r="G4055" s="60"/>
      <c r="H4055" s="60"/>
      <c r="I4055" s="60"/>
      <c r="J4055" s="60"/>
      <c r="K4055" s="60"/>
      <c r="L4055" s="60"/>
      <c r="M4055" s="64"/>
      <c r="N4055" s="33"/>
    </row>
    <row r="4056" ht="24" customHeight="1" spans="2:14">
      <c r="B4056" s="33"/>
      <c r="C4056" s="60"/>
      <c r="D4056" s="60"/>
      <c r="E4056" s="60"/>
      <c r="F4056" s="60"/>
      <c r="G4056" s="60"/>
      <c r="H4056" s="60"/>
      <c r="I4056" s="60"/>
      <c r="J4056" s="60"/>
      <c r="K4056" s="60"/>
      <c r="L4056" s="60"/>
      <c r="M4056" s="64"/>
      <c r="N4056" s="33"/>
    </row>
    <row r="4057" ht="24" customHeight="1" spans="2:14">
      <c r="B4057" s="33"/>
      <c r="C4057" s="60"/>
      <c r="D4057" s="60"/>
      <c r="E4057" s="60"/>
      <c r="F4057" s="60"/>
      <c r="G4057" s="60"/>
      <c r="H4057" s="60"/>
      <c r="I4057" s="60"/>
      <c r="J4057" s="60"/>
      <c r="K4057" s="60"/>
      <c r="L4057" s="60"/>
      <c r="M4057" s="64"/>
      <c r="N4057" s="33"/>
    </row>
    <row r="4058" ht="24" customHeight="1" spans="2:14">
      <c r="B4058" s="33"/>
      <c r="C4058" s="60"/>
      <c r="D4058" s="60"/>
      <c r="E4058" s="60"/>
      <c r="F4058" s="60"/>
      <c r="G4058" s="60"/>
      <c r="H4058" s="60"/>
      <c r="I4058" s="60"/>
      <c r="J4058" s="60"/>
      <c r="K4058" s="60"/>
      <c r="L4058" s="60"/>
      <c r="M4058" s="64"/>
      <c r="N4058" s="33"/>
    </row>
    <row r="4059" ht="24" customHeight="1" spans="2:14">
      <c r="B4059" s="33"/>
      <c r="C4059" s="60"/>
      <c r="D4059" s="60"/>
      <c r="E4059" s="60"/>
      <c r="F4059" s="60"/>
      <c r="G4059" s="60"/>
      <c r="H4059" s="60"/>
      <c r="I4059" s="60"/>
      <c r="J4059" s="60"/>
      <c r="K4059" s="60"/>
      <c r="L4059" s="60"/>
      <c r="M4059" s="64"/>
      <c r="N4059" s="33"/>
    </row>
    <row r="4060" ht="24" customHeight="1" spans="2:14">
      <c r="B4060" s="33"/>
      <c r="C4060" s="60"/>
      <c r="D4060" s="60"/>
      <c r="E4060" s="60"/>
      <c r="F4060" s="60"/>
      <c r="G4060" s="60"/>
      <c r="H4060" s="60"/>
      <c r="I4060" s="60"/>
      <c r="J4060" s="60"/>
      <c r="K4060" s="60"/>
      <c r="L4060" s="60"/>
      <c r="M4060" s="64"/>
      <c r="N4060" s="33"/>
    </row>
    <row r="4061" ht="24" customHeight="1" spans="2:14">
      <c r="B4061" s="33"/>
      <c r="C4061" s="60"/>
      <c r="D4061" s="60"/>
      <c r="E4061" s="60"/>
      <c r="F4061" s="60"/>
      <c r="G4061" s="60"/>
      <c r="H4061" s="60"/>
      <c r="I4061" s="60"/>
      <c r="J4061" s="60"/>
      <c r="K4061" s="60"/>
      <c r="L4061" s="60"/>
      <c r="M4061" s="64"/>
      <c r="N4061" s="33"/>
    </row>
    <row r="4062" ht="24" customHeight="1" spans="2:14">
      <c r="B4062" s="33"/>
      <c r="C4062" s="60"/>
      <c r="D4062" s="60"/>
      <c r="E4062" s="60"/>
      <c r="F4062" s="60"/>
      <c r="G4062" s="60"/>
      <c r="H4062" s="60"/>
      <c r="I4062" s="60"/>
      <c r="J4062" s="60"/>
      <c r="K4062" s="60"/>
      <c r="L4062" s="60"/>
      <c r="M4062" s="64"/>
      <c r="N4062" s="33"/>
    </row>
    <row r="4063" ht="24" customHeight="1" spans="2:14">
      <c r="B4063" s="33"/>
      <c r="C4063" s="60"/>
      <c r="D4063" s="60"/>
      <c r="E4063" s="60"/>
      <c r="F4063" s="60"/>
      <c r="G4063" s="60"/>
      <c r="H4063" s="60"/>
      <c r="I4063" s="60"/>
      <c r="J4063" s="60"/>
      <c r="K4063" s="60"/>
      <c r="L4063" s="60"/>
      <c r="M4063" s="64"/>
      <c r="N4063" s="33"/>
    </row>
    <row r="4064" ht="24" customHeight="1" spans="2:14">
      <c r="B4064" s="33"/>
      <c r="C4064" s="60"/>
      <c r="D4064" s="60"/>
      <c r="E4064" s="60"/>
      <c r="F4064" s="60"/>
      <c r="G4064" s="60"/>
      <c r="H4064" s="60"/>
      <c r="I4064" s="60"/>
      <c r="J4064" s="60"/>
      <c r="K4064" s="60"/>
      <c r="L4064" s="60"/>
      <c r="M4064" s="64"/>
      <c r="N4064" s="33"/>
    </row>
    <row r="4065" ht="24" customHeight="1" spans="2:14">
      <c r="B4065" s="33"/>
      <c r="C4065" s="60"/>
      <c r="D4065" s="60"/>
      <c r="E4065" s="60"/>
      <c r="F4065" s="60"/>
      <c r="G4065" s="60"/>
      <c r="H4065" s="60"/>
      <c r="I4065" s="60"/>
      <c r="J4065" s="60"/>
      <c r="K4065" s="60"/>
      <c r="L4065" s="60"/>
      <c r="M4065" s="64"/>
      <c r="N4065" s="33"/>
    </row>
    <row r="4066" ht="24" customHeight="1" spans="2:14">
      <c r="B4066" s="33"/>
      <c r="C4066" s="60"/>
      <c r="D4066" s="60"/>
      <c r="E4066" s="60"/>
      <c r="F4066" s="60"/>
      <c r="G4066" s="60"/>
      <c r="H4066" s="60"/>
      <c r="I4066" s="60"/>
      <c r="J4066" s="60"/>
      <c r="K4066" s="60"/>
      <c r="L4066" s="60"/>
      <c r="M4066" s="64"/>
      <c r="N4066" s="33"/>
    </row>
    <row r="4067" ht="24" customHeight="1" spans="2:14">
      <c r="B4067" s="33"/>
      <c r="C4067" s="60"/>
      <c r="D4067" s="60"/>
      <c r="E4067" s="60"/>
      <c r="F4067" s="60"/>
      <c r="G4067" s="60"/>
      <c r="H4067" s="60"/>
      <c r="I4067" s="60"/>
      <c r="J4067" s="60"/>
      <c r="K4067" s="60"/>
      <c r="L4067" s="60"/>
      <c r="M4067" s="64"/>
      <c r="N4067" s="33"/>
    </row>
    <row r="4068" ht="24" customHeight="1" spans="2:14">
      <c r="B4068" s="33"/>
      <c r="C4068" s="60"/>
      <c r="D4068" s="60"/>
      <c r="E4068" s="60"/>
      <c r="F4068" s="60"/>
      <c r="G4068" s="60"/>
      <c r="H4068" s="60"/>
      <c r="I4068" s="60"/>
      <c r="J4068" s="60"/>
      <c r="K4068" s="60"/>
      <c r="L4068" s="60"/>
      <c r="M4068" s="64"/>
      <c r="N4068" s="33"/>
    </row>
    <row r="4069" ht="24" customHeight="1" spans="2:14">
      <c r="B4069" s="33"/>
      <c r="C4069" s="60"/>
      <c r="D4069" s="60"/>
      <c r="E4069" s="60"/>
      <c r="F4069" s="60"/>
      <c r="G4069" s="60"/>
      <c r="H4069" s="60"/>
      <c r="I4069" s="60"/>
      <c r="J4069" s="60"/>
      <c r="K4069" s="60"/>
      <c r="L4069" s="60"/>
      <c r="M4069" s="64"/>
      <c r="N4069" s="33"/>
    </row>
    <row r="4070" ht="24" customHeight="1" spans="2:14">
      <c r="B4070" s="33"/>
      <c r="C4070" s="60"/>
      <c r="D4070" s="60"/>
      <c r="E4070" s="60"/>
      <c r="F4070" s="60"/>
      <c r="G4070" s="60"/>
      <c r="H4070" s="60"/>
      <c r="I4070" s="60"/>
      <c r="J4070" s="60"/>
      <c r="K4070" s="60"/>
      <c r="L4070" s="60"/>
      <c r="M4070" s="64"/>
      <c r="N4070" s="33"/>
    </row>
    <row r="4071" ht="24" customHeight="1" spans="2:14">
      <c r="B4071" s="33"/>
      <c r="C4071" s="60"/>
      <c r="D4071" s="60"/>
      <c r="E4071" s="60"/>
      <c r="F4071" s="60"/>
      <c r="G4071" s="60"/>
      <c r="H4071" s="60"/>
      <c r="I4071" s="60"/>
      <c r="J4071" s="60"/>
      <c r="K4071" s="60"/>
      <c r="L4071" s="60"/>
      <c r="M4071" s="64"/>
      <c r="N4071" s="33"/>
    </row>
    <row r="4072" ht="24" customHeight="1" spans="2:14">
      <c r="B4072" s="33"/>
      <c r="C4072" s="60"/>
      <c r="D4072" s="60"/>
      <c r="E4072" s="60"/>
      <c r="F4072" s="60"/>
      <c r="G4072" s="60"/>
      <c r="H4072" s="60"/>
      <c r="I4072" s="60"/>
      <c r="J4072" s="60"/>
      <c r="K4072" s="60"/>
      <c r="L4072" s="60"/>
      <c r="M4072" s="64"/>
      <c r="N4072" s="33"/>
    </row>
    <row r="4073" ht="24" customHeight="1" spans="2:14">
      <c r="B4073" s="33"/>
      <c r="C4073" s="60"/>
      <c r="D4073" s="60"/>
      <c r="E4073" s="60"/>
      <c r="F4073" s="60"/>
      <c r="G4073" s="60"/>
      <c r="H4073" s="60"/>
      <c r="I4073" s="60"/>
      <c r="J4073" s="60"/>
      <c r="K4073" s="60"/>
      <c r="L4073" s="60"/>
      <c r="M4073" s="64"/>
      <c r="N4073" s="33"/>
    </row>
    <row r="4074" ht="24" customHeight="1" spans="2:14">
      <c r="B4074" s="33"/>
      <c r="C4074" s="60"/>
      <c r="D4074" s="60"/>
      <c r="E4074" s="60"/>
      <c r="F4074" s="60"/>
      <c r="G4074" s="60"/>
      <c r="H4074" s="60"/>
      <c r="I4074" s="60"/>
      <c r="J4074" s="60"/>
      <c r="K4074" s="60"/>
      <c r="L4074" s="60"/>
      <c r="M4074" s="64"/>
      <c r="N4074" s="33"/>
    </row>
    <row r="4075" ht="24" customHeight="1" spans="2:14">
      <c r="B4075" s="33"/>
      <c r="C4075" s="60"/>
      <c r="D4075" s="60"/>
      <c r="E4075" s="60"/>
      <c r="F4075" s="60"/>
      <c r="G4075" s="60"/>
      <c r="H4075" s="60"/>
      <c r="I4075" s="60"/>
      <c r="J4075" s="60"/>
      <c r="K4075" s="60"/>
      <c r="L4075" s="60"/>
      <c r="M4075" s="64"/>
      <c r="N4075" s="33"/>
    </row>
    <row r="4076" ht="24" customHeight="1" spans="2:14">
      <c r="B4076" s="33"/>
      <c r="C4076" s="60"/>
      <c r="D4076" s="60"/>
      <c r="E4076" s="60"/>
      <c r="F4076" s="60"/>
      <c r="G4076" s="60"/>
      <c r="H4076" s="60"/>
      <c r="I4076" s="60"/>
      <c r="J4076" s="60"/>
      <c r="K4076" s="60"/>
      <c r="L4076" s="60"/>
      <c r="M4076" s="64"/>
      <c r="N4076" s="33"/>
    </row>
    <row r="4077" ht="24" customHeight="1" spans="2:14">
      <c r="B4077" s="33"/>
      <c r="C4077" s="60"/>
      <c r="D4077" s="60"/>
      <c r="E4077" s="60"/>
      <c r="F4077" s="60"/>
      <c r="G4077" s="60"/>
      <c r="H4077" s="60"/>
      <c r="I4077" s="60"/>
      <c r="J4077" s="60"/>
      <c r="K4077" s="60"/>
      <c r="L4077" s="60"/>
      <c r="M4077" s="64"/>
      <c r="N4077" s="33"/>
    </row>
    <row r="4078" ht="24" customHeight="1" spans="2:14">
      <c r="B4078" s="33"/>
      <c r="C4078" s="60"/>
      <c r="D4078" s="60"/>
      <c r="E4078" s="60"/>
      <c r="F4078" s="60"/>
      <c r="G4078" s="60"/>
      <c r="H4078" s="60"/>
      <c r="I4078" s="60"/>
      <c r="J4078" s="60"/>
      <c r="K4078" s="60"/>
      <c r="L4078" s="60"/>
      <c r="M4078" s="64"/>
      <c r="N4078" s="33"/>
    </row>
    <row r="4079" ht="24" customHeight="1" spans="2:14">
      <c r="B4079" s="33"/>
      <c r="C4079" s="60"/>
      <c r="D4079" s="60"/>
      <c r="E4079" s="60"/>
      <c r="F4079" s="60"/>
      <c r="G4079" s="60"/>
      <c r="H4079" s="60"/>
      <c r="I4079" s="60"/>
      <c r="J4079" s="60"/>
      <c r="K4079" s="60"/>
      <c r="L4079" s="60"/>
      <c r="M4079" s="64"/>
      <c r="N4079" s="33"/>
    </row>
    <row r="4080" ht="24" customHeight="1" spans="2:14">
      <c r="B4080" s="33"/>
      <c r="C4080" s="60"/>
      <c r="D4080" s="60"/>
      <c r="E4080" s="60"/>
      <c r="F4080" s="60"/>
      <c r="G4080" s="60"/>
      <c r="H4080" s="60"/>
      <c r="I4080" s="60"/>
      <c r="J4080" s="60"/>
      <c r="K4080" s="60"/>
      <c r="L4080" s="60"/>
      <c r="M4080" s="64"/>
      <c r="N4080" s="33"/>
    </row>
    <row r="4081" ht="24" customHeight="1" spans="2:14">
      <c r="B4081" s="33"/>
      <c r="C4081" s="60"/>
      <c r="D4081" s="60"/>
      <c r="E4081" s="60"/>
      <c r="F4081" s="60"/>
      <c r="G4081" s="60"/>
      <c r="H4081" s="60"/>
      <c r="I4081" s="60"/>
      <c r="J4081" s="60"/>
      <c r="K4081" s="60"/>
      <c r="L4081" s="60"/>
      <c r="M4081" s="64"/>
      <c r="N4081" s="33"/>
    </row>
    <row r="4082" ht="24" customHeight="1" spans="2:14">
      <c r="B4082" s="33"/>
      <c r="C4082" s="60"/>
      <c r="D4082" s="60"/>
      <c r="E4082" s="60"/>
      <c r="F4082" s="60"/>
      <c r="G4082" s="60"/>
      <c r="H4082" s="60"/>
      <c r="I4082" s="60"/>
      <c r="J4082" s="60"/>
      <c r="K4082" s="60"/>
      <c r="L4082" s="60"/>
      <c r="M4082" s="64"/>
      <c r="N4082" s="33"/>
    </row>
    <row r="4083" ht="24" customHeight="1" spans="2:14">
      <c r="B4083" s="33"/>
      <c r="C4083" s="60"/>
      <c r="D4083" s="60"/>
      <c r="E4083" s="60"/>
      <c r="F4083" s="60"/>
      <c r="G4083" s="60"/>
      <c r="H4083" s="60"/>
      <c r="I4083" s="60"/>
      <c r="J4083" s="60"/>
      <c r="K4083" s="60"/>
      <c r="L4083" s="60"/>
      <c r="M4083" s="64"/>
      <c r="N4083" s="33"/>
    </row>
    <row r="4084" ht="24" customHeight="1" spans="2:14">
      <c r="B4084" s="33"/>
      <c r="C4084" s="60"/>
      <c r="D4084" s="60"/>
      <c r="E4084" s="60"/>
      <c r="F4084" s="60"/>
      <c r="G4084" s="60"/>
      <c r="H4084" s="60"/>
      <c r="I4084" s="60"/>
      <c r="J4084" s="60"/>
      <c r="K4084" s="60"/>
      <c r="L4084" s="60"/>
      <c r="M4084" s="64"/>
      <c r="N4084" s="33"/>
    </row>
    <row r="4085" ht="24" customHeight="1" spans="2:14">
      <c r="B4085" s="33"/>
      <c r="C4085" s="60"/>
      <c r="D4085" s="60"/>
      <c r="E4085" s="60"/>
      <c r="F4085" s="60"/>
      <c r="G4085" s="60"/>
      <c r="H4085" s="60"/>
      <c r="I4085" s="60"/>
      <c r="J4085" s="60"/>
      <c r="K4085" s="60"/>
      <c r="L4085" s="60"/>
      <c r="M4085" s="64"/>
      <c r="N4085" s="33"/>
    </row>
    <row r="4086" ht="24" customHeight="1" spans="2:14">
      <c r="B4086" s="33"/>
      <c r="C4086" s="60"/>
      <c r="D4086" s="60"/>
      <c r="E4086" s="60"/>
      <c r="F4086" s="60"/>
      <c r="G4086" s="60"/>
      <c r="H4086" s="60"/>
      <c r="I4086" s="60"/>
      <c r="J4086" s="60"/>
      <c r="K4086" s="60"/>
      <c r="L4086" s="60"/>
      <c r="M4086" s="64"/>
      <c r="N4086" s="33"/>
    </row>
    <row r="4087" ht="24" customHeight="1" spans="2:14">
      <c r="B4087" s="33"/>
      <c r="C4087" s="60"/>
      <c r="D4087" s="60"/>
      <c r="E4087" s="60"/>
      <c r="F4087" s="60"/>
      <c r="G4087" s="60"/>
      <c r="H4087" s="60"/>
      <c r="I4087" s="60"/>
      <c r="J4087" s="60"/>
      <c r="K4087" s="60"/>
      <c r="L4087" s="60"/>
      <c r="M4087" s="64"/>
      <c r="N4087" s="33"/>
    </row>
    <row r="4088" ht="24" customHeight="1" spans="2:14">
      <c r="B4088" s="33"/>
      <c r="C4088" s="60"/>
      <c r="D4088" s="60"/>
      <c r="E4088" s="60"/>
      <c r="F4088" s="60"/>
      <c r="G4088" s="60"/>
      <c r="H4088" s="60"/>
      <c r="I4088" s="60"/>
      <c r="J4088" s="60"/>
      <c r="K4088" s="60"/>
      <c r="L4088" s="60"/>
      <c r="M4088" s="64"/>
      <c r="N4088" s="33"/>
    </row>
    <row r="4089" ht="24" customHeight="1" spans="2:14">
      <c r="B4089" s="33"/>
      <c r="C4089" s="60"/>
      <c r="D4089" s="60"/>
      <c r="E4089" s="60"/>
      <c r="F4089" s="60"/>
      <c r="G4089" s="60"/>
      <c r="H4089" s="60"/>
      <c r="I4089" s="60"/>
      <c r="J4089" s="60"/>
      <c r="K4089" s="60"/>
      <c r="L4089" s="60"/>
      <c r="M4089" s="64"/>
      <c r="N4089" s="33"/>
    </row>
    <row r="4090" ht="24" customHeight="1" spans="2:14">
      <c r="B4090" s="33"/>
      <c r="C4090" s="60"/>
      <c r="D4090" s="60"/>
      <c r="E4090" s="60"/>
      <c r="F4090" s="60"/>
      <c r="G4090" s="60"/>
      <c r="H4090" s="60"/>
      <c r="I4090" s="60"/>
      <c r="J4090" s="60"/>
      <c r="K4090" s="60"/>
      <c r="L4090" s="60"/>
      <c r="M4090" s="64"/>
      <c r="N4090" s="33"/>
    </row>
    <row r="4091" ht="24" customHeight="1" spans="2:14">
      <c r="B4091" s="33"/>
      <c r="C4091" s="60"/>
      <c r="D4091" s="60"/>
      <c r="E4091" s="60"/>
      <c r="F4091" s="60"/>
      <c r="G4091" s="60"/>
      <c r="H4091" s="60"/>
      <c r="I4091" s="60"/>
      <c r="J4091" s="60"/>
      <c r="K4091" s="60"/>
      <c r="L4091" s="60"/>
      <c r="M4091" s="64"/>
      <c r="N4091" s="33"/>
    </row>
    <row r="4092" ht="24" customHeight="1" spans="2:14">
      <c r="B4092" s="33"/>
      <c r="C4092" s="60"/>
      <c r="D4092" s="60"/>
      <c r="E4092" s="60"/>
      <c r="F4092" s="60"/>
      <c r="G4092" s="60"/>
      <c r="H4092" s="60"/>
      <c r="I4092" s="60"/>
      <c r="J4092" s="60"/>
      <c r="K4092" s="60"/>
      <c r="L4092" s="60"/>
      <c r="M4092" s="64"/>
      <c r="N4092" s="33"/>
    </row>
    <row r="4093" ht="24" customHeight="1" spans="2:14">
      <c r="B4093" s="33"/>
      <c r="C4093" s="60"/>
      <c r="D4093" s="60"/>
      <c r="E4093" s="60"/>
      <c r="F4093" s="60"/>
      <c r="G4093" s="60"/>
      <c r="H4093" s="60"/>
      <c r="I4093" s="60"/>
      <c r="J4093" s="60"/>
      <c r="K4093" s="60"/>
      <c r="L4093" s="60"/>
      <c r="M4093" s="64"/>
      <c r="N4093" s="33"/>
    </row>
    <row r="4094" ht="24" customHeight="1" spans="2:14">
      <c r="B4094" s="33"/>
      <c r="C4094" s="60"/>
      <c r="D4094" s="60"/>
      <c r="E4094" s="60"/>
      <c r="F4094" s="60"/>
      <c r="G4094" s="60"/>
      <c r="H4094" s="60"/>
      <c r="I4094" s="60"/>
      <c r="J4094" s="60"/>
      <c r="K4094" s="60"/>
      <c r="L4094" s="60"/>
      <c r="M4094" s="64"/>
      <c r="N4094" s="33"/>
    </row>
    <row r="4095" ht="24" customHeight="1" spans="2:14">
      <c r="B4095" s="33"/>
      <c r="C4095" s="60"/>
      <c r="D4095" s="60"/>
      <c r="E4095" s="60"/>
      <c r="F4095" s="60"/>
      <c r="G4095" s="60"/>
      <c r="H4095" s="60"/>
      <c r="I4095" s="60"/>
      <c r="J4095" s="60"/>
      <c r="K4095" s="60"/>
      <c r="L4095" s="60"/>
      <c r="M4095" s="64"/>
      <c r="N4095" s="33"/>
    </row>
    <row r="4096" ht="24" customHeight="1" spans="2:14">
      <c r="B4096" s="33"/>
      <c r="C4096" s="60"/>
      <c r="D4096" s="60"/>
      <c r="E4096" s="60"/>
      <c r="F4096" s="60"/>
      <c r="G4096" s="60"/>
      <c r="H4096" s="60"/>
      <c r="I4096" s="60"/>
      <c r="J4096" s="60"/>
      <c r="K4096" s="60"/>
      <c r="L4096" s="60"/>
      <c r="M4096" s="64"/>
      <c r="N4096" s="33"/>
    </row>
    <row r="4097" ht="24" customHeight="1" spans="2:14">
      <c r="B4097" s="33"/>
      <c r="C4097" s="60"/>
      <c r="D4097" s="60"/>
      <c r="E4097" s="60"/>
      <c r="F4097" s="60"/>
      <c r="G4097" s="60"/>
      <c r="H4097" s="60"/>
      <c r="I4097" s="60"/>
      <c r="J4097" s="60"/>
      <c r="K4097" s="60"/>
      <c r="L4097" s="60"/>
      <c r="M4097" s="64"/>
      <c r="N4097" s="33"/>
    </row>
    <row r="4098" ht="24" customHeight="1" spans="2:14">
      <c r="B4098" s="33"/>
      <c r="C4098" s="60"/>
      <c r="D4098" s="60"/>
      <c r="E4098" s="60"/>
      <c r="F4098" s="60"/>
      <c r="G4098" s="60"/>
      <c r="H4098" s="60"/>
      <c r="I4098" s="60"/>
      <c r="J4098" s="60"/>
      <c r="K4098" s="60"/>
      <c r="L4098" s="60"/>
      <c r="M4098" s="64"/>
      <c r="N4098" s="33"/>
    </row>
    <row r="4099" ht="24" customHeight="1" spans="2:14">
      <c r="B4099" s="33"/>
      <c r="C4099" s="60"/>
      <c r="D4099" s="60"/>
      <c r="E4099" s="60"/>
      <c r="F4099" s="60"/>
      <c r="G4099" s="60"/>
      <c r="H4099" s="60"/>
      <c r="I4099" s="60"/>
      <c r="J4099" s="60"/>
      <c r="K4099" s="60"/>
      <c r="L4099" s="60"/>
      <c r="M4099" s="64"/>
      <c r="N4099" s="33"/>
    </row>
    <row r="4100" ht="24" customHeight="1" spans="2:14">
      <c r="B4100" s="33"/>
      <c r="C4100" s="60"/>
      <c r="D4100" s="60"/>
      <c r="E4100" s="60"/>
      <c r="F4100" s="60"/>
      <c r="G4100" s="60"/>
      <c r="H4100" s="60"/>
      <c r="I4100" s="60"/>
      <c r="J4100" s="60"/>
      <c r="K4100" s="60"/>
      <c r="L4100" s="60"/>
      <c r="M4100" s="64"/>
      <c r="N4100" s="33"/>
    </row>
    <row r="4101" ht="24" customHeight="1" spans="2:14">
      <c r="B4101" s="33"/>
      <c r="C4101" s="60"/>
      <c r="D4101" s="60"/>
      <c r="E4101" s="60"/>
      <c r="F4101" s="60"/>
      <c r="G4101" s="60"/>
      <c r="H4101" s="60"/>
      <c r="I4101" s="60"/>
      <c r="J4101" s="60"/>
      <c r="K4101" s="60"/>
      <c r="L4101" s="60"/>
      <c r="M4101" s="64"/>
      <c r="N4101" s="33"/>
    </row>
    <row r="4102" ht="24" customHeight="1" spans="2:14">
      <c r="B4102" s="33"/>
      <c r="C4102" s="60"/>
      <c r="D4102" s="60"/>
      <c r="E4102" s="60"/>
      <c r="F4102" s="60"/>
      <c r="G4102" s="60"/>
      <c r="H4102" s="60"/>
      <c r="I4102" s="60"/>
      <c r="J4102" s="60"/>
      <c r="K4102" s="60"/>
      <c r="L4102" s="60"/>
      <c r="M4102" s="64"/>
      <c r="N4102" s="33"/>
    </row>
    <row r="4103" ht="24" customHeight="1" spans="2:14">
      <c r="B4103" s="33"/>
      <c r="C4103" s="60"/>
      <c r="D4103" s="60"/>
      <c r="E4103" s="60"/>
      <c r="F4103" s="60"/>
      <c r="G4103" s="60"/>
      <c r="H4103" s="60"/>
      <c r="I4103" s="60"/>
      <c r="J4103" s="60"/>
      <c r="K4103" s="60"/>
      <c r="L4103" s="60"/>
      <c r="M4103" s="64"/>
      <c r="N4103" s="33"/>
    </row>
    <row r="4104" ht="24" customHeight="1" spans="2:14">
      <c r="B4104" s="33"/>
      <c r="C4104" s="60"/>
      <c r="D4104" s="60"/>
      <c r="E4104" s="60"/>
      <c r="F4104" s="60"/>
      <c r="G4104" s="60"/>
      <c r="H4104" s="60"/>
      <c r="I4104" s="60"/>
      <c r="J4104" s="60"/>
      <c r="K4104" s="60"/>
      <c r="L4104" s="60"/>
      <c r="M4104" s="64"/>
      <c r="N4104" s="33"/>
    </row>
    <row r="4105" ht="24" customHeight="1" spans="2:14">
      <c r="B4105" s="33"/>
      <c r="C4105" s="60"/>
      <c r="D4105" s="60"/>
      <c r="E4105" s="60"/>
      <c r="F4105" s="60"/>
      <c r="G4105" s="60"/>
      <c r="H4105" s="60"/>
      <c r="I4105" s="60"/>
      <c r="J4105" s="60"/>
      <c r="K4105" s="60"/>
      <c r="L4105" s="60"/>
      <c r="M4105" s="64"/>
      <c r="N4105" s="33"/>
    </row>
    <row r="4106" ht="24" customHeight="1" spans="2:14">
      <c r="B4106" s="33"/>
      <c r="C4106" s="60"/>
      <c r="D4106" s="60"/>
      <c r="E4106" s="60"/>
      <c r="F4106" s="60"/>
      <c r="G4106" s="60"/>
      <c r="H4106" s="60"/>
      <c r="I4106" s="60"/>
      <c r="J4106" s="60"/>
      <c r="K4106" s="60"/>
      <c r="L4106" s="60"/>
      <c r="M4106" s="64"/>
      <c r="N4106" s="33"/>
    </row>
    <row r="4107" ht="24" customHeight="1" spans="2:14">
      <c r="B4107" s="33"/>
      <c r="C4107" s="60"/>
      <c r="D4107" s="60"/>
      <c r="E4107" s="60"/>
      <c r="F4107" s="60"/>
      <c r="G4107" s="60"/>
      <c r="H4107" s="60"/>
      <c r="I4107" s="60"/>
      <c r="J4107" s="60"/>
      <c r="K4107" s="60"/>
      <c r="L4107" s="60"/>
      <c r="M4107" s="64"/>
      <c r="N4107" s="33"/>
    </row>
    <row r="4108" ht="24" customHeight="1" spans="2:14">
      <c r="B4108" s="33"/>
      <c r="C4108" s="60"/>
      <c r="D4108" s="60"/>
      <c r="E4108" s="60"/>
      <c r="F4108" s="60"/>
      <c r="G4108" s="60"/>
      <c r="H4108" s="60"/>
      <c r="I4108" s="60"/>
      <c r="J4108" s="60"/>
      <c r="K4108" s="60"/>
      <c r="L4108" s="60"/>
      <c r="M4108" s="64"/>
      <c r="N4108" s="33"/>
    </row>
    <row r="4109" ht="24" customHeight="1" spans="2:14">
      <c r="B4109" s="33"/>
      <c r="C4109" s="60"/>
      <c r="D4109" s="60"/>
      <c r="E4109" s="60"/>
      <c r="F4109" s="60"/>
      <c r="G4109" s="60"/>
      <c r="H4109" s="60"/>
      <c r="I4109" s="60"/>
      <c r="J4109" s="60"/>
      <c r="K4109" s="60"/>
      <c r="L4109" s="60"/>
      <c r="M4109" s="64"/>
      <c r="N4109" s="33"/>
    </row>
    <row r="4110" ht="24" customHeight="1" spans="2:14">
      <c r="B4110" s="33"/>
      <c r="C4110" s="60"/>
      <c r="D4110" s="60"/>
      <c r="E4110" s="60"/>
      <c r="F4110" s="60"/>
      <c r="G4110" s="60"/>
      <c r="H4110" s="60"/>
      <c r="I4110" s="60"/>
      <c r="J4110" s="60"/>
      <c r="K4110" s="60"/>
      <c r="L4110" s="60"/>
      <c r="M4110" s="64"/>
      <c r="N4110" s="33"/>
    </row>
    <row r="4111" ht="24" customHeight="1" spans="2:14">
      <c r="B4111" s="33"/>
      <c r="C4111" s="60"/>
      <c r="D4111" s="60"/>
      <c r="E4111" s="60"/>
      <c r="F4111" s="60"/>
      <c r="G4111" s="60"/>
      <c r="H4111" s="60"/>
      <c r="I4111" s="60"/>
      <c r="J4111" s="60"/>
      <c r="K4111" s="60"/>
      <c r="L4111" s="60"/>
      <c r="M4111" s="64"/>
      <c r="N4111" s="33"/>
    </row>
    <row r="4112" ht="24" customHeight="1" spans="2:14">
      <c r="B4112" s="33"/>
      <c r="C4112" s="60"/>
      <c r="D4112" s="60"/>
      <c r="E4112" s="60"/>
      <c r="F4112" s="60"/>
      <c r="G4112" s="60"/>
      <c r="H4112" s="60"/>
      <c r="I4112" s="60"/>
      <c r="J4112" s="60"/>
      <c r="K4112" s="60"/>
      <c r="L4112" s="60"/>
      <c r="M4112" s="64"/>
      <c r="N4112" s="33"/>
    </row>
    <row r="4113" ht="24" customHeight="1" spans="2:14">
      <c r="B4113" s="33"/>
      <c r="C4113" s="60"/>
      <c r="D4113" s="60"/>
      <c r="E4113" s="60"/>
      <c r="F4113" s="60"/>
      <c r="G4113" s="60"/>
      <c r="H4113" s="60"/>
      <c r="I4113" s="60"/>
      <c r="J4113" s="60"/>
      <c r="K4113" s="60"/>
      <c r="L4113" s="60"/>
      <c r="M4113" s="64"/>
      <c r="N4113" s="33"/>
    </row>
    <row r="4114" ht="24" customHeight="1" spans="2:14">
      <c r="B4114" s="33"/>
      <c r="C4114" s="60"/>
      <c r="D4114" s="60"/>
      <c r="E4114" s="60"/>
      <c r="F4114" s="60"/>
      <c r="G4114" s="60"/>
      <c r="H4114" s="60"/>
      <c r="I4114" s="60"/>
      <c r="J4114" s="60"/>
      <c r="K4114" s="60"/>
      <c r="L4114" s="60"/>
      <c r="M4114" s="64"/>
      <c r="N4114" s="33"/>
    </row>
    <row r="4115" ht="24" customHeight="1" spans="2:14">
      <c r="B4115" s="33"/>
      <c r="C4115" s="60"/>
      <c r="D4115" s="60"/>
      <c r="E4115" s="60"/>
      <c r="F4115" s="60"/>
      <c r="G4115" s="60"/>
      <c r="H4115" s="60"/>
      <c r="I4115" s="60"/>
      <c r="J4115" s="60"/>
      <c r="K4115" s="60"/>
      <c r="L4115" s="60"/>
      <c r="M4115" s="64"/>
      <c r="N4115" s="33"/>
    </row>
    <row r="4116" ht="24" customHeight="1" spans="2:14">
      <c r="B4116" s="33"/>
      <c r="C4116" s="60"/>
      <c r="D4116" s="60"/>
      <c r="E4116" s="60"/>
      <c r="F4116" s="60"/>
      <c r="G4116" s="60"/>
      <c r="H4116" s="60"/>
      <c r="I4116" s="60"/>
      <c r="J4116" s="60"/>
      <c r="K4116" s="60"/>
      <c r="L4116" s="60"/>
      <c r="M4116" s="64"/>
      <c r="N4116" s="33"/>
    </row>
    <row r="4117" ht="24" customHeight="1" spans="2:14">
      <c r="B4117" s="33"/>
      <c r="C4117" s="60"/>
      <c r="D4117" s="60"/>
      <c r="E4117" s="60"/>
      <c r="F4117" s="60"/>
      <c r="G4117" s="60"/>
      <c r="H4117" s="60"/>
      <c r="I4117" s="60"/>
      <c r="J4117" s="60"/>
      <c r="K4117" s="60"/>
      <c r="L4117" s="60"/>
      <c r="M4117" s="64"/>
      <c r="N4117" s="33"/>
    </row>
    <row r="4118" ht="24" customHeight="1" spans="2:14">
      <c r="B4118" s="33"/>
      <c r="C4118" s="60"/>
      <c r="D4118" s="60"/>
      <c r="E4118" s="60"/>
      <c r="F4118" s="60"/>
      <c r="G4118" s="60"/>
      <c r="H4118" s="60"/>
      <c r="I4118" s="60"/>
      <c r="J4118" s="60"/>
      <c r="K4118" s="60"/>
      <c r="L4118" s="60"/>
      <c r="M4118" s="64"/>
      <c r="N4118" s="33"/>
    </row>
    <row r="4119" ht="24" customHeight="1" spans="2:14">
      <c r="B4119" s="33"/>
      <c r="C4119" s="60"/>
      <c r="D4119" s="60"/>
      <c r="E4119" s="60"/>
      <c r="F4119" s="60"/>
      <c r="G4119" s="60"/>
      <c r="H4119" s="60"/>
      <c r="I4119" s="60"/>
      <c r="J4119" s="60"/>
      <c r="K4119" s="60"/>
      <c r="L4119" s="60"/>
      <c r="M4119" s="64"/>
      <c r="N4119" s="33"/>
    </row>
    <row r="4120" ht="24" customHeight="1" spans="2:14">
      <c r="B4120" s="33"/>
      <c r="C4120" s="60"/>
      <c r="D4120" s="60"/>
      <c r="E4120" s="60"/>
      <c r="F4120" s="60"/>
      <c r="G4120" s="60"/>
      <c r="H4120" s="60"/>
      <c r="I4120" s="60"/>
      <c r="J4120" s="60"/>
      <c r="K4120" s="60"/>
      <c r="L4120" s="60"/>
      <c r="M4120" s="64"/>
      <c r="N4120" s="33"/>
    </row>
    <row r="4121" ht="24" customHeight="1" spans="2:14">
      <c r="B4121" s="33"/>
      <c r="C4121" s="60"/>
      <c r="D4121" s="60"/>
      <c r="E4121" s="60"/>
      <c r="F4121" s="60"/>
      <c r="G4121" s="60"/>
      <c r="H4121" s="60"/>
      <c r="I4121" s="60"/>
      <c r="J4121" s="60"/>
      <c r="K4121" s="60"/>
      <c r="L4121" s="60"/>
      <c r="M4121" s="64"/>
      <c r="N4121" s="33"/>
    </row>
    <row r="4122" ht="24" customHeight="1" spans="2:14">
      <c r="B4122" s="33"/>
      <c r="C4122" s="60"/>
      <c r="D4122" s="60"/>
      <c r="E4122" s="60"/>
      <c r="F4122" s="60"/>
      <c r="G4122" s="60"/>
      <c r="H4122" s="60"/>
      <c r="I4122" s="60"/>
      <c r="J4122" s="60"/>
      <c r="K4122" s="60"/>
      <c r="L4122" s="60"/>
      <c r="M4122" s="64"/>
      <c r="N4122" s="33"/>
    </row>
    <row r="4123" ht="24" customHeight="1" spans="2:14">
      <c r="B4123" s="33"/>
      <c r="C4123" s="60"/>
      <c r="D4123" s="60"/>
      <c r="E4123" s="60"/>
      <c r="F4123" s="60"/>
      <c r="G4123" s="60"/>
      <c r="H4123" s="60"/>
      <c r="I4123" s="60"/>
      <c r="J4123" s="60"/>
      <c r="K4123" s="60"/>
      <c r="L4123" s="60"/>
      <c r="M4123" s="64"/>
      <c r="N4123" s="33"/>
    </row>
    <row r="4124" ht="24" customHeight="1" spans="2:14">
      <c r="B4124" s="33"/>
      <c r="C4124" s="60"/>
      <c r="D4124" s="60"/>
      <c r="E4124" s="60"/>
      <c r="F4124" s="60"/>
      <c r="G4124" s="60"/>
      <c r="H4124" s="60"/>
      <c r="I4124" s="60"/>
      <c r="J4124" s="60"/>
      <c r="K4124" s="60"/>
      <c r="L4124" s="60"/>
      <c r="M4124" s="64"/>
      <c r="N4124" s="33"/>
    </row>
    <row r="4125" ht="24" customHeight="1" spans="2:14">
      <c r="B4125" s="33"/>
      <c r="C4125" s="60"/>
      <c r="D4125" s="60"/>
      <c r="E4125" s="60"/>
      <c r="F4125" s="60"/>
      <c r="G4125" s="60"/>
      <c r="H4125" s="60"/>
      <c r="I4125" s="60"/>
      <c r="J4125" s="60"/>
      <c r="K4125" s="60"/>
      <c r="L4125" s="60"/>
      <c r="M4125" s="64"/>
      <c r="N4125" s="33"/>
    </row>
    <row r="4126" ht="24" customHeight="1" spans="2:14">
      <c r="B4126" s="33"/>
      <c r="C4126" s="60"/>
      <c r="D4126" s="60"/>
      <c r="E4126" s="60"/>
      <c r="F4126" s="60"/>
      <c r="G4126" s="60"/>
      <c r="H4126" s="60"/>
      <c r="I4126" s="60"/>
      <c r="J4126" s="60"/>
      <c r="K4126" s="60"/>
      <c r="L4126" s="60"/>
      <c r="M4126" s="64"/>
      <c r="N4126" s="33"/>
    </row>
    <row r="4127" ht="24" customHeight="1" spans="2:14">
      <c r="B4127" s="33"/>
      <c r="C4127" s="60"/>
      <c r="D4127" s="60"/>
      <c r="E4127" s="60"/>
      <c r="F4127" s="60"/>
      <c r="G4127" s="60"/>
      <c r="H4127" s="60"/>
      <c r="I4127" s="60"/>
      <c r="J4127" s="60"/>
      <c r="K4127" s="60"/>
      <c r="L4127" s="60"/>
      <c r="M4127" s="64"/>
      <c r="N4127" s="33"/>
    </row>
    <row r="4128" ht="24" customHeight="1" spans="2:14">
      <c r="B4128" s="33"/>
      <c r="C4128" s="60"/>
      <c r="D4128" s="60"/>
      <c r="E4128" s="60"/>
      <c r="F4128" s="60"/>
      <c r="G4128" s="60"/>
      <c r="H4128" s="60"/>
      <c r="I4128" s="60"/>
      <c r="J4128" s="60"/>
      <c r="K4128" s="60"/>
      <c r="L4128" s="60"/>
      <c r="M4128" s="64"/>
      <c r="N4128" s="33"/>
    </row>
    <row r="4129" ht="24" customHeight="1" spans="2:14">
      <c r="B4129" s="33"/>
      <c r="C4129" s="60"/>
      <c r="D4129" s="60"/>
      <c r="E4129" s="60"/>
      <c r="F4129" s="60"/>
      <c r="G4129" s="60"/>
      <c r="H4129" s="60"/>
      <c r="I4129" s="60"/>
      <c r="J4129" s="60"/>
      <c r="K4129" s="60"/>
      <c r="L4129" s="60"/>
      <c r="M4129" s="64"/>
      <c r="N4129" s="33"/>
    </row>
    <row r="4130" ht="24" customHeight="1" spans="2:14">
      <c r="B4130" s="33"/>
      <c r="C4130" s="60"/>
      <c r="D4130" s="60"/>
      <c r="E4130" s="60"/>
      <c r="F4130" s="60"/>
      <c r="G4130" s="60"/>
      <c r="H4130" s="60"/>
      <c r="I4130" s="60"/>
      <c r="J4130" s="60"/>
      <c r="K4130" s="60"/>
      <c r="L4130" s="60"/>
      <c r="M4130" s="64"/>
      <c r="N4130" s="33"/>
    </row>
    <row r="4131" ht="24" customHeight="1" spans="2:14">
      <c r="B4131" s="33"/>
      <c r="C4131" s="60"/>
      <c r="D4131" s="60"/>
      <c r="E4131" s="60"/>
      <c r="F4131" s="60"/>
      <c r="G4131" s="60"/>
      <c r="H4131" s="60"/>
      <c r="I4131" s="60"/>
      <c r="J4131" s="60"/>
      <c r="K4131" s="60"/>
      <c r="L4131" s="60"/>
      <c r="M4131" s="64"/>
      <c r="N4131" s="33"/>
    </row>
    <row r="4132" ht="24" customHeight="1" spans="2:14">
      <c r="B4132" s="33"/>
      <c r="C4132" s="60"/>
      <c r="D4132" s="60"/>
      <c r="E4132" s="60"/>
      <c r="F4132" s="60"/>
      <c r="G4132" s="60"/>
      <c r="H4132" s="60"/>
      <c r="I4132" s="60"/>
      <c r="J4132" s="60"/>
      <c r="K4132" s="60"/>
      <c r="L4132" s="60"/>
      <c r="M4132" s="64"/>
      <c r="N4132" s="33"/>
    </row>
    <row r="4133" ht="24" customHeight="1" spans="2:14">
      <c r="B4133" s="33"/>
      <c r="C4133" s="60"/>
      <c r="D4133" s="60"/>
      <c r="E4133" s="60"/>
      <c r="F4133" s="60"/>
      <c r="G4133" s="60"/>
      <c r="H4133" s="60"/>
      <c r="I4133" s="60"/>
      <c r="J4133" s="60"/>
      <c r="K4133" s="60"/>
      <c r="L4133" s="60"/>
      <c r="M4133" s="64"/>
      <c r="N4133" s="33"/>
    </row>
    <row r="4134" ht="24" customHeight="1" spans="2:14">
      <c r="B4134" s="33"/>
      <c r="C4134" s="60"/>
      <c r="D4134" s="60"/>
      <c r="E4134" s="60"/>
      <c r="F4134" s="60"/>
      <c r="G4134" s="60"/>
      <c r="H4134" s="60"/>
      <c r="I4134" s="60"/>
      <c r="J4134" s="60"/>
      <c r="K4134" s="60"/>
      <c r="L4134" s="60"/>
      <c r="M4134" s="64"/>
      <c r="N4134" s="33"/>
    </row>
    <row r="4135" ht="24" customHeight="1" spans="2:14">
      <c r="B4135" s="33"/>
      <c r="C4135" s="60"/>
      <c r="D4135" s="60"/>
      <c r="E4135" s="60"/>
      <c r="F4135" s="60"/>
      <c r="G4135" s="60"/>
      <c r="H4135" s="60"/>
      <c r="I4135" s="60"/>
      <c r="J4135" s="60"/>
      <c r="K4135" s="60"/>
      <c r="L4135" s="60"/>
      <c r="M4135" s="64"/>
      <c r="N4135" s="33"/>
    </row>
    <row r="4136" ht="24" customHeight="1" spans="2:14">
      <c r="B4136" s="33"/>
      <c r="C4136" s="60"/>
      <c r="D4136" s="60"/>
      <c r="E4136" s="60"/>
      <c r="F4136" s="60"/>
      <c r="G4136" s="60"/>
      <c r="H4136" s="60"/>
      <c r="I4136" s="60"/>
      <c r="J4136" s="60"/>
      <c r="K4136" s="60"/>
      <c r="L4136" s="60"/>
      <c r="M4136" s="64"/>
      <c r="N4136" s="33"/>
    </row>
    <row r="4137" ht="24" customHeight="1" spans="2:14">
      <c r="B4137" s="33"/>
      <c r="C4137" s="60"/>
      <c r="D4137" s="60"/>
      <c r="E4137" s="60"/>
      <c r="F4137" s="60"/>
      <c r="G4137" s="60"/>
      <c r="H4137" s="60"/>
      <c r="I4137" s="60"/>
      <c r="J4137" s="60"/>
      <c r="K4137" s="60"/>
      <c r="L4137" s="60"/>
      <c r="M4137" s="64"/>
      <c r="N4137" s="33"/>
    </row>
    <row r="4138" ht="24" customHeight="1" spans="2:14">
      <c r="B4138" s="33"/>
      <c r="C4138" s="60"/>
      <c r="D4138" s="60"/>
      <c r="E4138" s="60"/>
      <c r="F4138" s="60"/>
      <c r="G4138" s="60"/>
      <c r="H4138" s="60"/>
      <c r="I4138" s="60"/>
      <c r="J4138" s="60"/>
      <c r="K4138" s="60"/>
      <c r="L4138" s="60"/>
      <c r="M4138" s="64"/>
      <c r="N4138" s="33"/>
    </row>
    <row r="4139" ht="24" customHeight="1" spans="2:14">
      <c r="B4139" s="33"/>
      <c r="C4139" s="60"/>
      <c r="D4139" s="60"/>
      <c r="E4139" s="60"/>
      <c r="F4139" s="60"/>
      <c r="G4139" s="60"/>
      <c r="H4139" s="60"/>
      <c r="I4139" s="60"/>
      <c r="J4139" s="60"/>
      <c r="K4139" s="60"/>
      <c r="L4139" s="60"/>
      <c r="M4139" s="64"/>
      <c r="N4139" s="33"/>
    </row>
    <row r="4140" ht="24" customHeight="1" spans="2:14">
      <c r="B4140" s="33"/>
      <c r="C4140" s="60"/>
      <c r="D4140" s="60"/>
      <c r="E4140" s="60"/>
      <c r="F4140" s="60"/>
      <c r="G4140" s="60"/>
      <c r="H4140" s="60"/>
      <c r="I4140" s="60"/>
      <c r="J4140" s="60"/>
      <c r="K4140" s="60"/>
      <c r="L4140" s="60"/>
      <c r="M4140" s="64"/>
      <c r="N4140" s="33"/>
    </row>
    <row r="4141" ht="24" customHeight="1" spans="2:14">
      <c r="B4141" s="33"/>
      <c r="C4141" s="60"/>
      <c r="D4141" s="60"/>
      <c r="E4141" s="60"/>
      <c r="F4141" s="60"/>
      <c r="G4141" s="60"/>
      <c r="H4141" s="60"/>
      <c r="I4141" s="60"/>
      <c r="J4141" s="60"/>
      <c r="K4141" s="60"/>
      <c r="L4141" s="60"/>
      <c r="M4141" s="64"/>
      <c r="N4141" s="33"/>
    </row>
    <row r="4142" ht="24" customHeight="1" spans="2:14">
      <c r="B4142" s="33"/>
      <c r="C4142" s="60"/>
      <c r="D4142" s="60"/>
      <c r="E4142" s="60"/>
      <c r="F4142" s="60"/>
      <c r="G4142" s="60"/>
      <c r="H4142" s="60"/>
      <c r="I4142" s="60"/>
      <c r="J4142" s="60"/>
      <c r="K4142" s="60"/>
      <c r="L4142" s="60"/>
      <c r="M4142" s="64"/>
      <c r="N4142" s="33"/>
    </row>
    <row r="4143" ht="24" customHeight="1" spans="2:14">
      <c r="B4143" s="33"/>
      <c r="C4143" s="60"/>
      <c r="D4143" s="60"/>
      <c r="E4143" s="60"/>
      <c r="F4143" s="60"/>
      <c r="G4143" s="60"/>
      <c r="H4143" s="60"/>
      <c r="I4143" s="60"/>
      <c r="J4143" s="60"/>
      <c r="K4143" s="60"/>
      <c r="L4143" s="60"/>
      <c r="M4143" s="64"/>
      <c r="N4143" s="33"/>
    </row>
    <row r="4144" ht="24" customHeight="1" spans="2:14">
      <c r="B4144" s="33"/>
      <c r="C4144" s="60"/>
      <c r="D4144" s="60"/>
      <c r="E4144" s="60"/>
      <c r="F4144" s="60"/>
      <c r="G4144" s="60"/>
      <c r="H4144" s="60"/>
      <c r="I4144" s="60"/>
      <c r="J4144" s="60"/>
      <c r="K4144" s="60"/>
      <c r="L4144" s="60"/>
      <c r="M4144" s="64"/>
      <c r="N4144" s="33"/>
    </row>
    <row r="4145" ht="24" customHeight="1" spans="2:14">
      <c r="B4145" s="33"/>
      <c r="C4145" s="60"/>
      <c r="D4145" s="60"/>
      <c r="E4145" s="60"/>
      <c r="F4145" s="60"/>
      <c r="G4145" s="60"/>
      <c r="H4145" s="60"/>
      <c r="I4145" s="60"/>
      <c r="J4145" s="60"/>
      <c r="K4145" s="60"/>
      <c r="L4145" s="60"/>
      <c r="M4145" s="64"/>
      <c r="N4145" s="33"/>
    </row>
    <row r="4146" ht="24" customHeight="1" spans="2:14">
      <c r="B4146" s="33"/>
      <c r="C4146" s="60"/>
      <c r="D4146" s="60"/>
      <c r="E4146" s="60"/>
      <c r="F4146" s="60"/>
      <c r="G4146" s="60"/>
      <c r="H4146" s="60"/>
      <c r="I4146" s="60"/>
      <c r="J4146" s="60"/>
      <c r="K4146" s="60"/>
      <c r="L4146" s="60"/>
      <c r="M4146" s="64"/>
      <c r="N4146" s="33"/>
    </row>
    <row r="4147" ht="24" customHeight="1" spans="2:14">
      <c r="B4147" s="33"/>
      <c r="C4147" s="60"/>
      <c r="D4147" s="60"/>
      <c r="E4147" s="60"/>
      <c r="F4147" s="60"/>
      <c r="G4147" s="60"/>
      <c r="H4147" s="60"/>
      <c r="I4147" s="60"/>
      <c r="J4147" s="60"/>
      <c r="K4147" s="60"/>
      <c r="L4147" s="60"/>
      <c r="M4147" s="64"/>
      <c r="N4147" s="33"/>
    </row>
    <row r="4148" ht="24" customHeight="1" spans="2:14">
      <c r="B4148" s="33"/>
      <c r="C4148" s="60"/>
      <c r="D4148" s="60"/>
      <c r="E4148" s="60"/>
      <c r="F4148" s="60"/>
      <c r="G4148" s="60"/>
      <c r="H4148" s="60"/>
      <c r="I4148" s="60"/>
      <c r="J4148" s="60"/>
      <c r="K4148" s="60"/>
      <c r="L4148" s="60"/>
      <c r="M4148" s="64"/>
      <c r="N4148" s="33"/>
    </row>
    <row r="4149" ht="24" customHeight="1" spans="2:14">
      <c r="B4149" s="33"/>
      <c r="C4149" s="60"/>
      <c r="D4149" s="60"/>
      <c r="E4149" s="60"/>
      <c r="F4149" s="60"/>
      <c r="G4149" s="60"/>
      <c r="H4149" s="60"/>
      <c r="I4149" s="60"/>
      <c r="J4149" s="60"/>
      <c r="K4149" s="60"/>
      <c r="L4149" s="60"/>
      <c r="M4149" s="64"/>
      <c r="N4149" s="33"/>
    </row>
    <row r="4150" ht="24" customHeight="1" spans="2:14">
      <c r="B4150" s="33"/>
      <c r="C4150" s="60"/>
      <c r="D4150" s="60"/>
      <c r="E4150" s="60"/>
      <c r="F4150" s="60"/>
      <c r="G4150" s="60"/>
      <c r="H4150" s="60"/>
      <c r="I4150" s="60"/>
      <c r="J4150" s="60"/>
      <c r="K4150" s="60"/>
      <c r="L4150" s="60"/>
      <c r="M4150" s="64"/>
      <c r="N4150" s="33"/>
    </row>
    <row r="4151" ht="24" customHeight="1" spans="2:14">
      <c r="B4151" s="33"/>
      <c r="C4151" s="60"/>
      <c r="D4151" s="60"/>
      <c r="E4151" s="60"/>
      <c r="F4151" s="60"/>
      <c r="G4151" s="60"/>
      <c r="H4151" s="60"/>
      <c r="I4151" s="60"/>
      <c r="J4151" s="60"/>
      <c r="K4151" s="60"/>
      <c r="L4151" s="60"/>
      <c r="M4151" s="64"/>
      <c r="N4151" s="33"/>
    </row>
    <row r="4152" ht="24" customHeight="1" spans="2:14">
      <c r="B4152" s="33"/>
      <c r="C4152" s="60"/>
      <c r="D4152" s="60"/>
      <c r="E4152" s="60"/>
      <c r="F4152" s="60"/>
      <c r="G4152" s="60"/>
      <c r="H4152" s="60"/>
      <c r="I4152" s="60"/>
      <c r="J4152" s="60"/>
      <c r="K4152" s="60"/>
      <c r="L4152" s="60"/>
      <c r="M4152" s="64"/>
      <c r="N4152" s="33"/>
    </row>
    <row r="4153" ht="24" customHeight="1" spans="2:14">
      <c r="B4153" s="33"/>
      <c r="C4153" s="60"/>
      <c r="D4153" s="60"/>
      <c r="E4153" s="60"/>
      <c r="F4153" s="60"/>
      <c r="G4153" s="60"/>
      <c r="H4153" s="60"/>
      <c r="I4153" s="60"/>
      <c r="J4153" s="60"/>
      <c r="K4153" s="60"/>
      <c r="L4153" s="60"/>
      <c r="M4153" s="64"/>
      <c r="N4153" s="33"/>
    </row>
    <row r="4154" ht="24" customHeight="1" spans="2:14">
      <c r="B4154" s="33"/>
      <c r="C4154" s="60"/>
      <c r="D4154" s="60"/>
      <c r="E4154" s="60"/>
      <c r="F4154" s="60"/>
      <c r="G4154" s="60"/>
      <c r="H4154" s="60"/>
      <c r="I4154" s="60"/>
      <c r="J4154" s="60"/>
      <c r="K4154" s="60"/>
      <c r="L4154" s="60"/>
      <c r="M4154" s="64"/>
      <c r="N4154" s="33"/>
    </row>
    <row r="4155" ht="24" customHeight="1" spans="2:14">
      <c r="B4155" s="33"/>
      <c r="C4155" s="60"/>
      <c r="D4155" s="60"/>
      <c r="E4155" s="60"/>
      <c r="F4155" s="60"/>
      <c r="G4155" s="60"/>
      <c r="H4155" s="60"/>
      <c r="I4155" s="60"/>
      <c r="J4155" s="60"/>
      <c r="K4155" s="60"/>
      <c r="L4155" s="60"/>
      <c r="M4155" s="64"/>
      <c r="N4155" s="33"/>
    </row>
    <row r="4156" ht="24" customHeight="1" spans="2:14">
      <c r="B4156" s="33"/>
      <c r="C4156" s="60"/>
      <c r="D4156" s="60"/>
      <c r="E4156" s="60"/>
      <c r="F4156" s="60"/>
      <c r="G4156" s="60"/>
      <c r="H4156" s="60"/>
      <c r="I4156" s="60"/>
      <c r="J4156" s="60"/>
      <c r="K4156" s="60"/>
      <c r="L4156" s="60"/>
      <c r="M4156" s="64"/>
      <c r="N4156" s="33"/>
    </row>
    <row r="4157" ht="24" customHeight="1" spans="2:14">
      <c r="B4157" s="33"/>
      <c r="C4157" s="60"/>
      <c r="D4157" s="60"/>
      <c r="E4157" s="60"/>
      <c r="F4157" s="60"/>
      <c r="G4157" s="60"/>
      <c r="H4157" s="60"/>
      <c r="I4157" s="60"/>
      <c r="J4157" s="60"/>
      <c r="K4157" s="60"/>
      <c r="L4157" s="60"/>
      <c r="M4157" s="64"/>
      <c r="N4157" s="33"/>
    </row>
    <row r="4158" ht="24" customHeight="1" spans="2:14">
      <c r="B4158" s="33"/>
      <c r="C4158" s="60"/>
      <c r="D4158" s="60"/>
      <c r="E4158" s="60"/>
      <c r="F4158" s="60"/>
      <c r="G4158" s="60"/>
      <c r="H4158" s="60"/>
      <c r="I4158" s="60"/>
      <c r="J4158" s="60"/>
      <c r="K4158" s="60"/>
      <c r="L4158" s="60"/>
      <c r="M4158" s="64"/>
      <c r="N4158" s="33"/>
    </row>
    <row r="4159" ht="24" customHeight="1" spans="2:14">
      <c r="B4159" s="33"/>
      <c r="C4159" s="60"/>
      <c r="D4159" s="60"/>
      <c r="E4159" s="60"/>
      <c r="F4159" s="60"/>
      <c r="G4159" s="60"/>
      <c r="H4159" s="60"/>
      <c r="I4159" s="60"/>
      <c r="J4159" s="60"/>
      <c r="K4159" s="60"/>
      <c r="L4159" s="60"/>
      <c r="M4159" s="64"/>
      <c r="N4159" s="33"/>
    </row>
    <row r="4160" ht="24" customHeight="1" spans="2:14">
      <c r="B4160" s="33"/>
      <c r="C4160" s="60"/>
      <c r="D4160" s="60"/>
      <c r="E4160" s="60"/>
      <c r="F4160" s="60"/>
      <c r="G4160" s="60"/>
      <c r="H4160" s="60"/>
      <c r="I4160" s="60"/>
      <c r="J4160" s="60"/>
      <c r="K4160" s="60"/>
      <c r="L4160" s="60"/>
      <c r="M4160" s="64"/>
      <c r="N4160" s="33"/>
    </row>
    <row r="4161" ht="24" customHeight="1" spans="2:14">
      <c r="B4161" s="33"/>
      <c r="C4161" s="60"/>
      <c r="D4161" s="60"/>
      <c r="E4161" s="60"/>
      <c r="F4161" s="60"/>
      <c r="G4161" s="60"/>
      <c r="H4161" s="60"/>
      <c r="I4161" s="60"/>
      <c r="J4161" s="60"/>
      <c r="K4161" s="60"/>
      <c r="L4161" s="60"/>
      <c r="M4161" s="64"/>
      <c r="N4161" s="33"/>
    </row>
    <row r="4162" ht="24" customHeight="1" spans="2:14">
      <c r="B4162" s="33"/>
      <c r="C4162" s="60"/>
      <c r="D4162" s="60"/>
      <c r="E4162" s="60"/>
      <c r="F4162" s="60"/>
      <c r="G4162" s="60"/>
      <c r="H4162" s="60"/>
      <c r="I4162" s="60"/>
      <c r="J4162" s="60"/>
      <c r="K4162" s="60"/>
      <c r="L4162" s="60"/>
      <c r="M4162" s="64"/>
      <c r="N4162" s="33"/>
    </row>
    <row r="4163" ht="24" customHeight="1" spans="2:14">
      <c r="B4163" s="33"/>
      <c r="C4163" s="60"/>
      <c r="D4163" s="60"/>
      <c r="E4163" s="60"/>
      <c r="F4163" s="60"/>
      <c r="G4163" s="60"/>
      <c r="H4163" s="60"/>
      <c r="I4163" s="60"/>
      <c r="J4163" s="60"/>
      <c r="K4163" s="60"/>
      <c r="L4163" s="60"/>
      <c r="M4163" s="64"/>
      <c r="N4163" s="33"/>
    </row>
    <row r="4164" ht="24" customHeight="1" spans="2:14">
      <c r="B4164" s="33"/>
      <c r="C4164" s="60"/>
      <c r="D4164" s="60"/>
      <c r="E4164" s="60"/>
      <c r="F4164" s="60"/>
      <c r="G4164" s="60"/>
      <c r="H4164" s="60"/>
      <c r="I4164" s="60"/>
      <c r="J4164" s="60"/>
      <c r="K4164" s="60"/>
      <c r="L4164" s="60"/>
      <c r="M4164" s="64"/>
      <c r="N4164" s="33"/>
    </row>
    <row r="4165" ht="24" customHeight="1" spans="2:14">
      <c r="B4165" s="33"/>
      <c r="C4165" s="60"/>
      <c r="D4165" s="60"/>
      <c r="E4165" s="60"/>
      <c r="F4165" s="60"/>
      <c r="G4165" s="60"/>
      <c r="H4165" s="60"/>
      <c r="I4165" s="60"/>
      <c r="J4165" s="60"/>
      <c r="K4165" s="60"/>
      <c r="L4165" s="60"/>
      <c r="M4165" s="64"/>
      <c r="N4165" s="33"/>
    </row>
    <row r="4166" ht="24" customHeight="1" spans="2:14">
      <c r="B4166" s="33"/>
      <c r="C4166" s="60"/>
      <c r="D4166" s="60"/>
      <c r="E4166" s="60"/>
      <c r="F4166" s="60"/>
      <c r="G4166" s="60"/>
      <c r="H4166" s="60"/>
      <c r="I4166" s="60"/>
      <c r="J4166" s="60"/>
      <c r="K4166" s="60"/>
      <c r="L4166" s="60"/>
      <c r="M4166" s="64"/>
      <c r="N4166" s="33"/>
    </row>
    <row r="4167" ht="24" customHeight="1" spans="2:14">
      <c r="B4167" s="33"/>
      <c r="C4167" s="60"/>
      <c r="D4167" s="60"/>
      <c r="E4167" s="60"/>
      <c r="F4167" s="60"/>
      <c r="G4167" s="60"/>
      <c r="H4167" s="60"/>
      <c r="I4167" s="60"/>
      <c r="J4167" s="60"/>
      <c r="K4167" s="60"/>
      <c r="L4167" s="60"/>
      <c r="M4167" s="64"/>
      <c r="N4167" s="33"/>
    </row>
    <row r="4168" ht="24" customHeight="1" spans="2:14">
      <c r="B4168" s="33"/>
      <c r="C4168" s="60"/>
      <c r="D4168" s="60"/>
      <c r="E4168" s="60"/>
      <c r="F4168" s="60"/>
      <c r="G4168" s="60"/>
      <c r="H4168" s="60"/>
      <c r="I4168" s="60"/>
      <c r="J4168" s="60"/>
      <c r="K4168" s="60"/>
      <c r="L4168" s="60"/>
      <c r="M4168" s="64"/>
      <c r="N4168" s="33"/>
    </row>
    <row r="4169" ht="24" customHeight="1" spans="2:14">
      <c r="B4169" s="33"/>
      <c r="C4169" s="60"/>
      <c r="D4169" s="60"/>
      <c r="E4169" s="60"/>
      <c r="F4169" s="60"/>
      <c r="G4169" s="60"/>
      <c r="H4169" s="60"/>
      <c r="I4169" s="60"/>
      <c r="J4169" s="60"/>
      <c r="K4169" s="60"/>
      <c r="L4169" s="60"/>
      <c r="M4169" s="64"/>
      <c r="N4169" s="33"/>
    </row>
    <row r="4170" ht="24" customHeight="1" spans="2:14">
      <c r="B4170" s="33"/>
      <c r="C4170" s="60"/>
      <c r="D4170" s="60"/>
      <c r="E4170" s="60"/>
      <c r="F4170" s="60"/>
      <c r="G4170" s="60"/>
      <c r="H4170" s="60"/>
      <c r="I4170" s="60"/>
      <c r="J4170" s="60"/>
      <c r="K4170" s="60"/>
      <c r="L4170" s="60"/>
      <c r="M4170" s="64"/>
      <c r="N4170" s="33"/>
    </row>
    <row r="4171" ht="24" customHeight="1" spans="2:14">
      <c r="B4171" s="33"/>
      <c r="C4171" s="60"/>
      <c r="D4171" s="60"/>
      <c r="E4171" s="60"/>
      <c r="F4171" s="60"/>
      <c r="G4171" s="60"/>
      <c r="H4171" s="60"/>
      <c r="I4171" s="60"/>
      <c r="J4171" s="60"/>
      <c r="K4171" s="60"/>
      <c r="L4171" s="60"/>
      <c r="M4171" s="64"/>
      <c r="N4171" s="33"/>
    </row>
    <row r="4172" ht="24" customHeight="1" spans="2:14">
      <c r="B4172" s="33"/>
      <c r="C4172" s="60"/>
      <c r="D4172" s="60"/>
      <c r="E4172" s="60"/>
      <c r="F4172" s="60"/>
      <c r="G4172" s="60"/>
      <c r="H4172" s="60"/>
      <c r="I4172" s="60"/>
      <c r="J4172" s="60"/>
      <c r="K4172" s="60"/>
      <c r="L4172" s="60"/>
      <c r="M4172" s="64"/>
      <c r="N4172" s="33"/>
    </row>
    <row r="4173" ht="24" customHeight="1" spans="2:14">
      <c r="B4173" s="33"/>
      <c r="C4173" s="60"/>
      <c r="D4173" s="60"/>
      <c r="E4173" s="60"/>
      <c r="F4173" s="60"/>
      <c r="G4173" s="60"/>
      <c r="H4173" s="60"/>
      <c r="I4173" s="60"/>
      <c r="J4173" s="60"/>
      <c r="K4173" s="60"/>
      <c r="L4173" s="60"/>
      <c r="M4173" s="64"/>
      <c r="N4173" s="33"/>
    </row>
    <row r="4174" ht="24" customHeight="1" spans="2:14">
      <c r="B4174" s="33"/>
      <c r="C4174" s="60"/>
      <c r="D4174" s="60"/>
      <c r="E4174" s="60"/>
      <c r="F4174" s="60"/>
      <c r="G4174" s="60"/>
      <c r="H4174" s="60"/>
      <c r="I4174" s="60"/>
      <c r="J4174" s="60"/>
      <c r="K4174" s="60"/>
      <c r="L4174" s="60"/>
      <c r="M4174" s="64"/>
      <c r="N4174" s="33"/>
    </row>
    <row r="4175" ht="24" customHeight="1" spans="2:14">
      <c r="B4175" s="33"/>
      <c r="C4175" s="60"/>
      <c r="D4175" s="60"/>
      <c r="E4175" s="60"/>
      <c r="F4175" s="60"/>
      <c r="G4175" s="60"/>
      <c r="H4175" s="60"/>
      <c r="I4175" s="60"/>
      <c r="J4175" s="60"/>
      <c r="K4175" s="60"/>
      <c r="L4175" s="60"/>
      <c r="M4175" s="64"/>
      <c r="N4175" s="33"/>
    </row>
    <row r="4176" ht="24" customHeight="1" spans="2:14">
      <c r="B4176" s="33"/>
      <c r="C4176" s="60"/>
      <c r="D4176" s="60"/>
      <c r="E4176" s="60"/>
      <c r="F4176" s="60"/>
      <c r="G4176" s="60"/>
      <c r="H4176" s="60"/>
      <c r="I4176" s="60"/>
      <c r="J4176" s="60"/>
      <c r="K4176" s="60"/>
      <c r="L4176" s="60"/>
      <c r="M4176" s="64"/>
      <c r="N4176" s="33"/>
    </row>
    <row r="4177" ht="24" customHeight="1" spans="2:14">
      <c r="B4177" s="33"/>
      <c r="C4177" s="60"/>
      <c r="D4177" s="60"/>
      <c r="E4177" s="60"/>
      <c r="F4177" s="60"/>
      <c r="G4177" s="60"/>
      <c r="H4177" s="60"/>
      <c r="I4177" s="60"/>
      <c r="J4177" s="60"/>
      <c r="K4177" s="60"/>
      <c r="L4177" s="60"/>
      <c r="M4177" s="64"/>
      <c r="N4177" s="33"/>
    </row>
    <row r="4178" ht="24" customHeight="1" spans="2:14">
      <c r="B4178" s="33"/>
      <c r="C4178" s="60"/>
      <c r="D4178" s="60"/>
      <c r="E4178" s="60"/>
      <c r="F4178" s="60"/>
      <c r="G4178" s="60"/>
      <c r="H4178" s="60"/>
      <c r="I4178" s="60"/>
      <c r="J4178" s="60"/>
      <c r="K4178" s="60"/>
      <c r="L4178" s="60"/>
      <c r="M4178" s="64"/>
      <c r="N4178" s="33"/>
    </row>
    <row r="4179" ht="24" customHeight="1" spans="2:14">
      <c r="B4179" s="33"/>
      <c r="C4179" s="60"/>
      <c r="D4179" s="60"/>
      <c r="E4179" s="60"/>
      <c r="F4179" s="60"/>
      <c r="G4179" s="60"/>
      <c r="H4179" s="60"/>
      <c r="I4179" s="60"/>
      <c r="J4179" s="60"/>
      <c r="K4179" s="60"/>
      <c r="L4179" s="60"/>
      <c r="M4179" s="64"/>
      <c r="N4179" s="33"/>
    </row>
    <row r="4180" ht="24" customHeight="1" spans="2:14">
      <c r="B4180" s="33"/>
      <c r="C4180" s="60"/>
      <c r="D4180" s="60"/>
      <c r="E4180" s="60"/>
      <c r="F4180" s="60"/>
      <c r="G4180" s="60"/>
      <c r="H4180" s="60"/>
      <c r="I4180" s="60"/>
      <c r="J4180" s="60"/>
      <c r="K4180" s="60"/>
      <c r="L4180" s="60"/>
      <c r="M4180" s="64"/>
      <c r="N4180" s="33"/>
    </row>
    <row r="4181" ht="24" customHeight="1" spans="2:14">
      <c r="B4181" s="33"/>
      <c r="C4181" s="60"/>
      <c r="D4181" s="60"/>
      <c r="E4181" s="60"/>
      <c r="F4181" s="60"/>
      <c r="G4181" s="60"/>
      <c r="H4181" s="60"/>
      <c r="I4181" s="60"/>
      <c r="J4181" s="60"/>
      <c r="K4181" s="60"/>
      <c r="L4181" s="60"/>
      <c r="M4181" s="64"/>
      <c r="N4181" s="33"/>
    </row>
    <row r="4182" ht="24" customHeight="1" spans="2:14">
      <c r="B4182" s="33"/>
      <c r="C4182" s="60"/>
      <c r="D4182" s="60"/>
      <c r="E4182" s="60"/>
      <c r="F4182" s="60"/>
      <c r="G4182" s="60"/>
      <c r="H4182" s="60"/>
      <c r="I4182" s="60"/>
      <c r="J4182" s="60"/>
      <c r="K4182" s="60"/>
      <c r="L4182" s="60"/>
      <c r="M4182" s="64"/>
      <c r="N4182" s="33"/>
    </row>
    <row r="4183" ht="24" customHeight="1" spans="2:14">
      <c r="B4183" s="33"/>
      <c r="C4183" s="60"/>
      <c r="D4183" s="60"/>
      <c r="E4183" s="60"/>
      <c r="F4183" s="60"/>
      <c r="G4183" s="60"/>
      <c r="H4183" s="60"/>
      <c r="I4183" s="60"/>
      <c r="J4183" s="60"/>
      <c r="K4183" s="60"/>
      <c r="L4183" s="60"/>
      <c r="M4183" s="64"/>
      <c r="N4183" s="33"/>
    </row>
    <row r="4184" ht="24" customHeight="1" spans="2:14">
      <c r="B4184" s="33"/>
      <c r="C4184" s="60"/>
      <c r="D4184" s="60"/>
      <c r="E4184" s="60"/>
      <c r="F4184" s="60"/>
      <c r="G4184" s="60"/>
      <c r="H4184" s="60"/>
      <c r="I4184" s="60"/>
      <c r="J4184" s="60"/>
      <c r="K4184" s="60"/>
      <c r="L4184" s="60"/>
      <c r="M4184" s="64"/>
      <c r="N4184" s="33"/>
    </row>
    <row r="4185" ht="24" customHeight="1" spans="2:14">
      <c r="B4185" s="33"/>
      <c r="C4185" s="60"/>
      <c r="D4185" s="60"/>
      <c r="E4185" s="60"/>
      <c r="F4185" s="60"/>
      <c r="G4185" s="60"/>
      <c r="H4185" s="60"/>
      <c r="I4185" s="60"/>
      <c r="J4185" s="60"/>
      <c r="K4185" s="60"/>
      <c r="L4185" s="60"/>
      <c r="M4185" s="64"/>
      <c r="N4185" s="33"/>
    </row>
    <row r="4186" ht="24" customHeight="1" spans="2:14">
      <c r="B4186" s="33"/>
      <c r="C4186" s="60"/>
      <c r="D4186" s="60"/>
      <c r="E4186" s="60"/>
      <c r="F4186" s="60"/>
      <c r="G4186" s="60"/>
      <c r="H4186" s="60"/>
      <c r="I4186" s="60"/>
      <c r="J4186" s="60"/>
      <c r="K4186" s="60"/>
      <c r="L4186" s="60"/>
      <c r="M4186" s="64"/>
      <c r="N4186" s="33"/>
    </row>
    <row r="4187" ht="24" customHeight="1" spans="2:14">
      <c r="B4187" s="33"/>
      <c r="C4187" s="60"/>
      <c r="D4187" s="60"/>
      <c r="E4187" s="60"/>
      <c r="F4187" s="60"/>
      <c r="G4187" s="60"/>
      <c r="H4187" s="60"/>
      <c r="I4187" s="60"/>
      <c r="J4187" s="60"/>
      <c r="K4187" s="60"/>
      <c r="L4187" s="60"/>
      <c r="M4187" s="64"/>
      <c r="N4187" s="33"/>
    </row>
    <row r="4188" ht="24" customHeight="1" spans="2:14">
      <c r="B4188" s="33"/>
      <c r="C4188" s="60"/>
      <c r="D4188" s="60"/>
      <c r="E4188" s="60"/>
      <c r="F4188" s="60"/>
      <c r="G4188" s="60"/>
      <c r="H4188" s="60"/>
      <c r="I4188" s="60"/>
      <c r="J4188" s="60"/>
      <c r="K4188" s="60"/>
      <c r="L4188" s="60"/>
      <c r="M4188" s="64"/>
      <c r="N4188" s="33"/>
    </row>
    <row r="4189" ht="24" customHeight="1" spans="2:14">
      <c r="B4189" s="33"/>
      <c r="C4189" s="60"/>
      <c r="D4189" s="60"/>
      <c r="E4189" s="60"/>
      <c r="F4189" s="60"/>
      <c r="G4189" s="60"/>
      <c r="H4189" s="60"/>
      <c r="I4189" s="60"/>
      <c r="J4189" s="60"/>
      <c r="K4189" s="60"/>
      <c r="L4189" s="60"/>
      <c r="M4189" s="64"/>
      <c r="N4189" s="33"/>
    </row>
    <row r="4190" ht="24" customHeight="1" spans="2:14">
      <c r="B4190" s="33"/>
      <c r="C4190" s="60"/>
      <c r="D4190" s="60"/>
      <c r="E4190" s="60"/>
      <c r="F4190" s="60"/>
      <c r="G4190" s="60"/>
      <c r="H4190" s="60"/>
      <c r="I4190" s="60"/>
      <c r="J4190" s="60"/>
      <c r="K4190" s="60"/>
      <c r="L4190" s="60"/>
      <c r="M4190" s="64"/>
      <c r="N4190" s="33"/>
    </row>
    <row r="4191" ht="24" customHeight="1" spans="2:14">
      <c r="B4191" s="33"/>
      <c r="C4191" s="60"/>
      <c r="D4191" s="60"/>
      <c r="E4191" s="60"/>
      <c r="F4191" s="60"/>
      <c r="G4191" s="60"/>
      <c r="H4191" s="60"/>
      <c r="I4191" s="60"/>
      <c r="J4191" s="60"/>
      <c r="K4191" s="60"/>
      <c r="L4191" s="60"/>
      <c r="M4191" s="64"/>
      <c r="N4191" s="33"/>
    </row>
    <row r="4192" ht="24" customHeight="1" spans="2:14">
      <c r="B4192" s="33"/>
      <c r="C4192" s="60"/>
      <c r="D4192" s="60"/>
      <c r="E4192" s="60"/>
      <c r="F4192" s="60"/>
      <c r="G4192" s="60"/>
      <c r="H4192" s="60"/>
      <c r="I4192" s="60"/>
      <c r="J4192" s="60"/>
      <c r="K4192" s="60"/>
      <c r="L4192" s="60"/>
      <c r="M4192" s="64"/>
      <c r="N4192" s="33"/>
    </row>
    <row r="4193" ht="24" customHeight="1" spans="2:14">
      <c r="B4193" s="33"/>
      <c r="C4193" s="60"/>
      <c r="D4193" s="60"/>
      <c r="E4193" s="60"/>
      <c r="F4193" s="60"/>
      <c r="G4193" s="60"/>
      <c r="H4193" s="60"/>
      <c r="I4193" s="60"/>
      <c r="J4193" s="60"/>
      <c r="K4193" s="60"/>
      <c r="L4193" s="60"/>
      <c r="M4193" s="64"/>
      <c r="N4193" s="33"/>
    </row>
    <row r="4194" ht="24" customHeight="1" spans="2:14">
      <c r="B4194" s="33"/>
      <c r="C4194" s="60"/>
      <c r="D4194" s="60"/>
      <c r="E4194" s="60"/>
      <c r="F4194" s="60"/>
      <c r="G4194" s="60"/>
      <c r="H4194" s="60"/>
      <c r="I4194" s="60"/>
      <c r="J4194" s="60"/>
      <c r="K4194" s="60"/>
      <c r="L4194" s="60"/>
      <c r="M4194" s="64"/>
      <c r="N4194" s="33"/>
    </row>
    <row r="4195" ht="24" customHeight="1" spans="2:14">
      <c r="B4195" s="33"/>
      <c r="C4195" s="60"/>
      <c r="D4195" s="60"/>
      <c r="E4195" s="60"/>
      <c r="F4195" s="60"/>
      <c r="G4195" s="60"/>
      <c r="H4195" s="60"/>
      <c r="I4195" s="60"/>
      <c r="J4195" s="60"/>
      <c r="K4195" s="60"/>
      <c r="L4195" s="60"/>
      <c r="M4195" s="64"/>
      <c r="N4195" s="33"/>
    </row>
    <row r="4196" ht="24" customHeight="1" spans="2:14">
      <c r="B4196" s="33"/>
      <c r="C4196" s="60"/>
      <c r="D4196" s="60"/>
      <c r="E4196" s="60"/>
      <c r="F4196" s="60"/>
      <c r="G4196" s="60"/>
      <c r="H4196" s="60"/>
      <c r="I4196" s="60"/>
      <c r="J4196" s="60"/>
      <c r="K4196" s="60"/>
      <c r="L4196" s="60"/>
      <c r="M4196" s="64"/>
      <c r="N4196" s="33"/>
    </row>
    <row r="4197" ht="24" customHeight="1" spans="2:14">
      <c r="B4197" s="33"/>
      <c r="C4197" s="60"/>
      <c r="D4197" s="60"/>
      <c r="E4197" s="60"/>
      <c r="F4197" s="60"/>
      <c r="G4197" s="60"/>
      <c r="H4197" s="60"/>
      <c r="I4197" s="60"/>
      <c r="J4197" s="60"/>
      <c r="K4197" s="60"/>
      <c r="L4197" s="60"/>
      <c r="M4197" s="64"/>
      <c r="N4197" s="33"/>
    </row>
    <row r="4198" ht="24" customHeight="1" spans="2:14">
      <c r="B4198" s="33"/>
      <c r="C4198" s="60"/>
      <c r="D4198" s="60"/>
      <c r="E4198" s="60"/>
      <c r="F4198" s="60"/>
      <c r="G4198" s="60"/>
      <c r="H4198" s="60"/>
      <c r="I4198" s="60"/>
      <c r="J4198" s="60"/>
      <c r="K4198" s="60"/>
      <c r="L4198" s="60"/>
      <c r="M4198" s="64"/>
      <c r="N4198" s="33"/>
    </row>
    <row r="4199" ht="24" customHeight="1" spans="2:14">
      <c r="B4199" s="33"/>
      <c r="C4199" s="60"/>
      <c r="D4199" s="60"/>
      <c r="E4199" s="60"/>
      <c r="F4199" s="60"/>
      <c r="G4199" s="60"/>
      <c r="H4199" s="60"/>
      <c r="I4199" s="60"/>
      <c r="J4199" s="60"/>
      <c r="K4199" s="60"/>
      <c r="L4199" s="60"/>
      <c r="M4199" s="64"/>
      <c r="N4199" s="33"/>
    </row>
    <row r="4200" ht="24" customHeight="1" spans="2:14">
      <c r="B4200" s="33"/>
      <c r="C4200" s="60"/>
      <c r="D4200" s="60"/>
      <c r="E4200" s="60"/>
      <c r="F4200" s="60"/>
      <c r="G4200" s="60"/>
      <c r="H4200" s="60"/>
      <c r="I4200" s="60"/>
      <c r="J4200" s="60"/>
      <c r="K4200" s="60"/>
      <c r="L4200" s="60"/>
      <c r="M4200" s="64"/>
      <c r="N4200" s="33"/>
    </row>
    <row r="4201" ht="24" customHeight="1" spans="2:14">
      <c r="B4201" s="33"/>
      <c r="C4201" s="60"/>
      <c r="D4201" s="60"/>
      <c r="E4201" s="60"/>
      <c r="F4201" s="60"/>
      <c r="G4201" s="60"/>
      <c r="H4201" s="60"/>
      <c r="I4201" s="60"/>
      <c r="J4201" s="60"/>
      <c r="K4201" s="60"/>
      <c r="L4201" s="60"/>
      <c r="M4201" s="64"/>
      <c r="N4201" s="33"/>
    </row>
    <row r="4202" ht="24" customHeight="1" spans="2:14">
      <c r="B4202" s="33"/>
      <c r="C4202" s="60"/>
      <c r="D4202" s="60"/>
      <c r="E4202" s="60"/>
      <c r="F4202" s="60"/>
      <c r="G4202" s="60"/>
      <c r="H4202" s="60"/>
      <c r="I4202" s="60"/>
      <c r="J4202" s="60"/>
      <c r="K4202" s="60"/>
      <c r="L4202" s="60"/>
      <c r="M4202" s="64"/>
      <c r="N4202" s="33"/>
    </row>
    <row r="4203" ht="24" customHeight="1" spans="2:14">
      <c r="B4203" s="33"/>
      <c r="C4203" s="60"/>
      <c r="D4203" s="60"/>
      <c r="E4203" s="60"/>
      <c r="F4203" s="60"/>
      <c r="G4203" s="60"/>
      <c r="H4203" s="60"/>
      <c r="I4203" s="60"/>
      <c r="J4203" s="60"/>
      <c r="K4203" s="60"/>
      <c r="L4203" s="60"/>
      <c r="M4203" s="64"/>
      <c r="N4203" s="33"/>
    </row>
    <row r="4204" ht="24" customHeight="1" spans="2:14">
      <c r="B4204" s="33"/>
      <c r="C4204" s="60"/>
      <c r="D4204" s="60"/>
      <c r="E4204" s="60"/>
      <c r="F4204" s="60"/>
      <c r="G4204" s="60"/>
      <c r="H4204" s="60"/>
      <c r="I4204" s="60"/>
      <c r="J4204" s="60"/>
      <c r="K4204" s="60"/>
      <c r="L4204" s="60"/>
      <c r="M4204" s="64"/>
      <c r="N4204" s="33"/>
    </row>
    <row r="4205" ht="24" customHeight="1" spans="2:14">
      <c r="B4205" s="33"/>
      <c r="C4205" s="60"/>
      <c r="D4205" s="60"/>
      <c r="E4205" s="60"/>
      <c r="F4205" s="60"/>
      <c r="G4205" s="60"/>
      <c r="H4205" s="60"/>
      <c r="I4205" s="60"/>
      <c r="J4205" s="60"/>
      <c r="K4205" s="60"/>
      <c r="L4205" s="60"/>
      <c r="M4205" s="64"/>
      <c r="N4205" s="33"/>
    </row>
    <row r="4206" ht="24" customHeight="1" spans="2:14">
      <c r="B4206" s="33"/>
      <c r="C4206" s="60"/>
      <c r="D4206" s="60"/>
      <c r="E4206" s="60"/>
      <c r="F4206" s="60"/>
      <c r="G4206" s="60"/>
      <c r="H4206" s="60"/>
      <c r="I4206" s="60"/>
      <c r="J4206" s="60"/>
      <c r="K4206" s="60"/>
      <c r="L4206" s="60"/>
      <c r="M4206" s="64"/>
      <c r="N4206" s="33"/>
    </row>
    <row r="4207" ht="24" customHeight="1" spans="2:14">
      <c r="B4207" s="33"/>
      <c r="C4207" s="60"/>
      <c r="D4207" s="60"/>
      <c r="E4207" s="60"/>
      <c r="F4207" s="60"/>
      <c r="G4207" s="60"/>
      <c r="H4207" s="60"/>
      <c r="I4207" s="60"/>
      <c r="J4207" s="60"/>
      <c r="K4207" s="60"/>
      <c r="L4207" s="60"/>
      <c r="M4207" s="64"/>
      <c r="N4207" s="33"/>
    </row>
    <row r="4208" ht="24" customHeight="1" spans="2:14">
      <c r="B4208" s="33"/>
      <c r="C4208" s="60"/>
      <c r="D4208" s="60"/>
      <c r="E4208" s="60"/>
      <c r="F4208" s="60"/>
      <c r="G4208" s="60"/>
      <c r="H4208" s="60"/>
      <c r="I4208" s="60"/>
      <c r="J4208" s="60"/>
      <c r="K4208" s="60"/>
      <c r="L4208" s="60"/>
      <c r="M4208" s="64"/>
      <c r="N4208" s="33"/>
    </row>
    <row r="4209" ht="24" customHeight="1" spans="2:14">
      <c r="B4209" s="33"/>
      <c r="C4209" s="60"/>
      <c r="D4209" s="60"/>
      <c r="E4209" s="60"/>
      <c r="F4209" s="60"/>
      <c r="G4209" s="60"/>
      <c r="H4209" s="60"/>
      <c r="I4209" s="60"/>
      <c r="J4209" s="60"/>
      <c r="K4209" s="60"/>
      <c r="L4209" s="60"/>
      <c r="M4209" s="64"/>
      <c r="N4209" s="33"/>
    </row>
    <row r="4210" ht="24" customHeight="1" spans="2:14">
      <c r="B4210" s="33"/>
      <c r="C4210" s="60"/>
      <c r="D4210" s="60"/>
      <c r="E4210" s="60"/>
      <c r="F4210" s="60"/>
      <c r="G4210" s="60"/>
      <c r="H4210" s="60"/>
      <c r="I4210" s="60"/>
      <c r="J4210" s="60"/>
      <c r="K4210" s="60"/>
      <c r="L4210" s="60"/>
      <c r="M4210" s="64"/>
      <c r="N4210" s="33"/>
    </row>
    <row r="4211" ht="24" customHeight="1" spans="2:14">
      <c r="B4211" s="33"/>
      <c r="C4211" s="60"/>
      <c r="D4211" s="60"/>
      <c r="E4211" s="60"/>
      <c r="F4211" s="60"/>
      <c r="G4211" s="60"/>
      <c r="H4211" s="60"/>
      <c r="I4211" s="60"/>
      <c r="J4211" s="60"/>
      <c r="K4211" s="60"/>
      <c r="L4211" s="60"/>
      <c r="M4211" s="64"/>
      <c r="N4211" s="33"/>
    </row>
    <row r="4212" ht="24" customHeight="1" spans="2:14">
      <c r="B4212" s="33"/>
      <c r="C4212" s="60"/>
      <c r="D4212" s="60"/>
      <c r="E4212" s="60"/>
      <c r="F4212" s="60"/>
      <c r="G4212" s="60"/>
      <c r="H4212" s="60"/>
      <c r="I4212" s="60"/>
      <c r="J4212" s="60"/>
      <c r="K4212" s="60"/>
      <c r="L4212" s="60"/>
      <c r="M4212" s="64"/>
      <c r="N4212" s="33"/>
    </row>
    <row r="4213" ht="24" customHeight="1" spans="2:14">
      <c r="B4213" s="33"/>
      <c r="C4213" s="60"/>
      <c r="D4213" s="60"/>
      <c r="E4213" s="60"/>
      <c r="F4213" s="60"/>
      <c r="G4213" s="60"/>
      <c r="H4213" s="60"/>
      <c r="I4213" s="60"/>
      <c r="J4213" s="60"/>
      <c r="K4213" s="60"/>
      <c r="L4213" s="60"/>
      <c r="M4213" s="64"/>
      <c r="N4213" s="33"/>
    </row>
    <row r="4214" ht="24" customHeight="1" spans="2:14">
      <c r="B4214" s="33"/>
      <c r="C4214" s="60"/>
      <c r="D4214" s="60"/>
      <c r="E4214" s="60"/>
      <c r="F4214" s="60"/>
      <c r="G4214" s="60"/>
      <c r="H4214" s="60"/>
      <c r="I4214" s="60"/>
      <c r="J4214" s="60"/>
      <c r="K4214" s="60"/>
      <c r="L4214" s="60"/>
      <c r="M4214" s="64"/>
      <c r="N4214" s="33"/>
    </row>
    <row r="4215" ht="24" customHeight="1" spans="2:14">
      <c r="B4215" s="33"/>
      <c r="C4215" s="60"/>
      <c r="D4215" s="60"/>
      <c r="E4215" s="60"/>
      <c r="F4215" s="60"/>
      <c r="G4215" s="60"/>
      <c r="H4215" s="60"/>
      <c r="I4215" s="60"/>
      <c r="J4215" s="60"/>
      <c r="K4215" s="60"/>
      <c r="L4215" s="60"/>
      <c r="M4215" s="64"/>
      <c r="N4215" s="33"/>
    </row>
    <row r="4216" ht="24" customHeight="1" spans="2:14">
      <c r="B4216" s="33"/>
      <c r="C4216" s="60"/>
      <c r="D4216" s="60"/>
      <c r="E4216" s="60"/>
      <c r="F4216" s="60"/>
      <c r="G4216" s="60"/>
      <c r="H4216" s="60"/>
      <c r="I4216" s="60"/>
      <c r="J4216" s="60"/>
      <c r="K4216" s="60"/>
      <c r="L4216" s="60"/>
      <c r="M4216" s="64"/>
      <c r="N4216" s="33"/>
    </row>
    <row r="4217" ht="24" customHeight="1" spans="2:14">
      <c r="B4217" s="33"/>
      <c r="C4217" s="60"/>
      <c r="D4217" s="60"/>
      <c r="E4217" s="60"/>
      <c r="F4217" s="60"/>
      <c r="G4217" s="60"/>
      <c r="H4217" s="60"/>
      <c r="I4217" s="60"/>
      <c r="J4217" s="60"/>
      <c r="K4217" s="60"/>
      <c r="L4217" s="60"/>
      <c r="M4217" s="64"/>
      <c r="N4217" s="33"/>
    </row>
    <row r="4218" ht="24" customHeight="1" spans="2:14">
      <c r="B4218" s="33"/>
      <c r="C4218" s="60"/>
      <c r="D4218" s="60"/>
      <c r="E4218" s="60"/>
      <c r="F4218" s="60"/>
      <c r="G4218" s="60"/>
      <c r="H4218" s="60"/>
      <c r="I4218" s="60"/>
      <c r="J4218" s="60"/>
      <c r="K4218" s="60"/>
      <c r="L4218" s="60"/>
      <c r="M4218" s="64"/>
      <c r="N4218" s="33"/>
    </row>
    <row r="4219" ht="24" customHeight="1" spans="2:14">
      <c r="B4219" s="33"/>
      <c r="C4219" s="60"/>
      <c r="D4219" s="60"/>
      <c r="E4219" s="60"/>
      <c r="F4219" s="60"/>
      <c r="G4219" s="60"/>
      <c r="H4219" s="60"/>
      <c r="I4219" s="60"/>
      <c r="J4219" s="60"/>
      <c r="K4219" s="60"/>
      <c r="L4219" s="60"/>
      <c r="M4219" s="64"/>
      <c r="N4219" s="33"/>
    </row>
    <row r="4220" ht="24" customHeight="1" spans="2:14">
      <c r="B4220" s="33"/>
      <c r="C4220" s="60"/>
      <c r="D4220" s="60"/>
      <c r="E4220" s="60"/>
      <c r="F4220" s="60"/>
      <c r="G4220" s="60"/>
      <c r="H4220" s="60"/>
      <c r="I4220" s="60"/>
      <c r="J4220" s="60"/>
      <c r="K4220" s="60"/>
      <c r="L4220" s="60"/>
      <c r="M4220" s="64"/>
      <c r="N4220" s="33"/>
    </row>
    <row r="4221" ht="24" customHeight="1" spans="2:14">
      <c r="B4221" s="33"/>
      <c r="C4221" s="60"/>
      <c r="D4221" s="60"/>
      <c r="E4221" s="60"/>
      <c r="F4221" s="60"/>
      <c r="G4221" s="60"/>
      <c r="H4221" s="60"/>
      <c r="I4221" s="60"/>
      <c r="J4221" s="60"/>
      <c r="K4221" s="60"/>
      <c r="L4221" s="60"/>
      <c r="M4221" s="64"/>
      <c r="N4221" s="33"/>
    </row>
    <row r="4222" ht="24" customHeight="1" spans="2:14">
      <c r="B4222" s="33"/>
      <c r="C4222" s="60"/>
      <c r="D4222" s="60"/>
      <c r="E4222" s="60"/>
      <c r="F4222" s="60"/>
      <c r="G4222" s="60"/>
      <c r="H4222" s="60"/>
      <c r="I4222" s="60"/>
      <c r="J4222" s="60"/>
      <c r="K4222" s="60"/>
      <c r="L4222" s="60"/>
      <c r="M4222" s="64"/>
      <c r="N4222" s="33"/>
    </row>
    <row r="4223" ht="24" customHeight="1" spans="2:14">
      <c r="B4223" s="33"/>
      <c r="C4223" s="60"/>
      <c r="D4223" s="60"/>
      <c r="E4223" s="60"/>
      <c r="F4223" s="60"/>
      <c r="G4223" s="60"/>
      <c r="H4223" s="60"/>
      <c r="I4223" s="60"/>
      <c r="J4223" s="60"/>
      <c r="K4223" s="60"/>
      <c r="L4223" s="60"/>
      <c r="M4223" s="64"/>
      <c r="N4223" s="33"/>
    </row>
    <row r="4224" ht="24" customHeight="1" spans="2:14">
      <c r="B4224" s="33"/>
      <c r="C4224" s="60"/>
      <c r="D4224" s="60"/>
      <c r="E4224" s="60"/>
      <c r="F4224" s="60"/>
      <c r="G4224" s="60"/>
      <c r="H4224" s="60"/>
      <c r="I4224" s="60"/>
      <c r="J4224" s="60"/>
      <c r="K4224" s="60"/>
      <c r="L4224" s="60"/>
      <c r="M4224" s="64"/>
      <c r="N4224" s="33"/>
    </row>
    <row r="4225" ht="24" customHeight="1" spans="2:14">
      <c r="B4225" s="33"/>
      <c r="C4225" s="60"/>
      <c r="D4225" s="60"/>
      <c r="E4225" s="60"/>
      <c r="F4225" s="60"/>
      <c r="G4225" s="60"/>
      <c r="H4225" s="60"/>
      <c r="I4225" s="60"/>
      <c r="J4225" s="60"/>
      <c r="K4225" s="60"/>
      <c r="L4225" s="60"/>
      <c r="M4225" s="64"/>
      <c r="N4225" s="33"/>
    </row>
    <row r="4226" ht="24" customHeight="1" spans="2:14">
      <c r="B4226" s="33"/>
      <c r="C4226" s="60"/>
      <c r="D4226" s="60"/>
      <c r="E4226" s="60"/>
      <c r="F4226" s="60"/>
      <c r="G4226" s="60"/>
      <c r="H4226" s="60"/>
      <c r="I4226" s="60"/>
      <c r="J4226" s="60"/>
      <c r="K4226" s="60"/>
      <c r="L4226" s="60"/>
      <c r="M4226" s="64"/>
      <c r="N4226" s="33"/>
    </row>
    <row r="4227" ht="24" customHeight="1" spans="2:14">
      <c r="B4227" s="33"/>
      <c r="C4227" s="60"/>
      <c r="D4227" s="60"/>
      <c r="E4227" s="60"/>
      <c r="F4227" s="60"/>
      <c r="G4227" s="60"/>
      <c r="H4227" s="60"/>
      <c r="I4227" s="60"/>
      <c r="J4227" s="60"/>
      <c r="K4227" s="60"/>
      <c r="L4227" s="60"/>
      <c r="M4227" s="64"/>
      <c r="N4227" s="33"/>
    </row>
    <row r="4228" ht="24" customHeight="1" spans="2:14">
      <c r="B4228" s="33"/>
      <c r="C4228" s="60"/>
      <c r="D4228" s="60"/>
      <c r="E4228" s="60"/>
      <c r="F4228" s="60"/>
      <c r="G4228" s="60"/>
      <c r="H4228" s="60"/>
      <c r="I4228" s="60"/>
      <c r="J4228" s="60"/>
      <c r="K4228" s="60"/>
      <c r="L4228" s="60"/>
      <c r="M4228" s="64"/>
      <c r="N4228" s="33"/>
    </row>
    <row r="4229" ht="24" customHeight="1" spans="2:14">
      <c r="B4229" s="33"/>
      <c r="C4229" s="60"/>
      <c r="D4229" s="60"/>
      <c r="E4229" s="60"/>
      <c r="F4229" s="60"/>
      <c r="G4229" s="60"/>
      <c r="H4229" s="60"/>
      <c r="I4229" s="60"/>
      <c r="J4229" s="60"/>
      <c r="K4229" s="60"/>
      <c r="L4229" s="60"/>
      <c r="M4229" s="64"/>
      <c r="N4229" s="33"/>
    </row>
    <row r="4230" ht="24" customHeight="1" spans="2:14">
      <c r="B4230" s="33"/>
      <c r="C4230" s="60"/>
      <c r="D4230" s="60"/>
      <c r="E4230" s="60"/>
      <c r="F4230" s="60"/>
      <c r="G4230" s="60"/>
      <c r="H4230" s="60"/>
      <c r="I4230" s="60"/>
      <c r="J4230" s="60"/>
      <c r="K4230" s="60"/>
      <c r="L4230" s="60"/>
      <c r="M4230" s="64"/>
      <c r="N4230" s="33"/>
    </row>
    <row r="4231" ht="24" customHeight="1" spans="2:14">
      <c r="B4231" s="33"/>
      <c r="C4231" s="60"/>
      <c r="D4231" s="60"/>
      <c r="E4231" s="60"/>
      <c r="F4231" s="60"/>
      <c r="G4231" s="60"/>
      <c r="H4231" s="60"/>
      <c r="I4231" s="60"/>
      <c r="J4231" s="60"/>
      <c r="K4231" s="60"/>
      <c r="L4231" s="60"/>
      <c r="M4231" s="64"/>
      <c r="N4231" s="33"/>
    </row>
    <row r="4232" ht="24" customHeight="1" spans="2:14">
      <c r="B4232" s="33"/>
      <c r="C4232" s="60"/>
      <c r="D4232" s="60"/>
      <c r="E4232" s="60"/>
      <c r="F4232" s="60"/>
      <c r="G4232" s="60"/>
      <c r="H4232" s="60"/>
      <c r="I4232" s="60"/>
      <c r="J4232" s="60"/>
      <c r="K4232" s="60"/>
      <c r="L4232" s="60"/>
      <c r="M4232" s="64"/>
      <c r="N4232" s="33"/>
    </row>
    <row r="4233" ht="24" customHeight="1" spans="2:14">
      <c r="B4233" s="33"/>
      <c r="C4233" s="60"/>
      <c r="D4233" s="60"/>
      <c r="E4233" s="60"/>
      <c r="F4233" s="60"/>
      <c r="G4233" s="60"/>
      <c r="H4233" s="60"/>
      <c r="I4233" s="60"/>
      <c r="J4233" s="60"/>
      <c r="K4233" s="60"/>
      <c r="L4233" s="60"/>
      <c r="M4233" s="64"/>
      <c r="N4233" s="33"/>
    </row>
    <row r="4234" ht="24" customHeight="1" spans="2:14">
      <c r="B4234" s="33"/>
      <c r="C4234" s="60"/>
      <c r="D4234" s="60"/>
      <c r="E4234" s="60"/>
      <c r="F4234" s="60"/>
      <c r="G4234" s="60"/>
      <c r="H4234" s="60"/>
      <c r="I4234" s="60"/>
      <c r="J4234" s="60"/>
      <c r="K4234" s="60"/>
      <c r="L4234" s="60"/>
      <c r="M4234" s="64"/>
      <c r="N4234" s="33"/>
    </row>
    <row r="4235" ht="24" customHeight="1" spans="2:14">
      <c r="B4235" s="33"/>
      <c r="C4235" s="60"/>
      <c r="D4235" s="60"/>
      <c r="E4235" s="60"/>
      <c r="F4235" s="60"/>
      <c r="G4235" s="60"/>
      <c r="H4235" s="60"/>
      <c r="I4235" s="60"/>
      <c r="J4235" s="60"/>
      <c r="K4235" s="60"/>
      <c r="L4235" s="60"/>
      <c r="M4235" s="64"/>
      <c r="N4235" s="33"/>
    </row>
    <row r="4236" ht="24" customHeight="1" spans="2:14">
      <c r="B4236" s="33"/>
      <c r="C4236" s="60"/>
      <c r="D4236" s="60"/>
      <c r="E4236" s="60"/>
      <c r="F4236" s="60"/>
      <c r="G4236" s="60"/>
      <c r="H4236" s="60"/>
      <c r="I4236" s="60"/>
      <c r="J4236" s="60"/>
      <c r="K4236" s="60"/>
      <c r="L4236" s="60"/>
      <c r="M4236" s="64"/>
      <c r="N4236" s="33"/>
    </row>
    <row r="4237" ht="24" customHeight="1" spans="2:14">
      <c r="B4237" s="33"/>
      <c r="C4237" s="60"/>
      <c r="D4237" s="60"/>
      <c r="E4237" s="60"/>
      <c r="F4237" s="60"/>
      <c r="G4237" s="60"/>
      <c r="H4237" s="60"/>
      <c r="I4237" s="60"/>
      <c r="J4237" s="60"/>
      <c r="K4237" s="60"/>
      <c r="L4237" s="60"/>
      <c r="M4237" s="64"/>
      <c r="N4237" s="33"/>
    </row>
    <row r="4238" ht="24" customHeight="1" spans="2:14">
      <c r="B4238" s="33"/>
      <c r="C4238" s="60"/>
      <c r="D4238" s="60"/>
      <c r="E4238" s="60"/>
      <c r="F4238" s="60"/>
      <c r="G4238" s="60"/>
      <c r="H4238" s="60"/>
      <c r="I4238" s="60"/>
      <c r="J4238" s="60"/>
      <c r="K4238" s="60"/>
      <c r="L4238" s="60"/>
      <c r="M4238" s="64"/>
      <c r="N4238" s="33"/>
    </row>
    <row r="4239" ht="24" customHeight="1" spans="2:14">
      <c r="B4239" s="33"/>
      <c r="C4239" s="60"/>
      <c r="D4239" s="60"/>
      <c r="E4239" s="60"/>
      <c r="F4239" s="60"/>
      <c r="G4239" s="60"/>
      <c r="H4239" s="60"/>
      <c r="I4239" s="60"/>
      <c r="J4239" s="60"/>
      <c r="K4239" s="60"/>
      <c r="L4239" s="60"/>
      <c r="M4239" s="64"/>
      <c r="N4239" s="33"/>
    </row>
    <row r="4240" ht="24" customHeight="1" spans="2:14">
      <c r="B4240" s="33"/>
      <c r="C4240" s="60"/>
      <c r="D4240" s="60"/>
      <c r="E4240" s="60"/>
      <c r="F4240" s="60"/>
      <c r="G4240" s="60"/>
      <c r="H4240" s="60"/>
      <c r="I4240" s="60"/>
      <c r="J4240" s="60"/>
      <c r="K4240" s="60"/>
      <c r="L4240" s="60"/>
      <c r="M4240" s="64"/>
      <c r="N4240" s="33"/>
    </row>
    <row r="4241" ht="24" customHeight="1" spans="2:14">
      <c r="B4241" s="33"/>
      <c r="C4241" s="60"/>
      <c r="D4241" s="60"/>
      <c r="E4241" s="60"/>
      <c r="F4241" s="60"/>
      <c r="G4241" s="60"/>
      <c r="H4241" s="60"/>
      <c r="I4241" s="60"/>
      <c r="J4241" s="60"/>
      <c r="K4241" s="60"/>
      <c r="L4241" s="60"/>
      <c r="M4241" s="64"/>
      <c r="N4241" s="33"/>
    </row>
    <row r="4242" ht="24" customHeight="1" spans="2:14">
      <c r="B4242" s="33"/>
      <c r="C4242" s="60"/>
      <c r="D4242" s="60"/>
      <c r="E4242" s="60"/>
      <c r="F4242" s="60"/>
      <c r="G4242" s="60"/>
      <c r="H4242" s="60"/>
      <c r="I4242" s="60"/>
      <c r="J4242" s="60"/>
      <c r="K4242" s="60"/>
      <c r="L4242" s="60"/>
      <c r="M4242" s="64"/>
      <c r="N4242" s="33"/>
    </row>
    <row r="4243" ht="24" customHeight="1" spans="2:14">
      <c r="B4243" s="33"/>
      <c r="C4243" s="60"/>
      <c r="D4243" s="60"/>
      <c r="E4243" s="60"/>
      <c r="F4243" s="60"/>
      <c r="G4243" s="60"/>
      <c r="H4243" s="60"/>
      <c r="I4243" s="60"/>
      <c r="J4243" s="60"/>
      <c r="K4243" s="60"/>
      <c r="L4243" s="60"/>
      <c r="M4243" s="64"/>
      <c r="N4243" s="33"/>
    </row>
    <row r="4244" ht="24" customHeight="1" spans="2:14">
      <c r="B4244" s="33"/>
      <c r="C4244" s="60"/>
      <c r="D4244" s="60"/>
      <c r="E4244" s="60"/>
      <c r="F4244" s="60"/>
      <c r="G4244" s="60"/>
      <c r="H4244" s="60"/>
      <c r="I4244" s="60"/>
      <c r="J4244" s="60"/>
      <c r="K4244" s="60"/>
      <c r="L4244" s="60"/>
      <c r="M4244" s="64"/>
      <c r="N4244" s="33"/>
    </row>
    <row r="4245" ht="24" customHeight="1" spans="2:14">
      <c r="B4245" s="33"/>
      <c r="C4245" s="60"/>
      <c r="D4245" s="60"/>
      <c r="E4245" s="60"/>
      <c r="F4245" s="60"/>
      <c r="G4245" s="60"/>
      <c r="H4245" s="60"/>
      <c r="I4245" s="60"/>
      <c r="J4245" s="60"/>
      <c r="K4245" s="60"/>
      <c r="L4245" s="60"/>
      <c r="M4245" s="64"/>
      <c r="N4245" s="33"/>
    </row>
    <row r="4246" ht="24" customHeight="1" spans="2:14">
      <c r="B4246" s="33"/>
      <c r="C4246" s="60"/>
      <c r="D4246" s="60"/>
      <c r="E4246" s="60"/>
      <c r="F4246" s="60"/>
      <c r="G4246" s="60"/>
      <c r="H4246" s="60"/>
      <c r="I4246" s="60"/>
      <c r="J4246" s="60"/>
      <c r="K4246" s="60"/>
      <c r="L4246" s="60"/>
      <c r="M4246" s="64"/>
      <c r="N4246" s="33"/>
    </row>
    <row r="4247" ht="24" customHeight="1" spans="2:14">
      <c r="B4247" s="33"/>
      <c r="C4247" s="60"/>
      <c r="D4247" s="60"/>
      <c r="E4247" s="60"/>
      <c r="F4247" s="60"/>
      <c r="G4247" s="60"/>
      <c r="H4247" s="60"/>
      <c r="I4247" s="60"/>
      <c r="J4247" s="60"/>
      <c r="K4247" s="60"/>
      <c r="L4247" s="60"/>
      <c r="M4247" s="64"/>
      <c r="N4247" s="33"/>
    </row>
    <row r="4248" ht="24" customHeight="1" spans="2:14">
      <c r="B4248" s="33"/>
      <c r="C4248" s="60"/>
      <c r="D4248" s="60"/>
      <c r="E4248" s="60"/>
      <c r="F4248" s="60"/>
      <c r="G4248" s="60"/>
      <c r="H4248" s="60"/>
      <c r="I4248" s="60"/>
      <c r="J4248" s="60"/>
      <c r="K4248" s="60"/>
      <c r="L4248" s="60"/>
      <c r="M4248" s="64"/>
      <c r="N4248" s="33"/>
    </row>
    <row r="4249" ht="24" customHeight="1" spans="2:14">
      <c r="B4249" s="33"/>
      <c r="C4249" s="60"/>
      <c r="D4249" s="60"/>
      <c r="E4249" s="60"/>
      <c r="F4249" s="60"/>
      <c r="G4249" s="60"/>
      <c r="H4249" s="60"/>
      <c r="I4249" s="60"/>
      <c r="J4249" s="60"/>
      <c r="K4249" s="60"/>
      <c r="L4249" s="60"/>
      <c r="M4249" s="64"/>
      <c r="N4249" s="33"/>
    </row>
    <row r="4250" ht="24" customHeight="1" spans="2:14">
      <c r="B4250" s="33"/>
      <c r="C4250" s="60"/>
      <c r="D4250" s="60"/>
      <c r="E4250" s="60"/>
      <c r="F4250" s="60"/>
      <c r="G4250" s="60"/>
      <c r="H4250" s="60"/>
      <c r="I4250" s="60"/>
      <c r="J4250" s="60"/>
      <c r="K4250" s="60"/>
      <c r="L4250" s="60"/>
      <c r="M4250" s="64"/>
      <c r="N4250" s="33"/>
    </row>
    <row r="4251" ht="24" customHeight="1" spans="2:14">
      <c r="B4251" s="33"/>
      <c r="C4251" s="60"/>
      <c r="D4251" s="60"/>
      <c r="E4251" s="60"/>
      <c r="F4251" s="60"/>
      <c r="G4251" s="60"/>
      <c r="H4251" s="60"/>
      <c r="I4251" s="60"/>
      <c r="J4251" s="60"/>
      <c r="K4251" s="60"/>
      <c r="L4251" s="60"/>
      <c r="M4251" s="64"/>
      <c r="N4251" s="33"/>
    </row>
    <row r="4252" ht="24" customHeight="1" spans="2:14">
      <c r="B4252" s="33"/>
      <c r="C4252" s="60"/>
      <c r="D4252" s="60"/>
      <c r="E4252" s="60"/>
      <c r="F4252" s="60"/>
      <c r="G4252" s="60"/>
      <c r="H4252" s="60"/>
      <c r="I4252" s="60"/>
      <c r="J4252" s="60"/>
      <c r="K4252" s="60"/>
      <c r="L4252" s="60"/>
      <c r="M4252" s="64"/>
      <c r="N4252" s="33"/>
    </row>
    <row r="4253" ht="24" customHeight="1" spans="2:14">
      <c r="B4253" s="33"/>
      <c r="C4253" s="60"/>
      <c r="D4253" s="60"/>
      <c r="E4253" s="60"/>
      <c r="F4253" s="60"/>
      <c r="G4253" s="60"/>
      <c r="H4253" s="60"/>
      <c r="I4253" s="60"/>
      <c r="J4253" s="60"/>
      <c r="K4253" s="60"/>
      <c r="L4253" s="60"/>
      <c r="M4253" s="64"/>
      <c r="N4253" s="33"/>
    </row>
    <row r="4254" ht="24" customHeight="1" spans="2:14">
      <c r="B4254" s="33"/>
      <c r="C4254" s="60"/>
      <c r="D4254" s="60"/>
      <c r="E4254" s="60"/>
      <c r="F4254" s="60"/>
      <c r="G4254" s="60"/>
      <c r="H4254" s="60"/>
      <c r="I4254" s="60"/>
      <c r="J4254" s="60"/>
      <c r="K4254" s="60"/>
      <c r="L4254" s="60"/>
      <c r="M4254" s="64"/>
      <c r="N4254" s="33"/>
    </row>
    <row r="4255" ht="24" customHeight="1" spans="2:14">
      <c r="B4255" s="33"/>
      <c r="C4255" s="60"/>
      <c r="D4255" s="60"/>
      <c r="E4255" s="60"/>
      <c r="F4255" s="60"/>
      <c r="G4255" s="60"/>
      <c r="H4255" s="60"/>
      <c r="I4255" s="60"/>
      <c r="J4255" s="60"/>
      <c r="K4255" s="60"/>
      <c r="L4255" s="60"/>
      <c r="M4255" s="64"/>
      <c r="N4255" s="33"/>
    </row>
    <row r="4256" ht="24" customHeight="1" spans="2:14">
      <c r="B4256" s="33"/>
      <c r="C4256" s="60"/>
      <c r="D4256" s="60"/>
      <c r="E4256" s="60"/>
      <c r="F4256" s="60"/>
      <c r="G4256" s="60"/>
      <c r="H4256" s="60"/>
      <c r="I4256" s="60"/>
      <c r="J4256" s="60"/>
      <c r="K4256" s="60"/>
      <c r="L4256" s="60"/>
      <c r="M4256" s="64"/>
      <c r="N4256" s="33"/>
    </row>
    <row r="4257" ht="24" customHeight="1" spans="2:14">
      <c r="B4257" s="33"/>
      <c r="C4257" s="60"/>
      <c r="D4257" s="60"/>
      <c r="E4257" s="60"/>
      <c r="F4257" s="60"/>
      <c r="G4257" s="60"/>
      <c r="H4257" s="60"/>
      <c r="I4257" s="60"/>
      <c r="J4257" s="60"/>
      <c r="K4257" s="60"/>
      <c r="L4257" s="60"/>
      <c r="M4257" s="64"/>
      <c r="N4257" s="33"/>
    </row>
    <row r="4258" ht="24" customHeight="1" spans="2:14">
      <c r="B4258" s="33"/>
      <c r="C4258" s="60"/>
      <c r="D4258" s="60"/>
      <c r="E4258" s="60"/>
      <c r="F4258" s="60"/>
      <c r="G4258" s="60"/>
      <c r="H4258" s="60"/>
      <c r="I4258" s="60"/>
      <c r="J4258" s="60"/>
      <c r="K4258" s="60"/>
      <c r="L4258" s="60"/>
      <c r="M4258" s="64"/>
      <c r="N4258" s="33"/>
    </row>
    <row r="4259" ht="24" customHeight="1" spans="2:14">
      <c r="B4259" s="33"/>
      <c r="C4259" s="60"/>
      <c r="D4259" s="60"/>
      <c r="E4259" s="60"/>
      <c r="F4259" s="60"/>
      <c r="G4259" s="60"/>
      <c r="H4259" s="60"/>
      <c r="I4259" s="60"/>
      <c r="J4259" s="60"/>
      <c r="K4259" s="60"/>
      <c r="L4259" s="60"/>
      <c r="M4259" s="64"/>
      <c r="N4259" s="33"/>
    </row>
    <row r="4260" ht="24" customHeight="1" spans="2:14">
      <c r="B4260" s="33"/>
      <c r="C4260" s="60"/>
      <c r="D4260" s="60"/>
      <c r="E4260" s="60"/>
      <c r="F4260" s="60"/>
      <c r="G4260" s="60"/>
      <c r="H4260" s="60"/>
      <c r="I4260" s="60"/>
      <c r="J4260" s="60"/>
      <c r="K4260" s="60"/>
      <c r="L4260" s="60"/>
      <c r="M4260" s="64"/>
      <c r="N4260" s="33"/>
    </row>
    <row r="4261" ht="24" customHeight="1" spans="2:14">
      <c r="B4261" s="33"/>
      <c r="C4261" s="60"/>
      <c r="D4261" s="60"/>
      <c r="E4261" s="60"/>
      <c r="F4261" s="60"/>
      <c r="G4261" s="60"/>
      <c r="H4261" s="60"/>
      <c r="I4261" s="60"/>
      <c r="J4261" s="60"/>
      <c r="K4261" s="60"/>
      <c r="L4261" s="60"/>
      <c r="M4261" s="64"/>
      <c r="N4261" s="33"/>
    </row>
    <row r="4262" ht="24" customHeight="1" spans="2:14">
      <c r="B4262" s="33"/>
      <c r="C4262" s="60"/>
      <c r="D4262" s="60"/>
      <c r="E4262" s="60"/>
      <c r="F4262" s="60"/>
      <c r="G4262" s="60"/>
      <c r="H4262" s="60"/>
      <c r="I4262" s="60"/>
      <c r="J4262" s="60"/>
      <c r="K4262" s="60"/>
      <c r="L4262" s="60"/>
      <c r="M4262" s="64"/>
      <c r="N4262" s="33"/>
    </row>
    <row r="4263" ht="24" customHeight="1" spans="2:14">
      <c r="B4263" s="33"/>
      <c r="C4263" s="60"/>
      <c r="D4263" s="60"/>
      <c r="E4263" s="60"/>
      <c r="F4263" s="60"/>
      <c r="G4263" s="60"/>
      <c r="H4263" s="60"/>
      <c r="I4263" s="60"/>
      <c r="J4263" s="60"/>
      <c r="K4263" s="60"/>
      <c r="L4263" s="60"/>
      <c r="M4263" s="64"/>
      <c r="N4263" s="33"/>
    </row>
    <row r="4264" ht="24" customHeight="1" spans="2:14">
      <c r="B4264" s="33"/>
      <c r="C4264" s="60"/>
      <c r="D4264" s="60"/>
      <c r="E4264" s="60"/>
      <c r="F4264" s="60"/>
      <c r="G4264" s="60"/>
      <c r="H4264" s="60"/>
      <c r="I4264" s="60"/>
      <c r="J4264" s="60"/>
      <c r="K4264" s="60"/>
      <c r="L4264" s="60"/>
      <c r="M4264" s="64"/>
      <c r="N4264" s="33"/>
    </row>
    <row r="4265" ht="24" customHeight="1" spans="2:14">
      <c r="B4265" s="33"/>
      <c r="C4265" s="60"/>
      <c r="D4265" s="60"/>
      <c r="E4265" s="60"/>
      <c r="F4265" s="60"/>
      <c r="G4265" s="60"/>
      <c r="H4265" s="60"/>
      <c r="I4265" s="60"/>
      <c r="J4265" s="60"/>
      <c r="K4265" s="60"/>
      <c r="L4265" s="60"/>
      <c r="M4265" s="64"/>
      <c r="N4265" s="33"/>
    </row>
    <row r="4266" ht="24" customHeight="1" spans="2:14">
      <c r="B4266" s="33"/>
      <c r="C4266" s="60"/>
      <c r="D4266" s="60"/>
      <c r="E4266" s="60"/>
      <c r="F4266" s="60"/>
      <c r="G4266" s="60"/>
      <c r="H4266" s="60"/>
      <c r="I4266" s="60"/>
      <c r="J4266" s="60"/>
      <c r="K4266" s="60"/>
      <c r="L4266" s="60"/>
      <c r="M4266" s="64"/>
      <c r="N4266" s="33"/>
    </row>
    <row r="4267" ht="24" customHeight="1" spans="2:14">
      <c r="B4267" s="33"/>
      <c r="C4267" s="60"/>
      <c r="D4267" s="60"/>
      <c r="E4267" s="60"/>
      <c r="F4267" s="60"/>
      <c r="G4267" s="60"/>
      <c r="H4267" s="60"/>
      <c r="I4267" s="60"/>
      <c r="J4267" s="60"/>
      <c r="K4267" s="60"/>
      <c r="L4267" s="60"/>
      <c r="M4267" s="64"/>
      <c r="N4267" s="33"/>
    </row>
    <row r="4268" ht="24" customHeight="1" spans="2:14">
      <c r="B4268" s="33"/>
      <c r="C4268" s="60"/>
      <c r="D4268" s="60"/>
      <c r="E4268" s="60"/>
      <c r="F4268" s="60"/>
      <c r="G4268" s="60"/>
      <c r="H4268" s="60"/>
      <c r="I4268" s="60"/>
      <c r="J4268" s="60"/>
      <c r="K4268" s="60"/>
      <c r="L4268" s="60"/>
      <c r="M4268" s="64"/>
      <c r="N4268" s="33"/>
    </row>
    <row r="4269" ht="24" customHeight="1" spans="2:14">
      <c r="B4269" s="33"/>
      <c r="C4269" s="60"/>
      <c r="D4269" s="60"/>
      <c r="E4269" s="60"/>
      <c r="F4269" s="60"/>
      <c r="G4269" s="60"/>
      <c r="H4269" s="60"/>
      <c r="I4269" s="60"/>
      <c r="J4269" s="60"/>
      <c r="K4269" s="60"/>
      <c r="L4269" s="60"/>
      <c r="M4269" s="64"/>
      <c r="N4269" s="33"/>
    </row>
    <row r="4270" ht="24" customHeight="1" spans="2:14">
      <c r="B4270" s="33"/>
      <c r="C4270" s="60"/>
      <c r="D4270" s="60"/>
      <c r="E4270" s="60"/>
      <c r="F4270" s="60"/>
      <c r="G4270" s="60"/>
      <c r="H4270" s="60"/>
      <c r="I4270" s="60"/>
      <c r="J4270" s="60"/>
      <c r="K4270" s="60"/>
      <c r="L4270" s="60"/>
      <c r="M4270" s="64"/>
      <c r="N4270" s="33"/>
    </row>
    <row r="4271" ht="24" customHeight="1" spans="2:14">
      <c r="B4271" s="33"/>
      <c r="C4271" s="60"/>
      <c r="D4271" s="60"/>
      <c r="E4271" s="60"/>
      <c r="F4271" s="60"/>
      <c r="G4271" s="60"/>
      <c r="H4271" s="60"/>
      <c r="I4271" s="60"/>
      <c r="J4271" s="60"/>
      <c r="K4271" s="60"/>
      <c r="L4271" s="60"/>
      <c r="M4271" s="64"/>
      <c r="N4271" s="33"/>
    </row>
    <row r="4272" ht="24" customHeight="1" spans="2:14">
      <c r="B4272" s="33"/>
      <c r="C4272" s="60"/>
      <c r="D4272" s="60"/>
      <c r="E4272" s="60"/>
      <c r="F4272" s="60"/>
      <c r="G4272" s="60"/>
      <c r="H4272" s="60"/>
      <c r="I4272" s="60"/>
      <c r="J4272" s="60"/>
      <c r="K4272" s="60"/>
      <c r="L4272" s="60"/>
      <c r="M4272" s="64"/>
      <c r="N4272" s="33"/>
    </row>
    <row r="4273" ht="24" customHeight="1" spans="2:14">
      <c r="B4273" s="33"/>
      <c r="C4273" s="60"/>
      <c r="D4273" s="60"/>
      <c r="E4273" s="60"/>
      <c r="F4273" s="60"/>
      <c r="G4273" s="60"/>
      <c r="H4273" s="60"/>
      <c r="I4273" s="60"/>
      <c r="J4273" s="60"/>
      <c r="K4273" s="60"/>
      <c r="L4273" s="60"/>
      <c r="M4273" s="64"/>
      <c r="N4273" s="33"/>
    </row>
    <row r="4274" ht="24" customHeight="1" spans="2:14">
      <c r="B4274" s="33"/>
      <c r="C4274" s="60"/>
      <c r="D4274" s="60"/>
      <c r="E4274" s="60"/>
      <c r="F4274" s="60"/>
      <c r="G4274" s="60"/>
      <c r="H4274" s="60"/>
      <c r="I4274" s="60"/>
      <c r="J4274" s="60"/>
      <c r="K4274" s="60"/>
      <c r="L4274" s="60"/>
      <c r="M4274" s="64"/>
      <c r="N4274" s="33"/>
    </row>
    <row r="4275" ht="24" customHeight="1" spans="2:14">
      <c r="B4275" s="33"/>
      <c r="C4275" s="60"/>
      <c r="D4275" s="60"/>
      <c r="E4275" s="60"/>
      <c r="F4275" s="60"/>
      <c r="G4275" s="60"/>
      <c r="H4275" s="60"/>
      <c r="I4275" s="60"/>
      <c r="J4275" s="60"/>
      <c r="K4275" s="60"/>
      <c r="L4275" s="60"/>
      <c r="M4275" s="64"/>
      <c r="N4275" s="33"/>
    </row>
    <row r="4276" ht="24" customHeight="1" spans="2:14">
      <c r="B4276" s="33"/>
      <c r="C4276" s="60"/>
      <c r="D4276" s="60"/>
      <c r="E4276" s="60"/>
      <c r="F4276" s="60"/>
      <c r="G4276" s="60"/>
      <c r="H4276" s="60"/>
      <c r="I4276" s="60"/>
      <c r="J4276" s="60"/>
      <c r="K4276" s="60"/>
      <c r="L4276" s="60"/>
      <c r="M4276" s="64"/>
      <c r="N4276" s="33"/>
    </row>
    <row r="4277" ht="24" customHeight="1" spans="2:14">
      <c r="B4277" s="33"/>
      <c r="C4277" s="60"/>
      <c r="D4277" s="60"/>
      <c r="E4277" s="60"/>
      <c r="F4277" s="60"/>
      <c r="G4277" s="60"/>
      <c r="H4277" s="60"/>
      <c r="I4277" s="60"/>
      <c r="J4277" s="60"/>
      <c r="K4277" s="60"/>
      <c r="L4277" s="60"/>
      <c r="M4277" s="64"/>
      <c r="N4277" s="33"/>
    </row>
    <row r="4278" ht="24" customHeight="1" spans="2:14">
      <c r="B4278" s="33"/>
      <c r="C4278" s="60"/>
      <c r="D4278" s="60"/>
      <c r="E4278" s="60"/>
      <c r="F4278" s="60"/>
      <c r="G4278" s="60"/>
      <c r="H4278" s="60"/>
      <c r="I4278" s="60"/>
      <c r="J4278" s="60"/>
      <c r="K4278" s="60"/>
      <c r="L4278" s="60"/>
      <c r="M4278" s="64"/>
      <c r="N4278" s="33"/>
    </row>
    <row r="4279" ht="24" customHeight="1" spans="2:14">
      <c r="B4279" s="33"/>
      <c r="C4279" s="60"/>
      <c r="D4279" s="60"/>
      <c r="E4279" s="60"/>
      <c r="F4279" s="60"/>
      <c r="G4279" s="60"/>
      <c r="H4279" s="60"/>
      <c r="I4279" s="60"/>
      <c r="J4279" s="60"/>
      <c r="K4279" s="60"/>
      <c r="L4279" s="60"/>
      <c r="M4279" s="64"/>
      <c r="N4279" s="33"/>
    </row>
    <row r="4280" ht="24" customHeight="1" spans="2:14">
      <c r="B4280" s="33"/>
      <c r="C4280" s="60"/>
      <c r="D4280" s="60"/>
      <c r="E4280" s="60"/>
      <c r="F4280" s="60"/>
      <c r="G4280" s="60"/>
      <c r="H4280" s="60"/>
      <c r="I4280" s="60"/>
      <c r="J4280" s="60"/>
      <c r="K4280" s="60"/>
      <c r="L4280" s="60"/>
      <c r="M4280" s="64"/>
      <c r="N4280" s="33"/>
    </row>
    <row r="4281" ht="24" customHeight="1" spans="2:14">
      <c r="B4281" s="33"/>
      <c r="C4281" s="60"/>
      <c r="D4281" s="60"/>
      <c r="E4281" s="60"/>
      <c r="F4281" s="60"/>
      <c r="G4281" s="60"/>
      <c r="H4281" s="60"/>
      <c r="I4281" s="60"/>
      <c r="J4281" s="60"/>
      <c r="K4281" s="60"/>
      <c r="L4281" s="60"/>
      <c r="M4281" s="64"/>
      <c r="N4281" s="33"/>
    </row>
    <row r="4282" ht="24" customHeight="1" spans="2:14">
      <c r="B4282" s="33"/>
      <c r="C4282" s="60"/>
      <c r="D4282" s="60"/>
      <c r="E4282" s="60"/>
      <c r="F4282" s="60"/>
      <c r="G4282" s="60"/>
      <c r="H4282" s="60"/>
      <c r="I4282" s="60"/>
      <c r="J4282" s="60"/>
      <c r="K4282" s="60"/>
      <c r="L4282" s="60"/>
      <c r="M4282" s="64"/>
      <c r="N4282" s="33"/>
    </row>
    <row r="4283" ht="24" customHeight="1" spans="2:14">
      <c r="B4283" s="33"/>
      <c r="C4283" s="60"/>
      <c r="D4283" s="60"/>
      <c r="E4283" s="60"/>
      <c r="F4283" s="60"/>
      <c r="G4283" s="60"/>
      <c r="H4283" s="60"/>
      <c r="I4283" s="60"/>
      <c r="J4283" s="60"/>
      <c r="K4283" s="60"/>
      <c r="L4283" s="60"/>
      <c r="M4283" s="64"/>
      <c r="N4283" s="33"/>
    </row>
    <row r="4284" ht="24" customHeight="1" spans="2:14">
      <c r="B4284" s="33"/>
      <c r="C4284" s="60"/>
      <c r="D4284" s="60"/>
      <c r="E4284" s="60"/>
      <c r="F4284" s="60"/>
      <c r="G4284" s="60"/>
      <c r="H4284" s="60"/>
      <c r="I4284" s="60"/>
      <c r="J4284" s="60"/>
      <c r="K4284" s="60"/>
      <c r="L4284" s="60"/>
      <c r="M4284" s="64"/>
      <c r="N4284" s="33"/>
    </row>
    <row r="4285" ht="24" customHeight="1" spans="2:14">
      <c r="B4285" s="33"/>
      <c r="C4285" s="60"/>
      <c r="D4285" s="60"/>
      <c r="E4285" s="60"/>
      <c r="F4285" s="60"/>
      <c r="G4285" s="60"/>
      <c r="H4285" s="60"/>
      <c r="I4285" s="60"/>
      <c r="J4285" s="60"/>
      <c r="K4285" s="60"/>
      <c r="L4285" s="60"/>
      <c r="M4285" s="64"/>
      <c r="N4285" s="33"/>
    </row>
    <row r="4286" ht="24" customHeight="1" spans="2:14">
      <c r="B4286" s="33"/>
      <c r="C4286" s="60"/>
      <c r="D4286" s="60"/>
      <c r="E4286" s="60"/>
      <c r="F4286" s="60"/>
      <c r="G4286" s="60"/>
      <c r="H4286" s="60"/>
      <c r="I4286" s="60"/>
      <c r="J4286" s="60"/>
      <c r="K4286" s="60"/>
      <c r="L4286" s="60"/>
      <c r="M4286" s="64"/>
      <c r="N4286" s="33"/>
    </row>
    <row r="4287" ht="24" customHeight="1" spans="2:14">
      <c r="B4287" s="33"/>
      <c r="C4287" s="60"/>
      <c r="D4287" s="60"/>
      <c r="E4287" s="60"/>
      <c r="F4287" s="60"/>
      <c r="G4287" s="60"/>
      <c r="H4287" s="60"/>
      <c r="I4287" s="60"/>
      <c r="J4287" s="60"/>
      <c r="K4287" s="60"/>
      <c r="L4287" s="60"/>
      <c r="M4287" s="64"/>
      <c r="N4287" s="33"/>
    </row>
    <row r="4288" ht="24" customHeight="1" spans="2:14">
      <c r="B4288" s="33"/>
      <c r="C4288" s="60"/>
      <c r="D4288" s="60"/>
      <c r="E4288" s="60"/>
      <c r="F4288" s="60"/>
      <c r="G4288" s="60"/>
      <c r="H4288" s="60"/>
      <c r="I4288" s="60"/>
      <c r="J4288" s="60"/>
      <c r="K4288" s="60"/>
      <c r="L4288" s="60"/>
      <c r="M4288" s="64"/>
      <c r="N4288" s="33"/>
    </row>
    <row r="4289" ht="24" customHeight="1" spans="2:14">
      <c r="B4289" s="33"/>
      <c r="C4289" s="60"/>
      <c r="D4289" s="60"/>
      <c r="E4289" s="60"/>
      <c r="F4289" s="60"/>
      <c r="G4289" s="60"/>
      <c r="H4289" s="60"/>
      <c r="I4289" s="60"/>
      <c r="J4289" s="60"/>
      <c r="K4289" s="60"/>
      <c r="L4289" s="60"/>
      <c r="M4289" s="64"/>
      <c r="N4289" s="33"/>
    </row>
    <row r="4290" ht="24" customHeight="1" spans="2:14">
      <c r="B4290" s="33"/>
      <c r="C4290" s="60"/>
      <c r="D4290" s="60"/>
      <c r="E4290" s="60"/>
      <c r="F4290" s="60"/>
      <c r="G4290" s="60"/>
      <c r="H4290" s="60"/>
      <c r="I4290" s="60"/>
      <c r="J4290" s="60"/>
      <c r="K4290" s="60"/>
      <c r="L4290" s="60"/>
      <c r="M4290" s="64"/>
      <c r="N4290" s="33"/>
    </row>
    <row r="4291" ht="24" customHeight="1" spans="2:14">
      <c r="B4291" s="33"/>
      <c r="C4291" s="60"/>
      <c r="D4291" s="60"/>
      <c r="E4291" s="60"/>
      <c r="F4291" s="60"/>
      <c r="G4291" s="60"/>
      <c r="H4291" s="60"/>
      <c r="I4291" s="60"/>
      <c r="J4291" s="60"/>
      <c r="K4291" s="60"/>
      <c r="L4291" s="60"/>
      <c r="M4291" s="64"/>
      <c r="N4291" s="33"/>
    </row>
    <row r="4292" ht="24" customHeight="1" spans="2:14">
      <c r="B4292" s="33"/>
      <c r="C4292" s="60"/>
      <c r="D4292" s="60"/>
      <c r="E4292" s="60"/>
      <c r="F4292" s="60"/>
      <c r="G4292" s="60"/>
      <c r="H4292" s="60"/>
      <c r="I4292" s="60"/>
      <c r="J4292" s="60"/>
      <c r="K4292" s="60"/>
      <c r="L4292" s="60"/>
      <c r="M4292" s="64"/>
      <c r="N4292" s="33"/>
    </row>
    <row r="4293" ht="24" customHeight="1" spans="2:14">
      <c r="B4293" s="33"/>
      <c r="C4293" s="60"/>
      <c r="D4293" s="60"/>
      <c r="E4293" s="60"/>
      <c r="F4293" s="60"/>
      <c r="G4293" s="60"/>
      <c r="H4293" s="60"/>
      <c r="I4293" s="60"/>
      <c r="J4293" s="60"/>
      <c r="K4293" s="60"/>
      <c r="L4293" s="60"/>
      <c r="M4293" s="64"/>
      <c r="N4293" s="33"/>
    </row>
    <row r="4294" ht="24" customHeight="1" spans="2:14">
      <c r="B4294" s="33"/>
      <c r="C4294" s="60"/>
      <c r="D4294" s="60"/>
      <c r="E4294" s="60"/>
      <c r="F4294" s="60"/>
      <c r="G4294" s="60"/>
      <c r="H4294" s="60"/>
      <c r="I4294" s="60"/>
      <c r="J4294" s="60"/>
      <c r="K4294" s="60"/>
      <c r="L4294" s="60"/>
      <c r="M4294" s="64"/>
      <c r="N4294" s="33"/>
    </row>
    <row r="4295" ht="24" customHeight="1" spans="2:14">
      <c r="B4295" s="33"/>
      <c r="C4295" s="60"/>
      <c r="D4295" s="60"/>
      <c r="E4295" s="60"/>
      <c r="F4295" s="60"/>
      <c r="G4295" s="60"/>
      <c r="H4295" s="60"/>
      <c r="I4295" s="60"/>
      <c r="J4295" s="60"/>
      <c r="K4295" s="60"/>
      <c r="L4295" s="60"/>
      <c r="M4295" s="64"/>
      <c r="N4295" s="33"/>
    </row>
    <row r="4296" ht="24" customHeight="1" spans="2:14">
      <c r="B4296" s="33"/>
      <c r="C4296" s="60"/>
      <c r="D4296" s="60"/>
      <c r="E4296" s="60"/>
      <c r="F4296" s="60"/>
      <c r="G4296" s="60"/>
      <c r="H4296" s="60"/>
      <c r="I4296" s="60"/>
      <c r="J4296" s="60"/>
      <c r="K4296" s="60"/>
      <c r="L4296" s="60"/>
      <c r="M4296" s="64"/>
      <c r="N4296" s="33"/>
    </row>
    <row r="4297" ht="24" customHeight="1" spans="2:14">
      <c r="B4297" s="33"/>
      <c r="C4297" s="60"/>
      <c r="D4297" s="60"/>
      <c r="E4297" s="60"/>
      <c r="F4297" s="60"/>
      <c r="G4297" s="60"/>
      <c r="H4297" s="60"/>
      <c r="I4297" s="60"/>
      <c r="J4297" s="60"/>
      <c r="K4297" s="60"/>
      <c r="L4297" s="60"/>
      <c r="M4297" s="64"/>
      <c r="N4297" s="33"/>
    </row>
    <row r="4298" ht="24" customHeight="1" spans="2:14">
      <c r="B4298" s="33"/>
      <c r="C4298" s="60"/>
      <c r="D4298" s="60"/>
      <c r="E4298" s="60"/>
      <c r="F4298" s="60"/>
      <c r="G4298" s="60"/>
      <c r="H4298" s="60"/>
      <c r="I4298" s="60"/>
      <c r="J4298" s="60"/>
      <c r="K4298" s="60"/>
      <c r="L4298" s="60"/>
      <c r="M4298" s="64"/>
      <c r="N4298" s="33"/>
    </row>
    <row r="4299" ht="24" customHeight="1" spans="2:14">
      <c r="B4299" s="33"/>
      <c r="C4299" s="60"/>
      <c r="D4299" s="60"/>
      <c r="E4299" s="60"/>
      <c r="F4299" s="60"/>
      <c r="G4299" s="60"/>
      <c r="H4299" s="60"/>
      <c r="I4299" s="60"/>
      <c r="J4299" s="60"/>
      <c r="K4299" s="60"/>
      <c r="L4299" s="60"/>
      <c r="M4299" s="64"/>
      <c r="N4299" s="33"/>
    </row>
    <row r="4300" ht="24" customHeight="1" spans="2:14">
      <c r="B4300" s="33"/>
      <c r="C4300" s="60"/>
      <c r="D4300" s="60"/>
      <c r="E4300" s="60"/>
      <c r="F4300" s="60"/>
      <c r="G4300" s="60"/>
      <c r="H4300" s="60"/>
      <c r="I4300" s="60"/>
      <c r="J4300" s="60"/>
      <c r="K4300" s="60"/>
      <c r="L4300" s="60"/>
      <c r="M4300" s="64"/>
      <c r="N4300" s="33"/>
    </row>
    <row r="4301" ht="24" customHeight="1" spans="2:14">
      <c r="B4301" s="33"/>
      <c r="C4301" s="60"/>
      <c r="D4301" s="60"/>
      <c r="E4301" s="60"/>
      <c r="F4301" s="60"/>
      <c r="G4301" s="60"/>
      <c r="H4301" s="60"/>
      <c r="I4301" s="60"/>
      <c r="J4301" s="60"/>
      <c r="K4301" s="60"/>
      <c r="L4301" s="60"/>
      <c r="M4301" s="64"/>
      <c r="N4301" s="33"/>
    </row>
    <row r="4302" ht="24" customHeight="1" spans="2:14">
      <c r="B4302" s="33"/>
      <c r="C4302" s="60"/>
      <c r="D4302" s="60"/>
      <c r="E4302" s="60"/>
      <c r="F4302" s="60"/>
      <c r="G4302" s="60"/>
      <c r="H4302" s="60"/>
      <c r="I4302" s="60"/>
      <c r="J4302" s="60"/>
      <c r="K4302" s="60"/>
      <c r="L4302" s="60"/>
      <c r="M4302" s="64"/>
      <c r="N4302" s="33"/>
    </row>
    <row r="4303" ht="24" customHeight="1" spans="2:14">
      <c r="B4303" s="33"/>
      <c r="C4303" s="60"/>
      <c r="D4303" s="60"/>
      <c r="E4303" s="60"/>
      <c r="F4303" s="60"/>
      <c r="G4303" s="60"/>
      <c r="H4303" s="60"/>
      <c r="I4303" s="60"/>
      <c r="J4303" s="60"/>
      <c r="K4303" s="60"/>
      <c r="L4303" s="60"/>
      <c r="M4303" s="64"/>
      <c r="N4303" s="33"/>
    </row>
    <row r="4304" ht="24" customHeight="1" spans="2:14">
      <c r="B4304" s="33"/>
      <c r="C4304" s="60"/>
      <c r="D4304" s="60"/>
      <c r="E4304" s="60"/>
      <c r="F4304" s="60"/>
      <c r="G4304" s="60"/>
      <c r="H4304" s="60"/>
      <c r="I4304" s="60"/>
      <c r="J4304" s="60"/>
      <c r="K4304" s="60"/>
      <c r="L4304" s="60"/>
      <c r="M4304" s="64"/>
      <c r="N4304" s="33"/>
    </row>
    <row r="4305" ht="24" customHeight="1" spans="2:14">
      <c r="B4305" s="33"/>
      <c r="C4305" s="60"/>
      <c r="D4305" s="60"/>
      <c r="E4305" s="60"/>
      <c r="F4305" s="60"/>
      <c r="G4305" s="60"/>
      <c r="H4305" s="60"/>
      <c r="I4305" s="60"/>
      <c r="J4305" s="60"/>
      <c r="K4305" s="60"/>
      <c r="L4305" s="60"/>
      <c r="M4305" s="64"/>
      <c r="N4305" s="33"/>
    </row>
    <row r="4306" ht="24" customHeight="1" spans="2:14">
      <c r="B4306" s="33"/>
      <c r="C4306" s="60"/>
      <c r="D4306" s="60"/>
      <c r="E4306" s="60"/>
      <c r="F4306" s="60"/>
      <c r="G4306" s="60"/>
      <c r="H4306" s="60"/>
      <c r="I4306" s="60"/>
      <c r="J4306" s="60"/>
      <c r="K4306" s="60"/>
      <c r="L4306" s="60"/>
      <c r="M4306" s="64"/>
      <c r="N4306" s="33"/>
    </row>
    <row r="4307" ht="24" customHeight="1" spans="2:14">
      <c r="B4307" s="33"/>
      <c r="C4307" s="60"/>
      <c r="D4307" s="60"/>
      <c r="E4307" s="60"/>
      <c r="F4307" s="60"/>
      <c r="G4307" s="60"/>
      <c r="H4307" s="60"/>
      <c r="I4307" s="60"/>
      <c r="J4307" s="60"/>
      <c r="K4307" s="60"/>
      <c r="L4307" s="60"/>
      <c r="M4307" s="64"/>
      <c r="N4307" s="33"/>
    </row>
    <row r="4308" ht="24" customHeight="1" spans="2:14">
      <c r="B4308" s="33"/>
      <c r="C4308" s="60"/>
      <c r="D4308" s="60"/>
      <c r="E4308" s="60"/>
      <c r="F4308" s="60"/>
      <c r="G4308" s="60"/>
      <c r="H4308" s="60"/>
      <c r="I4308" s="60"/>
      <c r="J4308" s="60"/>
      <c r="K4308" s="60"/>
      <c r="L4308" s="60"/>
      <c r="M4308" s="64"/>
      <c r="N4308" s="33"/>
    </row>
    <row r="4309" ht="24" customHeight="1" spans="2:14">
      <c r="B4309" s="33"/>
      <c r="C4309" s="60"/>
      <c r="D4309" s="60"/>
      <c r="E4309" s="60"/>
      <c r="F4309" s="60"/>
      <c r="G4309" s="60"/>
      <c r="H4309" s="60"/>
      <c r="I4309" s="60"/>
      <c r="J4309" s="60"/>
      <c r="K4309" s="60"/>
      <c r="L4309" s="60"/>
      <c r="M4309" s="64"/>
      <c r="N4309" s="33"/>
    </row>
    <row r="4310" ht="24" customHeight="1" spans="2:14">
      <c r="B4310" s="33"/>
      <c r="C4310" s="60"/>
      <c r="D4310" s="60"/>
      <c r="E4310" s="60"/>
      <c r="F4310" s="60"/>
      <c r="G4310" s="60"/>
      <c r="H4310" s="60"/>
      <c r="I4310" s="60"/>
      <c r="J4310" s="60"/>
      <c r="K4310" s="60"/>
      <c r="L4310" s="60"/>
      <c r="M4310" s="64"/>
      <c r="N4310" s="33"/>
    </row>
    <row r="4311" ht="24" customHeight="1" spans="2:14">
      <c r="B4311" s="33"/>
      <c r="C4311" s="60"/>
      <c r="D4311" s="60"/>
      <c r="E4311" s="60"/>
      <c r="F4311" s="60"/>
      <c r="G4311" s="60"/>
      <c r="H4311" s="60"/>
      <c r="I4311" s="60"/>
      <c r="J4311" s="60"/>
      <c r="K4311" s="60"/>
      <c r="L4311" s="60"/>
      <c r="M4311" s="64"/>
      <c r="N4311" s="33"/>
    </row>
    <row r="4312" ht="24" customHeight="1" spans="2:14">
      <c r="B4312" s="33"/>
      <c r="C4312" s="60"/>
      <c r="D4312" s="60"/>
      <c r="E4312" s="60"/>
      <c r="F4312" s="60"/>
      <c r="G4312" s="60"/>
      <c r="H4312" s="60"/>
      <c r="I4312" s="60"/>
      <c r="J4312" s="60"/>
      <c r="K4312" s="60"/>
      <c r="L4312" s="60"/>
      <c r="M4312" s="64"/>
      <c r="N4312" s="33"/>
    </row>
    <row r="4313" ht="24" customHeight="1" spans="2:14">
      <c r="B4313" s="33"/>
      <c r="C4313" s="60"/>
      <c r="D4313" s="60"/>
      <c r="E4313" s="60"/>
      <c r="F4313" s="60"/>
      <c r="G4313" s="60"/>
      <c r="H4313" s="60"/>
      <c r="I4313" s="60"/>
      <c r="J4313" s="60"/>
      <c r="K4313" s="60"/>
      <c r="L4313" s="60"/>
      <c r="M4313" s="64"/>
      <c r="N4313" s="33"/>
    </row>
    <row r="4314" ht="24" customHeight="1" spans="2:14">
      <c r="B4314" s="33"/>
      <c r="C4314" s="60"/>
      <c r="D4314" s="60"/>
      <c r="E4314" s="60"/>
      <c r="F4314" s="60"/>
      <c r="G4314" s="60"/>
      <c r="H4314" s="60"/>
      <c r="I4314" s="60"/>
      <c r="J4314" s="60"/>
      <c r="K4314" s="60"/>
      <c r="L4314" s="60"/>
      <c r="M4314" s="64"/>
      <c r="N4314" s="33"/>
    </row>
    <row r="4315" ht="24" customHeight="1" spans="2:14">
      <c r="B4315" s="33"/>
      <c r="C4315" s="60"/>
      <c r="D4315" s="60"/>
      <c r="E4315" s="60"/>
      <c r="F4315" s="60"/>
      <c r="G4315" s="60"/>
      <c r="H4315" s="60"/>
      <c r="I4315" s="60"/>
      <c r="J4315" s="60"/>
      <c r="K4315" s="60"/>
      <c r="L4315" s="60"/>
      <c r="M4315" s="64"/>
      <c r="N4315" s="33"/>
    </row>
    <row r="4316" ht="24" customHeight="1" spans="2:14">
      <c r="B4316" s="33"/>
      <c r="C4316" s="60"/>
      <c r="D4316" s="60"/>
      <c r="E4316" s="60"/>
      <c r="F4316" s="60"/>
      <c r="G4316" s="60"/>
      <c r="H4316" s="60"/>
      <c r="I4316" s="60"/>
      <c r="J4316" s="60"/>
      <c r="K4316" s="60"/>
      <c r="L4316" s="60"/>
      <c r="M4316" s="64"/>
      <c r="N4316" s="33"/>
    </row>
    <row r="4317" ht="24" customHeight="1" spans="2:14">
      <c r="B4317" s="33"/>
      <c r="C4317" s="60"/>
      <c r="D4317" s="60"/>
      <c r="E4317" s="60"/>
      <c r="F4317" s="60"/>
      <c r="G4317" s="60"/>
      <c r="H4317" s="60"/>
      <c r="I4317" s="60"/>
      <c r="J4317" s="60"/>
      <c r="K4317" s="60"/>
      <c r="L4317" s="60"/>
      <c r="M4317" s="64"/>
      <c r="N4317" s="33"/>
    </row>
    <row r="4318" ht="24" customHeight="1" spans="2:14">
      <c r="B4318" s="33"/>
      <c r="C4318" s="60"/>
      <c r="D4318" s="60"/>
      <c r="E4318" s="60"/>
      <c r="F4318" s="60"/>
      <c r="G4318" s="60"/>
      <c r="H4318" s="60"/>
      <c r="I4318" s="60"/>
      <c r="J4318" s="60"/>
      <c r="K4318" s="60"/>
      <c r="L4318" s="60"/>
      <c r="M4318" s="64"/>
      <c r="N4318" s="33"/>
    </row>
    <row r="4319" ht="24" customHeight="1" spans="2:14">
      <c r="B4319" s="33"/>
      <c r="C4319" s="60"/>
      <c r="D4319" s="60"/>
      <c r="E4319" s="60"/>
      <c r="F4319" s="60"/>
      <c r="G4319" s="60"/>
      <c r="H4319" s="60"/>
      <c r="I4319" s="60"/>
      <c r="J4319" s="60"/>
      <c r="K4319" s="60"/>
      <c r="L4319" s="60"/>
      <c r="M4319" s="64"/>
      <c r="N4319" s="33"/>
    </row>
    <row r="4320" ht="24" customHeight="1" spans="2:14">
      <c r="B4320" s="33"/>
      <c r="C4320" s="60"/>
      <c r="D4320" s="60"/>
      <c r="E4320" s="60"/>
      <c r="F4320" s="60"/>
      <c r="G4320" s="60"/>
      <c r="H4320" s="60"/>
      <c r="I4320" s="60"/>
      <c r="J4320" s="60"/>
      <c r="K4320" s="60"/>
      <c r="L4320" s="60"/>
      <c r="M4320" s="64"/>
      <c r="N4320" s="33"/>
    </row>
    <row r="4321" ht="24" customHeight="1" spans="2:14">
      <c r="B4321" s="33"/>
      <c r="C4321" s="60"/>
      <c r="D4321" s="60"/>
      <c r="E4321" s="60"/>
      <c r="F4321" s="60"/>
      <c r="G4321" s="60"/>
      <c r="H4321" s="60"/>
      <c r="I4321" s="60"/>
      <c r="J4321" s="60"/>
      <c r="K4321" s="60"/>
      <c r="L4321" s="60"/>
      <c r="M4321" s="64"/>
      <c r="N4321" s="33"/>
    </row>
    <row r="4322" ht="24" customHeight="1" spans="2:14">
      <c r="B4322" s="33"/>
      <c r="C4322" s="60"/>
      <c r="D4322" s="60"/>
      <c r="E4322" s="60"/>
      <c r="F4322" s="60"/>
      <c r="G4322" s="60"/>
      <c r="H4322" s="60"/>
      <c r="I4322" s="60"/>
      <c r="J4322" s="60"/>
      <c r="K4322" s="60"/>
      <c r="L4322" s="60"/>
      <c r="M4322" s="64"/>
      <c r="N4322" s="33"/>
    </row>
    <row r="4323" ht="24" customHeight="1" spans="2:14">
      <c r="B4323" s="33"/>
      <c r="C4323" s="60"/>
      <c r="D4323" s="60"/>
      <c r="E4323" s="60"/>
      <c r="F4323" s="60"/>
      <c r="G4323" s="60"/>
      <c r="H4323" s="60"/>
      <c r="I4323" s="60"/>
      <c r="J4323" s="60"/>
      <c r="K4323" s="60"/>
      <c r="L4323" s="60"/>
      <c r="M4323" s="64"/>
      <c r="N4323" s="33"/>
    </row>
    <row r="4324" ht="24" customHeight="1" spans="2:14">
      <c r="B4324" s="33"/>
      <c r="C4324" s="60"/>
      <c r="D4324" s="60"/>
      <c r="E4324" s="60"/>
      <c r="F4324" s="60"/>
      <c r="G4324" s="60"/>
      <c r="H4324" s="60"/>
      <c r="I4324" s="60"/>
      <c r="J4324" s="60"/>
      <c r="K4324" s="60"/>
      <c r="L4324" s="60"/>
      <c r="M4324" s="64"/>
      <c r="N4324" s="33"/>
    </row>
    <row r="4325" ht="24" customHeight="1" spans="2:14">
      <c r="B4325" s="33"/>
      <c r="C4325" s="60"/>
      <c r="D4325" s="60"/>
      <c r="E4325" s="60"/>
      <c r="F4325" s="60"/>
      <c r="G4325" s="60"/>
      <c r="H4325" s="60"/>
      <c r="I4325" s="60"/>
      <c r="J4325" s="60"/>
      <c r="K4325" s="60"/>
      <c r="L4325" s="60"/>
      <c r="M4325" s="64"/>
      <c r="N4325" s="33"/>
    </row>
    <row r="4326" ht="24" customHeight="1" spans="2:14">
      <c r="B4326" s="33"/>
      <c r="C4326" s="60"/>
      <c r="D4326" s="60"/>
      <c r="E4326" s="60"/>
      <c r="F4326" s="60"/>
      <c r="G4326" s="60"/>
      <c r="H4326" s="60"/>
      <c r="I4326" s="60"/>
      <c r="J4326" s="60"/>
      <c r="K4326" s="60"/>
      <c r="L4326" s="60"/>
      <c r="M4326" s="64"/>
      <c r="N4326" s="33"/>
    </row>
    <row r="4327" ht="24" customHeight="1" spans="2:14">
      <c r="B4327" s="33"/>
      <c r="C4327" s="60"/>
      <c r="D4327" s="60"/>
      <c r="E4327" s="60"/>
      <c r="F4327" s="60"/>
      <c r="G4327" s="60"/>
      <c r="H4327" s="60"/>
      <c r="I4327" s="60"/>
      <c r="J4327" s="60"/>
      <c r="K4327" s="60"/>
      <c r="L4327" s="60"/>
      <c r="M4327" s="64"/>
      <c r="N4327" s="33"/>
    </row>
    <row r="4328" ht="24" customHeight="1" spans="2:14">
      <c r="B4328" s="33"/>
      <c r="C4328" s="60"/>
      <c r="D4328" s="60"/>
      <c r="E4328" s="60"/>
      <c r="F4328" s="60"/>
      <c r="G4328" s="60"/>
      <c r="H4328" s="60"/>
      <c r="I4328" s="60"/>
      <c r="J4328" s="60"/>
      <c r="K4328" s="60"/>
      <c r="L4328" s="60"/>
      <c r="M4328" s="64"/>
      <c r="N4328" s="33"/>
    </row>
    <row r="4329" ht="24" customHeight="1" spans="2:14">
      <c r="B4329" s="33"/>
      <c r="C4329" s="60"/>
      <c r="D4329" s="60"/>
      <c r="E4329" s="60"/>
      <c r="F4329" s="60"/>
      <c r="G4329" s="60"/>
      <c r="H4329" s="60"/>
      <c r="I4329" s="60"/>
      <c r="J4329" s="60"/>
      <c r="K4329" s="60"/>
      <c r="L4329" s="60"/>
      <c r="M4329" s="64"/>
      <c r="N4329" s="33"/>
    </row>
    <row r="4330" ht="24" customHeight="1" spans="2:14">
      <c r="B4330" s="33"/>
      <c r="C4330" s="60"/>
      <c r="D4330" s="60"/>
      <c r="E4330" s="60"/>
      <c r="F4330" s="60"/>
      <c r="G4330" s="60"/>
      <c r="H4330" s="60"/>
      <c r="I4330" s="60"/>
      <c r="J4330" s="60"/>
      <c r="K4330" s="60"/>
      <c r="L4330" s="60"/>
      <c r="M4330" s="64"/>
      <c r="N4330" s="33"/>
    </row>
    <row r="4331" ht="24" customHeight="1" spans="2:14">
      <c r="B4331" s="33"/>
      <c r="C4331" s="60"/>
      <c r="D4331" s="60"/>
      <c r="E4331" s="60"/>
      <c r="F4331" s="60"/>
      <c r="G4331" s="60"/>
      <c r="H4331" s="60"/>
      <c r="I4331" s="60"/>
      <c r="J4331" s="60"/>
      <c r="K4331" s="60"/>
      <c r="L4331" s="60"/>
      <c r="M4331" s="64"/>
      <c r="N4331" s="33"/>
    </row>
    <row r="4332" ht="24" customHeight="1" spans="2:14">
      <c r="B4332" s="33"/>
      <c r="C4332" s="60"/>
      <c r="D4332" s="60"/>
      <c r="E4332" s="60"/>
      <c r="F4332" s="60"/>
      <c r="G4332" s="60"/>
      <c r="H4332" s="60"/>
      <c r="I4332" s="60"/>
      <c r="J4332" s="60"/>
      <c r="K4332" s="60"/>
      <c r="L4332" s="60"/>
      <c r="M4332" s="64"/>
      <c r="N4332" s="33"/>
    </row>
    <row r="4333" ht="24" customHeight="1" spans="2:14">
      <c r="B4333" s="33"/>
      <c r="C4333" s="60"/>
      <c r="D4333" s="60"/>
      <c r="E4333" s="60"/>
      <c r="F4333" s="60"/>
      <c r="G4333" s="60"/>
      <c r="H4333" s="60"/>
      <c r="I4333" s="60"/>
      <c r="J4333" s="60"/>
      <c r="K4333" s="60"/>
      <c r="L4333" s="60"/>
      <c r="M4333" s="64"/>
      <c r="N4333" s="33"/>
    </row>
    <row r="4334" ht="24" customHeight="1" spans="2:14">
      <c r="B4334" s="33"/>
      <c r="C4334" s="60"/>
      <c r="D4334" s="60"/>
      <c r="E4334" s="60"/>
      <c r="F4334" s="60"/>
      <c r="G4334" s="60"/>
      <c r="H4334" s="60"/>
      <c r="I4334" s="60"/>
      <c r="J4334" s="60"/>
      <c r="K4334" s="60"/>
      <c r="L4334" s="60"/>
      <c r="M4334" s="64"/>
      <c r="N4334" s="33"/>
    </row>
    <row r="4335" ht="24" customHeight="1" spans="2:14">
      <c r="B4335" s="33"/>
      <c r="C4335" s="60"/>
      <c r="D4335" s="60"/>
      <c r="E4335" s="60"/>
      <c r="F4335" s="60"/>
      <c r="G4335" s="60"/>
      <c r="H4335" s="60"/>
      <c r="I4335" s="60"/>
      <c r="J4335" s="60"/>
      <c r="K4335" s="60"/>
      <c r="L4335" s="60"/>
      <c r="M4335" s="64"/>
      <c r="N4335" s="33"/>
    </row>
    <row r="4336" ht="24" customHeight="1" spans="2:14">
      <c r="B4336" s="33"/>
      <c r="C4336" s="60"/>
      <c r="D4336" s="60"/>
      <c r="E4336" s="60"/>
      <c r="F4336" s="60"/>
      <c r="G4336" s="60"/>
      <c r="H4336" s="60"/>
      <c r="I4336" s="60"/>
      <c r="J4336" s="60"/>
      <c r="K4336" s="60"/>
      <c r="L4336" s="60"/>
      <c r="M4336" s="64"/>
      <c r="N4336" s="33"/>
    </row>
    <row r="4337" ht="24" customHeight="1" spans="2:14">
      <c r="B4337" s="33"/>
      <c r="C4337" s="60"/>
      <c r="D4337" s="60"/>
      <c r="E4337" s="60"/>
      <c r="F4337" s="60"/>
      <c r="G4337" s="60"/>
      <c r="H4337" s="60"/>
      <c r="I4337" s="60"/>
      <c r="J4337" s="60"/>
      <c r="K4337" s="60"/>
      <c r="L4337" s="60"/>
      <c r="M4337" s="64"/>
      <c r="N4337" s="33"/>
    </row>
    <row r="4338" ht="24" customHeight="1" spans="2:14">
      <c r="B4338" s="33"/>
      <c r="C4338" s="60"/>
      <c r="D4338" s="60"/>
      <c r="E4338" s="60"/>
      <c r="F4338" s="60"/>
      <c r="G4338" s="60"/>
      <c r="H4338" s="60"/>
      <c r="I4338" s="60"/>
      <c r="J4338" s="60"/>
      <c r="K4338" s="60"/>
      <c r="L4338" s="60"/>
      <c r="M4338" s="64"/>
      <c r="N4338" s="33"/>
    </row>
    <row r="4339" ht="24" customHeight="1" spans="2:14">
      <c r="B4339" s="33"/>
      <c r="C4339" s="60"/>
      <c r="D4339" s="60"/>
      <c r="E4339" s="60"/>
      <c r="F4339" s="60"/>
      <c r="G4339" s="60"/>
      <c r="H4339" s="60"/>
      <c r="I4339" s="60"/>
      <c r="J4339" s="60"/>
      <c r="K4339" s="60"/>
      <c r="L4339" s="60"/>
      <c r="M4339" s="64"/>
      <c r="N4339" s="33"/>
    </row>
    <row r="4340" ht="24" customHeight="1" spans="2:14">
      <c r="B4340" s="33"/>
      <c r="C4340" s="60"/>
      <c r="D4340" s="60"/>
      <c r="E4340" s="60"/>
      <c r="F4340" s="60"/>
      <c r="G4340" s="60"/>
      <c r="H4340" s="60"/>
      <c r="I4340" s="60"/>
      <c r="J4340" s="60"/>
      <c r="K4340" s="60"/>
      <c r="L4340" s="60"/>
      <c r="M4340" s="64"/>
      <c r="N4340" s="33"/>
    </row>
    <row r="4341" ht="24" customHeight="1" spans="2:14">
      <c r="B4341" s="33"/>
      <c r="C4341" s="60"/>
      <c r="D4341" s="60"/>
      <c r="E4341" s="60"/>
      <c r="F4341" s="60"/>
      <c r="G4341" s="60"/>
      <c r="H4341" s="60"/>
      <c r="I4341" s="60"/>
      <c r="J4341" s="60"/>
      <c r="K4341" s="60"/>
      <c r="L4341" s="60"/>
      <c r="M4341" s="64"/>
      <c r="N4341" s="33"/>
    </row>
    <row r="4342" ht="24" customHeight="1" spans="2:14">
      <c r="B4342" s="33"/>
      <c r="C4342" s="60"/>
      <c r="D4342" s="60"/>
      <c r="E4342" s="60"/>
      <c r="F4342" s="60"/>
      <c r="G4342" s="60"/>
      <c r="H4342" s="60"/>
      <c r="I4342" s="60"/>
      <c r="J4342" s="60"/>
      <c r="K4342" s="60"/>
      <c r="L4342" s="60"/>
      <c r="M4342" s="64"/>
      <c r="N4342" s="33"/>
    </row>
    <row r="4343" ht="24" customHeight="1" spans="2:14">
      <c r="B4343" s="33"/>
      <c r="C4343" s="60"/>
      <c r="D4343" s="60"/>
      <c r="E4343" s="60"/>
      <c r="F4343" s="60"/>
      <c r="G4343" s="60"/>
      <c r="H4343" s="60"/>
      <c r="I4343" s="60"/>
      <c r="J4343" s="60"/>
      <c r="K4343" s="60"/>
      <c r="L4343" s="60"/>
      <c r="M4343" s="64"/>
      <c r="N4343" s="33"/>
    </row>
    <row r="4344" ht="24" customHeight="1" spans="2:14">
      <c r="B4344" s="33"/>
      <c r="C4344" s="60"/>
      <c r="D4344" s="60"/>
      <c r="E4344" s="60"/>
      <c r="F4344" s="60"/>
      <c r="G4344" s="60"/>
      <c r="H4344" s="60"/>
      <c r="I4344" s="60"/>
      <c r="J4344" s="60"/>
      <c r="K4344" s="60"/>
      <c r="L4344" s="60"/>
      <c r="M4344" s="64"/>
      <c r="N4344" s="33"/>
    </row>
    <row r="4345" ht="24" customHeight="1" spans="2:14">
      <c r="B4345" s="33"/>
      <c r="C4345" s="60"/>
      <c r="D4345" s="60"/>
      <c r="E4345" s="60"/>
      <c r="F4345" s="60"/>
      <c r="G4345" s="60"/>
      <c r="H4345" s="60"/>
      <c r="I4345" s="60"/>
      <c r="J4345" s="60"/>
      <c r="K4345" s="60"/>
      <c r="L4345" s="60"/>
      <c r="M4345" s="64"/>
      <c r="N4345" s="33"/>
    </row>
    <row r="4346" ht="24" customHeight="1" spans="2:14">
      <c r="B4346" s="33"/>
      <c r="C4346" s="60"/>
      <c r="D4346" s="60"/>
      <c r="E4346" s="60"/>
      <c r="F4346" s="60"/>
      <c r="G4346" s="60"/>
      <c r="H4346" s="60"/>
      <c r="I4346" s="60"/>
      <c r="J4346" s="60"/>
      <c r="K4346" s="60"/>
      <c r="L4346" s="60"/>
      <c r="M4346" s="64"/>
      <c r="N4346" s="33"/>
    </row>
    <row r="4347" ht="24" customHeight="1" spans="2:14">
      <c r="B4347" s="33"/>
      <c r="C4347" s="60"/>
      <c r="D4347" s="60"/>
      <c r="E4347" s="60"/>
      <c r="F4347" s="60"/>
      <c r="G4347" s="60"/>
      <c r="H4347" s="60"/>
      <c r="I4347" s="60"/>
      <c r="J4347" s="60"/>
      <c r="K4347" s="60"/>
      <c r="L4347" s="60"/>
      <c r="M4347" s="64"/>
      <c r="N4347" s="33"/>
    </row>
    <row r="4348" ht="24" customHeight="1" spans="2:14">
      <c r="B4348" s="33"/>
      <c r="C4348" s="60"/>
      <c r="D4348" s="60"/>
      <c r="E4348" s="60"/>
      <c r="F4348" s="60"/>
      <c r="G4348" s="60"/>
      <c r="H4348" s="60"/>
      <c r="I4348" s="60"/>
      <c r="J4348" s="60"/>
      <c r="K4348" s="60"/>
      <c r="L4348" s="60"/>
      <c r="M4348" s="64"/>
      <c r="N4348" s="33"/>
    </row>
    <row r="4349" ht="24" customHeight="1" spans="2:14">
      <c r="B4349" s="33"/>
      <c r="C4349" s="60"/>
      <c r="D4349" s="60"/>
      <c r="E4349" s="60"/>
      <c r="F4349" s="60"/>
      <c r="G4349" s="60"/>
      <c r="H4349" s="60"/>
      <c r="I4349" s="60"/>
      <c r="J4349" s="60"/>
      <c r="K4349" s="60"/>
      <c r="L4349" s="60"/>
      <c r="M4349" s="64"/>
      <c r="N4349" s="33"/>
    </row>
    <row r="4350" ht="24" customHeight="1" spans="2:14">
      <c r="B4350" s="33"/>
      <c r="C4350" s="60"/>
      <c r="D4350" s="60"/>
      <c r="E4350" s="60"/>
      <c r="F4350" s="60"/>
      <c r="G4350" s="60"/>
      <c r="H4350" s="60"/>
      <c r="I4350" s="60"/>
      <c r="J4350" s="60"/>
      <c r="K4350" s="60"/>
      <c r="L4350" s="60"/>
      <c r="M4350" s="64"/>
      <c r="N4350" s="33"/>
    </row>
    <row r="4351" ht="24" customHeight="1" spans="2:14">
      <c r="B4351" s="33"/>
      <c r="C4351" s="60"/>
      <c r="D4351" s="60"/>
      <c r="E4351" s="60"/>
      <c r="F4351" s="60"/>
      <c r="G4351" s="60"/>
      <c r="H4351" s="60"/>
      <c r="I4351" s="60"/>
      <c r="J4351" s="60"/>
      <c r="K4351" s="60"/>
      <c r="L4351" s="60"/>
      <c r="M4351" s="64"/>
      <c r="N4351" s="33"/>
    </row>
    <row r="4352" ht="24" customHeight="1" spans="2:14">
      <c r="B4352" s="33"/>
      <c r="C4352" s="60"/>
      <c r="D4352" s="60"/>
      <c r="E4352" s="60"/>
      <c r="F4352" s="60"/>
      <c r="G4352" s="60"/>
      <c r="H4352" s="60"/>
      <c r="I4352" s="60"/>
      <c r="J4352" s="60"/>
      <c r="K4352" s="60"/>
      <c r="L4352" s="60"/>
      <c r="M4352" s="64"/>
      <c r="N4352" s="33"/>
    </row>
    <row r="4353" ht="24" customHeight="1" spans="2:14">
      <c r="B4353" s="33"/>
      <c r="C4353" s="60"/>
      <c r="D4353" s="60"/>
      <c r="E4353" s="60"/>
      <c r="F4353" s="60"/>
      <c r="G4353" s="60"/>
      <c r="H4353" s="60"/>
      <c r="I4353" s="60"/>
      <c r="J4353" s="60"/>
      <c r="K4353" s="60"/>
      <c r="L4353" s="60"/>
      <c r="M4353" s="64"/>
      <c r="N4353" s="33"/>
    </row>
    <row r="4354" ht="24" customHeight="1" spans="2:14">
      <c r="B4354" s="33"/>
      <c r="C4354" s="60"/>
      <c r="D4354" s="60"/>
      <c r="E4354" s="60"/>
      <c r="F4354" s="60"/>
      <c r="G4354" s="60"/>
      <c r="H4354" s="60"/>
      <c r="I4354" s="60"/>
      <c r="J4354" s="60"/>
      <c r="K4354" s="60"/>
      <c r="L4354" s="60"/>
      <c r="M4354" s="64"/>
      <c r="N4354" s="33"/>
    </row>
    <row r="4355" ht="24" customHeight="1" spans="2:14">
      <c r="B4355" s="33"/>
      <c r="C4355" s="60"/>
      <c r="D4355" s="60"/>
      <c r="E4355" s="60"/>
      <c r="F4355" s="60"/>
      <c r="G4355" s="60"/>
      <c r="H4355" s="60"/>
      <c r="I4355" s="60"/>
      <c r="J4355" s="60"/>
      <c r="K4355" s="60"/>
      <c r="L4355" s="60"/>
      <c r="M4355" s="64"/>
      <c r="N4355" s="33"/>
    </row>
    <row r="4356" ht="24" customHeight="1" spans="2:14">
      <c r="B4356" s="33"/>
      <c r="C4356" s="60"/>
      <c r="D4356" s="60"/>
      <c r="E4356" s="60"/>
      <c r="F4356" s="60"/>
      <c r="G4356" s="60"/>
      <c r="H4356" s="60"/>
      <c r="I4356" s="60"/>
      <c r="J4356" s="60"/>
      <c r="K4356" s="60"/>
      <c r="L4356" s="60"/>
      <c r="M4356" s="64"/>
      <c r="N4356" s="33"/>
    </row>
    <row r="4357" ht="24" customHeight="1" spans="2:14">
      <c r="B4357" s="33"/>
      <c r="C4357" s="60"/>
      <c r="D4357" s="60"/>
      <c r="E4357" s="60"/>
      <c r="F4357" s="60"/>
      <c r="G4357" s="60"/>
      <c r="H4357" s="60"/>
      <c r="I4357" s="60"/>
      <c r="J4357" s="60"/>
      <c r="K4357" s="60"/>
      <c r="L4357" s="60"/>
      <c r="M4357" s="64"/>
      <c r="N4357" s="33"/>
    </row>
    <row r="4358" ht="24" customHeight="1" spans="2:14">
      <c r="B4358" s="33"/>
      <c r="C4358" s="60"/>
      <c r="D4358" s="60"/>
      <c r="E4358" s="60"/>
      <c r="F4358" s="60"/>
      <c r="G4358" s="60"/>
      <c r="H4358" s="60"/>
      <c r="I4358" s="60"/>
      <c r="J4358" s="60"/>
      <c r="K4358" s="60"/>
      <c r="L4358" s="60"/>
      <c r="M4358" s="64"/>
      <c r="N4358" s="33"/>
    </row>
    <row r="4359" ht="24" customHeight="1" spans="2:14">
      <c r="B4359" s="33"/>
      <c r="C4359" s="60"/>
      <c r="D4359" s="60"/>
      <c r="E4359" s="60"/>
      <c r="F4359" s="60"/>
      <c r="G4359" s="60"/>
      <c r="H4359" s="60"/>
      <c r="I4359" s="60"/>
      <c r="J4359" s="60"/>
      <c r="K4359" s="60"/>
      <c r="L4359" s="60"/>
      <c r="M4359" s="64"/>
      <c r="N4359" s="33"/>
    </row>
    <row r="4360" ht="24" customHeight="1" spans="2:14">
      <c r="B4360" s="33"/>
      <c r="C4360" s="60"/>
      <c r="D4360" s="60"/>
      <c r="E4360" s="60"/>
      <c r="F4360" s="60"/>
      <c r="G4360" s="60"/>
      <c r="H4360" s="60"/>
      <c r="I4360" s="60"/>
      <c r="J4360" s="60"/>
      <c r="K4360" s="60"/>
      <c r="L4360" s="60"/>
      <c r="M4360" s="64"/>
      <c r="N4360" s="33"/>
    </row>
    <row r="4361" ht="24" customHeight="1" spans="2:14">
      <c r="B4361" s="33"/>
      <c r="C4361" s="60"/>
      <c r="D4361" s="60"/>
      <c r="E4361" s="60"/>
      <c r="F4361" s="60"/>
      <c r="G4361" s="60"/>
      <c r="H4361" s="60"/>
      <c r="I4361" s="60"/>
      <c r="J4361" s="60"/>
      <c r="K4361" s="60"/>
      <c r="L4361" s="60"/>
      <c r="M4361" s="64"/>
      <c r="N4361" s="33"/>
    </row>
    <row r="4362" ht="24" customHeight="1" spans="2:14">
      <c r="B4362" s="33"/>
      <c r="C4362" s="60"/>
      <c r="D4362" s="60"/>
      <c r="E4362" s="60"/>
      <c r="F4362" s="60"/>
      <c r="G4362" s="60"/>
      <c r="H4362" s="60"/>
      <c r="I4362" s="60"/>
      <c r="J4362" s="60"/>
      <c r="K4362" s="60"/>
      <c r="L4362" s="60"/>
      <c r="M4362" s="64"/>
      <c r="N4362" s="33"/>
    </row>
    <row r="4363" ht="24" customHeight="1" spans="2:14">
      <c r="B4363" s="33"/>
      <c r="C4363" s="60"/>
      <c r="D4363" s="60"/>
      <c r="E4363" s="60"/>
      <c r="F4363" s="60"/>
      <c r="G4363" s="60"/>
      <c r="H4363" s="60"/>
      <c r="I4363" s="60"/>
      <c r="J4363" s="60"/>
      <c r="K4363" s="60"/>
      <c r="L4363" s="60"/>
      <c r="M4363" s="64"/>
      <c r="N4363" s="33"/>
    </row>
    <row r="4364" ht="24" customHeight="1" spans="2:14">
      <c r="B4364" s="33"/>
      <c r="C4364" s="60"/>
      <c r="D4364" s="60"/>
      <c r="E4364" s="60"/>
      <c r="F4364" s="60"/>
      <c r="G4364" s="60"/>
      <c r="H4364" s="60"/>
      <c r="I4364" s="60"/>
      <c r="J4364" s="60"/>
      <c r="K4364" s="60"/>
      <c r="L4364" s="60"/>
      <c r="M4364" s="64"/>
      <c r="N4364" s="33"/>
    </row>
    <row r="4365" ht="24" customHeight="1" spans="2:14">
      <c r="B4365" s="33"/>
      <c r="C4365" s="60"/>
      <c r="D4365" s="60"/>
      <c r="E4365" s="60"/>
      <c r="F4365" s="60"/>
      <c r="G4365" s="60"/>
      <c r="H4365" s="60"/>
      <c r="I4365" s="60"/>
      <c r="J4365" s="60"/>
      <c r="K4365" s="60"/>
      <c r="L4365" s="60"/>
      <c r="M4365" s="64"/>
      <c r="N4365" s="33"/>
    </row>
    <row r="4366" ht="24" customHeight="1" spans="2:14">
      <c r="B4366" s="33"/>
      <c r="C4366" s="60"/>
      <c r="D4366" s="60"/>
      <c r="E4366" s="60"/>
      <c r="F4366" s="60"/>
      <c r="G4366" s="60"/>
      <c r="H4366" s="60"/>
      <c r="I4366" s="60"/>
      <c r="J4366" s="60"/>
      <c r="K4366" s="60"/>
      <c r="L4366" s="60"/>
      <c r="M4366" s="64"/>
      <c r="N4366" s="33"/>
    </row>
    <row r="4367" ht="24" customHeight="1" spans="2:14">
      <c r="B4367" s="33"/>
      <c r="C4367" s="60"/>
      <c r="D4367" s="60"/>
      <c r="E4367" s="60"/>
      <c r="F4367" s="60"/>
      <c r="G4367" s="60"/>
      <c r="H4367" s="60"/>
      <c r="I4367" s="60"/>
      <c r="J4367" s="60"/>
      <c r="K4367" s="60"/>
      <c r="L4367" s="60"/>
      <c r="M4367" s="64"/>
      <c r="N4367" s="33"/>
    </row>
    <row r="4368" ht="24" customHeight="1" spans="2:14">
      <c r="B4368" s="33"/>
      <c r="C4368" s="60"/>
      <c r="D4368" s="60"/>
      <c r="E4368" s="60"/>
      <c r="F4368" s="60"/>
      <c r="G4368" s="60"/>
      <c r="H4368" s="60"/>
      <c r="I4368" s="60"/>
      <c r="J4368" s="60"/>
      <c r="K4368" s="60"/>
      <c r="L4368" s="60"/>
      <c r="M4368" s="64"/>
      <c r="N4368" s="33"/>
    </row>
    <row r="4369" ht="24" customHeight="1" spans="2:14">
      <c r="B4369" s="33"/>
      <c r="C4369" s="60"/>
      <c r="D4369" s="60"/>
      <c r="E4369" s="60"/>
      <c r="F4369" s="60"/>
      <c r="G4369" s="60"/>
      <c r="H4369" s="60"/>
      <c r="I4369" s="60"/>
      <c r="J4369" s="60"/>
      <c r="K4369" s="60"/>
      <c r="L4369" s="60"/>
      <c r="M4369" s="64"/>
      <c r="N4369" s="33"/>
    </row>
    <row r="4370" ht="24" customHeight="1" spans="2:14">
      <c r="B4370" s="33"/>
      <c r="C4370" s="60"/>
      <c r="D4370" s="60"/>
      <c r="E4370" s="60"/>
      <c r="F4370" s="60"/>
      <c r="G4370" s="60"/>
      <c r="H4370" s="60"/>
      <c r="I4370" s="60"/>
      <c r="J4370" s="60"/>
      <c r="K4370" s="60"/>
      <c r="L4370" s="60"/>
      <c r="M4370" s="64"/>
      <c r="N4370" s="33"/>
    </row>
    <row r="4371" ht="24" customHeight="1" spans="2:14">
      <c r="B4371" s="33"/>
      <c r="C4371" s="60"/>
      <c r="D4371" s="60"/>
      <c r="E4371" s="60"/>
      <c r="F4371" s="60"/>
      <c r="G4371" s="60"/>
      <c r="H4371" s="60"/>
      <c r="I4371" s="60"/>
      <c r="J4371" s="60"/>
      <c r="K4371" s="60"/>
      <c r="L4371" s="60"/>
      <c r="M4371" s="64"/>
      <c r="N4371" s="33"/>
    </row>
    <row r="4372" ht="24" customHeight="1" spans="2:14">
      <c r="B4372" s="33"/>
      <c r="C4372" s="60"/>
      <c r="D4372" s="60"/>
      <c r="E4372" s="60"/>
      <c r="F4372" s="60"/>
      <c r="G4372" s="60"/>
      <c r="H4372" s="60"/>
      <c r="I4372" s="60"/>
      <c r="J4372" s="60"/>
      <c r="K4372" s="60"/>
      <c r="L4372" s="60"/>
      <c r="M4372" s="64"/>
      <c r="N4372" s="33"/>
    </row>
    <row r="4373" ht="24" customHeight="1" spans="2:14">
      <c r="B4373" s="33"/>
      <c r="C4373" s="60"/>
      <c r="D4373" s="60"/>
      <c r="E4373" s="60"/>
      <c r="F4373" s="60"/>
      <c r="G4373" s="60"/>
      <c r="H4373" s="60"/>
      <c r="I4373" s="60"/>
      <c r="J4373" s="60"/>
      <c r="K4373" s="60"/>
      <c r="L4373" s="60"/>
      <c r="M4373" s="64"/>
      <c r="N4373" s="33"/>
    </row>
    <row r="4374" ht="24" customHeight="1" spans="2:14">
      <c r="B4374" s="33"/>
      <c r="C4374" s="60"/>
      <c r="D4374" s="60"/>
      <c r="E4374" s="60"/>
      <c r="F4374" s="60"/>
      <c r="G4374" s="60"/>
      <c r="H4374" s="60"/>
      <c r="I4374" s="60"/>
      <c r="J4374" s="60"/>
      <c r="K4374" s="60"/>
      <c r="L4374" s="60"/>
      <c r="M4374" s="64"/>
      <c r="N4374" s="33"/>
    </row>
    <row r="4375" ht="24" customHeight="1" spans="2:14">
      <c r="B4375" s="33"/>
      <c r="C4375" s="60"/>
      <c r="D4375" s="60"/>
      <c r="E4375" s="60"/>
      <c r="F4375" s="60"/>
      <c r="G4375" s="60"/>
      <c r="H4375" s="60"/>
      <c r="I4375" s="60"/>
      <c r="J4375" s="60"/>
      <c r="K4375" s="60"/>
      <c r="L4375" s="60"/>
      <c r="M4375" s="64"/>
      <c r="N4375" s="33"/>
    </row>
    <row r="4376" ht="24" customHeight="1" spans="2:14">
      <c r="B4376" s="33"/>
      <c r="C4376" s="60"/>
      <c r="D4376" s="60"/>
      <c r="E4376" s="60"/>
      <c r="F4376" s="60"/>
      <c r="G4376" s="60"/>
      <c r="H4376" s="60"/>
      <c r="I4376" s="60"/>
      <c r="J4376" s="60"/>
      <c r="K4376" s="60"/>
      <c r="L4376" s="60"/>
      <c r="M4376" s="64"/>
      <c r="N4376" s="33"/>
    </row>
    <row r="4377" ht="24" customHeight="1" spans="2:14">
      <c r="B4377" s="33"/>
      <c r="C4377" s="60"/>
      <c r="D4377" s="60"/>
      <c r="E4377" s="60"/>
      <c r="F4377" s="60"/>
      <c r="G4377" s="60"/>
      <c r="H4377" s="60"/>
      <c r="I4377" s="60"/>
      <c r="J4377" s="60"/>
      <c r="K4377" s="60"/>
      <c r="L4377" s="60"/>
      <c r="M4377" s="64"/>
      <c r="N4377" s="33"/>
    </row>
    <row r="4378" ht="24" customHeight="1" spans="2:14">
      <c r="B4378" s="33"/>
      <c r="C4378" s="60"/>
      <c r="D4378" s="60"/>
      <c r="E4378" s="60"/>
      <c r="F4378" s="60"/>
      <c r="G4378" s="60"/>
      <c r="H4378" s="60"/>
      <c r="I4378" s="60"/>
      <c r="J4378" s="60"/>
      <c r="K4378" s="60"/>
      <c r="L4378" s="60"/>
      <c r="M4378" s="64"/>
      <c r="N4378" s="33"/>
    </row>
    <row r="4379" ht="24" customHeight="1" spans="2:14">
      <c r="B4379" s="33"/>
      <c r="C4379" s="60"/>
      <c r="D4379" s="60"/>
      <c r="E4379" s="60"/>
      <c r="F4379" s="60"/>
      <c r="G4379" s="60"/>
      <c r="H4379" s="60"/>
      <c r="I4379" s="60"/>
      <c r="J4379" s="60"/>
      <c r="K4379" s="60"/>
      <c r="L4379" s="60"/>
      <c r="M4379" s="64"/>
      <c r="N4379" s="33"/>
    </row>
    <row r="4380" ht="24" customHeight="1" spans="2:14">
      <c r="B4380" s="33"/>
      <c r="C4380" s="60"/>
      <c r="D4380" s="60"/>
      <c r="E4380" s="60"/>
      <c r="F4380" s="60"/>
      <c r="G4380" s="60"/>
      <c r="H4380" s="60"/>
      <c r="I4380" s="60"/>
      <c r="J4380" s="60"/>
      <c r="K4380" s="60"/>
      <c r="L4380" s="60"/>
      <c r="M4380" s="64"/>
      <c r="N4380" s="33"/>
    </row>
    <row r="4381" ht="24" customHeight="1" spans="2:14">
      <c r="B4381" s="33"/>
      <c r="C4381" s="60"/>
      <c r="D4381" s="60"/>
      <c r="E4381" s="60"/>
      <c r="F4381" s="60"/>
      <c r="G4381" s="60"/>
      <c r="H4381" s="60"/>
      <c r="I4381" s="60"/>
      <c r="J4381" s="60"/>
      <c r="K4381" s="60"/>
      <c r="L4381" s="60"/>
      <c r="M4381" s="64"/>
      <c r="N4381" s="33"/>
    </row>
    <row r="4382" ht="24" customHeight="1" spans="2:14">
      <c r="B4382" s="33"/>
      <c r="C4382" s="60"/>
      <c r="D4382" s="60"/>
      <c r="E4382" s="60"/>
      <c r="F4382" s="60"/>
      <c r="G4382" s="60"/>
      <c r="H4382" s="60"/>
      <c r="I4382" s="60"/>
      <c r="J4382" s="60"/>
      <c r="K4382" s="60"/>
      <c r="L4382" s="60"/>
      <c r="M4382" s="64"/>
      <c r="N4382" s="33"/>
    </row>
    <row r="4383" ht="24" customHeight="1" spans="2:14">
      <c r="B4383" s="33"/>
      <c r="C4383" s="60"/>
      <c r="D4383" s="60"/>
      <c r="E4383" s="60"/>
      <c r="F4383" s="60"/>
      <c r="G4383" s="60"/>
      <c r="H4383" s="60"/>
      <c r="I4383" s="60"/>
      <c r="J4383" s="60"/>
      <c r="K4383" s="60"/>
      <c r="L4383" s="60"/>
      <c r="M4383" s="64"/>
      <c r="N4383" s="33"/>
    </row>
    <row r="4384" ht="24" customHeight="1" spans="2:14">
      <c r="B4384" s="33"/>
      <c r="C4384" s="60"/>
      <c r="D4384" s="60"/>
      <c r="E4384" s="60"/>
      <c r="F4384" s="60"/>
      <c r="G4384" s="60"/>
      <c r="H4384" s="60"/>
      <c r="I4384" s="60"/>
      <c r="J4384" s="60"/>
      <c r="K4384" s="60"/>
      <c r="L4384" s="60"/>
      <c r="M4384" s="64"/>
      <c r="N4384" s="33"/>
    </row>
    <row r="4385" ht="24" customHeight="1" spans="2:14">
      <c r="B4385" s="33"/>
      <c r="C4385" s="60"/>
      <c r="D4385" s="60"/>
      <c r="E4385" s="60"/>
      <c r="F4385" s="60"/>
      <c r="G4385" s="60"/>
      <c r="H4385" s="60"/>
      <c r="I4385" s="60"/>
      <c r="J4385" s="60"/>
      <c r="K4385" s="60"/>
      <c r="L4385" s="60"/>
      <c r="M4385" s="64"/>
      <c r="N4385" s="33"/>
    </row>
    <row r="4386" ht="24" customHeight="1" spans="2:14">
      <c r="B4386" s="33"/>
      <c r="C4386" s="60"/>
      <c r="D4386" s="60"/>
      <c r="E4386" s="60"/>
      <c r="F4386" s="60"/>
      <c r="G4386" s="60"/>
      <c r="H4386" s="60"/>
      <c r="I4386" s="60"/>
      <c r="J4386" s="60"/>
      <c r="K4386" s="60"/>
      <c r="L4386" s="60"/>
      <c r="M4386" s="64"/>
      <c r="N4386" s="33"/>
    </row>
    <row r="4387" ht="24" customHeight="1" spans="2:14">
      <c r="B4387" s="33"/>
      <c r="C4387" s="60"/>
      <c r="D4387" s="60"/>
      <c r="E4387" s="60"/>
      <c r="F4387" s="60"/>
      <c r="G4387" s="60"/>
      <c r="H4387" s="60"/>
      <c r="I4387" s="60"/>
      <c r="J4387" s="60"/>
      <c r="K4387" s="60"/>
      <c r="L4387" s="60"/>
      <c r="M4387" s="64"/>
      <c r="N4387" s="33"/>
    </row>
    <row r="4388" ht="24" customHeight="1" spans="2:14">
      <c r="B4388" s="33"/>
      <c r="C4388" s="60"/>
      <c r="D4388" s="60"/>
      <c r="E4388" s="60"/>
      <c r="F4388" s="60"/>
      <c r="G4388" s="60"/>
      <c r="H4388" s="60"/>
      <c r="I4388" s="60"/>
      <c r="J4388" s="60"/>
      <c r="K4388" s="60"/>
      <c r="L4388" s="60"/>
      <c r="M4388" s="64"/>
      <c r="N4388" s="33"/>
    </row>
    <row r="4389" ht="24" customHeight="1" spans="2:14">
      <c r="B4389" s="33"/>
      <c r="C4389" s="60"/>
      <c r="D4389" s="60"/>
      <c r="E4389" s="60"/>
      <c r="F4389" s="60"/>
      <c r="G4389" s="60"/>
      <c r="H4389" s="60"/>
      <c r="I4389" s="60"/>
      <c r="J4389" s="60"/>
      <c r="K4389" s="60"/>
      <c r="L4389" s="60"/>
      <c r="M4389" s="64"/>
      <c r="N4389" s="33"/>
    </row>
    <row r="4390" ht="24" customHeight="1" spans="2:14">
      <c r="B4390" s="33"/>
      <c r="C4390" s="60"/>
      <c r="D4390" s="60"/>
      <c r="E4390" s="60"/>
      <c r="F4390" s="60"/>
      <c r="G4390" s="60"/>
      <c r="H4390" s="60"/>
      <c r="I4390" s="60"/>
      <c r="J4390" s="60"/>
      <c r="K4390" s="60"/>
      <c r="L4390" s="60"/>
      <c r="M4390" s="64"/>
      <c r="N4390" s="33"/>
    </row>
    <row r="4391" ht="24" customHeight="1" spans="2:14">
      <c r="B4391" s="33"/>
      <c r="C4391" s="60"/>
      <c r="D4391" s="60"/>
      <c r="E4391" s="60"/>
      <c r="F4391" s="60"/>
      <c r="G4391" s="60"/>
      <c r="H4391" s="60"/>
      <c r="I4391" s="60"/>
      <c r="J4391" s="60"/>
      <c r="K4391" s="60"/>
      <c r="L4391" s="60"/>
      <c r="M4391" s="64"/>
      <c r="N4391" s="33"/>
    </row>
    <row r="4392" ht="24" customHeight="1" spans="2:14">
      <c r="B4392" s="33"/>
      <c r="C4392" s="60"/>
      <c r="D4392" s="60"/>
      <c r="E4392" s="60"/>
      <c r="F4392" s="60"/>
      <c r="G4392" s="60"/>
      <c r="H4392" s="60"/>
      <c r="I4392" s="60"/>
      <c r="J4392" s="60"/>
      <c r="K4392" s="60"/>
      <c r="L4392" s="60"/>
      <c r="M4392" s="64"/>
      <c r="N4392" s="33"/>
    </row>
    <row r="4393" ht="24" customHeight="1" spans="2:14">
      <c r="B4393" s="33"/>
      <c r="C4393" s="60"/>
      <c r="D4393" s="60"/>
      <c r="E4393" s="60"/>
      <c r="F4393" s="60"/>
      <c r="G4393" s="60"/>
      <c r="H4393" s="60"/>
      <c r="I4393" s="60"/>
      <c r="J4393" s="60"/>
      <c r="K4393" s="60"/>
      <c r="L4393" s="60"/>
      <c r="M4393" s="64"/>
      <c r="N4393" s="33"/>
    </row>
    <row r="4394" ht="24" customHeight="1" spans="2:14">
      <c r="B4394" s="33"/>
      <c r="C4394" s="60"/>
      <c r="D4394" s="60"/>
      <c r="E4394" s="60"/>
      <c r="F4394" s="60"/>
      <c r="G4394" s="60"/>
      <c r="H4394" s="60"/>
      <c r="I4394" s="60"/>
      <c r="J4394" s="60"/>
      <c r="K4394" s="60"/>
      <c r="L4394" s="60"/>
      <c r="M4394" s="64"/>
      <c r="N4394" s="33"/>
    </row>
    <row r="4395" ht="24" customHeight="1" spans="2:14">
      <c r="B4395" s="33"/>
      <c r="C4395" s="60"/>
      <c r="D4395" s="60"/>
      <c r="E4395" s="60"/>
      <c r="F4395" s="60"/>
      <c r="G4395" s="60"/>
      <c r="H4395" s="60"/>
      <c r="I4395" s="60"/>
      <c r="J4395" s="60"/>
      <c r="K4395" s="60"/>
      <c r="L4395" s="60"/>
      <c r="M4395" s="64"/>
      <c r="N4395" s="33"/>
    </row>
    <row r="4396" ht="24" customHeight="1" spans="2:14">
      <c r="B4396" s="33"/>
      <c r="C4396" s="60"/>
      <c r="D4396" s="60"/>
      <c r="E4396" s="60"/>
      <c r="F4396" s="60"/>
      <c r="G4396" s="60"/>
      <c r="H4396" s="60"/>
      <c r="I4396" s="60"/>
      <c r="J4396" s="60"/>
      <c r="K4396" s="60"/>
      <c r="L4396" s="60"/>
      <c r="M4396" s="64"/>
      <c r="N4396" s="33"/>
    </row>
    <row r="4397" ht="24" customHeight="1" spans="2:14">
      <c r="B4397" s="33"/>
      <c r="C4397" s="60"/>
      <c r="D4397" s="60"/>
      <c r="E4397" s="60"/>
      <c r="F4397" s="60"/>
      <c r="G4397" s="60"/>
      <c r="H4397" s="60"/>
      <c r="I4397" s="60"/>
      <c r="J4397" s="60"/>
      <c r="K4397" s="60"/>
      <c r="L4397" s="60"/>
      <c r="M4397" s="64"/>
      <c r="N4397" s="33"/>
    </row>
    <row r="4398" ht="24" customHeight="1" spans="2:14">
      <c r="B4398" s="33"/>
      <c r="C4398" s="60"/>
      <c r="D4398" s="60"/>
      <c r="E4398" s="60"/>
      <c r="F4398" s="60"/>
      <c r="G4398" s="60"/>
      <c r="H4398" s="60"/>
      <c r="I4398" s="60"/>
      <c r="J4398" s="60"/>
      <c r="K4398" s="60"/>
      <c r="L4398" s="60"/>
      <c r="M4398" s="64"/>
      <c r="N4398" s="33"/>
    </row>
    <row r="4399" ht="24" customHeight="1" spans="2:14">
      <c r="B4399" s="33"/>
      <c r="C4399" s="60"/>
      <c r="D4399" s="60"/>
      <c r="E4399" s="60"/>
      <c r="F4399" s="60"/>
      <c r="G4399" s="60"/>
      <c r="H4399" s="60"/>
      <c r="I4399" s="60"/>
      <c r="J4399" s="60"/>
      <c r="K4399" s="60"/>
      <c r="L4399" s="60"/>
      <c r="M4399" s="64"/>
      <c r="N4399" s="33"/>
    </row>
    <row r="4400" ht="24" customHeight="1" spans="2:14">
      <c r="B4400" s="33"/>
      <c r="C4400" s="60"/>
      <c r="D4400" s="60"/>
      <c r="E4400" s="60"/>
      <c r="F4400" s="60"/>
      <c r="G4400" s="60"/>
      <c r="H4400" s="60"/>
      <c r="I4400" s="60"/>
      <c r="J4400" s="60"/>
      <c r="K4400" s="60"/>
      <c r="L4400" s="60"/>
      <c r="M4400" s="64"/>
      <c r="N4400" s="33"/>
    </row>
    <row r="4401" ht="24" customHeight="1" spans="2:14">
      <c r="B4401" s="33"/>
      <c r="C4401" s="60"/>
      <c r="D4401" s="60"/>
      <c r="E4401" s="60"/>
      <c r="F4401" s="60"/>
      <c r="G4401" s="60"/>
      <c r="H4401" s="60"/>
      <c r="I4401" s="60"/>
      <c r="J4401" s="60"/>
      <c r="K4401" s="60"/>
      <c r="L4401" s="60"/>
      <c r="M4401" s="64"/>
      <c r="N4401" s="33"/>
    </row>
    <row r="4402" ht="24" customHeight="1" spans="2:14">
      <c r="B4402" s="33"/>
      <c r="C4402" s="60"/>
      <c r="D4402" s="60"/>
      <c r="E4402" s="60"/>
      <c r="F4402" s="60"/>
      <c r="G4402" s="60"/>
      <c r="H4402" s="60"/>
      <c r="I4402" s="60"/>
      <c r="J4402" s="60"/>
      <c r="K4402" s="60"/>
      <c r="L4402" s="60"/>
      <c r="M4402" s="64"/>
      <c r="N4402" s="33"/>
    </row>
    <row r="4403" ht="24" customHeight="1" spans="2:14">
      <c r="B4403" s="33"/>
      <c r="C4403" s="60"/>
      <c r="D4403" s="60"/>
      <c r="E4403" s="60"/>
      <c r="F4403" s="60"/>
      <c r="G4403" s="60"/>
      <c r="H4403" s="60"/>
      <c r="I4403" s="60"/>
      <c r="J4403" s="60"/>
      <c r="K4403" s="60"/>
      <c r="L4403" s="60"/>
      <c r="M4403" s="64"/>
      <c r="N4403" s="33"/>
    </row>
    <row r="4404" ht="24" customHeight="1" spans="2:14">
      <c r="B4404" s="33"/>
      <c r="C4404" s="60"/>
      <c r="D4404" s="60"/>
      <c r="E4404" s="60"/>
      <c r="F4404" s="60"/>
      <c r="G4404" s="60"/>
      <c r="H4404" s="60"/>
      <c r="I4404" s="60"/>
      <c r="J4404" s="60"/>
      <c r="K4404" s="60"/>
      <c r="L4404" s="60"/>
      <c r="M4404" s="64"/>
      <c r="N4404" s="33"/>
    </row>
    <row r="4405" ht="24" customHeight="1" spans="2:14">
      <c r="B4405" s="33"/>
      <c r="C4405" s="60"/>
      <c r="D4405" s="60"/>
      <c r="E4405" s="60"/>
      <c r="F4405" s="60"/>
      <c r="G4405" s="60"/>
      <c r="H4405" s="60"/>
      <c r="I4405" s="60"/>
      <c r="J4405" s="60"/>
      <c r="K4405" s="60"/>
      <c r="L4405" s="60"/>
      <c r="M4405" s="64"/>
      <c r="N4405" s="33"/>
    </row>
    <row r="4406" ht="24" customHeight="1" spans="2:14">
      <c r="B4406" s="33"/>
      <c r="C4406" s="60"/>
      <c r="D4406" s="60"/>
      <c r="E4406" s="60"/>
      <c r="F4406" s="60"/>
      <c r="G4406" s="60"/>
      <c r="H4406" s="60"/>
      <c r="I4406" s="60"/>
      <c r="J4406" s="60"/>
      <c r="K4406" s="60"/>
      <c r="L4406" s="60"/>
      <c r="M4406" s="64"/>
      <c r="N4406" s="33"/>
    </row>
    <row r="4407" ht="24" customHeight="1" spans="2:14">
      <c r="B4407" s="33"/>
      <c r="C4407" s="60"/>
      <c r="D4407" s="60"/>
      <c r="E4407" s="60"/>
      <c r="F4407" s="60"/>
      <c r="G4407" s="60"/>
      <c r="H4407" s="60"/>
      <c r="I4407" s="60"/>
      <c r="J4407" s="60"/>
      <c r="K4407" s="60"/>
      <c r="L4407" s="60"/>
      <c r="M4407" s="64"/>
      <c r="N4407" s="33"/>
    </row>
    <row r="4408" ht="24" customHeight="1" spans="2:14">
      <c r="B4408" s="33"/>
      <c r="C4408" s="60"/>
      <c r="D4408" s="60"/>
      <c r="E4408" s="60"/>
      <c r="F4408" s="60"/>
      <c r="G4408" s="60"/>
      <c r="H4408" s="60"/>
      <c r="I4408" s="60"/>
      <c r="J4408" s="60"/>
      <c r="K4408" s="60"/>
      <c r="L4408" s="60"/>
      <c r="M4408" s="64"/>
      <c r="N4408" s="33"/>
    </row>
    <row r="4409" ht="24" customHeight="1" spans="2:14">
      <c r="B4409" s="33"/>
      <c r="C4409" s="60"/>
      <c r="D4409" s="60"/>
      <c r="E4409" s="60"/>
      <c r="F4409" s="60"/>
      <c r="G4409" s="60"/>
      <c r="H4409" s="60"/>
      <c r="I4409" s="60"/>
      <c r="J4409" s="60"/>
      <c r="K4409" s="60"/>
      <c r="L4409" s="60"/>
      <c r="M4409" s="64"/>
      <c r="N4409" s="33"/>
    </row>
    <row r="4410" ht="24" customHeight="1" spans="2:14">
      <c r="B4410" s="33"/>
      <c r="C4410" s="60"/>
      <c r="D4410" s="60"/>
      <c r="E4410" s="60"/>
      <c r="F4410" s="60"/>
      <c r="G4410" s="60"/>
      <c r="H4410" s="60"/>
      <c r="I4410" s="60"/>
      <c r="J4410" s="60"/>
      <c r="K4410" s="60"/>
      <c r="L4410" s="60"/>
      <c r="M4410" s="64"/>
      <c r="N4410" s="33"/>
    </row>
    <row r="4411" ht="24" customHeight="1" spans="2:14">
      <c r="B4411" s="33"/>
      <c r="C4411" s="60"/>
      <c r="D4411" s="60"/>
      <c r="E4411" s="60"/>
      <c r="F4411" s="60"/>
      <c r="G4411" s="60"/>
      <c r="H4411" s="60"/>
      <c r="I4411" s="60"/>
      <c r="J4411" s="60"/>
      <c r="K4411" s="60"/>
      <c r="L4411" s="60"/>
      <c r="M4411" s="64"/>
      <c r="N4411" s="33"/>
    </row>
    <row r="4412" ht="24" customHeight="1" spans="2:14">
      <c r="B4412" s="33"/>
      <c r="C4412" s="60"/>
      <c r="D4412" s="60"/>
      <c r="E4412" s="60"/>
      <c r="F4412" s="60"/>
      <c r="G4412" s="60"/>
      <c r="H4412" s="60"/>
      <c r="I4412" s="60"/>
      <c r="J4412" s="60"/>
      <c r="K4412" s="60"/>
      <c r="L4412" s="60"/>
      <c r="M4412" s="64"/>
      <c r="N4412" s="33"/>
    </row>
    <row r="4413" ht="24" customHeight="1" spans="2:14">
      <c r="B4413" s="33"/>
      <c r="C4413" s="60"/>
      <c r="D4413" s="60"/>
      <c r="E4413" s="60"/>
      <c r="F4413" s="60"/>
      <c r="G4413" s="60"/>
      <c r="H4413" s="60"/>
      <c r="I4413" s="60"/>
      <c r="J4413" s="60"/>
      <c r="K4413" s="60"/>
      <c r="L4413" s="60"/>
      <c r="M4413" s="64"/>
      <c r="N4413" s="33"/>
    </row>
    <row r="4414" ht="24" customHeight="1" spans="2:14">
      <c r="B4414" s="33"/>
      <c r="C4414" s="60"/>
      <c r="D4414" s="60"/>
      <c r="E4414" s="60"/>
      <c r="F4414" s="60"/>
      <c r="G4414" s="60"/>
      <c r="H4414" s="60"/>
      <c r="I4414" s="60"/>
      <c r="J4414" s="60"/>
      <c r="K4414" s="60"/>
      <c r="L4414" s="60"/>
      <c r="M4414" s="64"/>
      <c r="N4414" s="33"/>
    </row>
    <row r="4415" ht="24" customHeight="1" spans="2:14">
      <c r="B4415" s="33"/>
      <c r="C4415" s="60"/>
      <c r="D4415" s="60"/>
      <c r="E4415" s="60"/>
      <c r="F4415" s="60"/>
      <c r="G4415" s="60"/>
      <c r="H4415" s="60"/>
      <c r="I4415" s="60"/>
      <c r="J4415" s="60"/>
      <c r="K4415" s="60"/>
      <c r="L4415" s="60"/>
      <c r="M4415" s="64"/>
      <c r="N4415" s="33"/>
    </row>
    <row r="4416" ht="24" customHeight="1" spans="2:14">
      <c r="B4416" s="33"/>
      <c r="C4416" s="60"/>
      <c r="D4416" s="60"/>
      <c r="E4416" s="60"/>
      <c r="F4416" s="60"/>
      <c r="G4416" s="60"/>
      <c r="H4416" s="60"/>
      <c r="I4416" s="60"/>
      <c r="J4416" s="60"/>
      <c r="K4416" s="60"/>
      <c r="L4416" s="60"/>
      <c r="M4416" s="64"/>
      <c r="N4416" s="33"/>
    </row>
    <row r="4417" ht="24" customHeight="1" spans="2:14">
      <c r="B4417" s="33"/>
      <c r="C4417" s="60"/>
      <c r="D4417" s="60"/>
      <c r="E4417" s="60"/>
      <c r="F4417" s="60"/>
      <c r="G4417" s="60"/>
      <c r="H4417" s="60"/>
      <c r="I4417" s="60"/>
      <c r="J4417" s="60"/>
      <c r="K4417" s="60"/>
      <c r="L4417" s="60"/>
      <c r="M4417" s="64"/>
      <c r="N4417" s="33"/>
    </row>
    <row r="4418" ht="24" customHeight="1" spans="2:14">
      <c r="B4418" s="33"/>
      <c r="C4418" s="60"/>
      <c r="D4418" s="60"/>
      <c r="E4418" s="60"/>
      <c r="F4418" s="60"/>
      <c r="G4418" s="60"/>
      <c r="H4418" s="60"/>
      <c r="I4418" s="60"/>
      <c r="J4418" s="60"/>
      <c r="K4418" s="60"/>
      <c r="L4418" s="60"/>
      <c r="M4418" s="64"/>
      <c r="N4418" s="33"/>
    </row>
    <row r="4419" ht="24" customHeight="1" spans="2:14">
      <c r="B4419" s="33"/>
      <c r="C4419" s="60"/>
      <c r="D4419" s="60"/>
      <c r="E4419" s="60"/>
      <c r="F4419" s="60"/>
      <c r="G4419" s="60"/>
      <c r="H4419" s="60"/>
      <c r="I4419" s="60"/>
      <c r="J4419" s="60"/>
      <c r="K4419" s="60"/>
      <c r="L4419" s="60"/>
      <c r="M4419" s="64"/>
      <c r="N4419" s="33"/>
    </row>
    <row r="4420" ht="24" customHeight="1" spans="2:14">
      <c r="B4420" s="33"/>
      <c r="C4420" s="60"/>
      <c r="D4420" s="60"/>
      <c r="E4420" s="60"/>
      <c r="F4420" s="60"/>
      <c r="G4420" s="60"/>
      <c r="H4420" s="60"/>
      <c r="I4420" s="60"/>
      <c r="J4420" s="60"/>
      <c r="K4420" s="60"/>
      <c r="L4420" s="60"/>
      <c r="M4420" s="64"/>
      <c r="N4420" s="33"/>
    </row>
    <row r="4421" ht="24" customHeight="1" spans="2:14">
      <c r="B4421" s="33"/>
      <c r="C4421" s="60"/>
      <c r="D4421" s="60"/>
      <c r="E4421" s="60"/>
      <c r="F4421" s="60"/>
      <c r="G4421" s="60"/>
      <c r="H4421" s="60"/>
      <c r="I4421" s="60"/>
      <c r="J4421" s="60"/>
      <c r="K4421" s="60"/>
      <c r="L4421" s="60"/>
      <c r="M4421" s="64"/>
      <c r="N4421" s="33"/>
    </row>
    <row r="4422" ht="24" customHeight="1" spans="2:14">
      <c r="B4422" s="33"/>
      <c r="C4422" s="60"/>
      <c r="D4422" s="60"/>
      <c r="E4422" s="60"/>
      <c r="F4422" s="60"/>
      <c r="G4422" s="60"/>
      <c r="H4422" s="60"/>
      <c r="I4422" s="60"/>
      <c r="J4422" s="60"/>
      <c r="K4422" s="60"/>
      <c r="L4422" s="60"/>
      <c r="M4422" s="64"/>
      <c r="N4422" s="33"/>
    </row>
    <row r="4423" ht="24" customHeight="1" spans="2:14">
      <c r="B4423" s="33"/>
      <c r="C4423" s="60"/>
      <c r="D4423" s="60"/>
      <c r="E4423" s="60"/>
      <c r="F4423" s="60"/>
      <c r="G4423" s="60"/>
      <c r="H4423" s="60"/>
      <c r="I4423" s="60"/>
      <c r="J4423" s="60"/>
      <c r="K4423" s="60"/>
      <c r="L4423" s="60"/>
      <c r="M4423" s="64"/>
      <c r="N4423" s="33"/>
    </row>
    <row r="4424" ht="24" customHeight="1" spans="2:14">
      <c r="B4424" s="33"/>
      <c r="C4424" s="60"/>
      <c r="D4424" s="60"/>
      <c r="E4424" s="60"/>
      <c r="F4424" s="60"/>
      <c r="G4424" s="60"/>
      <c r="H4424" s="60"/>
      <c r="I4424" s="60"/>
      <c r="J4424" s="60"/>
      <c r="K4424" s="60"/>
      <c r="L4424" s="60"/>
      <c r="M4424" s="64"/>
      <c r="N4424" s="33"/>
    </row>
    <row r="4425" ht="24" customHeight="1" spans="2:14">
      <c r="B4425" s="33"/>
      <c r="C4425" s="60"/>
      <c r="D4425" s="60"/>
      <c r="E4425" s="60"/>
      <c r="F4425" s="60"/>
      <c r="G4425" s="60"/>
      <c r="H4425" s="60"/>
      <c r="I4425" s="60"/>
      <c r="J4425" s="60"/>
      <c r="K4425" s="60"/>
      <c r="L4425" s="60"/>
      <c r="M4425" s="64"/>
      <c r="N4425" s="33"/>
    </row>
    <row r="4426" ht="24" customHeight="1" spans="2:14">
      <c r="B4426" s="33"/>
      <c r="C4426" s="60"/>
      <c r="D4426" s="60"/>
      <c r="E4426" s="60"/>
      <c r="F4426" s="60"/>
      <c r="G4426" s="60"/>
      <c r="H4426" s="60"/>
      <c r="I4426" s="60"/>
      <c r="J4426" s="60"/>
      <c r="K4426" s="60"/>
      <c r="L4426" s="60"/>
      <c r="M4426" s="64"/>
      <c r="N4426" s="33"/>
    </row>
    <row r="4427" ht="24" customHeight="1" spans="2:14">
      <c r="B4427" s="33"/>
      <c r="C4427" s="60"/>
      <c r="D4427" s="60"/>
      <c r="E4427" s="60"/>
      <c r="F4427" s="60"/>
      <c r="G4427" s="60"/>
      <c r="H4427" s="60"/>
      <c r="I4427" s="60"/>
      <c r="J4427" s="60"/>
      <c r="K4427" s="60"/>
      <c r="L4427" s="60"/>
      <c r="M4427" s="64"/>
      <c r="N4427" s="33"/>
    </row>
    <row r="4428" ht="24" customHeight="1" spans="2:14">
      <c r="B4428" s="33"/>
      <c r="C4428" s="60"/>
      <c r="D4428" s="60"/>
      <c r="E4428" s="60"/>
      <c r="F4428" s="60"/>
      <c r="G4428" s="60"/>
      <c r="H4428" s="60"/>
      <c r="I4428" s="60"/>
      <c r="J4428" s="60"/>
      <c r="K4428" s="60"/>
      <c r="L4428" s="60"/>
      <c r="M4428" s="64"/>
      <c r="N4428" s="33"/>
    </row>
    <row r="4429" ht="24" customHeight="1" spans="2:14">
      <c r="B4429" s="33"/>
      <c r="C4429" s="60"/>
      <c r="D4429" s="60"/>
      <c r="E4429" s="60"/>
      <c r="F4429" s="60"/>
      <c r="G4429" s="60"/>
      <c r="H4429" s="60"/>
      <c r="I4429" s="60"/>
      <c r="J4429" s="60"/>
      <c r="K4429" s="60"/>
      <c r="L4429" s="60"/>
      <c r="M4429" s="64"/>
      <c r="N4429" s="33"/>
    </row>
    <row r="4430" ht="24" customHeight="1" spans="2:14">
      <c r="B4430" s="33"/>
      <c r="C4430" s="60"/>
      <c r="D4430" s="60"/>
      <c r="E4430" s="60"/>
      <c r="F4430" s="60"/>
      <c r="G4430" s="60"/>
      <c r="H4430" s="60"/>
      <c r="I4430" s="60"/>
      <c r="J4430" s="60"/>
      <c r="K4430" s="60"/>
      <c r="L4430" s="60"/>
      <c r="M4430" s="64"/>
      <c r="N4430" s="33"/>
    </row>
    <row r="4431" ht="24" customHeight="1" spans="2:14">
      <c r="B4431" s="33"/>
      <c r="C4431" s="60"/>
      <c r="D4431" s="60"/>
      <c r="E4431" s="60"/>
      <c r="F4431" s="60"/>
      <c r="G4431" s="60"/>
      <c r="H4431" s="60"/>
      <c r="I4431" s="60"/>
      <c r="J4431" s="60"/>
      <c r="K4431" s="60"/>
      <c r="L4431" s="60"/>
      <c r="M4431" s="64"/>
      <c r="N4431" s="33"/>
    </row>
    <row r="4432" ht="24" customHeight="1" spans="2:14">
      <c r="B4432" s="33"/>
      <c r="C4432" s="60"/>
      <c r="D4432" s="60"/>
      <c r="E4432" s="60"/>
      <c r="F4432" s="60"/>
      <c r="G4432" s="60"/>
      <c r="H4432" s="60"/>
      <c r="I4432" s="60"/>
      <c r="J4432" s="60"/>
      <c r="K4432" s="60"/>
      <c r="L4432" s="60"/>
      <c r="M4432" s="64"/>
      <c r="N4432" s="33"/>
    </row>
    <row r="4433" ht="24" customHeight="1" spans="2:14">
      <c r="B4433" s="33"/>
      <c r="C4433" s="60"/>
      <c r="D4433" s="60"/>
      <c r="E4433" s="60"/>
      <c r="F4433" s="60"/>
      <c r="G4433" s="60"/>
      <c r="H4433" s="60"/>
      <c r="I4433" s="60"/>
      <c r="J4433" s="60"/>
      <c r="K4433" s="60"/>
      <c r="L4433" s="60"/>
      <c r="M4433" s="64"/>
      <c r="N4433" s="33"/>
    </row>
    <row r="4434" ht="24" customHeight="1" spans="2:14">
      <c r="B4434" s="33"/>
      <c r="C4434" s="60"/>
      <c r="D4434" s="60"/>
      <c r="E4434" s="60"/>
      <c r="F4434" s="60"/>
      <c r="G4434" s="60"/>
      <c r="H4434" s="60"/>
      <c r="I4434" s="60"/>
      <c r="J4434" s="60"/>
      <c r="K4434" s="60"/>
      <c r="L4434" s="60"/>
      <c r="M4434" s="64"/>
      <c r="N4434" s="33"/>
    </row>
    <row r="4435" ht="24" customHeight="1" spans="2:14">
      <c r="B4435" s="33"/>
      <c r="C4435" s="60"/>
      <c r="D4435" s="60"/>
      <c r="E4435" s="60"/>
      <c r="F4435" s="60"/>
      <c r="G4435" s="60"/>
      <c r="H4435" s="60"/>
      <c r="I4435" s="60"/>
      <c r="J4435" s="60"/>
      <c r="K4435" s="60"/>
      <c r="L4435" s="60"/>
      <c r="M4435" s="64"/>
      <c r="N4435" s="33"/>
    </row>
    <row r="4436" ht="24" customHeight="1" spans="2:14">
      <c r="B4436" s="33"/>
      <c r="C4436" s="60"/>
      <c r="D4436" s="60"/>
      <c r="E4436" s="60"/>
      <c r="F4436" s="60"/>
      <c r="G4436" s="60"/>
      <c r="H4436" s="60"/>
      <c r="I4436" s="60"/>
      <c r="J4436" s="60"/>
      <c r="K4436" s="60"/>
      <c r="L4436" s="60"/>
      <c r="M4436" s="64"/>
      <c r="N4436" s="33"/>
    </row>
    <row r="4437" ht="24" customHeight="1" spans="2:14">
      <c r="B4437" s="33"/>
      <c r="C4437" s="60"/>
      <c r="D4437" s="60"/>
      <c r="E4437" s="60"/>
      <c r="F4437" s="60"/>
      <c r="G4437" s="60"/>
      <c r="H4437" s="60"/>
      <c r="I4437" s="60"/>
      <c r="J4437" s="60"/>
      <c r="K4437" s="60"/>
      <c r="L4437" s="60"/>
      <c r="M4437" s="64"/>
      <c r="N4437" s="33"/>
    </row>
    <row r="4438" ht="24" customHeight="1" spans="2:14">
      <c r="B4438" s="33"/>
      <c r="C4438" s="60"/>
      <c r="D4438" s="60"/>
      <c r="E4438" s="60"/>
      <c r="F4438" s="60"/>
      <c r="G4438" s="60"/>
      <c r="H4438" s="60"/>
      <c r="I4438" s="60"/>
      <c r="J4438" s="60"/>
      <c r="K4438" s="60"/>
      <c r="L4438" s="60"/>
      <c r="M4438" s="64"/>
      <c r="N4438" s="33"/>
    </row>
    <row r="4439" ht="24" customHeight="1" spans="2:14">
      <c r="B4439" s="33"/>
      <c r="C4439" s="60"/>
      <c r="D4439" s="60"/>
      <c r="E4439" s="60"/>
      <c r="F4439" s="60"/>
      <c r="G4439" s="60"/>
      <c r="H4439" s="60"/>
      <c r="I4439" s="60"/>
      <c r="J4439" s="60"/>
      <c r="K4439" s="60"/>
      <c r="L4439" s="60"/>
      <c r="M4439" s="64"/>
      <c r="N4439" s="33"/>
    </row>
    <row r="4440" ht="24" customHeight="1" spans="2:14">
      <c r="B4440" s="33"/>
      <c r="C4440" s="60"/>
      <c r="D4440" s="60"/>
      <c r="E4440" s="60"/>
      <c r="F4440" s="60"/>
      <c r="G4440" s="60"/>
      <c r="H4440" s="60"/>
      <c r="I4440" s="60"/>
      <c r="J4440" s="60"/>
      <c r="K4440" s="60"/>
      <c r="L4440" s="60"/>
      <c r="M4440" s="64"/>
      <c r="N4440" s="33"/>
    </row>
    <row r="4441" ht="24" customHeight="1" spans="2:14">
      <c r="B4441" s="33"/>
      <c r="C4441" s="60"/>
      <c r="D4441" s="60"/>
      <c r="E4441" s="60"/>
      <c r="F4441" s="60"/>
      <c r="G4441" s="60"/>
      <c r="H4441" s="60"/>
      <c r="I4441" s="60"/>
      <c r="J4441" s="60"/>
      <c r="K4441" s="60"/>
      <c r="L4441" s="60"/>
      <c r="M4441" s="64"/>
      <c r="N4441" s="33"/>
    </row>
    <row r="4442" ht="24" customHeight="1" spans="2:14">
      <c r="B4442" s="33"/>
      <c r="C4442" s="60"/>
      <c r="D4442" s="60"/>
      <c r="E4442" s="60"/>
      <c r="F4442" s="60"/>
      <c r="G4442" s="60"/>
      <c r="H4442" s="60"/>
      <c r="I4442" s="60"/>
      <c r="J4442" s="60"/>
      <c r="K4442" s="60"/>
      <c r="L4442" s="60"/>
      <c r="M4442" s="64"/>
      <c r="N4442" s="33"/>
    </row>
    <row r="4443" ht="24" customHeight="1" spans="2:14">
      <c r="B4443" s="33"/>
      <c r="C4443" s="60"/>
      <c r="D4443" s="60"/>
      <c r="E4443" s="60"/>
      <c r="F4443" s="60"/>
      <c r="G4443" s="60"/>
      <c r="H4443" s="60"/>
      <c r="I4443" s="60"/>
      <c r="J4443" s="60"/>
      <c r="K4443" s="60"/>
      <c r="L4443" s="60"/>
      <c r="M4443" s="64"/>
      <c r="N4443" s="33"/>
    </row>
    <row r="4444" ht="24" customHeight="1" spans="2:14">
      <c r="B4444" s="33"/>
      <c r="C4444" s="60"/>
      <c r="D4444" s="60"/>
      <c r="E4444" s="60"/>
      <c r="F4444" s="60"/>
      <c r="G4444" s="60"/>
      <c r="H4444" s="60"/>
      <c r="I4444" s="60"/>
      <c r="J4444" s="60"/>
      <c r="K4444" s="60"/>
      <c r="L4444" s="60"/>
      <c r="M4444" s="64"/>
      <c r="N4444" s="33"/>
    </row>
    <row r="4445" ht="24" customHeight="1" spans="2:14">
      <c r="B4445" s="33"/>
      <c r="C4445" s="60"/>
      <c r="D4445" s="60"/>
      <c r="E4445" s="60"/>
      <c r="F4445" s="60"/>
      <c r="G4445" s="60"/>
      <c r="H4445" s="60"/>
      <c r="I4445" s="60"/>
      <c r="J4445" s="60"/>
      <c r="K4445" s="60"/>
      <c r="L4445" s="60"/>
      <c r="M4445" s="64"/>
      <c r="N4445" s="33"/>
    </row>
    <row r="4446" ht="24" customHeight="1" spans="2:14">
      <c r="B4446" s="33"/>
      <c r="C4446" s="60"/>
      <c r="D4446" s="60"/>
      <c r="E4446" s="60"/>
      <c r="F4446" s="60"/>
      <c r="G4446" s="60"/>
      <c r="H4446" s="60"/>
      <c r="I4446" s="60"/>
      <c r="J4446" s="60"/>
      <c r="K4446" s="60"/>
      <c r="L4446" s="60"/>
      <c r="M4446" s="64"/>
      <c r="N4446" s="33"/>
    </row>
    <row r="4447" ht="24" customHeight="1" spans="2:14">
      <c r="B4447" s="33"/>
      <c r="C4447" s="60"/>
      <c r="D4447" s="60"/>
      <c r="E4447" s="60"/>
      <c r="F4447" s="60"/>
      <c r="G4447" s="60"/>
      <c r="H4447" s="60"/>
      <c r="I4447" s="60"/>
      <c r="J4447" s="60"/>
      <c r="K4447" s="60"/>
      <c r="L4447" s="60"/>
      <c r="M4447" s="64"/>
      <c r="N4447" s="33"/>
    </row>
    <row r="4448" ht="24" customHeight="1" spans="2:14">
      <c r="B4448" s="33"/>
      <c r="C4448" s="60"/>
      <c r="D4448" s="60"/>
      <c r="E4448" s="60"/>
      <c r="F4448" s="60"/>
      <c r="G4448" s="60"/>
      <c r="H4448" s="60"/>
      <c r="I4448" s="60"/>
      <c r="J4448" s="60"/>
      <c r="K4448" s="60"/>
      <c r="L4448" s="60"/>
      <c r="M4448" s="64"/>
      <c r="N4448" s="33"/>
    </row>
    <row r="4449" ht="24" customHeight="1" spans="2:14">
      <c r="B4449" s="33"/>
      <c r="C4449" s="60"/>
      <c r="D4449" s="60"/>
      <c r="E4449" s="60"/>
      <c r="F4449" s="60"/>
      <c r="G4449" s="60"/>
      <c r="H4449" s="60"/>
      <c r="I4449" s="60"/>
      <c r="J4449" s="60"/>
      <c r="K4449" s="60"/>
      <c r="L4449" s="60"/>
      <c r="M4449" s="64"/>
      <c r="N4449" s="33"/>
    </row>
    <row r="4450" ht="24" customHeight="1" spans="2:14">
      <c r="B4450" s="33"/>
      <c r="C4450" s="60"/>
      <c r="D4450" s="60"/>
      <c r="E4450" s="60"/>
      <c r="F4450" s="60"/>
      <c r="G4450" s="60"/>
      <c r="H4450" s="60"/>
      <c r="I4450" s="60"/>
      <c r="J4450" s="60"/>
      <c r="K4450" s="60"/>
      <c r="L4450" s="60"/>
      <c r="M4450" s="64"/>
      <c r="N4450" s="33"/>
    </row>
    <row r="4451" ht="24" customHeight="1" spans="2:14">
      <c r="B4451" s="33"/>
      <c r="C4451" s="60"/>
      <c r="D4451" s="60"/>
      <c r="E4451" s="60"/>
      <c r="F4451" s="60"/>
      <c r="G4451" s="60"/>
      <c r="H4451" s="60"/>
      <c r="I4451" s="60"/>
      <c r="J4451" s="60"/>
      <c r="K4451" s="60"/>
      <c r="L4451" s="60"/>
      <c r="M4451" s="64"/>
      <c r="N4451" s="33"/>
    </row>
    <row r="4452" ht="24" customHeight="1" spans="2:14">
      <c r="B4452" s="33"/>
      <c r="C4452" s="60"/>
      <c r="D4452" s="60"/>
      <c r="E4452" s="60"/>
      <c r="F4452" s="60"/>
      <c r="G4452" s="60"/>
      <c r="H4452" s="60"/>
      <c r="I4452" s="60"/>
      <c r="J4452" s="60"/>
      <c r="K4452" s="60"/>
      <c r="L4452" s="60"/>
      <c r="M4452" s="64"/>
      <c r="N4452" s="33"/>
    </row>
    <row r="4453" ht="24" customHeight="1" spans="2:14">
      <c r="B4453" s="33"/>
      <c r="C4453" s="60"/>
      <c r="D4453" s="60"/>
      <c r="E4453" s="60"/>
      <c r="F4453" s="60"/>
      <c r="G4453" s="60"/>
      <c r="H4453" s="60"/>
      <c r="I4453" s="60"/>
      <c r="J4453" s="60"/>
      <c r="K4453" s="60"/>
      <c r="L4453" s="60"/>
      <c r="M4453" s="64"/>
      <c r="N4453" s="33"/>
    </row>
    <row r="4454" ht="24" customHeight="1" spans="2:14">
      <c r="B4454" s="33"/>
      <c r="C4454" s="60"/>
      <c r="D4454" s="60"/>
      <c r="E4454" s="60"/>
      <c r="F4454" s="60"/>
      <c r="G4454" s="60"/>
      <c r="H4454" s="60"/>
      <c r="I4454" s="60"/>
      <c r="J4454" s="60"/>
      <c r="K4454" s="60"/>
      <c r="L4454" s="60"/>
      <c r="M4454" s="64"/>
      <c r="N4454" s="33"/>
    </row>
    <row r="4455" ht="24" customHeight="1" spans="2:14">
      <c r="B4455" s="33"/>
      <c r="C4455" s="60"/>
      <c r="D4455" s="60"/>
      <c r="E4455" s="60"/>
      <c r="F4455" s="60"/>
      <c r="G4455" s="60"/>
      <c r="H4455" s="60"/>
      <c r="I4455" s="60"/>
      <c r="J4455" s="60"/>
      <c r="K4455" s="60"/>
      <c r="L4455" s="60"/>
      <c r="M4455" s="64"/>
      <c r="N4455" s="33"/>
    </row>
    <row r="4456" ht="24" customHeight="1" spans="2:14">
      <c r="B4456" s="33"/>
      <c r="C4456" s="60"/>
      <c r="D4456" s="60"/>
      <c r="E4456" s="60"/>
      <c r="F4456" s="60"/>
      <c r="G4456" s="60"/>
      <c r="H4456" s="60"/>
      <c r="I4456" s="60"/>
      <c r="J4456" s="60"/>
      <c r="K4456" s="60"/>
      <c r="L4456" s="60"/>
      <c r="M4456" s="64"/>
      <c r="N4456" s="33"/>
    </row>
    <row r="4457" ht="24" customHeight="1" spans="2:14">
      <c r="B4457" s="33"/>
      <c r="C4457" s="60"/>
      <c r="D4457" s="60"/>
      <c r="E4457" s="60"/>
      <c r="F4457" s="60"/>
      <c r="G4457" s="60"/>
      <c r="H4457" s="60"/>
      <c r="I4457" s="60"/>
      <c r="J4457" s="60"/>
      <c r="K4457" s="60"/>
      <c r="L4457" s="60"/>
      <c r="M4457" s="64"/>
      <c r="N4457" s="33"/>
    </row>
    <row r="4458" ht="24" customHeight="1" spans="2:14">
      <c r="B4458" s="33"/>
      <c r="C4458" s="60"/>
      <c r="D4458" s="60"/>
      <c r="E4458" s="60"/>
      <c r="F4458" s="60"/>
      <c r="G4458" s="60"/>
      <c r="H4458" s="60"/>
      <c r="I4458" s="60"/>
      <c r="J4458" s="60"/>
      <c r="K4458" s="60"/>
      <c r="L4458" s="60"/>
      <c r="M4458" s="64"/>
      <c r="N4458" s="33"/>
    </row>
    <row r="4459" ht="24" customHeight="1" spans="2:14">
      <c r="B4459" s="33"/>
      <c r="C4459" s="60"/>
      <c r="D4459" s="60"/>
      <c r="E4459" s="60"/>
      <c r="F4459" s="60"/>
      <c r="G4459" s="60"/>
      <c r="H4459" s="60"/>
      <c r="I4459" s="60"/>
      <c r="J4459" s="60"/>
      <c r="K4459" s="60"/>
      <c r="L4459" s="60"/>
      <c r="M4459" s="64"/>
      <c r="N4459" s="33"/>
    </row>
    <row r="4460" ht="24" customHeight="1" spans="2:14">
      <c r="B4460" s="33"/>
      <c r="C4460" s="60"/>
      <c r="D4460" s="60"/>
      <c r="E4460" s="60"/>
      <c r="F4460" s="60"/>
      <c r="G4460" s="60"/>
      <c r="H4460" s="60"/>
      <c r="I4460" s="60"/>
      <c r="J4460" s="60"/>
      <c r="K4460" s="60"/>
      <c r="L4460" s="60"/>
      <c r="M4460" s="64"/>
      <c r="N4460" s="33"/>
    </row>
    <row r="4461" ht="24" customHeight="1" spans="2:14">
      <c r="B4461" s="33"/>
      <c r="C4461" s="60"/>
      <c r="D4461" s="60"/>
      <c r="E4461" s="60"/>
      <c r="F4461" s="60"/>
      <c r="G4461" s="60"/>
      <c r="H4461" s="60"/>
      <c r="I4461" s="60"/>
      <c r="J4461" s="60"/>
      <c r="K4461" s="60"/>
      <c r="L4461" s="60"/>
      <c r="M4461" s="64"/>
      <c r="N4461" s="33"/>
    </row>
    <row r="4462" ht="24" customHeight="1" spans="2:14">
      <c r="B4462" s="33"/>
      <c r="C4462" s="60"/>
      <c r="D4462" s="60"/>
      <c r="E4462" s="60"/>
      <c r="F4462" s="60"/>
      <c r="G4462" s="60"/>
      <c r="H4462" s="60"/>
      <c r="I4462" s="60"/>
      <c r="J4462" s="60"/>
      <c r="K4462" s="60"/>
      <c r="L4462" s="60"/>
      <c r="M4462" s="64"/>
      <c r="N4462" s="33"/>
    </row>
    <row r="4463" ht="24" customHeight="1" spans="2:14">
      <c r="B4463" s="33"/>
      <c r="C4463" s="60"/>
      <c r="D4463" s="60"/>
      <c r="E4463" s="60"/>
      <c r="F4463" s="60"/>
      <c r="G4463" s="60"/>
      <c r="H4463" s="60"/>
      <c r="I4463" s="60"/>
      <c r="J4463" s="60"/>
      <c r="K4463" s="60"/>
      <c r="L4463" s="60"/>
      <c r="M4463" s="64"/>
      <c r="N4463" s="33"/>
    </row>
    <row r="4464" ht="24" customHeight="1" spans="2:14">
      <c r="B4464" s="33"/>
      <c r="C4464" s="60"/>
      <c r="D4464" s="60"/>
      <c r="E4464" s="60"/>
      <c r="F4464" s="60"/>
      <c r="G4464" s="60"/>
      <c r="H4464" s="60"/>
      <c r="I4464" s="60"/>
      <c r="J4464" s="60"/>
      <c r="K4464" s="60"/>
      <c r="L4464" s="60"/>
      <c r="M4464" s="64"/>
      <c r="N4464" s="33"/>
    </row>
    <row r="4465" ht="24" customHeight="1" spans="2:14">
      <c r="B4465" s="33"/>
      <c r="C4465" s="60"/>
      <c r="D4465" s="60"/>
      <c r="E4465" s="60"/>
      <c r="F4465" s="60"/>
      <c r="G4465" s="60"/>
      <c r="H4465" s="60"/>
      <c r="I4465" s="60"/>
      <c r="J4465" s="60"/>
      <c r="K4465" s="60"/>
      <c r="L4465" s="60"/>
      <c r="M4465" s="64"/>
      <c r="N4465" s="33"/>
    </row>
    <row r="4466" ht="24" customHeight="1" spans="2:14">
      <c r="B4466" s="33"/>
      <c r="C4466" s="60"/>
      <c r="D4466" s="60"/>
      <c r="E4466" s="60"/>
      <c r="F4466" s="60"/>
      <c r="G4466" s="60"/>
      <c r="H4466" s="60"/>
      <c r="I4466" s="60"/>
      <c r="J4466" s="60"/>
      <c r="K4466" s="60"/>
      <c r="L4466" s="60"/>
      <c r="M4466" s="64"/>
      <c r="N4466" s="33"/>
    </row>
    <row r="4467" ht="24" customHeight="1" spans="2:14">
      <c r="B4467" s="33"/>
      <c r="C4467" s="60"/>
      <c r="D4467" s="60"/>
      <c r="E4467" s="60"/>
      <c r="F4467" s="60"/>
      <c r="G4467" s="60"/>
      <c r="H4467" s="60"/>
      <c r="I4467" s="60"/>
      <c r="J4467" s="60"/>
      <c r="K4467" s="60"/>
      <c r="L4467" s="60"/>
      <c r="M4467" s="64"/>
      <c r="N4467" s="33"/>
    </row>
    <row r="4468" ht="24" customHeight="1" spans="2:14">
      <c r="B4468" s="33"/>
      <c r="C4468" s="60"/>
      <c r="D4468" s="60"/>
      <c r="E4468" s="60"/>
      <c r="F4468" s="60"/>
      <c r="G4468" s="60"/>
      <c r="H4468" s="60"/>
      <c r="I4468" s="60"/>
      <c r="J4468" s="60"/>
      <c r="K4468" s="60"/>
      <c r="L4468" s="60"/>
      <c r="M4468" s="64"/>
      <c r="N4468" s="33"/>
    </row>
    <row r="4469" ht="24" customHeight="1" spans="2:14">
      <c r="B4469" s="33"/>
      <c r="C4469" s="60"/>
      <c r="D4469" s="60"/>
      <c r="E4469" s="60"/>
      <c r="F4469" s="60"/>
      <c r="G4469" s="60"/>
      <c r="H4469" s="60"/>
      <c r="I4469" s="60"/>
      <c r="J4469" s="60"/>
      <c r="K4469" s="60"/>
      <c r="L4469" s="60"/>
      <c r="M4469" s="64"/>
      <c r="N4469" s="33"/>
    </row>
    <row r="4470" ht="24" customHeight="1" spans="2:14">
      <c r="B4470" s="33"/>
      <c r="C4470" s="60"/>
      <c r="D4470" s="60"/>
      <c r="E4470" s="60"/>
      <c r="F4470" s="60"/>
      <c r="G4470" s="60"/>
      <c r="H4470" s="60"/>
      <c r="I4470" s="60"/>
      <c r="J4470" s="60"/>
      <c r="K4470" s="60"/>
      <c r="L4470" s="60"/>
      <c r="M4470" s="64"/>
      <c r="N4470" s="33"/>
    </row>
    <row r="4471" ht="24" customHeight="1" spans="2:14">
      <c r="B4471" s="33"/>
      <c r="C4471" s="60"/>
      <c r="D4471" s="60"/>
      <c r="E4471" s="60"/>
      <c r="F4471" s="60"/>
      <c r="G4471" s="60"/>
      <c r="H4471" s="60"/>
      <c r="I4471" s="60"/>
      <c r="J4471" s="60"/>
      <c r="K4471" s="60"/>
      <c r="L4471" s="60"/>
      <c r="M4471" s="64"/>
      <c r="N4471" s="33"/>
    </row>
    <row r="4472" ht="24" customHeight="1" spans="2:14">
      <c r="B4472" s="33"/>
      <c r="C4472" s="60"/>
      <c r="D4472" s="60"/>
      <c r="E4472" s="60"/>
      <c r="F4472" s="60"/>
      <c r="G4472" s="60"/>
      <c r="H4472" s="60"/>
      <c r="I4472" s="60"/>
      <c r="J4472" s="60"/>
      <c r="K4472" s="60"/>
      <c r="L4472" s="60"/>
      <c r="M4472" s="64"/>
      <c r="N4472" s="33"/>
    </row>
    <row r="4473" ht="24" customHeight="1" spans="2:14">
      <c r="B4473" s="33"/>
      <c r="C4473" s="60"/>
      <c r="D4473" s="60"/>
      <c r="E4473" s="60"/>
      <c r="F4473" s="60"/>
      <c r="G4473" s="60"/>
      <c r="H4473" s="60"/>
      <c r="I4473" s="60"/>
      <c r="J4473" s="60"/>
      <c r="K4473" s="60"/>
      <c r="L4473" s="60"/>
      <c r="M4473" s="64"/>
      <c r="N4473" s="33"/>
    </row>
    <row r="4474" ht="24" customHeight="1" spans="2:14">
      <c r="B4474" s="33"/>
      <c r="C4474" s="60"/>
      <c r="D4474" s="60"/>
      <c r="E4474" s="60"/>
      <c r="F4474" s="60"/>
      <c r="G4474" s="60"/>
      <c r="H4474" s="60"/>
      <c r="I4474" s="60"/>
      <c r="J4474" s="60"/>
      <c r="K4474" s="60"/>
      <c r="L4474" s="60"/>
      <c r="M4474" s="64"/>
      <c r="N4474" s="33"/>
    </row>
    <row r="4475" ht="24" customHeight="1" spans="2:14">
      <c r="B4475" s="33"/>
      <c r="C4475" s="60"/>
      <c r="D4475" s="60"/>
      <c r="E4475" s="60"/>
      <c r="F4475" s="60"/>
      <c r="G4475" s="60"/>
      <c r="H4475" s="60"/>
      <c r="I4475" s="60"/>
      <c r="J4475" s="60"/>
      <c r="K4475" s="60"/>
      <c r="L4475" s="60"/>
      <c r="M4475" s="64"/>
      <c r="N4475" s="33"/>
    </row>
    <row r="4476" ht="24" customHeight="1" spans="2:14">
      <c r="B4476" s="33"/>
      <c r="C4476" s="60"/>
      <c r="D4476" s="60"/>
      <c r="E4476" s="60"/>
      <c r="F4476" s="60"/>
      <c r="G4476" s="60"/>
      <c r="H4476" s="60"/>
      <c r="I4476" s="60"/>
      <c r="J4476" s="60"/>
      <c r="K4476" s="60"/>
      <c r="L4476" s="60"/>
      <c r="M4476" s="64"/>
      <c r="N4476" s="33"/>
    </row>
    <row r="4477" ht="24" customHeight="1" spans="2:14">
      <c r="B4477" s="33"/>
      <c r="C4477" s="60"/>
      <c r="D4477" s="60"/>
      <c r="E4477" s="60"/>
      <c r="F4477" s="60"/>
      <c r="G4477" s="60"/>
      <c r="H4477" s="60"/>
      <c r="I4477" s="60"/>
      <c r="J4477" s="60"/>
      <c r="K4477" s="60"/>
      <c r="L4477" s="60"/>
      <c r="M4477" s="64"/>
      <c r="N4477" s="33"/>
    </row>
    <row r="4478" ht="24" customHeight="1" spans="2:14">
      <c r="B4478" s="33"/>
      <c r="C4478" s="60"/>
      <c r="D4478" s="60"/>
      <c r="E4478" s="60"/>
      <c r="F4478" s="60"/>
      <c r="G4478" s="60"/>
      <c r="H4478" s="60"/>
      <c r="I4478" s="60"/>
      <c r="J4478" s="60"/>
      <c r="K4478" s="60"/>
      <c r="L4478" s="60"/>
      <c r="M4478" s="64"/>
      <c r="N4478" s="33"/>
    </row>
    <row r="4479" ht="24" customHeight="1" spans="2:14">
      <c r="B4479" s="33"/>
      <c r="C4479" s="60"/>
      <c r="D4479" s="60"/>
      <c r="E4479" s="60"/>
      <c r="F4479" s="60"/>
      <c r="G4479" s="60"/>
      <c r="H4479" s="60"/>
      <c r="I4479" s="60"/>
      <c r="J4479" s="60"/>
      <c r="K4479" s="60"/>
      <c r="L4479" s="60"/>
      <c r="M4479" s="64"/>
      <c r="N4479" s="33"/>
    </row>
    <row r="4480" ht="24" customHeight="1" spans="2:14">
      <c r="B4480" s="33"/>
      <c r="C4480" s="60"/>
      <c r="D4480" s="60"/>
      <c r="E4480" s="60"/>
      <c r="F4480" s="60"/>
      <c r="G4480" s="60"/>
      <c r="H4480" s="60"/>
      <c r="I4480" s="60"/>
      <c r="J4480" s="60"/>
      <c r="K4480" s="60"/>
      <c r="L4480" s="60"/>
      <c r="M4480" s="64"/>
      <c r="N4480" s="33"/>
    </row>
    <row r="4481" ht="24" customHeight="1" spans="2:14">
      <c r="B4481" s="33"/>
      <c r="C4481" s="60"/>
      <c r="D4481" s="60"/>
      <c r="E4481" s="60"/>
      <c r="F4481" s="60"/>
      <c r="G4481" s="60"/>
      <c r="H4481" s="60"/>
      <c r="I4481" s="60"/>
      <c r="J4481" s="60"/>
      <c r="K4481" s="60"/>
      <c r="L4481" s="60"/>
      <c r="M4481" s="64"/>
      <c r="N4481" s="33"/>
    </row>
    <row r="4482" ht="24" customHeight="1" spans="2:14">
      <c r="B4482" s="33"/>
      <c r="C4482" s="60"/>
      <c r="D4482" s="60"/>
      <c r="E4482" s="60"/>
      <c r="F4482" s="60"/>
      <c r="G4482" s="60"/>
      <c r="H4482" s="60"/>
      <c r="I4482" s="60"/>
      <c r="J4482" s="60"/>
      <c r="K4482" s="60"/>
      <c r="L4482" s="60"/>
      <c r="M4482" s="64"/>
      <c r="N4482" s="33"/>
    </row>
    <row r="4483" ht="24" customHeight="1" spans="2:14">
      <c r="B4483" s="33"/>
      <c r="C4483" s="60"/>
      <c r="D4483" s="60"/>
      <c r="E4483" s="60"/>
      <c r="F4483" s="60"/>
      <c r="G4483" s="60"/>
      <c r="H4483" s="60"/>
      <c r="I4483" s="60"/>
      <c r="J4483" s="60"/>
      <c r="K4483" s="60"/>
      <c r="L4483" s="60"/>
      <c r="M4483" s="64"/>
      <c r="N4483" s="33"/>
    </row>
    <row r="4484" ht="24" customHeight="1" spans="2:14">
      <c r="B4484" s="33"/>
      <c r="C4484" s="60"/>
      <c r="D4484" s="60"/>
      <c r="E4484" s="60"/>
      <c r="F4484" s="60"/>
      <c r="G4484" s="60"/>
      <c r="H4484" s="60"/>
      <c r="I4484" s="60"/>
      <c r="J4484" s="60"/>
      <c r="K4484" s="60"/>
      <c r="L4484" s="60"/>
      <c r="M4484" s="64"/>
      <c r="N4484" s="33"/>
    </row>
    <row r="4485" ht="24" customHeight="1" spans="2:14">
      <c r="B4485" s="33"/>
      <c r="C4485" s="60"/>
      <c r="D4485" s="60"/>
      <c r="E4485" s="60"/>
      <c r="F4485" s="60"/>
      <c r="G4485" s="60"/>
      <c r="H4485" s="60"/>
      <c r="I4485" s="60"/>
      <c r="J4485" s="60"/>
      <c r="K4485" s="60"/>
      <c r="L4485" s="60"/>
      <c r="M4485" s="64"/>
      <c r="N4485" s="33"/>
    </row>
    <row r="4486" ht="24" customHeight="1" spans="2:14">
      <c r="B4486" s="33"/>
      <c r="C4486" s="60"/>
      <c r="D4486" s="60"/>
      <c r="E4486" s="60"/>
      <c r="F4486" s="60"/>
      <c r="G4486" s="60"/>
      <c r="H4486" s="60"/>
      <c r="I4486" s="60"/>
      <c r="J4486" s="60"/>
      <c r="K4486" s="60"/>
      <c r="L4486" s="60"/>
      <c r="M4486" s="64"/>
      <c r="N4486" s="33"/>
    </row>
    <row r="4487" ht="24" customHeight="1" spans="2:14">
      <c r="B4487" s="33"/>
      <c r="C4487" s="60"/>
      <c r="D4487" s="60"/>
      <c r="E4487" s="60"/>
      <c r="F4487" s="60"/>
      <c r="G4487" s="60"/>
      <c r="H4487" s="60"/>
      <c r="I4487" s="60"/>
      <c r="J4487" s="60"/>
      <c r="K4487" s="60"/>
      <c r="L4487" s="60"/>
      <c r="M4487" s="64"/>
      <c r="N4487" s="33"/>
    </row>
    <row r="4488" ht="24" customHeight="1" spans="2:14">
      <c r="B4488" s="33"/>
      <c r="C4488" s="60"/>
      <c r="D4488" s="60"/>
      <c r="E4488" s="60"/>
      <c r="F4488" s="60"/>
      <c r="G4488" s="60"/>
      <c r="H4488" s="60"/>
      <c r="I4488" s="60"/>
      <c r="J4488" s="60"/>
      <c r="K4488" s="60"/>
      <c r="L4488" s="60"/>
      <c r="M4488" s="64"/>
      <c r="N4488" s="33"/>
    </row>
    <row r="4489" ht="24" customHeight="1" spans="2:14">
      <c r="B4489" s="33"/>
      <c r="C4489" s="60"/>
      <c r="D4489" s="60"/>
      <c r="E4489" s="60"/>
      <c r="F4489" s="60"/>
      <c r="G4489" s="60"/>
      <c r="H4489" s="60"/>
      <c r="I4489" s="60"/>
      <c r="J4489" s="60"/>
      <c r="K4489" s="60"/>
      <c r="L4489" s="60"/>
      <c r="M4489" s="64"/>
      <c r="N4489" s="33"/>
    </row>
    <row r="4490" ht="24" customHeight="1" spans="2:14">
      <c r="B4490" s="33"/>
      <c r="C4490" s="60"/>
      <c r="D4490" s="60"/>
      <c r="E4490" s="60"/>
      <c r="F4490" s="60"/>
      <c r="G4490" s="60"/>
      <c r="H4490" s="60"/>
      <c r="I4490" s="60"/>
      <c r="J4490" s="60"/>
      <c r="K4490" s="60"/>
      <c r="L4490" s="60"/>
      <c r="M4490" s="64"/>
      <c r="N4490" s="33"/>
    </row>
    <row r="4491" ht="24" customHeight="1" spans="2:14">
      <c r="B4491" s="33"/>
      <c r="C4491" s="60"/>
      <c r="D4491" s="60"/>
      <c r="E4491" s="60"/>
      <c r="F4491" s="60"/>
      <c r="G4491" s="60"/>
      <c r="H4491" s="60"/>
      <c r="I4491" s="60"/>
      <c r="J4491" s="60"/>
      <c r="K4491" s="60"/>
      <c r="L4491" s="60"/>
      <c r="M4491" s="64"/>
      <c r="N4491" s="33"/>
    </row>
    <row r="4492" ht="24" customHeight="1" spans="2:14">
      <c r="B4492" s="33"/>
      <c r="C4492" s="60"/>
      <c r="D4492" s="60"/>
      <c r="E4492" s="60"/>
      <c r="F4492" s="60"/>
      <c r="G4492" s="60"/>
      <c r="H4492" s="60"/>
      <c r="I4492" s="60"/>
      <c r="J4492" s="60"/>
      <c r="K4492" s="60"/>
      <c r="L4492" s="60"/>
      <c r="M4492" s="64"/>
      <c r="N4492" s="33"/>
    </row>
    <row r="4493" ht="24" customHeight="1" spans="2:14">
      <c r="B4493" s="33"/>
      <c r="C4493" s="60"/>
      <c r="D4493" s="60"/>
      <c r="E4493" s="60"/>
      <c r="F4493" s="60"/>
      <c r="G4493" s="60"/>
      <c r="H4493" s="60"/>
      <c r="I4493" s="60"/>
      <c r="J4493" s="60"/>
      <c r="K4493" s="60"/>
      <c r="L4493" s="60"/>
      <c r="M4493" s="64"/>
      <c r="N4493" s="33"/>
    </row>
    <row r="4494" ht="24" customHeight="1" spans="2:14">
      <c r="B4494" s="33"/>
      <c r="C4494" s="60"/>
      <c r="D4494" s="60"/>
      <c r="E4494" s="60"/>
      <c r="F4494" s="60"/>
      <c r="G4494" s="60"/>
      <c r="H4494" s="60"/>
      <c r="I4494" s="60"/>
      <c r="J4494" s="60"/>
      <c r="K4494" s="60"/>
      <c r="L4494" s="60"/>
      <c r="M4494" s="64"/>
      <c r="N4494" s="33"/>
    </row>
    <row r="4495" ht="24" customHeight="1" spans="2:14">
      <c r="B4495" s="33"/>
      <c r="C4495" s="60"/>
      <c r="D4495" s="60"/>
      <c r="E4495" s="60"/>
      <c r="F4495" s="60"/>
      <c r="G4495" s="60"/>
      <c r="H4495" s="60"/>
      <c r="I4495" s="60"/>
      <c r="J4495" s="60"/>
      <c r="K4495" s="60"/>
      <c r="L4495" s="60"/>
      <c r="M4495" s="64"/>
      <c r="N4495" s="33"/>
    </row>
    <row r="4496" ht="24" customHeight="1" spans="2:14">
      <c r="B4496" s="33"/>
      <c r="C4496" s="60"/>
      <c r="D4496" s="60"/>
      <c r="E4496" s="60"/>
      <c r="F4496" s="60"/>
      <c r="G4496" s="60"/>
      <c r="H4496" s="60"/>
      <c r="I4496" s="60"/>
      <c r="J4496" s="60"/>
      <c r="K4496" s="60"/>
      <c r="L4496" s="60"/>
      <c r="M4496" s="64"/>
      <c r="N4496" s="33"/>
    </row>
    <row r="4497" ht="24" customHeight="1" spans="2:14">
      <c r="B4497" s="33"/>
      <c r="C4497" s="60"/>
      <c r="D4497" s="60"/>
      <c r="E4497" s="60"/>
      <c r="F4497" s="60"/>
      <c r="G4497" s="60"/>
      <c r="H4497" s="60"/>
      <c r="I4497" s="60"/>
      <c r="J4497" s="60"/>
      <c r="K4497" s="60"/>
      <c r="L4497" s="60"/>
      <c r="M4497" s="64"/>
      <c r="N4497" s="33"/>
    </row>
    <row r="4498" ht="24" customHeight="1" spans="2:14">
      <c r="B4498" s="33"/>
      <c r="C4498" s="60"/>
      <c r="D4498" s="60"/>
      <c r="E4498" s="60"/>
      <c r="F4498" s="60"/>
      <c r="G4498" s="60"/>
      <c r="H4498" s="60"/>
      <c r="I4498" s="60"/>
      <c r="J4498" s="60"/>
      <c r="K4498" s="60"/>
      <c r="L4498" s="60"/>
      <c r="M4498" s="64"/>
      <c r="N4498" s="33"/>
    </row>
    <row r="4499" ht="24" customHeight="1" spans="2:14">
      <c r="B4499" s="33"/>
      <c r="C4499" s="60"/>
      <c r="D4499" s="60"/>
      <c r="E4499" s="60"/>
      <c r="F4499" s="60"/>
      <c r="G4499" s="60"/>
      <c r="H4499" s="60"/>
      <c r="I4499" s="60"/>
      <c r="J4499" s="60"/>
      <c r="K4499" s="60"/>
      <c r="L4499" s="60"/>
      <c r="M4499" s="64"/>
      <c r="N4499" s="33"/>
    </row>
    <row r="4500" ht="24" customHeight="1" spans="2:14">
      <c r="B4500" s="33"/>
      <c r="C4500" s="60"/>
      <c r="D4500" s="60"/>
      <c r="E4500" s="60"/>
      <c r="F4500" s="60"/>
      <c r="G4500" s="60"/>
      <c r="H4500" s="60"/>
      <c r="I4500" s="60"/>
      <c r="J4500" s="60"/>
      <c r="K4500" s="60"/>
      <c r="L4500" s="60"/>
      <c r="M4500" s="64"/>
      <c r="N4500" s="33"/>
    </row>
    <row r="4501" ht="24" customHeight="1" spans="2:14">
      <c r="B4501" s="33"/>
      <c r="C4501" s="60"/>
      <c r="D4501" s="60"/>
      <c r="E4501" s="60"/>
      <c r="F4501" s="60"/>
      <c r="G4501" s="60"/>
      <c r="H4501" s="60"/>
      <c r="I4501" s="60"/>
      <c r="J4501" s="60"/>
      <c r="K4501" s="60"/>
      <c r="L4501" s="60"/>
      <c r="M4501" s="64"/>
      <c r="N4501" s="33"/>
    </row>
    <row r="4502" ht="24" customHeight="1" spans="2:14">
      <c r="B4502" s="33"/>
      <c r="C4502" s="60"/>
      <c r="D4502" s="60"/>
      <c r="E4502" s="60"/>
      <c r="F4502" s="60"/>
      <c r="G4502" s="60"/>
      <c r="H4502" s="60"/>
      <c r="I4502" s="60"/>
      <c r="J4502" s="60"/>
      <c r="K4502" s="60"/>
      <c r="L4502" s="60"/>
      <c r="M4502" s="64"/>
      <c r="N4502" s="33"/>
    </row>
    <row r="4503" ht="24" customHeight="1" spans="2:14">
      <c r="B4503" s="33"/>
      <c r="C4503" s="60"/>
      <c r="D4503" s="60"/>
      <c r="E4503" s="60"/>
      <c r="F4503" s="60"/>
      <c r="G4503" s="60"/>
      <c r="H4503" s="60"/>
      <c r="I4503" s="60"/>
      <c r="J4503" s="60"/>
      <c r="K4503" s="60"/>
      <c r="L4503" s="60"/>
      <c r="M4503" s="64"/>
      <c r="N4503" s="33"/>
    </row>
    <row r="4504" ht="24" customHeight="1" spans="2:14">
      <c r="B4504" s="33"/>
      <c r="C4504" s="60"/>
      <c r="D4504" s="60"/>
      <c r="E4504" s="60"/>
      <c r="F4504" s="60"/>
      <c r="G4504" s="60"/>
      <c r="H4504" s="60"/>
      <c r="I4504" s="60"/>
      <c r="J4504" s="60"/>
      <c r="K4504" s="60"/>
      <c r="L4504" s="60"/>
      <c r="M4504" s="64"/>
      <c r="N4504" s="33"/>
    </row>
    <row r="4505" ht="24" customHeight="1" spans="2:14">
      <c r="B4505" s="33"/>
      <c r="C4505" s="60"/>
      <c r="D4505" s="60"/>
      <c r="E4505" s="60"/>
      <c r="F4505" s="60"/>
      <c r="G4505" s="60"/>
      <c r="H4505" s="60"/>
      <c r="I4505" s="60"/>
      <c r="J4505" s="60"/>
      <c r="K4505" s="60"/>
      <c r="L4505" s="60"/>
      <c r="M4505" s="64"/>
      <c r="N4505" s="33"/>
    </row>
    <row r="4506" ht="24" customHeight="1" spans="2:14">
      <c r="B4506" s="33"/>
      <c r="C4506" s="60"/>
      <c r="D4506" s="60"/>
      <c r="E4506" s="60"/>
      <c r="F4506" s="60"/>
      <c r="G4506" s="60"/>
      <c r="H4506" s="60"/>
      <c r="I4506" s="60"/>
      <c r="J4506" s="60"/>
      <c r="K4506" s="60"/>
      <c r="L4506" s="60"/>
      <c r="M4506" s="64"/>
      <c r="N4506" s="33"/>
    </row>
    <row r="4507" ht="24" customHeight="1" spans="2:14">
      <c r="B4507" s="33"/>
      <c r="C4507" s="60"/>
      <c r="D4507" s="60"/>
      <c r="E4507" s="60"/>
      <c r="F4507" s="60"/>
      <c r="G4507" s="60"/>
      <c r="H4507" s="60"/>
      <c r="I4507" s="60"/>
      <c r="J4507" s="60"/>
      <c r="K4507" s="60"/>
      <c r="L4507" s="60"/>
      <c r="M4507" s="64"/>
      <c r="N4507" s="33"/>
    </row>
    <row r="4508" ht="24" customHeight="1" spans="2:14">
      <c r="B4508" s="33"/>
      <c r="C4508" s="60"/>
      <c r="D4508" s="60"/>
      <c r="E4508" s="60"/>
      <c r="F4508" s="60"/>
      <c r="G4508" s="60"/>
      <c r="H4508" s="60"/>
      <c r="I4508" s="60"/>
      <c r="J4508" s="60"/>
      <c r="K4508" s="60"/>
      <c r="L4508" s="60"/>
      <c r="M4508" s="64"/>
      <c r="N4508" s="33"/>
    </row>
    <row r="4509" ht="24" customHeight="1" spans="2:14">
      <c r="B4509" s="33"/>
      <c r="C4509" s="60"/>
      <c r="D4509" s="60"/>
      <c r="E4509" s="60"/>
      <c r="F4509" s="60"/>
      <c r="G4509" s="60"/>
      <c r="H4509" s="60"/>
      <c r="I4509" s="60"/>
      <c r="J4509" s="60"/>
      <c r="K4509" s="60"/>
      <c r="L4509" s="60"/>
      <c r="M4509" s="64"/>
      <c r="N4509" s="33"/>
    </row>
    <row r="4510" ht="24" customHeight="1" spans="2:14">
      <c r="B4510" s="33"/>
      <c r="C4510" s="60"/>
      <c r="D4510" s="60"/>
      <c r="E4510" s="60"/>
      <c r="F4510" s="60"/>
      <c r="G4510" s="60"/>
      <c r="H4510" s="60"/>
      <c r="I4510" s="60"/>
      <c r="J4510" s="60"/>
      <c r="K4510" s="60"/>
      <c r="L4510" s="60"/>
      <c r="M4510" s="64"/>
      <c r="N4510" s="33"/>
    </row>
    <row r="4511" ht="24" customHeight="1" spans="2:14">
      <c r="B4511" s="33"/>
      <c r="C4511" s="60"/>
      <c r="D4511" s="60"/>
      <c r="E4511" s="60"/>
      <c r="F4511" s="60"/>
      <c r="G4511" s="60"/>
      <c r="H4511" s="60"/>
      <c r="I4511" s="60"/>
      <c r="J4511" s="60"/>
      <c r="K4511" s="60"/>
      <c r="L4511" s="60"/>
      <c r="M4511" s="64"/>
      <c r="N4511" s="33"/>
    </row>
    <row r="4512" ht="24" customHeight="1" spans="2:14">
      <c r="B4512" s="33"/>
      <c r="C4512" s="60"/>
      <c r="D4512" s="60"/>
      <c r="E4512" s="60"/>
      <c r="F4512" s="60"/>
      <c r="G4512" s="60"/>
      <c r="H4512" s="60"/>
      <c r="I4512" s="60"/>
      <c r="J4512" s="60"/>
      <c r="K4512" s="60"/>
      <c r="L4512" s="60"/>
      <c r="M4512" s="64"/>
      <c r="N4512" s="33"/>
    </row>
    <row r="4513" ht="24" customHeight="1" spans="2:14">
      <c r="B4513" s="33"/>
      <c r="C4513" s="60"/>
      <c r="D4513" s="60"/>
      <c r="E4513" s="60"/>
      <c r="F4513" s="60"/>
      <c r="G4513" s="60"/>
      <c r="H4513" s="60"/>
      <c r="I4513" s="60"/>
      <c r="J4513" s="60"/>
      <c r="K4513" s="60"/>
      <c r="L4513" s="60"/>
      <c r="M4513" s="64"/>
      <c r="N4513" s="33"/>
    </row>
    <row r="4514" ht="24" customHeight="1" spans="2:14">
      <c r="B4514" s="33"/>
      <c r="C4514" s="60"/>
      <c r="D4514" s="60"/>
      <c r="E4514" s="60"/>
      <c r="F4514" s="60"/>
      <c r="G4514" s="60"/>
      <c r="H4514" s="60"/>
      <c r="I4514" s="60"/>
      <c r="J4514" s="60"/>
      <c r="K4514" s="60"/>
      <c r="L4514" s="60"/>
      <c r="M4514" s="64"/>
      <c r="N4514" s="33"/>
    </row>
    <row r="4515" ht="24" customHeight="1" spans="2:14">
      <c r="B4515" s="33"/>
      <c r="C4515" s="60"/>
      <c r="D4515" s="60"/>
      <c r="E4515" s="60"/>
      <c r="F4515" s="60"/>
      <c r="G4515" s="60"/>
      <c r="H4515" s="60"/>
      <c r="I4515" s="60"/>
      <c r="J4515" s="60"/>
      <c r="K4515" s="60"/>
      <c r="L4515" s="60"/>
      <c r="M4515" s="64"/>
      <c r="N4515" s="33"/>
    </row>
    <row r="4516" ht="24" customHeight="1" spans="2:14">
      <c r="B4516" s="33"/>
      <c r="C4516" s="60"/>
      <c r="D4516" s="60"/>
      <c r="E4516" s="60"/>
      <c r="F4516" s="60"/>
      <c r="G4516" s="60"/>
      <c r="H4516" s="60"/>
      <c r="I4516" s="60"/>
      <c r="J4516" s="60"/>
      <c r="K4516" s="60"/>
      <c r="L4516" s="60"/>
      <c r="M4516" s="64"/>
      <c r="N4516" s="33"/>
    </row>
    <row r="4517" ht="24" customHeight="1" spans="2:14">
      <c r="B4517" s="33"/>
      <c r="C4517" s="60"/>
      <c r="D4517" s="60"/>
      <c r="E4517" s="60"/>
      <c r="F4517" s="60"/>
      <c r="G4517" s="60"/>
      <c r="H4517" s="60"/>
      <c r="I4517" s="60"/>
      <c r="J4517" s="60"/>
      <c r="K4517" s="60"/>
      <c r="L4517" s="60"/>
      <c r="M4517" s="64"/>
      <c r="N4517" s="33"/>
    </row>
    <row r="4518" ht="24" customHeight="1" spans="2:14">
      <c r="B4518" s="33"/>
      <c r="C4518" s="60"/>
      <c r="D4518" s="60"/>
      <c r="E4518" s="60"/>
      <c r="F4518" s="60"/>
      <c r="G4518" s="60"/>
      <c r="H4518" s="60"/>
      <c r="I4518" s="60"/>
      <c r="J4518" s="60"/>
      <c r="K4518" s="60"/>
      <c r="L4518" s="60"/>
      <c r="M4518" s="64"/>
      <c r="N4518" s="33"/>
    </row>
    <row r="4519" ht="24" customHeight="1" spans="2:14">
      <c r="B4519" s="33"/>
      <c r="C4519" s="60"/>
      <c r="D4519" s="60"/>
      <c r="E4519" s="60"/>
      <c r="F4519" s="60"/>
      <c r="G4519" s="60"/>
      <c r="H4519" s="60"/>
      <c r="I4519" s="60"/>
      <c r="J4519" s="60"/>
      <c r="K4519" s="60"/>
      <c r="L4519" s="60"/>
      <c r="M4519" s="64"/>
      <c r="N4519" s="33"/>
    </row>
    <row r="4520" ht="24" customHeight="1" spans="2:14">
      <c r="B4520" s="33"/>
      <c r="C4520" s="60"/>
      <c r="D4520" s="60"/>
      <c r="E4520" s="60"/>
      <c r="F4520" s="60"/>
      <c r="G4520" s="60"/>
      <c r="H4520" s="60"/>
      <c r="I4520" s="60"/>
      <c r="J4520" s="60"/>
      <c r="K4520" s="60"/>
      <c r="L4520" s="60"/>
      <c r="M4520" s="64"/>
      <c r="N4520" s="33"/>
    </row>
    <row r="4521" ht="24" customHeight="1" spans="2:14">
      <c r="B4521" s="33"/>
      <c r="C4521" s="60"/>
      <c r="D4521" s="60"/>
      <c r="E4521" s="60"/>
      <c r="F4521" s="60"/>
      <c r="G4521" s="60"/>
      <c r="H4521" s="60"/>
      <c r="I4521" s="60"/>
      <c r="J4521" s="60"/>
      <c r="K4521" s="60"/>
      <c r="L4521" s="60"/>
      <c r="M4521" s="64"/>
      <c r="N4521" s="33"/>
    </row>
    <row r="4522" ht="24" customHeight="1" spans="2:14">
      <c r="B4522" s="33"/>
      <c r="C4522" s="60"/>
      <c r="D4522" s="60"/>
      <c r="E4522" s="60"/>
      <c r="F4522" s="60"/>
      <c r="G4522" s="60"/>
      <c r="H4522" s="60"/>
      <c r="I4522" s="60"/>
      <c r="J4522" s="60"/>
      <c r="K4522" s="60"/>
      <c r="L4522" s="60"/>
      <c r="M4522" s="64"/>
      <c r="N4522" s="33"/>
    </row>
    <row r="4523" ht="24" customHeight="1" spans="2:14">
      <c r="B4523" s="33"/>
      <c r="C4523" s="60"/>
      <c r="D4523" s="60"/>
      <c r="E4523" s="60"/>
      <c r="F4523" s="60"/>
      <c r="G4523" s="60"/>
      <c r="H4523" s="60"/>
      <c r="I4523" s="60"/>
      <c r="J4523" s="60"/>
      <c r="K4523" s="60"/>
      <c r="L4523" s="60"/>
      <c r="M4523" s="64"/>
      <c r="N4523" s="33"/>
    </row>
    <row r="4524" ht="24" customHeight="1" spans="2:14">
      <c r="B4524" s="33"/>
      <c r="C4524" s="60"/>
      <c r="D4524" s="60"/>
      <c r="E4524" s="60"/>
      <c r="F4524" s="60"/>
      <c r="G4524" s="60"/>
      <c r="H4524" s="60"/>
      <c r="I4524" s="60"/>
      <c r="J4524" s="60"/>
      <c r="K4524" s="60"/>
      <c r="L4524" s="60"/>
      <c r="M4524" s="64"/>
      <c r="N4524" s="33"/>
    </row>
    <row r="4525" ht="24" customHeight="1" spans="2:14">
      <c r="B4525" s="33"/>
      <c r="C4525" s="60"/>
      <c r="D4525" s="60"/>
      <c r="E4525" s="60"/>
      <c r="F4525" s="60"/>
      <c r="G4525" s="60"/>
      <c r="H4525" s="60"/>
      <c r="I4525" s="60"/>
      <c r="J4525" s="60"/>
      <c r="K4525" s="60"/>
      <c r="L4525" s="60"/>
      <c r="M4525" s="64"/>
      <c r="N4525" s="33"/>
    </row>
    <row r="4526" ht="24" customHeight="1" spans="2:14">
      <c r="B4526" s="33"/>
      <c r="C4526" s="60"/>
      <c r="D4526" s="60"/>
      <c r="E4526" s="60"/>
      <c r="F4526" s="60"/>
      <c r="G4526" s="60"/>
      <c r="H4526" s="60"/>
      <c r="I4526" s="60"/>
      <c r="J4526" s="60"/>
      <c r="K4526" s="60"/>
      <c r="L4526" s="60"/>
      <c r="M4526" s="64"/>
      <c r="N4526" s="33"/>
    </row>
    <row r="4527" ht="24" customHeight="1" spans="2:14">
      <c r="B4527" s="33"/>
      <c r="C4527" s="60"/>
      <c r="D4527" s="60"/>
      <c r="E4527" s="60"/>
      <c r="F4527" s="60"/>
      <c r="G4527" s="60"/>
      <c r="H4527" s="60"/>
      <c r="I4527" s="60"/>
      <c r="J4527" s="60"/>
      <c r="K4527" s="60"/>
      <c r="L4527" s="60"/>
      <c r="M4527" s="64"/>
      <c r="N4527" s="33"/>
    </row>
    <row r="4528" ht="24" customHeight="1" spans="2:14">
      <c r="B4528" s="33"/>
      <c r="C4528" s="60"/>
      <c r="D4528" s="60"/>
      <c r="E4528" s="60"/>
      <c r="F4528" s="60"/>
      <c r="G4528" s="60"/>
      <c r="H4528" s="60"/>
      <c r="I4528" s="60"/>
      <c r="J4528" s="60"/>
      <c r="K4528" s="60"/>
      <c r="L4528" s="60"/>
      <c r="M4528" s="64"/>
      <c r="N4528" s="33"/>
    </row>
    <row r="4529" ht="24" customHeight="1" spans="2:14">
      <c r="B4529" s="33"/>
      <c r="C4529" s="60"/>
      <c r="D4529" s="60"/>
      <c r="E4529" s="60"/>
      <c r="F4529" s="60"/>
      <c r="G4529" s="60"/>
      <c r="H4529" s="60"/>
      <c r="I4529" s="60"/>
      <c r="J4529" s="60"/>
      <c r="K4529" s="60"/>
      <c r="L4529" s="60"/>
      <c r="M4529" s="64"/>
      <c r="N4529" s="33"/>
    </row>
    <row r="4530" ht="24" customHeight="1" spans="2:14">
      <c r="B4530" s="33"/>
      <c r="C4530" s="60"/>
      <c r="D4530" s="60"/>
      <c r="E4530" s="60"/>
      <c r="F4530" s="60"/>
      <c r="G4530" s="60"/>
      <c r="H4530" s="60"/>
      <c r="I4530" s="60"/>
      <c r="J4530" s="60"/>
      <c r="K4530" s="60"/>
      <c r="L4530" s="60"/>
      <c r="M4530" s="64"/>
      <c r="N4530" s="33"/>
    </row>
    <row r="4531" ht="24" customHeight="1" spans="2:14">
      <c r="B4531" s="33"/>
      <c r="C4531" s="60"/>
      <c r="D4531" s="60"/>
      <c r="E4531" s="60"/>
      <c r="F4531" s="60"/>
      <c r="G4531" s="60"/>
      <c r="H4531" s="60"/>
      <c r="I4531" s="60"/>
      <c r="J4531" s="60"/>
      <c r="K4531" s="60"/>
      <c r="L4531" s="60"/>
      <c r="M4531" s="64"/>
      <c r="N4531" s="33"/>
    </row>
    <row r="4532" ht="24" customHeight="1" spans="2:14">
      <c r="B4532" s="33"/>
      <c r="C4532" s="60"/>
      <c r="D4532" s="60"/>
      <c r="E4532" s="60"/>
      <c r="F4532" s="60"/>
      <c r="G4532" s="60"/>
      <c r="H4532" s="60"/>
      <c r="I4532" s="60"/>
      <c r="J4532" s="60"/>
      <c r="K4532" s="60"/>
      <c r="L4532" s="60"/>
      <c r="M4532" s="64"/>
      <c r="N4532" s="33"/>
    </row>
    <row r="4533" ht="24" customHeight="1" spans="2:14">
      <c r="B4533" s="33"/>
      <c r="C4533" s="60"/>
      <c r="D4533" s="60"/>
      <c r="E4533" s="60"/>
      <c r="F4533" s="60"/>
      <c r="G4533" s="60"/>
      <c r="H4533" s="60"/>
      <c r="I4533" s="60"/>
      <c r="J4533" s="60"/>
      <c r="K4533" s="60"/>
      <c r="L4533" s="60"/>
      <c r="M4533" s="64"/>
      <c r="N4533" s="33"/>
    </row>
    <row r="4534" ht="24" customHeight="1" spans="2:14">
      <c r="B4534" s="33"/>
      <c r="C4534" s="60"/>
      <c r="D4534" s="60"/>
      <c r="E4534" s="60"/>
      <c r="F4534" s="60"/>
      <c r="G4534" s="60"/>
      <c r="H4534" s="60"/>
      <c r="I4534" s="60"/>
      <c r="J4534" s="60"/>
      <c r="K4534" s="60"/>
      <c r="L4534" s="60"/>
      <c r="M4534" s="64"/>
      <c r="N4534" s="33"/>
    </row>
    <row r="4535" ht="24" customHeight="1" spans="2:14">
      <c r="B4535" s="33"/>
      <c r="C4535" s="60"/>
      <c r="D4535" s="60"/>
      <c r="E4535" s="60"/>
      <c r="F4535" s="60"/>
      <c r="G4535" s="60"/>
      <c r="H4535" s="60"/>
      <c r="I4535" s="60"/>
      <c r="J4535" s="60"/>
      <c r="K4535" s="60"/>
      <c r="L4535" s="60"/>
      <c r="M4535" s="64"/>
      <c r="N4535" s="33"/>
    </row>
    <row r="4536" ht="24" customHeight="1" spans="2:14">
      <c r="B4536" s="33"/>
      <c r="C4536" s="60"/>
      <c r="D4536" s="60"/>
      <c r="E4536" s="60"/>
      <c r="F4536" s="60"/>
      <c r="G4536" s="60"/>
      <c r="H4536" s="60"/>
      <c r="I4536" s="60"/>
      <c r="J4536" s="60"/>
      <c r="K4536" s="60"/>
      <c r="L4536" s="60"/>
      <c r="M4536" s="64"/>
      <c r="N4536" s="33"/>
    </row>
    <row r="4537" ht="24" customHeight="1" spans="2:14">
      <c r="B4537" s="33"/>
      <c r="C4537" s="60"/>
      <c r="D4537" s="60"/>
      <c r="E4537" s="60"/>
      <c r="F4537" s="60"/>
      <c r="G4537" s="60"/>
      <c r="H4537" s="60"/>
      <c r="I4537" s="60"/>
      <c r="J4537" s="60"/>
      <c r="K4537" s="60"/>
      <c r="L4537" s="60"/>
      <c r="M4537" s="64"/>
      <c r="N4537" s="33"/>
    </row>
    <row r="4538" ht="24" customHeight="1" spans="2:14">
      <c r="B4538" s="33"/>
      <c r="C4538" s="60"/>
      <c r="D4538" s="60"/>
      <c r="E4538" s="60"/>
      <c r="F4538" s="60"/>
      <c r="G4538" s="60"/>
      <c r="H4538" s="60"/>
      <c r="I4538" s="60"/>
      <c r="J4538" s="60"/>
      <c r="K4538" s="60"/>
      <c r="L4538" s="60"/>
      <c r="M4538" s="64"/>
      <c r="N4538" s="33"/>
    </row>
    <row r="4539" ht="24" customHeight="1" spans="2:14">
      <c r="B4539" s="33"/>
      <c r="C4539" s="60"/>
      <c r="D4539" s="60"/>
      <c r="E4539" s="60"/>
      <c r="F4539" s="60"/>
      <c r="G4539" s="60"/>
      <c r="H4539" s="60"/>
      <c r="I4539" s="60"/>
      <c r="J4539" s="60"/>
      <c r="K4539" s="60"/>
      <c r="L4539" s="60"/>
      <c r="M4539" s="64"/>
      <c r="N4539" s="33"/>
    </row>
    <row r="4540" ht="24" customHeight="1" spans="2:14">
      <c r="B4540" s="33"/>
      <c r="C4540" s="60"/>
      <c r="D4540" s="60"/>
      <c r="E4540" s="60"/>
      <c r="F4540" s="60"/>
      <c r="G4540" s="60"/>
      <c r="H4540" s="60"/>
      <c r="I4540" s="60"/>
      <c r="J4540" s="60"/>
      <c r="K4540" s="60"/>
      <c r="L4540" s="60"/>
      <c r="M4540" s="64"/>
      <c r="N4540" s="33"/>
    </row>
    <row r="4541" ht="24" customHeight="1" spans="2:14">
      <c r="B4541" s="33"/>
      <c r="C4541" s="60"/>
      <c r="D4541" s="60"/>
      <c r="E4541" s="60"/>
      <c r="F4541" s="60"/>
      <c r="G4541" s="60"/>
      <c r="H4541" s="60"/>
      <c r="I4541" s="60"/>
      <c r="J4541" s="60"/>
      <c r="K4541" s="60"/>
      <c r="L4541" s="60"/>
      <c r="M4541" s="64"/>
      <c r="N4541" s="33"/>
    </row>
    <row r="4542" ht="24" customHeight="1" spans="2:14">
      <c r="B4542" s="33"/>
      <c r="C4542" s="60"/>
      <c r="D4542" s="60"/>
      <c r="E4542" s="60"/>
      <c r="F4542" s="60"/>
      <c r="G4542" s="60"/>
      <c r="H4542" s="60"/>
      <c r="I4542" s="60"/>
      <c r="J4542" s="60"/>
      <c r="K4542" s="60"/>
      <c r="L4542" s="60"/>
      <c r="M4542" s="64"/>
      <c r="N4542" s="33"/>
    </row>
    <row r="4543" ht="24" customHeight="1" spans="2:14">
      <c r="B4543" s="33"/>
      <c r="C4543" s="60"/>
      <c r="D4543" s="60"/>
      <c r="E4543" s="60"/>
      <c r="F4543" s="60"/>
      <c r="G4543" s="60"/>
      <c r="H4543" s="60"/>
      <c r="I4543" s="60"/>
      <c r="J4543" s="60"/>
      <c r="K4543" s="60"/>
      <c r="L4543" s="60"/>
      <c r="M4543" s="64"/>
      <c r="N4543" s="33"/>
    </row>
    <row r="4544" ht="24" customHeight="1" spans="2:14">
      <c r="B4544" s="33"/>
      <c r="C4544" s="60"/>
      <c r="D4544" s="60"/>
      <c r="E4544" s="60"/>
      <c r="F4544" s="60"/>
      <c r="G4544" s="60"/>
      <c r="H4544" s="60"/>
      <c r="I4544" s="60"/>
      <c r="J4544" s="60"/>
      <c r="K4544" s="60"/>
      <c r="L4544" s="60"/>
      <c r="M4544" s="64"/>
      <c r="N4544" s="33"/>
    </row>
    <row r="4545" ht="24" customHeight="1" spans="2:14">
      <c r="B4545" s="33"/>
      <c r="C4545" s="60"/>
      <c r="D4545" s="60"/>
      <c r="E4545" s="60"/>
      <c r="F4545" s="60"/>
      <c r="G4545" s="60"/>
      <c r="H4545" s="60"/>
      <c r="I4545" s="60"/>
      <c r="J4545" s="60"/>
      <c r="K4545" s="60"/>
      <c r="L4545" s="60"/>
      <c r="M4545" s="64"/>
      <c r="N4545" s="33"/>
    </row>
    <row r="4546" ht="24" customHeight="1" spans="2:14">
      <c r="B4546" s="33"/>
      <c r="C4546" s="60"/>
      <c r="D4546" s="60"/>
      <c r="E4546" s="60"/>
      <c r="F4546" s="60"/>
      <c r="G4546" s="60"/>
      <c r="H4546" s="60"/>
      <c r="I4546" s="60"/>
      <c r="J4546" s="60"/>
      <c r="K4546" s="60"/>
      <c r="L4546" s="60"/>
      <c r="M4546" s="64"/>
      <c r="N4546" s="33"/>
    </row>
    <row r="4547" ht="24" customHeight="1" spans="2:14">
      <c r="B4547" s="33"/>
      <c r="C4547" s="60"/>
      <c r="D4547" s="60"/>
      <c r="E4547" s="60"/>
      <c r="F4547" s="60"/>
      <c r="G4547" s="60"/>
      <c r="H4547" s="60"/>
      <c r="I4547" s="60"/>
      <c r="J4547" s="60"/>
      <c r="K4547" s="60"/>
      <c r="L4547" s="60"/>
      <c r="M4547" s="64"/>
      <c r="N4547" s="33"/>
    </row>
    <row r="4548" ht="24" customHeight="1" spans="2:14">
      <c r="B4548" s="33"/>
      <c r="C4548" s="60"/>
      <c r="D4548" s="60"/>
      <c r="E4548" s="60"/>
      <c r="F4548" s="60"/>
      <c r="G4548" s="60"/>
      <c r="H4548" s="60"/>
      <c r="I4548" s="60"/>
      <c r="J4548" s="60"/>
      <c r="K4548" s="60"/>
      <c r="L4548" s="60"/>
      <c r="M4548" s="64"/>
      <c r="N4548" s="33"/>
    </row>
    <row r="4549" ht="24" customHeight="1" spans="2:14">
      <c r="B4549" s="33"/>
      <c r="C4549" s="60"/>
      <c r="D4549" s="60"/>
      <c r="E4549" s="60"/>
      <c r="F4549" s="60"/>
      <c r="G4549" s="60"/>
      <c r="H4549" s="60"/>
      <c r="I4549" s="60"/>
      <c r="J4549" s="60"/>
      <c r="K4549" s="60"/>
      <c r="L4549" s="60"/>
      <c r="M4549" s="64"/>
      <c r="N4549" s="33"/>
    </row>
    <row r="4550" ht="24" customHeight="1" spans="2:14">
      <c r="B4550" s="33"/>
      <c r="C4550" s="60"/>
      <c r="D4550" s="60"/>
      <c r="E4550" s="60"/>
      <c r="F4550" s="60"/>
      <c r="G4550" s="60"/>
      <c r="H4550" s="60"/>
      <c r="I4550" s="60"/>
      <c r="J4550" s="60"/>
      <c r="K4550" s="60"/>
      <c r="L4550" s="60"/>
      <c r="M4550" s="64"/>
      <c r="N4550" s="33"/>
    </row>
    <row r="4551" ht="24" customHeight="1" spans="2:14">
      <c r="B4551" s="33"/>
      <c r="C4551" s="60"/>
      <c r="D4551" s="60"/>
      <c r="E4551" s="60"/>
      <c r="F4551" s="60"/>
      <c r="G4551" s="60"/>
      <c r="H4551" s="60"/>
      <c r="I4551" s="60"/>
      <c r="J4551" s="60"/>
      <c r="K4551" s="60"/>
      <c r="L4551" s="60"/>
      <c r="M4551" s="64"/>
      <c r="N4551" s="33"/>
    </row>
    <row r="4552" ht="24" customHeight="1" spans="2:14">
      <c r="B4552" s="33"/>
      <c r="C4552" s="60"/>
      <c r="D4552" s="60"/>
      <c r="E4552" s="60"/>
      <c r="F4552" s="60"/>
      <c r="G4552" s="60"/>
      <c r="H4552" s="60"/>
      <c r="I4552" s="60"/>
      <c r="J4552" s="60"/>
      <c r="K4552" s="60"/>
      <c r="L4552" s="60"/>
      <c r="M4552" s="64"/>
      <c r="N4552" s="33"/>
    </row>
    <row r="4553" ht="24" customHeight="1" spans="2:14">
      <c r="B4553" s="33"/>
      <c r="C4553" s="60"/>
      <c r="D4553" s="60"/>
      <c r="E4553" s="60"/>
      <c r="F4553" s="60"/>
      <c r="G4553" s="60"/>
      <c r="H4553" s="60"/>
      <c r="I4553" s="60"/>
      <c r="J4553" s="60"/>
      <c r="K4553" s="60"/>
      <c r="L4553" s="60"/>
      <c r="M4553" s="64"/>
      <c r="N4553" s="33"/>
    </row>
    <row r="4554" ht="24" customHeight="1" spans="2:14">
      <c r="B4554" s="33"/>
      <c r="C4554" s="60"/>
      <c r="D4554" s="60"/>
      <c r="E4554" s="60"/>
      <c r="F4554" s="60"/>
      <c r="G4554" s="60"/>
      <c r="H4554" s="60"/>
      <c r="I4554" s="60"/>
      <c r="J4554" s="60"/>
      <c r="K4554" s="60"/>
      <c r="L4554" s="60"/>
      <c r="M4554" s="64"/>
      <c r="N4554" s="33"/>
    </row>
    <row r="4555" ht="24" customHeight="1" spans="2:14">
      <c r="B4555" s="33"/>
      <c r="C4555" s="60"/>
      <c r="D4555" s="60"/>
      <c r="E4555" s="60"/>
      <c r="F4555" s="60"/>
      <c r="G4555" s="60"/>
      <c r="H4555" s="60"/>
      <c r="I4555" s="60"/>
      <c r="J4555" s="60"/>
      <c r="K4555" s="60"/>
      <c r="L4555" s="60"/>
      <c r="M4555" s="64"/>
      <c r="N4555" s="33"/>
    </row>
    <row r="4556" ht="24" customHeight="1" spans="2:14">
      <c r="B4556" s="33"/>
      <c r="C4556" s="60"/>
      <c r="D4556" s="60"/>
      <c r="E4556" s="60"/>
      <c r="F4556" s="60"/>
      <c r="G4556" s="60"/>
      <c r="H4556" s="60"/>
      <c r="I4556" s="60"/>
      <c r="J4556" s="60"/>
      <c r="K4556" s="60"/>
      <c r="L4556" s="60"/>
      <c r="M4556" s="64"/>
      <c r="N4556" s="33"/>
    </row>
    <row r="4557" ht="24" customHeight="1" spans="2:14">
      <c r="B4557" s="33"/>
      <c r="C4557" s="60"/>
      <c r="D4557" s="60"/>
      <c r="E4557" s="60"/>
      <c r="F4557" s="60"/>
      <c r="G4557" s="60"/>
      <c r="H4557" s="60"/>
      <c r="I4557" s="60"/>
      <c r="J4557" s="60"/>
      <c r="K4557" s="60"/>
      <c r="L4557" s="60"/>
      <c r="M4557" s="64"/>
      <c r="N4557" s="33"/>
    </row>
    <row r="4558" ht="24" customHeight="1" spans="2:14">
      <c r="B4558" s="33"/>
      <c r="C4558" s="60"/>
      <c r="D4558" s="60"/>
      <c r="E4558" s="60"/>
      <c r="F4558" s="60"/>
      <c r="G4558" s="60"/>
      <c r="H4558" s="60"/>
      <c r="I4558" s="60"/>
      <c r="J4558" s="60"/>
      <c r="K4558" s="60"/>
      <c r="L4558" s="60"/>
      <c r="M4558" s="64"/>
      <c r="N4558" s="33"/>
    </row>
    <row r="4559" ht="24" customHeight="1" spans="2:14">
      <c r="B4559" s="33"/>
      <c r="C4559" s="60"/>
      <c r="D4559" s="60"/>
      <c r="E4559" s="60"/>
      <c r="F4559" s="60"/>
      <c r="G4559" s="60"/>
      <c r="H4559" s="60"/>
      <c r="I4559" s="60"/>
      <c r="J4559" s="60"/>
      <c r="K4559" s="60"/>
      <c r="L4559" s="60"/>
      <c r="M4559" s="64"/>
      <c r="N4559" s="33"/>
    </row>
    <row r="4560" ht="24" customHeight="1" spans="2:14">
      <c r="B4560" s="33"/>
      <c r="C4560" s="60"/>
      <c r="D4560" s="60"/>
      <c r="E4560" s="60"/>
      <c r="F4560" s="60"/>
      <c r="G4560" s="60"/>
      <c r="H4560" s="60"/>
      <c r="I4560" s="60"/>
      <c r="J4560" s="60"/>
      <c r="K4560" s="60"/>
      <c r="L4560" s="60"/>
      <c r="M4560" s="64"/>
      <c r="N4560" s="33"/>
    </row>
    <row r="4561" ht="24" customHeight="1" spans="2:14">
      <c r="B4561" s="33"/>
      <c r="C4561" s="60"/>
      <c r="D4561" s="60"/>
      <c r="E4561" s="60"/>
      <c r="F4561" s="60"/>
      <c r="G4561" s="60"/>
      <c r="H4561" s="60"/>
      <c r="I4561" s="60"/>
      <c r="J4561" s="60"/>
      <c r="K4561" s="60"/>
      <c r="L4561" s="60"/>
      <c r="M4561" s="64"/>
      <c r="N4561" s="33"/>
    </row>
    <row r="4562" ht="24" customHeight="1" spans="2:14">
      <c r="B4562" s="33"/>
      <c r="C4562" s="60"/>
      <c r="D4562" s="60"/>
      <c r="E4562" s="60"/>
      <c r="F4562" s="60"/>
      <c r="G4562" s="60"/>
      <c r="H4562" s="60"/>
      <c r="I4562" s="60"/>
      <c r="J4562" s="60"/>
      <c r="K4562" s="60"/>
      <c r="L4562" s="60"/>
      <c r="M4562" s="64"/>
      <c r="N4562" s="33"/>
    </row>
    <row r="4563" ht="24" customHeight="1" spans="2:14">
      <c r="B4563" s="33"/>
      <c r="C4563" s="60"/>
      <c r="D4563" s="60"/>
      <c r="E4563" s="60"/>
      <c r="F4563" s="60"/>
      <c r="G4563" s="60"/>
      <c r="H4563" s="60"/>
      <c r="I4563" s="60"/>
      <c r="J4563" s="60"/>
      <c r="K4563" s="60"/>
      <c r="L4563" s="60"/>
      <c r="M4563" s="64"/>
      <c r="N4563" s="33"/>
    </row>
    <row r="4564" ht="24" customHeight="1" spans="2:14">
      <c r="B4564" s="33"/>
      <c r="C4564" s="60"/>
      <c r="D4564" s="60"/>
      <c r="E4564" s="60"/>
      <c r="F4564" s="60"/>
      <c r="G4564" s="60"/>
      <c r="H4564" s="60"/>
      <c r="I4564" s="60"/>
      <c r="J4564" s="60"/>
      <c r="K4564" s="60"/>
      <c r="L4564" s="60"/>
      <c r="M4564" s="64"/>
      <c r="N4564" s="33"/>
    </row>
    <row r="4565" ht="24" customHeight="1" spans="2:14">
      <c r="B4565" s="33"/>
      <c r="C4565" s="60"/>
      <c r="D4565" s="60"/>
      <c r="E4565" s="60"/>
      <c r="F4565" s="60"/>
      <c r="G4565" s="60"/>
      <c r="H4565" s="60"/>
      <c r="I4565" s="60"/>
      <c r="J4565" s="60"/>
      <c r="K4565" s="60"/>
      <c r="L4565" s="60"/>
      <c r="M4565" s="64"/>
      <c r="N4565" s="33"/>
    </row>
    <row r="4566" ht="24" customHeight="1" spans="2:14">
      <c r="B4566" s="33"/>
      <c r="C4566" s="60"/>
      <c r="D4566" s="60"/>
      <c r="E4566" s="60"/>
      <c r="F4566" s="60"/>
      <c r="G4566" s="60"/>
      <c r="H4566" s="60"/>
      <c r="I4566" s="60"/>
      <c r="J4566" s="60"/>
      <c r="K4566" s="60"/>
      <c r="L4566" s="60"/>
      <c r="M4566" s="64"/>
      <c r="N4566" s="33"/>
    </row>
    <row r="4567" ht="24" customHeight="1" spans="2:14">
      <c r="B4567" s="33"/>
      <c r="C4567" s="60"/>
      <c r="D4567" s="60"/>
      <c r="E4567" s="60"/>
      <c r="F4567" s="60"/>
      <c r="G4567" s="60"/>
      <c r="H4567" s="60"/>
      <c r="I4567" s="60"/>
      <c r="J4567" s="60"/>
      <c r="K4567" s="60"/>
      <c r="L4567" s="60"/>
      <c r="M4567" s="64"/>
      <c r="N4567" s="33"/>
    </row>
    <row r="4568" ht="24" customHeight="1" spans="2:14">
      <c r="B4568" s="33"/>
      <c r="C4568" s="60"/>
      <c r="D4568" s="60"/>
      <c r="E4568" s="60"/>
      <c r="F4568" s="60"/>
      <c r="G4568" s="60"/>
      <c r="H4568" s="60"/>
      <c r="I4568" s="60"/>
      <c r="J4568" s="60"/>
      <c r="K4568" s="60"/>
      <c r="L4568" s="60"/>
      <c r="M4568" s="64"/>
      <c r="N4568" s="33"/>
    </row>
    <row r="4569" ht="24" customHeight="1" spans="2:14">
      <c r="B4569" s="33"/>
      <c r="C4569" s="60"/>
      <c r="D4569" s="60"/>
      <c r="E4569" s="60"/>
      <c r="F4569" s="60"/>
      <c r="G4569" s="60"/>
      <c r="H4569" s="60"/>
      <c r="I4569" s="60"/>
      <c r="J4569" s="60"/>
      <c r="K4569" s="60"/>
      <c r="L4569" s="60"/>
      <c r="M4569" s="64"/>
      <c r="N4569" s="33"/>
    </row>
    <row r="4570" ht="24" customHeight="1" spans="2:14">
      <c r="B4570" s="33"/>
      <c r="C4570" s="60"/>
      <c r="D4570" s="60"/>
      <c r="E4570" s="60"/>
      <c r="F4570" s="60"/>
      <c r="G4570" s="60"/>
      <c r="H4570" s="60"/>
      <c r="I4570" s="60"/>
      <c r="J4570" s="60"/>
      <c r="K4570" s="60"/>
      <c r="L4570" s="60"/>
      <c r="M4570" s="64"/>
      <c r="N4570" s="33"/>
    </row>
    <row r="4571" ht="24" customHeight="1" spans="2:14">
      <c r="B4571" s="33"/>
      <c r="C4571" s="60"/>
      <c r="D4571" s="60"/>
      <c r="E4571" s="60"/>
      <c r="F4571" s="60"/>
      <c r="G4571" s="60"/>
      <c r="H4571" s="60"/>
      <c r="I4571" s="60"/>
      <c r="J4571" s="60"/>
      <c r="K4571" s="60"/>
      <c r="L4571" s="60"/>
      <c r="M4571" s="64"/>
      <c r="N4571" s="33"/>
    </row>
    <row r="4572" ht="24" customHeight="1" spans="2:14">
      <c r="B4572" s="33"/>
      <c r="C4572" s="60"/>
      <c r="D4572" s="60"/>
      <c r="E4572" s="60"/>
      <c r="F4572" s="60"/>
      <c r="G4572" s="60"/>
      <c r="H4572" s="60"/>
      <c r="I4572" s="60"/>
      <c r="J4572" s="60"/>
      <c r="K4572" s="60"/>
      <c r="L4572" s="60"/>
      <c r="M4572" s="64"/>
      <c r="N4572" s="33"/>
    </row>
    <row r="4573" ht="24" customHeight="1" spans="2:14">
      <c r="B4573" s="33"/>
      <c r="C4573" s="60"/>
      <c r="D4573" s="60"/>
      <c r="E4573" s="60"/>
      <c r="F4573" s="60"/>
      <c r="G4573" s="60"/>
      <c r="H4573" s="60"/>
      <c r="I4573" s="60"/>
      <c r="J4573" s="60"/>
      <c r="K4573" s="60"/>
      <c r="L4573" s="60"/>
      <c r="M4573" s="64"/>
      <c r="N4573" s="33"/>
    </row>
    <row r="4574" ht="24" customHeight="1" spans="2:14">
      <c r="B4574" s="33"/>
      <c r="C4574" s="60"/>
      <c r="D4574" s="60"/>
      <c r="E4574" s="60"/>
      <c r="F4574" s="60"/>
      <c r="G4574" s="60"/>
      <c r="H4574" s="60"/>
      <c r="I4574" s="60"/>
      <c r="J4574" s="60"/>
      <c r="K4574" s="60"/>
      <c r="L4574" s="60"/>
      <c r="M4574" s="64"/>
      <c r="N4574" s="33"/>
    </row>
    <row r="4575" ht="24" customHeight="1" spans="2:14">
      <c r="B4575" s="33"/>
      <c r="C4575" s="60"/>
      <c r="D4575" s="60"/>
      <c r="E4575" s="60"/>
      <c r="F4575" s="60"/>
      <c r="G4575" s="60"/>
      <c r="H4575" s="60"/>
      <c r="I4575" s="60"/>
      <c r="J4575" s="60"/>
      <c r="K4575" s="60"/>
      <c r="L4575" s="60"/>
      <c r="M4575" s="64"/>
      <c r="N4575" s="33"/>
    </row>
    <row r="4576" ht="24" customHeight="1" spans="2:14">
      <c r="B4576" s="33"/>
      <c r="C4576" s="60"/>
      <c r="D4576" s="60"/>
      <c r="E4576" s="60"/>
      <c r="F4576" s="60"/>
      <c r="G4576" s="60"/>
      <c r="H4576" s="60"/>
      <c r="I4576" s="60"/>
      <c r="J4576" s="60"/>
      <c r="K4576" s="60"/>
      <c r="L4576" s="60"/>
      <c r="M4576" s="64"/>
      <c r="N4576" s="33"/>
    </row>
    <row r="4577" ht="24" customHeight="1" spans="2:14">
      <c r="B4577" s="33"/>
      <c r="C4577" s="60"/>
      <c r="D4577" s="60"/>
      <c r="E4577" s="60"/>
      <c r="F4577" s="60"/>
      <c r="G4577" s="60"/>
      <c r="H4577" s="60"/>
      <c r="I4577" s="60"/>
      <c r="J4577" s="60"/>
      <c r="K4577" s="60"/>
      <c r="L4577" s="60"/>
      <c r="M4577" s="64"/>
      <c r="N4577" s="33"/>
    </row>
    <row r="4578" ht="24" customHeight="1" spans="2:14">
      <c r="B4578" s="33"/>
      <c r="C4578" s="60"/>
      <c r="D4578" s="60"/>
      <c r="E4578" s="60"/>
      <c r="F4578" s="60"/>
      <c r="G4578" s="60"/>
      <c r="H4578" s="60"/>
      <c r="I4578" s="60"/>
      <c r="J4578" s="60"/>
      <c r="K4578" s="60"/>
      <c r="L4578" s="60"/>
      <c r="M4578" s="64"/>
      <c r="N4578" s="33"/>
    </row>
    <row r="4579" ht="24" customHeight="1" spans="2:14">
      <c r="B4579" s="33"/>
      <c r="C4579" s="60"/>
      <c r="D4579" s="60"/>
      <c r="E4579" s="60"/>
      <c r="F4579" s="60"/>
      <c r="G4579" s="60"/>
      <c r="H4579" s="60"/>
      <c r="I4579" s="60"/>
      <c r="J4579" s="60"/>
      <c r="K4579" s="60"/>
      <c r="L4579" s="60"/>
      <c r="M4579" s="64"/>
      <c r="N4579" s="33"/>
    </row>
    <row r="4580" ht="24" customHeight="1" spans="2:14">
      <c r="B4580" s="33"/>
      <c r="C4580" s="60"/>
      <c r="D4580" s="60"/>
      <c r="E4580" s="60"/>
      <c r="F4580" s="60"/>
      <c r="G4580" s="60"/>
      <c r="H4580" s="60"/>
      <c r="I4580" s="60"/>
      <c r="J4580" s="60"/>
      <c r="K4580" s="60"/>
      <c r="L4580" s="60"/>
      <c r="M4580" s="64"/>
      <c r="N4580" s="33"/>
    </row>
    <row r="4581" ht="24" customHeight="1" spans="2:14">
      <c r="B4581" s="33"/>
      <c r="C4581" s="60"/>
      <c r="D4581" s="60"/>
      <c r="E4581" s="60"/>
      <c r="F4581" s="60"/>
      <c r="G4581" s="60"/>
      <c r="H4581" s="60"/>
      <c r="I4581" s="60"/>
      <c r="J4581" s="60"/>
      <c r="K4581" s="60"/>
      <c r="L4581" s="60"/>
      <c r="M4581" s="64"/>
      <c r="N4581" s="33"/>
    </row>
    <row r="4582" ht="24" customHeight="1" spans="2:14">
      <c r="B4582" s="33"/>
      <c r="C4582" s="60"/>
      <c r="D4582" s="60"/>
      <c r="E4582" s="60"/>
      <c r="F4582" s="60"/>
      <c r="G4582" s="60"/>
      <c r="H4582" s="60"/>
      <c r="I4582" s="60"/>
      <c r="J4582" s="60"/>
      <c r="K4582" s="60"/>
      <c r="L4582" s="60"/>
      <c r="M4582" s="64"/>
      <c r="N4582" s="33"/>
    </row>
    <row r="4583" ht="24" customHeight="1" spans="2:14">
      <c r="B4583" s="33"/>
      <c r="C4583" s="60"/>
      <c r="D4583" s="60"/>
      <c r="E4583" s="60"/>
      <c r="F4583" s="60"/>
      <c r="G4583" s="60"/>
      <c r="H4583" s="60"/>
      <c r="I4583" s="60"/>
      <c r="J4583" s="60"/>
      <c r="K4583" s="60"/>
      <c r="L4583" s="60"/>
      <c r="M4583" s="64"/>
      <c r="N4583" s="33"/>
    </row>
    <row r="4584" ht="24" customHeight="1" spans="2:14">
      <c r="B4584" s="33"/>
      <c r="C4584" s="60"/>
      <c r="D4584" s="60"/>
      <c r="E4584" s="60"/>
      <c r="F4584" s="60"/>
      <c r="G4584" s="60"/>
      <c r="H4584" s="60"/>
      <c r="I4584" s="60"/>
      <c r="J4584" s="60"/>
      <c r="K4584" s="60"/>
      <c r="L4584" s="60"/>
      <c r="M4584" s="64"/>
      <c r="N4584" s="33"/>
    </row>
    <row r="4585" ht="24" customHeight="1" spans="2:14">
      <c r="B4585" s="33"/>
      <c r="C4585" s="60"/>
      <c r="D4585" s="60"/>
      <c r="E4585" s="60"/>
      <c r="F4585" s="60"/>
      <c r="G4585" s="60"/>
      <c r="H4585" s="60"/>
      <c r="I4585" s="60"/>
      <c r="J4585" s="60"/>
      <c r="K4585" s="60"/>
      <c r="L4585" s="60"/>
      <c r="M4585" s="64"/>
      <c r="N4585" s="33"/>
    </row>
    <row r="4586" ht="24" customHeight="1" spans="2:14">
      <c r="B4586" s="33"/>
      <c r="C4586" s="60"/>
      <c r="D4586" s="60"/>
      <c r="E4586" s="60"/>
      <c r="F4586" s="60"/>
      <c r="G4586" s="60"/>
      <c r="H4586" s="60"/>
      <c r="I4586" s="60"/>
      <c r="J4586" s="60"/>
      <c r="K4586" s="60"/>
      <c r="L4586" s="60"/>
      <c r="M4586" s="64"/>
      <c r="N4586" s="33"/>
    </row>
    <row r="4587" ht="24" customHeight="1" spans="2:14">
      <c r="B4587" s="33"/>
      <c r="C4587" s="60"/>
      <c r="D4587" s="60"/>
      <c r="E4587" s="60"/>
      <c r="F4587" s="60"/>
      <c r="G4587" s="60"/>
      <c r="H4587" s="60"/>
      <c r="I4587" s="60"/>
      <c r="J4587" s="60"/>
      <c r="K4587" s="60"/>
      <c r="L4587" s="60"/>
      <c r="M4587" s="64"/>
      <c r="N4587" s="33"/>
    </row>
    <row r="4588" ht="24" customHeight="1" spans="2:14">
      <c r="B4588" s="33"/>
      <c r="C4588" s="60"/>
      <c r="D4588" s="60"/>
      <c r="E4588" s="60"/>
      <c r="F4588" s="60"/>
      <c r="G4588" s="60"/>
      <c r="H4588" s="60"/>
      <c r="I4588" s="60"/>
      <c r="J4588" s="60"/>
      <c r="K4588" s="60"/>
      <c r="L4588" s="60"/>
      <c r="M4588" s="64"/>
      <c r="N4588" s="33"/>
    </row>
    <row r="4589" ht="24" customHeight="1" spans="2:14">
      <c r="B4589" s="33"/>
      <c r="C4589" s="60"/>
      <c r="D4589" s="60"/>
      <c r="E4589" s="60"/>
      <c r="F4589" s="60"/>
      <c r="G4589" s="60"/>
      <c r="H4589" s="60"/>
      <c r="I4589" s="60"/>
      <c r="J4589" s="60"/>
      <c r="K4589" s="60"/>
      <c r="L4589" s="60"/>
      <c r="M4589" s="64"/>
      <c r="N4589" s="33"/>
    </row>
    <row r="4590" ht="24" customHeight="1" spans="2:14">
      <c r="B4590" s="33"/>
      <c r="C4590" s="60"/>
      <c r="D4590" s="60"/>
      <c r="E4590" s="60"/>
      <c r="F4590" s="60"/>
      <c r="G4590" s="60"/>
      <c r="H4590" s="60"/>
      <c r="I4590" s="60"/>
      <c r="J4590" s="60"/>
      <c r="K4590" s="60"/>
      <c r="L4590" s="60"/>
      <c r="M4590" s="64"/>
      <c r="N4590" s="33"/>
    </row>
    <row r="4591" ht="24" customHeight="1" spans="2:14">
      <c r="B4591" s="33"/>
      <c r="C4591" s="60"/>
      <c r="D4591" s="60"/>
      <c r="E4591" s="60"/>
      <c r="F4591" s="60"/>
      <c r="G4591" s="60"/>
      <c r="H4591" s="60"/>
      <c r="I4591" s="60"/>
      <c r="J4591" s="60"/>
      <c r="K4591" s="60"/>
      <c r="L4591" s="60"/>
      <c r="M4591" s="64"/>
      <c r="N4591" s="33"/>
    </row>
    <row r="4592" ht="24" customHeight="1" spans="2:14">
      <c r="B4592" s="33"/>
      <c r="C4592" s="60"/>
      <c r="D4592" s="60"/>
      <c r="E4592" s="60"/>
      <c r="F4592" s="60"/>
      <c r="G4592" s="60"/>
      <c r="H4592" s="60"/>
      <c r="I4592" s="60"/>
      <c r="J4592" s="60"/>
      <c r="K4592" s="60"/>
      <c r="L4592" s="60"/>
      <c r="M4592" s="64"/>
      <c r="N4592" s="33"/>
    </row>
    <row r="4593" ht="24" customHeight="1" spans="2:14">
      <c r="B4593" s="33"/>
      <c r="C4593" s="60"/>
      <c r="D4593" s="60"/>
      <c r="E4593" s="60"/>
      <c r="F4593" s="60"/>
      <c r="G4593" s="60"/>
      <c r="H4593" s="60"/>
      <c r="I4593" s="60"/>
      <c r="J4593" s="60"/>
      <c r="K4593" s="60"/>
      <c r="L4593" s="60"/>
      <c r="M4593" s="64"/>
      <c r="N4593" s="33"/>
    </row>
    <row r="4594" ht="24" customHeight="1" spans="2:14">
      <c r="B4594" s="33"/>
      <c r="C4594" s="60"/>
      <c r="D4594" s="60"/>
      <c r="E4594" s="60"/>
      <c r="F4594" s="60"/>
      <c r="G4594" s="60"/>
      <c r="H4594" s="60"/>
      <c r="I4594" s="60"/>
      <c r="J4594" s="60"/>
      <c r="K4594" s="60"/>
      <c r="L4594" s="60"/>
      <c r="M4594" s="64"/>
      <c r="N4594" s="33"/>
    </row>
    <row r="4595" ht="24" customHeight="1" spans="2:14">
      <c r="B4595" s="33"/>
      <c r="C4595" s="60"/>
      <c r="D4595" s="60"/>
      <c r="E4595" s="60"/>
      <c r="F4595" s="60"/>
      <c r="G4595" s="60"/>
      <c r="H4595" s="60"/>
      <c r="I4595" s="60"/>
      <c r="J4595" s="60"/>
      <c r="K4595" s="60"/>
      <c r="L4595" s="60"/>
      <c r="M4595" s="64"/>
      <c r="N4595" s="33"/>
    </row>
    <row r="4596" ht="24" customHeight="1" spans="2:14">
      <c r="B4596" s="33"/>
      <c r="C4596" s="60"/>
      <c r="D4596" s="60"/>
      <c r="E4596" s="60"/>
      <c r="F4596" s="60"/>
      <c r="G4596" s="60"/>
      <c r="H4596" s="60"/>
      <c r="I4596" s="60"/>
      <c r="J4596" s="60"/>
      <c r="K4596" s="60"/>
      <c r="L4596" s="60"/>
      <c r="M4596" s="64"/>
      <c r="N4596" s="33"/>
    </row>
    <row r="4597" ht="24" customHeight="1" spans="2:14">
      <c r="B4597" s="33"/>
      <c r="C4597" s="60"/>
      <c r="D4597" s="60"/>
      <c r="E4597" s="60"/>
      <c r="F4597" s="60"/>
      <c r="G4597" s="60"/>
      <c r="H4597" s="60"/>
      <c r="I4597" s="60"/>
      <c r="J4597" s="60"/>
      <c r="K4597" s="60"/>
      <c r="L4597" s="60"/>
      <c r="M4597" s="64"/>
      <c r="N4597" s="33"/>
    </row>
    <row r="4598" ht="24" customHeight="1" spans="2:14">
      <c r="B4598" s="33"/>
      <c r="C4598" s="60"/>
      <c r="D4598" s="60"/>
      <c r="E4598" s="60"/>
      <c r="F4598" s="60"/>
      <c r="G4598" s="60"/>
      <c r="H4598" s="60"/>
      <c r="I4598" s="60"/>
      <c r="J4598" s="60"/>
      <c r="K4598" s="60"/>
      <c r="L4598" s="60"/>
      <c r="M4598" s="64"/>
      <c r="N4598" s="33"/>
    </row>
    <row r="4599" ht="24" customHeight="1" spans="2:14">
      <c r="B4599" s="33"/>
      <c r="C4599" s="60"/>
      <c r="D4599" s="60"/>
      <c r="E4599" s="60"/>
      <c r="F4599" s="60"/>
      <c r="G4599" s="60"/>
      <c r="H4599" s="60"/>
      <c r="I4599" s="60"/>
      <c r="J4599" s="60"/>
      <c r="K4599" s="60"/>
      <c r="L4599" s="60"/>
      <c r="M4599" s="64"/>
      <c r="N4599" s="33"/>
    </row>
    <row r="4600" ht="24" customHeight="1" spans="2:14">
      <c r="B4600" s="33"/>
      <c r="C4600" s="60"/>
      <c r="D4600" s="60"/>
      <c r="E4600" s="60"/>
      <c r="F4600" s="60"/>
      <c r="G4600" s="60"/>
      <c r="H4600" s="60"/>
      <c r="I4600" s="60"/>
      <c r="J4600" s="60"/>
      <c r="K4600" s="60"/>
      <c r="L4600" s="60"/>
      <c r="M4600" s="64"/>
      <c r="N4600" s="33"/>
    </row>
    <row r="4601" ht="24" customHeight="1" spans="2:14">
      <c r="B4601" s="33"/>
      <c r="C4601" s="60"/>
      <c r="D4601" s="60"/>
      <c r="E4601" s="60"/>
      <c r="F4601" s="60"/>
      <c r="G4601" s="60"/>
      <c r="H4601" s="60"/>
      <c r="I4601" s="60"/>
      <c r="J4601" s="60"/>
      <c r="K4601" s="60"/>
      <c r="L4601" s="60"/>
      <c r="M4601" s="64"/>
      <c r="N4601" s="33"/>
    </row>
    <row r="4602" ht="24" customHeight="1" spans="2:14">
      <c r="B4602" s="33"/>
      <c r="C4602" s="60"/>
      <c r="D4602" s="60"/>
      <c r="E4602" s="60"/>
      <c r="F4602" s="60"/>
      <c r="G4602" s="60"/>
      <c r="H4602" s="60"/>
      <c r="I4602" s="60"/>
      <c r="J4602" s="60"/>
      <c r="K4602" s="60"/>
      <c r="L4602" s="60"/>
      <c r="M4602" s="64"/>
      <c r="N4602" s="33"/>
    </row>
    <row r="4603" ht="24" customHeight="1" spans="2:14">
      <c r="B4603" s="33"/>
      <c r="C4603" s="60"/>
      <c r="D4603" s="60"/>
      <c r="E4603" s="60"/>
      <c r="F4603" s="60"/>
      <c r="G4603" s="60"/>
      <c r="H4603" s="60"/>
      <c r="I4603" s="60"/>
      <c r="J4603" s="60"/>
      <c r="K4603" s="60"/>
      <c r="L4603" s="60"/>
      <c r="M4603" s="64"/>
      <c r="N4603" s="33"/>
    </row>
    <row r="4604" ht="24" customHeight="1" spans="2:14">
      <c r="B4604" s="33"/>
      <c r="C4604" s="60"/>
      <c r="D4604" s="60"/>
      <c r="E4604" s="60"/>
      <c r="F4604" s="60"/>
      <c r="G4604" s="60"/>
      <c r="H4604" s="60"/>
      <c r="I4604" s="60"/>
      <c r="J4604" s="60"/>
      <c r="K4604" s="60"/>
      <c r="L4604" s="60"/>
      <c r="M4604" s="64"/>
      <c r="N4604" s="33"/>
    </row>
    <row r="4605" ht="24" customHeight="1" spans="2:14">
      <c r="B4605" s="33"/>
      <c r="C4605" s="60"/>
      <c r="D4605" s="60"/>
      <c r="E4605" s="60"/>
      <c r="F4605" s="60"/>
      <c r="G4605" s="60"/>
      <c r="H4605" s="60"/>
      <c r="I4605" s="60"/>
      <c r="J4605" s="60"/>
      <c r="K4605" s="60"/>
      <c r="L4605" s="60"/>
      <c r="M4605" s="64"/>
      <c r="N4605" s="33"/>
    </row>
    <row r="4606" ht="24" customHeight="1" spans="2:14">
      <c r="B4606" s="33"/>
      <c r="C4606" s="60"/>
      <c r="D4606" s="60"/>
      <c r="E4606" s="60"/>
      <c r="F4606" s="60"/>
      <c r="G4606" s="60"/>
      <c r="H4606" s="60"/>
      <c r="I4606" s="60"/>
      <c r="J4606" s="60"/>
      <c r="K4606" s="60"/>
      <c r="L4606" s="60"/>
      <c r="M4606" s="64"/>
      <c r="N4606" s="33"/>
    </row>
    <row r="4607" ht="24" customHeight="1" spans="2:14">
      <c r="B4607" s="33"/>
      <c r="C4607" s="60"/>
      <c r="D4607" s="60"/>
      <c r="E4607" s="60"/>
      <c r="F4607" s="60"/>
      <c r="G4607" s="60"/>
      <c r="H4607" s="60"/>
      <c r="I4607" s="60"/>
      <c r="J4607" s="60"/>
      <c r="K4607" s="60"/>
      <c r="L4607" s="60"/>
      <c r="M4607" s="64"/>
      <c r="N4607" s="33"/>
    </row>
    <row r="4608" ht="24" customHeight="1" spans="2:14">
      <c r="B4608" s="33"/>
      <c r="C4608" s="60"/>
      <c r="D4608" s="60"/>
      <c r="E4608" s="60"/>
      <c r="F4608" s="60"/>
      <c r="G4608" s="60"/>
      <c r="H4608" s="60"/>
      <c r="I4608" s="60"/>
      <c r="J4608" s="60"/>
      <c r="K4608" s="60"/>
      <c r="L4608" s="60"/>
      <c r="M4608" s="64"/>
      <c r="N4608" s="33"/>
    </row>
    <row r="4609" ht="24" customHeight="1" spans="2:14">
      <c r="B4609" s="33"/>
      <c r="C4609" s="60"/>
      <c r="D4609" s="60"/>
      <c r="E4609" s="60"/>
      <c r="F4609" s="60"/>
      <c r="G4609" s="60"/>
      <c r="H4609" s="60"/>
      <c r="I4609" s="60"/>
      <c r="J4609" s="60"/>
      <c r="K4609" s="60"/>
      <c r="L4609" s="60"/>
      <c r="M4609" s="64"/>
      <c r="N4609" s="33"/>
    </row>
    <row r="4610" ht="24" customHeight="1" spans="2:14">
      <c r="B4610" s="33"/>
      <c r="C4610" s="60"/>
      <c r="D4610" s="60"/>
      <c r="E4610" s="60"/>
      <c r="F4610" s="60"/>
      <c r="G4610" s="60"/>
      <c r="H4610" s="60"/>
      <c r="I4610" s="60"/>
      <c r="J4610" s="60"/>
      <c r="K4610" s="60"/>
      <c r="L4610" s="60"/>
      <c r="M4610" s="64"/>
      <c r="N4610" s="33"/>
    </row>
    <row r="4611" ht="24" customHeight="1" spans="2:14">
      <c r="B4611" s="33"/>
      <c r="C4611" s="60"/>
      <c r="D4611" s="60"/>
      <c r="E4611" s="60"/>
      <c r="F4611" s="60"/>
      <c r="G4611" s="60"/>
      <c r="H4611" s="60"/>
      <c r="I4611" s="60"/>
      <c r="J4611" s="60"/>
      <c r="K4611" s="60"/>
      <c r="L4611" s="60"/>
      <c r="M4611" s="64"/>
      <c r="N4611" s="33"/>
    </row>
    <row r="4612" ht="24" customHeight="1" spans="2:14">
      <c r="B4612" s="33"/>
      <c r="C4612" s="60"/>
      <c r="D4612" s="60"/>
      <c r="E4612" s="60"/>
      <c r="F4612" s="60"/>
      <c r="G4612" s="60"/>
      <c r="H4612" s="60"/>
      <c r="I4612" s="60"/>
      <c r="J4612" s="60"/>
      <c r="K4612" s="60"/>
      <c r="L4612" s="60"/>
      <c r="M4612" s="64"/>
      <c r="N4612" s="33"/>
    </row>
    <row r="4613" ht="24" customHeight="1" spans="2:14">
      <c r="B4613" s="33"/>
      <c r="C4613" s="60"/>
      <c r="D4613" s="60"/>
      <c r="E4613" s="60"/>
      <c r="F4613" s="60"/>
      <c r="G4613" s="60"/>
      <c r="H4613" s="60"/>
      <c r="I4613" s="60"/>
      <c r="J4613" s="60"/>
      <c r="K4613" s="60"/>
      <c r="L4613" s="60"/>
      <c r="M4613" s="64"/>
      <c r="N4613" s="33"/>
    </row>
    <row r="4614" ht="24" customHeight="1" spans="2:14">
      <c r="B4614" s="33"/>
      <c r="C4614" s="60"/>
      <c r="D4614" s="60"/>
      <c r="E4614" s="60"/>
      <c r="F4614" s="60"/>
      <c r="G4614" s="60"/>
      <c r="H4614" s="60"/>
      <c r="I4614" s="60"/>
      <c r="J4614" s="60"/>
      <c r="K4614" s="60"/>
      <c r="L4614" s="60"/>
      <c r="M4614" s="64"/>
      <c r="N4614" s="33"/>
    </row>
    <row r="4615" ht="24" customHeight="1" spans="2:14">
      <c r="B4615" s="33"/>
      <c r="C4615" s="60"/>
      <c r="D4615" s="60"/>
      <c r="E4615" s="60"/>
      <c r="F4615" s="60"/>
      <c r="G4615" s="60"/>
      <c r="H4615" s="60"/>
      <c r="I4615" s="60"/>
      <c r="J4615" s="60"/>
      <c r="K4615" s="60"/>
      <c r="L4615" s="60"/>
      <c r="M4615" s="64"/>
      <c r="N4615" s="33"/>
    </row>
    <row r="4616" ht="24" customHeight="1" spans="2:14">
      <c r="B4616" s="33"/>
      <c r="C4616" s="60"/>
      <c r="D4616" s="60"/>
      <c r="E4616" s="60"/>
      <c r="F4616" s="60"/>
      <c r="G4616" s="60"/>
      <c r="H4616" s="60"/>
      <c r="I4616" s="60"/>
      <c r="J4616" s="60"/>
      <c r="K4616" s="60"/>
      <c r="L4616" s="60"/>
      <c r="M4616" s="64"/>
      <c r="N4616" s="33"/>
    </row>
    <row r="4617" ht="24" customHeight="1" spans="2:14">
      <c r="B4617" s="33"/>
      <c r="C4617" s="60"/>
      <c r="D4617" s="60"/>
      <c r="E4617" s="60"/>
      <c r="F4617" s="60"/>
      <c r="G4617" s="60"/>
      <c r="H4617" s="60"/>
      <c r="I4617" s="60"/>
      <c r="J4617" s="60"/>
      <c r="K4617" s="60"/>
      <c r="L4617" s="60"/>
      <c r="M4617" s="64"/>
      <c r="N4617" s="33"/>
    </row>
    <row r="4618" ht="24" customHeight="1" spans="2:14">
      <c r="B4618" s="33"/>
      <c r="C4618" s="60"/>
      <c r="D4618" s="60"/>
      <c r="E4618" s="60"/>
      <c r="F4618" s="60"/>
      <c r="G4618" s="60"/>
      <c r="H4618" s="60"/>
      <c r="I4618" s="60"/>
      <c r="J4618" s="60"/>
      <c r="K4618" s="60"/>
      <c r="L4618" s="60"/>
      <c r="M4618" s="64"/>
      <c r="N4618" s="33"/>
    </row>
    <row r="4619" ht="24" customHeight="1" spans="2:14">
      <c r="B4619" s="33"/>
      <c r="C4619" s="60"/>
      <c r="D4619" s="60"/>
      <c r="E4619" s="60"/>
      <c r="F4619" s="60"/>
      <c r="G4619" s="60"/>
      <c r="H4619" s="60"/>
      <c r="I4619" s="60"/>
      <c r="J4619" s="60"/>
      <c r="K4619" s="60"/>
      <c r="L4619" s="60"/>
      <c r="M4619" s="64"/>
      <c r="N4619" s="33"/>
    </row>
    <row r="4620" ht="24" customHeight="1" spans="2:14">
      <c r="B4620" s="33"/>
      <c r="C4620" s="60"/>
      <c r="D4620" s="60"/>
      <c r="E4620" s="60"/>
      <c r="F4620" s="60"/>
      <c r="G4620" s="60"/>
      <c r="H4620" s="60"/>
      <c r="I4620" s="60"/>
      <c r="J4620" s="60"/>
      <c r="K4620" s="60"/>
      <c r="L4620" s="60"/>
      <c r="M4620" s="64"/>
      <c r="N4620" s="33"/>
    </row>
    <row r="4621" ht="24" customHeight="1" spans="2:14">
      <c r="B4621" s="33"/>
      <c r="C4621" s="60"/>
      <c r="D4621" s="60"/>
      <c r="E4621" s="60"/>
      <c r="F4621" s="60"/>
      <c r="G4621" s="60"/>
      <c r="H4621" s="60"/>
      <c r="I4621" s="60"/>
      <c r="J4621" s="60"/>
      <c r="K4621" s="60"/>
      <c r="L4621" s="60"/>
      <c r="M4621" s="64"/>
      <c r="N4621" s="33"/>
    </row>
    <row r="4622" ht="24" customHeight="1" spans="2:14">
      <c r="B4622" s="33"/>
      <c r="C4622" s="60"/>
      <c r="D4622" s="60"/>
      <c r="E4622" s="60"/>
      <c r="F4622" s="60"/>
      <c r="G4622" s="60"/>
      <c r="H4622" s="60"/>
      <c r="I4622" s="60"/>
      <c r="J4622" s="60"/>
      <c r="K4622" s="60"/>
      <c r="L4622" s="60"/>
      <c r="M4622" s="64"/>
      <c r="N4622" s="33"/>
    </row>
    <row r="4623" ht="24" customHeight="1" spans="2:14">
      <c r="B4623" s="33"/>
      <c r="C4623" s="60"/>
      <c r="D4623" s="60"/>
      <c r="E4623" s="60"/>
      <c r="F4623" s="60"/>
      <c r="G4623" s="60"/>
      <c r="H4623" s="60"/>
      <c r="I4623" s="60"/>
      <c r="J4623" s="60"/>
      <c r="K4623" s="60"/>
      <c r="L4623" s="60"/>
      <c r="M4623" s="64"/>
      <c r="N4623" s="33"/>
    </row>
    <row r="4624" ht="24" customHeight="1" spans="2:14">
      <c r="B4624" s="33"/>
      <c r="C4624" s="60"/>
      <c r="D4624" s="60"/>
      <c r="E4624" s="60"/>
      <c r="F4624" s="60"/>
      <c r="G4624" s="60"/>
      <c r="H4624" s="60"/>
      <c r="I4624" s="60"/>
      <c r="J4624" s="60"/>
      <c r="K4624" s="60"/>
      <c r="L4624" s="60"/>
      <c r="M4624" s="64"/>
      <c r="N4624" s="33"/>
    </row>
    <row r="4625" ht="24" customHeight="1" spans="2:14">
      <c r="B4625" s="33"/>
      <c r="C4625" s="60"/>
      <c r="D4625" s="60"/>
      <c r="E4625" s="60"/>
      <c r="F4625" s="60"/>
      <c r="G4625" s="60"/>
      <c r="H4625" s="60"/>
      <c r="I4625" s="60"/>
      <c r="J4625" s="60"/>
      <c r="K4625" s="60"/>
      <c r="L4625" s="60"/>
      <c r="M4625" s="64"/>
      <c r="N4625" s="33"/>
    </row>
    <row r="4626" ht="24" customHeight="1" spans="2:14">
      <c r="B4626" s="33"/>
      <c r="C4626" s="60"/>
      <c r="D4626" s="60"/>
      <c r="E4626" s="60"/>
      <c r="F4626" s="60"/>
      <c r="G4626" s="60"/>
      <c r="H4626" s="60"/>
      <c r="I4626" s="60"/>
      <c r="J4626" s="60"/>
      <c r="K4626" s="60"/>
      <c r="L4626" s="60"/>
      <c r="M4626" s="64"/>
      <c r="N4626" s="33"/>
    </row>
    <row r="4627" ht="24" customHeight="1" spans="2:14">
      <c r="B4627" s="33"/>
      <c r="C4627" s="60"/>
      <c r="D4627" s="60"/>
      <c r="E4627" s="60"/>
      <c r="F4627" s="60"/>
      <c r="G4627" s="60"/>
      <c r="H4627" s="60"/>
      <c r="I4627" s="60"/>
      <c r="J4627" s="60"/>
      <c r="K4627" s="60"/>
      <c r="L4627" s="60"/>
      <c r="M4627" s="64"/>
      <c r="N4627" s="33"/>
    </row>
    <row r="4628" ht="24" customHeight="1" spans="2:14">
      <c r="B4628" s="33"/>
      <c r="C4628" s="60"/>
      <c r="D4628" s="60"/>
      <c r="E4628" s="60"/>
      <c r="F4628" s="60"/>
      <c r="G4628" s="60"/>
      <c r="H4628" s="60"/>
      <c r="I4628" s="60"/>
      <c r="J4628" s="60"/>
      <c r="K4628" s="60"/>
      <c r="L4628" s="60"/>
      <c r="M4628" s="64"/>
      <c r="N4628" s="33"/>
    </row>
    <row r="4629" ht="24" customHeight="1" spans="2:14">
      <c r="B4629" s="33"/>
      <c r="C4629" s="60"/>
      <c r="D4629" s="60"/>
      <c r="E4629" s="60"/>
      <c r="F4629" s="60"/>
      <c r="G4629" s="60"/>
      <c r="H4629" s="60"/>
      <c r="I4629" s="60"/>
      <c r="J4629" s="60"/>
      <c r="K4629" s="60"/>
      <c r="L4629" s="60"/>
      <c r="M4629" s="64"/>
      <c r="N4629" s="33"/>
    </row>
    <row r="4630" ht="24" customHeight="1" spans="2:14">
      <c r="B4630" s="33"/>
      <c r="C4630" s="60"/>
      <c r="D4630" s="60"/>
      <c r="E4630" s="60"/>
      <c r="F4630" s="60"/>
      <c r="G4630" s="60"/>
      <c r="H4630" s="60"/>
      <c r="I4630" s="60"/>
      <c r="J4630" s="60"/>
      <c r="K4630" s="60"/>
      <c r="L4630" s="60"/>
      <c r="M4630" s="64"/>
      <c r="N4630" s="33"/>
    </row>
    <row r="4631" ht="24" customHeight="1" spans="2:14">
      <c r="B4631" s="33"/>
      <c r="C4631" s="60"/>
      <c r="D4631" s="60"/>
      <c r="E4631" s="60"/>
      <c r="F4631" s="60"/>
      <c r="G4631" s="60"/>
      <c r="H4631" s="60"/>
      <c r="I4631" s="60"/>
      <c r="J4631" s="60"/>
      <c r="K4631" s="60"/>
      <c r="L4631" s="60"/>
      <c r="M4631" s="64"/>
      <c r="N4631" s="33"/>
    </row>
    <row r="4632" ht="24" customHeight="1" spans="2:14">
      <c r="B4632" s="33"/>
      <c r="C4632" s="60"/>
      <c r="D4632" s="60"/>
      <c r="E4632" s="60"/>
      <c r="F4632" s="60"/>
      <c r="G4632" s="60"/>
      <c r="H4632" s="60"/>
      <c r="I4632" s="60"/>
      <c r="J4632" s="60"/>
      <c r="K4632" s="60"/>
      <c r="L4632" s="60"/>
      <c r="M4632" s="64"/>
      <c r="N4632" s="33"/>
    </row>
    <row r="4633" ht="24" customHeight="1" spans="2:14">
      <c r="B4633" s="33"/>
      <c r="C4633" s="60"/>
      <c r="D4633" s="60"/>
      <c r="E4633" s="60"/>
      <c r="F4633" s="60"/>
      <c r="G4633" s="60"/>
      <c r="H4633" s="60"/>
      <c r="I4633" s="60"/>
      <c r="J4633" s="60"/>
      <c r="K4633" s="60"/>
      <c r="L4633" s="60"/>
      <c r="M4633" s="64"/>
      <c r="N4633" s="33"/>
    </row>
    <row r="4634" ht="24" customHeight="1" spans="2:14">
      <c r="B4634" s="33"/>
      <c r="C4634" s="60"/>
      <c r="D4634" s="60"/>
      <c r="E4634" s="60"/>
      <c r="F4634" s="60"/>
      <c r="G4634" s="60"/>
      <c r="H4634" s="60"/>
      <c r="I4634" s="60"/>
      <c r="J4634" s="60"/>
      <c r="K4634" s="60"/>
      <c r="L4634" s="60"/>
      <c r="M4634" s="64"/>
      <c r="N4634" s="33"/>
    </row>
    <row r="4635" ht="24" customHeight="1" spans="2:14">
      <c r="B4635" s="33"/>
      <c r="C4635" s="60"/>
      <c r="D4635" s="60"/>
      <c r="E4635" s="60"/>
      <c r="F4635" s="60"/>
      <c r="G4635" s="60"/>
      <c r="H4635" s="60"/>
      <c r="I4635" s="60"/>
      <c r="J4635" s="60"/>
      <c r="K4635" s="60"/>
      <c r="L4635" s="60"/>
      <c r="M4635" s="64"/>
      <c r="N4635" s="33"/>
    </row>
    <row r="4636" ht="24" customHeight="1" spans="2:14">
      <c r="B4636" s="33"/>
      <c r="C4636" s="60"/>
      <c r="D4636" s="60"/>
      <c r="E4636" s="60"/>
      <c r="F4636" s="60"/>
      <c r="G4636" s="60"/>
      <c r="H4636" s="60"/>
      <c r="I4636" s="60"/>
      <c r="J4636" s="60"/>
      <c r="K4636" s="60"/>
      <c r="L4636" s="60"/>
      <c r="M4636" s="64"/>
      <c r="N4636" s="33"/>
    </row>
    <row r="4637" ht="24" customHeight="1" spans="2:14">
      <c r="B4637" s="33"/>
      <c r="C4637" s="60"/>
      <c r="D4637" s="60"/>
      <c r="E4637" s="60"/>
      <c r="F4637" s="60"/>
      <c r="G4637" s="60"/>
      <c r="H4637" s="60"/>
      <c r="I4637" s="60"/>
      <c r="J4637" s="60"/>
      <c r="K4637" s="60"/>
      <c r="L4637" s="60"/>
      <c r="M4637" s="64"/>
      <c r="N4637" s="33"/>
    </row>
    <row r="4638" ht="24" customHeight="1" spans="2:14">
      <c r="B4638" s="33"/>
      <c r="C4638" s="60"/>
      <c r="D4638" s="60"/>
      <c r="E4638" s="60"/>
      <c r="F4638" s="60"/>
      <c r="G4638" s="60"/>
      <c r="H4638" s="60"/>
      <c r="I4638" s="60"/>
      <c r="J4638" s="60"/>
      <c r="K4638" s="60"/>
      <c r="L4638" s="60"/>
      <c r="M4638" s="64"/>
      <c r="N4638" s="33"/>
    </row>
    <row r="4639" ht="24" customHeight="1" spans="2:14">
      <c r="B4639" s="33"/>
      <c r="C4639" s="60"/>
      <c r="D4639" s="60"/>
      <c r="E4639" s="60"/>
      <c r="F4639" s="60"/>
      <c r="G4639" s="60"/>
      <c r="H4639" s="60"/>
      <c r="I4639" s="60"/>
      <c r="J4639" s="60"/>
      <c r="K4639" s="60"/>
      <c r="L4639" s="60"/>
      <c r="M4639" s="64"/>
      <c r="N4639" s="33"/>
    </row>
    <row r="4640" ht="24" customHeight="1" spans="2:14">
      <c r="B4640" s="33"/>
      <c r="C4640" s="60"/>
      <c r="D4640" s="60"/>
      <c r="E4640" s="60"/>
      <c r="F4640" s="60"/>
      <c r="G4640" s="60"/>
      <c r="H4640" s="60"/>
      <c r="I4640" s="60"/>
      <c r="J4640" s="60"/>
      <c r="K4640" s="60"/>
      <c r="L4640" s="60"/>
      <c r="M4640" s="64"/>
      <c r="N4640" s="33"/>
    </row>
    <row r="4641" ht="24" customHeight="1" spans="2:14">
      <c r="B4641" s="33"/>
      <c r="C4641" s="60"/>
      <c r="D4641" s="60"/>
      <c r="E4641" s="60"/>
      <c r="F4641" s="60"/>
      <c r="G4641" s="60"/>
      <c r="H4641" s="60"/>
      <c r="I4641" s="60"/>
      <c r="J4641" s="60"/>
      <c r="K4641" s="60"/>
      <c r="L4641" s="60"/>
      <c r="M4641" s="64"/>
      <c r="N4641" s="33"/>
    </row>
    <row r="4642" ht="24" customHeight="1" spans="2:14">
      <c r="B4642" s="33"/>
      <c r="C4642" s="60"/>
      <c r="D4642" s="60"/>
      <c r="E4642" s="60"/>
      <c r="F4642" s="60"/>
      <c r="G4642" s="60"/>
      <c r="H4642" s="60"/>
      <c r="I4642" s="60"/>
      <c r="J4642" s="60"/>
      <c r="K4642" s="60"/>
      <c r="L4642" s="60"/>
      <c r="M4642" s="64"/>
      <c r="N4642" s="33"/>
    </row>
    <row r="4643" ht="24" customHeight="1" spans="2:14">
      <c r="B4643" s="33"/>
      <c r="C4643" s="60"/>
      <c r="D4643" s="60"/>
      <c r="E4643" s="60"/>
      <c r="F4643" s="60"/>
      <c r="G4643" s="60"/>
      <c r="H4643" s="60"/>
      <c r="I4643" s="60"/>
      <c r="J4643" s="60"/>
      <c r="K4643" s="60"/>
      <c r="L4643" s="60"/>
      <c r="M4643" s="64"/>
      <c r="N4643" s="33"/>
    </row>
    <row r="4644" ht="24" customHeight="1" spans="2:14">
      <c r="B4644" s="33"/>
      <c r="C4644" s="60"/>
      <c r="D4644" s="60"/>
      <c r="E4644" s="60"/>
      <c r="F4644" s="60"/>
      <c r="G4644" s="60"/>
      <c r="H4644" s="60"/>
      <c r="I4644" s="60"/>
      <c r="J4644" s="60"/>
      <c r="K4644" s="60"/>
      <c r="L4644" s="60"/>
      <c r="M4644" s="64"/>
      <c r="N4644" s="33"/>
    </row>
    <row r="4645" ht="24" customHeight="1" spans="2:14">
      <c r="B4645" s="33"/>
      <c r="C4645" s="60"/>
      <c r="D4645" s="60"/>
      <c r="E4645" s="60"/>
      <c r="F4645" s="60"/>
      <c r="G4645" s="60"/>
      <c r="H4645" s="60"/>
      <c r="I4645" s="60"/>
      <c r="J4645" s="60"/>
      <c r="K4645" s="60"/>
      <c r="L4645" s="60"/>
      <c r="M4645" s="64"/>
      <c r="N4645" s="33"/>
    </row>
    <row r="4646" ht="24" customHeight="1" spans="2:14">
      <c r="B4646" s="33"/>
      <c r="C4646" s="60"/>
      <c r="D4646" s="60"/>
      <c r="E4646" s="60"/>
      <c r="F4646" s="60"/>
      <c r="G4646" s="60"/>
      <c r="H4646" s="60"/>
      <c r="I4646" s="60"/>
      <c r="J4646" s="60"/>
      <c r="K4646" s="60"/>
      <c r="L4646" s="60"/>
      <c r="M4646" s="64"/>
      <c r="N4646" s="33"/>
    </row>
    <row r="4647" ht="24" customHeight="1" spans="2:14">
      <c r="B4647" s="33"/>
      <c r="C4647" s="60"/>
      <c r="D4647" s="60"/>
      <c r="E4647" s="60"/>
      <c r="F4647" s="60"/>
      <c r="G4647" s="60"/>
      <c r="H4647" s="60"/>
      <c r="I4647" s="60"/>
      <c r="J4647" s="60"/>
      <c r="K4647" s="60"/>
      <c r="L4647" s="60"/>
      <c r="M4647" s="64"/>
      <c r="N4647" s="33"/>
    </row>
    <row r="4648" ht="24" customHeight="1" spans="2:14">
      <c r="B4648" s="33"/>
      <c r="C4648" s="60"/>
      <c r="D4648" s="60"/>
      <c r="E4648" s="60"/>
      <c r="F4648" s="60"/>
      <c r="G4648" s="60"/>
      <c r="H4648" s="60"/>
      <c r="I4648" s="60"/>
      <c r="J4648" s="60"/>
      <c r="K4648" s="60"/>
      <c r="L4648" s="60"/>
      <c r="M4648" s="64"/>
      <c r="N4648" s="33"/>
    </row>
    <row r="4649" ht="24" customHeight="1" spans="2:14">
      <c r="B4649" s="33"/>
      <c r="C4649" s="60"/>
      <c r="D4649" s="60"/>
      <c r="E4649" s="60"/>
      <c r="F4649" s="60"/>
      <c r="G4649" s="60"/>
      <c r="H4649" s="60"/>
      <c r="I4649" s="60"/>
      <c r="J4649" s="60"/>
      <c r="K4649" s="60"/>
      <c r="L4649" s="60"/>
      <c r="M4649" s="64"/>
      <c r="N4649" s="33"/>
    </row>
    <row r="4650" ht="24" customHeight="1" spans="2:14">
      <c r="B4650" s="33"/>
      <c r="C4650" s="60"/>
      <c r="D4650" s="60"/>
      <c r="E4650" s="60"/>
      <c r="F4650" s="60"/>
      <c r="G4650" s="60"/>
      <c r="H4650" s="60"/>
      <c r="I4650" s="60"/>
      <c r="J4650" s="60"/>
      <c r="K4650" s="60"/>
      <c r="L4650" s="60"/>
      <c r="M4650" s="64"/>
      <c r="N4650" s="33"/>
    </row>
    <row r="4651" ht="24" customHeight="1" spans="2:14">
      <c r="B4651" s="33"/>
      <c r="C4651" s="60"/>
      <c r="D4651" s="60"/>
      <c r="E4651" s="60"/>
      <c r="F4651" s="60"/>
      <c r="G4651" s="60"/>
      <c r="H4651" s="60"/>
      <c r="I4651" s="60"/>
      <c r="J4651" s="60"/>
      <c r="K4651" s="60"/>
      <c r="L4651" s="60"/>
      <c r="M4651" s="64"/>
      <c r="N4651" s="33"/>
    </row>
    <row r="4652" ht="24" customHeight="1" spans="2:14">
      <c r="B4652" s="33"/>
      <c r="C4652" s="60"/>
      <c r="D4652" s="60"/>
      <c r="E4652" s="60"/>
      <c r="F4652" s="60"/>
      <c r="G4652" s="60"/>
      <c r="H4652" s="60"/>
      <c r="I4652" s="60"/>
      <c r="J4652" s="60"/>
      <c r="K4652" s="60"/>
      <c r="L4652" s="60"/>
      <c r="M4652" s="64"/>
      <c r="N4652" s="33"/>
    </row>
    <row r="4653" ht="24" customHeight="1" spans="2:14">
      <c r="B4653" s="33"/>
      <c r="C4653" s="60"/>
      <c r="D4653" s="60"/>
      <c r="E4653" s="60"/>
      <c r="F4653" s="60"/>
      <c r="G4653" s="60"/>
      <c r="H4653" s="60"/>
      <c r="I4653" s="60"/>
      <c r="J4653" s="60"/>
      <c r="K4653" s="60"/>
      <c r="L4653" s="60"/>
      <c r="M4653" s="64"/>
      <c r="N4653" s="33"/>
    </row>
    <row r="4654" ht="24" customHeight="1" spans="2:14">
      <c r="B4654" s="33"/>
      <c r="C4654" s="60"/>
      <c r="D4654" s="60"/>
      <c r="E4654" s="60"/>
      <c r="F4654" s="60"/>
      <c r="G4654" s="60"/>
      <c r="H4654" s="60"/>
      <c r="I4654" s="60"/>
      <c r="J4654" s="60"/>
      <c r="K4654" s="60"/>
      <c r="L4654" s="60"/>
      <c r="M4654" s="64"/>
      <c r="N4654" s="33"/>
    </row>
    <row r="4655" ht="24" customHeight="1" spans="2:14">
      <c r="B4655" s="33"/>
      <c r="C4655" s="60"/>
      <c r="D4655" s="60"/>
      <c r="E4655" s="60"/>
      <c r="F4655" s="60"/>
      <c r="G4655" s="60"/>
      <c r="H4655" s="60"/>
      <c r="I4655" s="60"/>
      <c r="J4655" s="60"/>
      <c r="K4655" s="60"/>
      <c r="L4655" s="60"/>
      <c r="M4655" s="64"/>
      <c r="N4655" s="33"/>
    </row>
    <row r="4656" ht="24" customHeight="1" spans="2:14">
      <c r="B4656" s="33"/>
      <c r="C4656" s="60"/>
      <c r="D4656" s="60"/>
      <c r="E4656" s="60"/>
      <c r="F4656" s="60"/>
      <c r="G4656" s="60"/>
      <c r="H4656" s="60"/>
      <c r="I4656" s="60"/>
      <c r="J4656" s="60"/>
      <c r="K4656" s="60"/>
      <c r="L4656" s="60"/>
      <c r="M4656" s="64"/>
      <c r="N4656" s="33"/>
    </row>
    <row r="4657" ht="24" customHeight="1" spans="2:14">
      <c r="B4657" s="33"/>
      <c r="C4657" s="60"/>
      <c r="D4657" s="60"/>
      <c r="E4657" s="60"/>
      <c r="F4657" s="60"/>
      <c r="G4657" s="60"/>
      <c r="H4657" s="60"/>
      <c r="I4657" s="60"/>
      <c r="J4657" s="60"/>
      <c r="K4657" s="60"/>
      <c r="L4657" s="60"/>
      <c r="M4657" s="64"/>
      <c r="N4657" s="33"/>
    </row>
    <row r="4658" ht="24" customHeight="1" spans="2:14">
      <c r="B4658" s="33"/>
      <c r="C4658" s="60"/>
      <c r="D4658" s="60"/>
      <c r="E4658" s="60"/>
      <c r="F4658" s="60"/>
      <c r="G4658" s="60"/>
      <c r="H4658" s="60"/>
      <c r="I4658" s="60"/>
      <c r="J4658" s="60"/>
      <c r="K4658" s="60"/>
      <c r="L4658" s="60"/>
      <c r="M4658" s="64"/>
      <c r="N4658" s="33"/>
    </row>
    <row r="4659" ht="24" customHeight="1" spans="2:14">
      <c r="B4659" s="33"/>
      <c r="C4659" s="60"/>
      <c r="D4659" s="60"/>
      <c r="E4659" s="60"/>
      <c r="F4659" s="60"/>
      <c r="G4659" s="60"/>
      <c r="H4659" s="60"/>
      <c r="I4659" s="60"/>
      <c r="J4659" s="60"/>
      <c r="K4659" s="60"/>
      <c r="L4659" s="60"/>
      <c r="M4659" s="64"/>
      <c r="N4659" s="33"/>
    </row>
    <row r="4660" ht="24" customHeight="1" spans="2:14">
      <c r="B4660" s="33"/>
      <c r="C4660" s="60"/>
      <c r="D4660" s="60"/>
      <c r="E4660" s="60"/>
      <c r="F4660" s="60"/>
      <c r="G4660" s="60"/>
      <c r="H4660" s="60"/>
      <c r="I4660" s="60"/>
      <c r="J4660" s="60"/>
      <c r="K4660" s="60"/>
      <c r="L4660" s="60"/>
      <c r="M4660" s="64"/>
      <c r="N4660" s="33"/>
    </row>
    <row r="4661" ht="24" customHeight="1" spans="2:14">
      <c r="B4661" s="33"/>
      <c r="C4661" s="60"/>
      <c r="D4661" s="60"/>
      <c r="E4661" s="60"/>
      <c r="F4661" s="60"/>
      <c r="G4661" s="60"/>
      <c r="H4661" s="60"/>
      <c r="I4661" s="60"/>
      <c r="J4661" s="60"/>
      <c r="K4661" s="60"/>
      <c r="L4661" s="60"/>
      <c r="M4661" s="64"/>
      <c r="N4661" s="33"/>
    </row>
    <row r="4662" ht="24" customHeight="1" spans="2:14">
      <c r="B4662" s="33"/>
      <c r="C4662" s="60"/>
      <c r="D4662" s="60"/>
      <c r="E4662" s="60"/>
      <c r="F4662" s="60"/>
      <c r="G4662" s="60"/>
      <c r="H4662" s="60"/>
      <c r="I4662" s="60"/>
      <c r="J4662" s="60"/>
      <c r="K4662" s="60"/>
      <c r="L4662" s="60"/>
      <c r="M4662" s="64"/>
      <c r="N4662" s="33"/>
    </row>
    <row r="4663" ht="24" customHeight="1" spans="2:14">
      <c r="B4663" s="33"/>
      <c r="C4663" s="60"/>
      <c r="D4663" s="60"/>
      <c r="E4663" s="60"/>
      <c r="F4663" s="60"/>
      <c r="G4663" s="60"/>
      <c r="H4663" s="60"/>
      <c r="I4663" s="60"/>
      <c r="J4663" s="60"/>
      <c r="K4663" s="60"/>
      <c r="L4663" s="60"/>
      <c r="M4663" s="64"/>
      <c r="N4663" s="33"/>
    </row>
    <row r="4664" ht="24" customHeight="1" spans="2:14">
      <c r="B4664" s="33"/>
      <c r="C4664" s="60"/>
      <c r="D4664" s="60"/>
      <c r="E4664" s="60"/>
      <c r="F4664" s="60"/>
      <c r="G4664" s="60"/>
      <c r="H4664" s="60"/>
      <c r="I4664" s="60"/>
      <c r="J4664" s="60"/>
      <c r="K4664" s="60"/>
      <c r="L4664" s="60"/>
      <c r="M4664" s="64"/>
      <c r="N4664" s="33"/>
    </row>
    <row r="4665" ht="24" customHeight="1" spans="2:14">
      <c r="B4665" s="33"/>
      <c r="C4665" s="60"/>
      <c r="D4665" s="60"/>
      <c r="E4665" s="60"/>
      <c r="F4665" s="60"/>
      <c r="G4665" s="60"/>
      <c r="H4665" s="60"/>
      <c r="I4665" s="60"/>
      <c r="J4665" s="60"/>
      <c r="K4665" s="60"/>
      <c r="L4665" s="60"/>
      <c r="M4665" s="64"/>
      <c r="N4665" s="33"/>
    </row>
    <row r="4666" ht="24" customHeight="1" spans="2:14">
      <c r="B4666" s="33"/>
      <c r="C4666" s="60"/>
      <c r="D4666" s="60"/>
      <c r="E4666" s="60"/>
      <c r="F4666" s="60"/>
      <c r="G4666" s="60"/>
      <c r="H4666" s="60"/>
      <c r="I4666" s="60"/>
      <c r="J4666" s="60"/>
      <c r="K4666" s="60"/>
      <c r="L4666" s="60"/>
      <c r="M4666" s="64"/>
      <c r="N4666" s="33"/>
    </row>
    <row r="4667" ht="24" customHeight="1" spans="2:14">
      <c r="B4667" s="33"/>
      <c r="C4667" s="60"/>
      <c r="D4667" s="60"/>
      <c r="E4667" s="60"/>
      <c r="F4667" s="60"/>
      <c r="G4667" s="60"/>
      <c r="H4667" s="60"/>
      <c r="I4667" s="60"/>
      <c r="J4667" s="60"/>
      <c r="K4667" s="60"/>
      <c r="L4667" s="60"/>
      <c r="M4667" s="64"/>
      <c r="N4667" s="33"/>
    </row>
    <row r="4668" ht="24" customHeight="1" spans="2:14">
      <c r="B4668" s="33"/>
      <c r="C4668" s="60"/>
      <c r="D4668" s="60"/>
      <c r="E4668" s="60"/>
      <c r="F4668" s="60"/>
      <c r="G4668" s="60"/>
      <c r="H4668" s="60"/>
      <c r="I4668" s="60"/>
      <c r="J4668" s="60"/>
      <c r="K4668" s="60"/>
      <c r="L4668" s="60"/>
      <c r="M4668" s="64"/>
      <c r="N4668" s="33"/>
    </row>
    <row r="4669" ht="24" customHeight="1" spans="2:14">
      <c r="B4669" s="33"/>
      <c r="C4669" s="60"/>
      <c r="D4669" s="60"/>
      <c r="E4669" s="60"/>
      <c r="F4669" s="60"/>
      <c r="G4669" s="60"/>
      <c r="H4669" s="60"/>
      <c r="I4669" s="60"/>
      <c r="J4669" s="60"/>
      <c r="K4669" s="60"/>
      <c r="L4669" s="60"/>
      <c r="M4669" s="64"/>
      <c r="N4669" s="33"/>
    </row>
    <row r="4670" ht="24" customHeight="1" spans="2:14">
      <c r="B4670" s="33"/>
      <c r="C4670" s="60"/>
      <c r="D4670" s="60"/>
      <c r="E4670" s="60"/>
      <c r="F4670" s="60"/>
      <c r="G4670" s="60"/>
      <c r="H4670" s="60"/>
      <c r="I4670" s="60"/>
      <c r="J4670" s="60"/>
      <c r="K4670" s="60"/>
      <c r="L4670" s="60"/>
      <c r="M4670" s="64"/>
      <c r="N4670" s="33"/>
    </row>
    <row r="4671" ht="24" customHeight="1" spans="2:14">
      <c r="B4671" s="33"/>
      <c r="C4671" s="60"/>
      <c r="D4671" s="60"/>
      <c r="E4671" s="60"/>
      <c r="F4671" s="60"/>
      <c r="G4671" s="60"/>
      <c r="H4671" s="60"/>
      <c r="I4671" s="60"/>
      <c r="J4671" s="60"/>
      <c r="K4671" s="60"/>
      <c r="L4671" s="60"/>
      <c r="M4671" s="64"/>
      <c r="N4671" s="33"/>
    </row>
    <row r="4672" ht="24" customHeight="1" spans="2:14">
      <c r="B4672" s="33"/>
      <c r="C4672" s="60"/>
      <c r="D4672" s="60"/>
      <c r="E4672" s="60"/>
      <c r="F4672" s="60"/>
      <c r="G4672" s="60"/>
      <c r="H4672" s="60"/>
      <c r="I4672" s="60"/>
      <c r="J4672" s="60"/>
      <c r="K4672" s="60"/>
      <c r="L4672" s="60"/>
      <c r="M4672" s="64"/>
      <c r="N4672" s="33"/>
    </row>
    <row r="4673" ht="24" customHeight="1" spans="2:14">
      <c r="B4673" s="33"/>
      <c r="C4673" s="60"/>
      <c r="D4673" s="60"/>
      <c r="E4673" s="60"/>
      <c r="F4673" s="60"/>
      <c r="G4673" s="60"/>
      <c r="H4673" s="60"/>
      <c r="I4673" s="60"/>
      <c r="J4673" s="60"/>
      <c r="K4673" s="60"/>
      <c r="L4673" s="60"/>
      <c r="M4673" s="64"/>
      <c r="N4673" s="33"/>
    </row>
    <row r="4674" ht="24" customHeight="1" spans="2:14">
      <c r="B4674" s="33"/>
      <c r="C4674" s="60"/>
      <c r="D4674" s="60"/>
      <c r="E4674" s="60"/>
      <c r="F4674" s="60"/>
      <c r="G4674" s="60"/>
      <c r="H4674" s="60"/>
      <c r="I4674" s="60"/>
      <c r="J4674" s="60"/>
      <c r="K4674" s="60"/>
      <c r="L4674" s="60"/>
      <c r="M4674" s="64"/>
      <c r="N4674" s="33"/>
    </row>
    <row r="4675" ht="24" customHeight="1" spans="2:14">
      <c r="B4675" s="33"/>
      <c r="C4675" s="60"/>
      <c r="D4675" s="60"/>
      <c r="E4675" s="60"/>
      <c r="F4675" s="60"/>
      <c r="G4675" s="60"/>
      <c r="H4675" s="60"/>
      <c r="I4675" s="60"/>
      <c r="J4675" s="60"/>
      <c r="K4675" s="60"/>
      <c r="L4675" s="60"/>
      <c r="M4675" s="64"/>
      <c r="N4675" s="33"/>
    </row>
    <row r="4676" ht="24" customHeight="1" spans="2:14">
      <c r="B4676" s="33"/>
      <c r="C4676" s="60"/>
      <c r="D4676" s="60"/>
      <c r="E4676" s="60"/>
      <c r="F4676" s="60"/>
      <c r="G4676" s="60"/>
      <c r="H4676" s="60"/>
      <c r="I4676" s="60"/>
      <c r="J4676" s="60"/>
      <c r="K4676" s="60"/>
      <c r="L4676" s="60"/>
      <c r="M4676" s="64"/>
      <c r="N4676" s="33"/>
    </row>
    <row r="4677" ht="24" customHeight="1" spans="2:14">
      <c r="B4677" s="33"/>
      <c r="C4677" s="60"/>
      <c r="D4677" s="60"/>
      <c r="E4677" s="60"/>
      <c r="F4677" s="60"/>
      <c r="G4677" s="60"/>
      <c r="H4677" s="60"/>
      <c r="I4677" s="60"/>
      <c r="J4677" s="60"/>
      <c r="K4677" s="60"/>
      <c r="L4677" s="60"/>
      <c r="M4677" s="64"/>
      <c r="N4677" s="33"/>
    </row>
    <row r="4678" ht="24" customHeight="1" spans="2:14">
      <c r="B4678" s="33"/>
      <c r="C4678" s="60"/>
      <c r="D4678" s="60"/>
      <c r="E4678" s="60"/>
      <c r="F4678" s="60"/>
      <c r="G4678" s="60"/>
      <c r="H4678" s="60"/>
      <c r="I4678" s="60"/>
      <c r="J4678" s="60"/>
      <c r="K4678" s="60"/>
      <c r="L4678" s="60"/>
      <c r="M4678" s="64"/>
      <c r="N4678" s="33"/>
    </row>
    <row r="4679" ht="24" customHeight="1" spans="2:14">
      <c r="B4679" s="33"/>
      <c r="C4679" s="60"/>
      <c r="D4679" s="60"/>
      <c r="E4679" s="60"/>
      <c r="F4679" s="60"/>
      <c r="G4679" s="60"/>
      <c r="H4679" s="60"/>
      <c r="I4679" s="60"/>
      <c r="J4679" s="60"/>
      <c r="K4679" s="60"/>
      <c r="L4679" s="60"/>
      <c r="M4679" s="64"/>
      <c r="N4679" s="33"/>
    </row>
    <row r="4680" ht="24" customHeight="1" spans="2:14">
      <c r="B4680" s="33"/>
      <c r="C4680" s="60"/>
      <c r="D4680" s="60"/>
      <c r="E4680" s="60"/>
      <c r="F4680" s="60"/>
      <c r="G4680" s="60"/>
      <c r="H4680" s="60"/>
      <c r="I4680" s="60"/>
      <c r="J4680" s="60"/>
      <c r="K4680" s="60"/>
      <c r="L4680" s="60"/>
      <c r="M4680" s="64"/>
      <c r="N4680" s="33"/>
    </row>
    <row r="4681" ht="24" customHeight="1" spans="2:14">
      <c r="B4681" s="33"/>
      <c r="C4681" s="60"/>
      <c r="D4681" s="60"/>
      <c r="E4681" s="60"/>
      <c r="F4681" s="60"/>
      <c r="G4681" s="60"/>
      <c r="H4681" s="60"/>
      <c r="I4681" s="60"/>
      <c r="J4681" s="60"/>
      <c r="K4681" s="60"/>
      <c r="L4681" s="60"/>
      <c r="M4681" s="64"/>
      <c r="N4681" s="33"/>
    </row>
    <row r="4682" ht="24" customHeight="1" spans="2:14">
      <c r="B4682" s="33"/>
      <c r="C4682" s="60"/>
      <c r="D4682" s="60"/>
      <c r="E4682" s="60"/>
      <c r="F4682" s="60"/>
      <c r="G4682" s="60"/>
      <c r="H4682" s="60"/>
      <c r="I4682" s="60"/>
      <c r="J4682" s="60"/>
      <c r="K4682" s="60"/>
      <c r="L4682" s="60"/>
      <c r="M4682" s="64"/>
      <c r="N4682" s="33"/>
    </row>
    <row r="4683" ht="24" customHeight="1" spans="2:14">
      <c r="B4683" s="33"/>
      <c r="C4683" s="60"/>
      <c r="D4683" s="60"/>
      <c r="E4683" s="60"/>
      <c r="F4683" s="60"/>
      <c r="G4683" s="60"/>
      <c r="H4683" s="60"/>
      <c r="I4683" s="60"/>
      <c r="J4683" s="60"/>
      <c r="K4683" s="60"/>
      <c r="L4683" s="60"/>
      <c r="M4683" s="64"/>
      <c r="N4683" s="33"/>
    </row>
    <row r="4684" ht="24" customHeight="1" spans="2:14">
      <c r="B4684" s="33"/>
      <c r="C4684" s="60"/>
      <c r="D4684" s="60"/>
      <c r="E4684" s="60"/>
      <c r="F4684" s="60"/>
      <c r="G4684" s="60"/>
      <c r="H4684" s="60"/>
      <c r="I4684" s="60"/>
      <c r="J4684" s="60"/>
      <c r="K4684" s="60"/>
      <c r="L4684" s="60"/>
      <c r="M4684" s="64"/>
      <c r="N4684" s="33"/>
    </row>
    <row r="4685" ht="24" customHeight="1" spans="2:14">
      <c r="B4685" s="33"/>
      <c r="C4685" s="60"/>
      <c r="D4685" s="60"/>
      <c r="E4685" s="60"/>
      <c r="F4685" s="60"/>
      <c r="G4685" s="60"/>
      <c r="H4685" s="60"/>
      <c r="I4685" s="60"/>
      <c r="J4685" s="60"/>
      <c r="K4685" s="60"/>
      <c r="L4685" s="60"/>
      <c r="M4685" s="64"/>
      <c r="N4685" s="33"/>
    </row>
    <row r="4686" ht="24" customHeight="1" spans="2:14">
      <c r="B4686" s="33"/>
      <c r="C4686" s="60"/>
      <c r="D4686" s="60"/>
      <c r="E4686" s="60"/>
      <c r="F4686" s="60"/>
      <c r="G4686" s="60"/>
      <c r="H4686" s="60"/>
      <c r="I4686" s="60"/>
      <c r="J4686" s="60"/>
      <c r="K4686" s="60"/>
      <c r="L4686" s="60"/>
      <c r="M4686" s="64"/>
      <c r="N4686" s="33"/>
    </row>
    <row r="4687" ht="24" customHeight="1" spans="2:14">
      <c r="B4687" s="33"/>
      <c r="C4687" s="60"/>
      <c r="D4687" s="60"/>
      <c r="E4687" s="60"/>
      <c r="F4687" s="60"/>
      <c r="G4687" s="60"/>
      <c r="H4687" s="60"/>
      <c r="I4687" s="60"/>
      <c r="J4687" s="60"/>
      <c r="K4687" s="60"/>
      <c r="L4687" s="60"/>
      <c r="M4687" s="64"/>
      <c r="N4687" s="33"/>
    </row>
    <row r="4688" ht="24" customHeight="1" spans="2:14">
      <c r="B4688" s="33"/>
      <c r="C4688" s="60"/>
      <c r="D4688" s="60"/>
      <c r="E4688" s="60"/>
      <c r="F4688" s="60"/>
      <c r="G4688" s="60"/>
      <c r="H4688" s="60"/>
      <c r="I4688" s="60"/>
      <c r="J4688" s="60"/>
      <c r="K4688" s="60"/>
      <c r="L4688" s="60"/>
      <c r="M4688" s="64"/>
      <c r="N4688" s="33"/>
    </row>
    <row r="4689" ht="24" customHeight="1" spans="2:14">
      <c r="B4689" s="33"/>
      <c r="C4689" s="60"/>
      <c r="D4689" s="60"/>
      <c r="E4689" s="60"/>
      <c r="F4689" s="60"/>
      <c r="G4689" s="60"/>
      <c r="H4689" s="60"/>
      <c r="I4689" s="60"/>
      <c r="J4689" s="60"/>
      <c r="K4689" s="60"/>
      <c r="L4689" s="60"/>
      <c r="M4689" s="64"/>
      <c r="N4689" s="33"/>
    </row>
    <row r="4690" ht="24" customHeight="1" spans="2:14">
      <c r="B4690" s="33"/>
      <c r="C4690" s="60"/>
      <c r="D4690" s="60"/>
      <c r="E4690" s="60"/>
      <c r="F4690" s="60"/>
      <c r="G4690" s="60"/>
      <c r="H4690" s="60"/>
      <c r="I4690" s="60"/>
      <c r="J4690" s="60"/>
      <c r="K4690" s="60"/>
      <c r="L4690" s="60"/>
      <c r="M4690" s="64"/>
      <c r="N4690" s="33"/>
    </row>
    <row r="4691" ht="24" customHeight="1" spans="2:14">
      <c r="B4691" s="33"/>
      <c r="C4691" s="60"/>
      <c r="D4691" s="60"/>
      <c r="E4691" s="60"/>
      <c r="F4691" s="60"/>
      <c r="G4691" s="60"/>
      <c r="H4691" s="60"/>
      <c r="I4691" s="60"/>
      <c r="J4691" s="60"/>
      <c r="K4691" s="60"/>
      <c r="L4691" s="60"/>
      <c r="M4691" s="64"/>
      <c r="N4691" s="33"/>
    </row>
    <row r="4692" ht="24" customHeight="1" spans="2:14">
      <c r="B4692" s="33"/>
      <c r="C4692" s="60"/>
      <c r="D4692" s="60"/>
      <c r="E4692" s="60"/>
      <c r="F4692" s="60"/>
      <c r="G4692" s="60"/>
      <c r="H4692" s="60"/>
      <c r="I4692" s="60"/>
      <c r="J4692" s="60"/>
      <c r="K4692" s="60"/>
      <c r="L4692" s="60"/>
      <c r="M4692" s="64"/>
      <c r="N4692" s="33"/>
    </row>
    <row r="4693" ht="24" customHeight="1" spans="2:14">
      <c r="B4693" s="33"/>
      <c r="C4693" s="60"/>
      <c r="D4693" s="60"/>
      <c r="E4693" s="60"/>
      <c r="F4693" s="60"/>
      <c r="G4693" s="60"/>
      <c r="H4693" s="60"/>
      <c r="I4693" s="60"/>
      <c r="J4693" s="60"/>
      <c r="K4693" s="60"/>
      <c r="L4693" s="60"/>
      <c r="M4693" s="64"/>
      <c r="N4693" s="33"/>
    </row>
    <row r="4694" ht="24" customHeight="1" spans="2:14">
      <c r="B4694" s="33"/>
      <c r="C4694" s="60"/>
      <c r="D4694" s="60"/>
      <c r="E4694" s="60"/>
      <c r="F4694" s="60"/>
      <c r="G4694" s="60"/>
      <c r="H4694" s="60"/>
      <c r="I4694" s="60"/>
      <c r="J4694" s="60"/>
      <c r="K4694" s="60"/>
      <c r="L4694" s="60"/>
      <c r="M4694" s="64"/>
      <c r="N4694" s="33"/>
    </row>
    <row r="4695" ht="24" customHeight="1" spans="2:14">
      <c r="B4695" s="33"/>
      <c r="C4695" s="60"/>
      <c r="D4695" s="60"/>
      <c r="E4695" s="60"/>
      <c r="F4695" s="60"/>
      <c r="G4695" s="60"/>
      <c r="H4695" s="60"/>
      <c r="I4695" s="60"/>
      <c r="J4695" s="60"/>
      <c r="K4695" s="60"/>
      <c r="L4695" s="60"/>
      <c r="M4695" s="64"/>
      <c r="N4695" s="33"/>
    </row>
    <row r="4696" ht="24" customHeight="1" spans="2:14">
      <c r="B4696" s="33"/>
      <c r="C4696" s="60"/>
      <c r="D4696" s="60"/>
      <c r="E4696" s="60"/>
      <c r="F4696" s="60"/>
      <c r="G4696" s="60"/>
      <c r="H4696" s="60"/>
      <c r="I4696" s="60"/>
      <c r="J4696" s="60"/>
      <c r="K4696" s="60"/>
      <c r="L4696" s="60"/>
      <c r="M4696" s="64"/>
      <c r="N4696" s="33"/>
    </row>
    <row r="4697" ht="24" customHeight="1" spans="2:14">
      <c r="B4697" s="33"/>
      <c r="C4697" s="60"/>
      <c r="D4697" s="60"/>
      <c r="E4697" s="60"/>
      <c r="F4697" s="60"/>
      <c r="G4697" s="60"/>
      <c r="H4697" s="60"/>
      <c r="I4697" s="60"/>
      <c r="J4697" s="60"/>
      <c r="K4697" s="60"/>
      <c r="L4697" s="60"/>
      <c r="M4697" s="64"/>
      <c r="N4697" s="33"/>
    </row>
    <row r="4698" ht="24" customHeight="1" spans="2:14">
      <c r="B4698" s="33"/>
      <c r="C4698" s="60"/>
      <c r="D4698" s="60"/>
      <c r="E4698" s="60"/>
      <c r="F4698" s="60"/>
      <c r="G4698" s="60"/>
      <c r="H4698" s="60"/>
      <c r="I4698" s="60"/>
      <c r="J4698" s="60"/>
      <c r="K4698" s="60"/>
      <c r="L4698" s="60"/>
      <c r="M4698" s="64"/>
      <c r="N4698" s="33"/>
    </row>
    <row r="4699" ht="24" customHeight="1" spans="2:14">
      <c r="B4699" s="33"/>
      <c r="C4699" s="60"/>
      <c r="D4699" s="60"/>
      <c r="E4699" s="60"/>
      <c r="F4699" s="60"/>
      <c r="G4699" s="60"/>
      <c r="H4699" s="60"/>
      <c r="I4699" s="60"/>
      <c r="J4699" s="60"/>
      <c r="K4699" s="60"/>
      <c r="L4699" s="60"/>
      <c r="M4699" s="64"/>
      <c r="N4699" s="33"/>
    </row>
    <row r="4700" ht="24" customHeight="1" spans="2:14">
      <c r="B4700" s="33"/>
      <c r="C4700" s="60"/>
      <c r="D4700" s="60"/>
      <c r="E4700" s="60"/>
      <c r="F4700" s="60"/>
      <c r="G4700" s="60"/>
      <c r="H4700" s="60"/>
      <c r="I4700" s="60"/>
      <c r="J4700" s="60"/>
      <c r="K4700" s="60"/>
      <c r="L4700" s="60"/>
      <c r="M4700" s="64"/>
      <c r="N4700" s="33"/>
    </row>
    <row r="4701" ht="24" customHeight="1" spans="2:14">
      <c r="B4701" s="33"/>
      <c r="C4701" s="60"/>
      <c r="D4701" s="60"/>
      <c r="E4701" s="60"/>
      <c r="F4701" s="60"/>
      <c r="G4701" s="60"/>
      <c r="H4701" s="60"/>
      <c r="I4701" s="60"/>
      <c r="J4701" s="60"/>
      <c r="K4701" s="60"/>
      <c r="L4701" s="60"/>
      <c r="M4701" s="64"/>
      <c r="N4701" s="33"/>
    </row>
    <row r="4702" ht="24" customHeight="1" spans="2:14">
      <c r="B4702" s="33"/>
      <c r="C4702" s="60"/>
      <c r="D4702" s="60"/>
      <c r="E4702" s="60"/>
      <c r="F4702" s="60"/>
      <c r="G4702" s="60"/>
      <c r="H4702" s="60"/>
      <c r="I4702" s="60"/>
      <c r="J4702" s="60"/>
      <c r="K4702" s="60"/>
      <c r="L4702" s="60"/>
      <c r="M4702" s="64"/>
      <c r="N4702" s="33"/>
    </row>
    <row r="4703" ht="24" customHeight="1" spans="2:14">
      <c r="B4703" s="33"/>
      <c r="C4703" s="60"/>
      <c r="D4703" s="60"/>
      <c r="E4703" s="60"/>
      <c r="F4703" s="60"/>
      <c r="G4703" s="60"/>
      <c r="H4703" s="60"/>
      <c r="I4703" s="60"/>
      <c r="J4703" s="60"/>
      <c r="K4703" s="60"/>
      <c r="L4703" s="60"/>
      <c r="M4703" s="64"/>
      <c r="N4703" s="33"/>
    </row>
    <row r="4704" ht="24" customHeight="1" spans="2:14">
      <c r="B4704" s="33"/>
      <c r="C4704" s="60"/>
      <c r="D4704" s="60"/>
      <c r="E4704" s="60"/>
      <c r="F4704" s="60"/>
      <c r="G4704" s="60"/>
      <c r="H4704" s="60"/>
      <c r="I4704" s="60"/>
      <c r="J4704" s="60"/>
      <c r="K4704" s="60"/>
      <c r="L4704" s="60"/>
      <c r="M4704" s="64"/>
      <c r="N4704" s="33"/>
    </row>
    <row r="4705" ht="24" customHeight="1" spans="2:14">
      <c r="B4705" s="33"/>
      <c r="C4705" s="60"/>
      <c r="D4705" s="60"/>
      <c r="E4705" s="60"/>
      <c r="F4705" s="60"/>
      <c r="G4705" s="60"/>
      <c r="H4705" s="60"/>
      <c r="I4705" s="60"/>
      <c r="J4705" s="60"/>
      <c r="K4705" s="60"/>
      <c r="L4705" s="60"/>
      <c r="M4705" s="64"/>
      <c r="N4705" s="33"/>
    </row>
    <row r="4706" ht="24" customHeight="1" spans="2:14">
      <c r="B4706" s="33"/>
      <c r="C4706" s="60"/>
      <c r="D4706" s="60"/>
      <c r="E4706" s="60"/>
      <c r="F4706" s="60"/>
      <c r="G4706" s="60"/>
      <c r="H4706" s="60"/>
      <c r="I4706" s="60"/>
      <c r="J4706" s="60"/>
      <c r="K4706" s="60"/>
      <c r="L4706" s="60"/>
      <c r="M4706" s="64"/>
      <c r="N4706" s="33"/>
    </row>
    <row r="4707" ht="24" customHeight="1" spans="2:14">
      <c r="B4707" s="33"/>
      <c r="C4707" s="60"/>
      <c r="D4707" s="60"/>
      <c r="E4707" s="60"/>
      <c r="F4707" s="60"/>
      <c r="G4707" s="60"/>
      <c r="H4707" s="60"/>
      <c r="I4707" s="60"/>
      <c r="J4707" s="60"/>
      <c r="K4707" s="60"/>
      <c r="L4707" s="60"/>
      <c r="M4707" s="64"/>
      <c r="N4707" s="33"/>
    </row>
    <row r="4708" ht="24" customHeight="1" spans="2:14">
      <c r="B4708" s="33"/>
      <c r="C4708" s="60"/>
      <c r="D4708" s="60"/>
      <c r="E4708" s="60"/>
      <c r="F4708" s="60"/>
      <c r="G4708" s="60"/>
      <c r="H4708" s="60"/>
      <c r="I4708" s="60"/>
      <c r="J4708" s="60"/>
      <c r="K4708" s="60"/>
      <c r="L4708" s="60"/>
      <c r="M4708" s="64"/>
      <c r="N4708" s="33"/>
    </row>
    <row r="4709" ht="24" customHeight="1" spans="2:14">
      <c r="B4709" s="33"/>
      <c r="C4709" s="60"/>
      <c r="D4709" s="60"/>
      <c r="E4709" s="60"/>
      <c r="F4709" s="60"/>
      <c r="G4709" s="60"/>
      <c r="H4709" s="60"/>
      <c r="I4709" s="60"/>
      <c r="J4709" s="60"/>
      <c r="K4709" s="60"/>
      <c r="L4709" s="60"/>
      <c r="M4709" s="64"/>
      <c r="N4709" s="33"/>
    </row>
    <row r="4710" ht="24" customHeight="1" spans="2:14">
      <c r="B4710" s="33"/>
      <c r="C4710" s="60"/>
      <c r="D4710" s="60"/>
      <c r="E4710" s="60"/>
      <c r="F4710" s="60"/>
      <c r="G4710" s="60"/>
      <c r="H4710" s="60"/>
      <c r="I4710" s="60"/>
      <c r="J4710" s="60"/>
      <c r="K4710" s="60"/>
      <c r="L4710" s="60"/>
      <c r="M4710" s="64"/>
      <c r="N4710" s="33"/>
    </row>
    <row r="4711" ht="24" customHeight="1" spans="2:14">
      <c r="B4711" s="33"/>
      <c r="C4711" s="60"/>
      <c r="D4711" s="60"/>
      <c r="E4711" s="60"/>
      <c r="F4711" s="60"/>
      <c r="G4711" s="60"/>
      <c r="H4711" s="60"/>
      <c r="I4711" s="60"/>
      <c r="J4711" s="60"/>
      <c r="K4711" s="60"/>
      <c r="L4711" s="60"/>
      <c r="M4711" s="64"/>
      <c r="N4711" s="33"/>
    </row>
    <row r="4712" ht="24" customHeight="1" spans="2:14">
      <c r="B4712" s="33"/>
      <c r="C4712" s="60"/>
      <c r="D4712" s="60"/>
      <c r="E4712" s="60"/>
      <c r="F4712" s="60"/>
      <c r="G4712" s="60"/>
      <c r="H4712" s="60"/>
      <c r="I4712" s="60"/>
      <c r="J4712" s="60"/>
      <c r="K4712" s="60"/>
      <c r="L4712" s="60"/>
      <c r="M4712" s="64"/>
      <c r="N4712" s="33"/>
    </row>
    <row r="4713" ht="24" customHeight="1" spans="2:14">
      <c r="B4713" s="33"/>
      <c r="C4713" s="60"/>
      <c r="D4713" s="60"/>
      <c r="E4713" s="60"/>
      <c r="F4713" s="60"/>
      <c r="G4713" s="60"/>
      <c r="H4713" s="60"/>
      <c r="I4713" s="60"/>
      <c r="J4713" s="60"/>
      <c r="K4713" s="60"/>
      <c r="L4713" s="60"/>
      <c r="M4713" s="64"/>
      <c r="N4713" s="33"/>
    </row>
    <row r="4714" ht="24" customHeight="1" spans="2:14">
      <c r="B4714" s="33"/>
      <c r="C4714" s="60"/>
      <c r="D4714" s="60"/>
      <c r="E4714" s="60"/>
      <c r="F4714" s="60"/>
      <c r="G4714" s="60"/>
      <c r="H4714" s="60"/>
      <c r="I4714" s="60"/>
      <c r="J4714" s="60"/>
      <c r="K4714" s="60"/>
      <c r="L4714" s="60"/>
      <c r="M4714" s="64"/>
      <c r="N4714" s="33"/>
    </row>
    <row r="4715" ht="24" customHeight="1" spans="2:14">
      <c r="B4715" s="33"/>
      <c r="C4715" s="60"/>
      <c r="D4715" s="60"/>
      <c r="E4715" s="60"/>
      <c r="F4715" s="60"/>
      <c r="G4715" s="60"/>
      <c r="H4715" s="60"/>
      <c r="I4715" s="60"/>
      <c r="J4715" s="60"/>
      <c r="K4715" s="60"/>
      <c r="L4715" s="60"/>
      <c r="M4715" s="64"/>
      <c r="N4715" s="33"/>
    </row>
    <row r="4716" ht="24" customHeight="1" spans="2:14">
      <c r="B4716" s="33"/>
      <c r="C4716" s="60"/>
      <c r="D4716" s="60"/>
      <c r="E4716" s="60"/>
      <c r="F4716" s="60"/>
      <c r="G4716" s="60"/>
      <c r="H4716" s="60"/>
      <c r="I4716" s="60"/>
      <c r="J4716" s="60"/>
      <c r="K4716" s="60"/>
      <c r="L4716" s="60"/>
      <c r="M4716" s="64"/>
      <c r="N4716" s="33"/>
    </row>
    <row r="4717" ht="24" customHeight="1" spans="2:14">
      <c r="B4717" s="33"/>
      <c r="C4717" s="60"/>
      <c r="D4717" s="60"/>
      <c r="E4717" s="60"/>
      <c r="F4717" s="60"/>
      <c r="G4717" s="60"/>
      <c r="H4717" s="60"/>
      <c r="I4717" s="60"/>
      <c r="J4717" s="60"/>
      <c r="K4717" s="60"/>
      <c r="L4717" s="60"/>
      <c r="M4717" s="64"/>
      <c r="N4717" s="33"/>
    </row>
    <row r="4718" ht="24" customHeight="1" spans="2:14">
      <c r="B4718" s="33"/>
      <c r="C4718" s="60"/>
      <c r="D4718" s="60"/>
      <c r="E4718" s="60"/>
      <c r="F4718" s="60"/>
      <c r="G4718" s="60"/>
      <c r="H4718" s="60"/>
      <c r="I4718" s="60"/>
      <c r="J4718" s="60"/>
      <c r="K4718" s="60"/>
      <c r="L4718" s="60"/>
      <c r="M4718" s="64"/>
      <c r="N4718" s="33"/>
    </row>
    <row r="4719" ht="24" customHeight="1" spans="2:14">
      <c r="B4719" s="33"/>
      <c r="C4719" s="60"/>
      <c r="D4719" s="60"/>
      <c r="E4719" s="60"/>
      <c r="F4719" s="60"/>
      <c r="G4719" s="60"/>
      <c r="H4719" s="60"/>
      <c r="I4719" s="60"/>
      <c r="J4719" s="60"/>
      <c r="K4719" s="60"/>
      <c r="L4719" s="60"/>
      <c r="M4719" s="64"/>
      <c r="N4719" s="33"/>
    </row>
    <row r="4720" ht="24" customHeight="1" spans="2:14">
      <c r="B4720" s="33"/>
      <c r="C4720" s="60"/>
      <c r="D4720" s="60"/>
      <c r="E4720" s="60"/>
      <c r="F4720" s="60"/>
      <c r="G4720" s="60"/>
      <c r="H4720" s="60"/>
      <c r="I4720" s="60"/>
      <c r="J4720" s="60"/>
      <c r="K4720" s="60"/>
      <c r="L4720" s="60"/>
      <c r="M4720" s="64"/>
      <c r="N4720" s="33"/>
    </row>
    <row r="4721" ht="24" customHeight="1" spans="2:14">
      <c r="B4721" s="33"/>
      <c r="C4721" s="60"/>
      <c r="D4721" s="60"/>
      <c r="E4721" s="60"/>
      <c r="F4721" s="60"/>
      <c r="G4721" s="60"/>
      <c r="H4721" s="60"/>
      <c r="I4721" s="60"/>
      <c r="J4721" s="60"/>
      <c r="K4721" s="60"/>
      <c r="L4721" s="60"/>
      <c r="M4721" s="64"/>
      <c r="N4721" s="33"/>
    </row>
    <row r="4722" ht="24" customHeight="1" spans="2:14">
      <c r="B4722" s="33"/>
      <c r="C4722" s="60"/>
      <c r="D4722" s="60"/>
      <c r="E4722" s="60"/>
      <c r="F4722" s="60"/>
      <c r="G4722" s="60"/>
      <c r="H4722" s="60"/>
      <c r="I4722" s="60"/>
      <c r="J4722" s="60"/>
      <c r="K4722" s="60"/>
      <c r="L4722" s="60"/>
      <c r="M4722" s="64"/>
      <c r="N4722" s="33"/>
    </row>
    <row r="4723" ht="24" customHeight="1" spans="2:14">
      <c r="B4723" s="33"/>
      <c r="C4723" s="60"/>
      <c r="D4723" s="60"/>
      <c r="E4723" s="60"/>
      <c r="F4723" s="60"/>
      <c r="G4723" s="60"/>
      <c r="H4723" s="60"/>
      <c r="I4723" s="60"/>
      <c r="J4723" s="60"/>
      <c r="K4723" s="60"/>
      <c r="L4723" s="60"/>
      <c r="M4723" s="64"/>
      <c r="N4723" s="33"/>
    </row>
    <row r="4724" ht="24" customHeight="1" spans="2:14">
      <c r="B4724" s="33"/>
      <c r="C4724" s="60"/>
      <c r="D4724" s="60"/>
      <c r="E4724" s="60"/>
      <c r="F4724" s="60"/>
      <c r="G4724" s="60"/>
      <c r="H4724" s="60"/>
      <c r="I4724" s="60"/>
      <c r="J4724" s="60"/>
      <c r="K4724" s="60"/>
      <c r="L4724" s="60"/>
      <c r="M4724" s="64"/>
      <c r="N4724" s="33"/>
    </row>
    <row r="4725" ht="24" customHeight="1" spans="2:14">
      <c r="B4725" s="33"/>
      <c r="C4725" s="60"/>
      <c r="D4725" s="60"/>
      <c r="E4725" s="60"/>
      <c r="F4725" s="60"/>
      <c r="G4725" s="60"/>
      <c r="H4725" s="60"/>
      <c r="I4725" s="60"/>
      <c r="J4725" s="60"/>
      <c r="K4725" s="60"/>
      <c r="L4725" s="60"/>
      <c r="M4725" s="64"/>
      <c r="N4725" s="33"/>
    </row>
    <row r="4726" ht="24" customHeight="1" spans="2:14">
      <c r="B4726" s="33"/>
      <c r="C4726" s="60"/>
      <c r="D4726" s="60"/>
      <c r="E4726" s="60"/>
      <c r="F4726" s="60"/>
      <c r="G4726" s="60"/>
      <c r="H4726" s="60"/>
      <c r="I4726" s="60"/>
      <c r="J4726" s="60"/>
      <c r="K4726" s="60"/>
      <c r="L4726" s="60"/>
      <c r="M4726" s="64"/>
      <c r="N4726" s="33"/>
    </row>
    <row r="4727" ht="24" customHeight="1" spans="2:14">
      <c r="B4727" s="33"/>
      <c r="C4727" s="60"/>
      <c r="D4727" s="60"/>
      <c r="E4727" s="60"/>
      <c r="F4727" s="60"/>
      <c r="G4727" s="60"/>
      <c r="H4727" s="60"/>
      <c r="I4727" s="60"/>
      <c r="J4727" s="60"/>
      <c r="K4727" s="60"/>
      <c r="L4727" s="60"/>
      <c r="M4727" s="64"/>
      <c r="N4727" s="33"/>
    </row>
    <row r="4728" ht="24" customHeight="1" spans="2:14">
      <c r="B4728" s="33"/>
      <c r="C4728" s="60"/>
      <c r="D4728" s="60"/>
      <c r="E4728" s="60"/>
      <c r="F4728" s="60"/>
      <c r="G4728" s="60"/>
      <c r="H4728" s="60"/>
      <c r="I4728" s="60"/>
      <c r="J4728" s="60"/>
      <c r="K4728" s="60"/>
      <c r="L4728" s="60"/>
      <c r="M4728" s="64"/>
      <c r="N4728" s="33"/>
    </row>
    <row r="4729" ht="24" customHeight="1" spans="2:14">
      <c r="B4729" s="33"/>
      <c r="C4729" s="60"/>
      <c r="D4729" s="60"/>
      <c r="E4729" s="60"/>
      <c r="F4729" s="60"/>
      <c r="G4729" s="60"/>
      <c r="H4729" s="60"/>
      <c r="I4729" s="60"/>
      <c r="J4729" s="60"/>
      <c r="K4729" s="60"/>
      <c r="L4729" s="60"/>
      <c r="M4729" s="64"/>
      <c r="N4729" s="33"/>
    </row>
    <row r="4730" ht="24" customHeight="1" spans="2:14">
      <c r="B4730" s="33"/>
      <c r="C4730" s="60"/>
      <c r="D4730" s="60"/>
      <c r="E4730" s="60"/>
      <c r="F4730" s="60"/>
      <c r="G4730" s="60"/>
      <c r="H4730" s="60"/>
      <c r="I4730" s="60"/>
      <c r="J4730" s="60"/>
      <c r="K4730" s="60"/>
      <c r="L4730" s="60"/>
      <c r="M4730" s="64"/>
      <c r="N4730" s="33"/>
    </row>
    <row r="4731" ht="24" customHeight="1" spans="2:14">
      <c r="B4731" s="33"/>
      <c r="C4731" s="60"/>
      <c r="D4731" s="60"/>
      <c r="E4731" s="60"/>
      <c r="F4731" s="60"/>
      <c r="G4731" s="60"/>
      <c r="H4731" s="60"/>
      <c r="I4731" s="60"/>
      <c r="J4731" s="60"/>
      <c r="K4731" s="60"/>
      <c r="L4731" s="60"/>
      <c r="M4731" s="64"/>
      <c r="N4731" s="33"/>
    </row>
    <row r="4732" ht="24" customHeight="1" spans="2:14">
      <c r="B4732" s="33"/>
      <c r="C4732" s="60"/>
      <c r="D4732" s="60"/>
      <c r="E4732" s="60"/>
      <c r="F4732" s="60"/>
      <c r="G4732" s="60"/>
      <c r="H4732" s="60"/>
      <c r="I4732" s="60"/>
      <c r="J4732" s="60"/>
      <c r="K4732" s="60"/>
      <c r="L4732" s="60"/>
      <c r="M4732" s="64"/>
      <c r="N4732" s="33"/>
    </row>
    <row r="4733" ht="24" customHeight="1" spans="2:14">
      <c r="B4733" s="33"/>
      <c r="C4733" s="60"/>
      <c r="D4733" s="60"/>
      <c r="E4733" s="60"/>
      <c r="F4733" s="60"/>
      <c r="G4733" s="60"/>
      <c r="H4733" s="60"/>
      <c r="I4733" s="60"/>
      <c r="J4733" s="60"/>
      <c r="K4733" s="60"/>
      <c r="L4733" s="60"/>
      <c r="M4733" s="64"/>
      <c r="N4733" s="33"/>
    </row>
    <row r="4734" ht="24" customHeight="1" spans="2:14">
      <c r="B4734" s="33"/>
      <c r="C4734" s="60"/>
      <c r="D4734" s="60"/>
      <c r="E4734" s="60"/>
      <c r="F4734" s="60"/>
      <c r="G4734" s="60"/>
      <c r="H4734" s="60"/>
      <c r="I4734" s="60"/>
      <c r="J4734" s="60"/>
      <c r="K4734" s="60"/>
      <c r="L4734" s="60"/>
      <c r="M4734" s="64"/>
      <c r="N4734" s="33"/>
    </row>
    <row r="4735" ht="24" customHeight="1" spans="2:14">
      <c r="B4735" s="33"/>
      <c r="C4735" s="60"/>
      <c r="D4735" s="60"/>
      <c r="E4735" s="60"/>
      <c r="F4735" s="60"/>
      <c r="G4735" s="60"/>
      <c r="H4735" s="60"/>
      <c r="I4735" s="60"/>
      <c r="J4735" s="60"/>
      <c r="K4735" s="60"/>
      <c r="L4735" s="60"/>
      <c r="M4735" s="64"/>
      <c r="N4735" s="33"/>
    </row>
    <row r="4736" ht="24" customHeight="1" spans="2:14">
      <c r="B4736" s="33"/>
      <c r="C4736" s="60"/>
      <c r="D4736" s="60"/>
      <c r="E4736" s="60"/>
      <c r="F4736" s="60"/>
      <c r="G4736" s="60"/>
      <c r="H4736" s="60"/>
      <c r="I4736" s="60"/>
      <c r="J4736" s="60"/>
      <c r="K4736" s="60"/>
      <c r="L4736" s="60"/>
      <c r="M4736" s="64"/>
      <c r="N4736" s="33"/>
    </row>
    <row r="4737" ht="24" customHeight="1" spans="2:14">
      <c r="B4737" s="33"/>
      <c r="C4737" s="60"/>
      <c r="D4737" s="60"/>
      <c r="E4737" s="60"/>
      <c r="F4737" s="60"/>
      <c r="G4737" s="60"/>
      <c r="H4737" s="60"/>
      <c r="I4737" s="60"/>
      <c r="J4737" s="60"/>
      <c r="K4737" s="60"/>
      <c r="L4737" s="60"/>
      <c r="M4737" s="64"/>
      <c r="N4737" s="33"/>
    </row>
    <row r="4738" ht="24" customHeight="1" spans="2:14">
      <c r="B4738" s="33"/>
      <c r="C4738" s="60"/>
      <c r="D4738" s="60"/>
      <c r="E4738" s="60"/>
      <c r="F4738" s="60"/>
      <c r="G4738" s="60"/>
      <c r="H4738" s="60"/>
      <c r="I4738" s="60"/>
      <c r="J4738" s="60"/>
      <c r="K4738" s="60"/>
      <c r="L4738" s="60"/>
      <c r="M4738" s="64"/>
      <c r="N4738" s="33"/>
    </row>
    <row r="4739" ht="24" customHeight="1" spans="2:14">
      <c r="B4739" s="33"/>
      <c r="C4739" s="60"/>
      <c r="D4739" s="60"/>
      <c r="E4739" s="60"/>
      <c r="F4739" s="60"/>
      <c r="G4739" s="60"/>
      <c r="H4739" s="60"/>
      <c r="I4739" s="60"/>
      <c r="J4739" s="60"/>
      <c r="K4739" s="60"/>
      <c r="L4739" s="60"/>
      <c r="M4739" s="64"/>
      <c r="N4739" s="33"/>
    </row>
    <row r="4740" ht="24" customHeight="1" spans="2:14">
      <c r="B4740" s="33"/>
      <c r="C4740" s="60"/>
      <c r="D4740" s="60"/>
      <c r="E4740" s="60"/>
      <c r="F4740" s="60"/>
      <c r="G4740" s="60"/>
      <c r="H4740" s="60"/>
      <c r="I4740" s="60"/>
      <c r="J4740" s="60"/>
      <c r="K4740" s="60"/>
      <c r="L4740" s="60"/>
      <c r="M4740" s="64"/>
      <c r="N4740" s="33"/>
    </row>
    <row r="4741" ht="24" customHeight="1" spans="2:14">
      <c r="B4741" s="33"/>
      <c r="C4741" s="60"/>
      <c r="D4741" s="60"/>
      <c r="E4741" s="60"/>
      <c r="F4741" s="60"/>
      <c r="G4741" s="60"/>
      <c r="H4741" s="60"/>
      <c r="I4741" s="60"/>
      <c r="J4741" s="60"/>
      <c r="K4741" s="60"/>
      <c r="L4741" s="60"/>
      <c r="M4741" s="64"/>
      <c r="N4741" s="33"/>
    </row>
    <row r="4742" ht="24" customHeight="1" spans="2:14">
      <c r="B4742" s="33"/>
      <c r="C4742" s="60"/>
      <c r="D4742" s="60"/>
      <c r="E4742" s="60"/>
      <c r="F4742" s="60"/>
      <c r="G4742" s="60"/>
      <c r="H4742" s="60"/>
      <c r="I4742" s="60"/>
      <c r="J4742" s="60"/>
      <c r="K4742" s="60"/>
      <c r="L4742" s="60"/>
      <c r="M4742" s="64"/>
      <c r="N4742" s="33"/>
    </row>
    <row r="4743" ht="24" customHeight="1" spans="2:14">
      <c r="B4743" s="33"/>
      <c r="C4743" s="60"/>
      <c r="D4743" s="60"/>
      <c r="E4743" s="60"/>
      <c r="F4743" s="60"/>
      <c r="G4743" s="60"/>
      <c r="H4743" s="60"/>
      <c r="I4743" s="60"/>
      <c r="J4743" s="60"/>
      <c r="K4743" s="60"/>
      <c r="L4743" s="60"/>
      <c r="M4743" s="64"/>
      <c r="N4743" s="33"/>
    </row>
    <row r="4744" ht="24" customHeight="1" spans="2:14">
      <c r="B4744" s="33"/>
      <c r="C4744" s="60"/>
      <c r="D4744" s="60"/>
      <c r="E4744" s="60"/>
      <c r="F4744" s="60"/>
      <c r="G4744" s="60"/>
      <c r="H4744" s="60"/>
      <c r="I4744" s="60"/>
      <c r="J4744" s="60"/>
      <c r="K4744" s="60"/>
      <c r="L4744" s="60"/>
      <c r="M4744" s="64"/>
      <c r="N4744" s="33"/>
    </row>
    <row r="4745" ht="24" customHeight="1" spans="2:14">
      <c r="B4745" s="33"/>
      <c r="C4745" s="60"/>
      <c r="D4745" s="60"/>
      <c r="E4745" s="60"/>
      <c r="F4745" s="60"/>
      <c r="G4745" s="60"/>
      <c r="H4745" s="60"/>
      <c r="I4745" s="60"/>
      <c r="J4745" s="60"/>
      <c r="K4745" s="60"/>
      <c r="L4745" s="60"/>
      <c r="M4745" s="64"/>
      <c r="N4745" s="33"/>
    </row>
    <row r="4746" ht="24" customHeight="1" spans="2:14">
      <c r="B4746" s="33"/>
      <c r="C4746" s="60"/>
      <c r="D4746" s="60"/>
      <c r="E4746" s="60"/>
      <c r="F4746" s="60"/>
      <c r="G4746" s="60"/>
      <c r="H4746" s="60"/>
      <c r="I4746" s="60"/>
      <c r="J4746" s="60"/>
      <c r="K4746" s="60"/>
      <c r="L4746" s="60"/>
      <c r="M4746" s="64"/>
      <c r="N4746" s="33"/>
    </row>
    <row r="4747" ht="24" customHeight="1" spans="2:14">
      <c r="B4747" s="33"/>
      <c r="C4747" s="60"/>
      <c r="D4747" s="60"/>
      <c r="E4747" s="60"/>
      <c r="F4747" s="60"/>
      <c r="G4747" s="60"/>
      <c r="H4747" s="60"/>
      <c r="I4747" s="60"/>
      <c r="J4747" s="60"/>
      <c r="K4747" s="60"/>
      <c r="L4747" s="60"/>
      <c r="M4747" s="64"/>
      <c r="N4747" s="33"/>
    </row>
    <row r="4748" ht="24" customHeight="1" spans="2:14">
      <c r="B4748" s="33"/>
      <c r="C4748" s="60"/>
      <c r="D4748" s="60"/>
      <c r="E4748" s="60"/>
      <c r="F4748" s="60"/>
      <c r="G4748" s="60"/>
      <c r="H4748" s="60"/>
      <c r="I4748" s="60"/>
      <c r="J4748" s="60"/>
      <c r="K4748" s="60"/>
      <c r="L4748" s="60"/>
      <c r="M4748" s="64"/>
      <c r="N4748" s="33"/>
    </row>
    <row r="4749" ht="24" customHeight="1" spans="2:14">
      <c r="B4749" s="33"/>
      <c r="C4749" s="60"/>
      <c r="D4749" s="60"/>
      <c r="E4749" s="60"/>
      <c r="F4749" s="60"/>
      <c r="G4749" s="60"/>
      <c r="H4749" s="60"/>
      <c r="I4749" s="60"/>
      <c r="J4749" s="60"/>
      <c r="K4749" s="60"/>
      <c r="L4749" s="60"/>
      <c r="M4749" s="64"/>
      <c r="N4749" s="33"/>
    </row>
    <row r="4750" ht="24" customHeight="1" spans="2:14">
      <c r="B4750" s="33"/>
      <c r="C4750" s="60"/>
      <c r="D4750" s="60"/>
      <c r="E4750" s="60"/>
      <c r="F4750" s="60"/>
      <c r="G4750" s="60"/>
      <c r="H4750" s="60"/>
      <c r="I4750" s="60"/>
      <c r="J4750" s="60"/>
      <c r="K4750" s="60"/>
      <c r="L4750" s="60"/>
      <c r="M4750" s="64"/>
      <c r="N4750" s="33"/>
    </row>
    <row r="4751" ht="24" customHeight="1" spans="2:14">
      <c r="B4751" s="33"/>
      <c r="C4751" s="60"/>
      <c r="D4751" s="60"/>
      <c r="E4751" s="60"/>
      <c r="F4751" s="60"/>
      <c r="G4751" s="60"/>
      <c r="H4751" s="60"/>
      <c r="I4751" s="60"/>
      <c r="J4751" s="60"/>
      <c r="K4751" s="60"/>
      <c r="L4751" s="60"/>
      <c r="M4751" s="64"/>
      <c r="N4751" s="33"/>
    </row>
    <row r="4752" ht="24" customHeight="1" spans="2:14">
      <c r="B4752" s="33"/>
      <c r="C4752" s="60"/>
      <c r="D4752" s="60"/>
      <c r="E4752" s="60"/>
      <c r="F4752" s="60"/>
      <c r="G4752" s="60"/>
      <c r="H4752" s="60"/>
      <c r="I4752" s="60"/>
      <c r="J4752" s="60"/>
      <c r="K4752" s="60"/>
      <c r="L4752" s="60"/>
      <c r="M4752" s="64"/>
      <c r="N4752" s="33"/>
    </row>
    <row r="4753" ht="24" customHeight="1" spans="2:14">
      <c r="B4753" s="33"/>
      <c r="C4753" s="60"/>
      <c r="D4753" s="60"/>
      <c r="E4753" s="60"/>
      <c r="F4753" s="60"/>
      <c r="G4753" s="60"/>
      <c r="H4753" s="60"/>
      <c r="I4753" s="60"/>
      <c r="J4753" s="60"/>
      <c r="K4753" s="60"/>
      <c r="L4753" s="60"/>
      <c r="M4753" s="64"/>
      <c r="N4753" s="33"/>
    </row>
    <row r="4754" ht="24" customHeight="1" spans="2:14">
      <c r="B4754" s="33"/>
      <c r="C4754" s="60"/>
      <c r="D4754" s="60"/>
      <c r="E4754" s="60"/>
      <c r="F4754" s="60"/>
      <c r="G4754" s="60"/>
      <c r="H4754" s="60"/>
      <c r="I4754" s="60"/>
      <c r="J4754" s="60"/>
      <c r="K4754" s="60"/>
      <c r="L4754" s="60"/>
      <c r="M4754" s="64"/>
      <c r="N4754" s="33"/>
    </row>
    <row r="4755" ht="24" customHeight="1" spans="2:14">
      <c r="B4755" s="33"/>
      <c r="C4755" s="60"/>
      <c r="D4755" s="60"/>
      <c r="E4755" s="60"/>
      <c r="F4755" s="60"/>
      <c r="G4755" s="60"/>
      <c r="H4755" s="60"/>
      <c r="I4755" s="60"/>
      <c r="J4755" s="60"/>
      <c r="K4755" s="60"/>
      <c r="L4755" s="60"/>
      <c r="M4755" s="64"/>
      <c r="N4755" s="33"/>
    </row>
    <row r="4756" ht="24" customHeight="1" spans="2:14">
      <c r="B4756" s="33"/>
      <c r="C4756" s="60"/>
      <c r="D4756" s="60"/>
      <c r="E4756" s="60"/>
      <c r="F4756" s="60"/>
      <c r="G4756" s="60"/>
      <c r="H4756" s="60"/>
      <c r="I4756" s="60"/>
      <c r="J4756" s="60"/>
      <c r="K4756" s="60"/>
      <c r="L4756" s="60"/>
      <c r="M4756" s="64"/>
      <c r="N4756" s="33"/>
    </row>
    <row r="4757" ht="24" customHeight="1" spans="2:14">
      <c r="B4757" s="33"/>
      <c r="C4757" s="60"/>
      <c r="D4757" s="60"/>
      <c r="E4757" s="60"/>
      <c r="F4757" s="60"/>
      <c r="G4757" s="60"/>
      <c r="H4757" s="60"/>
      <c r="I4757" s="60"/>
      <c r="J4757" s="60"/>
      <c r="K4757" s="60"/>
      <c r="L4757" s="60"/>
      <c r="M4757" s="64"/>
      <c r="N4757" s="33"/>
    </row>
    <row r="4758" ht="24" customHeight="1" spans="2:14">
      <c r="B4758" s="33"/>
      <c r="C4758" s="60"/>
      <c r="D4758" s="60"/>
      <c r="E4758" s="60"/>
      <c r="F4758" s="60"/>
      <c r="G4758" s="60"/>
      <c r="H4758" s="60"/>
      <c r="I4758" s="60"/>
      <c r="J4758" s="60"/>
      <c r="K4758" s="60"/>
      <c r="L4758" s="60"/>
      <c r="M4758" s="64"/>
      <c r="N4758" s="33"/>
    </row>
    <row r="4759" ht="24" customHeight="1" spans="2:14">
      <c r="B4759" s="33"/>
      <c r="C4759" s="60"/>
      <c r="D4759" s="60"/>
      <c r="E4759" s="60"/>
      <c r="F4759" s="60"/>
      <c r="G4759" s="60"/>
      <c r="H4759" s="60"/>
      <c r="I4759" s="60"/>
      <c r="J4759" s="60"/>
      <c r="K4759" s="60"/>
      <c r="L4759" s="60"/>
      <c r="M4759" s="64"/>
      <c r="N4759" s="33"/>
    </row>
    <row r="4760" ht="24" customHeight="1" spans="2:14">
      <c r="B4760" s="33"/>
      <c r="C4760" s="60"/>
      <c r="D4760" s="60"/>
      <c r="E4760" s="60"/>
      <c r="F4760" s="60"/>
      <c r="G4760" s="60"/>
      <c r="H4760" s="60"/>
      <c r="I4760" s="60"/>
      <c r="J4760" s="60"/>
      <c r="K4760" s="60"/>
      <c r="L4760" s="60"/>
      <c r="M4760" s="64"/>
      <c r="N4760" s="33"/>
    </row>
    <row r="4761" ht="24" customHeight="1" spans="2:14">
      <c r="B4761" s="33"/>
      <c r="C4761" s="60"/>
      <c r="D4761" s="60"/>
      <c r="E4761" s="60"/>
      <c r="F4761" s="60"/>
      <c r="G4761" s="60"/>
      <c r="H4761" s="60"/>
      <c r="I4761" s="60"/>
      <c r="J4761" s="60"/>
      <c r="K4761" s="60"/>
      <c r="L4761" s="60"/>
      <c r="M4761" s="64"/>
      <c r="N4761" s="33"/>
    </row>
    <row r="4762" ht="24" customHeight="1" spans="2:14">
      <c r="B4762" s="33"/>
      <c r="C4762" s="60"/>
      <c r="D4762" s="60"/>
      <c r="E4762" s="60"/>
      <c r="F4762" s="60"/>
      <c r="G4762" s="60"/>
      <c r="H4762" s="60"/>
      <c r="I4762" s="60"/>
      <c r="J4762" s="60"/>
      <c r="K4762" s="60"/>
      <c r="L4762" s="60"/>
      <c r="M4762" s="64"/>
      <c r="N4762" s="33"/>
    </row>
    <row r="4763" ht="24" customHeight="1" spans="2:14">
      <c r="B4763" s="33"/>
      <c r="C4763" s="60"/>
      <c r="D4763" s="60"/>
      <c r="E4763" s="60"/>
      <c r="F4763" s="60"/>
      <c r="G4763" s="60"/>
      <c r="H4763" s="60"/>
      <c r="I4763" s="60"/>
      <c r="J4763" s="60"/>
      <c r="K4763" s="60"/>
      <c r="L4763" s="60"/>
      <c r="M4763" s="64"/>
      <c r="N4763" s="33"/>
    </row>
    <row r="4764" ht="24" customHeight="1" spans="2:14">
      <c r="B4764" s="33"/>
      <c r="C4764" s="60"/>
      <c r="D4764" s="60"/>
      <c r="E4764" s="60"/>
      <c r="F4764" s="60"/>
      <c r="G4764" s="60"/>
      <c r="H4764" s="60"/>
      <c r="I4764" s="60"/>
      <c r="J4764" s="60"/>
      <c r="K4764" s="60"/>
      <c r="L4764" s="60"/>
      <c r="M4764" s="64"/>
      <c r="N4764" s="33"/>
    </row>
    <row r="4765" ht="24" customHeight="1" spans="2:14">
      <c r="B4765" s="33"/>
      <c r="C4765" s="60"/>
      <c r="D4765" s="60"/>
      <c r="E4765" s="60"/>
      <c r="F4765" s="60"/>
      <c r="G4765" s="60"/>
      <c r="H4765" s="60"/>
      <c r="I4765" s="60"/>
      <c r="J4765" s="60"/>
      <c r="K4765" s="60"/>
      <c r="L4765" s="60"/>
      <c r="M4765" s="64"/>
      <c r="N4765" s="33"/>
    </row>
    <row r="4766" ht="24" customHeight="1" spans="2:14">
      <c r="B4766" s="33"/>
      <c r="C4766" s="60"/>
      <c r="D4766" s="60"/>
      <c r="E4766" s="60"/>
      <c r="F4766" s="60"/>
      <c r="G4766" s="60"/>
      <c r="H4766" s="60"/>
      <c r="I4766" s="60"/>
      <c r="J4766" s="60"/>
      <c r="K4766" s="60"/>
      <c r="L4766" s="60"/>
      <c r="M4766" s="64"/>
      <c r="N4766" s="33"/>
    </row>
    <row r="4767" ht="24" customHeight="1" spans="2:14">
      <c r="B4767" s="33"/>
      <c r="C4767" s="60"/>
      <c r="D4767" s="60"/>
      <c r="E4767" s="60"/>
      <c r="F4767" s="60"/>
      <c r="G4767" s="60"/>
      <c r="H4767" s="60"/>
      <c r="I4767" s="60"/>
      <c r="J4767" s="60"/>
      <c r="K4767" s="60"/>
      <c r="L4767" s="60"/>
      <c r="M4767" s="64"/>
      <c r="N4767" s="33"/>
    </row>
    <row r="4768" ht="24" customHeight="1" spans="2:14">
      <c r="B4768" s="33"/>
      <c r="C4768" s="60"/>
      <c r="D4768" s="60"/>
      <c r="E4768" s="60"/>
      <c r="F4768" s="60"/>
      <c r="G4768" s="60"/>
      <c r="H4768" s="60"/>
      <c r="I4768" s="60"/>
      <c r="J4768" s="60"/>
      <c r="K4768" s="60"/>
      <c r="L4768" s="60"/>
      <c r="M4768" s="64"/>
      <c r="N4768" s="33"/>
    </row>
    <row r="4769" ht="24" customHeight="1" spans="2:14">
      <c r="B4769" s="33"/>
      <c r="C4769" s="60"/>
      <c r="D4769" s="60"/>
      <c r="E4769" s="60"/>
      <c r="F4769" s="60"/>
      <c r="G4769" s="60"/>
      <c r="H4769" s="60"/>
      <c r="I4769" s="60"/>
      <c r="J4769" s="60"/>
      <c r="K4769" s="60"/>
      <c r="L4769" s="60"/>
      <c r="M4769" s="64"/>
      <c r="N4769" s="33"/>
    </row>
    <row r="4770" ht="24" customHeight="1" spans="2:14">
      <c r="B4770" s="33"/>
      <c r="C4770" s="60"/>
      <c r="D4770" s="60"/>
      <c r="E4770" s="60"/>
      <c r="F4770" s="60"/>
      <c r="G4770" s="60"/>
      <c r="H4770" s="60"/>
      <c r="I4770" s="60"/>
      <c r="J4770" s="60"/>
      <c r="K4770" s="60"/>
      <c r="L4770" s="60"/>
      <c r="M4770" s="64"/>
      <c r="N4770" s="33"/>
    </row>
    <row r="4771" ht="24" customHeight="1" spans="2:14">
      <c r="B4771" s="33"/>
      <c r="C4771" s="60"/>
      <c r="D4771" s="60"/>
      <c r="E4771" s="60"/>
      <c r="F4771" s="60"/>
      <c r="G4771" s="60"/>
      <c r="H4771" s="60"/>
      <c r="I4771" s="60"/>
      <c r="J4771" s="60"/>
      <c r="K4771" s="60"/>
      <c r="L4771" s="60"/>
      <c r="M4771" s="64"/>
      <c r="N4771" s="33"/>
    </row>
    <row r="4772" ht="24" customHeight="1" spans="2:14">
      <c r="B4772" s="33"/>
      <c r="C4772" s="60"/>
      <c r="D4772" s="60"/>
      <c r="E4772" s="60"/>
      <c r="F4772" s="60"/>
      <c r="G4772" s="60"/>
      <c r="H4772" s="60"/>
      <c r="I4772" s="60"/>
      <c r="J4772" s="60"/>
      <c r="K4772" s="60"/>
      <c r="L4772" s="60"/>
      <c r="M4772" s="64"/>
      <c r="N4772" s="33"/>
    </row>
    <row r="4773" ht="24" customHeight="1" spans="2:14">
      <c r="B4773" s="33"/>
      <c r="C4773" s="60"/>
      <c r="D4773" s="60"/>
      <c r="E4773" s="60"/>
      <c r="F4773" s="60"/>
      <c r="G4773" s="60"/>
      <c r="H4773" s="60"/>
      <c r="I4773" s="60"/>
      <c r="J4773" s="60"/>
      <c r="K4773" s="60"/>
      <c r="L4773" s="60"/>
      <c r="M4773" s="64"/>
      <c r="N4773" s="33"/>
    </row>
    <row r="4774" ht="24" customHeight="1" spans="2:14">
      <c r="B4774" s="33"/>
      <c r="C4774" s="60"/>
      <c r="D4774" s="60"/>
      <c r="E4774" s="60"/>
      <c r="F4774" s="60"/>
      <c r="G4774" s="60"/>
      <c r="H4774" s="60"/>
      <c r="I4774" s="60"/>
      <c r="J4774" s="60"/>
      <c r="K4774" s="60"/>
      <c r="L4774" s="60"/>
      <c r="M4774" s="64"/>
      <c r="N4774" s="33"/>
    </row>
    <row r="4775" ht="24" customHeight="1" spans="2:14">
      <c r="B4775" s="33"/>
      <c r="C4775" s="60"/>
      <c r="D4775" s="60"/>
      <c r="E4775" s="60"/>
      <c r="F4775" s="60"/>
      <c r="G4775" s="60"/>
      <c r="H4775" s="60"/>
      <c r="I4775" s="60"/>
      <c r="J4775" s="60"/>
      <c r="K4775" s="60"/>
      <c r="L4775" s="60"/>
      <c r="M4775" s="64"/>
      <c r="N4775" s="33"/>
    </row>
    <row r="4776" ht="24" customHeight="1" spans="2:14">
      <c r="B4776" s="33"/>
      <c r="C4776" s="60"/>
      <c r="D4776" s="60"/>
      <c r="E4776" s="60"/>
      <c r="F4776" s="60"/>
      <c r="G4776" s="60"/>
      <c r="H4776" s="60"/>
      <c r="I4776" s="60"/>
      <c r="J4776" s="60"/>
      <c r="K4776" s="60"/>
      <c r="L4776" s="60"/>
      <c r="M4776" s="64"/>
      <c r="N4776" s="33"/>
    </row>
    <row r="4777" ht="24" customHeight="1" spans="2:14">
      <c r="B4777" s="33"/>
      <c r="C4777" s="60"/>
      <c r="D4777" s="60"/>
      <c r="E4777" s="60"/>
      <c r="F4777" s="60"/>
      <c r="G4777" s="60"/>
      <c r="H4777" s="60"/>
      <c r="I4777" s="60"/>
      <c r="J4777" s="60"/>
      <c r="K4777" s="60"/>
      <c r="L4777" s="60"/>
      <c r="M4777" s="64"/>
      <c r="N4777" s="33"/>
    </row>
    <row r="4778" ht="24" customHeight="1" spans="2:14">
      <c r="B4778" s="33"/>
      <c r="C4778" s="60"/>
      <c r="D4778" s="60"/>
      <c r="E4778" s="60"/>
      <c r="F4778" s="60"/>
      <c r="G4778" s="60"/>
      <c r="H4778" s="60"/>
      <c r="I4778" s="60"/>
      <c r="J4778" s="60"/>
      <c r="K4778" s="60"/>
      <c r="L4778" s="60"/>
      <c r="M4778" s="64"/>
      <c r="N4778" s="33"/>
    </row>
    <row r="4779" ht="24" customHeight="1" spans="2:14">
      <c r="B4779" s="33"/>
      <c r="C4779" s="60"/>
      <c r="D4779" s="60"/>
      <c r="E4779" s="60"/>
      <c r="F4779" s="60"/>
      <c r="G4779" s="60"/>
      <c r="H4779" s="60"/>
      <c r="I4779" s="60"/>
      <c r="J4779" s="60"/>
      <c r="K4779" s="60"/>
      <c r="L4779" s="60"/>
      <c r="M4779" s="64"/>
      <c r="N4779" s="33"/>
    </row>
    <row r="4780" ht="24" customHeight="1" spans="2:14">
      <c r="B4780" s="33"/>
      <c r="C4780" s="60"/>
      <c r="D4780" s="60"/>
      <c r="E4780" s="60"/>
      <c r="F4780" s="60"/>
      <c r="G4780" s="60"/>
      <c r="H4780" s="60"/>
      <c r="I4780" s="60"/>
      <c r="J4780" s="60"/>
      <c r="K4780" s="60"/>
      <c r="L4780" s="60"/>
      <c r="M4780" s="64"/>
      <c r="N4780" s="33"/>
    </row>
    <row r="4781" ht="24" customHeight="1" spans="2:14">
      <c r="B4781" s="33"/>
      <c r="C4781" s="60"/>
      <c r="D4781" s="60"/>
      <c r="E4781" s="60"/>
      <c r="F4781" s="60"/>
      <c r="G4781" s="60"/>
      <c r="H4781" s="60"/>
      <c r="I4781" s="60"/>
      <c r="J4781" s="60"/>
      <c r="K4781" s="60"/>
      <c r="L4781" s="60"/>
      <c r="M4781" s="64"/>
      <c r="N4781" s="33"/>
    </row>
    <row r="4782" ht="24" customHeight="1" spans="2:14">
      <c r="B4782" s="33"/>
      <c r="C4782" s="60"/>
      <c r="D4782" s="60"/>
      <c r="E4782" s="60"/>
      <c r="F4782" s="60"/>
      <c r="G4782" s="60"/>
      <c r="H4782" s="60"/>
      <c r="I4782" s="60"/>
      <c r="J4782" s="60"/>
      <c r="K4782" s="60"/>
      <c r="L4782" s="60"/>
      <c r="M4782" s="64"/>
      <c r="N4782" s="33"/>
    </row>
    <row r="4783" ht="24" customHeight="1" spans="2:14">
      <c r="B4783" s="33"/>
      <c r="C4783" s="60"/>
      <c r="D4783" s="60"/>
      <c r="E4783" s="60"/>
      <c r="F4783" s="60"/>
      <c r="G4783" s="60"/>
      <c r="H4783" s="60"/>
      <c r="I4783" s="60"/>
      <c r="J4783" s="60"/>
      <c r="K4783" s="60"/>
      <c r="L4783" s="60"/>
      <c r="M4783" s="64"/>
      <c r="N4783" s="33"/>
    </row>
    <row r="4784" ht="24" customHeight="1" spans="2:14">
      <c r="B4784" s="33"/>
      <c r="C4784" s="60"/>
      <c r="D4784" s="60"/>
      <c r="E4784" s="60"/>
      <c r="F4784" s="60"/>
      <c r="G4784" s="60"/>
      <c r="H4784" s="60"/>
      <c r="I4784" s="60"/>
      <c r="J4784" s="60"/>
      <c r="K4784" s="60"/>
      <c r="L4784" s="60"/>
      <c r="M4784" s="64"/>
      <c r="N4784" s="33"/>
    </row>
    <row r="4785" ht="24" customHeight="1" spans="2:14">
      <c r="B4785" s="33"/>
      <c r="C4785" s="60"/>
      <c r="D4785" s="60"/>
      <c r="E4785" s="60"/>
      <c r="F4785" s="60"/>
      <c r="G4785" s="60"/>
      <c r="H4785" s="60"/>
      <c r="I4785" s="60"/>
      <c r="J4785" s="60"/>
      <c r="K4785" s="60"/>
      <c r="L4785" s="60"/>
      <c r="M4785" s="64"/>
      <c r="N4785" s="33"/>
    </row>
    <row r="4786" ht="24" customHeight="1" spans="2:14">
      <c r="B4786" s="33"/>
      <c r="C4786" s="60"/>
      <c r="D4786" s="60"/>
      <c r="E4786" s="60"/>
      <c r="F4786" s="60"/>
      <c r="G4786" s="60"/>
      <c r="H4786" s="60"/>
      <c r="I4786" s="60"/>
      <c r="J4786" s="60"/>
      <c r="K4786" s="60"/>
      <c r="L4786" s="60"/>
      <c r="M4786" s="64"/>
      <c r="N4786" s="33"/>
    </row>
    <row r="4787" ht="24" customHeight="1" spans="2:14">
      <c r="B4787" s="33"/>
      <c r="C4787" s="60"/>
      <c r="D4787" s="60"/>
      <c r="E4787" s="60"/>
      <c r="F4787" s="60"/>
      <c r="G4787" s="60"/>
      <c r="H4787" s="60"/>
      <c r="I4787" s="60"/>
      <c r="J4787" s="60"/>
      <c r="K4787" s="60"/>
      <c r="L4787" s="60"/>
      <c r="M4787" s="64"/>
      <c r="N4787" s="33"/>
    </row>
    <row r="4788" ht="24" customHeight="1" spans="2:14">
      <c r="B4788" s="33"/>
      <c r="C4788" s="60"/>
      <c r="D4788" s="60"/>
      <c r="E4788" s="60"/>
      <c r="F4788" s="60"/>
      <c r="G4788" s="60"/>
      <c r="H4788" s="60"/>
      <c r="I4788" s="60"/>
      <c r="J4788" s="60"/>
      <c r="K4788" s="60"/>
      <c r="L4788" s="60"/>
      <c r="M4788" s="64"/>
      <c r="N4788" s="33"/>
    </row>
    <row r="4789" ht="24" customHeight="1" spans="2:14">
      <c r="B4789" s="33"/>
      <c r="C4789" s="60"/>
      <c r="D4789" s="60"/>
      <c r="E4789" s="60"/>
      <c r="F4789" s="60"/>
      <c r="G4789" s="60"/>
      <c r="H4789" s="60"/>
      <c r="I4789" s="60"/>
      <c r="J4789" s="60"/>
      <c r="K4789" s="60"/>
      <c r="L4789" s="60"/>
      <c r="M4789" s="64"/>
      <c r="N4789" s="33"/>
    </row>
    <row r="4790" ht="24" customHeight="1" spans="2:14">
      <c r="B4790" s="33"/>
      <c r="C4790" s="60"/>
      <c r="D4790" s="60"/>
      <c r="E4790" s="60"/>
      <c r="F4790" s="60"/>
      <c r="G4790" s="60"/>
      <c r="H4790" s="60"/>
      <c r="I4790" s="60"/>
      <c r="J4790" s="60"/>
      <c r="K4790" s="60"/>
      <c r="L4790" s="60"/>
      <c r="M4790" s="64"/>
      <c r="N4790" s="33"/>
    </row>
    <row r="4791" ht="24" customHeight="1" spans="2:14">
      <c r="B4791" s="33"/>
      <c r="C4791" s="60"/>
      <c r="D4791" s="60"/>
      <c r="E4791" s="60"/>
      <c r="F4791" s="60"/>
      <c r="G4791" s="60"/>
      <c r="H4791" s="60"/>
      <c r="I4791" s="60"/>
      <c r="J4791" s="60"/>
      <c r="K4791" s="60"/>
      <c r="L4791" s="60"/>
      <c r="M4791" s="64"/>
      <c r="N4791" s="33"/>
    </row>
    <row r="4792" ht="24" customHeight="1" spans="2:14">
      <c r="B4792" s="33"/>
      <c r="C4792" s="60"/>
      <c r="D4792" s="60"/>
      <c r="E4792" s="60"/>
      <c r="F4792" s="60"/>
      <c r="G4792" s="60"/>
      <c r="H4792" s="60"/>
      <c r="I4792" s="60"/>
      <c r="J4792" s="60"/>
      <c r="K4792" s="60"/>
      <c r="L4792" s="60"/>
      <c r="M4792" s="64"/>
      <c r="N4792" s="33"/>
    </row>
    <row r="4793" ht="24" customHeight="1" spans="2:14">
      <c r="B4793" s="33"/>
      <c r="C4793" s="60"/>
      <c r="D4793" s="60"/>
      <c r="E4793" s="60"/>
      <c r="F4793" s="60"/>
      <c r="G4793" s="60"/>
      <c r="H4793" s="60"/>
      <c r="I4793" s="60"/>
      <c r="J4793" s="60"/>
      <c r="K4793" s="60"/>
      <c r="L4793" s="60"/>
      <c r="M4793" s="64"/>
      <c r="N4793" s="33"/>
    </row>
    <row r="4794" ht="24" customHeight="1" spans="2:14">
      <c r="B4794" s="33"/>
      <c r="C4794" s="60"/>
      <c r="D4794" s="60"/>
      <c r="E4794" s="60"/>
      <c r="F4794" s="60"/>
      <c r="G4794" s="60"/>
      <c r="H4794" s="60"/>
      <c r="I4794" s="60"/>
      <c r="J4794" s="60"/>
      <c r="K4794" s="60"/>
      <c r="L4794" s="60"/>
      <c r="M4794" s="64"/>
      <c r="N4794" s="33"/>
    </row>
    <row r="4795" ht="24" customHeight="1" spans="2:14">
      <c r="B4795" s="33"/>
      <c r="C4795" s="60"/>
      <c r="D4795" s="60"/>
      <c r="E4795" s="60"/>
      <c r="F4795" s="60"/>
      <c r="G4795" s="60"/>
      <c r="H4795" s="60"/>
      <c r="I4795" s="60"/>
      <c r="J4795" s="60"/>
      <c r="K4795" s="60"/>
      <c r="L4795" s="60"/>
      <c r="M4795" s="64"/>
      <c r="N4795" s="33"/>
    </row>
    <row r="4796" ht="24" customHeight="1" spans="2:14">
      <c r="B4796" s="33"/>
      <c r="C4796" s="60"/>
      <c r="D4796" s="60"/>
      <c r="E4796" s="60"/>
      <c r="F4796" s="60"/>
      <c r="G4796" s="60"/>
      <c r="H4796" s="60"/>
      <c r="I4796" s="60"/>
      <c r="J4796" s="60"/>
      <c r="K4796" s="60"/>
      <c r="L4796" s="60"/>
      <c r="M4796" s="64"/>
      <c r="N4796" s="33"/>
    </row>
    <row r="4797" ht="24" customHeight="1" spans="2:14">
      <c r="B4797" s="33"/>
      <c r="C4797" s="60"/>
      <c r="D4797" s="60"/>
      <c r="E4797" s="60"/>
      <c r="F4797" s="60"/>
      <c r="G4797" s="60"/>
      <c r="H4797" s="60"/>
      <c r="I4797" s="60"/>
      <c r="J4797" s="60"/>
      <c r="K4797" s="60"/>
      <c r="L4797" s="60"/>
      <c r="M4797" s="64"/>
      <c r="N4797" s="33"/>
    </row>
    <row r="4798" ht="24" customHeight="1" spans="2:14">
      <c r="B4798" s="33"/>
      <c r="C4798" s="60"/>
      <c r="D4798" s="60"/>
      <c r="E4798" s="60"/>
      <c r="F4798" s="60"/>
      <c r="G4798" s="60"/>
      <c r="H4798" s="60"/>
      <c r="I4798" s="60"/>
      <c r="J4798" s="60"/>
      <c r="K4798" s="60"/>
      <c r="L4798" s="60"/>
      <c r="M4798" s="64"/>
      <c r="N4798" s="33"/>
    </row>
    <row r="4799" ht="24" customHeight="1" spans="2:14">
      <c r="B4799" s="33"/>
      <c r="C4799" s="60"/>
      <c r="D4799" s="60"/>
      <c r="E4799" s="60"/>
      <c r="F4799" s="60"/>
      <c r="G4799" s="60"/>
      <c r="H4799" s="60"/>
      <c r="I4799" s="60"/>
      <c r="J4799" s="60"/>
      <c r="K4799" s="60"/>
      <c r="L4799" s="60"/>
      <c r="M4799" s="64"/>
      <c r="N4799" s="33"/>
    </row>
    <row r="4800" ht="24" customHeight="1" spans="2:14">
      <c r="B4800" s="33"/>
      <c r="C4800" s="60"/>
      <c r="D4800" s="60"/>
      <c r="E4800" s="60"/>
      <c r="F4800" s="60"/>
      <c r="G4800" s="60"/>
      <c r="H4800" s="60"/>
      <c r="I4800" s="60"/>
      <c r="J4800" s="60"/>
      <c r="K4800" s="60"/>
      <c r="L4800" s="60"/>
      <c r="M4800" s="64"/>
      <c r="N4800" s="33"/>
    </row>
    <row r="4801" ht="24" customHeight="1" spans="2:14">
      <c r="B4801" s="33"/>
      <c r="C4801" s="60"/>
      <c r="D4801" s="60"/>
      <c r="E4801" s="60"/>
      <c r="F4801" s="60"/>
      <c r="G4801" s="60"/>
      <c r="H4801" s="60"/>
      <c r="I4801" s="60"/>
      <c r="J4801" s="60"/>
      <c r="K4801" s="60"/>
      <c r="L4801" s="60"/>
      <c r="M4801" s="64"/>
      <c r="N4801" s="33"/>
    </row>
    <row r="4802" ht="24" customHeight="1" spans="2:14">
      <c r="B4802" s="33"/>
      <c r="C4802" s="60"/>
      <c r="D4802" s="60"/>
      <c r="E4802" s="60"/>
      <c r="F4802" s="60"/>
      <c r="G4802" s="60"/>
      <c r="H4802" s="60"/>
      <c r="I4802" s="60"/>
      <c r="J4802" s="60"/>
      <c r="K4802" s="60"/>
      <c r="L4802" s="60"/>
      <c r="M4802" s="64"/>
      <c r="N4802" s="33"/>
    </row>
    <row r="4803" ht="24" customHeight="1" spans="2:14">
      <c r="B4803" s="33"/>
      <c r="C4803" s="60"/>
      <c r="D4803" s="60"/>
      <c r="E4803" s="60"/>
      <c r="F4803" s="60"/>
      <c r="G4803" s="60"/>
      <c r="H4803" s="60"/>
      <c r="I4803" s="60"/>
      <c r="J4803" s="60"/>
      <c r="K4803" s="60"/>
      <c r="L4803" s="60"/>
      <c r="M4803" s="64"/>
      <c r="N4803" s="33"/>
    </row>
    <row r="4804" ht="24" customHeight="1" spans="2:14">
      <c r="B4804" s="33"/>
      <c r="C4804" s="60"/>
      <c r="D4804" s="60"/>
      <c r="E4804" s="60"/>
      <c r="F4804" s="60"/>
      <c r="G4804" s="60"/>
      <c r="H4804" s="60"/>
      <c r="I4804" s="60"/>
      <c r="J4804" s="60"/>
      <c r="K4804" s="60"/>
      <c r="L4804" s="60"/>
      <c r="M4804" s="64"/>
      <c r="N4804" s="33"/>
    </row>
    <row r="4805" ht="24" customHeight="1" spans="2:14">
      <c r="B4805" s="33"/>
      <c r="C4805" s="60"/>
      <c r="D4805" s="60"/>
      <c r="E4805" s="60"/>
      <c r="F4805" s="60"/>
      <c r="G4805" s="60"/>
      <c r="H4805" s="60"/>
      <c r="I4805" s="60"/>
      <c r="J4805" s="60"/>
      <c r="K4805" s="60"/>
      <c r="L4805" s="60"/>
      <c r="M4805" s="64"/>
      <c r="N4805" s="33"/>
    </row>
    <row r="4806" ht="24" customHeight="1" spans="2:14">
      <c r="B4806" s="33"/>
      <c r="C4806" s="60"/>
      <c r="D4806" s="60"/>
      <c r="E4806" s="60"/>
      <c r="F4806" s="60"/>
      <c r="G4806" s="60"/>
      <c r="H4806" s="60"/>
      <c r="I4806" s="60"/>
      <c r="J4806" s="60"/>
      <c r="K4806" s="60"/>
      <c r="L4806" s="60"/>
      <c r="M4806" s="64"/>
      <c r="N4806" s="33"/>
    </row>
    <row r="4807" ht="24" customHeight="1" spans="2:14">
      <c r="B4807" s="33"/>
      <c r="C4807" s="60"/>
      <c r="D4807" s="60"/>
      <c r="E4807" s="60"/>
      <c r="F4807" s="60"/>
      <c r="G4807" s="60"/>
      <c r="H4807" s="60"/>
      <c r="I4807" s="60"/>
      <c r="J4807" s="60"/>
      <c r="K4807" s="60"/>
      <c r="L4807" s="60"/>
      <c r="M4807" s="64"/>
      <c r="N4807" s="33"/>
    </row>
    <row r="4808" ht="24" customHeight="1" spans="2:14">
      <c r="B4808" s="33"/>
      <c r="C4808" s="60"/>
      <c r="D4808" s="60"/>
      <c r="E4808" s="60"/>
      <c r="F4808" s="60"/>
      <c r="G4808" s="60"/>
      <c r="H4808" s="60"/>
      <c r="I4808" s="60"/>
      <c r="J4808" s="60"/>
      <c r="K4808" s="60"/>
      <c r="L4808" s="60"/>
      <c r="M4808" s="64"/>
      <c r="N4808" s="33"/>
    </row>
    <row r="4809" ht="24" customHeight="1" spans="2:14">
      <c r="B4809" s="33"/>
      <c r="C4809" s="60"/>
      <c r="D4809" s="60"/>
      <c r="E4809" s="60"/>
      <c r="F4809" s="60"/>
      <c r="G4809" s="60"/>
      <c r="H4809" s="60"/>
      <c r="I4809" s="60"/>
      <c r="J4809" s="60"/>
      <c r="K4809" s="60"/>
      <c r="L4809" s="60"/>
      <c r="M4809" s="64"/>
      <c r="N4809" s="33"/>
    </row>
    <row r="4810" ht="24" customHeight="1" spans="2:14">
      <c r="B4810" s="33"/>
      <c r="C4810" s="60"/>
      <c r="D4810" s="60"/>
      <c r="E4810" s="60"/>
      <c r="F4810" s="60"/>
      <c r="G4810" s="60"/>
      <c r="H4810" s="60"/>
      <c r="I4810" s="60"/>
      <c r="J4810" s="60"/>
      <c r="K4810" s="60"/>
      <c r="L4810" s="60"/>
      <c r="M4810" s="64"/>
      <c r="N4810" s="33"/>
    </row>
    <row r="4811" ht="24" customHeight="1" spans="2:14">
      <c r="B4811" s="33"/>
      <c r="C4811" s="60"/>
      <c r="D4811" s="60"/>
      <c r="E4811" s="60"/>
      <c r="F4811" s="60"/>
      <c r="G4811" s="60"/>
      <c r="H4811" s="60"/>
      <c r="I4811" s="60"/>
      <c r="J4811" s="60"/>
      <c r="K4811" s="60"/>
      <c r="L4811" s="60"/>
      <c r="M4811" s="64"/>
      <c r="N4811" s="33"/>
    </row>
    <row r="4812" ht="24" customHeight="1" spans="2:14">
      <c r="B4812" s="33"/>
      <c r="C4812" s="60"/>
      <c r="D4812" s="60"/>
      <c r="E4812" s="60"/>
      <c r="F4812" s="60"/>
      <c r="G4812" s="60"/>
      <c r="H4812" s="60"/>
      <c r="I4812" s="60"/>
      <c r="J4812" s="60"/>
      <c r="K4812" s="60"/>
      <c r="L4812" s="60"/>
      <c r="M4812" s="64"/>
      <c r="N4812" s="33"/>
    </row>
    <row r="4813" ht="24" customHeight="1" spans="2:14">
      <c r="B4813" s="33"/>
      <c r="C4813" s="60"/>
      <c r="D4813" s="60"/>
      <c r="E4813" s="60"/>
      <c r="F4813" s="60"/>
      <c r="G4813" s="60"/>
      <c r="H4813" s="60"/>
      <c r="I4813" s="60"/>
      <c r="J4813" s="60"/>
      <c r="K4813" s="60"/>
      <c r="L4813" s="60"/>
      <c r="M4813" s="64"/>
      <c r="N4813" s="33"/>
    </row>
    <row r="4814" ht="24" customHeight="1" spans="2:14">
      <c r="B4814" s="33"/>
      <c r="C4814" s="60"/>
      <c r="D4814" s="60"/>
      <c r="E4814" s="60"/>
      <c r="F4814" s="60"/>
      <c r="G4814" s="60"/>
      <c r="H4814" s="60"/>
      <c r="I4814" s="60"/>
      <c r="J4814" s="60"/>
      <c r="K4814" s="60"/>
      <c r="L4814" s="60"/>
      <c r="M4814" s="64"/>
      <c r="N4814" s="33"/>
    </row>
    <row r="4815" ht="24" customHeight="1" spans="2:14">
      <c r="B4815" s="33"/>
      <c r="C4815" s="60"/>
      <c r="D4815" s="60"/>
      <c r="E4815" s="60"/>
      <c r="F4815" s="60"/>
      <c r="G4815" s="60"/>
      <c r="H4815" s="60"/>
      <c r="I4815" s="60"/>
      <c r="J4815" s="60"/>
      <c r="K4815" s="60"/>
      <c r="L4815" s="60"/>
      <c r="M4815" s="64"/>
      <c r="N4815" s="33"/>
    </row>
    <row r="4816" ht="24" customHeight="1" spans="2:14">
      <c r="B4816" s="33"/>
      <c r="C4816" s="60"/>
      <c r="D4816" s="60"/>
      <c r="E4816" s="60"/>
      <c r="F4816" s="60"/>
      <c r="G4816" s="60"/>
      <c r="H4816" s="60"/>
      <c r="I4816" s="60"/>
      <c r="J4816" s="60"/>
      <c r="K4816" s="60"/>
      <c r="L4816" s="60"/>
      <c r="M4816" s="64"/>
      <c r="N4816" s="33"/>
    </row>
    <row r="4817" ht="24" customHeight="1" spans="2:14">
      <c r="B4817" s="33"/>
      <c r="C4817" s="60"/>
      <c r="D4817" s="60"/>
      <c r="E4817" s="60"/>
      <c r="F4817" s="60"/>
      <c r="G4817" s="60"/>
      <c r="H4817" s="60"/>
      <c r="I4817" s="60"/>
      <c r="J4817" s="60"/>
      <c r="K4817" s="60"/>
      <c r="L4817" s="60"/>
      <c r="M4817" s="64"/>
      <c r="N4817" s="33"/>
    </row>
    <row r="4818" ht="24" customHeight="1" spans="2:14">
      <c r="B4818" s="33"/>
      <c r="C4818" s="60"/>
      <c r="D4818" s="60"/>
      <c r="E4818" s="60"/>
      <c r="F4818" s="60"/>
      <c r="G4818" s="60"/>
      <c r="H4818" s="60"/>
      <c r="I4818" s="60"/>
      <c r="J4818" s="60"/>
      <c r="K4818" s="60"/>
      <c r="L4818" s="60"/>
      <c r="M4818" s="64"/>
      <c r="N4818" s="33"/>
    </row>
    <row r="4819" ht="24" customHeight="1" spans="2:14">
      <c r="B4819" s="33"/>
      <c r="C4819" s="60"/>
      <c r="D4819" s="60"/>
      <c r="E4819" s="60"/>
      <c r="F4819" s="60"/>
      <c r="G4819" s="60"/>
      <c r="H4819" s="60"/>
      <c r="I4819" s="60"/>
      <c r="J4819" s="60"/>
      <c r="K4819" s="60"/>
      <c r="L4819" s="60"/>
      <c r="M4819" s="64"/>
      <c r="N4819" s="33"/>
    </row>
    <row r="4820" ht="24" customHeight="1" spans="2:14">
      <c r="B4820" s="33"/>
      <c r="C4820" s="60"/>
      <c r="D4820" s="60"/>
      <c r="E4820" s="60"/>
      <c r="F4820" s="60"/>
      <c r="G4820" s="60"/>
      <c r="H4820" s="60"/>
      <c r="I4820" s="60"/>
      <c r="J4820" s="60"/>
      <c r="K4820" s="60"/>
      <c r="L4820" s="60"/>
      <c r="M4820" s="64"/>
      <c r="N4820" s="33"/>
    </row>
    <row r="4821" ht="24" customHeight="1" spans="2:14">
      <c r="B4821" s="33"/>
      <c r="C4821" s="60"/>
      <c r="D4821" s="60"/>
      <c r="E4821" s="60"/>
      <c r="F4821" s="60"/>
      <c r="G4821" s="60"/>
      <c r="H4821" s="60"/>
      <c r="I4821" s="60"/>
      <c r="J4821" s="60"/>
      <c r="K4821" s="60"/>
      <c r="L4821" s="60"/>
      <c r="M4821" s="64"/>
      <c r="N4821" s="33"/>
    </row>
    <row r="4822" ht="24" customHeight="1" spans="2:14">
      <c r="B4822" s="33"/>
      <c r="C4822" s="60"/>
      <c r="D4822" s="60"/>
      <c r="E4822" s="60"/>
      <c r="F4822" s="60"/>
      <c r="G4822" s="60"/>
      <c r="H4822" s="60"/>
      <c r="I4822" s="60"/>
      <c r="J4822" s="60"/>
      <c r="K4822" s="60"/>
      <c r="L4822" s="60"/>
      <c r="M4822" s="64"/>
      <c r="N4822" s="33"/>
    </row>
    <row r="4823" ht="24" customHeight="1" spans="2:14">
      <c r="B4823" s="33"/>
      <c r="C4823" s="60"/>
      <c r="D4823" s="60"/>
      <c r="E4823" s="60"/>
      <c r="F4823" s="60"/>
      <c r="G4823" s="60"/>
      <c r="H4823" s="60"/>
      <c r="I4823" s="60"/>
      <c r="J4823" s="60"/>
      <c r="K4823" s="60"/>
      <c r="L4823" s="60"/>
      <c r="M4823" s="64"/>
      <c r="N4823" s="33"/>
    </row>
    <row r="4824" ht="24" customHeight="1" spans="2:14">
      <c r="B4824" s="33"/>
      <c r="C4824" s="60"/>
      <c r="D4824" s="60"/>
      <c r="E4824" s="60"/>
      <c r="F4824" s="60"/>
      <c r="G4824" s="60"/>
      <c r="H4824" s="60"/>
      <c r="I4824" s="60"/>
      <c r="J4824" s="60"/>
      <c r="K4824" s="60"/>
      <c r="L4824" s="60"/>
      <c r="M4824" s="64"/>
      <c r="N4824" s="33"/>
    </row>
    <row r="4825" ht="24" customHeight="1" spans="2:14">
      <c r="B4825" s="33"/>
      <c r="C4825" s="60"/>
      <c r="D4825" s="60"/>
      <c r="E4825" s="60"/>
      <c r="F4825" s="60"/>
      <c r="G4825" s="60"/>
      <c r="H4825" s="60"/>
      <c r="I4825" s="60"/>
      <c r="J4825" s="60"/>
      <c r="K4825" s="60"/>
      <c r="L4825" s="60"/>
      <c r="M4825" s="64"/>
      <c r="N4825" s="33"/>
    </row>
    <row r="4826" ht="24" customHeight="1" spans="2:14">
      <c r="B4826" s="33"/>
      <c r="C4826" s="60"/>
      <c r="D4826" s="60"/>
      <c r="E4826" s="60"/>
      <c r="F4826" s="60"/>
      <c r="G4826" s="60"/>
      <c r="H4826" s="60"/>
      <c r="I4826" s="60"/>
      <c r="J4826" s="60"/>
      <c r="K4826" s="60"/>
      <c r="L4826" s="60"/>
      <c r="M4826" s="64"/>
      <c r="N4826" s="33"/>
    </row>
    <row r="4827" ht="24" customHeight="1" spans="2:14">
      <c r="B4827" s="33"/>
      <c r="C4827" s="60"/>
      <c r="D4827" s="60"/>
      <c r="E4827" s="60"/>
      <c r="F4827" s="60"/>
      <c r="G4827" s="60"/>
      <c r="H4827" s="60"/>
      <c r="I4827" s="60"/>
      <c r="J4827" s="60"/>
      <c r="K4827" s="60"/>
      <c r="L4827" s="60"/>
      <c r="M4827" s="64"/>
      <c r="N4827" s="33"/>
    </row>
    <row r="4828" ht="24" customHeight="1" spans="2:14">
      <c r="B4828" s="33"/>
      <c r="C4828" s="60"/>
      <c r="D4828" s="60"/>
      <c r="E4828" s="60"/>
      <c r="F4828" s="60"/>
      <c r="G4828" s="60"/>
      <c r="H4828" s="60"/>
      <c r="I4828" s="60"/>
      <c r="J4828" s="60"/>
      <c r="K4828" s="60"/>
      <c r="L4828" s="60"/>
      <c r="M4828" s="64"/>
      <c r="N4828" s="33"/>
    </row>
    <row r="4829" ht="24" customHeight="1" spans="2:14">
      <c r="B4829" s="33"/>
      <c r="C4829" s="60"/>
      <c r="D4829" s="60"/>
      <c r="E4829" s="60"/>
      <c r="F4829" s="60"/>
      <c r="G4829" s="60"/>
      <c r="H4829" s="60"/>
      <c r="I4829" s="60"/>
      <c r="J4829" s="60"/>
      <c r="K4829" s="60"/>
      <c r="L4829" s="60"/>
      <c r="M4829" s="64"/>
      <c r="N4829" s="33"/>
    </row>
    <row r="4830" ht="24" customHeight="1" spans="2:14">
      <c r="B4830" s="33"/>
      <c r="C4830" s="60"/>
      <c r="D4830" s="60"/>
      <c r="E4830" s="60"/>
      <c r="F4830" s="60"/>
      <c r="G4830" s="60"/>
      <c r="H4830" s="60"/>
      <c r="I4830" s="60"/>
      <c r="J4830" s="60"/>
      <c r="K4830" s="60"/>
      <c r="L4830" s="60"/>
      <c r="M4830" s="64"/>
      <c r="N4830" s="33"/>
    </row>
    <row r="4831" ht="24" customHeight="1" spans="2:14">
      <c r="B4831" s="33"/>
      <c r="C4831" s="60"/>
      <c r="D4831" s="60"/>
      <c r="E4831" s="60"/>
      <c r="F4831" s="60"/>
      <c r="G4831" s="60"/>
      <c r="H4831" s="60"/>
      <c r="I4831" s="60"/>
      <c r="J4831" s="60"/>
      <c r="K4831" s="60"/>
      <c r="L4831" s="60"/>
      <c r="M4831" s="64"/>
      <c r="N4831" s="33"/>
    </row>
    <row r="4832" ht="24" customHeight="1" spans="2:14">
      <c r="B4832" s="33"/>
      <c r="C4832" s="60"/>
      <c r="D4832" s="60"/>
      <c r="E4832" s="60"/>
      <c r="F4832" s="60"/>
      <c r="G4832" s="60"/>
      <c r="H4832" s="60"/>
      <c r="I4832" s="60"/>
      <c r="J4832" s="60"/>
      <c r="K4832" s="60"/>
      <c r="L4832" s="60"/>
      <c r="M4832" s="64"/>
      <c r="N4832" s="33"/>
    </row>
    <row r="4833" ht="24" customHeight="1" spans="2:14">
      <c r="B4833" s="33"/>
      <c r="C4833" s="60"/>
      <c r="D4833" s="60"/>
      <c r="E4833" s="60"/>
      <c r="F4833" s="60"/>
      <c r="G4833" s="60"/>
      <c r="H4833" s="60"/>
      <c r="I4833" s="60"/>
      <c r="J4833" s="60"/>
      <c r="K4833" s="60"/>
      <c r="L4833" s="60"/>
      <c r="M4833" s="64"/>
      <c r="N4833" s="33"/>
    </row>
    <row r="4834" ht="24" customHeight="1" spans="2:14">
      <c r="B4834" s="33"/>
      <c r="C4834" s="60"/>
      <c r="D4834" s="60"/>
      <c r="E4834" s="60"/>
      <c r="F4834" s="60"/>
      <c r="G4834" s="60"/>
      <c r="H4834" s="60"/>
      <c r="I4834" s="60"/>
      <c r="J4834" s="60"/>
      <c r="K4834" s="60"/>
      <c r="L4834" s="60"/>
      <c r="M4834" s="64"/>
      <c r="N4834" s="33"/>
    </row>
    <row r="4835" ht="24" customHeight="1" spans="2:14">
      <c r="B4835" s="33"/>
      <c r="C4835" s="60"/>
      <c r="D4835" s="60"/>
      <c r="E4835" s="60"/>
      <c r="F4835" s="60"/>
      <c r="G4835" s="60"/>
      <c r="H4835" s="60"/>
      <c r="I4835" s="60"/>
      <c r="J4835" s="60"/>
      <c r="K4835" s="60"/>
      <c r="L4835" s="60"/>
      <c r="M4835" s="64"/>
      <c r="N4835" s="33"/>
    </row>
    <row r="4836" ht="24" customHeight="1" spans="2:14">
      <c r="B4836" s="33"/>
      <c r="C4836" s="60"/>
      <c r="D4836" s="60"/>
      <c r="E4836" s="60"/>
      <c r="F4836" s="60"/>
      <c r="G4836" s="60"/>
      <c r="H4836" s="60"/>
      <c r="I4836" s="60"/>
      <c r="J4836" s="60"/>
      <c r="K4836" s="60"/>
      <c r="L4836" s="60"/>
      <c r="M4836" s="64"/>
      <c r="N4836" s="33"/>
    </row>
    <row r="4837" ht="24" customHeight="1" spans="2:14">
      <c r="B4837" s="33"/>
      <c r="C4837" s="60"/>
      <c r="D4837" s="60"/>
      <c r="E4837" s="60"/>
      <c r="F4837" s="60"/>
      <c r="G4837" s="60"/>
      <c r="H4837" s="60"/>
      <c r="I4837" s="60"/>
      <c r="J4837" s="60"/>
      <c r="K4837" s="60"/>
      <c r="L4837" s="60"/>
      <c r="M4837" s="64"/>
      <c r="N4837" s="33"/>
    </row>
    <row r="4838" ht="24" customHeight="1" spans="2:14">
      <c r="B4838" s="33"/>
      <c r="C4838" s="60"/>
      <c r="D4838" s="60"/>
      <c r="E4838" s="60"/>
      <c r="F4838" s="60"/>
      <c r="G4838" s="60"/>
      <c r="H4838" s="60"/>
      <c r="I4838" s="60"/>
      <c r="J4838" s="60"/>
      <c r="K4838" s="60"/>
      <c r="L4838" s="60"/>
      <c r="M4838" s="64"/>
      <c r="N4838" s="33"/>
    </row>
    <row r="4839" ht="24" customHeight="1" spans="2:14">
      <c r="B4839" s="33"/>
      <c r="C4839" s="60"/>
      <c r="D4839" s="60"/>
      <c r="E4839" s="60"/>
      <c r="F4839" s="60"/>
      <c r="G4839" s="60"/>
      <c r="H4839" s="60"/>
      <c r="I4839" s="60"/>
      <c r="J4839" s="60"/>
      <c r="K4839" s="60"/>
      <c r="L4839" s="60"/>
      <c r="M4839" s="64"/>
      <c r="N4839" s="33"/>
    </row>
    <row r="4840" ht="24" customHeight="1" spans="2:14">
      <c r="B4840" s="33"/>
      <c r="C4840" s="60"/>
      <c r="D4840" s="60"/>
      <c r="E4840" s="60"/>
      <c r="F4840" s="60"/>
      <c r="G4840" s="60"/>
      <c r="H4840" s="60"/>
      <c r="I4840" s="60"/>
      <c r="J4840" s="60"/>
      <c r="K4840" s="60"/>
      <c r="L4840" s="60"/>
      <c r="M4840" s="64"/>
      <c r="N4840" s="33"/>
    </row>
    <row r="4841" ht="24" customHeight="1" spans="2:14">
      <c r="B4841" s="33"/>
      <c r="C4841" s="60"/>
      <c r="D4841" s="60"/>
      <c r="E4841" s="60"/>
      <c r="F4841" s="60"/>
      <c r="G4841" s="60"/>
      <c r="H4841" s="60"/>
      <c r="I4841" s="60"/>
      <c r="J4841" s="60"/>
      <c r="K4841" s="60"/>
      <c r="L4841" s="60"/>
      <c r="M4841" s="64"/>
      <c r="N4841" s="33"/>
    </row>
    <row r="4842" ht="24" customHeight="1" spans="2:14">
      <c r="B4842" s="33"/>
      <c r="C4842" s="60"/>
      <c r="D4842" s="60"/>
      <c r="E4842" s="60"/>
      <c r="F4842" s="60"/>
      <c r="G4842" s="60"/>
      <c r="H4842" s="60"/>
      <c r="I4842" s="60"/>
      <c r="J4842" s="60"/>
      <c r="K4842" s="60"/>
      <c r="L4842" s="60"/>
      <c r="M4842" s="64"/>
      <c r="N4842" s="33"/>
    </row>
    <row r="4843" ht="24" customHeight="1" spans="2:14">
      <c r="B4843" s="33"/>
      <c r="C4843" s="60"/>
      <c r="D4843" s="60"/>
      <c r="E4843" s="60"/>
      <c r="F4843" s="60"/>
      <c r="G4843" s="60"/>
      <c r="H4843" s="60"/>
      <c r="I4843" s="60"/>
      <c r="J4843" s="60"/>
      <c r="K4843" s="60"/>
      <c r="L4843" s="60"/>
      <c r="M4843" s="64"/>
      <c r="N4843" s="33"/>
    </row>
    <row r="4844" ht="24" customHeight="1" spans="2:14">
      <c r="B4844" s="33"/>
      <c r="C4844" s="60"/>
      <c r="D4844" s="60"/>
      <c r="E4844" s="60"/>
      <c r="F4844" s="60"/>
      <c r="G4844" s="60"/>
      <c r="H4844" s="60"/>
      <c r="I4844" s="60"/>
      <c r="J4844" s="60"/>
      <c r="K4844" s="60"/>
      <c r="L4844" s="60"/>
      <c r="M4844" s="64"/>
      <c r="N4844" s="33"/>
    </row>
    <row r="4845" ht="24" customHeight="1" spans="2:14">
      <c r="B4845" s="33"/>
      <c r="C4845" s="60"/>
      <c r="D4845" s="60"/>
      <c r="E4845" s="60"/>
      <c r="F4845" s="60"/>
      <c r="G4845" s="60"/>
      <c r="H4845" s="60"/>
      <c r="I4845" s="60"/>
      <c r="J4845" s="60"/>
      <c r="K4845" s="60"/>
      <c r="L4845" s="60"/>
      <c r="M4845" s="64"/>
      <c r="N4845" s="33"/>
    </row>
    <row r="4846" ht="24" customHeight="1" spans="2:14">
      <c r="B4846" s="33"/>
      <c r="C4846" s="60"/>
      <c r="D4846" s="60"/>
      <c r="E4846" s="60"/>
      <c r="F4846" s="60"/>
      <c r="G4846" s="60"/>
      <c r="H4846" s="60"/>
      <c r="I4846" s="60"/>
      <c r="J4846" s="60"/>
      <c r="K4846" s="60"/>
      <c r="L4846" s="60"/>
      <c r="M4846" s="64"/>
      <c r="N4846" s="33"/>
    </row>
    <row r="4847" ht="24" customHeight="1" spans="2:14">
      <c r="B4847" s="33"/>
      <c r="C4847" s="60"/>
      <c r="D4847" s="60"/>
      <c r="E4847" s="60"/>
      <c r="F4847" s="60"/>
      <c r="G4847" s="60"/>
      <c r="H4847" s="60"/>
      <c r="I4847" s="60"/>
      <c r="J4847" s="60"/>
      <c r="K4847" s="60"/>
      <c r="L4847" s="60"/>
      <c r="M4847" s="64"/>
      <c r="N4847" s="33"/>
    </row>
    <row r="4848" ht="24" customHeight="1" spans="2:14">
      <c r="B4848" s="33"/>
      <c r="C4848" s="60"/>
      <c r="D4848" s="60"/>
      <c r="E4848" s="60"/>
      <c r="F4848" s="60"/>
      <c r="G4848" s="60"/>
      <c r="H4848" s="60"/>
      <c r="I4848" s="60"/>
      <c r="J4848" s="60"/>
      <c r="K4848" s="60"/>
      <c r="L4848" s="60"/>
      <c r="M4848" s="64"/>
      <c r="N4848" s="33"/>
    </row>
    <row r="4849" ht="24" customHeight="1" spans="2:14">
      <c r="B4849" s="33"/>
      <c r="C4849" s="60"/>
      <c r="D4849" s="60"/>
      <c r="E4849" s="60"/>
      <c r="F4849" s="60"/>
      <c r="G4849" s="60"/>
      <c r="H4849" s="60"/>
      <c r="I4849" s="60"/>
      <c r="J4849" s="60"/>
      <c r="K4849" s="60"/>
      <c r="L4849" s="60"/>
      <c r="M4849" s="64"/>
      <c r="N4849" s="33"/>
    </row>
    <row r="4850" ht="24" customHeight="1" spans="2:14">
      <c r="B4850" s="33"/>
      <c r="C4850" s="60"/>
      <c r="D4850" s="60"/>
      <c r="E4850" s="60"/>
      <c r="F4850" s="60"/>
      <c r="G4850" s="60"/>
      <c r="H4850" s="60"/>
      <c r="I4850" s="60"/>
      <c r="J4850" s="60"/>
      <c r="K4850" s="60"/>
      <c r="L4850" s="60"/>
      <c r="M4850" s="64"/>
      <c r="N4850" s="33"/>
    </row>
    <row r="4851" ht="24" customHeight="1" spans="2:14">
      <c r="B4851" s="33"/>
      <c r="C4851" s="60"/>
      <c r="D4851" s="60"/>
      <c r="E4851" s="60"/>
      <c r="F4851" s="60"/>
      <c r="G4851" s="60"/>
      <c r="H4851" s="60"/>
      <c r="I4851" s="60"/>
      <c r="J4851" s="60"/>
      <c r="K4851" s="60"/>
      <c r="L4851" s="60"/>
      <c r="M4851" s="64"/>
      <c r="N4851" s="33"/>
    </row>
    <row r="4852" ht="24" customHeight="1" spans="2:14">
      <c r="B4852" s="33"/>
      <c r="C4852" s="60"/>
      <c r="D4852" s="60"/>
      <c r="E4852" s="60"/>
      <c r="F4852" s="60"/>
      <c r="G4852" s="60"/>
      <c r="H4852" s="60"/>
      <c r="I4852" s="60"/>
      <c r="J4852" s="60"/>
      <c r="K4852" s="60"/>
      <c r="L4852" s="60"/>
      <c r="M4852" s="64"/>
      <c r="N4852" s="33"/>
    </row>
    <row r="4853" ht="24" customHeight="1" spans="2:14">
      <c r="B4853" s="33"/>
      <c r="C4853" s="60"/>
      <c r="D4853" s="60"/>
      <c r="E4853" s="60"/>
      <c r="F4853" s="60"/>
      <c r="G4853" s="60"/>
      <c r="H4853" s="60"/>
      <c r="I4853" s="60"/>
      <c r="J4853" s="60"/>
      <c r="K4853" s="60"/>
      <c r="L4853" s="60"/>
      <c r="M4853" s="64"/>
      <c r="N4853" s="33"/>
    </row>
    <row r="4854" ht="24" customHeight="1" spans="2:14">
      <c r="B4854" s="33"/>
      <c r="C4854" s="60"/>
      <c r="D4854" s="60"/>
      <c r="E4854" s="60"/>
      <c r="F4854" s="60"/>
      <c r="G4854" s="60"/>
      <c r="H4854" s="60"/>
      <c r="I4854" s="60"/>
      <c r="J4854" s="60"/>
      <c r="K4854" s="60"/>
      <c r="L4854" s="60"/>
      <c r="M4854" s="64"/>
      <c r="N4854" s="33"/>
    </row>
    <row r="4855" ht="24" customHeight="1" spans="2:14">
      <c r="B4855" s="33"/>
      <c r="C4855" s="60"/>
      <c r="D4855" s="60"/>
      <c r="E4855" s="60"/>
      <c r="F4855" s="60"/>
      <c r="G4855" s="60"/>
      <c r="H4855" s="60"/>
      <c r="I4855" s="60"/>
      <c r="J4855" s="60"/>
      <c r="K4855" s="60"/>
      <c r="L4855" s="60"/>
      <c r="M4855" s="64"/>
      <c r="N4855" s="33"/>
    </row>
    <row r="4856" ht="24" customHeight="1" spans="2:14">
      <c r="B4856" s="33"/>
      <c r="C4856" s="60"/>
      <c r="D4856" s="60"/>
      <c r="E4856" s="60"/>
      <c r="F4856" s="60"/>
      <c r="G4856" s="60"/>
      <c r="H4856" s="60"/>
      <c r="I4856" s="60"/>
      <c r="J4856" s="60"/>
      <c r="K4856" s="60"/>
      <c r="L4856" s="60"/>
      <c r="M4856" s="64"/>
      <c r="N4856" s="33"/>
    </row>
    <row r="4857" ht="24" customHeight="1" spans="2:14">
      <c r="B4857" s="33"/>
      <c r="C4857" s="60"/>
      <c r="D4857" s="60"/>
      <c r="E4857" s="60"/>
      <c r="F4857" s="60"/>
      <c r="G4857" s="60"/>
      <c r="H4857" s="60"/>
      <c r="I4857" s="60"/>
      <c r="J4857" s="60"/>
      <c r="K4857" s="60"/>
      <c r="L4857" s="60"/>
      <c r="M4857" s="64"/>
      <c r="N4857" s="33"/>
    </row>
    <row r="4858" ht="24" customHeight="1" spans="2:14">
      <c r="B4858" s="33"/>
      <c r="C4858" s="60"/>
      <c r="D4858" s="60"/>
      <c r="E4858" s="60"/>
      <c r="F4858" s="60"/>
      <c r="G4858" s="60"/>
      <c r="H4858" s="60"/>
      <c r="I4858" s="60"/>
      <c r="J4858" s="60"/>
      <c r="K4858" s="60"/>
      <c r="L4858" s="60"/>
      <c r="M4858" s="64"/>
      <c r="N4858" s="33"/>
    </row>
    <row r="4859" ht="24" customHeight="1" spans="2:14">
      <c r="B4859" s="33"/>
      <c r="C4859" s="60"/>
      <c r="D4859" s="60"/>
      <c r="E4859" s="60"/>
      <c r="F4859" s="60"/>
      <c r="G4859" s="60"/>
      <c r="H4859" s="60"/>
      <c r="I4859" s="60"/>
      <c r="J4859" s="60"/>
      <c r="K4859" s="60"/>
      <c r="L4859" s="60"/>
      <c r="M4859" s="64"/>
      <c r="N4859" s="33"/>
    </row>
    <row r="4860" ht="24" customHeight="1" spans="2:14">
      <c r="B4860" s="33"/>
      <c r="C4860" s="60"/>
      <c r="D4860" s="60"/>
      <c r="E4860" s="60"/>
      <c r="F4860" s="60"/>
      <c r="G4860" s="60"/>
      <c r="H4860" s="60"/>
      <c r="I4860" s="60"/>
      <c r="J4860" s="60"/>
      <c r="K4860" s="60"/>
      <c r="L4860" s="60"/>
      <c r="M4860" s="64"/>
      <c r="N4860" s="33"/>
    </row>
    <row r="4861" ht="24" customHeight="1" spans="2:14">
      <c r="B4861" s="33"/>
      <c r="C4861" s="60"/>
      <c r="D4861" s="60"/>
      <c r="E4861" s="60"/>
      <c r="F4861" s="60"/>
      <c r="G4861" s="60"/>
      <c r="H4861" s="60"/>
      <c r="I4861" s="60"/>
      <c r="J4861" s="60"/>
      <c r="K4861" s="60"/>
      <c r="L4861" s="60"/>
      <c r="M4861" s="64"/>
      <c r="N4861" s="33"/>
    </row>
    <row r="4862" ht="24" customHeight="1" spans="2:14">
      <c r="B4862" s="33"/>
      <c r="C4862" s="60"/>
      <c r="D4862" s="60"/>
      <c r="E4862" s="60"/>
      <c r="F4862" s="60"/>
      <c r="G4862" s="60"/>
      <c r="H4862" s="60"/>
      <c r="I4862" s="60"/>
      <c r="J4862" s="60"/>
      <c r="K4862" s="60"/>
      <c r="L4862" s="60"/>
      <c r="M4862" s="64"/>
      <c r="N4862" s="33"/>
    </row>
    <row r="4863" ht="24" customHeight="1" spans="2:14">
      <c r="B4863" s="33"/>
      <c r="C4863" s="60"/>
      <c r="D4863" s="60"/>
      <c r="E4863" s="60"/>
      <c r="F4863" s="60"/>
      <c r="G4863" s="60"/>
      <c r="H4863" s="60"/>
      <c r="I4863" s="60"/>
      <c r="J4863" s="60"/>
      <c r="K4863" s="60"/>
      <c r="L4863" s="60"/>
      <c r="M4863" s="64"/>
      <c r="N4863" s="33"/>
    </row>
    <row r="4864" ht="24" customHeight="1" spans="2:14">
      <c r="B4864" s="33"/>
      <c r="C4864" s="60"/>
      <c r="D4864" s="60"/>
      <c r="E4864" s="60"/>
      <c r="F4864" s="60"/>
      <c r="G4864" s="60"/>
      <c r="H4864" s="60"/>
      <c r="I4864" s="60"/>
      <c r="J4864" s="60"/>
      <c r="K4864" s="60"/>
      <c r="L4864" s="60"/>
      <c r="M4864" s="64"/>
      <c r="N4864" s="33"/>
    </row>
    <row r="4865" ht="24" customHeight="1" spans="2:14">
      <c r="B4865" s="33"/>
      <c r="C4865" s="60"/>
      <c r="D4865" s="60"/>
      <c r="E4865" s="60"/>
      <c r="F4865" s="60"/>
      <c r="G4865" s="60"/>
      <c r="H4865" s="60"/>
      <c r="I4865" s="60"/>
      <c r="J4865" s="60"/>
      <c r="K4865" s="60"/>
      <c r="L4865" s="60"/>
      <c r="M4865" s="64"/>
      <c r="N4865" s="33"/>
    </row>
    <row r="4866" ht="24" customHeight="1" spans="2:14">
      <c r="B4866" s="33"/>
      <c r="C4866" s="60"/>
      <c r="D4866" s="60"/>
      <c r="E4866" s="60"/>
      <c r="F4866" s="60"/>
      <c r="G4866" s="60"/>
      <c r="H4866" s="60"/>
      <c r="I4866" s="60"/>
      <c r="J4866" s="60"/>
      <c r="K4866" s="60"/>
      <c r="L4866" s="60"/>
      <c r="M4866" s="64"/>
      <c r="N4866" s="33"/>
    </row>
    <row r="4867" ht="24" customHeight="1" spans="2:14">
      <c r="B4867" s="33"/>
      <c r="C4867" s="60"/>
      <c r="D4867" s="60"/>
      <c r="E4867" s="60"/>
      <c r="F4867" s="60"/>
      <c r="G4867" s="60"/>
      <c r="H4867" s="60"/>
      <c r="I4867" s="60"/>
      <c r="J4867" s="60"/>
      <c r="K4867" s="60"/>
      <c r="L4867" s="60"/>
      <c r="M4867" s="64"/>
      <c r="N4867" s="33"/>
    </row>
    <row r="4868" ht="24" customHeight="1" spans="2:14">
      <c r="B4868" s="33"/>
      <c r="C4868" s="60"/>
      <c r="D4868" s="60"/>
      <c r="E4868" s="60"/>
      <c r="F4868" s="60"/>
      <c r="G4868" s="60"/>
      <c r="H4868" s="60"/>
      <c r="I4868" s="60"/>
      <c r="J4868" s="60"/>
      <c r="K4868" s="60"/>
      <c r="L4868" s="60"/>
      <c r="M4868" s="64"/>
      <c r="N4868" s="33"/>
    </row>
    <row r="4869" ht="24" customHeight="1" spans="2:14">
      <c r="B4869" s="33"/>
      <c r="C4869" s="60"/>
      <c r="D4869" s="60"/>
      <c r="E4869" s="60"/>
      <c r="F4869" s="60"/>
      <c r="G4869" s="60"/>
      <c r="H4869" s="60"/>
      <c r="I4869" s="60"/>
      <c r="J4869" s="60"/>
      <c r="K4869" s="60"/>
      <c r="L4869" s="60"/>
      <c r="M4869" s="64"/>
      <c r="N4869" s="33"/>
    </row>
    <row r="4870" ht="24" customHeight="1" spans="2:14">
      <c r="B4870" s="33"/>
      <c r="C4870" s="60"/>
      <c r="D4870" s="60"/>
      <c r="E4870" s="60"/>
      <c r="F4870" s="60"/>
      <c r="G4870" s="60"/>
      <c r="H4870" s="60"/>
      <c r="I4870" s="60"/>
      <c r="J4870" s="60"/>
      <c r="K4870" s="60"/>
      <c r="L4870" s="60"/>
      <c r="M4870" s="64"/>
      <c r="N4870" s="33"/>
    </row>
    <row r="4871" ht="24" customHeight="1" spans="2:14">
      <c r="B4871" s="33"/>
      <c r="C4871" s="60"/>
      <c r="D4871" s="60"/>
      <c r="E4871" s="60"/>
      <c r="F4871" s="60"/>
      <c r="G4871" s="60"/>
      <c r="H4871" s="60"/>
      <c r="I4871" s="60"/>
      <c r="J4871" s="60"/>
      <c r="K4871" s="60"/>
      <c r="L4871" s="60"/>
      <c r="M4871" s="64"/>
      <c r="N4871" s="33"/>
    </row>
    <row r="4872" ht="24" customHeight="1" spans="2:14">
      <c r="B4872" s="33"/>
      <c r="C4872" s="60"/>
      <c r="D4872" s="60"/>
      <c r="E4872" s="60"/>
      <c r="F4872" s="60"/>
      <c r="G4872" s="60"/>
      <c r="H4872" s="60"/>
      <c r="I4872" s="60"/>
      <c r="J4872" s="60"/>
      <c r="K4872" s="60"/>
      <c r="L4872" s="60"/>
      <c r="M4872" s="64"/>
      <c r="N4872" s="33"/>
    </row>
    <row r="4873" ht="24" customHeight="1" spans="2:14">
      <c r="B4873" s="33"/>
      <c r="C4873" s="60"/>
      <c r="D4873" s="60"/>
      <c r="E4873" s="60"/>
      <c r="F4873" s="60"/>
      <c r="G4873" s="60"/>
      <c r="H4873" s="60"/>
      <c r="I4873" s="60"/>
      <c r="J4873" s="60"/>
      <c r="K4873" s="60"/>
      <c r="L4873" s="60"/>
      <c r="M4873" s="64"/>
      <c r="N4873" s="33"/>
    </row>
    <row r="4874" ht="24" customHeight="1" spans="2:14">
      <c r="B4874" s="33"/>
      <c r="C4874" s="60"/>
      <c r="D4874" s="60"/>
      <c r="E4874" s="60"/>
      <c r="F4874" s="60"/>
      <c r="G4874" s="60"/>
      <c r="H4874" s="60"/>
      <c r="I4874" s="60"/>
      <c r="J4874" s="60"/>
      <c r="K4874" s="60"/>
      <c r="L4874" s="60"/>
      <c r="M4874" s="64"/>
      <c r="N4874" s="33"/>
    </row>
    <row r="4875" ht="24" customHeight="1" spans="2:14">
      <c r="B4875" s="33"/>
      <c r="C4875" s="60"/>
      <c r="D4875" s="60"/>
      <c r="E4875" s="60"/>
      <c r="F4875" s="60"/>
      <c r="G4875" s="60"/>
      <c r="H4875" s="60"/>
      <c r="I4875" s="60"/>
      <c r="J4875" s="60"/>
      <c r="K4875" s="60"/>
      <c r="L4875" s="60"/>
      <c r="M4875" s="64"/>
      <c r="N4875" s="33"/>
    </row>
    <row r="4876" ht="24" customHeight="1" spans="2:14">
      <c r="B4876" s="33"/>
      <c r="C4876" s="60"/>
      <c r="D4876" s="60"/>
      <c r="E4876" s="60"/>
      <c r="F4876" s="60"/>
      <c r="G4876" s="60"/>
      <c r="H4876" s="60"/>
      <c r="I4876" s="60"/>
      <c r="J4876" s="60"/>
      <c r="K4876" s="60"/>
      <c r="L4876" s="60"/>
      <c r="M4876" s="64"/>
      <c r="N4876" s="33"/>
    </row>
    <row r="4877" ht="24" customHeight="1" spans="2:14">
      <c r="B4877" s="33"/>
      <c r="C4877" s="60"/>
      <c r="D4877" s="60"/>
      <c r="E4877" s="60"/>
      <c r="F4877" s="60"/>
      <c r="G4877" s="60"/>
      <c r="H4877" s="60"/>
      <c r="I4877" s="60"/>
      <c r="J4877" s="60"/>
      <c r="K4877" s="60"/>
      <c r="L4877" s="60"/>
      <c r="M4877" s="64"/>
      <c r="N4877" s="33"/>
    </row>
    <row r="4878" ht="24" customHeight="1" spans="2:14">
      <c r="B4878" s="33"/>
      <c r="C4878" s="60"/>
      <c r="D4878" s="60"/>
      <c r="E4878" s="60"/>
      <c r="F4878" s="60"/>
      <c r="G4878" s="60"/>
      <c r="H4878" s="60"/>
      <c r="I4878" s="60"/>
      <c r="J4878" s="60"/>
      <c r="K4878" s="60"/>
      <c r="L4878" s="60"/>
      <c r="M4878" s="64"/>
      <c r="N4878" s="33"/>
    </row>
    <row r="4879" ht="24" customHeight="1" spans="2:14">
      <c r="B4879" s="33"/>
      <c r="C4879" s="60"/>
      <c r="D4879" s="60"/>
      <c r="E4879" s="60"/>
      <c r="F4879" s="60"/>
      <c r="G4879" s="60"/>
      <c r="H4879" s="60"/>
      <c r="I4879" s="60"/>
      <c r="J4879" s="60"/>
      <c r="K4879" s="60"/>
      <c r="L4879" s="60"/>
      <c r="M4879" s="64"/>
      <c r="N4879" s="33"/>
    </row>
    <row r="4880" ht="24" customHeight="1" spans="2:14">
      <c r="B4880" s="33"/>
      <c r="C4880" s="60"/>
      <c r="D4880" s="60"/>
      <c r="E4880" s="60"/>
      <c r="F4880" s="60"/>
      <c r="G4880" s="60"/>
      <c r="H4880" s="60"/>
      <c r="I4880" s="60"/>
      <c r="J4880" s="60"/>
      <c r="K4880" s="60"/>
      <c r="L4880" s="60"/>
      <c r="M4880" s="64"/>
      <c r="N4880" s="33"/>
    </row>
    <row r="4881" ht="24" customHeight="1" spans="2:14">
      <c r="B4881" s="33"/>
      <c r="C4881" s="60"/>
      <c r="D4881" s="60"/>
      <c r="E4881" s="60"/>
      <c r="F4881" s="60"/>
      <c r="G4881" s="60"/>
      <c r="H4881" s="60"/>
      <c r="I4881" s="60"/>
      <c r="J4881" s="60"/>
      <c r="K4881" s="60"/>
      <c r="L4881" s="60"/>
      <c r="M4881" s="64"/>
      <c r="N4881" s="33"/>
    </row>
    <row r="4882" ht="24" customHeight="1" spans="2:14">
      <c r="B4882" s="33"/>
      <c r="C4882" s="60"/>
      <c r="D4882" s="60"/>
      <c r="E4882" s="60"/>
      <c r="F4882" s="60"/>
      <c r="G4882" s="60"/>
      <c r="H4882" s="60"/>
      <c r="I4882" s="60"/>
      <c r="J4882" s="60"/>
      <c r="K4882" s="60"/>
      <c r="L4882" s="60"/>
      <c r="M4882" s="64"/>
      <c r="N4882" s="33"/>
    </row>
    <row r="4883" ht="24" customHeight="1" spans="2:14">
      <c r="B4883" s="33"/>
      <c r="C4883" s="60"/>
      <c r="D4883" s="60"/>
      <c r="E4883" s="60"/>
      <c r="F4883" s="60"/>
      <c r="G4883" s="60"/>
      <c r="H4883" s="60"/>
      <c r="I4883" s="60"/>
      <c r="J4883" s="60"/>
      <c r="K4883" s="60"/>
      <c r="L4883" s="60"/>
      <c r="M4883" s="64"/>
      <c r="N4883" s="33"/>
    </row>
    <row r="4884" ht="24" customHeight="1" spans="2:14">
      <c r="B4884" s="33"/>
      <c r="C4884" s="60"/>
      <c r="D4884" s="60"/>
      <c r="E4884" s="60"/>
      <c r="F4884" s="60"/>
      <c r="G4884" s="60"/>
      <c r="H4884" s="60"/>
      <c r="I4884" s="60"/>
      <c r="J4884" s="60"/>
      <c r="K4884" s="60"/>
      <c r="L4884" s="60"/>
      <c r="M4884" s="64"/>
      <c r="N4884" s="33"/>
    </row>
    <row r="4885" ht="24" customHeight="1" spans="2:14">
      <c r="B4885" s="33"/>
      <c r="C4885" s="60"/>
      <c r="D4885" s="60"/>
      <c r="E4885" s="60"/>
      <c r="F4885" s="60"/>
      <c r="G4885" s="60"/>
      <c r="H4885" s="60"/>
      <c r="I4885" s="60"/>
      <c r="J4885" s="60"/>
      <c r="K4885" s="60"/>
      <c r="L4885" s="60"/>
      <c r="M4885" s="64"/>
      <c r="N4885" s="33"/>
    </row>
    <row r="4886" ht="24" customHeight="1" spans="2:14">
      <c r="B4886" s="33"/>
      <c r="C4886" s="60"/>
      <c r="D4886" s="60"/>
      <c r="E4886" s="60"/>
      <c r="F4886" s="60"/>
      <c r="G4886" s="60"/>
      <c r="H4886" s="60"/>
      <c r="I4886" s="60"/>
      <c r="J4886" s="60"/>
      <c r="K4886" s="60"/>
      <c r="L4886" s="60"/>
      <c r="M4886" s="64"/>
      <c r="N4886" s="33"/>
    </row>
    <row r="4887" ht="24" customHeight="1" spans="2:14">
      <c r="B4887" s="33"/>
      <c r="C4887" s="60"/>
      <c r="D4887" s="60"/>
      <c r="E4887" s="60"/>
      <c r="F4887" s="60"/>
      <c r="G4887" s="60"/>
      <c r="H4887" s="60"/>
      <c r="I4887" s="60"/>
      <c r="J4887" s="60"/>
      <c r="K4887" s="60"/>
      <c r="L4887" s="60"/>
      <c r="M4887" s="64"/>
      <c r="N4887" s="33"/>
    </row>
    <row r="4888" ht="24" customHeight="1" spans="2:14">
      <c r="B4888" s="33"/>
      <c r="C4888" s="60"/>
      <c r="D4888" s="60"/>
      <c r="E4888" s="60"/>
      <c r="F4888" s="60"/>
      <c r="G4888" s="60"/>
      <c r="H4888" s="60"/>
      <c r="I4888" s="60"/>
      <c r="J4888" s="60"/>
      <c r="K4888" s="60"/>
      <c r="L4888" s="60"/>
      <c r="M4888" s="64"/>
      <c r="N4888" s="33"/>
    </row>
    <row r="4889" ht="24" customHeight="1" spans="2:14">
      <c r="B4889" s="33"/>
      <c r="C4889" s="60"/>
      <c r="D4889" s="60"/>
      <c r="E4889" s="60"/>
      <c r="F4889" s="60"/>
      <c r="G4889" s="60"/>
      <c r="H4889" s="60"/>
      <c r="I4889" s="60"/>
      <c r="J4889" s="60"/>
      <c r="K4889" s="60"/>
      <c r="L4889" s="60"/>
      <c r="M4889" s="64"/>
      <c r="N4889" s="33"/>
    </row>
    <row r="4890" ht="24" customHeight="1" spans="2:14">
      <c r="B4890" s="33"/>
      <c r="C4890" s="60"/>
      <c r="D4890" s="60"/>
      <c r="E4890" s="60"/>
      <c r="F4890" s="60"/>
      <c r="G4890" s="60"/>
      <c r="H4890" s="60"/>
      <c r="I4890" s="60"/>
      <c r="J4890" s="60"/>
      <c r="K4890" s="60"/>
      <c r="L4890" s="60"/>
      <c r="M4890" s="64"/>
      <c r="N4890" s="33"/>
    </row>
    <row r="4891" ht="24" customHeight="1" spans="2:14">
      <c r="B4891" s="33"/>
      <c r="C4891" s="60"/>
      <c r="D4891" s="60"/>
      <c r="E4891" s="60"/>
      <c r="F4891" s="60"/>
      <c r="G4891" s="60"/>
      <c r="H4891" s="60"/>
      <c r="I4891" s="60"/>
      <c r="J4891" s="60"/>
      <c r="K4891" s="60"/>
      <c r="L4891" s="60"/>
      <c r="M4891" s="64"/>
      <c r="N4891" s="33"/>
    </row>
    <row r="4892" ht="24" customHeight="1" spans="2:14">
      <c r="B4892" s="33"/>
      <c r="C4892" s="60"/>
      <c r="D4892" s="60"/>
      <c r="E4892" s="60"/>
      <c r="F4892" s="60"/>
      <c r="G4892" s="60"/>
      <c r="H4892" s="60"/>
      <c r="I4892" s="60"/>
      <c r="J4892" s="60"/>
      <c r="K4892" s="60"/>
      <c r="L4892" s="60"/>
      <c r="M4892" s="64"/>
      <c r="N4892" s="33"/>
    </row>
    <row r="4893" ht="24" customHeight="1" spans="2:14">
      <c r="B4893" s="33"/>
      <c r="C4893" s="60"/>
      <c r="D4893" s="60"/>
      <c r="E4893" s="60"/>
      <c r="F4893" s="60"/>
      <c r="G4893" s="60"/>
      <c r="H4893" s="60"/>
      <c r="I4893" s="60"/>
      <c r="J4893" s="60"/>
      <c r="K4893" s="60"/>
      <c r="L4893" s="60"/>
      <c r="M4893" s="64"/>
      <c r="N4893" s="33"/>
    </row>
    <row r="4894" ht="24" customHeight="1" spans="2:14">
      <c r="B4894" s="33"/>
      <c r="C4894" s="60"/>
      <c r="D4894" s="60"/>
      <c r="E4894" s="60"/>
      <c r="F4894" s="60"/>
      <c r="G4894" s="60"/>
      <c r="H4894" s="60"/>
      <c r="I4894" s="60"/>
      <c r="J4894" s="60"/>
      <c r="K4894" s="60"/>
      <c r="L4894" s="60"/>
      <c r="M4894" s="64"/>
      <c r="N4894" s="33"/>
    </row>
    <row r="4895" ht="24" customHeight="1" spans="2:14">
      <c r="B4895" s="33"/>
      <c r="C4895" s="60"/>
      <c r="D4895" s="60"/>
      <c r="E4895" s="60"/>
      <c r="F4895" s="60"/>
      <c r="G4895" s="60"/>
      <c r="H4895" s="60"/>
      <c r="I4895" s="60"/>
      <c r="J4895" s="60"/>
      <c r="K4895" s="60"/>
      <c r="L4895" s="60"/>
      <c r="M4895" s="64"/>
      <c r="N4895" s="33"/>
    </row>
    <row r="4896" ht="24" customHeight="1" spans="2:14">
      <c r="B4896" s="33"/>
      <c r="C4896" s="60"/>
      <c r="D4896" s="60"/>
      <c r="E4896" s="60"/>
      <c r="F4896" s="60"/>
      <c r="G4896" s="60"/>
      <c r="H4896" s="60"/>
      <c r="I4896" s="60"/>
      <c r="J4896" s="60"/>
      <c r="K4896" s="60"/>
      <c r="L4896" s="60"/>
      <c r="M4896" s="64"/>
      <c r="N4896" s="33"/>
    </row>
    <row r="4897" ht="24" customHeight="1" spans="2:14">
      <c r="B4897" s="33"/>
      <c r="C4897" s="60"/>
      <c r="D4897" s="60"/>
      <c r="E4897" s="60"/>
      <c r="F4897" s="60"/>
      <c r="G4897" s="60"/>
      <c r="H4897" s="60"/>
      <c r="I4897" s="60"/>
      <c r="J4897" s="60"/>
      <c r="K4897" s="60"/>
      <c r="L4897" s="60"/>
      <c r="M4897" s="64"/>
      <c r="N4897" s="33"/>
    </row>
    <row r="4898" ht="24" customHeight="1" spans="2:14">
      <c r="B4898" s="33"/>
      <c r="C4898" s="60"/>
      <c r="D4898" s="60"/>
      <c r="E4898" s="60"/>
      <c r="F4898" s="60"/>
      <c r="G4898" s="60"/>
      <c r="H4898" s="60"/>
      <c r="I4898" s="60"/>
      <c r="J4898" s="60"/>
      <c r="K4898" s="60"/>
      <c r="L4898" s="60"/>
      <c r="M4898" s="64"/>
      <c r="N4898" s="33"/>
    </row>
    <row r="4899" ht="24" customHeight="1" spans="2:14">
      <c r="B4899" s="33"/>
      <c r="C4899" s="60"/>
      <c r="D4899" s="60"/>
      <c r="E4899" s="60"/>
      <c r="F4899" s="60"/>
      <c r="G4899" s="60"/>
      <c r="H4899" s="60"/>
      <c r="I4899" s="60"/>
      <c r="J4899" s="60"/>
      <c r="K4899" s="60"/>
      <c r="L4899" s="60"/>
      <c r="M4899" s="64"/>
      <c r="N4899" s="33"/>
    </row>
    <row r="4900" ht="24" customHeight="1" spans="2:14">
      <c r="B4900" s="33"/>
      <c r="C4900" s="60"/>
      <c r="D4900" s="60"/>
      <c r="E4900" s="60"/>
      <c r="F4900" s="60"/>
      <c r="G4900" s="60"/>
      <c r="H4900" s="60"/>
      <c r="I4900" s="60"/>
      <c r="J4900" s="60"/>
      <c r="K4900" s="60"/>
      <c r="L4900" s="60"/>
      <c r="M4900" s="64"/>
      <c r="N4900" s="33"/>
    </row>
    <row r="4901" ht="24" customHeight="1" spans="2:14">
      <c r="B4901" s="33"/>
      <c r="C4901" s="60"/>
      <c r="D4901" s="60"/>
      <c r="E4901" s="60"/>
      <c r="F4901" s="60"/>
      <c r="G4901" s="60"/>
      <c r="H4901" s="60"/>
      <c r="I4901" s="60"/>
      <c r="J4901" s="60"/>
      <c r="K4901" s="60"/>
      <c r="L4901" s="60"/>
      <c r="M4901" s="64"/>
      <c r="N4901" s="33"/>
    </row>
    <row r="4902" ht="24" customHeight="1" spans="2:14">
      <c r="B4902" s="33"/>
      <c r="C4902" s="60"/>
      <c r="D4902" s="60"/>
      <c r="E4902" s="60"/>
      <c r="F4902" s="60"/>
      <c r="G4902" s="60"/>
      <c r="H4902" s="60"/>
      <c r="I4902" s="60"/>
      <c r="J4902" s="60"/>
      <c r="K4902" s="60"/>
      <c r="L4902" s="60"/>
      <c r="M4902" s="64"/>
      <c r="N4902" s="33"/>
    </row>
    <row r="4903" ht="24" customHeight="1" spans="2:14">
      <c r="B4903" s="33"/>
      <c r="C4903" s="60"/>
      <c r="D4903" s="60"/>
      <c r="E4903" s="60"/>
      <c r="F4903" s="60"/>
      <c r="G4903" s="60"/>
      <c r="H4903" s="60"/>
      <c r="I4903" s="60"/>
      <c r="J4903" s="60"/>
      <c r="K4903" s="60"/>
      <c r="L4903" s="60"/>
      <c r="M4903" s="64"/>
      <c r="N4903" s="33"/>
    </row>
    <row r="4904" ht="24" customHeight="1" spans="2:14">
      <c r="B4904" s="33"/>
      <c r="C4904" s="60"/>
      <c r="D4904" s="60"/>
      <c r="E4904" s="60"/>
      <c r="F4904" s="60"/>
      <c r="G4904" s="60"/>
      <c r="H4904" s="60"/>
      <c r="I4904" s="60"/>
      <c r="J4904" s="60"/>
      <c r="K4904" s="60"/>
      <c r="L4904" s="60"/>
      <c r="M4904" s="64"/>
      <c r="N4904" s="33"/>
    </row>
    <row r="4905" ht="24" customHeight="1" spans="2:14">
      <c r="B4905" s="33"/>
      <c r="C4905" s="60"/>
      <c r="D4905" s="60"/>
      <c r="E4905" s="60"/>
      <c r="F4905" s="60"/>
      <c r="G4905" s="60"/>
      <c r="H4905" s="60"/>
      <c r="I4905" s="60"/>
      <c r="J4905" s="60"/>
      <c r="K4905" s="60"/>
      <c r="L4905" s="60"/>
      <c r="M4905" s="64"/>
      <c r="N4905" s="33"/>
    </row>
    <row r="4906" ht="24" customHeight="1" spans="2:14">
      <c r="B4906" s="33"/>
      <c r="C4906" s="60"/>
      <c r="D4906" s="60"/>
      <c r="E4906" s="60"/>
      <c r="F4906" s="60"/>
      <c r="G4906" s="60"/>
      <c r="H4906" s="60"/>
      <c r="I4906" s="60"/>
      <c r="J4906" s="60"/>
      <c r="K4906" s="60"/>
      <c r="L4906" s="60"/>
      <c r="M4906" s="64"/>
      <c r="N4906" s="33"/>
    </row>
    <row r="4907" ht="24" customHeight="1" spans="2:14">
      <c r="B4907" s="33"/>
      <c r="C4907" s="60"/>
      <c r="D4907" s="60"/>
      <c r="E4907" s="60"/>
      <c r="F4907" s="60"/>
      <c r="G4907" s="60"/>
      <c r="H4907" s="60"/>
      <c r="I4907" s="60"/>
      <c r="J4907" s="60"/>
      <c r="K4907" s="60"/>
      <c r="L4907" s="60"/>
      <c r="M4907" s="64"/>
      <c r="N4907" s="33"/>
    </row>
    <row r="4908" ht="24" customHeight="1" spans="2:14">
      <c r="B4908" s="33"/>
      <c r="C4908" s="60"/>
      <c r="D4908" s="60"/>
      <c r="E4908" s="60"/>
      <c r="F4908" s="60"/>
      <c r="G4908" s="60"/>
      <c r="H4908" s="60"/>
      <c r="I4908" s="60"/>
      <c r="J4908" s="60"/>
      <c r="K4908" s="60"/>
      <c r="L4908" s="60"/>
      <c r="M4908" s="64"/>
      <c r="N4908" s="33"/>
    </row>
    <row r="4909" ht="24" customHeight="1" spans="2:14">
      <c r="B4909" s="33"/>
      <c r="C4909" s="60"/>
      <c r="D4909" s="60"/>
      <c r="E4909" s="60"/>
      <c r="F4909" s="60"/>
      <c r="G4909" s="60"/>
      <c r="H4909" s="60"/>
      <c r="I4909" s="60"/>
      <c r="J4909" s="60"/>
      <c r="K4909" s="60"/>
      <c r="L4909" s="60"/>
      <c r="M4909" s="64"/>
      <c r="N4909" s="33"/>
    </row>
    <row r="4910" ht="24" customHeight="1" spans="2:14">
      <c r="B4910" s="33"/>
      <c r="C4910" s="60"/>
      <c r="D4910" s="60"/>
      <c r="E4910" s="60"/>
      <c r="F4910" s="60"/>
      <c r="G4910" s="60"/>
      <c r="H4910" s="60"/>
      <c r="I4910" s="60"/>
      <c r="J4910" s="60"/>
      <c r="K4910" s="60"/>
      <c r="L4910" s="60"/>
      <c r="M4910" s="64"/>
      <c r="N4910" s="33"/>
    </row>
    <row r="4911" ht="24" customHeight="1" spans="2:14">
      <c r="B4911" s="33"/>
      <c r="C4911" s="60"/>
      <c r="D4911" s="60"/>
      <c r="E4911" s="60"/>
      <c r="F4911" s="60"/>
      <c r="G4911" s="60"/>
      <c r="H4911" s="60"/>
      <c r="I4911" s="60"/>
      <c r="J4911" s="60"/>
      <c r="K4911" s="60"/>
      <c r="L4911" s="60"/>
      <c r="M4911" s="64"/>
      <c r="N4911" s="33"/>
    </row>
    <row r="4912" ht="24" customHeight="1" spans="2:14">
      <c r="B4912" s="33"/>
      <c r="C4912" s="60"/>
      <c r="D4912" s="60"/>
      <c r="E4912" s="60"/>
      <c r="F4912" s="60"/>
      <c r="G4912" s="60"/>
      <c r="H4912" s="60"/>
      <c r="I4912" s="60"/>
      <c r="J4912" s="60"/>
      <c r="K4912" s="60"/>
      <c r="L4912" s="60"/>
      <c r="M4912" s="64"/>
      <c r="N4912" s="33"/>
    </row>
    <row r="4913" ht="24" customHeight="1" spans="2:14">
      <c r="B4913" s="33"/>
      <c r="C4913" s="60"/>
      <c r="D4913" s="60"/>
      <c r="E4913" s="60"/>
      <c r="F4913" s="60"/>
      <c r="G4913" s="60"/>
      <c r="H4913" s="60"/>
      <c r="I4913" s="60"/>
      <c r="J4913" s="60"/>
      <c r="K4913" s="60"/>
      <c r="L4913" s="60"/>
      <c r="M4913" s="64"/>
      <c r="N4913" s="33"/>
    </row>
    <row r="4914" ht="24" customHeight="1" spans="2:14">
      <c r="B4914" s="33"/>
      <c r="C4914" s="60"/>
      <c r="D4914" s="60"/>
      <c r="E4914" s="60"/>
      <c r="F4914" s="60"/>
      <c r="G4914" s="60"/>
      <c r="H4914" s="60"/>
      <c r="I4914" s="60"/>
      <c r="J4914" s="60"/>
      <c r="K4914" s="60"/>
      <c r="L4914" s="60"/>
      <c r="M4914" s="64"/>
      <c r="N4914" s="33"/>
    </row>
    <row r="4915" ht="24" customHeight="1" spans="2:14">
      <c r="B4915" s="33"/>
      <c r="C4915" s="60"/>
      <c r="D4915" s="60"/>
      <c r="E4915" s="60"/>
      <c r="F4915" s="60"/>
      <c r="G4915" s="60"/>
      <c r="H4915" s="60"/>
      <c r="I4915" s="60"/>
      <c r="J4915" s="60"/>
      <c r="K4915" s="60"/>
      <c r="L4915" s="60"/>
      <c r="M4915" s="64"/>
      <c r="N4915" s="33"/>
    </row>
    <row r="4916" ht="24" customHeight="1" spans="2:14">
      <c r="B4916" s="33"/>
      <c r="C4916" s="60"/>
      <c r="D4916" s="60"/>
      <c r="E4916" s="60"/>
      <c r="F4916" s="60"/>
      <c r="G4916" s="60"/>
      <c r="H4916" s="60"/>
      <c r="I4916" s="60"/>
      <c r="J4916" s="60"/>
      <c r="K4916" s="60"/>
      <c r="L4916" s="60"/>
      <c r="M4916" s="64"/>
      <c r="N4916" s="33"/>
    </row>
    <row r="4917" ht="24" customHeight="1" spans="2:14">
      <c r="B4917" s="33"/>
      <c r="C4917" s="60"/>
      <c r="D4917" s="60"/>
      <c r="E4917" s="60"/>
      <c r="F4917" s="60"/>
      <c r="G4917" s="60"/>
      <c r="H4917" s="60"/>
      <c r="I4917" s="60"/>
      <c r="J4917" s="60"/>
      <c r="K4917" s="60"/>
      <c r="L4917" s="60"/>
      <c r="M4917" s="64"/>
      <c r="N4917" s="33"/>
    </row>
    <row r="4918" ht="24" customHeight="1" spans="2:14">
      <c r="B4918" s="33"/>
      <c r="C4918" s="60"/>
      <c r="D4918" s="60"/>
      <c r="E4918" s="60"/>
      <c r="F4918" s="60"/>
      <c r="G4918" s="60"/>
      <c r="H4918" s="60"/>
      <c r="I4918" s="60"/>
      <c r="J4918" s="60"/>
      <c r="K4918" s="60"/>
      <c r="L4918" s="60"/>
      <c r="M4918" s="64"/>
      <c r="N4918" s="33"/>
    </row>
    <row r="4919" ht="24" customHeight="1" spans="2:14">
      <c r="B4919" s="33"/>
      <c r="C4919" s="60"/>
      <c r="D4919" s="60"/>
      <c r="E4919" s="60"/>
      <c r="F4919" s="60"/>
      <c r="G4919" s="60"/>
      <c r="H4919" s="60"/>
      <c r="I4919" s="60"/>
      <c r="J4919" s="60"/>
      <c r="K4919" s="60"/>
      <c r="L4919" s="60"/>
      <c r="M4919" s="64"/>
      <c r="N4919" s="33"/>
    </row>
    <row r="4920" ht="24" customHeight="1" spans="2:14">
      <c r="B4920" s="33"/>
      <c r="C4920" s="60"/>
      <c r="D4920" s="60"/>
      <c r="E4920" s="60"/>
      <c r="F4920" s="60"/>
      <c r="G4920" s="60"/>
      <c r="H4920" s="60"/>
      <c r="I4920" s="60"/>
      <c r="J4920" s="60"/>
      <c r="K4920" s="60"/>
      <c r="L4920" s="60"/>
      <c r="M4920" s="64"/>
      <c r="N4920" s="33"/>
    </row>
    <row r="4921" ht="24" customHeight="1" spans="2:14">
      <c r="B4921" s="33"/>
      <c r="C4921" s="60"/>
      <c r="D4921" s="60"/>
      <c r="E4921" s="60"/>
      <c r="F4921" s="60"/>
      <c r="G4921" s="60"/>
      <c r="H4921" s="60"/>
      <c r="I4921" s="60"/>
      <c r="J4921" s="60"/>
      <c r="K4921" s="60"/>
      <c r="L4921" s="60"/>
      <c r="M4921" s="64"/>
      <c r="N4921" s="33"/>
    </row>
    <row r="4922" ht="24" customHeight="1" spans="2:14">
      <c r="B4922" s="33"/>
      <c r="C4922" s="60"/>
      <c r="D4922" s="60"/>
      <c r="E4922" s="60"/>
      <c r="F4922" s="60"/>
      <c r="G4922" s="60"/>
      <c r="H4922" s="60"/>
      <c r="I4922" s="60"/>
      <c r="J4922" s="60"/>
      <c r="K4922" s="60"/>
      <c r="L4922" s="60"/>
      <c r="M4922" s="64"/>
      <c r="N4922" s="33"/>
    </row>
    <row r="4923" ht="24" customHeight="1" spans="2:14">
      <c r="B4923" s="33"/>
      <c r="C4923" s="60"/>
      <c r="D4923" s="60"/>
      <c r="E4923" s="60"/>
      <c r="F4923" s="60"/>
      <c r="G4923" s="60"/>
      <c r="H4923" s="60"/>
      <c r="I4923" s="60"/>
      <c r="J4923" s="60"/>
      <c r="K4923" s="60"/>
      <c r="L4923" s="60"/>
      <c r="M4923" s="64"/>
      <c r="N4923" s="33"/>
    </row>
    <row r="4924" ht="24" customHeight="1" spans="2:14">
      <c r="B4924" s="33"/>
      <c r="C4924" s="60"/>
      <c r="D4924" s="60"/>
      <c r="E4924" s="60"/>
      <c r="F4924" s="60"/>
      <c r="G4924" s="60"/>
      <c r="H4924" s="60"/>
      <c r="I4924" s="60"/>
      <c r="J4924" s="60"/>
      <c r="K4924" s="60"/>
      <c r="L4924" s="60"/>
      <c r="M4924" s="64"/>
      <c r="N4924" s="33"/>
    </row>
    <row r="4925" ht="24" customHeight="1" spans="2:14">
      <c r="B4925" s="33"/>
      <c r="C4925" s="60"/>
      <c r="D4925" s="60"/>
      <c r="E4925" s="60"/>
      <c r="F4925" s="60"/>
      <c r="G4925" s="60"/>
      <c r="H4925" s="60"/>
      <c r="I4925" s="60"/>
      <c r="J4925" s="60"/>
      <c r="K4925" s="60"/>
      <c r="L4925" s="60"/>
      <c r="M4925" s="64"/>
      <c r="N4925" s="33"/>
    </row>
    <row r="4926" ht="24" customHeight="1" spans="2:14">
      <c r="B4926" s="33"/>
      <c r="C4926" s="60"/>
      <c r="D4926" s="60"/>
      <c r="E4926" s="60"/>
      <c r="F4926" s="60"/>
      <c r="G4926" s="60"/>
      <c r="H4926" s="60"/>
      <c r="I4926" s="60"/>
      <c r="J4926" s="60"/>
      <c r="K4926" s="60"/>
      <c r="L4926" s="60"/>
      <c r="M4926" s="64"/>
      <c r="N4926" s="33"/>
    </row>
    <row r="4927" ht="24" customHeight="1" spans="2:14">
      <c r="B4927" s="33"/>
      <c r="C4927" s="60"/>
      <c r="D4927" s="60"/>
      <c r="E4927" s="60"/>
      <c r="F4927" s="60"/>
      <c r="G4927" s="60"/>
      <c r="H4927" s="60"/>
      <c r="I4927" s="60"/>
      <c r="J4927" s="60"/>
      <c r="K4927" s="60"/>
      <c r="L4927" s="60"/>
      <c r="M4927" s="64"/>
      <c r="N4927" s="33"/>
    </row>
    <row r="4928" ht="24" customHeight="1" spans="2:14">
      <c r="B4928" s="33"/>
      <c r="C4928" s="60"/>
      <c r="D4928" s="60"/>
      <c r="E4928" s="60"/>
      <c r="F4928" s="60"/>
      <c r="G4928" s="60"/>
      <c r="H4928" s="60"/>
      <c r="I4928" s="60"/>
      <c r="J4928" s="60"/>
      <c r="K4928" s="60"/>
      <c r="L4928" s="60"/>
      <c r="M4928" s="64"/>
      <c r="N4928" s="33"/>
    </row>
    <row r="4929" ht="24" customHeight="1" spans="2:14">
      <c r="B4929" s="33"/>
      <c r="C4929" s="60"/>
      <c r="D4929" s="60"/>
      <c r="E4929" s="60"/>
      <c r="F4929" s="60"/>
      <c r="G4929" s="60"/>
      <c r="H4929" s="60"/>
      <c r="I4929" s="60"/>
      <c r="J4929" s="60"/>
      <c r="K4929" s="60"/>
      <c r="L4929" s="60"/>
      <c r="M4929" s="64"/>
      <c r="N4929" s="33"/>
    </row>
    <row r="4930" ht="24" customHeight="1" spans="2:14">
      <c r="B4930" s="33"/>
      <c r="C4930" s="60"/>
      <c r="D4930" s="60"/>
      <c r="E4930" s="60"/>
      <c r="F4930" s="60"/>
      <c r="G4930" s="60"/>
      <c r="H4930" s="60"/>
      <c r="I4930" s="60"/>
      <c r="J4930" s="60"/>
      <c r="K4930" s="60"/>
      <c r="L4930" s="60"/>
      <c r="M4930" s="64"/>
      <c r="N4930" s="33"/>
    </row>
    <row r="4931" ht="24" customHeight="1" spans="2:14">
      <c r="B4931" s="33"/>
      <c r="C4931" s="60"/>
      <c r="D4931" s="60"/>
      <c r="E4931" s="60"/>
      <c r="F4931" s="60"/>
      <c r="G4931" s="60"/>
      <c r="H4931" s="60"/>
      <c r="I4931" s="60"/>
      <c r="J4931" s="60"/>
      <c r="K4931" s="60"/>
      <c r="L4931" s="60"/>
      <c r="M4931" s="64"/>
      <c r="N4931" s="33"/>
    </row>
    <row r="4932" ht="24" customHeight="1" spans="2:14">
      <c r="B4932" s="33"/>
      <c r="C4932" s="60"/>
      <c r="D4932" s="60"/>
      <c r="E4932" s="60"/>
      <c r="F4932" s="60"/>
      <c r="G4932" s="60"/>
      <c r="H4932" s="60"/>
      <c r="I4932" s="60"/>
      <c r="J4932" s="60"/>
      <c r="K4932" s="60"/>
      <c r="L4932" s="60"/>
      <c r="M4932" s="64"/>
      <c r="N4932" s="33"/>
    </row>
    <row r="4933" ht="24" customHeight="1" spans="2:14">
      <c r="B4933" s="33"/>
      <c r="C4933" s="60"/>
      <c r="D4933" s="60"/>
      <c r="E4933" s="60"/>
      <c r="F4933" s="60"/>
      <c r="G4933" s="60"/>
      <c r="H4933" s="60"/>
      <c r="I4933" s="60"/>
      <c r="J4933" s="60"/>
      <c r="K4933" s="60"/>
      <c r="L4933" s="60"/>
      <c r="M4933" s="64"/>
      <c r="N4933" s="33"/>
    </row>
    <row r="4934" ht="24" customHeight="1" spans="2:14">
      <c r="B4934" s="33"/>
      <c r="C4934" s="60"/>
      <c r="D4934" s="60"/>
      <c r="E4934" s="60"/>
      <c r="F4934" s="60"/>
      <c r="G4934" s="60"/>
      <c r="H4934" s="60"/>
      <c r="I4934" s="60"/>
      <c r="J4934" s="60"/>
      <c r="K4934" s="60"/>
      <c r="L4934" s="60"/>
      <c r="M4934" s="64"/>
      <c r="N4934" s="33"/>
    </row>
    <row r="4935" ht="24" customHeight="1" spans="2:14">
      <c r="B4935" s="33"/>
      <c r="C4935" s="60"/>
      <c r="D4935" s="60"/>
      <c r="E4935" s="60"/>
      <c r="F4935" s="60"/>
      <c r="G4935" s="60"/>
      <c r="H4935" s="60"/>
      <c r="I4935" s="60"/>
      <c r="J4935" s="60"/>
      <c r="K4935" s="60"/>
      <c r="L4935" s="60"/>
      <c r="M4935" s="64"/>
      <c r="N4935" s="33"/>
    </row>
    <row r="4936" ht="24" customHeight="1" spans="2:14">
      <c r="B4936" s="33"/>
      <c r="C4936" s="60"/>
      <c r="D4936" s="60"/>
      <c r="E4936" s="60"/>
      <c r="F4936" s="60"/>
      <c r="G4936" s="60"/>
      <c r="H4936" s="60"/>
      <c r="I4936" s="60"/>
      <c r="J4936" s="60"/>
      <c r="K4936" s="60"/>
      <c r="L4936" s="60"/>
      <c r="M4936" s="64"/>
      <c r="N4936" s="33"/>
    </row>
    <row r="4937" ht="24" customHeight="1" spans="2:14">
      <c r="B4937" s="33"/>
      <c r="C4937" s="60"/>
      <c r="D4937" s="60"/>
      <c r="E4937" s="60"/>
      <c r="F4937" s="60"/>
      <c r="G4937" s="60"/>
      <c r="H4937" s="60"/>
      <c r="I4937" s="60"/>
      <c r="J4937" s="60"/>
      <c r="K4937" s="60"/>
      <c r="L4937" s="60"/>
      <c r="M4937" s="64"/>
      <c r="N4937" s="33"/>
    </row>
    <row r="4938" ht="24" customHeight="1" spans="2:14">
      <c r="B4938" s="33"/>
      <c r="C4938" s="60"/>
      <c r="D4938" s="60"/>
      <c r="E4938" s="60"/>
      <c r="F4938" s="60"/>
      <c r="G4938" s="60"/>
      <c r="H4938" s="60"/>
      <c r="I4938" s="60"/>
      <c r="J4938" s="60"/>
      <c r="K4938" s="60"/>
      <c r="L4938" s="60"/>
      <c r="M4938" s="64"/>
      <c r="N4938" s="33"/>
    </row>
    <row r="4939" ht="24" customHeight="1" spans="2:14">
      <c r="B4939" s="33"/>
      <c r="C4939" s="60"/>
      <c r="D4939" s="60"/>
      <c r="E4939" s="60"/>
      <c r="F4939" s="60"/>
      <c r="G4939" s="60"/>
      <c r="H4939" s="60"/>
      <c r="I4939" s="60"/>
      <c r="J4939" s="60"/>
      <c r="K4939" s="60"/>
      <c r="L4939" s="60"/>
      <c r="M4939" s="64"/>
      <c r="N4939" s="33"/>
    </row>
    <row r="4940" ht="24" customHeight="1" spans="2:14">
      <c r="B4940" s="33"/>
      <c r="C4940" s="60"/>
      <c r="D4940" s="60"/>
      <c r="E4940" s="60"/>
      <c r="F4940" s="60"/>
      <c r="G4940" s="60"/>
      <c r="H4940" s="60"/>
      <c r="I4940" s="60"/>
      <c r="J4940" s="60"/>
      <c r="K4940" s="60"/>
      <c r="L4940" s="60"/>
      <c r="M4940" s="64"/>
      <c r="N4940" s="33"/>
    </row>
    <row r="4941" ht="24" customHeight="1" spans="2:14">
      <c r="B4941" s="33"/>
      <c r="C4941" s="60"/>
      <c r="D4941" s="60"/>
      <c r="E4941" s="60"/>
      <c r="F4941" s="60"/>
      <c r="G4941" s="60"/>
      <c r="H4941" s="60"/>
      <c r="I4941" s="60"/>
      <c r="J4941" s="60"/>
      <c r="K4941" s="60"/>
      <c r="L4941" s="60"/>
      <c r="M4941" s="64"/>
      <c r="N4941" s="33"/>
    </row>
    <row r="4942" ht="24" customHeight="1" spans="2:14">
      <c r="B4942" s="33"/>
      <c r="C4942" s="60"/>
      <c r="D4942" s="60"/>
      <c r="E4942" s="60"/>
      <c r="F4942" s="60"/>
      <c r="G4942" s="60"/>
      <c r="H4942" s="60"/>
      <c r="I4942" s="60"/>
      <c r="J4942" s="60"/>
      <c r="K4942" s="60"/>
      <c r="L4942" s="60"/>
      <c r="M4942" s="64"/>
      <c r="N4942" s="33"/>
    </row>
    <row r="4943" ht="24" customHeight="1" spans="2:14">
      <c r="B4943" s="33"/>
      <c r="C4943" s="60"/>
      <c r="D4943" s="60"/>
      <c r="E4943" s="60"/>
      <c r="F4943" s="60"/>
      <c r="G4943" s="60"/>
      <c r="H4943" s="60"/>
      <c r="I4943" s="60"/>
      <c r="J4943" s="60"/>
      <c r="K4943" s="60"/>
      <c r="L4943" s="60"/>
      <c r="M4943" s="64"/>
      <c r="N4943" s="33"/>
    </row>
    <row r="4944" ht="24" customHeight="1" spans="2:14">
      <c r="B4944" s="33"/>
      <c r="C4944" s="60"/>
      <c r="D4944" s="60"/>
      <c r="E4944" s="60"/>
      <c r="F4944" s="60"/>
      <c r="G4944" s="60"/>
      <c r="H4944" s="60"/>
      <c r="I4944" s="60"/>
      <c r="J4944" s="60"/>
      <c r="K4944" s="60"/>
      <c r="L4944" s="60"/>
      <c r="M4944" s="64"/>
      <c r="N4944" s="33"/>
    </row>
    <row r="4945" ht="24" customHeight="1" spans="2:14">
      <c r="B4945" s="33"/>
      <c r="C4945" s="60"/>
      <c r="D4945" s="60"/>
      <c r="E4945" s="60"/>
      <c r="F4945" s="60"/>
      <c r="G4945" s="60"/>
      <c r="H4945" s="60"/>
      <c r="I4945" s="60"/>
      <c r="J4945" s="60"/>
      <c r="K4945" s="60"/>
      <c r="L4945" s="60"/>
      <c r="M4945" s="64"/>
      <c r="N4945" s="33"/>
    </row>
    <row r="4946" ht="24" customHeight="1" spans="2:14">
      <c r="B4946" s="33"/>
      <c r="C4946" s="60"/>
      <c r="D4946" s="60"/>
      <c r="E4946" s="60"/>
      <c r="F4946" s="60"/>
      <c r="G4946" s="60"/>
      <c r="H4946" s="60"/>
      <c r="I4946" s="60"/>
      <c r="J4946" s="60"/>
      <c r="K4946" s="60"/>
      <c r="L4946" s="60"/>
      <c r="M4946" s="64"/>
      <c r="N4946" s="33"/>
    </row>
    <row r="4947" ht="24" customHeight="1" spans="2:14">
      <c r="B4947" s="33"/>
      <c r="C4947" s="60"/>
      <c r="D4947" s="60"/>
      <c r="E4947" s="60"/>
      <c r="F4947" s="60"/>
      <c r="G4947" s="60"/>
      <c r="H4947" s="60"/>
      <c r="I4947" s="60"/>
      <c r="J4947" s="60"/>
      <c r="K4947" s="60"/>
      <c r="L4947" s="60"/>
      <c r="M4947" s="64"/>
      <c r="N4947" s="33"/>
    </row>
    <row r="4948" ht="24" customHeight="1" spans="2:14">
      <c r="B4948" s="33"/>
      <c r="C4948" s="60"/>
      <c r="D4948" s="60"/>
      <c r="E4948" s="60"/>
      <c r="F4948" s="60"/>
      <c r="G4948" s="60"/>
      <c r="H4948" s="60"/>
      <c r="I4948" s="60"/>
      <c r="J4948" s="60"/>
      <c r="K4948" s="60"/>
      <c r="L4948" s="60"/>
      <c r="M4948" s="64"/>
      <c r="N4948" s="33"/>
    </row>
    <row r="4949" ht="24" customHeight="1" spans="2:14">
      <c r="B4949" s="33"/>
      <c r="C4949" s="60"/>
      <c r="D4949" s="60"/>
      <c r="E4949" s="60"/>
      <c r="F4949" s="60"/>
      <c r="G4949" s="60"/>
      <c r="H4949" s="60"/>
      <c r="I4949" s="60"/>
      <c r="J4949" s="60"/>
      <c r="K4949" s="60"/>
      <c r="L4949" s="60"/>
      <c r="M4949" s="64"/>
      <c r="N4949" s="33"/>
    </row>
    <row r="4950" ht="24" customHeight="1" spans="2:14">
      <c r="B4950" s="33"/>
      <c r="C4950" s="60"/>
      <c r="D4950" s="60"/>
      <c r="E4950" s="60"/>
      <c r="F4950" s="60"/>
      <c r="G4950" s="60"/>
      <c r="H4950" s="60"/>
      <c r="I4950" s="60"/>
      <c r="J4950" s="60"/>
      <c r="K4950" s="60"/>
      <c r="L4950" s="60"/>
      <c r="M4950" s="64"/>
      <c r="N4950" s="33"/>
    </row>
    <row r="4951" ht="24" customHeight="1" spans="2:14">
      <c r="B4951" s="33"/>
      <c r="C4951" s="60"/>
      <c r="D4951" s="60"/>
      <c r="E4951" s="60"/>
      <c r="F4951" s="60"/>
      <c r="G4951" s="60"/>
      <c r="H4951" s="60"/>
      <c r="I4951" s="60"/>
      <c r="J4951" s="60"/>
      <c r="K4951" s="60"/>
      <c r="L4951" s="60"/>
      <c r="M4951" s="64"/>
      <c r="N4951" s="33"/>
    </row>
    <row r="4952" ht="24" customHeight="1" spans="2:14">
      <c r="B4952" s="33"/>
      <c r="C4952" s="60"/>
      <c r="D4952" s="60"/>
      <c r="E4952" s="60"/>
      <c r="F4952" s="60"/>
      <c r="G4952" s="60"/>
      <c r="H4952" s="60"/>
      <c r="I4952" s="60"/>
      <c r="J4952" s="60"/>
      <c r="K4952" s="60"/>
      <c r="L4952" s="60"/>
      <c r="M4952" s="64"/>
      <c r="N4952" s="33"/>
    </row>
    <row r="4953" ht="24" customHeight="1" spans="2:14">
      <c r="B4953" s="33"/>
      <c r="C4953" s="60"/>
      <c r="D4953" s="60"/>
      <c r="E4953" s="60"/>
      <c r="F4953" s="60"/>
      <c r="G4953" s="60"/>
      <c r="H4953" s="60"/>
      <c r="I4953" s="60"/>
      <c r="J4953" s="60"/>
      <c r="K4953" s="60"/>
      <c r="L4953" s="60"/>
      <c r="M4953" s="64"/>
      <c r="N4953" s="33"/>
    </row>
    <row r="4954" ht="24" customHeight="1" spans="2:14">
      <c r="B4954" s="33"/>
      <c r="C4954" s="60"/>
      <c r="D4954" s="60"/>
      <c r="E4954" s="60"/>
      <c r="F4954" s="60"/>
      <c r="G4954" s="60"/>
      <c r="H4954" s="60"/>
      <c r="I4954" s="60"/>
      <c r="J4954" s="60"/>
      <c r="K4954" s="60"/>
      <c r="L4954" s="60"/>
      <c r="M4954" s="64"/>
      <c r="N4954" s="33"/>
    </row>
    <row r="4955" ht="24" customHeight="1" spans="2:14">
      <c r="B4955" s="33"/>
      <c r="C4955" s="60"/>
      <c r="D4955" s="60"/>
      <c r="E4955" s="60"/>
      <c r="F4955" s="60"/>
      <c r="G4955" s="60"/>
      <c r="H4955" s="60"/>
      <c r="I4955" s="60"/>
      <c r="J4955" s="60"/>
      <c r="K4955" s="60"/>
      <c r="L4955" s="60"/>
      <c r="M4955" s="64"/>
      <c r="N4955" s="33"/>
    </row>
    <row r="4956" ht="24" customHeight="1" spans="2:14">
      <c r="B4956" s="33"/>
      <c r="C4956" s="60"/>
      <c r="D4956" s="60"/>
      <c r="E4956" s="60"/>
      <c r="F4956" s="60"/>
      <c r="G4956" s="60"/>
      <c r="H4956" s="60"/>
      <c r="I4956" s="60"/>
      <c r="J4956" s="60"/>
      <c r="K4956" s="60"/>
      <c r="L4956" s="60"/>
      <c r="M4956" s="64"/>
      <c r="N4956" s="33"/>
    </row>
    <row r="4957" ht="24" customHeight="1" spans="2:14">
      <c r="B4957" s="33"/>
      <c r="C4957" s="60"/>
      <c r="D4957" s="60"/>
      <c r="E4957" s="60"/>
      <c r="F4957" s="60"/>
      <c r="G4957" s="60"/>
      <c r="H4957" s="60"/>
      <c r="I4957" s="60"/>
      <c r="J4957" s="60"/>
      <c r="K4957" s="60"/>
      <c r="L4957" s="60"/>
      <c r="M4957" s="64"/>
      <c r="N4957" s="33"/>
    </row>
    <row r="4958" ht="24" customHeight="1" spans="2:14">
      <c r="B4958" s="33"/>
      <c r="C4958" s="60"/>
      <c r="D4958" s="60"/>
      <c r="E4958" s="60"/>
      <c r="F4958" s="60"/>
      <c r="G4958" s="60"/>
      <c r="H4958" s="60"/>
      <c r="I4958" s="60"/>
      <c r="J4958" s="60"/>
      <c r="K4958" s="60"/>
      <c r="L4958" s="60"/>
      <c r="M4958" s="64"/>
      <c r="N4958" s="33"/>
    </row>
    <row r="4959" ht="24" customHeight="1" spans="2:14">
      <c r="B4959" s="33"/>
      <c r="C4959" s="60"/>
      <c r="D4959" s="60"/>
      <c r="E4959" s="60"/>
      <c r="F4959" s="60"/>
      <c r="G4959" s="60"/>
      <c r="H4959" s="60"/>
      <c r="I4959" s="60"/>
      <c r="J4959" s="60"/>
      <c r="K4959" s="60"/>
      <c r="L4959" s="60"/>
      <c r="M4959" s="64"/>
      <c r="N4959" s="33"/>
    </row>
    <row r="4960" ht="24" customHeight="1" spans="2:14">
      <c r="B4960" s="33"/>
      <c r="C4960" s="60"/>
      <c r="D4960" s="60"/>
      <c r="E4960" s="60"/>
      <c r="F4960" s="60"/>
      <c r="G4960" s="60"/>
      <c r="H4960" s="60"/>
      <c r="I4960" s="60"/>
      <c r="J4960" s="60"/>
      <c r="K4960" s="60"/>
      <c r="L4960" s="60"/>
      <c r="M4960" s="64"/>
      <c r="N4960" s="33"/>
    </row>
    <row r="4961" ht="24" customHeight="1" spans="2:14">
      <c r="B4961" s="33"/>
      <c r="C4961" s="60"/>
      <c r="D4961" s="60"/>
      <c r="E4961" s="60"/>
      <c r="F4961" s="60"/>
      <c r="G4961" s="60"/>
      <c r="H4961" s="60"/>
      <c r="I4961" s="60"/>
      <c r="J4961" s="60"/>
      <c r="K4961" s="60"/>
      <c r="L4961" s="60"/>
      <c r="M4961" s="64"/>
      <c r="N4961" s="33"/>
    </row>
    <row r="4962" ht="24" customHeight="1" spans="2:14">
      <c r="B4962" s="33"/>
      <c r="C4962" s="60"/>
      <c r="D4962" s="60"/>
      <c r="E4962" s="60"/>
      <c r="F4962" s="60"/>
      <c r="G4962" s="60"/>
      <c r="H4962" s="60"/>
      <c r="I4962" s="60"/>
      <c r="J4962" s="60"/>
      <c r="K4962" s="60"/>
      <c r="L4962" s="60"/>
      <c r="M4962" s="64"/>
      <c r="N4962" s="33"/>
    </row>
    <row r="4963" ht="24" customHeight="1" spans="2:14">
      <c r="B4963" s="33"/>
      <c r="C4963" s="60"/>
      <c r="D4963" s="60"/>
      <c r="E4963" s="60"/>
      <c r="F4963" s="60"/>
      <c r="G4963" s="60"/>
      <c r="H4963" s="60"/>
      <c r="I4963" s="60"/>
      <c r="J4963" s="60"/>
      <c r="K4963" s="60"/>
      <c r="L4963" s="60"/>
      <c r="M4963" s="64"/>
      <c r="N4963" s="33"/>
    </row>
    <row r="4964" ht="24" customHeight="1" spans="2:14">
      <c r="B4964" s="33"/>
      <c r="C4964" s="60"/>
      <c r="D4964" s="60"/>
      <c r="E4964" s="60"/>
      <c r="F4964" s="60"/>
      <c r="G4964" s="60"/>
      <c r="H4964" s="60"/>
      <c r="I4964" s="60"/>
      <c r="J4964" s="60"/>
      <c r="K4964" s="60"/>
      <c r="L4964" s="60"/>
      <c r="M4964" s="64"/>
      <c r="N4964" s="33"/>
    </row>
    <row r="4965" ht="24" customHeight="1" spans="2:14">
      <c r="B4965" s="33"/>
      <c r="C4965" s="60"/>
      <c r="D4965" s="60"/>
      <c r="E4965" s="60"/>
      <c r="F4965" s="60"/>
      <c r="G4965" s="60"/>
      <c r="H4965" s="60"/>
      <c r="I4965" s="60"/>
      <c r="J4965" s="60"/>
      <c r="K4965" s="60"/>
      <c r="L4965" s="60"/>
      <c r="M4965" s="64"/>
      <c r="N4965" s="33"/>
    </row>
    <row r="4966" ht="24" customHeight="1" spans="2:14">
      <c r="B4966" s="33"/>
      <c r="C4966" s="60"/>
      <c r="D4966" s="60"/>
      <c r="E4966" s="60"/>
      <c r="F4966" s="60"/>
      <c r="G4966" s="60"/>
      <c r="H4966" s="60"/>
      <c r="I4966" s="60"/>
      <c r="J4966" s="60"/>
      <c r="K4966" s="60"/>
      <c r="L4966" s="60"/>
      <c r="M4966" s="64"/>
      <c r="N4966" s="33"/>
    </row>
    <row r="4967" ht="24" customHeight="1" spans="2:14">
      <c r="B4967" s="33"/>
      <c r="C4967" s="60"/>
      <c r="D4967" s="60"/>
      <c r="E4967" s="60"/>
      <c r="F4967" s="60"/>
      <c r="G4967" s="60"/>
      <c r="H4967" s="60"/>
      <c r="I4967" s="60"/>
      <c r="J4967" s="60"/>
      <c r="K4967" s="60"/>
      <c r="L4967" s="60"/>
      <c r="M4967" s="64"/>
      <c r="N4967" s="33"/>
    </row>
    <row r="4968" ht="24" customHeight="1" spans="2:14">
      <c r="B4968" s="33"/>
      <c r="C4968" s="60"/>
      <c r="D4968" s="60"/>
      <c r="E4968" s="60"/>
      <c r="F4968" s="60"/>
      <c r="G4968" s="60"/>
      <c r="H4968" s="60"/>
      <c r="I4968" s="60"/>
      <c r="J4968" s="60"/>
      <c r="K4968" s="60"/>
      <c r="L4968" s="60"/>
      <c r="M4968" s="64"/>
      <c r="N4968" s="33"/>
    </row>
    <row r="4969" ht="24" customHeight="1" spans="2:14">
      <c r="B4969" s="33"/>
      <c r="C4969" s="60"/>
      <c r="D4969" s="60"/>
      <c r="E4969" s="60"/>
      <c r="F4969" s="60"/>
      <c r="G4969" s="60"/>
      <c r="H4969" s="60"/>
      <c r="I4969" s="60"/>
      <c r="J4969" s="60"/>
      <c r="K4969" s="60"/>
      <c r="L4969" s="60"/>
      <c r="M4969" s="64"/>
      <c r="N4969" s="33"/>
    </row>
    <row r="4970" ht="24" customHeight="1" spans="2:14">
      <c r="B4970" s="33"/>
      <c r="C4970" s="60"/>
      <c r="D4970" s="60"/>
      <c r="E4970" s="60"/>
      <c r="F4970" s="60"/>
      <c r="G4970" s="60"/>
      <c r="H4970" s="60"/>
      <c r="I4970" s="60"/>
      <c r="J4970" s="60"/>
      <c r="K4970" s="60"/>
      <c r="L4970" s="60"/>
      <c r="M4970" s="64"/>
      <c r="N4970" s="33"/>
    </row>
    <row r="4971" ht="24" customHeight="1" spans="2:14">
      <c r="B4971" s="33"/>
      <c r="C4971" s="60"/>
      <c r="D4971" s="60"/>
      <c r="E4971" s="60"/>
      <c r="F4971" s="60"/>
      <c r="G4971" s="60"/>
      <c r="H4971" s="60"/>
      <c r="I4971" s="60"/>
      <c r="J4971" s="60"/>
      <c r="K4971" s="60"/>
      <c r="L4971" s="60"/>
      <c r="M4971" s="64"/>
      <c r="N4971" s="33"/>
    </row>
    <row r="4972" ht="24" customHeight="1" spans="2:14">
      <c r="B4972" s="33"/>
      <c r="C4972" s="60"/>
      <c r="D4972" s="60"/>
      <c r="E4972" s="60"/>
      <c r="F4972" s="60"/>
      <c r="G4972" s="60"/>
      <c r="H4972" s="60"/>
      <c r="I4972" s="60"/>
      <c r="J4972" s="60"/>
      <c r="K4972" s="60"/>
      <c r="L4972" s="60"/>
      <c r="M4972" s="64"/>
      <c r="N4972" s="33"/>
    </row>
    <row r="4973" ht="24" customHeight="1" spans="2:14">
      <c r="B4973" s="33"/>
      <c r="C4973" s="60"/>
      <c r="D4973" s="60"/>
      <c r="E4973" s="60"/>
      <c r="F4973" s="60"/>
      <c r="G4973" s="60"/>
      <c r="H4973" s="60"/>
      <c r="I4973" s="60"/>
      <c r="J4973" s="60"/>
      <c r="K4973" s="60"/>
      <c r="L4973" s="60"/>
      <c r="M4973" s="64"/>
      <c r="N4973" s="33"/>
    </row>
    <row r="4974" ht="24" customHeight="1" spans="2:14">
      <c r="B4974" s="33"/>
      <c r="C4974" s="60"/>
      <c r="D4974" s="60"/>
      <c r="E4974" s="60"/>
      <c r="F4974" s="60"/>
      <c r="G4974" s="60"/>
      <c r="H4974" s="60"/>
      <c r="I4974" s="60"/>
      <c r="J4974" s="60"/>
      <c r="K4974" s="60"/>
      <c r="L4974" s="60"/>
      <c r="M4974" s="64"/>
      <c r="N4974" s="33"/>
    </row>
    <row r="4975" ht="24" customHeight="1" spans="2:14">
      <c r="B4975" s="33"/>
      <c r="C4975" s="60"/>
      <c r="D4975" s="60"/>
      <c r="E4975" s="60"/>
      <c r="F4975" s="60"/>
      <c r="G4975" s="60"/>
      <c r="H4975" s="60"/>
      <c r="I4975" s="60"/>
      <c r="J4975" s="60"/>
      <c r="K4975" s="60"/>
      <c r="L4975" s="60"/>
      <c r="M4975" s="64"/>
      <c r="N4975" s="33"/>
    </row>
    <row r="4976" ht="24" customHeight="1" spans="2:14">
      <c r="B4976" s="33"/>
      <c r="C4976" s="60"/>
      <c r="D4976" s="60"/>
      <c r="E4976" s="60"/>
      <c r="F4976" s="60"/>
      <c r="G4976" s="60"/>
      <c r="H4976" s="60"/>
      <c r="I4976" s="60"/>
      <c r="J4976" s="60"/>
      <c r="K4976" s="60"/>
      <c r="L4976" s="60"/>
      <c r="M4976" s="64"/>
      <c r="N4976" s="33"/>
    </row>
    <row r="4977" ht="24" customHeight="1" spans="2:14">
      <c r="B4977" s="33"/>
      <c r="C4977" s="60"/>
      <c r="D4977" s="60"/>
      <c r="E4977" s="60"/>
      <c r="F4977" s="60"/>
      <c r="G4977" s="60"/>
      <c r="H4977" s="60"/>
      <c r="I4977" s="60"/>
      <c r="J4977" s="60"/>
      <c r="K4977" s="60"/>
      <c r="L4977" s="60"/>
      <c r="M4977" s="64"/>
      <c r="N4977" s="33"/>
    </row>
    <row r="4978" ht="24" customHeight="1" spans="2:14">
      <c r="B4978" s="33"/>
      <c r="C4978" s="60"/>
      <c r="D4978" s="60"/>
      <c r="E4978" s="60"/>
      <c r="F4978" s="60"/>
      <c r="G4978" s="60"/>
      <c r="H4978" s="60"/>
      <c r="I4978" s="60"/>
      <c r="J4978" s="60"/>
      <c r="K4978" s="60"/>
      <c r="L4978" s="60"/>
      <c r="M4978" s="64"/>
      <c r="N4978" s="33"/>
    </row>
    <row r="4979" ht="24" customHeight="1" spans="2:14">
      <c r="B4979" s="33"/>
      <c r="C4979" s="60"/>
      <c r="D4979" s="60"/>
      <c r="E4979" s="60"/>
      <c r="F4979" s="60"/>
      <c r="G4979" s="60"/>
      <c r="H4979" s="60"/>
      <c r="I4979" s="60"/>
      <c r="J4979" s="60"/>
      <c r="K4979" s="60"/>
      <c r="L4979" s="60"/>
      <c r="M4979" s="64"/>
      <c r="N4979" s="33"/>
    </row>
    <row r="4980" ht="24" customHeight="1" spans="2:14">
      <c r="B4980" s="33"/>
      <c r="C4980" s="60"/>
      <c r="D4980" s="60"/>
      <c r="E4980" s="60"/>
      <c r="F4980" s="60"/>
      <c r="G4980" s="60"/>
      <c r="H4980" s="60"/>
      <c r="I4980" s="60"/>
      <c r="J4980" s="60"/>
      <c r="K4980" s="60"/>
      <c r="L4980" s="60"/>
      <c r="M4980" s="64"/>
      <c r="N4980" s="33"/>
    </row>
    <row r="4981" ht="24" customHeight="1" spans="2:14">
      <c r="B4981" s="33"/>
      <c r="C4981" s="60"/>
      <c r="D4981" s="60"/>
      <c r="E4981" s="60"/>
      <c r="F4981" s="60"/>
      <c r="G4981" s="60"/>
      <c r="H4981" s="60"/>
      <c r="I4981" s="60"/>
      <c r="J4981" s="60"/>
      <c r="K4981" s="60"/>
      <c r="L4981" s="60"/>
      <c r="M4981" s="64"/>
      <c r="N4981" s="33"/>
    </row>
    <row r="4982" ht="24" customHeight="1" spans="2:14">
      <c r="B4982" s="33"/>
      <c r="C4982" s="60"/>
      <c r="D4982" s="60"/>
      <c r="E4982" s="60"/>
      <c r="F4982" s="60"/>
      <c r="G4982" s="60"/>
      <c r="H4982" s="60"/>
      <c r="I4982" s="60"/>
      <c r="J4982" s="60"/>
      <c r="K4982" s="60"/>
      <c r="L4982" s="60"/>
      <c r="M4982" s="64"/>
      <c r="N4982" s="33"/>
    </row>
    <row r="4983" ht="24" customHeight="1" spans="2:14">
      <c r="B4983" s="33"/>
      <c r="C4983" s="60"/>
      <c r="D4983" s="60"/>
      <c r="E4983" s="60"/>
      <c r="F4983" s="60"/>
      <c r="G4983" s="60"/>
      <c r="H4983" s="60"/>
      <c r="I4983" s="60"/>
      <c r="J4983" s="60"/>
      <c r="K4983" s="60"/>
      <c r="L4983" s="60"/>
      <c r="M4983" s="64"/>
      <c r="N4983" s="33"/>
    </row>
    <row r="4984" ht="24" customHeight="1" spans="2:14">
      <c r="B4984" s="33"/>
      <c r="C4984" s="60"/>
      <c r="D4984" s="60"/>
      <c r="E4984" s="60"/>
      <c r="F4984" s="60"/>
      <c r="G4984" s="60"/>
      <c r="H4984" s="60"/>
      <c r="I4984" s="60"/>
      <c r="J4984" s="60"/>
      <c r="K4984" s="60"/>
      <c r="L4984" s="60"/>
      <c r="M4984" s="64"/>
      <c r="N4984" s="33"/>
    </row>
    <row r="4985" ht="24" customHeight="1" spans="2:14">
      <c r="B4985" s="33"/>
      <c r="C4985" s="60"/>
      <c r="D4985" s="60"/>
      <c r="E4985" s="60"/>
      <c r="F4985" s="60"/>
      <c r="G4985" s="60"/>
      <c r="H4985" s="60"/>
      <c r="I4985" s="60"/>
      <c r="J4985" s="60"/>
      <c r="K4985" s="60"/>
      <c r="L4985" s="60"/>
      <c r="M4985" s="64"/>
      <c r="N4985" s="33"/>
    </row>
    <row r="4986" ht="24" customHeight="1" spans="2:14">
      <c r="B4986" s="33"/>
      <c r="C4986" s="60"/>
      <c r="D4986" s="60"/>
      <c r="E4986" s="60"/>
      <c r="F4986" s="60"/>
      <c r="G4986" s="60"/>
      <c r="H4986" s="60"/>
      <c r="I4986" s="60"/>
      <c r="J4986" s="60"/>
      <c r="K4986" s="60"/>
      <c r="L4986" s="60"/>
      <c r="M4986" s="64"/>
      <c r="N4986" s="33"/>
    </row>
    <row r="4987" ht="24" customHeight="1" spans="2:14">
      <c r="B4987" s="33"/>
      <c r="C4987" s="60"/>
      <c r="D4987" s="60"/>
      <c r="E4987" s="60"/>
      <c r="F4987" s="60"/>
      <c r="G4987" s="60"/>
      <c r="H4987" s="60"/>
      <c r="I4987" s="60"/>
      <c r="J4987" s="60"/>
      <c r="K4987" s="60"/>
      <c r="L4987" s="60"/>
      <c r="M4987" s="64"/>
      <c r="N4987" s="33"/>
    </row>
    <row r="4988" ht="24" customHeight="1" spans="2:14">
      <c r="B4988" s="33"/>
      <c r="C4988" s="60"/>
      <c r="D4988" s="60"/>
      <c r="E4988" s="60"/>
      <c r="F4988" s="60"/>
      <c r="G4988" s="60"/>
      <c r="H4988" s="60"/>
      <c r="I4988" s="60"/>
      <c r="J4988" s="60"/>
      <c r="K4988" s="60"/>
      <c r="L4988" s="60"/>
      <c r="M4988" s="64"/>
      <c r="N4988" s="33"/>
    </row>
    <row r="4989" ht="24" customHeight="1" spans="2:14">
      <c r="B4989" s="33"/>
      <c r="C4989" s="60"/>
      <c r="D4989" s="60"/>
      <c r="E4989" s="60"/>
      <c r="F4989" s="60"/>
      <c r="G4989" s="60"/>
      <c r="H4989" s="60"/>
      <c r="I4989" s="60"/>
      <c r="J4989" s="60"/>
      <c r="K4989" s="60"/>
      <c r="L4989" s="60"/>
      <c r="M4989" s="64"/>
      <c r="N4989" s="33"/>
    </row>
    <row r="4990" ht="24" customHeight="1" spans="2:14">
      <c r="B4990" s="33"/>
      <c r="C4990" s="60"/>
      <c r="D4990" s="60"/>
      <c r="E4990" s="60"/>
      <c r="F4990" s="60"/>
      <c r="G4990" s="60"/>
      <c r="H4990" s="60"/>
      <c r="I4990" s="60"/>
      <c r="J4990" s="60"/>
      <c r="K4990" s="60"/>
      <c r="L4990" s="60"/>
      <c r="M4990" s="64"/>
      <c r="N4990" s="33"/>
    </row>
    <row r="4991" ht="24" customHeight="1" spans="2:14">
      <c r="B4991" s="33"/>
      <c r="C4991" s="60"/>
      <c r="D4991" s="60"/>
      <c r="E4991" s="60"/>
      <c r="F4991" s="60"/>
      <c r="G4991" s="60"/>
      <c r="H4991" s="60"/>
      <c r="I4991" s="60"/>
      <c r="J4991" s="60"/>
      <c r="K4991" s="60"/>
      <c r="L4991" s="60"/>
      <c r="M4991" s="64"/>
      <c r="N4991" s="33"/>
    </row>
    <row r="4992" ht="24" customHeight="1" spans="2:14">
      <c r="B4992" s="33"/>
      <c r="C4992" s="60"/>
      <c r="D4992" s="60"/>
      <c r="E4992" s="60"/>
      <c r="F4992" s="60"/>
      <c r="G4992" s="60"/>
      <c r="H4992" s="60"/>
      <c r="I4992" s="60"/>
      <c r="J4992" s="60"/>
      <c r="K4992" s="60"/>
      <c r="L4992" s="60"/>
      <c r="M4992" s="64"/>
      <c r="N4992" s="33"/>
    </row>
    <row r="4993" ht="24" customHeight="1" spans="2:14">
      <c r="B4993" s="33"/>
      <c r="C4993" s="60"/>
      <c r="D4993" s="60"/>
      <c r="E4993" s="60"/>
      <c r="F4993" s="60"/>
      <c r="G4993" s="60"/>
      <c r="H4993" s="60"/>
      <c r="I4993" s="60"/>
      <c r="J4993" s="60"/>
      <c r="K4993" s="60"/>
      <c r="L4993" s="60"/>
      <c r="M4993" s="64"/>
      <c r="N4993" s="33"/>
    </row>
    <row r="4994" ht="24" customHeight="1" spans="2:14">
      <c r="B4994" s="33"/>
      <c r="C4994" s="60"/>
      <c r="D4994" s="60"/>
      <c r="E4994" s="60"/>
      <c r="F4994" s="60"/>
      <c r="G4994" s="60"/>
      <c r="H4994" s="60"/>
      <c r="I4994" s="60"/>
      <c r="J4994" s="60"/>
      <c r="K4994" s="60"/>
      <c r="L4994" s="60"/>
      <c r="M4994" s="64"/>
      <c r="N4994" s="33"/>
    </row>
    <row r="4995" ht="24" customHeight="1" spans="2:14">
      <c r="B4995" s="33"/>
      <c r="C4995" s="60"/>
      <c r="D4995" s="60"/>
      <c r="E4995" s="60"/>
      <c r="F4995" s="60"/>
      <c r="G4995" s="60"/>
      <c r="H4995" s="60"/>
      <c r="I4995" s="60"/>
      <c r="J4995" s="60"/>
      <c r="K4995" s="60"/>
      <c r="L4995" s="60"/>
      <c r="M4995" s="64"/>
      <c r="N4995" s="33"/>
    </row>
    <row r="4996" ht="24" customHeight="1" spans="2:14">
      <c r="B4996" s="33"/>
      <c r="C4996" s="60"/>
      <c r="D4996" s="60"/>
      <c r="E4996" s="60"/>
      <c r="F4996" s="60"/>
      <c r="G4996" s="60"/>
      <c r="H4996" s="60"/>
      <c r="I4996" s="60"/>
      <c r="J4996" s="60"/>
      <c r="K4996" s="60"/>
      <c r="L4996" s="60"/>
      <c r="M4996" s="64"/>
      <c r="N4996" s="33"/>
    </row>
    <row r="4997" ht="24" customHeight="1" spans="2:14">
      <c r="B4997" s="33"/>
      <c r="C4997" s="60"/>
      <c r="D4997" s="60"/>
      <c r="E4997" s="60"/>
      <c r="F4997" s="60"/>
      <c r="G4997" s="60"/>
      <c r="H4997" s="60"/>
      <c r="I4997" s="60"/>
      <c r="J4997" s="60"/>
      <c r="K4997" s="60"/>
      <c r="L4997" s="60"/>
      <c r="M4997" s="64"/>
      <c r="N4997" s="33"/>
    </row>
    <row r="4998" ht="24" customHeight="1" spans="2:14">
      <c r="B4998" s="33"/>
      <c r="C4998" s="60"/>
      <c r="D4998" s="60"/>
      <c r="E4998" s="60"/>
      <c r="F4998" s="60"/>
      <c r="G4998" s="60"/>
      <c r="H4998" s="60"/>
      <c r="I4998" s="60"/>
      <c r="J4998" s="60"/>
      <c r="K4998" s="60"/>
      <c r="L4998" s="60"/>
      <c r="M4998" s="64"/>
      <c r="N4998" s="33"/>
    </row>
    <row r="4999" ht="24" customHeight="1" spans="2:14">
      <c r="B4999" s="33"/>
      <c r="C4999" s="60"/>
      <c r="D4999" s="60"/>
      <c r="E4999" s="60"/>
      <c r="F4999" s="60"/>
      <c r="G4999" s="60"/>
      <c r="H4999" s="60"/>
      <c r="I4999" s="60"/>
      <c r="J4999" s="60"/>
      <c r="K4999" s="60"/>
      <c r="L4999" s="60"/>
      <c r="M4999" s="64"/>
      <c r="N4999" s="33"/>
    </row>
    <row r="5000" ht="24" customHeight="1" spans="2:14">
      <c r="B5000" s="33"/>
      <c r="C5000" s="60"/>
      <c r="D5000" s="60"/>
      <c r="E5000" s="60"/>
      <c r="F5000" s="60"/>
      <c r="G5000" s="60"/>
      <c r="H5000" s="60"/>
      <c r="I5000" s="60"/>
      <c r="J5000" s="60"/>
      <c r="K5000" s="60"/>
      <c r="L5000" s="60"/>
      <c r="M5000" s="64"/>
      <c r="N5000" s="33"/>
    </row>
    <row r="5001" ht="24" customHeight="1" spans="2:14">
      <c r="B5001" s="33"/>
      <c r="C5001" s="60"/>
      <c r="D5001" s="60"/>
      <c r="E5001" s="60"/>
      <c r="F5001" s="60"/>
      <c r="G5001" s="60"/>
      <c r="H5001" s="60"/>
      <c r="I5001" s="60"/>
      <c r="J5001" s="60"/>
      <c r="K5001" s="60"/>
      <c r="L5001" s="60"/>
      <c r="M5001" s="64"/>
      <c r="N5001" s="33"/>
    </row>
    <row r="5002" ht="24" customHeight="1" spans="2:14">
      <c r="B5002" s="33"/>
      <c r="C5002" s="60"/>
      <c r="D5002" s="60"/>
      <c r="E5002" s="60"/>
      <c r="F5002" s="60"/>
      <c r="G5002" s="60"/>
      <c r="H5002" s="60"/>
      <c r="I5002" s="60"/>
      <c r="J5002" s="60"/>
      <c r="K5002" s="60"/>
      <c r="L5002" s="60"/>
      <c r="M5002" s="64"/>
      <c r="N5002" s="33"/>
    </row>
    <row r="5003" ht="24" customHeight="1" spans="2:14">
      <c r="B5003" s="33"/>
      <c r="C5003" s="60"/>
      <c r="D5003" s="60"/>
      <c r="E5003" s="60"/>
      <c r="F5003" s="60"/>
      <c r="G5003" s="60"/>
      <c r="H5003" s="60"/>
      <c r="I5003" s="60"/>
      <c r="J5003" s="60"/>
      <c r="K5003" s="60"/>
      <c r="L5003" s="60"/>
      <c r="M5003" s="64"/>
      <c r="N5003" s="33"/>
    </row>
    <row r="5004" ht="24" customHeight="1" spans="2:14">
      <c r="B5004" s="33"/>
      <c r="C5004" s="60"/>
      <c r="D5004" s="60"/>
      <c r="E5004" s="60"/>
      <c r="F5004" s="60"/>
      <c r="G5004" s="60"/>
      <c r="H5004" s="60"/>
      <c r="I5004" s="60"/>
      <c r="J5004" s="60"/>
      <c r="K5004" s="60"/>
      <c r="L5004" s="60"/>
      <c r="M5004" s="64"/>
      <c r="N5004" s="33"/>
    </row>
    <row r="5005" ht="24" customHeight="1" spans="2:14">
      <c r="B5005" s="33"/>
      <c r="C5005" s="60"/>
      <c r="D5005" s="60"/>
      <c r="E5005" s="60"/>
      <c r="F5005" s="60"/>
      <c r="G5005" s="60"/>
      <c r="H5005" s="60"/>
      <c r="I5005" s="60"/>
      <c r="J5005" s="60"/>
      <c r="K5005" s="60"/>
      <c r="L5005" s="60"/>
      <c r="M5005" s="64"/>
      <c r="N5005" s="33"/>
    </row>
    <row r="5006" ht="24" customHeight="1" spans="2:14">
      <c r="B5006" s="33"/>
      <c r="C5006" s="60"/>
      <c r="D5006" s="60"/>
      <c r="E5006" s="60"/>
      <c r="F5006" s="60"/>
      <c r="G5006" s="60"/>
      <c r="H5006" s="60"/>
      <c r="I5006" s="60"/>
      <c r="J5006" s="60"/>
      <c r="K5006" s="60"/>
      <c r="L5006" s="60"/>
      <c r="M5006" s="64"/>
      <c r="N5006" s="33"/>
    </row>
    <row r="5007" ht="24" customHeight="1" spans="2:14">
      <c r="B5007" s="33"/>
      <c r="C5007" s="60"/>
      <c r="D5007" s="60"/>
      <c r="E5007" s="60"/>
      <c r="F5007" s="60"/>
      <c r="G5007" s="60"/>
      <c r="H5007" s="60"/>
      <c r="I5007" s="60"/>
      <c r="J5007" s="60"/>
      <c r="K5007" s="60"/>
      <c r="L5007" s="60"/>
      <c r="M5007" s="64"/>
      <c r="N5007" s="33"/>
    </row>
    <row r="5008" ht="24" customHeight="1" spans="2:14">
      <c r="B5008" s="33"/>
      <c r="C5008" s="60"/>
      <c r="D5008" s="60"/>
      <c r="E5008" s="60"/>
      <c r="F5008" s="60"/>
      <c r="G5008" s="60"/>
      <c r="H5008" s="60"/>
      <c r="I5008" s="60"/>
      <c r="J5008" s="60"/>
      <c r="K5008" s="60"/>
      <c r="L5008" s="60"/>
      <c r="M5008" s="64"/>
      <c r="N5008" s="33"/>
    </row>
    <row r="5009" ht="24" customHeight="1" spans="2:14">
      <c r="B5009" s="33"/>
      <c r="C5009" s="60"/>
      <c r="D5009" s="60"/>
      <c r="E5009" s="60"/>
      <c r="F5009" s="60"/>
      <c r="G5009" s="60"/>
      <c r="H5009" s="60"/>
      <c r="I5009" s="60"/>
      <c r="J5009" s="60"/>
      <c r="K5009" s="60"/>
      <c r="L5009" s="60"/>
      <c r="M5009" s="64"/>
      <c r="N5009" s="33"/>
    </row>
    <row r="5010" ht="24" customHeight="1" spans="2:14">
      <c r="B5010" s="33"/>
      <c r="C5010" s="60"/>
      <c r="D5010" s="60"/>
      <c r="E5010" s="60"/>
      <c r="F5010" s="60"/>
      <c r="G5010" s="60"/>
      <c r="H5010" s="60"/>
      <c r="I5010" s="60"/>
      <c r="J5010" s="60"/>
      <c r="K5010" s="60"/>
      <c r="L5010" s="60"/>
      <c r="M5010" s="64"/>
      <c r="N5010" s="33"/>
    </row>
    <row r="5011" ht="24" customHeight="1" spans="2:14">
      <c r="B5011" s="33"/>
      <c r="C5011" s="60"/>
      <c r="D5011" s="60"/>
      <c r="E5011" s="60"/>
      <c r="F5011" s="60"/>
      <c r="G5011" s="60"/>
      <c r="H5011" s="60"/>
      <c r="I5011" s="60"/>
      <c r="J5011" s="60"/>
      <c r="K5011" s="60"/>
      <c r="L5011" s="60"/>
      <c r="M5011" s="64"/>
      <c r="N5011" s="33"/>
    </row>
    <row r="5012" ht="24" customHeight="1" spans="2:14">
      <c r="B5012" s="33"/>
      <c r="C5012" s="60"/>
      <c r="D5012" s="60"/>
      <c r="E5012" s="60"/>
      <c r="F5012" s="60"/>
      <c r="G5012" s="60"/>
      <c r="H5012" s="60"/>
      <c r="I5012" s="60"/>
      <c r="J5012" s="60"/>
      <c r="K5012" s="60"/>
      <c r="L5012" s="60"/>
      <c r="M5012" s="64"/>
      <c r="N5012" s="33"/>
    </row>
    <row r="5013" ht="24" customHeight="1" spans="2:14">
      <c r="B5013" s="33"/>
      <c r="C5013" s="60"/>
      <c r="D5013" s="60"/>
      <c r="E5013" s="60"/>
      <c r="F5013" s="60"/>
      <c r="G5013" s="60"/>
      <c r="H5013" s="60"/>
      <c r="I5013" s="60"/>
      <c r="J5013" s="60"/>
      <c r="K5013" s="60"/>
      <c r="L5013" s="60"/>
      <c r="M5013" s="64"/>
      <c r="N5013" s="33"/>
    </row>
    <row r="5014" ht="24" customHeight="1" spans="2:14">
      <c r="B5014" s="33"/>
      <c r="C5014" s="60"/>
      <c r="D5014" s="60"/>
      <c r="E5014" s="60"/>
      <c r="F5014" s="60"/>
      <c r="G5014" s="60"/>
      <c r="H5014" s="60"/>
      <c r="I5014" s="60"/>
      <c r="J5014" s="60"/>
      <c r="K5014" s="60"/>
      <c r="L5014" s="60"/>
      <c r="M5014" s="64"/>
      <c r="N5014" s="33"/>
    </row>
    <row r="5015" ht="24" customHeight="1" spans="2:14">
      <c r="B5015" s="33"/>
      <c r="C5015" s="60"/>
      <c r="D5015" s="60"/>
      <c r="E5015" s="60"/>
      <c r="F5015" s="60"/>
      <c r="G5015" s="60"/>
      <c r="H5015" s="60"/>
      <c r="I5015" s="60"/>
      <c r="J5015" s="60"/>
      <c r="K5015" s="60"/>
      <c r="L5015" s="60"/>
      <c r="M5015" s="64"/>
      <c r="N5015" s="33"/>
    </row>
    <row r="5016" ht="24" customHeight="1" spans="2:14">
      <c r="B5016" s="33"/>
      <c r="C5016" s="60"/>
      <c r="D5016" s="60"/>
      <c r="E5016" s="60"/>
      <c r="F5016" s="60"/>
      <c r="G5016" s="60"/>
      <c r="H5016" s="60"/>
      <c r="I5016" s="60"/>
      <c r="J5016" s="60"/>
      <c r="K5016" s="60"/>
      <c r="L5016" s="60"/>
      <c r="M5016" s="64"/>
      <c r="N5016" s="33"/>
    </row>
    <row r="5017" ht="24" customHeight="1" spans="2:14">
      <c r="B5017" s="33"/>
      <c r="C5017" s="60"/>
      <c r="D5017" s="60"/>
      <c r="E5017" s="60"/>
      <c r="F5017" s="60"/>
      <c r="G5017" s="60"/>
      <c r="H5017" s="60"/>
      <c r="I5017" s="60"/>
      <c r="J5017" s="60"/>
      <c r="K5017" s="60"/>
      <c r="L5017" s="60"/>
      <c r="M5017" s="64"/>
      <c r="N5017" s="33"/>
    </row>
    <row r="5018" ht="24" customHeight="1" spans="2:14">
      <c r="B5018" s="33"/>
      <c r="C5018" s="60"/>
      <c r="D5018" s="60"/>
      <c r="E5018" s="60"/>
      <c r="F5018" s="60"/>
      <c r="G5018" s="60"/>
      <c r="H5018" s="60"/>
      <c r="I5018" s="60"/>
      <c r="J5018" s="60"/>
      <c r="K5018" s="60"/>
      <c r="L5018" s="60"/>
      <c r="M5018" s="64"/>
      <c r="N5018" s="33"/>
    </row>
    <row r="5019" ht="24" customHeight="1" spans="2:14">
      <c r="B5019" s="33"/>
      <c r="C5019" s="60"/>
      <c r="D5019" s="60"/>
      <c r="E5019" s="60"/>
      <c r="F5019" s="60"/>
      <c r="G5019" s="60"/>
      <c r="H5019" s="60"/>
      <c r="I5019" s="60"/>
      <c r="J5019" s="60"/>
      <c r="K5019" s="60"/>
      <c r="L5019" s="60"/>
      <c r="M5019" s="64"/>
      <c r="N5019" s="33"/>
    </row>
    <row r="5020" ht="24" customHeight="1" spans="2:14">
      <c r="B5020" s="33"/>
      <c r="C5020" s="60"/>
      <c r="D5020" s="60"/>
      <c r="E5020" s="60"/>
      <c r="F5020" s="60"/>
      <c r="G5020" s="60"/>
      <c r="H5020" s="60"/>
      <c r="I5020" s="60"/>
      <c r="J5020" s="60"/>
      <c r="K5020" s="60"/>
      <c r="L5020" s="60"/>
      <c r="M5020" s="64"/>
      <c r="N5020" s="33"/>
    </row>
    <row r="5021" ht="24" customHeight="1" spans="2:14">
      <c r="B5021" s="33"/>
      <c r="C5021" s="60"/>
      <c r="D5021" s="60"/>
      <c r="E5021" s="60"/>
      <c r="F5021" s="60"/>
      <c r="G5021" s="60"/>
      <c r="H5021" s="60"/>
      <c r="I5021" s="60"/>
      <c r="J5021" s="60"/>
      <c r="K5021" s="60"/>
      <c r="L5021" s="60"/>
      <c r="M5021" s="64"/>
      <c r="N5021" s="33"/>
    </row>
    <row r="5022" ht="24" customHeight="1" spans="2:14">
      <c r="B5022" s="33"/>
      <c r="C5022" s="60"/>
      <c r="D5022" s="60"/>
      <c r="E5022" s="60"/>
      <c r="F5022" s="60"/>
      <c r="G5022" s="60"/>
      <c r="H5022" s="60"/>
      <c r="I5022" s="60"/>
      <c r="J5022" s="60"/>
      <c r="K5022" s="60"/>
      <c r="L5022" s="60"/>
      <c r="M5022" s="64"/>
      <c r="N5022" s="33"/>
    </row>
    <row r="5023" ht="24" customHeight="1" spans="2:14">
      <c r="B5023" s="33"/>
      <c r="C5023" s="60"/>
      <c r="D5023" s="60"/>
      <c r="E5023" s="60"/>
      <c r="F5023" s="60"/>
      <c r="G5023" s="60"/>
      <c r="H5023" s="60"/>
      <c r="I5023" s="60"/>
      <c r="J5023" s="60"/>
      <c r="K5023" s="60"/>
      <c r="L5023" s="60"/>
      <c r="M5023" s="64"/>
      <c r="N5023" s="33"/>
    </row>
    <row r="5024" ht="24" customHeight="1" spans="2:14">
      <c r="B5024" s="33"/>
      <c r="C5024" s="60"/>
      <c r="D5024" s="60"/>
      <c r="E5024" s="60"/>
      <c r="F5024" s="60"/>
      <c r="G5024" s="60"/>
      <c r="H5024" s="60"/>
      <c r="I5024" s="60"/>
      <c r="J5024" s="60"/>
      <c r="K5024" s="60"/>
      <c r="L5024" s="60"/>
      <c r="M5024" s="64"/>
      <c r="N5024" s="33"/>
    </row>
    <row r="5025" ht="24" customHeight="1" spans="2:14">
      <c r="B5025" s="33"/>
      <c r="C5025" s="60"/>
      <c r="D5025" s="60"/>
      <c r="E5025" s="60"/>
      <c r="F5025" s="60"/>
      <c r="G5025" s="60"/>
      <c r="H5025" s="60"/>
      <c r="I5025" s="60"/>
      <c r="J5025" s="60"/>
      <c r="K5025" s="60"/>
      <c r="L5025" s="60"/>
      <c r="M5025" s="64"/>
      <c r="N5025" s="33"/>
    </row>
    <row r="5026" ht="24" customHeight="1" spans="2:14">
      <c r="B5026" s="33"/>
      <c r="C5026" s="60"/>
      <c r="D5026" s="60"/>
      <c r="E5026" s="60"/>
      <c r="F5026" s="60"/>
      <c r="G5026" s="60"/>
      <c r="H5026" s="60"/>
      <c r="I5026" s="60"/>
      <c r="J5026" s="60"/>
      <c r="K5026" s="60"/>
      <c r="L5026" s="60"/>
      <c r="M5026" s="64"/>
      <c r="N5026" s="33"/>
    </row>
    <row r="5027" ht="24" customHeight="1" spans="2:14">
      <c r="B5027" s="33"/>
      <c r="C5027" s="60"/>
      <c r="D5027" s="60"/>
      <c r="E5027" s="60"/>
      <c r="F5027" s="60"/>
      <c r="G5027" s="60"/>
      <c r="H5027" s="60"/>
      <c r="I5027" s="60"/>
      <c r="J5027" s="60"/>
      <c r="K5027" s="60"/>
      <c r="L5027" s="60"/>
      <c r="M5027" s="64"/>
      <c r="N5027" s="33"/>
    </row>
    <row r="5028" ht="24" customHeight="1" spans="2:14">
      <c r="B5028" s="33"/>
      <c r="C5028" s="60"/>
      <c r="D5028" s="60"/>
      <c r="E5028" s="60"/>
      <c r="F5028" s="60"/>
      <c r="G5028" s="60"/>
      <c r="H5028" s="60"/>
      <c r="I5028" s="60"/>
      <c r="J5028" s="60"/>
      <c r="K5028" s="60"/>
      <c r="L5028" s="60"/>
      <c r="M5028" s="64"/>
      <c r="N5028" s="33"/>
    </row>
    <row r="5029" ht="24" customHeight="1" spans="2:14">
      <c r="B5029" s="33"/>
      <c r="C5029" s="60"/>
      <c r="D5029" s="60"/>
      <c r="E5029" s="60"/>
      <c r="F5029" s="60"/>
      <c r="G5029" s="60"/>
      <c r="H5029" s="60"/>
      <c r="I5029" s="60"/>
      <c r="J5029" s="60"/>
      <c r="K5029" s="60"/>
      <c r="L5029" s="60"/>
      <c r="M5029" s="64"/>
      <c r="N5029" s="33"/>
    </row>
    <row r="5030" ht="24" customHeight="1" spans="2:14">
      <c r="B5030" s="33"/>
      <c r="C5030" s="60"/>
      <c r="D5030" s="60"/>
      <c r="E5030" s="60"/>
      <c r="F5030" s="60"/>
      <c r="G5030" s="60"/>
      <c r="H5030" s="60"/>
      <c r="I5030" s="60"/>
      <c r="J5030" s="60"/>
      <c r="K5030" s="60"/>
      <c r="L5030" s="60"/>
      <c r="M5030" s="64"/>
      <c r="N5030" s="33"/>
    </row>
    <row r="5031" ht="24" customHeight="1" spans="2:14">
      <c r="B5031" s="33"/>
      <c r="C5031" s="60"/>
      <c r="D5031" s="60"/>
      <c r="E5031" s="60"/>
      <c r="F5031" s="60"/>
      <c r="G5031" s="60"/>
      <c r="H5031" s="60"/>
      <c r="I5031" s="60"/>
      <c r="J5031" s="60"/>
      <c r="K5031" s="60"/>
      <c r="L5031" s="60"/>
      <c r="M5031" s="64"/>
      <c r="N5031" s="33"/>
    </row>
    <row r="5032" ht="24" customHeight="1" spans="2:14">
      <c r="B5032" s="33"/>
      <c r="C5032" s="60"/>
      <c r="D5032" s="60"/>
      <c r="E5032" s="60"/>
      <c r="F5032" s="60"/>
      <c r="G5032" s="60"/>
      <c r="H5032" s="60"/>
      <c r="I5032" s="60"/>
      <c r="J5032" s="60"/>
      <c r="K5032" s="60"/>
      <c r="L5032" s="60"/>
      <c r="M5032" s="64"/>
      <c r="N5032" s="33"/>
    </row>
    <row r="5033" ht="24" customHeight="1" spans="2:14">
      <c r="B5033" s="33"/>
      <c r="C5033" s="60"/>
      <c r="D5033" s="60"/>
      <c r="E5033" s="60"/>
      <c r="F5033" s="60"/>
      <c r="G5033" s="60"/>
      <c r="H5033" s="60"/>
      <c r="I5033" s="60"/>
      <c r="J5033" s="60"/>
      <c r="K5033" s="60"/>
      <c r="L5033" s="60"/>
      <c r="M5033" s="64"/>
      <c r="N5033" s="33"/>
    </row>
    <row r="5034" ht="24" customHeight="1" spans="2:14">
      <c r="B5034" s="33"/>
      <c r="C5034" s="60"/>
      <c r="D5034" s="60"/>
      <c r="E5034" s="60"/>
      <c r="F5034" s="60"/>
      <c r="G5034" s="60"/>
      <c r="H5034" s="60"/>
      <c r="I5034" s="60"/>
      <c r="J5034" s="60"/>
      <c r="K5034" s="60"/>
      <c r="L5034" s="60"/>
      <c r="M5034" s="64"/>
      <c r="N5034" s="33"/>
    </row>
    <row r="5035" ht="24" customHeight="1" spans="2:14">
      <c r="B5035" s="33"/>
      <c r="C5035" s="60"/>
      <c r="D5035" s="60"/>
      <c r="E5035" s="60"/>
      <c r="F5035" s="60"/>
      <c r="G5035" s="60"/>
      <c r="H5035" s="60"/>
      <c r="I5035" s="60"/>
      <c r="J5035" s="60"/>
      <c r="K5035" s="60"/>
      <c r="L5035" s="60"/>
      <c r="M5035" s="64"/>
      <c r="N5035" s="33"/>
    </row>
    <row r="5036" ht="24" customHeight="1" spans="2:14">
      <c r="B5036" s="33"/>
      <c r="C5036" s="60"/>
      <c r="D5036" s="60"/>
      <c r="E5036" s="60"/>
      <c r="F5036" s="60"/>
      <c r="G5036" s="60"/>
      <c r="H5036" s="60"/>
      <c r="I5036" s="60"/>
      <c r="J5036" s="60"/>
      <c r="K5036" s="60"/>
      <c r="L5036" s="60"/>
      <c r="M5036" s="64"/>
      <c r="N5036" s="33"/>
    </row>
    <row r="5037" ht="24" customHeight="1" spans="2:14">
      <c r="B5037" s="33"/>
      <c r="C5037" s="60"/>
      <c r="D5037" s="60"/>
      <c r="E5037" s="60"/>
      <c r="F5037" s="60"/>
      <c r="G5037" s="60"/>
      <c r="H5037" s="60"/>
      <c r="I5037" s="60"/>
      <c r="J5037" s="60"/>
      <c r="K5037" s="60"/>
      <c r="L5037" s="60"/>
      <c r="M5037" s="64"/>
      <c r="N5037" s="33"/>
    </row>
    <row r="5038" ht="24" customHeight="1" spans="2:14">
      <c r="B5038" s="33"/>
      <c r="C5038" s="60"/>
      <c r="D5038" s="60"/>
      <c r="E5038" s="60"/>
      <c r="F5038" s="60"/>
      <c r="G5038" s="60"/>
      <c r="H5038" s="60"/>
      <c r="I5038" s="60"/>
      <c r="J5038" s="60"/>
      <c r="K5038" s="60"/>
      <c r="L5038" s="60"/>
      <c r="M5038" s="64"/>
      <c r="N5038" s="33"/>
    </row>
    <row r="5039" ht="24" customHeight="1" spans="2:14">
      <c r="B5039" s="33"/>
      <c r="C5039" s="60"/>
      <c r="D5039" s="60"/>
      <c r="E5039" s="60"/>
      <c r="F5039" s="60"/>
      <c r="G5039" s="60"/>
      <c r="H5039" s="60"/>
      <c r="I5039" s="60"/>
      <c r="J5039" s="60"/>
      <c r="K5039" s="60"/>
      <c r="L5039" s="60"/>
      <c r="M5039" s="64"/>
      <c r="N5039" s="33"/>
    </row>
    <row r="5040" ht="24" customHeight="1" spans="2:14">
      <c r="B5040" s="33"/>
      <c r="C5040" s="60"/>
      <c r="D5040" s="60"/>
      <c r="E5040" s="60"/>
      <c r="F5040" s="60"/>
      <c r="G5040" s="60"/>
      <c r="H5040" s="60"/>
      <c r="I5040" s="60"/>
      <c r="J5040" s="60"/>
      <c r="K5040" s="60"/>
      <c r="L5040" s="60"/>
      <c r="M5040" s="64"/>
      <c r="N5040" s="33"/>
    </row>
    <row r="5041" ht="24" customHeight="1" spans="2:14">
      <c r="B5041" s="33"/>
      <c r="C5041" s="60"/>
      <c r="D5041" s="60"/>
      <c r="E5041" s="60"/>
      <c r="F5041" s="60"/>
      <c r="G5041" s="60"/>
      <c r="H5041" s="60"/>
      <c r="I5041" s="60"/>
      <c r="J5041" s="60"/>
      <c r="K5041" s="60"/>
      <c r="L5041" s="60"/>
      <c r="M5041" s="64"/>
      <c r="N5041" s="33"/>
    </row>
    <row r="5042" ht="24" customHeight="1" spans="2:14">
      <c r="B5042" s="33"/>
      <c r="C5042" s="60"/>
      <c r="D5042" s="60"/>
      <c r="E5042" s="60"/>
      <c r="F5042" s="60"/>
      <c r="G5042" s="60"/>
      <c r="H5042" s="60"/>
      <c r="I5042" s="60"/>
      <c r="J5042" s="60"/>
      <c r="K5042" s="60"/>
      <c r="L5042" s="60"/>
      <c r="M5042" s="64"/>
      <c r="N5042" s="33"/>
    </row>
    <row r="5043" ht="24" customHeight="1" spans="2:14">
      <c r="B5043" s="33"/>
      <c r="C5043" s="60"/>
      <c r="D5043" s="60"/>
      <c r="E5043" s="60"/>
      <c r="F5043" s="60"/>
      <c r="G5043" s="60"/>
      <c r="H5043" s="60"/>
      <c r="I5043" s="60"/>
      <c r="J5043" s="60"/>
      <c r="K5043" s="60"/>
      <c r="L5043" s="60"/>
      <c r="M5043" s="64"/>
      <c r="N5043" s="33"/>
    </row>
    <row r="5044" ht="24" customHeight="1" spans="2:14">
      <c r="B5044" s="33"/>
      <c r="C5044" s="60"/>
      <c r="D5044" s="60"/>
      <c r="E5044" s="60"/>
      <c r="F5044" s="60"/>
      <c r="G5044" s="60"/>
      <c r="H5044" s="60"/>
      <c r="I5044" s="60"/>
      <c r="J5044" s="60"/>
      <c r="K5044" s="60"/>
      <c r="L5044" s="60"/>
      <c r="M5044" s="64"/>
      <c r="N5044" s="33"/>
    </row>
    <row r="5045" ht="24" customHeight="1" spans="2:14">
      <c r="B5045" s="33"/>
      <c r="C5045" s="60"/>
      <c r="D5045" s="60"/>
      <c r="E5045" s="60"/>
      <c r="F5045" s="60"/>
      <c r="G5045" s="60"/>
      <c r="H5045" s="60"/>
      <c r="I5045" s="60"/>
      <c r="J5045" s="60"/>
      <c r="K5045" s="60"/>
      <c r="L5045" s="60"/>
      <c r="M5045" s="64"/>
      <c r="N5045" s="33"/>
    </row>
    <row r="5046" ht="24" customHeight="1" spans="2:14">
      <c r="B5046" s="33"/>
      <c r="C5046" s="60"/>
      <c r="D5046" s="60"/>
      <c r="E5046" s="60"/>
      <c r="F5046" s="60"/>
      <c r="G5046" s="60"/>
      <c r="H5046" s="60"/>
      <c r="I5046" s="60"/>
      <c r="J5046" s="60"/>
      <c r="K5046" s="60"/>
      <c r="L5046" s="60"/>
      <c r="M5046" s="64"/>
      <c r="N5046" s="33"/>
    </row>
    <row r="5047" ht="24" customHeight="1" spans="2:14">
      <c r="B5047" s="33"/>
      <c r="C5047" s="60"/>
      <c r="D5047" s="60"/>
      <c r="E5047" s="60"/>
      <c r="F5047" s="60"/>
      <c r="G5047" s="60"/>
      <c r="H5047" s="60"/>
      <c r="I5047" s="60"/>
      <c r="J5047" s="60"/>
      <c r="K5047" s="60"/>
      <c r="L5047" s="60"/>
      <c r="M5047" s="64"/>
      <c r="N5047" s="33"/>
    </row>
    <row r="5048" ht="24" customHeight="1" spans="2:14">
      <c r="B5048" s="33"/>
      <c r="C5048" s="60"/>
      <c r="D5048" s="60"/>
      <c r="E5048" s="60"/>
      <c r="F5048" s="60"/>
      <c r="G5048" s="60"/>
      <c r="H5048" s="60"/>
      <c r="I5048" s="60"/>
      <c r="J5048" s="60"/>
      <c r="K5048" s="60"/>
      <c r="L5048" s="60"/>
      <c r="M5048" s="64"/>
      <c r="N5048" s="33"/>
    </row>
    <row r="5049" ht="24" customHeight="1" spans="2:14">
      <c r="B5049" s="33"/>
      <c r="C5049" s="60"/>
      <c r="D5049" s="60"/>
      <c r="E5049" s="60"/>
      <c r="F5049" s="60"/>
      <c r="G5049" s="60"/>
      <c r="H5049" s="60"/>
      <c r="I5049" s="60"/>
      <c r="J5049" s="60"/>
      <c r="K5049" s="60"/>
      <c r="L5049" s="60"/>
      <c r="M5049" s="64"/>
      <c r="N5049" s="33"/>
    </row>
    <row r="5050" ht="24" customHeight="1" spans="2:14">
      <c r="B5050" s="33"/>
      <c r="C5050" s="60"/>
      <c r="D5050" s="60"/>
      <c r="E5050" s="60"/>
      <c r="F5050" s="60"/>
      <c r="G5050" s="60"/>
      <c r="H5050" s="60"/>
      <c r="I5050" s="60"/>
      <c r="J5050" s="60"/>
      <c r="K5050" s="60"/>
      <c r="L5050" s="60"/>
      <c r="M5050" s="64"/>
      <c r="N5050" s="33"/>
    </row>
    <row r="5051" ht="24" customHeight="1" spans="2:14">
      <c r="B5051" s="33"/>
      <c r="C5051" s="60"/>
      <c r="D5051" s="60"/>
      <c r="E5051" s="60"/>
      <c r="F5051" s="60"/>
      <c r="G5051" s="60"/>
      <c r="H5051" s="60"/>
      <c r="I5051" s="60"/>
      <c r="J5051" s="60"/>
      <c r="K5051" s="60"/>
      <c r="L5051" s="60"/>
      <c r="M5051" s="64"/>
      <c r="N5051" s="33"/>
    </row>
    <row r="5052" ht="24" customHeight="1" spans="2:14">
      <c r="B5052" s="33"/>
      <c r="C5052" s="60"/>
      <c r="D5052" s="60"/>
      <c r="E5052" s="60"/>
      <c r="F5052" s="60"/>
      <c r="G5052" s="60"/>
      <c r="H5052" s="60"/>
      <c r="I5052" s="60"/>
      <c r="J5052" s="60"/>
      <c r="K5052" s="60"/>
      <c r="L5052" s="60"/>
      <c r="M5052" s="64"/>
      <c r="N5052" s="33"/>
    </row>
    <row r="5053" ht="24" customHeight="1" spans="2:14">
      <c r="B5053" s="33"/>
      <c r="C5053" s="60"/>
      <c r="D5053" s="60"/>
      <c r="E5053" s="60"/>
      <c r="F5053" s="60"/>
      <c r="G5053" s="60"/>
      <c r="H5053" s="60"/>
      <c r="I5053" s="60"/>
      <c r="J5053" s="60"/>
      <c r="K5053" s="60"/>
      <c r="L5053" s="60"/>
      <c r="M5053" s="64"/>
      <c r="N5053" s="33"/>
    </row>
    <row r="5054" ht="24" customHeight="1" spans="2:14">
      <c r="B5054" s="33"/>
      <c r="C5054" s="60"/>
      <c r="D5054" s="60"/>
      <c r="E5054" s="60"/>
      <c r="F5054" s="60"/>
      <c r="G5054" s="60"/>
      <c r="H5054" s="60"/>
      <c r="I5054" s="60"/>
      <c r="J5054" s="60"/>
      <c r="K5054" s="60"/>
      <c r="L5054" s="60"/>
      <c r="M5054" s="64"/>
      <c r="N5054" s="33"/>
    </row>
    <row r="5055" ht="24" customHeight="1" spans="2:14">
      <c r="B5055" s="33"/>
      <c r="C5055" s="60"/>
      <c r="D5055" s="60"/>
      <c r="E5055" s="60"/>
      <c r="F5055" s="60"/>
      <c r="G5055" s="60"/>
      <c r="H5055" s="60"/>
      <c r="I5055" s="60"/>
      <c r="J5055" s="60"/>
      <c r="K5055" s="60"/>
      <c r="L5055" s="60"/>
      <c r="M5055" s="64"/>
      <c r="N5055" s="33"/>
    </row>
    <row r="5056" ht="24" customHeight="1" spans="2:14">
      <c r="B5056" s="33"/>
      <c r="C5056" s="60"/>
      <c r="D5056" s="60"/>
      <c r="E5056" s="60"/>
      <c r="F5056" s="60"/>
      <c r="G5056" s="60"/>
      <c r="H5056" s="60"/>
      <c r="I5056" s="60"/>
      <c r="J5056" s="60"/>
      <c r="K5056" s="60"/>
      <c r="L5056" s="60"/>
      <c r="M5056" s="64"/>
      <c r="N5056" s="33"/>
    </row>
    <row r="5057" ht="24" customHeight="1" spans="2:14">
      <c r="B5057" s="33"/>
      <c r="C5057" s="60"/>
      <c r="D5057" s="60"/>
      <c r="E5057" s="60"/>
      <c r="F5057" s="60"/>
      <c r="G5057" s="60"/>
      <c r="H5057" s="60"/>
      <c r="I5057" s="60"/>
      <c r="J5057" s="60"/>
      <c r="K5057" s="60"/>
      <c r="L5057" s="60"/>
      <c r="M5057" s="64"/>
      <c r="N5057" s="33"/>
    </row>
    <row r="5058" ht="24" customHeight="1" spans="2:14">
      <c r="B5058" s="33"/>
      <c r="C5058" s="60"/>
      <c r="D5058" s="60"/>
      <c r="E5058" s="60"/>
      <c r="F5058" s="60"/>
      <c r="G5058" s="60"/>
      <c r="H5058" s="60"/>
      <c r="I5058" s="60"/>
      <c r="J5058" s="60"/>
      <c r="K5058" s="60"/>
      <c r="L5058" s="60"/>
      <c r="M5058" s="64"/>
      <c r="N5058" s="33"/>
    </row>
    <row r="5059" ht="24" customHeight="1" spans="2:14">
      <c r="B5059" s="33"/>
      <c r="C5059" s="60"/>
      <c r="D5059" s="60"/>
      <c r="E5059" s="60"/>
      <c r="F5059" s="60"/>
      <c r="G5059" s="60"/>
      <c r="H5059" s="60"/>
      <c r="I5059" s="60"/>
      <c r="J5059" s="60"/>
      <c r="K5059" s="60"/>
      <c r="L5059" s="60"/>
      <c r="M5059" s="64"/>
      <c r="N5059" s="33"/>
    </row>
    <row r="5060" ht="24" customHeight="1" spans="2:14">
      <c r="B5060" s="33"/>
      <c r="C5060" s="60"/>
      <c r="D5060" s="60"/>
      <c r="E5060" s="60"/>
      <c r="F5060" s="60"/>
      <c r="G5060" s="60"/>
      <c r="H5060" s="60"/>
      <c r="I5060" s="60"/>
      <c r="J5060" s="60"/>
      <c r="K5060" s="60"/>
      <c r="L5060" s="60"/>
      <c r="M5060" s="64"/>
      <c r="N5060" s="33"/>
    </row>
    <row r="5061" ht="24" customHeight="1" spans="2:14">
      <c r="B5061" s="33"/>
      <c r="C5061" s="60"/>
      <c r="D5061" s="60"/>
      <c r="E5061" s="60"/>
      <c r="F5061" s="60"/>
      <c r="G5061" s="60"/>
      <c r="H5061" s="60"/>
      <c r="I5061" s="60"/>
      <c r="J5061" s="60"/>
      <c r="K5061" s="60"/>
      <c r="L5061" s="60"/>
      <c r="M5061" s="64"/>
      <c r="N5061" s="33"/>
    </row>
    <row r="5062" ht="24" customHeight="1" spans="2:14">
      <c r="B5062" s="33"/>
      <c r="C5062" s="60"/>
      <c r="D5062" s="60"/>
      <c r="E5062" s="60"/>
      <c r="F5062" s="60"/>
      <c r="G5062" s="60"/>
      <c r="H5062" s="60"/>
      <c r="I5062" s="60"/>
      <c r="J5062" s="60"/>
      <c r="K5062" s="60"/>
      <c r="L5062" s="60"/>
      <c r="M5062" s="64"/>
      <c r="N5062" s="33"/>
    </row>
    <row r="5063" ht="24" customHeight="1" spans="2:14">
      <c r="B5063" s="33"/>
      <c r="C5063" s="60"/>
      <c r="D5063" s="60"/>
      <c r="E5063" s="60"/>
      <c r="F5063" s="60"/>
      <c r="G5063" s="60"/>
      <c r="H5063" s="60"/>
      <c r="I5063" s="60"/>
      <c r="J5063" s="60"/>
      <c r="K5063" s="60"/>
      <c r="L5063" s="60"/>
      <c r="M5063" s="64"/>
      <c r="N5063" s="33"/>
    </row>
    <row r="5064" ht="24" customHeight="1" spans="2:14">
      <c r="B5064" s="33"/>
      <c r="C5064" s="60"/>
      <c r="D5064" s="60"/>
      <c r="E5064" s="60"/>
      <c r="F5064" s="60"/>
      <c r="G5064" s="60"/>
      <c r="H5064" s="60"/>
      <c r="I5064" s="60"/>
      <c r="J5064" s="60"/>
      <c r="K5064" s="60"/>
      <c r="L5064" s="60"/>
      <c r="M5064" s="64"/>
      <c r="N5064" s="33"/>
    </row>
    <row r="5065" ht="24" customHeight="1" spans="2:14">
      <c r="B5065" s="33"/>
      <c r="C5065" s="60"/>
      <c r="D5065" s="60"/>
      <c r="E5065" s="60"/>
      <c r="F5065" s="60"/>
      <c r="G5065" s="60"/>
      <c r="H5065" s="60"/>
      <c r="I5065" s="60"/>
      <c r="J5065" s="60"/>
      <c r="K5065" s="60"/>
      <c r="L5065" s="60"/>
      <c r="M5065" s="64"/>
      <c r="N5065" s="33"/>
    </row>
    <row r="5066" ht="24" customHeight="1" spans="2:14">
      <c r="B5066" s="33"/>
      <c r="C5066" s="60"/>
      <c r="D5066" s="60"/>
      <c r="E5066" s="60"/>
      <c r="F5066" s="60"/>
      <c r="G5066" s="60"/>
      <c r="H5066" s="60"/>
      <c r="I5066" s="60"/>
      <c r="J5066" s="60"/>
      <c r="K5066" s="60"/>
      <c r="L5066" s="60"/>
      <c r="M5066" s="64"/>
      <c r="N5066" s="33"/>
    </row>
    <row r="5067" ht="24" customHeight="1" spans="2:14">
      <c r="B5067" s="33"/>
      <c r="C5067" s="60"/>
      <c r="D5067" s="60"/>
      <c r="E5067" s="60"/>
      <c r="F5067" s="60"/>
      <c r="G5067" s="60"/>
      <c r="H5067" s="60"/>
      <c r="I5067" s="60"/>
      <c r="J5067" s="60"/>
      <c r="K5067" s="60"/>
      <c r="L5067" s="60"/>
      <c r="M5067" s="64"/>
      <c r="N5067" s="33"/>
    </row>
    <row r="5068" ht="24" customHeight="1" spans="2:14">
      <c r="B5068" s="33"/>
      <c r="C5068" s="60"/>
      <c r="D5068" s="60"/>
      <c r="E5068" s="60"/>
      <c r="F5068" s="60"/>
      <c r="G5068" s="60"/>
      <c r="H5068" s="60"/>
      <c r="I5068" s="60"/>
      <c r="J5068" s="60"/>
      <c r="K5068" s="60"/>
      <c r="L5068" s="60"/>
      <c r="M5068" s="64"/>
      <c r="N5068" s="33"/>
    </row>
    <row r="5069" ht="24" customHeight="1" spans="2:14">
      <c r="B5069" s="33"/>
      <c r="C5069" s="60"/>
      <c r="D5069" s="60"/>
      <c r="E5069" s="60"/>
      <c r="F5069" s="60"/>
      <c r="G5069" s="60"/>
      <c r="H5069" s="60"/>
      <c r="I5069" s="60"/>
      <c r="J5069" s="60"/>
      <c r="K5069" s="60"/>
      <c r="L5069" s="60"/>
      <c r="M5069" s="64"/>
      <c r="N5069" s="33"/>
    </row>
    <row r="5070" ht="24" customHeight="1" spans="2:14">
      <c r="B5070" s="33"/>
      <c r="C5070" s="60"/>
      <c r="D5070" s="60"/>
      <c r="E5070" s="60"/>
      <c r="F5070" s="60"/>
      <c r="G5070" s="60"/>
      <c r="H5070" s="60"/>
      <c r="I5070" s="60"/>
      <c r="J5070" s="60"/>
      <c r="K5070" s="60"/>
      <c r="L5070" s="60"/>
      <c r="M5070" s="64"/>
      <c r="N5070" s="33"/>
    </row>
    <row r="5071" ht="24" customHeight="1" spans="2:14">
      <c r="B5071" s="33"/>
      <c r="C5071" s="60"/>
      <c r="D5071" s="60"/>
      <c r="E5071" s="60"/>
      <c r="F5071" s="60"/>
      <c r="G5071" s="60"/>
      <c r="H5071" s="60"/>
      <c r="I5071" s="60"/>
      <c r="J5071" s="60"/>
      <c r="K5071" s="60"/>
      <c r="L5071" s="60"/>
      <c r="M5071" s="64"/>
      <c r="N5071" s="33"/>
    </row>
    <row r="5072" ht="24" customHeight="1" spans="2:14">
      <c r="B5072" s="33"/>
      <c r="C5072" s="60"/>
      <c r="D5072" s="60"/>
      <c r="E5072" s="60"/>
      <c r="F5072" s="60"/>
      <c r="G5072" s="60"/>
      <c r="H5072" s="60"/>
      <c r="I5072" s="60"/>
      <c r="J5072" s="60"/>
      <c r="K5072" s="60"/>
      <c r="L5072" s="60"/>
      <c r="M5072" s="64"/>
      <c r="N5072" s="33"/>
    </row>
    <row r="5073" ht="24" customHeight="1" spans="2:14">
      <c r="B5073" s="33"/>
      <c r="C5073" s="60"/>
      <c r="D5073" s="60"/>
      <c r="E5073" s="60"/>
      <c r="F5073" s="60"/>
      <c r="G5073" s="60"/>
      <c r="H5073" s="60"/>
      <c r="I5073" s="60"/>
      <c r="J5073" s="60"/>
      <c r="K5073" s="60"/>
      <c r="L5073" s="60"/>
      <c r="M5073" s="64"/>
      <c r="N5073" s="33"/>
    </row>
    <row r="5074" ht="24" customHeight="1" spans="2:14">
      <c r="B5074" s="33"/>
      <c r="C5074" s="60"/>
      <c r="D5074" s="60"/>
      <c r="E5074" s="60"/>
      <c r="F5074" s="60"/>
      <c r="G5074" s="60"/>
      <c r="H5074" s="60"/>
      <c r="I5074" s="60"/>
      <c r="J5074" s="60"/>
      <c r="K5074" s="60"/>
      <c r="L5074" s="60"/>
      <c r="M5074" s="64"/>
      <c r="N5074" s="33"/>
    </row>
    <row r="5075" ht="24" customHeight="1" spans="2:14">
      <c r="B5075" s="33"/>
      <c r="C5075" s="60"/>
      <c r="D5075" s="60"/>
      <c r="E5075" s="60"/>
      <c r="F5075" s="60"/>
      <c r="G5075" s="60"/>
      <c r="H5075" s="60"/>
      <c r="I5075" s="60"/>
      <c r="J5075" s="60"/>
      <c r="K5075" s="60"/>
      <c r="L5075" s="60"/>
      <c r="M5075" s="64"/>
      <c r="N5075" s="33"/>
    </row>
    <row r="5076" ht="24" customHeight="1" spans="2:14">
      <c r="B5076" s="33"/>
      <c r="C5076" s="60"/>
      <c r="D5076" s="60"/>
      <c r="E5076" s="60"/>
      <c r="F5076" s="60"/>
      <c r="G5076" s="60"/>
      <c r="H5076" s="60"/>
      <c r="I5076" s="60"/>
      <c r="J5076" s="60"/>
      <c r="K5076" s="60"/>
      <c r="L5076" s="60"/>
      <c r="M5076" s="64"/>
      <c r="N5076" s="33"/>
    </row>
    <row r="5077" ht="24" customHeight="1" spans="2:14">
      <c r="B5077" s="33"/>
      <c r="C5077" s="60"/>
      <c r="D5077" s="60"/>
      <c r="E5077" s="60"/>
      <c r="F5077" s="60"/>
      <c r="G5077" s="60"/>
      <c r="H5077" s="60"/>
      <c r="I5077" s="60"/>
      <c r="J5077" s="60"/>
      <c r="K5077" s="60"/>
      <c r="L5077" s="60"/>
      <c r="M5077" s="64"/>
      <c r="N5077" s="33"/>
    </row>
    <row r="5078" ht="24" customHeight="1" spans="2:14">
      <c r="B5078" s="33"/>
      <c r="C5078" s="60"/>
      <c r="D5078" s="60"/>
      <c r="E5078" s="60"/>
      <c r="F5078" s="60"/>
      <c r="G5078" s="60"/>
      <c r="H5078" s="60"/>
      <c r="I5078" s="60"/>
      <c r="J5078" s="60"/>
      <c r="K5078" s="60"/>
      <c r="L5078" s="60"/>
      <c r="M5078" s="64"/>
      <c r="N5078" s="33"/>
    </row>
    <row r="5079" ht="24" customHeight="1" spans="2:14">
      <c r="B5079" s="33"/>
      <c r="C5079" s="60"/>
      <c r="D5079" s="60"/>
      <c r="E5079" s="60"/>
      <c r="F5079" s="60"/>
      <c r="G5079" s="60"/>
      <c r="H5079" s="60"/>
      <c r="I5079" s="60"/>
      <c r="J5079" s="60"/>
      <c r="K5079" s="60"/>
      <c r="L5079" s="60"/>
      <c r="M5079" s="64"/>
      <c r="N5079" s="33"/>
    </row>
    <row r="5080" ht="24" customHeight="1" spans="2:14">
      <c r="B5080" s="33"/>
      <c r="C5080" s="60"/>
      <c r="D5080" s="60"/>
      <c r="E5080" s="60"/>
      <c r="F5080" s="60"/>
      <c r="G5080" s="60"/>
      <c r="H5080" s="60"/>
      <c r="I5080" s="60"/>
      <c r="J5080" s="60"/>
      <c r="K5080" s="60"/>
      <c r="L5080" s="60"/>
      <c r="M5080" s="64"/>
      <c r="N5080" s="33"/>
    </row>
    <row r="5081" ht="24" customHeight="1" spans="2:14">
      <c r="B5081" s="33"/>
      <c r="C5081" s="60"/>
      <c r="D5081" s="60"/>
      <c r="E5081" s="60"/>
      <c r="F5081" s="60"/>
      <c r="G5081" s="60"/>
      <c r="H5081" s="60"/>
      <c r="I5081" s="60"/>
      <c r="J5081" s="60"/>
      <c r="K5081" s="60"/>
      <c r="L5081" s="60"/>
      <c r="M5081" s="64"/>
      <c r="N5081" s="33"/>
    </row>
    <row r="5082" ht="24" customHeight="1" spans="2:14">
      <c r="B5082" s="33"/>
      <c r="C5082" s="60"/>
      <c r="D5082" s="60"/>
      <c r="E5082" s="60"/>
      <c r="F5082" s="60"/>
      <c r="G5082" s="60"/>
      <c r="H5082" s="60"/>
      <c r="I5082" s="60"/>
      <c r="J5082" s="60"/>
      <c r="K5082" s="60"/>
      <c r="L5082" s="60"/>
      <c r="M5082" s="64"/>
      <c r="N5082" s="33"/>
    </row>
    <row r="5083" ht="24" customHeight="1" spans="2:14">
      <c r="B5083" s="33"/>
      <c r="C5083" s="60"/>
      <c r="D5083" s="60"/>
      <c r="E5083" s="60"/>
      <c r="F5083" s="60"/>
      <c r="G5083" s="60"/>
      <c r="H5083" s="60"/>
      <c r="I5083" s="60"/>
      <c r="J5083" s="60"/>
      <c r="K5083" s="60"/>
      <c r="L5083" s="60"/>
      <c r="M5083" s="64"/>
      <c r="N5083" s="33"/>
    </row>
    <row r="5084" ht="24" customHeight="1" spans="2:14">
      <c r="B5084" s="33"/>
      <c r="C5084" s="60"/>
      <c r="D5084" s="60"/>
      <c r="E5084" s="60"/>
      <c r="F5084" s="60"/>
      <c r="G5084" s="60"/>
      <c r="H5084" s="60"/>
      <c r="I5084" s="60"/>
      <c r="J5084" s="60"/>
      <c r="K5084" s="60"/>
      <c r="L5084" s="60"/>
      <c r="M5084" s="64"/>
      <c r="N5084" s="33"/>
    </row>
    <row r="5085" ht="24" customHeight="1" spans="2:14">
      <c r="B5085" s="33"/>
      <c r="C5085" s="60"/>
      <c r="D5085" s="60"/>
      <c r="E5085" s="60"/>
      <c r="F5085" s="60"/>
      <c r="G5085" s="60"/>
      <c r="H5085" s="60"/>
      <c r="I5085" s="60"/>
      <c r="J5085" s="60"/>
      <c r="K5085" s="60"/>
      <c r="L5085" s="60"/>
      <c r="M5085" s="64"/>
      <c r="N5085" s="33"/>
    </row>
    <row r="5086" ht="24" customHeight="1" spans="2:14">
      <c r="B5086" s="33"/>
      <c r="C5086" s="60"/>
      <c r="D5086" s="60"/>
      <c r="E5086" s="60"/>
      <c r="F5086" s="60"/>
      <c r="G5086" s="60"/>
      <c r="H5086" s="60"/>
      <c r="I5086" s="60"/>
      <c r="J5086" s="60"/>
      <c r="K5086" s="60"/>
      <c r="L5086" s="60"/>
      <c r="M5086" s="64"/>
      <c r="N5086" s="33"/>
    </row>
    <row r="5087" ht="24" customHeight="1" spans="2:14">
      <c r="B5087" s="33"/>
      <c r="C5087" s="60"/>
      <c r="D5087" s="60"/>
      <c r="E5087" s="60"/>
      <c r="F5087" s="60"/>
      <c r="G5087" s="60"/>
      <c r="H5087" s="60"/>
      <c r="I5087" s="60"/>
      <c r="J5087" s="60"/>
      <c r="K5087" s="60"/>
      <c r="L5087" s="60"/>
      <c r="M5087" s="64"/>
      <c r="N5087" s="33"/>
    </row>
    <row r="5088" ht="24" customHeight="1" spans="2:14">
      <c r="B5088" s="33"/>
      <c r="C5088" s="60"/>
      <c r="D5088" s="60"/>
      <c r="E5088" s="60"/>
      <c r="F5088" s="60"/>
      <c r="G5088" s="60"/>
      <c r="H5088" s="60"/>
      <c r="I5088" s="60"/>
      <c r="J5088" s="60"/>
      <c r="K5088" s="60"/>
      <c r="L5088" s="60"/>
      <c r="M5088" s="64"/>
      <c r="N5088" s="33"/>
    </row>
    <row r="5089" ht="24" customHeight="1" spans="2:14">
      <c r="B5089" s="33"/>
      <c r="C5089" s="60"/>
      <c r="D5089" s="60"/>
      <c r="E5089" s="60"/>
      <c r="F5089" s="60"/>
      <c r="G5089" s="60"/>
      <c r="H5089" s="60"/>
      <c r="I5089" s="60"/>
      <c r="J5089" s="60"/>
      <c r="K5089" s="60"/>
      <c r="L5089" s="60"/>
      <c r="M5089" s="64"/>
      <c r="N5089" s="33"/>
    </row>
    <row r="5090" ht="24" customHeight="1" spans="2:14">
      <c r="B5090" s="33"/>
      <c r="C5090" s="60"/>
      <c r="D5090" s="60"/>
      <c r="E5090" s="60"/>
      <c r="F5090" s="60"/>
      <c r="G5090" s="60"/>
      <c r="H5090" s="60"/>
      <c r="I5090" s="60"/>
      <c r="J5090" s="60"/>
      <c r="K5090" s="60"/>
      <c r="L5090" s="60"/>
      <c r="M5090" s="64"/>
      <c r="N5090" s="33"/>
    </row>
    <row r="5091" ht="24" customHeight="1" spans="2:14">
      <c r="B5091" s="33"/>
      <c r="C5091" s="60"/>
      <c r="D5091" s="60"/>
      <c r="E5091" s="60"/>
      <c r="F5091" s="60"/>
      <c r="G5091" s="60"/>
      <c r="H5091" s="60"/>
      <c r="I5091" s="60"/>
      <c r="J5091" s="60"/>
      <c r="K5091" s="60"/>
      <c r="L5091" s="60"/>
      <c r="M5091" s="64"/>
      <c r="N5091" s="33"/>
    </row>
    <row r="5092" ht="24" customHeight="1" spans="2:14">
      <c r="B5092" s="33"/>
      <c r="C5092" s="60"/>
      <c r="D5092" s="60"/>
      <c r="E5092" s="60"/>
      <c r="F5092" s="60"/>
      <c r="G5092" s="60"/>
      <c r="H5092" s="60"/>
      <c r="I5092" s="60"/>
      <c r="J5092" s="60"/>
      <c r="K5092" s="60"/>
      <c r="L5092" s="60"/>
      <c r="M5092" s="64"/>
      <c r="N5092" s="33"/>
    </row>
    <row r="5093" ht="24" customHeight="1" spans="2:14">
      <c r="B5093" s="33"/>
      <c r="C5093" s="60"/>
      <c r="D5093" s="60"/>
      <c r="E5093" s="60"/>
      <c r="F5093" s="60"/>
      <c r="G5093" s="60"/>
      <c r="H5093" s="60"/>
      <c r="I5093" s="60"/>
      <c r="J5093" s="60"/>
      <c r="K5093" s="60"/>
      <c r="L5093" s="60"/>
      <c r="M5093" s="64"/>
      <c r="N5093" s="33"/>
    </row>
    <row r="5094" ht="24" customHeight="1" spans="2:14">
      <c r="B5094" s="33"/>
      <c r="C5094" s="60"/>
      <c r="D5094" s="60"/>
      <c r="E5094" s="60"/>
      <c r="F5094" s="60"/>
      <c r="G5094" s="60"/>
      <c r="H5094" s="60"/>
      <c r="I5094" s="60"/>
      <c r="J5094" s="60"/>
      <c r="K5094" s="60"/>
      <c r="L5094" s="60"/>
      <c r="M5094" s="64"/>
      <c r="N5094" s="33"/>
    </row>
    <row r="5095" ht="24" customHeight="1" spans="2:14">
      <c r="B5095" s="33"/>
      <c r="C5095" s="60"/>
      <c r="D5095" s="60"/>
      <c r="E5095" s="60"/>
      <c r="F5095" s="60"/>
      <c r="G5095" s="60"/>
      <c r="H5095" s="60"/>
      <c r="I5095" s="60"/>
      <c r="J5095" s="60"/>
      <c r="K5095" s="60"/>
      <c r="L5095" s="60"/>
      <c r="M5095" s="64"/>
      <c r="N5095" s="33"/>
    </row>
    <row r="5096" ht="24" customHeight="1" spans="2:14">
      <c r="B5096" s="33"/>
      <c r="C5096" s="60"/>
      <c r="D5096" s="60"/>
      <c r="E5096" s="60"/>
      <c r="F5096" s="60"/>
      <c r="G5096" s="60"/>
      <c r="H5096" s="60"/>
      <c r="I5096" s="60"/>
      <c r="J5096" s="60"/>
      <c r="K5096" s="60"/>
      <c r="L5096" s="60"/>
      <c r="M5096" s="64"/>
      <c r="N5096" s="33"/>
    </row>
    <row r="5097" ht="24" customHeight="1" spans="2:14">
      <c r="B5097" s="33"/>
      <c r="C5097" s="60"/>
      <c r="D5097" s="60"/>
      <c r="E5097" s="60"/>
      <c r="F5097" s="60"/>
      <c r="G5097" s="60"/>
      <c r="H5097" s="60"/>
      <c r="I5097" s="60"/>
      <c r="J5097" s="60"/>
      <c r="K5097" s="60"/>
      <c r="L5097" s="60"/>
      <c r="M5097" s="64"/>
      <c r="N5097" s="33"/>
    </row>
    <row r="5098" ht="24" customHeight="1" spans="2:14">
      <c r="B5098" s="33"/>
      <c r="C5098" s="60"/>
      <c r="D5098" s="60"/>
      <c r="E5098" s="60"/>
      <c r="F5098" s="60"/>
      <c r="G5098" s="60"/>
      <c r="H5098" s="60"/>
      <c r="I5098" s="60"/>
      <c r="J5098" s="60"/>
      <c r="K5098" s="60"/>
      <c r="L5098" s="60"/>
      <c r="M5098" s="64"/>
      <c r="N5098" s="33"/>
    </row>
    <row r="5099" ht="24" customHeight="1" spans="2:14">
      <c r="B5099" s="33"/>
      <c r="C5099" s="60"/>
      <c r="D5099" s="60"/>
      <c r="E5099" s="60"/>
      <c r="F5099" s="60"/>
      <c r="G5099" s="60"/>
      <c r="H5099" s="60"/>
      <c r="I5099" s="60"/>
      <c r="J5099" s="60"/>
      <c r="K5099" s="60"/>
      <c r="L5099" s="60"/>
      <c r="M5099" s="64"/>
      <c r="N5099" s="33"/>
    </row>
    <row r="5100" ht="24" customHeight="1" spans="2:14">
      <c r="B5100" s="33"/>
      <c r="C5100" s="60"/>
      <c r="D5100" s="60"/>
      <c r="E5100" s="60"/>
      <c r="F5100" s="60"/>
      <c r="G5100" s="60"/>
      <c r="H5100" s="60"/>
      <c r="I5100" s="60"/>
      <c r="J5100" s="60"/>
      <c r="K5100" s="60"/>
      <c r="L5100" s="60"/>
      <c r="M5100" s="64"/>
      <c r="N5100" s="33"/>
    </row>
    <row r="5101" ht="24" customHeight="1" spans="2:14">
      <c r="B5101" s="33"/>
      <c r="C5101" s="60"/>
      <c r="D5101" s="60"/>
      <c r="E5101" s="60"/>
      <c r="F5101" s="60"/>
      <c r="G5101" s="60"/>
      <c r="H5101" s="60"/>
      <c r="I5101" s="60"/>
      <c r="J5101" s="60"/>
      <c r="K5101" s="60"/>
      <c r="L5101" s="60"/>
      <c r="M5101" s="64"/>
      <c r="N5101" s="33"/>
    </row>
    <row r="5102" ht="24" customHeight="1" spans="2:14">
      <c r="B5102" s="33"/>
      <c r="C5102" s="60"/>
      <c r="D5102" s="60"/>
      <c r="E5102" s="60"/>
      <c r="F5102" s="60"/>
      <c r="G5102" s="60"/>
      <c r="H5102" s="60"/>
      <c r="I5102" s="60"/>
      <c r="J5102" s="60"/>
      <c r="K5102" s="60"/>
      <c r="L5102" s="60"/>
      <c r="M5102" s="64"/>
      <c r="N5102" s="33"/>
    </row>
    <row r="5103" ht="24" customHeight="1" spans="2:14">
      <c r="B5103" s="33"/>
      <c r="C5103" s="60"/>
      <c r="D5103" s="60"/>
      <c r="E5103" s="60"/>
      <c r="F5103" s="60"/>
      <c r="G5103" s="60"/>
      <c r="H5103" s="60"/>
      <c r="I5103" s="60"/>
      <c r="J5103" s="60"/>
      <c r="K5103" s="60"/>
      <c r="L5103" s="60"/>
      <c r="M5103" s="64"/>
      <c r="N5103" s="33"/>
    </row>
    <row r="5104" ht="24" customHeight="1" spans="2:14">
      <c r="B5104" s="33"/>
      <c r="C5104" s="60"/>
      <c r="D5104" s="60"/>
      <c r="E5104" s="60"/>
      <c r="F5104" s="60"/>
      <c r="G5104" s="60"/>
      <c r="H5104" s="60"/>
      <c r="I5104" s="60"/>
      <c r="J5104" s="60"/>
      <c r="K5104" s="60"/>
      <c r="L5104" s="60"/>
      <c r="M5104" s="64"/>
      <c r="N5104" s="33"/>
    </row>
    <row r="5105" ht="24" customHeight="1" spans="2:14">
      <c r="B5105" s="33"/>
      <c r="C5105" s="60"/>
      <c r="D5105" s="60"/>
      <c r="E5105" s="60"/>
      <c r="F5105" s="60"/>
      <c r="G5105" s="60"/>
      <c r="H5105" s="60"/>
      <c r="I5105" s="60"/>
      <c r="J5105" s="60"/>
      <c r="K5105" s="60"/>
      <c r="L5105" s="60"/>
      <c r="M5105" s="64"/>
      <c r="N5105" s="33"/>
    </row>
    <row r="5106" ht="24" customHeight="1" spans="2:14">
      <c r="B5106" s="33"/>
      <c r="C5106" s="60"/>
      <c r="D5106" s="60"/>
      <c r="E5106" s="60"/>
      <c r="F5106" s="60"/>
      <c r="G5106" s="60"/>
      <c r="H5106" s="60"/>
      <c r="I5106" s="60"/>
      <c r="J5106" s="60"/>
      <c r="K5106" s="60"/>
      <c r="L5106" s="60"/>
      <c r="M5106" s="64"/>
      <c r="N5106" s="33"/>
    </row>
    <row r="5107" ht="24" customHeight="1" spans="2:14">
      <c r="B5107" s="33"/>
      <c r="C5107" s="60"/>
      <c r="D5107" s="60"/>
      <c r="E5107" s="60"/>
      <c r="F5107" s="60"/>
      <c r="G5107" s="60"/>
      <c r="H5107" s="60"/>
      <c r="I5107" s="60"/>
      <c r="J5107" s="60"/>
      <c r="K5107" s="60"/>
      <c r="L5107" s="60"/>
      <c r="M5107" s="64"/>
      <c r="N5107" s="33"/>
    </row>
    <row r="5108" ht="24" customHeight="1" spans="2:14">
      <c r="B5108" s="33"/>
      <c r="C5108" s="60"/>
      <c r="D5108" s="60"/>
      <c r="E5108" s="60"/>
      <c r="F5108" s="60"/>
      <c r="G5108" s="60"/>
      <c r="H5108" s="60"/>
      <c r="I5108" s="60"/>
      <c r="J5108" s="60"/>
      <c r="K5108" s="60"/>
      <c r="L5108" s="60"/>
      <c r="M5108" s="64"/>
      <c r="N5108" s="33"/>
    </row>
    <row r="5109" ht="24" customHeight="1" spans="2:14">
      <c r="B5109" s="33"/>
      <c r="C5109" s="60"/>
      <c r="D5109" s="60"/>
      <c r="E5109" s="60"/>
      <c r="F5109" s="60"/>
      <c r="G5109" s="60"/>
      <c r="H5109" s="60"/>
      <c r="I5109" s="60"/>
      <c r="J5109" s="60"/>
      <c r="K5109" s="60"/>
      <c r="L5109" s="60"/>
      <c r="M5109" s="64"/>
      <c r="N5109" s="33"/>
    </row>
    <row r="5110" ht="24" customHeight="1" spans="2:14">
      <c r="B5110" s="33"/>
      <c r="C5110" s="60"/>
      <c r="D5110" s="60"/>
      <c r="E5110" s="60"/>
      <c r="F5110" s="60"/>
      <c r="G5110" s="60"/>
      <c r="H5110" s="60"/>
      <c r="I5110" s="60"/>
      <c r="J5110" s="60"/>
      <c r="K5110" s="60"/>
      <c r="L5110" s="60"/>
      <c r="M5110" s="64"/>
      <c r="N5110" s="33"/>
    </row>
    <row r="5111" ht="24" customHeight="1" spans="2:14">
      <c r="B5111" s="33"/>
      <c r="C5111" s="60"/>
      <c r="D5111" s="60"/>
      <c r="E5111" s="60"/>
      <c r="F5111" s="60"/>
      <c r="G5111" s="60"/>
      <c r="H5111" s="60"/>
      <c r="I5111" s="60"/>
      <c r="J5111" s="60"/>
      <c r="K5111" s="60"/>
      <c r="L5111" s="60"/>
      <c r="M5111" s="64"/>
      <c r="N5111" s="33"/>
    </row>
    <row r="5112" ht="24" customHeight="1" spans="2:14">
      <c r="B5112" s="33"/>
      <c r="C5112" s="60"/>
      <c r="D5112" s="60"/>
      <c r="E5112" s="60"/>
      <c r="F5112" s="60"/>
      <c r="G5112" s="60"/>
      <c r="H5112" s="60"/>
      <c r="I5112" s="60"/>
      <c r="J5112" s="60"/>
      <c r="K5112" s="60"/>
      <c r="L5112" s="60"/>
      <c r="M5112" s="64"/>
      <c r="N5112" s="33"/>
    </row>
    <row r="5113" ht="24" customHeight="1" spans="2:14">
      <c r="B5113" s="33"/>
      <c r="C5113" s="60"/>
      <c r="D5113" s="60"/>
      <c r="E5113" s="60"/>
      <c r="F5113" s="60"/>
      <c r="G5113" s="60"/>
      <c r="H5113" s="60"/>
      <c r="I5113" s="60"/>
      <c r="J5113" s="60"/>
      <c r="K5113" s="60"/>
      <c r="L5113" s="60"/>
      <c r="M5113" s="64"/>
      <c r="N5113" s="33"/>
    </row>
    <row r="5114" ht="24" customHeight="1" spans="2:14">
      <c r="B5114" s="33"/>
      <c r="C5114" s="60"/>
      <c r="D5114" s="60"/>
      <c r="E5114" s="60"/>
      <c r="F5114" s="60"/>
      <c r="G5114" s="60"/>
      <c r="H5114" s="60"/>
      <c r="I5114" s="60"/>
      <c r="J5114" s="60"/>
      <c r="K5114" s="60"/>
      <c r="L5114" s="60"/>
      <c r="M5114" s="64"/>
      <c r="N5114" s="33"/>
    </row>
    <row r="5115" ht="24" customHeight="1" spans="2:14">
      <c r="B5115" s="33"/>
      <c r="C5115" s="60"/>
      <c r="D5115" s="60"/>
      <c r="E5115" s="60"/>
      <c r="F5115" s="60"/>
      <c r="G5115" s="60"/>
      <c r="H5115" s="60"/>
      <c r="I5115" s="60"/>
      <c r="J5115" s="60"/>
      <c r="K5115" s="60"/>
      <c r="L5115" s="60"/>
      <c r="M5115" s="64"/>
      <c r="N5115" s="33"/>
    </row>
    <row r="5116" ht="24" customHeight="1" spans="2:14">
      <c r="B5116" s="33"/>
      <c r="C5116" s="60"/>
      <c r="D5116" s="60"/>
      <c r="E5116" s="60"/>
      <c r="F5116" s="60"/>
      <c r="G5116" s="60"/>
      <c r="H5116" s="60"/>
      <c r="I5116" s="60"/>
      <c r="J5116" s="60"/>
      <c r="K5116" s="60"/>
      <c r="L5116" s="60"/>
      <c r="M5116" s="64"/>
      <c r="N5116" s="33"/>
    </row>
    <row r="5117" ht="24" customHeight="1" spans="2:14">
      <c r="B5117" s="33"/>
      <c r="C5117" s="60"/>
      <c r="D5117" s="60"/>
      <c r="E5117" s="60"/>
      <c r="F5117" s="60"/>
      <c r="G5117" s="60"/>
      <c r="H5117" s="60"/>
      <c r="I5117" s="60"/>
      <c r="J5117" s="60"/>
      <c r="K5117" s="60"/>
      <c r="L5117" s="60"/>
      <c r="M5117" s="64"/>
      <c r="N5117" s="33"/>
    </row>
    <row r="5118" ht="24" customHeight="1" spans="2:14">
      <c r="B5118" s="33"/>
      <c r="C5118" s="60"/>
      <c r="D5118" s="60"/>
      <c r="E5118" s="60"/>
      <c r="F5118" s="60"/>
      <c r="G5118" s="60"/>
      <c r="H5118" s="60"/>
      <c r="I5118" s="60"/>
      <c r="J5118" s="60"/>
      <c r="K5118" s="60"/>
      <c r="L5118" s="60"/>
      <c r="M5118" s="64"/>
      <c r="N5118" s="33"/>
    </row>
    <row r="5119" ht="24" customHeight="1" spans="2:14">
      <c r="B5119" s="33"/>
      <c r="C5119" s="60"/>
      <c r="D5119" s="60"/>
      <c r="E5119" s="60"/>
      <c r="F5119" s="60"/>
      <c r="G5119" s="60"/>
      <c r="H5119" s="60"/>
      <c r="I5119" s="60"/>
      <c r="J5119" s="60"/>
      <c r="K5119" s="60"/>
      <c r="L5119" s="60"/>
      <c r="M5119" s="64"/>
      <c r="N5119" s="33"/>
    </row>
    <row r="5120" ht="24" customHeight="1" spans="2:14">
      <c r="B5120" s="33"/>
      <c r="C5120" s="60"/>
      <c r="D5120" s="60"/>
      <c r="E5120" s="60"/>
      <c r="F5120" s="60"/>
      <c r="G5120" s="60"/>
      <c r="H5120" s="60"/>
      <c r="I5120" s="60"/>
      <c r="J5120" s="60"/>
      <c r="K5120" s="60"/>
      <c r="L5120" s="60"/>
      <c r="M5120" s="64"/>
      <c r="N5120" s="33"/>
    </row>
    <row r="5121" ht="24" customHeight="1" spans="2:14">
      <c r="B5121" s="33"/>
      <c r="C5121" s="60"/>
      <c r="D5121" s="60"/>
      <c r="E5121" s="60"/>
      <c r="F5121" s="60"/>
      <c r="G5121" s="60"/>
      <c r="H5121" s="60"/>
      <c r="I5121" s="60"/>
      <c r="J5121" s="60"/>
      <c r="K5121" s="60"/>
      <c r="L5121" s="60"/>
      <c r="M5121" s="64"/>
      <c r="N5121" s="33"/>
    </row>
    <row r="5122" ht="24" customHeight="1" spans="2:14">
      <c r="B5122" s="33"/>
      <c r="C5122" s="60"/>
      <c r="D5122" s="60"/>
      <c r="E5122" s="60"/>
      <c r="F5122" s="60"/>
      <c r="G5122" s="60"/>
      <c r="H5122" s="60"/>
      <c r="I5122" s="60"/>
      <c r="J5122" s="60"/>
      <c r="K5122" s="60"/>
      <c r="L5122" s="60"/>
      <c r="M5122" s="64"/>
      <c r="N5122" s="33"/>
    </row>
    <row r="5123" ht="24" customHeight="1" spans="2:14">
      <c r="B5123" s="33"/>
      <c r="C5123" s="60"/>
      <c r="D5123" s="60"/>
      <c r="E5123" s="60"/>
      <c r="F5123" s="60"/>
      <c r="G5123" s="60"/>
      <c r="H5123" s="60"/>
      <c r="I5123" s="60"/>
      <c r="J5123" s="60"/>
      <c r="K5123" s="60"/>
      <c r="L5123" s="60"/>
      <c r="M5123" s="64"/>
      <c r="N5123" s="33"/>
    </row>
    <row r="5124" ht="24" customHeight="1" spans="2:14">
      <c r="B5124" s="33"/>
      <c r="C5124" s="60"/>
      <c r="D5124" s="60"/>
      <c r="E5124" s="60"/>
      <c r="F5124" s="60"/>
      <c r="G5124" s="60"/>
      <c r="H5124" s="60"/>
      <c r="I5124" s="60"/>
      <c r="J5124" s="60"/>
      <c r="K5124" s="60"/>
      <c r="L5124" s="60"/>
      <c r="M5124" s="64"/>
      <c r="N5124" s="33"/>
    </row>
    <row r="5125" ht="24" customHeight="1" spans="2:14">
      <c r="B5125" s="33"/>
      <c r="C5125" s="60"/>
      <c r="D5125" s="60"/>
      <c r="E5125" s="60"/>
      <c r="F5125" s="60"/>
      <c r="G5125" s="60"/>
      <c r="H5125" s="60"/>
      <c r="I5125" s="60"/>
      <c r="J5125" s="60"/>
      <c r="K5125" s="60"/>
      <c r="L5125" s="60"/>
      <c r="M5125" s="64"/>
      <c r="N5125" s="33"/>
    </row>
    <row r="5126" ht="24" customHeight="1" spans="2:14">
      <c r="B5126" s="33"/>
      <c r="C5126" s="60"/>
      <c r="D5126" s="60"/>
      <c r="E5126" s="60"/>
      <c r="F5126" s="60"/>
      <c r="G5126" s="60"/>
      <c r="H5126" s="60"/>
      <c r="I5126" s="60"/>
      <c r="J5126" s="60"/>
      <c r="K5126" s="60"/>
      <c r="L5126" s="60"/>
      <c r="M5126" s="64"/>
      <c r="N5126" s="33"/>
    </row>
    <row r="5127" ht="24" customHeight="1" spans="2:14">
      <c r="B5127" s="33"/>
      <c r="C5127" s="60"/>
      <c r="D5127" s="60"/>
      <c r="E5127" s="60"/>
      <c r="F5127" s="60"/>
      <c r="G5127" s="60"/>
      <c r="H5127" s="60"/>
      <c r="I5127" s="60"/>
      <c r="J5127" s="60"/>
      <c r="K5127" s="60"/>
      <c r="L5127" s="60"/>
      <c r="M5127" s="64"/>
      <c r="N5127" s="33"/>
    </row>
    <row r="5128" ht="24" customHeight="1" spans="2:14">
      <c r="B5128" s="33"/>
      <c r="C5128" s="60"/>
      <c r="D5128" s="60"/>
      <c r="E5128" s="60"/>
      <c r="F5128" s="60"/>
      <c r="G5128" s="60"/>
      <c r="H5128" s="60"/>
      <c r="I5128" s="60"/>
      <c r="J5128" s="60"/>
      <c r="K5128" s="60"/>
      <c r="L5128" s="60"/>
      <c r="M5128" s="64"/>
      <c r="N5128" s="33"/>
    </row>
    <row r="5129" ht="24" customHeight="1" spans="2:14">
      <c r="B5129" s="33"/>
      <c r="C5129" s="60"/>
      <c r="D5129" s="60"/>
      <c r="E5129" s="60"/>
      <c r="F5129" s="60"/>
      <c r="G5129" s="60"/>
      <c r="H5129" s="60"/>
      <c r="I5129" s="60"/>
      <c r="J5129" s="60"/>
      <c r="K5129" s="60"/>
      <c r="L5129" s="60"/>
      <c r="M5129" s="64"/>
      <c r="N5129" s="33"/>
    </row>
    <row r="5130" ht="24" customHeight="1" spans="2:14">
      <c r="B5130" s="33"/>
      <c r="C5130" s="60"/>
      <c r="D5130" s="60"/>
      <c r="E5130" s="60"/>
      <c r="F5130" s="60"/>
      <c r="G5130" s="60"/>
      <c r="H5130" s="60"/>
      <c r="I5130" s="60"/>
      <c r="J5130" s="60"/>
      <c r="K5130" s="60"/>
      <c r="L5130" s="60"/>
      <c r="M5130" s="64"/>
      <c r="N5130" s="33"/>
    </row>
    <row r="5131" ht="24" customHeight="1" spans="2:14">
      <c r="B5131" s="33"/>
      <c r="C5131" s="60"/>
      <c r="D5131" s="60"/>
      <c r="E5131" s="60"/>
      <c r="F5131" s="60"/>
      <c r="G5131" s="60"/>
      <c r="H5131" s="60"/>
      <c r="I5131" s="60"/>
      <c r="J5131" s="60"/>
      <c r="K5131" s="60"/>
      <c r="L5131" s="60"/>
      <c r="M5131" s="64"/>
      <c r="N5131" s="33"/>
    </row>
    <row r="5132" ht="24" customHeight="1" spans="2:14">
      <c r="B5132" s="33"/>
      <c r="C5132" s="60"/>
      <c r="D5132" s="60"/>
      <c r="E5132" s="60"/>
      <c r="F5132" s="60"/>
      <c r="G5132" s="60"/>
      <c r="H5132" s="60"/>
      <c r="I5132" s="60"/>
      <c r="J5132" s="60"/>
      <c r="K5132" s="60"/>
      <c r="L5132" s="60"/>
      <c r="M5132" s="64"/>
      <c r="N5132" s="33"/>
    </row>
    <row r="5133" ht="24" customHeight="1" spans="2:14">
      <c r="B5133" s="33"/>
      <c r="C5133" s="60"/>
      <c r="D5133" s="60"/>
      <c r="E5133" s="60"/>
      <c r="F5133" s="60"/>
      <c r="G5133" s="60"/>
      <c r="H5133" s="60"/>
      <c r="I5133" s="60"/>
      <c r="J5133" s="60"/>
      <c r="K5133" s="60"/>
      <c r="L5133" s="60"/>
      <c r="M5133" s="64"/>
      <c r="N5133" s="33"/>
    </row>
    <row r="5134" ht="24" customHeight="1" spans="2:14">
      <c r="B5134" s="33"/>
      <c r="C5134" s="60"/>
      <c r="D5134" s="60"/>
      <c r="E5134" s="60"/>
      <c r="F5134" s="60"/>
      <c r="G5134" s="60"/>
      <c r="H5134" s="60"/>
      <c r="I5134" s="60"/>
      <c r="J5134" s="60"/>
      <c r="K5134" s="60"/>
      <c r="L5134" s="60"/>
      <c r="M5134" s="64"/>
      <c r="N5134" s="33"/>
    </row>
    <row r="5135" ht="24" customHeight="1" spans="2:14">
      <c r="B5135" s="33"/>
      <c r="C5135" s="60"/>
      <c r="D5135" s="60"/>
      <c r="E5135" s="60"/>
      <c r="F5135" s="60"/>
      <c r="G5135" s="60"/>
      <c r="H5135" s="60"/>
      <c r="I5135" s="60"/>
      <c r="J5135" s="60"/>
      <c r="K5135" s="60"/>
      <c r="L5135" s="60"/>
      <c r="M5135" s="64"/>
      <c r="N5135" s="33"/>
    </row>
    <row r="5136" ht="24" customHeight="1" spans="2:14">
      <c r="B5136" s="33"/>
      <c r="C5136" s="60"/>
      <c r="D5136" s="60"/>
      <c r="E5136" s="60"/>
      <c r="F5136" s="60"/>
      <c r="G5136" s="60"/>
      <c r="H5136" s="60"/>
      <c r="I5136" s="60"/>
      <c r="J5136" s="60"/>
      <c r="K5136" s="60"/>
      <c r="L5136" s="60"/>
      <c r="M5136" s="64"/>
      <c r="N5136" s="33"/>
    </row>
    <row r="5137" ht="24" customHeight="1" spans="2:14">
      <c r="B5137" s="33"/>
      <c r="C5137" s="60"/>
      <c r="D5137" s="60"/>
      <c r="E5137" s="60"/>
      <c r="F5137" s="60"/>
      <c r="G5137" s="60"/>
      <c r="H5137" s="60"/>
      <c r="I5137" s="60"/>
      <c r="J5137" s="60"/>
      <c r="K5137" s="60"/>
      <c r="L5137" s="60"/>
      <c r="M5137" s="64"/>
      <c r="N5137" s="33"/>
    </row>
    <row r="5138" ht="24" customHeight="1" spans="2:14">
      <c r="B5138" s="33"/>
      <c r="C5138" s="60"/>
      <c r="D5138" s="60"/>
      <c r="E5138" s="60"/>
      <c r="F5138" s="60"/>
      <c r="G5138" s="60"/>
      <c r="H5138" s="60"/>
      <c r="I5138" s="60"/>
      <c r="J5138" s="60"/>
      <c r="K5138" s="60"/>
      <c r="L5138" s="60"/>
      <c r="M5138" s="64"/>
      <c r="N5138" s="33"/>
    </row>
    <row r="5139" ht="24" customHeight="1" spans="2:14">
      <c r="B5139" s="33"/>
      <c r="C5139" s="60"/>
      <c r="D5139" s="60"/>
      <c r="E5139" s="60"/>
      <c r="F5139" s="60"/>
      <c r="G5139" s="60"/>
      <c r="H5139" s="60"/>
      <c r="I5139" s="60"/>
      <c r="J5139" s="60"/>
      <c r="K5139" s="60"/>
      <c r="L5139" s="60"/>
      <c r="M5139" s="64"/>
      <c r="N5139" s="33"/>
    </row>
    <row r="5140" ht="24" customHeight="1" spans="2:14">
      <c r="B5140" s="33"/>
      <c r="C5140" s="60"/>
      <c r="D5140" s="60"/>
      <c r="E5140" s="60"/>
      <c r="F5140" s="60"/>
      <c r="G5140" s="60"/>
      <c r="H5140" s="60"/>
      <c r="I5140" s="60"/>
      <c r="J5140" s="60"/>
      <c r="K5140" s="60"/>
      <c r="L5140" s="60"/>
      <c r="M5140" s="64"/>
      <c r="N5140" s="33"/>
    </row>
    <row r="5141" ht="24" customHeight="1" spans="2:14">
      <c r="B5141" s="33"/>
      <c r="C5141" s="60"/>
      <c r="D5141" s="60"/>
      <c r="E5141" s="60"/>
      <c r="F5141" s="60"/>
      <c r="G5141" s="60"/>
      <c r="H5141" s="60"/>
      <c r="I5141" s="60"/>
      <c r="J5141" s="60"/>
      <c r="K5141" s="60"/>
      <c r="L5141" s="60"/>
      <c r="M5141" s="64"/>
      <c r="N5141" s="33"/>
    </row>
    <row r="5142" ht="24" customHeight="1" spans="2:14">
      <c r="B5142" s="33"/>
      <c r="C5142" s="60"/>
      <c r="D5142" s="60"/>
      <c r="E5142" s="60"/>
      <c r="F5142" s="60"/>
      <c r="G5142" s="60"/>
      <c r="H5142" s="60"/>
      <c r="I5142" s="60"/>
      <c r="J5142" s="60"/>
      <c r="K5142" s="60"/>
      <c r="L5142" s="60"/>
      <c r="M5142" s="64"/>
      <c r="N5142" s="33"/>
    </row>
    <row r="5143" ht="24" customHeight="1" spans="2:14">
      <c r="B5143" s="33"/>
      <c r="C5143" s="60"/>
      <c r="D5143" s="60"/>
      <c r="E5143" s="60"/>
      <c r="F5143" s="60"/>
      <c r="G5143" s="60"/>
      <c r="H5143" s="60"/>
      <c r="I5143" s="60"/>
      <c r="J5143" s="60"/>
      <c r="K5143" s="60"/>
      <c r="L5143" s="60"/>
      <c r="M5143" s="64"/>
      <c r="N5143" s="33"/>
    </row>
    <row r="5144" ht="24" customHeight="1" spans="2:14">
      <c r="B5144" s="33"/>
      <c r="C5144" s="60"/>
      <c r="D5144" s="60"/>
      <c r="E5144" s="60"/>
      <c r="F5144" s="60"/>
      <c r="G5144" s="60"/>
      <c r="H5144" s="60"/>
      <c r="I5144" s="60"/>
      <c r="J5144" s="60"/>
      <c r="K5144" s="60"/>
      <c r="L5144" s="60"/>
      <c r="M5144" s="64"/>
      <c r="N5144" s="33"/>
    </row>
    <row r="5145" ht="24" customHeight="1" spans="2:14">
      <c r="B5145" s="33"/>
      <c r="C5145" s="60"/>
      <c r="D5145" s="60"/>
      <c r="E5145" s="60"/>
      <c r="F5145" s="60"/>
      <c r="G5145" s="60"/>
      <c r="H5145" s="60"/>
      <c r="I5145" s="60"/>
      <c r="J5145" s="60"/>
      <c r="K5145" s="60"/>
      <c r="L5145" s="60"/>
      <c r="M5145" s="64"/>
      <c r="N5145" s="33"/>
    </row>
    <row r="5146" ht="24" customHeight="1" spans="2:14">
      <c r="B5146" s="33"/>
      <c r="C5146" s="60"/>
      <c r="D5146" s="60"/>
      <c r="E5146" s="60"/>
      <c r="F5146" s="60"/>
      <c r="G5146" s="60"/>
      <c r="H5146" s="60"/>
      <c r="I5146" s="60"/>
      <c r="J5146" s="60"/>
      <c r="K5146" s="60"/>
      <c r="L5146" s="60"/>
      <c r="M5146" s="64"/>
      <c r="N5146" s="33"/>
    </row>
    <row r="5147" ht="24" customHeight="1" spans="2:14">
      <c r="B5147" s="33"/>
      <c r="C5147" s="60"/>
      <c r="D5147" s="60"/>
      <c r="E5147" s="60"/>
      <c r="F5147" s="60"/>
      <c r="G5147" s="60"/>
      <c r="H5147" s="60"/>
      <c r="I5147" s="60"/>
      <c r="J5147" s="60"/>
      <c r="K5147" s="60"/>
      <c r="L5147" s="60"/>
      <c r="M5147" s="64"/>
      <c r="N5147" s="33"/>
    </row>
    <row r="5148" ht="24" customHeight="1" spans="2:14">
      <c r="B5148" s="33"/>
      <c r="C5148" s="60"/>
      <c r="D5148" s="60"/>
      <c r="E5148" s="60"/>
      <c r="F5148" s="60"/>
      <c r="G5148" s="60"/>
      <c r="H5148" s="60"/>
      <c r="I5148" s="60"/>
      <c r="J5148" s="60"/>
      <c r="K5148" s="60"/>
      <c r="L5148" s="60"/>
      <c r="M5148" s="64"/>
      <c r="N5148" s="33"/>
    </row>
    <row r="5149" ht="24" customHeight="1" spans="2:14">
      <c r="B5149" s="33"/>
      <c r="C5149" s="60"/>
      <c r="D5149" s="60"/>
      <c r="E5149" s="60"/>
      <c r="F5149" s="60"/>
      <c r="G5149" s="60"/>
      <c r="H5149" s="60"/>
      <c r="I5149" s="60"/>
      <c r="J5149" s="60"/>
      <c r="K5149" s="60"/>
      <c r="L5149" s="60"/>
      <c r="M5149" s="64"/>
      <c r="N5149" s="33"/>
    </row>
    <row r="5150" ht="24" customHeight="1" spans="2:14">
      <c r="B5150" s="33"/>
      <c r="C5150" s="60"/>
      <c r="D5150" s="60"/>
      <c r="E5150" s="60"/>
      <c r="F5150" s="60"/>
      <c r="G5150" s="60"/>
      <c r="H5150" s="60"/>
      <c r="I5150" s="60"/>
      <c r="J5150" s="60"/>
      <c r="K5150" s="60"/>
      <c r="L5150" s="60"/>
      <c r="M5150" s="64"/>
      <c r="N5150" s="33"/>
    </row>
    <row r="5151" ht="24" customHeight="1" spans="2:14">
      <c r="B5151" s="33"/>
      <c r="C5151" s="60"/>
      <c r="D5151" s="60"/>
      <c r="E5151" s="60"/>
      <c r="F5151" s="60"/>
      <c r="G5151" s="60"/>
      <c r="H5151" s="60"/>
      <c r="I5151" s="60"/>
      <c r="J5151" s="60"/>
      <c r="K5151" s="60"/>
      <c r="L5151" s="60"/>
      <c r="M5151" s="64"/>
      <c r="N5151" s="33"/>
    </row>
    <row r="5152" ht="24" customHeight="1" spans="2:14">
      <c r="B5152" s="33"/>
      <c r="C5152" s="60"/>
      <c r="D5152" s="60"/>
      <c r="E5152" s="60"/>
      <c r="F5152" s="60"/>
      <c r="G5152" s="60"/>
      <c r="H5152" s="60"/>
      <c r="I5152" s="60"/>
      <c r="J5152" s="60"/>
      <c r="K5152" s="60"/>
      <c r="L5152" s="60"/>
      <c r="M5152" s="64"/>
      <c r="N5152" s="33"/>
    </row>
    <row r="5153" ht="24" customHeight="1" spans="2:14">
      <c r="B5153" s="33"/>
      <c r="C5153" s="60"/>
      <c r="D5153" s="60"/>
      <c r="E5153" s="60"/>
      <c r="F5153" s="60"/>
      <c r="G5153" s="60"/>
      <c r="H5153" s="60"/>
      <c r="I5153" s="60"/>
      <c r="J5153" s="60"/>
      <c r="K5153" s="60"/>
      <c r="L5153" s="60"/>
      <c r="M5153" s="64"/>
      <c r="N5153" s="33"/>
    </row>
    <row r="5154" ht="24" customHeight="1" spans="2:14">
      <c r="B5154" s="33"/>
      <c r="C5154" s="60"/>
      <c r="D5154" s="60"/>
      <c r="E5154" s="60"/>
      <c r="F5154" s="60"/>
      <c r="G5154" s="60"/>
      <c r="H5154" s="60"/>
      <c r="I5154" s="60"/>
      <c r="J5154" s="60"/>
      <c r="K5154" s="60"/>
      <c r="L5154" s="60"/>
      <c r="M5154" s="64"/>
      <c r="N5154" s="33"/>
    </row>
    <row r="5155" ht="24" customHeight="1" spans="2:14">
      <c r="B5155" s="33"/>
      <c r="C5155" s="60"/>
      <c r="D5155" s="60"/>
      <c r="E5155" s="60"/>
      <c r="F5155" s="60"/>
      <c r="G5155" s="60"/>
      <c r="H5155" s="60"/>
      <c r="I5155" s="60"/>
      <c r="J5155" s="60"/>
      <c r="K5155" s="60"/>
      <c r="L5155" s="60"/>
      <c r="M5155" s="64"/>
      <c r="N5155" s="33"/>
    </row>
    <row r="5156" ht="24" customHeight="1" spans="2:14">
      <c r="B5156" s="33"/>
      <c r="C5156" s="60"/>
      <c r="D5156" s="60"/>
      <c r="E5156" s="60"/>
      <c r="F5156" s="60"/>
      <c r="G5156" s="60"/>
      <c r="H5156" s="60"/>
      <c r="I5156" s="60"/>
      <c r="J5156" s="60"/>
      <c r="K5156" s="60"/>
      <c r="L5156" s="60"/>
      <c r="M5156" s="64"/>
      <c r="N5156" s="33"/>
    </row>
    <row r="5157" ht="24" customHeight="1" spans="2:14">
      <c r="B5157" s="33"/>
      <c r="C5157" s="60"/>
      <c r="D5157" s="60"/>
      <c r="E5157" s="60"/>
      <c r="F5157" s="60"/>
      <c r="G5157" s="60"/>
      <c r="H5157" s="60"/>
      <c r="I5157" s="60"/>
      <c r="J5157" s="60"/>
      <c r="K5157" s="60"/>
      <c r="L5157" s="60"/>
      <c r="M5157" s="64"/>
      <c r="N5157" s="33"/>
    </row>
    <row r="5158" ht="24" customHeight="1" spans="2:14">
      <c r="B5158" s="33"/>
      <c r="C5158" s="60"/>
      <c r="D5158" s="60"/>
      <c r="E5158" s="60"/>
      <c r="F5158" s="60"/>
      <c r="G5158" s="60"/>
      <c r="H5158" s="60"/>
      <c r="I5158" s="60"/>
      <c r="J5158" s="60"/>
      <c r="K5158" s="60"/>
      <c r="L5158" s="60"/>
      <c r="M5158" s="64"/>
      <c r="N5158" s="33"/>
    </row>
    <row r="5159" ht="24" customHeight="1" spans="2:14">
      <c r="B5159" s="33"/>
      <c r="C5159" s="60"/>
      <c r="D5159" s="60"/>
      <c r="E5159" s="60"/>
      <c r="F5159" s="60"/>
      <c r="G5159" s="60"/>
      <c r="H5159" s="60"/>
      <c r="I5159" s="60"/>
      <c r="J5159" s="60"/>
      <c r="K5159" s="60"/>
      <c r="L5159" s="60"/>
      <c r="M5159" s="64"/>
      <c r="N5159" s="33"/>
    </row>
    <row r="5160" ht="24" customHeight="1" spans="2:14">
      <c r="B5160" s="33"/>
      <c r="C5160" s="60"/>
      <c r="D5160" s="60"/>
      <c r="E5160" s="60"/>
      <c r="F5160" s="60"/>
      <c r="G5160" s="60"/>
      <c r="H5160" s="60"/>
      <c r="I5160" s="60"/>
      <c r="J5160" s="60"/>
      <c r="K5160" s="60"/>
      <c r="L5160" s="60"/>
      <c r="M5160" s="64"/>
      <c r="N5160" s="33"/>
    </row>
    <row r="5161" ht="24" customHeight="1" spans="2:14">
      <c r="B5161" s="33"/>
      <c r="C5161" s="60"/>
      <c r="D5161" s="60"/>
      <c r="E5161" s="60"/>
      <c r="F5161" s="60"/>
      <c r="G5161" s="60"/>
      <c r="H5161" s="60"/>
      <c r="I5161" s="60"/>
      <c r="J5161" s="60"/>
      <c r="K5161" s="60"/>
      <c r="L5161" s="60"/>
      <c r="M5161" s="64"/>
      <c r="N5161" s="33"/>
    </row>
    <row r="5162" ht="24" customHeight="1" spans="2:14">
      <c r="B5162" s="33"/>
      <c r="C5162" s="60"/>
      <c r="D5162" s="60"/>
      <c r="E5162" s="60"/>
      <c r="F5162" s="60"/>
      <c r="G5162" s="60"/>
      <c r="H5162" s="60"/>
      <c r="I5162" s="60"/>
      <c r="J5162" s="60"/>
      <c r="K5162" s="60"/>
      <c r="L5162" s="60"/>
      <c r="M5162" s="64"/>
      <c r="N5162" s="33"/>
    </row>
    <row r="5163" ht="24" customHeight="1" spans="2:14">
      <c r="B5163" s="33"/>
      <c r="C5163" s="60"/>
      <c r="D5163" s="60"/>
      <c r="E5163" s="60"/>
      <c r="F5163" s="60"/>
      <c r="G5163" s="60"/>
      <c r="H5163" s="60"/>
      <c r="I5163" s="60"/>
      <c r="J5163" s="60"/>
      <c r="K5163" s="60"/>
      <c r="L5163" s="60"/>
      <c r="M5163" s="64"/>
      <c r="N5163" s="33"/>
    </row>
    <row r="5164" ht="24" customHeight="1" spans="2:14">
      <c r="B5164" s="33"/>
      <c r="C5164" s="60"/>
      <c r="D5164" s="60"/>
      <c r="E5164" s="60"/>
      <c r="F5164" s="60"/>
      <c r="G5164" s="60"/>
      <c r="H5164" s="60"/>
      <c r="I5164" s="60"/>
      <c r="J5164" s="60"/>
      <c r="K5164" s="60"/>
      <c r="L5164" s="60"/>
      <c r="M5164" s="64"/>
      <c r="N5164" s="33"/>
    </row>
    <row r="5165" ht="24" customHeight="1" spans="2:14">
      <c r="B5165" s="33"/>
      <c r="C5165" s="60"/>
      <c r="D5165" s="60"/>
      <c r="E5165" s="60"/>
      <c r="F5165" s="60"/>
      <c r="G5165" s="60"/>
      <c r="H5165" s="60"/>
      <c r="I5165" s="60"/>
      <c r="J5165" s="60"/>
      <c r="K5165" s="60"/>
      <c r="L5165" s="60"/>
      <c r="M5165" s="64"/>
      <c r="N5165" s="33"/>
    </row>
    <row r="5166" ht="24" customHeight="1" spans="2:14">
      <c r="B5166" s="33"/>
      <c r="C5166" s="60"/>
      <c r="D5166" s="60"/>
      <c r="E5166" s="60"/>
      <c r="F5166" s="60"/>
      <c r="G5166" s="60"/>
      <c r="H5166" s="60"/>
      <c r="I5166" s="60"/>
      <c r="J5166" s="60"/>
      <c r="K5166" s="60"/>
      <c r="L5166" s="60"/>
      <c r="M5166" s="64"/>
      <c r="N5166" s="33"/>
    </row>
    <row r="5167" ht="24" customHeight="1" spans="2:14">
      <c r="B5167" s="33"/>
      <c r="C5167" s="60"/>
      <c r="D5167" s="60"/>
      <c r="E5167" s="60"/>
      <c r="F5167" s="60"/>
      <c r="G5167" s="60"/>
      <c r="H5167" s="60"/>
      <c r="I5167" s="60"/>
      <c r="J5167" s="60"/>
      <c r="K5167" s="60"/>
      <c r="L5167" s="60"/>
      <c r="M5167" s="64"/>
      <c r="N5167" s="33"/>
    </row>
    <row r="5168" ht="24" customHeight="1" spans="2:14">
      <c r="B5168" s="33"/>
      <c r="C5168" s="60"/>
      <c r="D5168" s="60"/>
      <c r="E5168" s="60"/>
      <c r="F5168" s="60"/>
      <c r="G5168" s="60"/>
      <c r="H5168" s="60"/>
      <c r="I5168" s="60"/>
      <c r="J5168" s="60"/>
      <c r="K5168" s="60"/>
      <c r="L5168" s="60"/>
      <c r="M5168" s="64"/>
      <c r="N5168" s="33"/>
    </row>
    <row r="5169" ht="24" customHeight="1" spans="2:14">
      <c r="B5169" s="33"/>
      <c r="C5169" s="60"/>
      <c r="D5169" s="60"/>
      <c r="E5169" s="60"/>
      <c r="F5169" s="60"/>
      <c r="G5169" s="60"/>
      <c r="H5169" s="60"/>
      <c r="I5169" s="60"/>
      <c r="J5169" s="60"/>
      <c r="K5169" s="60"/>
      <c r="L5169" s="60"/>
      <c r="M5169" s="64"/>
      <c r="N5169" s="33"/>
    </row>
    <row r="5170" ht="24" customHeight="1" spans="2:14">
      <c r="B5170" s="33"/>
      <c r="C5170" s="60"/>
      <c r="D5170" s="60"/>
      <c r="E5170" s="60"/>
      <c r="F5170" s="60"/>
      <c r="G5170" s="60"/>
      <c r="H5170" s="60"/>
      <c r="I5170" s="60"/>
      <c r="J5170" s="60"/>
      <c r="K5170" s="60"/>
      <c r="L5170" s="60"/>
      <c r="M5170" s="64"/>
      <c r="N5170" s="33"/>
    </row>
    <row r="5171" ht="24" customHeight="1" spans="2:14">
      <c r="B5171" s="33"/>
      <c r="C5171" s="60"/>
      <c r="D5171" s="60"/>
      <c r="E5171" s="60"/>
      <c r="F5171" s="60"/>
      <c r="G5171" s="60"/>
      <c r="H5171" s="60"/>
      <c r="I5171" s="60"/>
      <c r="J5171" s="60"/>
      <c r="K5171" s="60"/>
      <c r="L5171" s="60"/>
      <c r="M5171" s="64"/>
      <c r="N5171" s="33"/>
    </row>
    <row r="5172" ht="24" customHeight="1" spans="2:14">
      <c r="B5172" s="33"/>
      <c r="C5172" s="60"/>
      <c r="D5172" s="60"/>
      <c r="E5172" s="60"/>
      <c r="F5172" s="60"/>
      <c r="G5172" s="60"/>
      <c r="H5172" s="60"/>
      <c r="I5172" s="60"/>
      <c r="J5172" s="60"/>
      <c r="K5172" s="60"/>
      <c r="L5172" s="60"/>
      <c r="M5172" s="64"/>
      <c r="N5172" s="33"/>
    </row>
    <row r="5173" ht="24" customHeight="1" spans="2:14">
      <c r="B5173" s="33"/>
      <c r="C5173" s="60"/>
      <c r="D5173" s="60"/>
      <c r="E5173" s="60"/>
      <c r="F5173" s="60"/>
      <c r="G5173" s="60"/>
      <c r="H5173" s="60"/>
      <c r="I5173" s="60"/>
      <c r="J5173" s="60"/>
      <c r="K5173" s="60"/>
      <c r="L5173" s="60"/>
      <c r="M5173" s="64"/>
      <c r="N5173" s="33"/>
    </row>
    <row r="5174" ht="24" customHeight="1" spans="2:14">
      <c r="B5174" s="33"/>
      <c r="C5174" s="60"/>
      <c r="D5174" s="60"/>
      <c r="E5174" s="60"/>
      <c r="F5174" s="60"/>
      <c r="G5174" s="60"/>
      <c r="H5174" s="60"/>
      <c r="I5174" s="60"/>
      <c r="J5174" s="60"/>
      <c r="K5174" s="60"/>
      <c r="L5174" s="60"/>
      <c r="M5174" s="64"/>
      <c r="N5174" s="33"/>
    </row>
    <row r="5175" ht="24" customHeight="1" spans="2:14">
      <c r="B5175" s="33"/>
      <c r="C5175" s="60"/>
      <c r="D5175" s="60"/>
      <c r="E5175" s="60"/>
      <c r="F5175" s="60"/>
      <c r="G5175" s="60"/>
      <c r="H5175" s="60"/>
      <c r="I5175" s="60"/>
      <c r="J5175" s="60"/>
      <c r="K5175" s="60"/>
      <c r="L5175" s="60"/>
      <c r="M5175" s="64"/>
      <c r="N5175" s="33"/>
    </row>
    <row r="5176" ht="24" customHeight="1" spans="2:14">
      <c r="B5176" s="33"/>
      <c r="C5176" s="60"/>
      <c r="D5176" s="60"/>
      <c r="E5176" s="60"/>
      <c r="F5176" s="60"/>
      <c r="G5176" s="60"/>
      <c r="H5176" s="60"/>
      <c r="I5176" s="60"/>
      <c r="J5176" s="60"/>
      <c r="K5176" s="60"/>
      <c r="L5176" s="60"/>
      <c r="M5176" s="64"/>
      <c r="N5176" s="33"/>
    </row>
    <row r="5177" ht="24" customHeight="1" spans="2:14">
      <c r="B5177" s="33"/>
      <c r="C5177" s="60"/>
      <c r="D5177" s="60"/>
      <c r="E5177" s="60"/>
      <c r="F5177" s="60"/>
      <c r="G5177" s="60"/>
      <c r="H5177" s="60"/>
      <c r="I5177" s="60"/>
      <c r="J5177" s="60"/>
      <c r="K5177" s="60"/>
      <c r="L5177" s="60"/>
      <c r="M5177" s="64"/>
      <c r="N5177" s="33"/>
    </row>
    <row r="5178" ht="24" customHeight="1" spans="2:14">
      <c r="B5178" s="33"/>
      <c r="C5178" s="60"/>
      <c r="D5178" s="60"/>
      <c r="E5178" s="60"/>
      <c r="F5178" s="60"/>
      <c r="G5178" s="60"/>
      <c r="H5178" s="60"/>
      <c r="I5178" s="60"/>
      <c r="J5178" s="60"/>
      <c r="K5178" s="60"/>
      <c r="L5178" s="60"/>
      <c r="M5178" s="64"/>
      <c r="N5178" s="33"/>
    </row>
    <row r="5179" ht="24" customHeight="1" spans="2:14">
      <c r="B5179" s="33"/>
      <c r="C5179" s="60"/>
      <c r="D5179" s="60"/>
      <c r="E5179" s="60"/>
      <c r="F5179" s="60"/>
      <c r="G5179" s="60"/>
      <c r="H5179" s="60"/>
      <c r="I5179" s="60"/>
      <c r="J5179" s="60"/>
      <c r="K5179" s="60"/>
      <c r="L5179" s="60"/>
      <c r="M5179" s="64"/>
      <c r="N5179" s="33"/>
    </row>
    <row r="5180" ht="24" customHeight="1" spans="2:14">
      <c r="B5180" s="33"/>
      <c r="C5180" s="60"/>
      <c r="D5180" s="60"/>
      <c r="E5180" s="60"/>
      <c r="F5180" s="60"/>
      <c r="G5180" s="60"/>
      <c r="H5180" s="60"/>
      <c r="I5180" s="60"/>
      <c r="J5180" s="60"/>
      <c r="K5180" s="60"/>
      <c r="L5180" s="60"/>
      <c r="M5180" s="64"/>
      <c r="N5180" s="33"/>
    </row>
    <row r="5181" ht="24" customHeight="1" spans="2:14">
      <c r="B5181" s="33"/>
      <c r="C5181" s="60"/>
      <c r="D5181" s="60"/>
      <c r="E5181" s="60"/>
      <c r="F5181" s="60"/>
      <c r="G5181" s="60"/>
      <c r="H5181" s="60"/>
      <c r="I5181" s="60"/>
      <c r="J5181" s="60"/>
      <c r="K5181" s="60"/>
      <c r="L5181" s="60"/>
      <c r="M5181" s="64"/>
      <c r="N5181" s="33"/>
    </row>
    <row r="5182" ht="24" customHeight="1" spans="2:14">
      <c r="B5182" s="33"/>
      <c r="C5182" s="60"/>
      <c r="D5182" s="60"/>
      <c r="E5182" s="60"/>
      <c r="F5182" s="60"/>
      <c r="G5182" s="60"/>
      <c r="H5182" s="60"/>
      <c r="I5182" s="60"/>
      <c r="J5182" s="60"/>
      <c r="K5182" s="60"/>
      <c r="L5182" s="60"/>
      <c r="M5182" s="64"/>
      <c r="N5182" s="33"/>
    </row>
    <row r="5183" ht="24" customHeight="1" spans="2:14">
      <c r="B5183" s="33"/>
      <c r="C5183" s="60"/>
      <c r="D5183" s="60"/>
      <c r="E5183" s="60"/>
      <c r="F5183" s="60"/>
      <c r="G5183" s="60"/>
      <c r="H5183" s="60"/>
      <c r="I5183" s="60"/>
      <c r="J5183" s="60"/>
      <c r="K5183" s="60"/>
      <c r="L5183" s="60"/>
      <c r="M5183" s="64"/>
      <c r="N5183" s="33"/>
    </row>
    <row r="5184" ht="24" customHeight="1" spans="2:14">
      <c r="B5184" s="33"/>
      <c r="C5184" s="60"/>
      <c r="D5184" s="60"/>
      <c r="E5184" s="60"/>
      <c r="F5184" s="60"/>
      <c r="G5184" s="60"/>
      <c r="H5184" s="60"/>
      <c r="I5184" s="60"/>
      <c r="J5184" s="60"/>
      <c r="K5184" s="60"/>
      <c r="L5184" s="60"/>
      <c r="M5184" s="64"/>
      <c r="N5184" s="33"/>
    </row>
    <row r="5185" ht="24" customHeight="1" spans="2:14">
      <c r="B5185" s="33"/>
      <c r="C5185" s="60"/>
      <c r="D5185" s="60"/>
      <c r="E5185" s="60"/>
      <c r="F5185" s="60"/>
      <c r="G5185" s="60"/>
      <c r="H5185" s="60"/>
      <c r="I5185" s="60"/>
      <c r="J5185" s="60"/>
      <c r="K5185" s="60"/>
      <c r="L5185" s="60"/>
      <c r="M5185" s="64"/>
      <c r="N5185" s="33"/>
    </row>
    <row r="5186" ht="24" customHeight="1" spans="2:14">
      <c r="B5186" s="33"/>
      <c r="C5186" s="60"/>
      <c r="D5186" s="60"/>
      <c r="E5186" s="60"/>
      <c r="F5186" s="60"/>
      <c r="G5186" s="60"/>
      <c r="H5186" s="60"/>
      <c r="I5186" s="60"/>
      <c r="J5186" s="60"/>
      <c r="K5186" s="60"/>
      <c r="L5186" s="60"/>
      <c r="M5186" s="64"/>
      <c r="N5186" s="33"/>
    </row>
    <row r="5187" ht="24" customHeight="1" spans="2:14">
      <c r="B5187" s="33"/>
      <c r="C5187" s="60"/>
      <c r="D5187" s="60"/>
      <c r="E5187" s="60"/>
      <c r="F5187" s="60"/>
      <c r="G5187" s="60"/>
      <c r="H5187" s="60"/>
      <c r="I5187" s="60"/>
      <c r="J5187" s="60"/>
      <c r="K5187" s="60"/>
      <c r="L5187" s="60"/>
      <c r="M5187" s="64"/>
      <c r="N5187" s="33"/>
    </row>
    <row r="5188" ht="24" customHeight="1" spans="2:14">
      <c r="B5188" s="33"/>
      <c r="C5188" s="60"/>
      <c r="D5188" s="60"/>
      <c r="E5188" s="60"/>
      <c r="F5188" s="60"/>
      <c r="G5188" s="60"/>
      <c r="H5188" s="60"/>
      <c r="I5188" s="60"/>
      <c r="J5188" s="60"/>
      <c r="K5188" s="60"/>
      <c r="L5188" s="60"/>
      <c r="M5188" s="64"/>
      <c r="N5188" s="33"/>
    </row>
    <row r="5189" ht="24" customHeight="1" spans="2:14">
      <c r="B5189" s="33"/>
      <c r="C5189" s="60"/>
      <c r="D5189" s="60"/>
      <c r="E5189" s="60"/>
      <c r="F5189" s="60"/>
      <c r="G5189" s="60"/>
      <c r="H5189" s="60"/>
      <c r="I5189" s="60"/>
      <c r="J5189" s="60"/>
      <c r="K5189" s="60"/>
      <c r="L5189" s="60"/>
      <c r="M5189" s="64"/>
      <c r="N5189" s="33"/>
    </row>
    <row r="5190" ht="24" customHeight="1" spans="2:14">
      <c r="B5190" s="33"/>
      <c r="C5190" s="60"/>
      <c r="D5190" s="60"/>
      <c r="E5190" s="60"/>
      <c r="F5190" s="60"/>
      <c r="G5190" s="60"/>
      <c r="H5190" s="60"/>
      <c r="I5190" s="60"/>
      <c r="J5190" s="60"/>
      <c r="K5190" s="60"/>
      <c r="L5190" s="60"/>
      <c r="M5190" s="64"/>
      <c r="N5190" s="33"/>
    </row>
    <row r="5191" ht="24" customHeight="1" spans="2:14">
      <c r="B5191" s="33"/>
      <c r="C5191" s="60"/>
      <c r="D5191" s="60"/>
      <c r="E5191" s="60"/>
      <c r="F5191" s="60"/>
      <c r="G5191" s="60"/>
      <c r="H5191" s="60"/>
      <c r="I5191" s="60"/>
      <c r="J5191" s="60"/>
      <c r="K5191" s="60"/>
      <c r="L5191" s="60"/>
      <c r="M5191" s="64"/>
      <c r="N5191" s="33"/>
    </row>
    <row r="5192" ht="24" customHeight="1" spans="2:14">
      <c r="B5192" s="33"/>
      <c r="C5192" s="60"/>
      <c r="D5192" s="60"/>
      <c r="E5192" s="60"/>
      <c r="F5192" s="60"/>
      <c r="G5192" s="60"/>
      <c r="H5192" s="60"/>
      <c r="I5192" s="60"/>
      <c r="J5192" s="60"/>
      <c r="K5192" s="60"/>
      <c r="L5192" s="60"/>
      <c r="M5192" s="64"/>
      <c r="N5192" s="33"/>
    </row>
    <row r="5193" ht="24" customHeight="1" spans="2:14">
      <c r="B5193" s="33"/>
      <c r="C5193" s="60"/>
      <c r="D5193" s="60"/>
      <c r="E5193" s="60"/>
      <c r="F5193" s="60"/>
      <c r="G5193" s="60"/>
      <c r="H5193" s="60"/>
      <c r="I5193" s="60"/>
      <c r="J5193" s="60"/>
      <c r="K5193" s="60"/>
      <c r="L5193" s="60"/>
      <c r="M5193" s="64"/>
      <c r="N5193" s="33"/>
    </row>
    <row r="5194" ht="24" customHeight="1" spans="2:14">
      <c r="B5194" s="33"/>
      <c r="C5194" s="60"/>
      <c r="D5194" s="60"/>
      <c r="E5194" s="60"/>
      <c r="F5194" s="60"/>
      <c r="G5194" s="60"/>
      <c r="H5194" s="60"/>
      <c r="I5194" s="60"/>
      <c r="J5194" s="60"/>
      <c r="K5194" s="60"/>
      <c r="L5194" s="60"/>
      <c r="M5194" s="64"/>
      <c r="N5194" s="33"/>
    </row>
    <row r="5195" ht="24" customHeight="1" spans="2:14">
      <c r="B5195" s="33"/>
      <c r="C5195" s="60"/>
      <c r="D5195" s="60"/>
      <c r="E5195" s="60"/>
      <c r="F5195" s="60"/>
      <c r="G5195" s="60"/>
      <c r="H5195" s="60"/>
      <c r="I5195" s="60"/>
      <c r="J5195" s="60"/>
      <c r="K5195" s="60"/>
      <c r="L5195" s="60"/>
      <c r="M5195" s="64"/>
      <c r="N5195" s="33"/>
    </row>
    <row r="5196" ht="24" customHeight="1" spans="2:14">
      <c r="B5196" s="33"/>
      <c r="C5196" s="60"/>
      <c r="D5196" s="60"/>
      <c r="E5196" s="60"/>
      <c r="F5196" s="60"/>
      <c r="G5196" s="60"/>
      <c r="H5196" s="60"/>
      <c r="I5196" s="60"/>
      <c r="J5196" s="60"/>
      <c r="K5196" s="60"/>
      <c r="L5196" s="60"/>
      <c r="M5196" s="64"/>
      <c r="N5196" s="33"/>
    </row>
    <row r="5197" ht="24" customHeight="1" spans="2:14">
      <c r="B5197" s="33"/>
      <c r="C5197" s="60"/>
      <c r="D5197" s="60"/>
      <c r="E5197" s="60"/>
      <c r="F5197" s="60"/>
      <c r="G5197" s="60"/>
      <c r="H5197" s="60"/>
      <c r="I5197" s="60"/>
      <c r="J5197" s="60"/>
      <c r="K5197" s="60"/>
      <c r="L5197" s="60"/>
      <c r="M5197" s="64"/>
      <c r="N5197" s="33"/>
    </row>
    <row r="5198" ht="24" customHeight="1" spans="2:14">
      <c r="B5198" s="33"/>
      <c r="C5198" s="60"/>
      <c r="D5198" s="60"/>
      <c r="E5198" s="60"/>
      <c r="F5198" s="60"/>
      <c r="G5198" s="60"/>
      <c r="H5198" s="60"/>
      <c r="I5198" s="60"/>
      <c r="J5198" s="60"/>
      <c r="K5198" s="60"/>
      <c r="L5198" s="60"/>
      <c r="M5198" s="64"/>
      <c r="N5198" s="33"/>
    </row>
    <row r="5199" ht="24" customHeight="1" spans="2:14">
      <c r="B5199" s="33"/>
      <c r="C5199" s="60"/>
      <c r="D5199" s="60"/>
      <c r="E5199" s="60"/>
      <c r="F5199" s="60"/>
      <c r="G5199" s="60"/>
      <c r="H5199" s="60"/>
      <c r="I5199" s="60"/>
      <c r="J5199" s="60"/>
      <c r="K5199" s="60"/>
      <c r="L5199" s="60"/>
      <c r="M5199" s="64"/>
      <c r="N5199" s="33"/>
    </row>
    <row r="5200" ht="24" customHeight="1" spans="2:14">
      <c r="B5200" s="33"/>
      <c r="C5200" s="60"/>
      <c r="D5200" s="60"/>
      <c r="E5200" s="60"/>
      <c r="F5200" s="60"/>
      <c r="G5200" s="60"/>
      <c r="H5200" s="60"/>
      <c r="I5200" s="60"/>
      <c r="J5200" s="60"/>
      <c r="K5200" s="60"/>
      <c r="L5200" s="60"/>
      <c r="M5200" s="64"/>
      <c r="N5200" s="33"/>
    </row>
    <row r="5201" ht="24" customHeight="1" spans="2:14">
      <c r="B5201" s="33"/>
      <c r="C5201" s="60"/>
      <c r="D5201" s="60"/>
      <c r="E5201" s="60"/>
      <c r="F5201" s="60"/>
      <c r="G5201" s="60"/>
      <c r="H5201" s="60"/>
      <c r="I5201" s="60"/>
      <c r="J5201" s="60"/>
      <c r="K5201" s="60"/>
      <c r="L5201" s="60"/>
      <c r="M5201" s="64"/>
      <c r="N5201" s="33"/>
    </row>
    <row r="5202" ht="24" customHeight="1" spans="2:14">
      <c r="B5202" s="33"/>
      <c r="C5202" s="60"/>
      <c r="D5202" s="60"/>
      <c r="E5202" s="60"/>
      <c r="F5202" s="60"/>
      <c r="G5202" s="60"/>
      <c r="H5202" s="60"/>
      <c r="I5202" s="60"/>
      <c r="J5202" s="60"/>
      <c r="K5202" s="60"/>
      <c r="L5202" s="60"/>
      <c r="M5202" s="64"/>
      <c r="N5202" s="33"/>
    </row>
    <row r="5203" ht="24" customHeight="1" spans="2:14">
      <c r="B5203" s="33"/>
      <c r="C5203" s="60"/>
      <c r="D5203" s="60"/>
      <c r="E5203" s="60"/>
      <c r="F5203" s="60"/>
      <c r="G5203" s="60"/>
      <c r="H5203" s="60"/>
      <c r="I5203" s="60"/>
      <c r="J5203" s="60"/>
      <c r="K5203" s="60"/>
      <c r="L5203" s="60"/>
      <c r="M5203" s="64"/>
      <c r="N5203" s="33"/>
    </row>
    <row r="5204" ht="24" customHeight="1" spans="2:14">
      <c r="B5204" s="33"/>
      <c r="C5204" s="60"/>
      <c r="D5204" s="60"/>
      <c r="E5204" s="60"/>
      <c r="F5204" s="60"/>
      <c r="G5204" s="60"/>
      <c r="H5204" s="60"/>
      <c r="I5204" s="60"/>
      <c r="J5204" s="60"/>
      <c r="K5204" s="60"/>
      <c r="L5204" s="60"/>
      <c r="M5204" s="64"/>
      <c r="N5204" s="33"/>
    </row>
    <row r="5205" ht="24" customHeight="1" spans="2:14">
      <c r="B5205" s="33"/>
      <c r="C5205" s="60"/>
      <c r="D5205" s="60"/>
      <c r="E5205" s="60"/>
      <c r="F5205" s="60"/>
      <c r="G5205" s="60"/>
      <c r="H5205" s="60"/>
      <c r="I5205" s="60"/>
      <c r="J5205" s="60"/>
      <c r="K5205" s="60"/>
      <c r="L5205" s="60"/>
      <c r="M5205" s="64"/>
      <c r="N5205" s="33"/>
    </row>
    <row r="5206" ht="24" customHeight="1" spans="2:14">
      <c r="B5206" s="33"/>
      <c r="C5206" s="60"/>
      <c r="D5206" s="60"/>
      <c r="E5206" s="60"/>
      <c r="F5206" s="60"/>
      <c r="G5206" s="60"/>
      <c r="H5206" s="60"/>
      <c r="I5206" s="60"/>
      <c r="J5206" s="60"/>
      <c r="K5206" s="60"/>
      <c r="L5206" s="60"/>
      <c r="M5206" s="64"/>
      <c r="N5206" s="33"/>
    </row>
    <row r="5207" ht="24" customHeight="1" spans="2:14">
      <c r="B5207" s="33"/>
      <c r="C5207" s="60"/>
      <c r="D5207" s="60"/>
      <c r="E5207" s="60"/>
      <c r="F5207" s="60"/>
      <c r="G5207" s="60"/>
      <c r="H5207" s="60"/>
      <c r="I5207" s="60"/>
      <c r="J5207" s="60"/>
      <c r="K5207" s="60"/>
      <c r="L5207" s="60"/>
      <c r="M5207" s="64"/>
      <c r="N5207" s="33"/>
    </row>
    <row r="5208" ht="24" customHeight="1" spans="2:14">
      <c r="B5208" s="33"/>
      <c r="C5208" s="60"/>
      <c r="D5208" s="60"/>
      <c r="E5208" s="60"/>
      <c r="F5208" s="60"/>
      <c r="G5208" s="60"/>
      <c r="H5208" s="60"/>
      <c r="I5208" s="60"/>
      <c r="J5208" s="60"/>
      <c r="K5208" s="60"/>
      <c r="L5208" s="60"/>
      <c r="M5208" s="64"/>
      <c r="N5208" s="33"/>
    </row>
    <row r="5209" ht="24" customHeight="1" spans="2:14">
      <c r="B5209" s="33"/>
      <c r="C5209" s="60"/>
      <c r="D5209" s="60"/>
      <c r="E5209" s="60"/>
      <c r="F5209" s="60"/>
      <c r="G5209" s="60"/>
      <c r="H5209" s="60"/>
      <c r="I5209" s="60"/>
      <c r="J5209" s="60"/>
      <c r="K5209" s="60"/>
      <c r="L5209" s="60"/>
      <c r="M5209" s="64"/>
      <c r="N5209" s="33"/>
    </row>
    <row r="5210" ht="24" customHeight="1" spans="2:14">
      <c r="B5210" s="33"/>
      <c r="C5210" s="60"/>
      <c r="D5210" s="60"/>
      <c r="E5210" s="60"/>
      <c r="F5210" s="60"/>
      <c r="G5210" s="60"/>
      <c r="H5210" s="60"/>
      <c r="I5210" s="60"/>
      <c r="J5210" s="60"/>
      <c r="K5210" s="60"/>
      <c r="L5210" s="60"/>
      <c r="M5210" s="64"/>
      <c r="N5210" s="33"/>
    </row>
    <row r="5211" ht="24" customHeight="1" spans="2:14">
      <c r="B5211" s="33"/>
      <c r="C5211" s="60"/>
      <c r="D5211" s="60"/>
      <c r="E5211" s="60"/>
      <c r="F5211" s="60"/>
      <c r="G5211" s="60"/>
      <c r="H5211" s="60"/>
      <c r="I5211" s="60"/>
      <c r="J5211" s="60"/>
      <c r="K5211" s="60"/>
      <c r="L5211" s="60"/>
      <c r="M5211" s="64"/>
      <c r="N5211" s="33"/>
    </row>
    <row r="5212" ht="24" customHeight="1" spans="2:14">
      <c r="B5212" s="33"/>
      <c r="C5212" s="60"/>
      <c r="D5212" s="60"/>
      <c r="E5212" s="60"/>
      <c r="F5212" s="60"/>
      <c r="G5212" s="60"/>
      <c r="H5212" s="60"/>
      <c r="I5212" s="60"/>
      <c r="J5212" s="60"/>
      <c r="K5212" s="60"/>
      <c r="L5212" s="60"/>
      <c r="M5212" s="64"/>
      <c r="N5212" s="33"/>
    </row>
    <row r="5213" ht="24" customHeight="1" spans="2:14">
      <c r="B5213" s="33"/>
      <c r="C5213" s="60"/>
      <c r="D5213" s="60"/>
      <c r="E5213" s="60"/>
      <c r="F5213" s="60"/>
      <c r="G5213" s="60"/>
      <c r="H5213" s="60"/>
      <c r="I5213" s="60"/>
      <c r="J5213" s="60"/>
      <c r="K5213" s="60"/>
      <c r="L5213" s="60"/>
      <c r="M5213" s="64"/>
      <c r="N5213" s="33"/>
    </row>
    <row r="5214" ht="24" customHeight="1" spans="2:14">
      <c r="B5214" s="33"/>
      <c r="C5214" s="60"/>
      <c r="D5214" s="60"/>
      <c r="E5214" s="60"/>
      <c r="F5214" s="60"/>
      <c r="G5214" s="60"/>
      <c r="H5214" s="60"/>
      <c r="I5214" s="60"/>
      <c r="J5214" s="60"/>
      <c r="K5214" s="60"/>
      <c r="L5214" s="60"/>
      <c r="M5214" s="64"/>
      <c r="N5214" s="33"/>
    </row>
    <row r="5215" ht="24" customHeight="1" spans="2:14">
      <c r="B5215" s="33"/>
      <c r="C5215" s="60"/>
      <c r="D5215" s="60"/>
      <c r="E5215" s="60"/>
      <c r="F5215" s="60"/>
      <c r="G5215" s="60"/>
      <c r="H5215" s="60"/>
      <c r="I5215" s="60"/>
      <c r="J5215" s="60"/>
      <c r="K5215" s="60"/>
      <c r="L5215" s="60"/>
      <c r="M5215" s="64"/>
      <c r="N5215" s="33"/>
    </row>
    <row r="5216" ht="24" customHeight="1" spans="2:14">
      <c r="B5216" s="33"/>
      <c r="C5216" s="60"/>
      <c r="D5216" s="60"/>
      <c r="E5216" s="60"/>
      <c r="F5216" s="60"/>
      <c r="G5216" s="60"/>
      <c r="H5216" s="60"/>
      <c r="I5216" s="60"/>
      <c r="J5216" s="60"/>
      <c r="K5216" s="60"/>
      <c r="L5216" s="60"/>
      <c r="M5216" s="64"/>
      <c r="N5216" s="33"/>
    </row>
    <row r="5217" ht="24" customHeight="1" spans="2:14">
      <c r="B5217" s="33"/>
      <c r="C5217" s="60"/>
      <c r="D5217" s="60"/>
      <c r="E5217" s="60"/>
      <c r="F5217" s="60"/>
      <c r="G5217" s="60"/>
      <c r="H5217" s="60"/>
      <c r="I5217" s="60"/>
      <c r="J5217" s="60"/>
      <c r="K5217" s="60"/>
      <c r="L5217" s="60"/>
      <c r="M5217" s="64"/>
      <c r="N5217" s="33"/>
    </row>
    <row r="5218" ht="24" customHeight="1" spans="2:14">
      <c r="B5218" s="33"/>
      <c r="C5218" s="60"/>
      <c r="D5218" s="60"/>
      <c r="E5218" s="60"/>
      <c r="F5218" s="60"/>
      <c r="G5218" s="60"/>
      <c r="H5218" s="60"/>
      <c r="I5218" s="60"/>
      <c r="J5218" s="60"/>
      <c r="K5218" s="60"/>
      <c r="L5218" s="60"/>
      <c r="M5218" s="64"/>
      <c r="N5218" s="33"/>
    </row>
    <row r="5219" ht="24" customHeight="1" spans="2:14">
      <c r="B5219" s="33"/>
      <c r="C5219" s="60"/>
      <c r="D5219" s="60"/>
      <c r="E5219" s="60"/>
      <c r="F5219" s="60"/>
      <c r="G5219" s="60"/>
      <c r="H5219" s="60"/>
      <c r="I5219" s="60"/>
      <c r="J5219" s="60"/>
      <c r="K5219" s="60"/>
      <c r="L5219" s="60"/>
      <c r="M5219" s="64"/>
      <c r="N5219" s="33"/>
    </row>
    <row r="5220" ht="24" customHeight="1" spans="2:14">
      <c r="B5220" s="33"/>
      <c r="C5220" s="60"/>
      <c r="D5220" s="60"/>
      <c r="E5220" s="60"/>
      <c r="F5220" s="60"/>
      <c r="G5220" s="60"/>
      <c r="H5220" s="60"/>
      <c r="I5220" s="60"/>
      <c r="J5220" s="60"/>
      <c r="K5220" s="60"/>
      <c r="L5220" s="60"/>
      <c r="M5220" s="64"/>
      <c r="N5220" s="33"/>
    </row>
    <row r="5221" ht="24" customHeight="1" spans="2:14">
      <c r="B5221" s="33"/>
      <c r="C5221" s="60"/>
      <c r="D5221" s="60"/>
      <c r="E5221" s="60"/>
      <c r="F5221" s="60"/>
      <c r="G5221" s="60"/>
      <c r="H5221" s="60"/>
      <c r="I5221" s="60"/>
      <c r="J5221" s="60"/>
      <c r="K5221" s="60"/>
      <c r="L5221" s="60"/>
      <c r="M5221" s="64"/>
      <c r="N5221" s="33"/>
    </row>
    <row r="5222" ht="24" customHeight="1" spans="2:14">
      <c r="B5222" s="33"/>
      <c r="C5222" s="60"/>
      <c r="D5222" s="60"/>
      <c r="E5222" s="60"/>
      <c r="F5222" s="60"/>
      <c r="G5222" s="60"/>
      <c r="H5222" s="60"/>
      <c r="I5222" s="60"/>
      <c r="J5222" s="60"/>
      <c r="K5222" s="60"/>
      <c r="L5222" s="60"/>
      <c r="M5222" s="64"/>
      <c r="N5222" s="33"/>
    </row>
    <row r="5223" ht="24" customHeight="1" spans="2:14">
      <c r="B5223" s="33"/>
      <c r="C5223" s="60"/>
      <c r="D5223" s="60"/>
      <c r="E5223" s="60"/>
      <c r="F5223" s="60"/>
      <c r="G5223" s="60"/>
      <c r="H5223" s="60"/>
      <c r="I5223" s="60"/>
      <c r="J5223" s="60"/>
      <c r="K5223" s="60"/>
      <c r="L5223" s="60"/>
      <c r="M5223" s="64"/>
      <c r="N5223" s="33"/>
    </row>
    <row r="5224" ht="24" customHeight="1" spans="2:14">
      <c r="B5224" s="33"/>
      <c r="C5224" s="60"/>
      <c r="D5224" s="60"/>
      <c r="E5224" s="60"/>
      <c r="F5224" s="60"/>
      <c r="G5224" s="60"/>
      <c r="H5224" s="60"/>
      <c r="I5224" s="60"/>
      <c r="J5224" s="60"/>
      <c r="K5224" s="60"/>
      <c r="L5224" s="60"/>
      <c r="M5224" s="64"/>
      <c r="N5224" s="33"/>
    </row>
    <row r="5225" ht="24" customHeight="1" spans="2:14">
      <c r="B5225" s="33"/>
      <c r="C5225" s="60"/>
      <c r="D5225" s="60"/>
      <c r="E5225" s="60"/>
      <c r="F5225" s="60"/>
      <c r="G5225" s="60"/>
      <c r="H5225" s="60"/>
      <c r="I5225" s="60"/>
      <c r="J5225" s="60"/>
      <c r="K5225" s="60"/>
      <c r="L5225" s="60"/>
      <c r="M5225" s="64"/>
      <c r="N5225" s="33"/>
    </row>
    <row r="5226" ht="24" customHeight="1" spans="2:14">
      <c r="B5226" s="33"/>
      <c r="C5226" s="60"/>
      <c r="D5226" s="60"/>
      <c r="E5226" s="60"/>
      <c r="F5226" s="60"/>
      <c r="G5226" s="60"/>
      <c r="H5226" s="60"/>
      <c r="I5226" s="60"/>
      <c r="J5226" s="60"/>
      <c r="K5226" s="60"/>
      <c r="L5226" s="60"/>
      <c r="M5226" s="64"/>
      <c r="N5226" s="33"/>
    </row>
    <row r="5227" ht="24" customHeight="1" spans="2:14">
      <c r="B5227" s="33"/>
      <c r="C5227" s="60"/>
      <c r="D5227" s="60"/>
      <c r="E5227" s="60"/>
      <c r="F5227" s="60"/>
      <c r="G5227" s="60"/>
      <c r="H5227" s="60"/>
      <c r="I5227" s="60"/>
      <c r="J5227" s="60"/>
      <c r="K5227" s="60"/>
      <c r="L5227" s="60"/>
      <c r="M5227" s="64"/>
      <c r="N5227" s="33"/>
    </row>
    <row r="5228" ht="24" customHeight="1" spans="2:14">
      <c r="B5228" s="33"/>
      <c r="C5228" s="60"/>
      <c r="D5228" s="60"/>
      <c r="E5228" s="60"/>
      <c r="F5228" s="60"/>
      <c r="G5228" s="60"/>
      <c r="H5228" s="60"/>
      <c r="I5228" s="60"/>
      <c r="J5228" s="60"/>
      <c r="K5228" s="60"/>
      <c r="L5228" s="60"/>
      <c r="M5228" s="64"/>
      <c r="N5228" s="33"/>
    </row>
    <row r="5229" ht="24" customHeight="1" spans="2:14">
      <c r="B5229" s="33"/>
      <c r="C5229" s="60"/>
      <c r="D5229" s="60"/>
      <c r="E5229" s="60"/>
      <c r="F5229" s="60"/>
      <c r="G5229" s="60"/>
      <c r="H5229" s="60"/>
      <c r="I5229" s="60"/>
      <c r="J5229" s="60"/>
      <c r="K5229" s="60"/>
      <c r="L5229" s="60"/>
      <c r="M5229" s="64"/>
      <c r="N5229" s="33"/>
    </row>
    <row r="5230" ht="24" customHeight="1" spans="2:14">
      <c r="B5230" s="33"/>
      <c r="C5230" s="60"/>
      <c r="D5230" s="60"/>
      <c r="E5230" s="60"/>
      <c r="F5230" s="60"/>
      <c r="G5230" s="60"/>
      <c r="H5230" s="60"/>
      <c r="I5230" s="60"/>
      <c r="J5230" s="60"/>
      <c r="K5230" s="60"/>
      <c r="L5230" s="60"/>
      <c r="M5230" s="64"/>
      <c r="N5230" s="33"/>
    </row>
    <row r="5231" ht="24" customHeight="1" spans="2:14">
      <c r="B5231" s="33"/>
      <c r="C5231" s="60"/>
      <c r="D5231" s="60"/>
      <c r="E5231" s="60"/>
      <c r="F5231" s="60"/>
      <c r="G5231" s="60"/>
      <c r="H5231" s="60"/>
      <c r="I5231" s="60"/>
      <c r="J5231" s="60"/>
      <c r="K5231" s="60"/>
      <c r="L5231" s="60"/>
      <c r="M5231" s="64"/>
      <c r="N5231" s="33"/>
    </row>
    <row r="5232" ht="24" customHeight="1" spans="2:14">
      <c r="B5232" s="33"/>
      <c r="C5232" s="60"/>
      <c r="D5232" s="60"/>
      <c r="E5232" s="60"/>
      <c r="F5232" s="60"/>
      <c r="G5232" s="60"/>
      <c r="H5232" s="60"/>
      <c r="I5232" s="60"/>
      <c r="J5232" s="60"/>
      <c r="K5232" s="60"/>
      <c r="L5232" s="60"/>
      <c r="M5232" s="64"/>
      <c r="N5232" s="33"/>
    </row>
    <row r="5233" ht="24" customHeight="1" spans="2:14">
      <c r="B5233" s="33"/>
      <c r="C5233" s="60"/>
      <c r="D5233" s="60"/>
      <c r="E5233" s="60"/>
      <c r="F5233" s="60"/>
      <c r="G5233" s="60"/>
      <c r="H5233" s="60"/>
      <c r="I5233" s="60"/>
      <c r="J5233" s="60"/>
      <c r="K5233" s="60"/>
      <c r="L5233" s="60"/>
      <c r="M5233" s="64"/>
      <c r="N5233" s="33"/>
    </row>
    <row r="5234" ht="24" customHeight="1" spans="2:14">
      <c r="B5234" s="33"/>
      <c r="C5234" s="60"/>
      <c r="D5234" s="60"/>
      <c r="E5234" s="60"/>
      <c r="F5234" s="60"/>
      <c r="G5234" s="60"/>
      <c r="H5234" s="60"/>
      <c r="I5234" s="60"/>
      <c r="J5234" s="60"/>
      <c r="K5234" s="60"/>
      <c r="L5234" s="60"/>
      <c r="M5234" s="64"/>
      <c r="N5234" s="33"/>
    </row>
    <row r="5235" ht="24" customHeight="1" spans="2:14">
      <c r="B5235" s="33"/>
      <c r="C5235" s="60"/>
      <c r="D5235" s="60"/>
      <c r="E5235" s="60"/>
      <c r="F5235" s="60"/>
      <c r="G5235" s="60"/>
      <c r="H5235" s="60"/>
      <c r="I5235" s="60"/>
      <c r="J5235" s="60"/>
      <c r="K5235" s="60"/>
      <c r="L5235" s="60"/>
      <c r="M5235" s="64"/>
      <c r="N5235" s="33"/>
    </row>
    <row r="5236" ht="24" customHeight="1" spans="2:14">
      <c r="B5236" s="33"/>
      <c r="C5236" s="60"/>
      <c r="D5236" s="60"/>
      <c r="E5236" s="60"/>
      <c r="F5236" s="60"/>
      <c r="G5236" s="60"/>
      <c r="H5236" s="60"/>
      <c r="I5236" s="60"/>
      <c r="J5236" s="60"/>
      <c r="K5236" s="60"/>
      <c r="L5236" s="60"/>
      <c r="M5236" s="64"/>
      <c r="N5236" s="33"/>
    </row>
    <row r="5237" ht="24" customHeight="1" spans="2:14">
      <c r="B5237" s="33"/>
      <c r="C5237" s="60"/>
      <c r="D5237" s="60"/>
      <c r="E5237" s="60"/>
      <c r="F5237" s="60"/>
      <c r="G5237" s="60"/>
      <c r="H5237" s="60"/>
      <c r="I5237" s="60"/>
      <c r="J5237" s="60"/>
      <c r="K5237" s="60"/>
      <c r="L5237" s="60"/>
      <c r="M5237" s="64"/>
      <c r="N5237" s="33"/>
    </row>
    <row r="5238" ht="24" customHeight="1" spans="2:14">
      <c r="B5238" s="33"/>
      <c r="C5238" s="60"/>
      <c r="D5238" s="60"/>
      <c r="E5238" s="60"/>
      <c r="F5238" s="60"/>
      <c r="G5238" s="60"/>
      <c r="H5238" s="60"/>
      <c r="I5238" s="60"/>
      <c r="J5238" s="60"/>
      <c r="K5238" s="60"/>
      <c r="L5238" s="60"/>
      <c r="M5238" s="64"/>
      <c r="N5238" s="33"/>
    </row>
    <row r="5239" ht="24" customHeight="1" spans="2:14">
      <c r="B5239" s="33"/>
      <c r="C5239" s="60"/>
      <c r="D5239" s="60"/>
      <c r="E5239" s="60"/>
      <c r="F5239" s="60"/>
      <c r="G5239" s="60"/>
      <c r="H5239" s="60"/>
      <c r="I5239" s="60"/>
      <c r="J5239" s="60"/>
      <c r="K5239" s="60"/>
      <c r="L5239" s="60"/>
      <c r="M5239" s="64"/>
      <c r="N5239" s="33"/>
    </row>
    <row r="5240" ht="24" customHeight="1" spans="2:14">
      <c r="B5240" s="33"/>
      <c r="C5240" s="60"/>
      <c r="D5240" s="60"/>
      <c r="E5240" s="60"/>
      <c r="F5240" s="60"/>
      <c r="G5240" s="60"/>
      <c r="H5240" s="60"/>
      <c r="I5240" s="60"/>
      <c r="J5240" s="60"/>
      <c r="K5240" s="60"/>
      <c r="L5240" s="60"/>
      <c r="M5240" s="64"/>
      <c r="N5240" s="33"/>
    </row>
    <row r="5241" ht="24" customHeight="1" spans="2:14">
      <c r="B5241" s="33"/>
      <c r="C5241" s="60"/>
      <c r="D5241" s="60"/>
      <c r="E5241" s="60"/>
      <c r="F5241" s="60"/>
      <c r="G5241" s="60"/>
      <c r="H5241" s="60"/>
      <c r="I5241" s="60"/>
      <c r="J5241" s="60"/>
      <c r="K5241" s="60"/>
      <c r="L5241" s="60"/>
      <c r="M5241" s="64"/>
      <c r="N5241" s="33"/>
    </row>
    <row r="5242" ht="24" customHeight="1" spans="2:14">
      <c r="B5242" s="33"/>
      <c r="C5242" s="60"/>
      <c r="D5242" s="60"/>
      <c r="E5242" s="60"/>
      <c r="F5242" s="60"/>
      <c r="G5242" s="60"/>
      <c r="H5242" s="60"/>
      <c r="I5242" s="60"/>
      <c r="J5242" s="60"/>
      <c r="K5242" s="60"/>
      <c r="L5242" s="60"/>
      <c r="M5242" s="64"/>
      <c r="N5242" s="33"/>
    </row>
    <row r="5243" ht="24" customHeight="1" spans="2:14">
      <c r="B5243" s="33"/>
      <c r="C5243" s="60"/>
      <c r="D5243" s="60"/>
      <c r="E5243" s="60"/>
      <c r="F5243" s="60"/>
      <c r="G5243" s="60"/>
      <c r="H5243" s="60"/>
      <c r="I5243" s="60"/>
      <c r="J5243" s="60"/>
      <c r="K5243" s="60"/>
      <c r="L5243" s="60"/>
      <c r="M5243" s="64"/>
      <c r="N5243" s="33"/>
    </row>
    <row r="5244" ht="24" customHeight="1" spans="2:14">
      <c r="B5244" s="33"/>
      <c r="C5244" s="60"/>
      <c r="D5244" s="60"/>
      <c r="E5244" s="60"/>
      <c r="F5244" s="60"/>
      <c r="G5244" s="60"/>
      <c r="H5244" s="60"/>
      <c r="I5244" s="60"/>
      <c r="J5244" s="60"/>
      <c r="K5244" s="60"/>
      <c r="L5244" s="60"/>
      <c r="M5244" s="64"/>
      <c r="N5244" s="33"/>
    </row>
    <row r="5245" ht="24" customHeight="1" spans="2:14">
      <c r="B5245" s="33"/>
      <c r="C5245" s="60"/>
      <c r="D5245" s="60"/>
      <c r="E5245" s="60"/>
      <c r="F5245" s="60"/>
      <c r="G5245" s="60"/>
      <c r="H5245" s="60"/>
      <c r="I5245" s="60"/>
      <c r="J5245" s="60"/>
      <c r="K5245" s="60"/>
      <c r="L5245" s="60"/>
      <c r="M5245" s="64"/>
      <c r="N5245" s="33"/>
    </row>
    <row r="5246" ht="24" customHeight="1" spans="2:14">
      <c r="B5246" s="33"/>
      <c r="C5246" s="60"/>
      <c r="D5246" s="60"/>
      <c r="E5246" s="60"/>
      <c r="F5246" s="60"/>
      <c r="G5246" s="60"/>
      <c r="H5246" s="60"/>
      <c r="I5246" s="60"/>
      <c r="J5246" s="60"/>
      <c r="K5246" s="60"/>
      <c r="L5246" s="60"/>
      <c r="M5246" s="64"/>
      <c r="N5246" s="33"/>
    </row>
    <row r="5247" ht="24" customHeight="1" spans="2:14">
      <c r="B5247" s="33"/>
      <c r="C5247" s="60"/>
      <c r="D5247" s="60"/>
      <c r="E5247" s="60"/>
      <c r="F5247" s="60"/>
      <c r="G5247" s="60"/>
      <c r="H5247" s="60"/>
      <c r="I5247" s="60"/>
      <c r="J5247" s="60"/>
      <c r="K5247" s="60"/>
      <c r="L5247" s="60"/>
      <c r="M5247" s="64"/>
      <c r="N5247" s="33"/>
    </row>
    <row r="5248" ht="24" customHeight="1" spans="2:14">
      <c r="B5248" s="33"/>
      <c r="C5248" s="60"/>
      <c r="D5248" s="60"/>
      <c r="E5248" s="60"/>
      <c r="F5248" s="60"/>
      <c r="G5248" s="60"/>
      <c r="H5248" s="60"/>
      <c r="I5248" s="60"/>
      <c r="J5248" s="60"/>
      <c r="K5248" s="60"/>
      <c r="L5248" s="60"/>
      <c r="M5248" s="64"/>
      <c r="N5248" s="33"/>
    </row>
    <row r="5249" ht="24" customHeight="1" spans="2:14">
      <c r="B5249" s="33"/>
      <c r="C5249" s="60"/>
      <c r="D5249" s="60"/>
      <c r="E5249" s="60"/>
      <c r="F5249" s="60"/>
      <c r="G5249" s="60"/>
      <c r="H5249" s="60"/>
      <c r="I5249" s="60"/>
      <c r="J5249" s="60"/>
      <c r="K5249" s="60"/>
      <c r="L5249" s="60"/>
      <c r="M5249" s="64"/>
      <c r="N5249" s="33"/>
    </row>
    <row r="5250" ht="24" customHeight="1" spans="2:14">
      <c r="B5250" s="33"/>
      <c r="C5250" s="60"/>
      <c r="D5250" s="60"/>
      <c r="E5250" s="60"/>
      <c r="F5250" s="60"/>
      <c r="G5250" s="60"/>
      <c r="H5250" s="60"/>
      <c r="I5250" s="60"/>
      <c r="J5250" s="60"/>
      <c r="K5250" s="60"/>
      <c r="L5250" s="60"/>
      <c r="M5250" s="64"/>
      <c r="N5250" s="33"/>
    </row>
    <row r="5251" ht="24" customHeight="1" spans="2:14">
      <c r="B5251" s="33"/>
      <c r="C5251" s="60"/>
      <c r="D5251" s="60"/>
      <c r="E5251" s="60"/>
      <c r="F5251" s="60"/>
      <c r="G5251" s="60"/>
      <c r="H5251" s="60"/>
      <c r="I5251" s="60"/>
      <c r="J5251" s="60"/>
      <c r="K5251" s="60"/>
      <c r="L5251" s="60"/>
      <c r="M5251" s="64"/>
      <c r="N5251" s="33"/>
    </row>
    <row r="5252" ht="24" customHeight="1" spans="2:14">
      <c r="B5252" s="33"/>
      <c r="C5252" s="60"/>
      <c r="D5252" s="60"/>
      <c r="E5252" s="60"/>
      <c r="F5252" s="60"/>
      <c r="G5252" s="60"/>
      <c r="H5252" s="60"/>
      <c r="I5252" s="60"/>
      <c r="J5252" s="60"/>
      <c r="K5252" s="60"/>
      <c r="L5252" s="60"/>
      <c r="M5252" s="64"/>
      <c r="N5252" s="33"/>
    </row>
    <row r="5253" ht="24" customHeight="1" spans="2:14">
      <c r="B5253" s="33"/>
      <c r="C5253" s="60"/>
      <c r="D5253" s="60"/>
      <c r="E5253" s="60"/>
      <c r="F5253" s="60"/>
      <c r="G5253" s="60"/>
      <c r="H5253" s="60"/>
      <c r="I5253" s="60"/>
      <c r="J5253" s="60"/>
      <c r="K5253" s="60"/>
      <c r="L5253" s="60"/>
      <c r="M5253" s="64"/>
      <c r="N5253" s="33"/>
    </row>
    <row r="5254" ht="24" customHeight="1" spans="2:14">
      <c r="B5254" s="33"/>
      <c r="C5254" s="60"/>
      <c r="D5254" s="60"/>
      <c r="E5254" s="60"/>
      <c r="F5254" s="60"/>
      <c r="G5254" s="60"/>
      <c r="H5254" s="60"/>
      <c r="I5254" s="60"/>
      <c r="J5254" s="60"/>
      <c r="K5254" s="60"/>
      <c r="L5254" s="60"/>
      <c r="M5254" s="64"/>
      <c r="N5254" s="33"/>
    </row>
    <row r="5255" ht="24" customHeight="1" spans="2:14">
      <c r="B5255" s="33"/>
      <c r="C5255" s="60"/>
      <c r="D5255" s="60"/>
      <c r="E5255" s="60"/>
      <c r="F5255" s="60"/>
      <c r="G5255" s="60"/>
      <c r="H5255" s="60"/>
      <c r="I5255" s="60"/>
      <c r="J5255" s="60"/>
      <c r="K5255" s="60"/>
      <c r="L5255" s="60"/>
      <c r="M5255" s="64"/>
      <c r="N5255" s="33"/>
    </row>
    <row r="5256" ht="24" customHeight="1" spans="2:14">
      <c r="B5256" s="33"/>
      <c r="C5256" s="60"/>
      <c r="D5256" s="60"/>
      <c r="E5256" s="60"/>
      <c r="F5256" s="60"/>
      <c r="G5256" s="60"/>
      <c r="H5256" s="60"/>
      <c r="I5256" s="60"/>
      <c r="J5256" s="60"/>
      <c r="K5256" s="60"/>
      <c r="L5256" s="60"/>
      <c r="M5256" s="64"/>
      <c r="N5256" s="33"/>
    </row>
    <row r="5257" ht="24" customHeight="1" spans="2:14">
      <c r="B5257" s="33"/>
      <c r="C5257" s="60"/>
      <c r="D5257" s="60"/>
      <c r="E5257" s="60"/>
      <c r="F5257" s="60"/>
      <c r="G5257" s="60"/>
      <c r="H5257" s="60"/>
      <c r="I5257" s="60"/>
      <c r="J5257" s="60"/>
      <c r="K5257" s="60"/>
      <c r="L5257" s="60"/>
      <c r="M5257" s="64"/>
      <c r="N5257" s="33"/>
    </row>
    <row r="5258" ht="24" customHeight="1" spans="2:14">
      <c r="B5258" s="33"/>
      <c r="C5258" s="60"/>
      <c r="D5258" s="60"/>
      <c r="E5258" s="60"/>
      <c r="F5258" s="60"/>
      <c r="G5258" s="60"/>
      <c r="H5258" s="60"/>
      <c r="I5258" s="60"/>
      <c r="J5258" s="60"/>
      <c r="K5258" s="60"/>
      <c r="L5258" s="60"/>
      <c r="M5258" s="64"/>
      <c r="N5258" s="33"/>
    </row>
    <row r="5259" ht="24" customHeight="1" spans="2:14">
      <c r="B5259" s="33"/>
      <c r="C5259" s="60"/>
      <c r="D5259" s="60"/>
      <c r="E5259" s="60"/>
      <c r="F5259" s="60"/>
      <c r="G5259" s="60"/>
      <c r="H5259" s="60"/>
      <c r="I5259" s="60"/>
      <c r="J5259" s="60"/>
      <c r="K5259" s="60"/>
      <c r="L5259" s="60"/>
      <c r="M5259" s="64"/>
      <c r="N5259" s="33"/>
    </row>
    <row r="5260" ht="24" customHeight="1" spans="2:14">
      <c r="B5260" s="33"/>
      <c r="C5260" s="60"/>
      <c r="D5260" s="60"/>
      <c r="E5260" s="60"/>
      <c r="F5260" s="60"/>
      <c r="G5260" s="60"/>
      <c r="H5260" s="60"/>
      <c r="I5260" s="60"/>
      <c r="J5260" s="60"/>
      <c r="K5260" s="60"/>
      <c r="L5260" s="60"/>
      <c r="M5260" s="64"/>
      <c r="N5260" s="33"/>
    </row>
    <row r="5261" ht="24" customHeight="1" spans="2:14">
      <c r="B5261" s="33"/>
      <c r="C5261" s="60"/>
      <c r="D5261" s="60"/>
      <c r="E5261" s="60"/>
      <c r="F5261" s="60"/>
      <c r="G5261" s="60"/>
      <c r="H5261" s="60"/>
      <c r="I5261" s="60"/>
      <c r="J5261" s="60"/>
      <c r="K5261" s="60"/>
      <c r="L5261" s="60"/>
      <c r="M5261" s="64"/>
      <c r="N5261" s="33"/>
    </row>
    <row r="5262" ht="24" customHeight="1" spans="2:14">
      <c r="B5262" s="33"/>
      <c r="C5262" s="60"/>
      <c r="D5262" s="60"/>
      <c r="E5262" s="60"/>
      <c r="F5262" s="60"/>
      <c r="G5262" s="60"/>
      <c r="H5262" s="60"/>
      <c r="I5262" s="60"/>
      <c r="J5262" s="60"/>
      <c r="K5262" s="60"/>
      <c r="L5262" s="60"/>
      <c r="M5262" s="64"/>
      <c r="N5262" s="33"/>
    </row>
    <row r="5263" ht="24" customHeight="1" spans="2:14">
      <c r="B5263" s="33"/>
      <c r="C5263" s="60"/>
      <c r="D5263" s="60"/>
      <c r="E5263" s="60"/>
      <c r="F5263" s="60"/>
      <c r="G5263" s="60"/>
      <c r="H5263" s="60"/>
      <c r="I5263" s="60"/>
      <c r="J5263" s="60"/>
      <c r="K5263" s="60"/>
      <c r="L5263" s="60"/>
      <c r="M5263" s="64"/>
      <c r="N5263" s="33"/>
    </row>
    <row r="5264" ht="24" customHeight="1" spans="2:14">
      <c r="B5264" s="33"/>
      <c r="C5264" s="60"/>
      <c r="D5264" s="60"/>
      <c r="E5264" s="60"/>
      <c r="F5264" s="60"/>
      <c r="G5264" s="60"/>
      <c r="H5264" s="60"/>
      <c r="I5264" s="60"/>
      <c r="J5264" s="60"/>
      <c r="K5264" s="60"/>
      <c r="L5264" s="60"/>
      <c r="M5264" s="64"/>
      <c r="N5264" s="33"/>
    </row>
    <row r="5265" ht="24" customHeight="1" spans="2:14">
      <c r="B5265" s="33"/>
      <c r="C5265" s="60"/>
      <c r="D5265" s="60"/>
      <c r="E5265" s="60"/>
      <c r="F5265" s="60"/>
      <c r="G5265" s="60"/>
      <c r="H5265" s="60"/>
      <c r="I5265" s="60"/>
      <c r="J5265" s="60"/>
      <c r="K5265" s="60"/>
      <c r="L5265" s="60"/>
      <c r="M5265" s="64"/>
      <c r="N5265" s="33"/>
    </row>
    <row r="5266" ht="24" customHeight="1" spans="2:14">
      <c r="B5266" s="33"/>
      <c r="C5266" s="60"/>
      <c r="D5266" s="60"/>
      <c r="E5266" s="60"/>
      <c r="F5266" s="60"/>
      <c r="G5266" s="60"/>
      <c r="H5266" s="60"/>
      <c r="I5266" s="60"/>
      <c r="J5266" s="60"/>
      <c r="K5266" s="60"/>
      <c r="L5266" s="60"/>
      <c r="M5266" s="64"/>
      <c r="N5266" s="33"/>
    </row>
    <row r="5267" ht="24" customHeight="1" spans="2:14">
      <c r="B5267" s="33"/>
      <c r="C5267" s="60"/>
      <c r="D5267" s="60"/>
      <c r="E5267" s="60"/>
      <c r="F5267" s="60"/>
      <c r="G5267" s="60"/>
      <c r="H5267" s="60"/>
      <c r="I5267" s="60"/>
      <c r="J5267" s="60"/>
      <c r="K5267" s="60"/>
      <c r="L5267" s="60"/>
      <c r="M5267" s="64"/>
      <c r="N5267" s="33"/>
    </row>
    <row r="5268" ht="24" customHeight="1" spans="2:14">
      <c r="B5268" s="33"/>
      <c r="C5268" s="60"/>
      <c r="D5268" s="60"/>
      <c r="E5268" s="60"/>
      <c r="F5268" s="60"/>
      <c r="G5268" s="60"/>
      <c r="H5268" s="60"/>
      <c r="I5268" s="60"/>
      <c r="J5268" s="60"/>
      <c r="K5268" s="60"/>
      <c r="L5268" s="60"/>
      <c r="M5268" s="64"/>
      <c r="N5268" s="33"/>
    </row>
    <row r="5269" ht="24" customHeight="1" spans="2:14">
      <c r="B5269" s="33"/>
      <c r="C5269" s="60"/>
      <c r="D5269" s="60"/>
      <c r="E5269" s="60"/>
      <c r="F5269" s="60"/>
      <c r="G5269" s="60"/>
      <c r="H5269" s="60"/>
      <c r="I5269" s="60"/>
      <c r="J5269" s="60"/>
      <c r="K5269" s="60"/>
      <c r="L5269" s="60"/>
      <c r="M5269" s="64"/>
      <c r="N5269" s="33"/>
    </row>
    <row r="5270" ht="24" customHeight="1" spans="2:14">
      <c r="B5270" s="33"/>
      <c r="C5270" s="60"/>
      <c r="D5270" s="60"/>
      <c r="E5270" s="60"/>
      <c r="F5270" s="60"/>
      <c r="G5270" s="60"/>
      <c r="H5270" s="60"/>
      <c r="I5270" s="60"/>
      <c r="J5270" s="60"/>
      <c r="K5270" s="60"/>
      <c r="L5270" s="60"/>
      <c r="M5270" s="64"/>
      <c r="N5270" s="33"/>
    </row>
    <row r="5271" ht="24" customHeight="1" spans="2:14">
      <c r="B5271" s="33"/>
      <c r="C5271" s="60"/>
      <c r="D5271" s="60"/>
      <c r="E5271" s="60"/>
      <c r="F5271" s="60"/>
      <c r="G5271" s="60"/>
      <c r="H5271" s="60"/>
      <c r="I5271" s="60"/>
      <c r="J5271" s="60"/>
      <c r="K5271" s="60"/>
      <c r="L5271" s="60"/>
      <c r="M5271" s="64"/>
      <c r="N5271" s="33"/>
    </row>
    <row r="5272" ht="24" customHeight="1" spans="2:14">
      <c r="B5272" s="33"/>
      <c r="C5272" s="60"/>
      <c r="D5272" s="60"/>
      <c r="E5272" s="60"/>
      <c r="F5272" s="60"/>
      <c r="G5272" s="60"/>
      <c r="H5272" s="60"/>
      <c r="I5272" s="60"/>
      <c r="J5272" s="60"/>
      <c r="K5272" s="60"/>
      <c r="L5272" s="60"/>
      <c r="M5272" s="64"/>
      <c r="N5272" s="33"/>
    </row>
    <row r="5273" ht="24" customHeight="1" spans="2:14">
      <c r="B5273" s="33"/>
      <c r="C5273" s="60"/>
      <c r="D5273" s="60"/>
      <c r="E5273" s="60"/>
      <c r="F5273" s="60"/>
      <c r="G5273" s="60"/>
      <c r="H5273" s="60"/>
      <c r="I5273" s="60"/>
      <c r="J5273" s="60"/>
      <c r="K5273" s="60"/>
      <c r="L5273" s="60"/>
      <c r="M5273" s="64"/>
      <c r="N5273" s="33"/>
    </row>
    <row r="5274" ht="24" customHeight="1" spans="2:14">
      <c r="B5274" s="33"/>
      <c r="C5274" s="60"/>
      <c r="D5274" s="60"/>
      <c r="E5274" s="60"/>
      <c r="F5274" s="60"/>
      <c r="G5274" s="60"/>
      <c r="H5274" s="60"/>
      <c r="I5274" s="60"/>
      <c r="J5274" s="60"/>
      <c r="K5274" s="60"/>
      <c r="L5274" s="60"/>
      <c r="M5274" s="64"/>
      <c r="N5274" s="33"/>
    </row>
    <row r="5275" ht="24" customHeight="1" spans="2:14">
      <c r="B5275" s="33"/>
      <c r="C5275" s="60"/>
      <c r="D5275" s="60"/>
      <c r="E5275" s="60"/>
      <c r="F5275" s="60"/>
      <c r="G5275" s="60"/>
      <c r="H5275" s="60"/>
      <c r="I5275" s="60"/>
      <c r="J5275" s="60"/>
      <c r="K5275" s="60"/>
      <c r="L5275" s="60"/>
      <c r="M5275" s="64"/>
      <c r="N5275" s="33"/>
    </row>
    <row r="5276" ht="24" customHeight="1" spans="2:14">
      <c r="B5276" s="33"/>
      <c r="C5276" s="60"/>
      <c r="D5276" s="60"/>
      <c r="E5276" s="60"/>
      <c r="F5276" s="60"/>
      <c r="G5276" s="60"/>
      <c r="H5276" s="60"/>
      <c r="I5276" s="60"/>
      <c r="J5276" s="60"/>
      <c r="K5276" s="60"/>
      <c r="L5276" s="60"/>
      <c r="M5276" s="64"/>
      <c r="N5276" s="33"/>
    </row>
    <row r="5277" ht="24" customHeight="1" spans="2:14">
      <c r="B5277" s="33"/>
      <c r="C5277" s="60"/>
      <c r="D5277" s="60"/>
      <c r="E5277" s="60"/>
      <c r="F5277" s="60"/>
      <c r="G5277" s="60"/>
      <c r="H5277" s="60"/>
      <c r="I5277" s="60"/>
      <c r="J5277" s="60"/>
      <c r="K5277" s="60"/>
      <c r="L5277" s="60"/>
      <c r="M5277" s="64"/>
      <c r="N5277" s="33"/>
    </row>
    <row r="5278" ht="24" customHeight="1" spans="2:14">
      <c r="B5278" s="33"/>
      <c r="C5278" s="60"/>
      <c r="D5278" s="60"/>
      <c r="E5278" s="60"/>
      <c r="F5278" s="60"/>
      <c r="G5278" s="60"/>
      <c r="H5278" s="60"/>
      <c r="I5278" s="60"/>
      <c r="J5278" s="60"/>
      <c r="K5278" s="60"/>
      <c r="L5278" s="60"/>
      <c r="M5278" s="64"/>
      <c r="N5278" s="33"/>
    </row>
    <row r="5279" ht="24" customHeight="1" spans="2:14">
      <c r="B5279" s="33"/>
      <c r="C5279" s="60"/>
      <c r="D5279" s="60"/>
      <c r="E5279" s="60"/>
      <c r="F5279" s="60"/>
      <c r="G5279" s="60"/>
      <c r="H5279" s="60"/>
      <c r="I5279" s="60"/>
      <c r="J5279" s="60"/>
      <c r="K5279" s="60"/>
      <c r="L5279" s="60"/>
      <c r="M5279" s="64"/>
      <c r="N5279" s="33"/>
    </row>
    <row r="5280" ht="24" customHeight="1" spans="2:14">
      <c r="B5280" s="33"/>
      <c r="C5280" s="60"/>
      <c r="D5280" s="60"/>
      <c r="E5280" s="60"/>
      <c r="F5280" s="60"/>
      <c r="G5280" s="60"/>
      <c r="H5280" s="60"/>
      <c r="I5280" s="60"/>
      <c r="J5280" s="60"/>
      <c r="K5280" s="60"/>
      <c r="L5280" s="60"/>
      <c r="M5280" s="64"/>
      <c r="N5280" s="33"/>
    </row>
    <row r="5281" ht="24" customHeight="1" spans="2:14">
      <c r="B5281" s="33"/>
      <c r="C5281" s="60"/>
      <c r="D5281" s="60"/>
      <c r="E5281" s="60"/>
      <c r="F5281" s="60"/>
      <c r="G5281" s="60"/>
      <c r="H5281" s="60"/>
      <c r="I5281" s="60"/>
      <c r="J5281" s="60"/>
      <c r="K5281" s="60"/>
      <c r="L5281" s="60"/>
      <c r="M5281" s="64"/>
      <c r="N5281" s="33"/>
    </row>
    <row r="5282" ht="24" customHeight="1" spans="2:14">
      <c r="B5282" s="33"/>
      <c r="C5282" s="60"/>
      <c r="D5282" s="60"/>
      <c r="E5282" s="60"/>
      <c r="F5282" s="60"/>
      <c r="G5282" s="60"/>
      <c r="H5282" s="60"/>
      <c r="I5282" s="60"/>
      <c r="J5282" s="60"/>
      <c r="K5282" s="60"/>
      <c r="L5282" s="60"/>
      <c r="M5282" s="64"/>
      <c r="N5282" s="33"/>
    </row>
    <row r="5283" ht="24" customHeight="1" spans="2:14">
      <c r="B5283" s="33"/>
      <c r="C5283" s="60"/>
      <c r="D5283" s="60"/>
      <c r="E5283" s="60"/>
      <c r="F5283" s="60"/>
      <c r="G5283" s="60"/>
      <c r="H5283" s="60"/>
      <c r="I5283" s="60"/>
      <c r="J5283" s="60"/>
      <c r="K5283" s="60"/>
      <c r="L5283" s="60"/>
      <c r="M5283" s="64"/>
      <c r="N5283" s="33"/>
    </row>
    <row r="5284" ht="24" customHeight="1" spans="2:14">
      <c r="B5284" s="33"/>
      <c r="C5284" s="60"/>
      <c r="D5284" s="60"/>
      <c r="E5284" s="60"/>
      <c r="F5284" s="60"/>
      <c r="G5284" s="60"/>
      <c r="H5284" s="60"/>
      <c r="I5284" s="60"/>
      <c r="J5284" s="60"/>
      <c r="K5284" s="60"/>
      <c r="L5284" s="60"/>
      <c r="M5284" s="64"/>
      <c r="N5284" s="33"/>
    </row>
    <row r="5285" ht="24" customHeight="1" spans="2:14">
      <c r="B5285" s="33"/>
      <c r="C5285" s="60"/>
      <c r="D5285" s="60"/>
      <c r="E5285" s="60"/>
      <c r="F5285" s="60"/>
      <c r="G5285" s="60"/>
      <c r="H5285" s="60"/>
      <c r="I5285" s="60"/>
      <c r="J5285" s="60"/>
      <c r="K5285" s="60"/>
      <c r="L5285" s="60"/>
      <c r="M5285" s="64"/>
      <c r="N5285" s="33"/>
    </row>
    <row r="5286" ht="24" customHeight="1" spans="2:14">
      <c r="B5286" s="33"/>
      <c r="C5286" s="60"/>
      <c r="D5286" s="60"/>
      <c r="E5286" s="60"/>
      <c r="F5286" s="60"/>
      <c r="G5286" s="60"/>
      <c r="H5286" s="60"/>
      <c r="I5286" s="60"/>
      <c r="J5286" s="60"/>
      <c r="K5286" s="60"/>
      <c r="L5286" s="60"/>
      <c r="M5286" s="64"/>
      <c r="N5286" s="33"/>
    </row>
    <row r="5287" ht="24" customHeight="1" spans="2:14">
      <c r="B5287" s="33"/>
      <c r="C5287" s="60"/>
      <c r="D5287" s="60"/>
      <c r="E5287" s="60"/>
      <c r="F5287" s="60"/>
      <c r="G5287" s="60"/>
      <c r="H5287" s="60"/>
      <c r="I5287" s="60"/>
      <c r="J5287" s="60"/>
      <c r="K5287" s="60"/>
      <c r="L5287" s="60"/>
      <c r="M5287" s="64"/>
      <c r="N5287" s="33"/>
    </row>
    <row r="5288" ht="24" customHeight="1" spans="2:14">
      <c r="B5288" s="33"/>
      <c r="C5288" s="60"/>
      <c r="D5288" s="60"/>
      <c r="E5288" s="60"/>
      <c r="F5288" s="60"/>
      <c r="G5288" s="60"/>
      <c r="H5288" s="60"/>
      <c r="I5288" s="60"/>
      <c r="J5288" s="60"/>
      <c r="K5288" s="60"/>
      <c r="L5288" s="60"/>
      <c r="M5288" s="64"/>
      <c r="N5288" s="33"/>
    </row>
    <row r="5289" ht="24" customHeight="1" spans="2:14">
      <c r="B5289" s="33"/>
      <c r="C5289" s="60"/>
      <c r="D5289" s="60"/>
      <c r="E5289" s="60"/>
      <c r="F5289" s="60"/>
      <c r="G5289" s="60"/>
      <c r="H5289" s="60"/>
      <c r="I5289" s="60"/>
      <c r="J5289" s="60"/>
      <c r="K5289" s="60"/>
      <c r="L5289" s="60"/>
      <c r="M5289" s="64"/>
      <c r="N5289" s="33"/>
    </row>
    <row r="5290" ht="24" customHeight="1" spans="2:14">
      <c r="B5290" s="33"/>
      <c r="C5290" s="60"/>
      <c r="D5290" s="60"/>
      <c r="E5290" s="60"/>
      <c r="F5290" s="60"/>
      <c r="G5290" s="60"/>
      <c r="H5290" s="60"/>
      <c r="I5290" s="60"/>
      <c r="J5290" s="60"/>
      <c r="K5290" s="60"/>
      <c r="L5290" s="60"/>
      <c r="M5290" s="64"/>
      <c r="N5290" s="33"/>
    </row>
    <row r="5291" ht="24" customHeight="1" spans="2:14">
      <c r="B5291" s="33"/>
      <c r="C5291" s="60"/>
      <c r="D5291" s="60"/>
      <c r="E5291" s="60"/>
      <c r="F5291" s="60"/>
      <c r="G5291" s="60"/>
      <c r="H5291" s="60"/>
      <c r="I5291" s="60"/>
      <c r="J5291" s="60"/>
      <c r="K5291" s="60"/>
      <c r="L5291" s="60"/>
      <c r="M5291" s="64"/>
      <c r="N5291" s="33"/>
    </row>
    <row r="5292" ht="24" customHeight="1" spans="2:14">
      <c r="B5292" s="33"/>
      <c r="C5292" s="60"/>
      <c r="D5292" s="60"/>
      <c r="E5292" s="60"/>
      <c r="F5292" s="60"/>
      <c r="G5292" s="60"/>
      <c r="H5292" s="60"/>
      <c r="I5292" s="60"/>
      <c r="J5292" s="60"/>
      <c r="K5292" s="60"/>
      <c r="L5292" s="60"/>
      <c r="M5292" s="64"/>
      <c r="N5292" s="33"/>
    </row>
    <row r="5293" ht="24" customHeight="1" spans="2:14">
      <c r="B5293" s="33"/>
      <c r="C5293" s="60"/>
      <c r="D5293" s="60"/>
      <c r="E5293" s="60"/>
      <c r="F5293" s="60"/>
      <c r="G5293" s="60"/>
      <c r="H5293" s="60"/>
      <c r="I5293" s="60"/>
      <c r="J5293" s="60"/>
      <c r="K5293" s="60"/>
      <c r="L5293" s="60"/>
      <c r="M5293" s="64"/>
      <c r="N5293" s="33"/>
    </row>
    <row r="5294" ht="24" customHeight="1" spans="2:14">
      <c r="B5294" s="33"/>
      <c r="C5294" s="60"/>
      <c r="D5294" s="60"/>
      <c r="E5294" s="60"/>
      <c r="F5294" s="60"/>
      <c r="G5294" s="60"/>
      <c r="H5294" s="60"/>
      <c r="I5294" s="60"/>
      <c r="J5294" s="60"/>
      <c r="K5294" s="60"/>
      <c r="L5294" s="60"/>
      <c r="M5294" s="64"/>
      <c r="N5294" s="33"/>
    </row>
    <row r="5295" ht="24" customHeight="1" spans="2:14">
      <c r="B5295" s="33"/>
      <c r="C5295" s="60"/>
      <c r="D5295" s="60"/>
      <c r="E5295" s="60"/>
      <c r="F5295" s="60"/>
      <c r="G5295" s="60"/>
      <c r="H5295" s="60"/>
      <c r="I5295" s="60"/>
      <c r="J5295" s="60"/>
      <c r="K5295" s="60"/>
      <c r="L5295" s="60"/>
      <c r="M5295" s="64"/>
      <c r="N5295" s="33"/>
    </row>
    <row r="5296" ht="24" customHeight="1" spans="2:14">
      <c r="B5296" s="33"/>
      <c r="C5296" s="60"/>
      <c r="D5296" s="60"/>
      <c r="E5296" s="60"/>
      <c r="F5296" s="60"/>
      <c r="G5296" s="60"/>
      <c r="H5296" s="60"/>
      <c r="I5296" s="60"/>
      <c r="J5296" s="60"/>
      <c r="K5296" s="60"/>
      <c r="L5296" s="60"/>
      <c r="M5296" s="64"/>
      <c r="N5296" s="33"/>
    </row>
    <row r="5297" ht="24" customHeight="1" spans="2:14">
      <c r="B5297" s="33"/>
      <c r="C5297" s="60"/>
      <c r="D5297" s="60"/>
      <c r="E5297" s="60"/>
      <c r="F5297" s="60"/>
      <c r="G5297" s="60"/>
      <c r="H5297" s="60"/>
      <c r="I5297" s="60"/>
      <c r="J5297" s="60"/>
      <c r="K5297" s="60"/>
      <c r="L5297" s="60"/>
      <c r="M5297" s="64"/>
      <c r="N5297" s="33"/>
    </row>
    <row r="5298" ht="24" customHeight="1" spans="2:14">
      <c r="B5298" s="33"/>
      <c r="C5298" s="60"/>
      <c r="D5298" s="60"/>
      <c r="E5298" s="60"/>
      <c r="F5298" s="60"/>
      <c r="G5298" s="60"/>
      <c r="H5298" s="60"/>
      <c r="I5298" s="60"/>
      <c r="J5298" s="60"/>
      <c r="K5298" s="60"/>
      <c r="L5298" s="60"/>
      <c r="M5298" s="64"/>
      <c r="N5298" s="33"/>
    </row>
    <row r="5299" ht="24" customHeight="1" spans="2:14">
      <c r="B5299" s="33"/>
      <c r="C5299" s="60"/>
      <c r="D5299" s="60"/>
      <c r="E5299" s="60"/>
      <c r="F5299" s="60"/>
      <c r="G5299" s="60"/>
      <c r="H5299" s="60"/>
      <c r="I5299" s="60"/>
      <c r="J5299" s="60"/>
      <c r="K5299" s="60"/>
      <c r="L5299" s="60"/>
      <c r="M5299" s="64"/>
      <c r="N5299" s="33"/>
    </row>
    <row r="5300" ht="24" customHeight="1" spans="2:14">
      <c r="B5300" s="33"/>
      <c r="C5300" s="60"/>
      <c r="D5300" s="60"/>
      <c r="E5300" s="60"/>
      <c r="F5300" s="60"/>
      <c r="G5300" s="60"/>
      <c r="H5300" s="60"/>
      <c r="I5300" s="60"/>
      <c r="J5300" s="60"/>
      <c r="K5300" s="60"/>
      <c r="L5300" s="60"/>
      <c r="M5300" s="64"/>
      <c r="N5300" s="33"/>
    </row>
    <row r="5301" ht="24" customHeight="1" spans="2:14">
      <c r="B5301" s="33"/>
      <c r="C5301" s="60"/>
      <c r="D5301" s="60"/>
      <c r="E5301" s="60"/>
      <c r="F5301" s="60"/>
      <c r="G5301" s="60"/>
      <c r="H5301" s="60"/>
      <c r="I5301" s="60"/>
      <c r="J5301" s="60"/>
      <c r="K5301" s="60"/>
      <c r="L5301" s="60"/>
      <c r="M5301" s="64"/>
      <c r="N5301" s="33"/>
    </row>
    <row r="5302" ht="24" customHeight="1" spans="2:14">
      <c r="B5302" s="33"/>
      <c r="C5302" s="60"/>
      <c r="D5302" s="60"/>
      <c r="E5302" s="60"/>
      <c r="F5302" s="60"/>
      <c r="G5302" s="60"/>
      <c r="H5302" s="60"/>
      <c r="I5302" s="60"/>
      <c r="J5302" s="60"/>
      <c r="K5302" s="60"/>
      <c r="L5302" s="60"/>
      <c r="M5302" s="64"/>
      <c r="N5302" s="33"/>
    </row>
    <row r="5303" ht="24" customHeight="1" spans="2:14">
      <c r="B5303" s="33"/>
      <c r="C5303" s="60"/>
      <c r="D5303" s="60"/>
      <c r="E5303" s="60"/>
      <c r="F5303" s="60"/>
      <c r="G5303" s="60"/>
      <c r="H5303" s="60"/>
      <c r="I5303" s="60"/>
      <c r="J5303" s="60"/>
      <c r="K5303" s="60"/>
      <c r="L5303" s="60"/>
      <c r="M5303" s="64"/>
      <c r="N5303" s="33"/>
    </row>
    <row r="5304" ht="24" customHeight="1" spans="2:14">
      <c r="B5304" s="33"/>
      <c r="C5304" s="60"/>
      <c r="D5304" s="60"/>
      <c r="E5304" s="60"/>
      <c r="F5304" s="60"/>
      <c r="G5304" s="60"/>
      <c r="H5304" s="60"/>
      <c r="I5304" s="60"/>
      <c r="J5304" s="60"/>
      <c r="K5304" s="60"/>
      <c r="L5304" s="60"/>
      <c r="M5304" s="64"/>
      <c r="N5304" s="33"/>
    </row>
    <row r="5305" ht="24" customHeight="1" spans="2:14">
      <c r="B5305" s="33"/>
      <c r="C5305" s="60"/>
      <c r="D5305" s="60"/>
      <c r="E5305" s="60"/>
      <c r="F5305" s="60"/>
      <c r="G5305" s="60"/>
      <c r="H5305" s="60"/>
      <c r="I5305" s="60"/>
      <c r="J5305" s="60"/>
      <c r="K5305" s="60"/>
      <c r="L5305" s="60"/>
      <c r="M5305" s="64"/>
      <c r="N5305" s="33"/>
    </row>
    <row r="5306" ht="24" customHeight="1" spans="2:14">
      <c r="B5306" s="33"/>
      <c r="C5306" s="60"/>
      <c r="D5306" s="60"/>
      <c r="E5306" s="60"/>
      <c r="F5306" s="60"/>
      <c r="G5306" s="60"/>
      <c r="H5306" s="60"/>
      <c r="I5306" s="60"/>
      <c r="J5306" s="60"/>
      <c r="K5306" s="60"/>
      <c r="L5306" s="60"/>
      <c r="M5306" s="64"/>
      <c r="N5306" s="33"/>
    </row>
    <row r="5307" ht="24" customHeight="1" spans="2:14">
      <c r="B5307" s="33"/>
      <c r="C5307" s="60"/>
      <c r="D5307" s="60"/>
      <c r="E5307" s="60"/>
      <c r="F5307" s="60"/>
      <c r="G5307" s="60"/>
      <c r="H5307" s="60"/>
      <c r="I5307" s="60"/>
      <c r="J5307" s="60"/>
      <c r="K5307" s="60"/>
      <c r="L5307" s="60"/>
      <c r="M5307" s="64"/>
      <c r="N5307" s="33"/>
    </row>
    <row r="5308" ht="24" customHeight="1" spans="2:14">
      <c r="B5308" s="33"/>
      <c r="C5308" s="60"/>
      <c r="D5308" s="60"/>
      <c r="E5308" s="60"/>
      <c r="F5308" s="60"/>
      <c r="G5308" s="60"/>
      <c r="H5308" s="60"/>
      <c r="I5308" s="60"/>
      <c r="J5308" s="60"/>
      <c r="K5308" s="60"/>
      <c r="L5308" s="60"/>
      <c r="M5308" s="64"/>
      <c r="N5308" s="33"/>
    </row>
    <row r="5309" ht="24" customHeight="1" spans="2:14">
      <c r="B5309" s="33"/>
      <c r="C5309" s="60"/>
      <c r="D5309" s="60"/>
      <c r="E5309" s="60"/>
      <c r="F5309" s="60"/>
      <c r="G5309" s="60"/>
      <c r="H5309" s="60"/>
      <c r="I5309" s="60"/>
      <c r="J5309" s="60"/>
      <c r="K5309" s="60"/>
      <c r="L5309" s="60"/>
      <c r="M5309" s="64"/>
      <c r="N5309" s="33"/>
    </row>
    <row r="5310" ht="24" customHeight="1" spans="2:14">
      <c r="B5310" s="33"/>
      <c r="C5310" s="60"/>
      <c r="D5310" s="60"/>
      <c r="E5310" s="60"/>
      <c r="F5310" s="60"/>
      <c r="G5310" s="60"/>
      <c r="H5310" s="60"/>
      <c r="I5310" s="60"/>
      <c r="J5310" s="60"/>
      <c r="K5310" s="60"/>
      <c r="L5310" s="60"/>
      <c r="M5310" s="64"/>
      <c r="N5310" s="33"/>
    </row>
    <row r="5311" ht="24" customHeight="1" spans="2:14">
      <c r="B5311" s="33"/>
      <c r="C5311" s="60"/>
      <c r="D5311" s="60"/>
      <c r="E5311" s="60"/>
      <c r="F5311" s="60"/>
      <c r="G5311" s="60"/>
      <c r="H5311" s="60"/>
      <c r="I5311" s="60"/>
      <c r="J5311" s="60"/>
      <c r="K5311" s="60"/>
      <c r="L5311" s="60"/>
      <c r="M5311" s="64"/>
      <c r="N5311" s="33"/>
    </row>
    <row r="5312" ht="24" customHeight="1" spans="2:14">
      <c r="B5312" s="33"/>
      <c r="C5312" s="60"/>
      <c r="D5312" s="60"/>
      <c r="E5312" s="60"/>
      <c r="F5312" s="60"/>
      <c r="G5312" s="60"/>
      <c r="H5312" s="60"/>
      <c r="I5312" s="60"/>
      <c r="J5312" s="60"/>
      <c r="K5312" s="60"/>
      <c r="L5312" s="60"/>
      <c r="M5312" s="64"/>
      <c r="N5312" s="33"/>
    </row>
    <row r="5313" ht="24" customHeight="1" spans="2:14">
      <c r="B5313" s="33"/>
      <c r="C5313" s="60"/>
      <c r="D5313" s="60"/>
      <c r="E5313" s="60"/>
      <c r="F5313" s="60"/>
      <c r="G5313" s="60"/>
      <c r="H5313" s="60"/>
      <c r="I5313" s="60"/>
      <c r="J5313" s="60"/>
      <c r="K5313" s="60"/>
      <c r="L5313" s="60"/>
      <c r="M5313" s="64"/>
      <c r="N5313" s="33"/>
    </row>
    <row r="5314" ht="24" customHeight="1" spans="2:14">
      <c r="B5314" s="33"/>
      <c r="C5314" s="60"/>
      <c r="D5314" s="60"/>
      <c r="E5314" s="60"/>
      <c r="F5314" s="60"/>
      <c r="G5314" s="60"/>
      <c r="H5314" s="60"/>
      <c r="I5314" s="60"/>
      <c r="J5314" s="60"/>
      <c r="K5314" s="60"/>
      <c r="L5314" s="60"/>
      <c r="M5314" s="64"/>
      <c r="N5314" s="33"/>
    </row>
    <row r="5315" ht="24" customHeight="1" spans="2:14">
      <c r="B5315" s="33"/>
      <c r="C5315" s="60"/>
      <c r="D5315" s="60"/>
      <c r="E5315" s="60"/>
      <c r="F5315" s="60"/>
      <c r="G5315" s="60"/>
      <c r="H5315" s="60"/>
      <c r="I5315" s="60"/>
      <c r="J5315" s="60"/>
      <c r="K5315" s="60"/>
      <c r="L5315" s="60"/>
      <c r="M5315" s="64"/>
      <c r="N5315" s="33"/>
    </row>
    <row r="5316" ht="24" customHeight="1" spans="2:14">
      <c r="B5316" s="33"/>
      <c r="C5316" s="60"/>
      <c r="D5316" s="60"/>
      <c r="E5316" s="60"/>
      <c r="F5316" s="60"/>
      <c r="G5316" s="60"/>
      <c r="H5316" s="60"/>
      <c r="I5316" s="60"/>
      <c r="J5316" s="60"/>
      <c r="K5316" s="60"/>
      <c r="L5316" s="60"/>
      <c r="M5316" s="64"/>
      <c r="N5316" s="33"/>
    </row>
    <row r="5317" ht="24" customHeight="1" spans="2:14">
      <c r="B5317" s="33"/>
      <c r="C5317" s="60"/>
      <c r="D5317" s="60"/>
      <c r="E5317" s="60"/>
      <c r="F5317" s="60"/>
      <c r="G5317" s="60"/>
      <c r="H5317" s="60"/>
      <c r="I5317" s="60"/>
      <c r="J5317" s="60"/>
      <c r="K5317" s="60"/>
      <c r="L5317" s="60"/>
      <c r="M5317" s="64"/>
      <c r="N5317" s="33"/>
    </row>
    <row r="5318" ht="24" customHeight="1" spans="2:14">
      <c r="B5318" s="33"/>
      <c r="C5318" s="60"/>
      <c r="D5318" s="60"/>
      <c r="E5318" s="60"/>
      <c r="F5318" s="60"/>
      <c r="G5318" s="60"/>
      <c r="H5318" s="60"/>
      <c r="I5318" s="60"/>
      <c r="J5318" s="60"/>
      <c r="K5318" s="60"/>
      <c r="L5318" s="60"/>
      <c r="M5318" s="64"/>
      <c r="N5318" s="33"/>
    </row>
    <row r="5319" ht="24" customHeight="1" spans="2:14">
      <c r="B5319" s="33"/>
      <c r="C5319" s="60"/>
      <c r="D5319" s="60"/>
      <c r="E5319" s="60"/>
      <c r="F5319" s="60"/>
      <c r="G5319" s="60"/>
      <c r="H5319" s="60"/>
      <c r="I5319" s="60"/>
      <c r="J5319" s="60"/>
      <c r="K5319" s="60"/>
      <c r="L5319" s="60"/>
      <c r="M5319" s="64"/>
      <c r="N5319" s="33"/>
    </row>
    <row r="5320" ht="24" customHeight="1" spans="2:14">
      <c r="B5320" s="33"/>
      <c r="C5320" s="60"/>
      <c r="D5320" s="60"/>
      <c r="E5320" s="60"/>
      <c r="F5320" s="60"/>
      <c r="G5320" s="60"/>
      <c r="H5320" s="60"/>
      <c r="I5320" s="60"/>
      <c r="J5320" s="60"/>
      <c r="K5320" s="60"/>
      <c r="L5320" s="60"/>
      <c r="M5320" s="64"/>
      <c r="N5320" s="33"/>
    </row>
    <row r="5321" ht="24" customHeight="1" spans="2:14">
      <c r="B5321" s="33"/>
      <c r="C5321" s="60"/>
      <c r="D5321" s="60"/>
      <c r="E5321" s="60"/>
      <c r="F5321" s="60"/>
      <c r="G5321" s="60"/>
      <c r="H5321" s="60"/>
      <c r="I5321" s="60"/>
      <c r="J5321" s="60"/>
      <c r="K5321" s="60"/>
      <c r="L5321" s="60"/>
      <c r="M5321" s="64"/>
      <c r="N5321" s="33"/>
    </row>
    <row r="5322" ht="24" customHeight="1" spans="2:14">
      <c r="B5322" s="33"/>
      <c r="C5322" s="60"/>
      <c r="D5322" s="60"/>
      <c r="E5322" s="60"/>
      <c r="F5322" s="60"/>
      <c r="G5322" s="60"/>
      <c r="H5322" s="60"/>
      <c r="I5322" s="60"/>
      <c r="J5322" s="60"/>
      <c r="K5322" s="60"/>
      <c r="L5322" s="60"/>
      <c r="M5322" s="64"/>
      <c r="N5322" s="33"/>
    </row>
    <row r="5323" ht="24" customHeight="1" spans="2:14">
      <c r="B5323" s="33"/>
      <c r="C5323" s="60"/>
      <c r="D5323" s="60"/>
      <c r="E5323" s="60"/>
      <c r="F5323" s="60"/>
      <c r="G5323" s="60"/>
      <c r="H5323" s="60"/>
      <c r="I5323" s="60"/>
      <c r="J5323" s="60"/>
      <c r="K5323" s="60"/>
      <c r="L5323" s="60"/>
      <c r="M5323" s="64"/>
      <c r="N5323" s="33"/>
    </row>
    <row r="5324" ht="24" customHeight="1" spans="2:14">
      <c r="B5324" s="33"/>
      <c r="C5324" s="60"/>
      <c r="D5324" s="60"/>
      <c r="E5324" s="60"/>
      <c r="F5324" s="60"/>
      <c r="G5324" s="60"/>
      <c r="H5324" s="60"/>
      <c r="I5324" s="60"/>
      <c r="J5324" s="60"/>
      <c r="K5324" s="60"/>
      <c r="L5324" s="60"/>
      <c r="M5324" s="64"/>
      <c r="N5324" s="33"/>
    </row>
    <row r="5325" ht="24" customHeight="1" spans="2:14">
      <c r="B5325" s="33"/>
      <c r="C5325" s="60"/>
      <c r="D5325" s="60"/>
      <c r="E5325" s="60"/>
      <c r="F5325" s="60"/>
      <c r="G5325" s="60"/>
      <c r="H5325" s="60"/>
      <c r="I5325" s="60"/>
      <c r="J5325" s="60"/>
      <c r="K5325" s="60"/>
      <c r="L5325" s="60"/>
      <c r="M5325" s="64"/>
      <c r="N5325" s="33"/>
    </row>
    <row r="5326" ht="24" customHeight="1" spans="2:14">
      <c r="B5326" s="33"/>
      <c r="C5326" s="60"/>
      <c r="D5326" s="60"/>
      <c r="E5326" s="60"/>
      <c r="F5326" s="60"/>
      <c r="G5326" s="60"/>
      <c r="H5326" s="60"/>
      <c r="I5326" s="60"/>
      <c r="J5326" s="60"/>
      <c r="K5326" s="60"/>
      <c r="L5326" s="60"/>
      <c r="M5326" s="64"/>
      <c r="N5326" s="33"/>
    </row>
    <row r="5327" ht="24" customHeight="1" spans="2:14">
      <c r="B5327" s="33"/>
      <c r="C5327" s="60"/>
      <c r="D5327" s="60"/>
      <c r="E5327" s="60"/>
      <c r="F5327" s="60"/>
      <c r="G5327" s="60"/>
      <c r="H5327" s="60"/>
      <c r="I5327" s="60"/>
      <c r="J5327" s="60"/>
      <c r="K5327" s="60"/>
      <c r="L5327" s="60"/>
      <c r="M5327" s="64"/>
      <c r="N5327" s="33"/>
    </row>
    <row r="5328" ht="24" customHeight="1" spans="2:14">
      <c r="B5328" s="33"/>
      <c r="C5328" s="60"/>
      <c r="D5328" s="60"/>
      <c r="E5328" s="60"/>
      <c r="F5328" s="60"/>
      <c r="G5328" s="60"/>
      <c r="H5328" s="60"/>
      <c r="I5328" s="60"/>
      <c r="J5328" s="60"/>
      <c r="K5328" s="60"/>
      <c r="L5328" s="60"/>
      <c r="M5328" s="64"/>
      <c r="N5328" s="33"/>
    </row>
    <row r="5329" ht="24" customHeight="1" spans="2:14">
      <c r="B5329" s="33"/>
      <c r="C5329" s="60"/>
      <c r="D5329" s="60"/>
      <c r="E5329" s="60"/>
      <c r="F5329" s="60"/>
      <c r="G5329" s="60"/>
      <c r="H5329" s="60"/>
      <c r="I5329" s="60"/>
      <c r="J5329" s="60"/>
      <c r="K5329" s="60"/>
      <c r="L5329" s="60"/>
      <c r="M5329" s="64"/>
      <c r="N5329" s="33"/>
    </row>
    <row r="5330" ht="24" customHeight="1" spans="2:14">
      <c r="B5330" s="33"/>
      <c r="C5330" s="60"/>
      <c r="D5330" s="60"/>
      <c r="E5330" s="60"/>
      <c r="F5330" s="60"/>
      <c r="G5330" s="60"/>
      <c r="H5330" s="60"/>
      <c r="I5330" s="60"/>
      <c r="J5330" s="60"/>
      <c r="K5330" s="60"/>
      <c r="L5330" s="60"/>
      <c r="M5330" s="64"/>
      <c r="N5330" s="33"/>
    </row>
    <row r="5331" ht="24" customHeight="1" spans="2:14">
      <c r="B5331" s="33"/>
      <c r="C5331" s="60"/>
      <c r="D5331" s="60"/>
      <c r="E5331" s="60"/>
      <c r="F5331" s="60"/>
      <c r="G5331" s="60"/>
      <c r="H5331" s="60"/>
      <c r="I5331" s="60"/>
      <c r="J5331" s="60"/>
      <c r="K5331" s="60"/>
      <c r="L5331" s="60"/>
      <c r="M5331" s="64"/>
      <c r="N5331" s="33"/>
    </row>
    <row r="5332" ht="24" customHeight="1" spans="2:14">
      <c r="B5332" s="33"/>
      <c r="C5332" s="60"/>
      <c r="D5332" s="60"/>
      <c r="E5332" s="60"/>
      <c r="F5332" s="60"/>
      <c r="G5332" s="60"/>
      <c r="H5332" s="60"/>
      <c r="I5332" s="60"/>
      <c r="J5332" s="60"/>
      <c r="K5332" s="60"/>
      <c r="L5332" s="60"/>
      <c r="M5332" s="64"/>
      <c r="N5332" s="33"/>
    </row>
    <row r="5333" ht="24" customHeight="1" spans="2:14">
      <c r="B5333" s="33"/>
      <c r="C5333" s="60"/>
      <c r="D5333" s="60"/>
      <c r="E5333" s="60"/>
      <c r="F5333" s="60"/>
      <c r="G5333" s="60"/>
      <c r="H5333" s="60"/>
      <c r="I5333" s="60"/>
      <c r="J5333" s="60"/>
      <c r="K5333" s="60"/>
      <c r="L5333" s="60"/>
      <c r="M5333" s="64"/>
      <c r="N5333" s="33"/>
    </row>
    <row r="5334" ht="24" customHeight="1" spans="2:14">
      <c r="B5334" s="33"/>
      <c r="C5334" s="60"/>
      <c r="D5334" s="60"/>
      <c r="E5334" s="60"/>
      <c r="F5334" s="60"/>
      <c r="G5334" s="60"/>
      <c r="H5334" s="60"/>
      <c r="I5334" s="60"/>
      <c r="J5334" s="60"/>
      <c r="K5334" s="60"/>
      <c r="L5334" s="60"/>
      <c r="M5334" s="64"/>
      <c r="N5334" s="33"/>
    </row>
    <row r="5335" ht="24" customHeight="1" spans="2:14">
      <c r="B5335" s="33"/>
      <c r="C5335" s="60"/>
      <c r="D5335" s="60"/>
      <c r="E5335" s="60"/>
      <c r="F5335" s="60"/>
      <c r="G5335" s="60"/>
      <c r="H5335" s="60"/>
      <c r="I5335" s="60"/>
      <c r="J5335" s="60"/>
      <c r="K5335" s="60"/>
      <c r="L5335" s="60"/>
      <c r="M5335" s="64"/>
      <c r="N5335" s="33"/>
    </row>
    <row r="5336" ht="24" customHeight="1" spans="2:14">
      <c r="B5336" s="33"/>
      <c r="C5336" s="60"/>
      <c r="D5336" s="60"/>
      <c r="E5336" s="60"/>
      <c r="F5336" s="60"/>
      <c r="G5336" s="60"/>
      <c r="H5336" s="60"/>
      <c r="I5336" s="60"/>
      <c r="J5336" s="60"/>
      <c r="K5336" s="60"/>
      <c r="L5336" s="60"/>
      <c r="M5336" s="64"/>
      <c r="N5336" s="33"/>
    </row>
    <row r="5337" ht="24" customHeight="1" spans="2:14">
      <c r="B5337" s="33"/>
      <c r="C5337" s="60"/>
      <c r="D5337" s="60"/>
      <c r="E5337" s="60"/>
      <c r="F5337" s="60"/>
      <c r="G5337" s="60"/>
      <c r="H5337" s="60"/>
      <c r="I5337" s="60"/>
      <c r="J5337" s="60"/>
      <c r="K5337" s="60"/>
      <c r="L5337" s="60"/>
      <c r="M5337" s="64"/>
      <c r="N5337" s="33"/>
    </row>
    <row r="5338" ht="24" customHeight="1" spans="2:14">
      <c r="B5338" s="33"/>
      <c r="C5338" s="60"/>
      <c r="D5338" s="60"/>
      <c r="E5338" s="60"/>
      <c r="F5338" s="60"/>
      <c r="G5338" s="60"/>
      <c r="H5338" s="60"/>
      <c r="I5338" s="60"/>
      <c r="J5338" s="60"/>
      <c r="K5338" s="60"/>
      <c r="L5338" s="60"/>
      <c r="M5338" s="64"/>
      <c r="N5338" s="33"/>
    </row>
    <row r="5339" ht="24" customHeight="1" spans="2:14">
      <c r="B5339" s="33"/>
      <c r="C5339" s="60"/>
      <c r="D5339" s="60"/>
      <c r="E5339" s="60"/>
      <c r="F5339" s="60"/>
      <c r="G5339" s="60"/>
      <c r="H5339" s="60"/>
      <c r="I5339" s="60"/>
      <c r="J5339" s="60"/>
      <c r="K5339" s="60"/>
      <c r="L5339" s="60"/>
      <c r="M5339" s="64"/>
      <c r="N5339" s="33"/>
    </row>
    <row r="5340" ht="24" customHeight="1" spans="2:14">
      <c r="B5340" s="33"/>
      <c r="C5340" s="60"/>
      <c r="D5340" s="60"/>
      <c r="E5340" s="60"/>
      <c r="F5340" s="60"/>
      <c r="G5340" s="60"/>
      <c r="H5340" s="60"/>
      <c r="I5340" s="60"/>
      <c r="J5340" s="60"/>
      <c r="K5340" s="60"/>
      <c r="L5340" s="60"/>
      <c r="M5340" s="64"/>
      <c r="N5340" s="33"/>
    </row>
    <row r="5341" ht="24" customHeight="1" spans="2:14">
      <c r="B5341" s="33"/>
      <c r="C5341" s="60"/>
      <c r="D5341" s="60"/>
      <c r="E5341" s="60"/>
      <c r="F5341" s="60"/>
      <c r="G5341" s="60"/>
      <c r="H5341" s="60"/>
      <c r="I5341" s="60"/>
      <c r="J5341" s="60"/>
      <c r="K5341" s="60"/>
      <c r="L5341" s="60"/>
      <c r="M5341" s="64"/>
      <c r="N5341" s="33"/>
    </row>
    <row r="5342" ht="24" customHeight="1" spans="2:14">
      <c r="B5342" s="33"/>
      <c r="C5342" s="60"/>
      <c r="D5342" s="60"/>
      <c r="E5342" s="60"/>
      <c r="F5342" s="60"/>
      <c r="G5342" s="60"/>
      <c r="H5342" s="60"/>
      <c r="I5342" s="60"/>
      <c r="J5342" s="60"/>
      <c r="K5342" s="60"/>
      <c r="L5342" s="60"/>
      <c r="M5342" s="64"/>
      <c r="N5342" s="33"/>
    </row>
    <row r="5343" ht="24" customHeight="1" spans="2:14">
      <c r="B5343" s="33"/>
      <c r="C5343" s="60"/>
      <c r="D5343" s="60"/>
      <c r="E5343" s="60"/>
      <c r="F5343" s="60"/>
      <c r="G5343" s="60"/>
      <c r="H5343" s="60"/>
      <c r="I5343" s="60"/>
      <c r="J5343" s="60"/>
      <c r="K5343" s="60"/>
      <c r="L5343" s="60"/>
      <c r="M5343" s="64"/>
      <c r="N5343" s="33"/>
    </row>
    <row r="5344" ht="24" customHeight="1" spans="2:14">
      <c r="B5344" s="33"/>
      <c r="C5344" s="60"/>
      <c r="D5344" s="60"/>
      <c r="E5344" s="60"/>
      <c r="F5344" s="60"/>
      <c r="G5344" s="60"/>
      <c r="H5344" s="60"/>
      <c r="I5344" s="60"/>
      <c r="J5344" s="60"/>
      <c r="K5344" s="60"/>
      <c r="L5344" s="60"/>
      <c r="M5344" s="64"/>
      <c r="N5344" s="33"/>
    </row>
    <row r="5345" ht="24" customHeight="1" spans="2:14">
      <c r="B5345" s="33"/>
      <c r="C5345" s="60"/>
      <c r="D5345" s="60"/>
      <c r="E5345" s="60"/>
      <c r="F5345" s="60"/>
      <c r="G5345" s="60"/>
      <c r="H5345" s="60"/>
      <c r="I5345" s="60"/>
      <c r="J5345" s="60"/>
      <c r="K5345" s="60"/>
      <c r="L5345" s="60"/>
      <c r="M5345" s="64"/>
      <c r="N5345" s="33"/>
    </row>
    <row r="5346" ht="24" customHeight="1" spans="2:14">
      <c r="B5346" s="33"/>
      <c r="C5346" s="60"/>
      <c r="D5346" s="60"/>
      <c r="E5346" s="60"/>
      <c r="F5346" s="60"/>
      <c r="G5346" s="60"/>
      <c r="H5346" s="60"/>
      <c r="I5346" s="60"/>
      <c r="J5346" s="60"/>
      <c r="K5346" s="60"/>
      <c r="L5346" s="60"/>
      <c r="M5346" s="64"/>
      <c r="N5346" s="33"/>
    </row>
    <row r="5347" ht="24" customHeight="1" spans="2:14">
      <c r="B5347" s="33"/>
      <c r="C5347" s="60"/>
      <c r="D5347" s="60"/>
      <c r="E5347" s="60"/>
      <c r="F5347" s="60"/>
      <c r="G5347" s="60"/>
      <c r="H5347" s="60"/>
      <c r="I5347" s="60"/>
      <c r="J5347" s="60"/>
      <c r="K5347" s="60"/>
      <c r="L5347" s="60"/>
      <c r="M5347" s="64"/>
      <c r="N5347" s="33"/>
    </row>
    <row r="5348" ht="24" customHeight="1" spans="2:14">
      <c r="B5348" s="33"/>
      <c r="C5348" s="60"/>
      <c r="D5348" s="60"/>
      <c r="E5348" s="60"/>
      <c r="F5348" s="60"/>
      <c r="G5348" s="60"/>
      <c r="H5348" s="60"/>
      <c r="I5348" s="60"/>
      <c r="J5348" s="60"/>
      <c r="K5348" s="60"/>
      <c r="L5348" s="60"/>
      <c r="M5348" s="64"/>
      <c r="N5348" s="33"/>
    </row>
    <row r="5349" ht="24" customHeight="1" spans="2:14">
      <c r="B5349" s="33"/>
      <c r="C5349" s="60"/>
      <c r="D5349" s="60"/>
      <c r="E5349" s="60"/>
      <c r="F5349" s="60"/>
      <c r="G5349" s="60"/>
      <c r="H5349" s="60"/>
      <c r="I5349" s="60"/>
      <c r="J5349" s="60"/>
      <c r="K5349" s="60"/>
      <c r="L5349" s="60"/>
      <c r="M5349" s="64"/>
      <c r="N5349" s="33"/>
    </row>
    <row r="5350" ht="24" customHeight="1" spans="2:14">
      <c r="B5350" s="33"/>
      <c r="C5350" s="60"/>
      <c r="D5350" s="60"/>
      <c r="E5350" s="60"/>
      <c r="F5350" s="60"/>
      <c r="G5350" s="60"/>
      <c r="H5350" s="60"/>
      <c r="I5350" s="60"/>
      <c r="J5350" s="60"/>
      <c r="K5350" s="60"/>
      <c r="L5350" s="60"/>
      <c r="M5350" s="64"/>
      <c r="N5350" s="33"/>
    </row>
    <row r="5351" ht="24" customHeight="1" spans="2:14">
      <c r="B5351" s="33"/>
      <c r="C5351" s="60"/>
      <c r="D5351" s="60"/>
      <c r="E5351" s="60"/>
      <c r="F5351" s="60"/>
      <c r="G5351" s="60"/>
      <c r="H5351" s="60"/>
      <c r="I5351" s="60"/>
      <c r="J5351" s="60"/>
      <c r="K5351" s="60"/>
      <c r="L5351" s="60"/>
      <c r="M5351" s="64"/>
      <c r="N5351" s="33"/>
    </row>
    <row r="5352" ht="24" customHeight="1" spans="2:14">
      <c r="B5352" s="33"/>
      <c r="C5352" s="60"/>
      <c r="D5352" s="60"/>
      <c r="E5352" s="60"/>
      <c r="F5352" s="60"/>
      <c r="G5352" s="60"/>
      <c r="H5352" s="60"/>
      <c r="I5352" s="60"/>
      <c r="J5352" s="60"/>
      <c r="K5352" s="60"/>
      <c r="L5352" s="60"/>
      <c r="M5352" s="64"/>
      <c r="N5352" s="33"/>
    </row>
    <row r="5353" ht="24" customHeight="1" spans="2:14">
      <c r="B5353" s="33"/>
      <c r="C5353" s="60"/>
      <c r="D5353" s="60"/>
      <c r="E5353" s="60"/>
      <c r="F5353" s="60"/>
      <c r="G5353" s="60"/>
      <c r="H5353" s="60"/>
      <c r="I5353" s="60"/>
      <c r="J5353" s="60"/>
      <c r="K5353" s="60"/>
      <c r="L5353" s="60"/>
      <c r="M5353" s="64"/>
      <c r="N5353" s="33"/>
    </row>
    <row r="5354" ht="24" customHeight="1" spans="2:14">
      <c r="B5354" s="33"/>
      <c r="C5354" s="60"/>
      <c r="D5354" s="60"/>
      <c r="E5354" s="60"/>
      <c r="F5354" s="60"/>
      <c r="G5354" s="60"/>
      <c r="H5354" s="60"/>
      <c r="I5354" s="60"/>
      <c r="J5354" s="60"/>
      <c r="K5354" s="60"/>
      <c r="L5354" s="60"/>
      <c r="M5354" s="64"/>
      <c r="N5354" s="33"/>
    </row>
    <row r="5355" ht="24" customHeight="1" spans="2:14">
      <c r="B5355" s="33"/>
      <c r="C5355" s="60"/>
      <c r="D5355" s="60"/>
      <c r="E5355" s="60"/>
      <c r="F5355" s="60"/>
      <c r="G5355" s="60"/>
      <c r="H5355" s="60"/>
      <c r="I5355" s="60"/>
      <c r="J5355" s="60"/>
      <c r="K5355" s="60"/>
      <c r="L5355" s="60"/>
      <c r="M5355" s="64"/>
      <c r="N5355" s="33"/>
    </row>
    <row r="5356" ht="24" customHeight="1" spans="2:14">
      <c r="B5356" s="33"/>
      <c r="C5356" s="60"/>
      <c r="D5356" s="60"/>
      <c r="E5356" s="60"/>
      <c r="F5356" s="60"/>
      <c r="G5356" s="60"/>
      <c r="H5356" s="60"/>
      <c r="I5356" s="60"/>
      <c r="J5356" s="60"/>
      <c r="K5356" s="60"/>
      <c r="L5356" s="60"/>
      <c r="M5356" s="64"/>
      <c r="N5356" s="33"/>
    </row>
    <row r="5357" ht="24" customHeight="1" spans="2:14">
      <c r="B5357" s="33"/>
      <c r="C5357" s="60"/>
      <c r="D5357" s="60"/>
      <c r="E5357" s="60"/>
      <c r="F5357" s="60"/>
      <c r="G5357" s="60"/>
      <c r="H5357" s="60"/>
      <c r="I5357" s="60"/>
      <c r="J5357" s="60"/>
      <c r="K5357" s="60"/>
      <c r="L5357" s="60"/>
      <c r="M5357" s="64"/>
      <c r="N5357" s="33"/>
    </row>
    <row r="5358" ht="24" customHeight="1" spans="2:14">
      <c r="B5358" s="33"/>
      <c r="C5358" s="60"/>
      <c r="D5358" s="60"/>
      <c r="E5358" s="60"/>
      <c r="F5358" s="60"/>
      <c r="G5358" s="60"/>
      <c r="H5358" s="60"/>
      <c r="I5358" s="60"/>
      <c r="J5358" s="60"/>
      <c r="K5358" s="60"/>
      <c r="L5358" s="60"/>
      <c r="M5358" s="64"/>
      <c r="N5358" s="33"/>
    </row>
    <row r="5359" ht="24" customHeight="1" spans="2:14">
      <c r="B5359" s="33"/>
      <c r="C5359" s="60"/>
      <c r="D5359" s="60"/>
      <c r="E5359" s="60"/>
      <c r="F5359" s="60"/>
      <c r="G5359" s="60"/>
      <c r="H5359" s="60"/>
      <c r="I5359" s="60"/>
      <c r="J5359" s="60"/>
      <c r="K5359" s="60"/>
      <c r="L5359" s="60"/>
      <c r="M5359" s="64"/>
      <c r="N5359" s="33"/>
    </row>
    <row r="5360" ht="24" customHeight="1" spans="2:14">
      <c r="B5360" s="33"/>
      <c r="C5360" s="60"/>
      <c r="D5360" s="60"/>
      <c r="E5360" s="60"/>
      <c r="F5360" s="60"/>
      <c r="G5360" s="60"/>
      <c r="H5360" s="60"/>
      <c r="I5360" s="60"/>
      <c r="J5360" s="60"/>
      <c r="K5360" s="60"/>
      <c r="L5360" s="60"/>
      <c r="M5360" s="64"/>
      <c r="N5360" s="33"/>
    </row>
    <row r="5361" ht="24" customHeight="1" spans="2:14">
      <c r="B5361" s="33"/>
      <c r="C5361" s="60"/>
      <c r="D5361" s="60"/>
      <c r="E5361" s="60"/>
      <c r="F5361" s="60"/>
      <c r="G5361" s="60"/>
      <c r="H5361" s="60"/>
      <c r="I5361" s="60"/>
      <c r="J5361" s="60"/>
      <c r="K5361" s="60"/>
      <c r="L5361" s="60"/>
      <c r="M5361" s="64"/>
      <c r="N5361" s="33"/>
    </row>
    <row r="5362" ht="24" customHeight="1" spans="2:14">
      <c r="B5362" s="33"/>
      <c r="C5362" s="60"/>
      <c r="D5362" s="60"/>
      <c r="E5362" s="60"/>
      <c r="F5362" s="60"/>
      <c r="G5362" s="60"/>
      <c r="H5362" s="60"/>
      <c r="I5362" s="60"/>
      <c r="J5362" s="60"/>
      <c r="K5362" s="60"/>
      <c r="L5362" s="60"/>
      <c r="M5362" s="64"/>
      <c r="N5362" s="33"/>
    </row>
    <row r="5363" ht="24" customHeight="1" spans="2:14">
      <c r="B5363" s="33"/>
      <c r="C5363" s="60"/>
      <c r="D5363" s="60"/>
      <c r="E5363" s="60"/>
      <c r="F5363" s="60"/>
      <c r="G5363" s="60"/>
      <c r="H5363" s="60"/>
      <c r="I5363" s="60"/>
      <c r="J5363" s="60"/>
      <c r="K5363" s="60"/>
      <c r="L5363" s="60"/>
      <c r="M5363" s="64"/>
      <c r="N5363" s="33"/>
    </row>
    <row r="5364" ht="24" customHeight="1" spans="2:14">
      <c r="B5364" s="33"/>
      <c r="C5364" s="60"/>
      <c r="D5364" s="60"/>
      <c r="E5364" s="60"/>
      <c r="F5364" s="60"/>
      <c r="G5364" s="60"/>
      <c r="H5364" s="60"/>
      <c r="I5364" s="60"/>
      <c r="J5364" s="60"/>
      <c r="K5364" s="60"/>
      <c r="L5364" s="60"/>
      <c r="M5364" s="64"/>
      <c r="N5364" s="33"/>
    </row>
    <row r="5365" ht="24" customHeight="1" spans="2:14">
      <c r="B5365" s="33"/>
      <c r="C5365" s="60"/>
      <c r="D5365" s="60"/>
      <c r="E5365" s="60"/>
      <c r="F5365" s="60"/>
      <c r="G5365" s="60"/>
      <c r="H5365" s="60"/>
      <c r="I5365" s="60"/>
      <c r="J5365" s="60"/>
      <c r="K5365" s="60"/>
      <c r="L5365" s="60"/>
      <c r="M5365" s="64"/>
      <c r="N5365" s="33"/>
    </row>
    <row r="5366" ht="24" customHeight="1" spans="2:14">
      <c r="B5366" s="33"/>
      <c r="C5366" s="60"/>
      <c r="D5366" s="60"/>
      <c r="E5366" s="60"/>
      <c r="F5366" s="60"/>
      <c r="G5366" s="60"/>
      <c r="H5366" s="60"/>
      <c r="I5366" s="60"/>
      <c r="J5366" s="60"/>
      <c r="K5366" s="60"/>
      <c r="L5366" s="60"/>
      <c r="M5366" s="64"/>
      <c r="N5366" s="33"/>
    </row>
    <row r="5367" ht="24" customHeight="1" spans="2:14">
      <c r="B5367" s="33"/>
      <c r="C5367" s="60"/>
      <c r="D5367" s="60"/>
      <c r="E5367" s="60"/>
      <c r="F5367" s="60"/>
      <c r="G5367" s="60"/>
      <c r="H5367" s="60"/>
      <c r="I5367" s="60"/>
      <c r="J5367" s="60"/>
      <c r="K5367" s="60"/>
      <c r="L5367" s="60"/>
      <c r="M5367" s="64"/>
      <c r="N5367" s="33"/>
    </row>
    <row r="5368" ht="24" customHeight="1" spans="2:14">
      <c r="B5368" s="33"/>
      <c r="C5368" s="60"/>
      <c r="D5368" s="60"/>
      <c r="E5368" s="60"/>
      <c r="F5368" s="60"/>
      <c r="G5368" s="60"/>
      <c r="H5368" s="60"/>
      <c r="I5368" s="60"/>
      <c r="J5368" s="60"/>
      <c r="K5368" s="60"/>
      <c r="L5368" s="60"/>
      <c r="M5368" s="64"/>
      <c r="N5368" s="33"/>
    </row>
    <row r="5369" ht="24" customHeight="1" spans="2:14">
      <c r="B5369" s="33"/>
      <c r="C5369" s="60"/>
      <c r="D5369" s="60"/>
      <c r="E5369" s="60"/>
      <c r="F5369" s="60"/>
      <c r="G5369" s="60"/>
      <c r="H5369" s="60"/>
      <c r="I5369" s="60"/>
      <c r="J5369" s="60"/>
      <c r="K5369" s="60"/>
      <c r="L5369" s="60"/>
      <c r="M5369" s="64"/>
      <c r="N5369" s="33"/>
    </row>
    <row r="5370" ht="24" customHeight="1" spans="2:14">
      <c r="B5370" s="33"/>
      <c r="C5370" s="60"/>
      <c r="D5370" s="60"/>
      <c r="E5370" s="60"/>
      <c r="F5370" s="60"/>
      <c r="G5370" s="60"/>
      <c r="H5370" s="60"/>
      <c r="I5370" s="60"/>
      <c r="J5370" s="60"/>
      <c r="K5370" s="60"/>
      <c r="L5370" s="60"/>
      <c r="M5370" s="64"/>
      <c r="N5370" s="33"/>
    </row>
    <row r="5371" ht="24" customHeight="1" spans="2:14">
      <c r="B5371" s="33"/>
      <c r="C5371" s="60"/>
      <c r="D5371" s="60"/>
      <c r="E5371" s="60"/>
      <c r="F5371" s="60"/>
      <c r="G5371" s="60"/>
      <c r="H5371" s="60"/>
      <c r="I5371" s="60"/>
      <c r="J5371" s="60"/>
      <c r="K5371" s="60"/>
      <c r="L5371" s="60"/>
      <c r="M5371" s="64"/>
      <c r="N5371" s="33"/>
    </row>
    <row r="5372" ht="24" customHeight="1" spans="2:14">
      <c r="B5372" s="33"/>
      <c r="C5372" s="60"/>
      <c r="D5372" s="60"/>
      <c r="E5372" s="60"/>
      <c r="F5372" s="60"/>
      <c r="G5372" s="60"/>
      <c r="H5372" s="60"/>
      <c r="I5372" s="60"/>
      <c r="J5372" s="60"/>
      <c r="K5372" s="60"/>
      <c r="L5372" s="60"/>
      <c r="M5372" s="64"/>
      <c r="N5372" s="33"/>
    </row>
    <row r="5373" ht="24" customHeight="1" spans="2:14">
      <c r="B5373" s="33"/>
      <c r="C5373" s="60"/>
      <c r="D5373" s="60"/>
      <c r="E5373" s="60"/>
      <c r="F5373" s="60"/>
      <c r="G5373" s="60"/>
      <c r="H5373" s="60"/>
      <c r="I5373" s="60"/>
      <c r="J5373" s="60"/>
      <c r="K5373" s="60"/>
      <c r="L5373" s="60"/>
      <c r="M5373" s="64"/>
      <c r="N5373" s="33"/>
    </row>
    <row r="5374" ht="24" customHeight="1" spans="2:14">
      <c r="B5374" s="33"/>
      <c r="C5374" s="60"/>
      <c r="D5374" s="60"/>
      <c r="E5374" s="60"/>
      <c r="F5374" s="60"/>
      <c r="G5374" s="60"/>
      <c r="H5374" s="60"/>
      <c r="I5374" s="60"/>
      <c r="J5374" s="60"/>
      <c r="K5374" s="60"/>
      <c r="L5374" s="60"/>
      <c r="M5374" s="64"/>
      <c r="N5374" s="33"/>
    </row>
    <row r="5375" ht="24" customHeight="1" spans="2:14">
      <c r="B5375" s="33"/>
      <c r="C5375" s="60"/>
      <c r="D5375" s="60"/>
      <c r="E5375" s="60"/>
      <c r="F5375" s="60"/>
      <c r="G5375" s="60"/>
      <c r="H5375" s="60"/>
      <c r="I5375" s="60"/>
      <c r="J5375" s="60"/>
      <c r="K5375" s="60"/>
      <c r="L5375" s="60"/>
      <c r="M5375" s="64"/>
      <c r="N5375" s="33"/>
    </row>
    <row r="5376" ht="24" customHeight="1" spans="2:14">
      <c r="B5376" s="33"/>
      <c r="C5376" s="60"/>
      <c r="D5376" s="60"/>
      <c r="E5376" s="60"/>
      <c r="F5376" s="60"/>
      <c r="G5376" s="60"/>
      <c r="H5376" s="60"/>
      <c r="I5376" s="60"/>
      <c r="J5376" s="60"/>
      <c r="K5376" s="60"/>
      <c r="L5376" s="60"/>
      <c r="M5376" s="64"/>
      <c r="N5376" s="33"/>
    </row>
    <row r="5377" ht="24" customHeight="1" spans="2:14">
      <c r="B5377" s="33"/>
      <c r="C5377" s="60"/>
      <c r="D5377" s="60"/>
      <c r="E5377" s="60"/>
      <c r="F5377" s="60"/>
      <c r="G5377" s="60"/>
      <c r="H5377" s="60"/>
      <c r="I5377" s="60"/>
      <c r="J5377" s="60"/>
      <c r="K5377" s="60"/>
      <c r="L5377" s="60"/>
      <c r="M5377" s="64"/>
      <c r="N5377" s="33"/>
    </row>
    <row r="5378" ht="24" customHeight="1" spans="2:14">
      <c r="B5378" s="33"/>
      <c r="C5378" s="60"/>
      <c r="D5378" s="60"/>
      <c r="E5378" s="60"/>
      <c r="F5378" s="60"/>
      <c r="G5378" s="60"/>
      <c r="H5378" s="60"/>
      <c r="I5378" s="60"/>
      <c r="J5378" s="60"/>
      <c r="K5378" s="60"/>
      <c r="L5378" s="60"/>
      <c r="M5378" s="64"/>
      <c r="N5378" s="33"/>
    </row>
    <row r="5379" ht="24" customHeight="1" spans="2:14">
      <c r="B5379" s="33"/>
      <c r="C5379" s="60"/>
      <c r="D5379" s="60"/>
      <c r="E5379" s="60"/>
      <c r="F5379" s="60"/>
      <c r="G5379" s="60"/>
      <c r="H5379" s="60"/>
      <c r="I5379" s="60"/>
      <c r="J5379" s="60"/>
      <c r="K5379" s="60"/>
      <c r="L5379" s="60"/>
      <c r="M5379" s="64"/>
      <c r="N5379" s="33"/>
    </row>
    <row r="5380" ht="24" customHeight="1" spans="2:14">
      <c r="B5380" s="33"/>
      <c r="C5380" s="60"/>
      <c r="D5380" s="60"/>
      <c r="E5380" s="60"/>
      <c r="F5380" s="60"/>
      <c r="G5380" s="60"/>
      <c r="H5380" s="60"/>
      <c r="I5380" s="60"/>
      <c r="J5380" s="60"/>
      <c r="K5380" s="60"/>
      <c r="L5380" s="60"/>
      <c r="M5380" s="64"/>
      <c r="N5380" s="33"/>
    </row>
    <row r="5381" ht="24" customHeight="1" spans="2:14">
      <c r="B5381" s="33"/>
      <c r="C5381" s="60"/>
      <c r="D5381" s="60"/>
      <c r="E5381" s="60"/>
      <c r="F5381" s="60"/>
      <c r="G5381" s="60"/>
      <c r="H5381" s="60"/>
      <c r="I5381" s="60"/>
      <c r="J5381" s="60"/>
      <c r="K5381" s="60"/>
      <c r="L5381" s="60"/>
      <c r="M5381" s="64"/>
      <c r="N5381" s="33"/>
    </row>
    <row r="5382" ht="24" customHeight="1" spans="2:14">
      <c r="B5382" s="33"/>
      <c r="C5382" s="60"/>
      <c r="D5382" s="60"/>
      <c r="E5382" s="60"/>
      <c r="F5382" s="60"/>
      <c r="G5382" s="60"/>
      <c r="H5382" s="60"/>
      <c r="I5382" s="60"/>
      <c r="J5382" s="60"/>
      <c r="K5382" s="60"/>
      <c r="L5382" s="60"/>
      <c r="M5382" s="64"/>
      <c r="N5382" s="33"/>
    </row>
    <row r="5383" ht="24" customHeight="1" spans="2:14">
      <c r="B5383" s="33"/>
      <c r="C5383" s="60"/>
      <c r="D5383" s="60"/>
      <c r="E5383" s="60"/>
      <c r="F5383" s="60"/>
      <c r="G5383" s="60"/>
      <c r="H5383" s="60"/>
      <c r="I5383" s="60"/>
      <c r="J5383" s="60"/>
      <c r="K5383" s="60"/>
      <c r="L5383" s="60"/>
      <c r="M5383" s="64"/>
      <c r="N5383" s="33"/>
    </row>
    <row r="5384" ht="24" customHeight="1" spans="2:14">
      <c r="B5384" s="33"/>
      <c r="C5384" s="60"/>
      <c r="D5384" s="60"/>
      <c r="E5384" s="60"/>
      <c r="F5384" s="60"/>
      <c r="G5384" s="60"/>
      <c r="H5384" s="60"/>
      <c r="I5384" s="60"/>
      <c r="J5384" s="60"/>
      <c r="K5384" s="60"/>
      <c r="L5384" s="60"/>
      <c r="M5384" s="64"/>
      <c r="N5384" s="33"/>
    </row>
    <row r="5385" ht="24" customHeight="1" spans="2:14">
      <c r="B5385" s="33"/>
      <c r="C5385" s="60"/>
      <c r="D5385" s="60"/>
      <c r="E5385" s="60"/>
      <c r="F5385" s="60"/>
      <c r="G5385" s="60"/>
      <c r="H5385" s="60"/>
      <c r="I5385" s="60"/>
      <c r="J5385" s="60"/>
      <c r="K5385" s="60"/>
      <c r="L5385" s="60"/>
      <c r="M5385" s="64"/>
      <c r="N5385" s="33"/>
    </row>
    <row r="5386" ht="24" customHeight="1" spans="2:14">
      <c r="B5386" s="33"/>
      <c r="C5386" s="60"/>
      <c r="D5386" s="60"/>
      <c r="E5386" s="60"/>
      <c r="F5386" s="60"/>
      <c r="G5386" s="60"/>
      <c r="H5386" s="60"/>
      <c r="I5386" s="60"/>
      <c r="J5386" s="60"/>
      <c r="K5386" s="60"/>
      <c r="L5386" s="60"/>
      <c r="M5386" s="64"/>
      <c r="N5386" s="33"/>
    </row>
    <row r="5387" ht="24" customHeight="1" spans="2:14">
      <c r="B5387" s="33"/>
      <c r="C5387" s="60"/>
      <c r="D5387" s="60"/>
      <c r="E5387" s="60"/>
      <c r="F5387" s="60"/>
      <c r="G5387" s="60"/>
      <c r="H5387" s="60"/>
      <c r="I5387" s="60"/>
      <c r="J5387" s="60"/>
      <c r="K5387" s="60"/>
      <c r="L5387" s="60"/>
      <c r="M5387" s="64"/>
      <c r="N5387" s="33"/>
    </row>
    <row r="5388" ht="24" customHeight="1" spans="2:14">
      <c r="B5388" s="33"/>
      <c r="C5388" s="60"/>
      <c r="D5388" s="60"/>
      <c r="E5388" s="60"/>
      <c r="F5388" s="60"/>
      <c r="G5388" s="60"/>
      <c r="H5388" s="60"/>
      <c r="I5388" s="60"/>
      <c r="J5388" s="60"/>
      <c r="K5388" s="60"/>
      <c r="L5388" s="60"/>
      <c r="M5388" s="64"/>
      <c r="N5388" s="33"/>
    </row>
    <row r="5389" ht="24" customHeight="1" spans="2:14">
      <c r="B5389" s="33"/>
      <c r="C5389" s="60"/>
      <c r="D5389" s="60"/>
      <c r="E5389" s="60"/>
      <c r="F5389" s="60"/>
      <c r="G5389" s="60"/>
      <c r="H5389" s="60"/>
      <c r="I5389" s="60"/>
      <c r="J5389" s="60"/>
      <c r="K5389" s="60"/>
      <c r="L5389" s="60"/>
      <c r="M5389" s="64"/>
      <c r="N5389" s="33"/>
    </row>
    <row r="5390" ht="24" customHeight="1" spans="2:14">
      <c r="B5390" s="33"/>
      <c r="C5390" s="60"/>
      <c r="D5390" s="60"/>
      <c r="E5390" s="60"/>
      <c r="F5390" s="60"/>
      <c r="G5390" s="60"/>
      <c r="H5390" s="60"/>
      <c r="I5390" s="60"/>
      <c r="J5390" s="60"/>
      <c r="K5390" s="60"/>
      <c r="L5390" s="60"/>
      <c r="M5390" s="64"/>
      <c r="N5390" s="33"/>
    </row>
    <row r="5391" ht="24" customHeight="1" spans="2:14">
      <c r="B5391" s="33"/>
      <c r="C5391" s="60"/>
      <c r="D5391" s="60"/>
      <c r="E5391" s="60"/>
      <c r="F5391" s="60"/>
      <c r="G5391" s="60"/>
      <c r="H5391" s="60"/>
      <c r="I5391" s="60"/>
      <c r="J5391" s="60"/>
      <c r="K5391" s="60"/>
      <c r="L5391" s="60"/>
      <c r="M5391" s="64"/>
      <c r="N5391" s="33"/>
    </row>
    <row r="5392" ht="24" customHeight="1" spans="2:14">
      <c r="B5392" s="33"/>
      <c r="C5392" s="60"/>
      <c r="D5392" s="60"/>
      <c r="E5392" s="60"/>
      <c r="F5392" s="60"/>
      <c r="G5392" s="60"/>
      <c r="H5392" s="60"/>
      <c r="I5392" s="60"/>
      <c r="J5392" s="60"/>
      <c r="K5392" s="60"/>
      <c r="L5392" s="60"/>
      <c r="M5392" s="64"/>
      <c r="N5392" s="33"/>
    </row>
    <row r="5393" ht="24" customHeight="1" spans="2:14">
      <c r="B5393" s="33"/>
      <c r="C5393" s="60"/>
      <c r="D5393" s="60"/>
      <c r="E5393" s="60"/>
      <c r="F5393" s="60"/>
      <c r="G5393" s="60"/>
      <c r="H5393" s="60"/>
      <c r="I5393" s="60"/>
      <c r="J5393" s="60"/>
      <c r="K5393" s="60"/>
      <c r="L5393" s="60"/>
      <c r="M5393" s="64"/>
      <c r="N5393" s="33"/>
    </row>
    <row r="5394" ht="24" customHeight="1" spans="2:14">
      <c r="B5394" s="33"/>
      <c r="C5394" s="60"/>
      <c r="D5394" s="60"/>
      <c r="E5394" s="60"/>
      <c r="F5394" s="60"/>
      <c r="G5394" s="60"/>
      <c r="H5394" s="60"/>
      <c r="I5394" s="60"/>
      <c r="J5394" s="60"/>
      <c r="K5394" s="60"/>
      <c r="L5394" s="60"/>
      <c r="M5394" s="64"/>
      <c r="N5394" s="33"/>
    </row>
    <row r="5395" ht="24" customHeight="1" spans="2:14">
      <c r="B5395" s="33"/>
      <c r="C5395" s="60"/>
      <c r="D5395" s="60"/>
      <c r="E5395" s="60"/>
      <c r="F5395" s="60"/>
      <c r="G5395" s="60"/>
      <c r="H5395" s="60"/>
      <c r="I5395" s="60"/>
      <c r="J5395" s="60"/>
      <c r="K5395" s="60"/>
      <c r="L5395" s="60"/>
      <c r="M5395" s="64"/>
      <c r="N5395" s="33"/>
    </row>
    <row r="5396" ht="24" customHeight="1" spans="2:14">
      <c r="B5396" s="33"/>
      <c r="C5396" s="60"/>
      <c r="D5396" s="60"/>
      <c r="E5396" s="60"/>
      <c r="F5396" s="60"/>
      <c r="G5396" s="60"/>
      <c r="H5396" s="60"/>
      <c r="I5396" s="60"/>
      <c r="J5396" s="60"/>
      <c r="K5396" s="60"/>
      <c r="L5396" s="60"/>
      <c r="M5396" s="64"/>
      <c r="N5396" s="33"/>
    </row>
    <row r="5397" ht="24" customHeight="1" spans="2:14">
      <c r="B5397" s="33"/>
      <c r="C5397" s="60"/>
      <c r="D5397" s="60"/>
      <c r="E5397" s="60"/>
      <c r="F5397" s="60"/>
      <c r="G5397" s="60"/>
      <c r="H5397" s="60"/>
      <c r="I5397" s="60"/>
      <c r="J5397" s="60"/>
      <c r="K5397" s="60"/>
      <c r="L5397" s="60"/>
      <c r="M5397" s="64"/>
      <c r="N5397" s="33"/>
    </row>
    <row r="5398" ht="24" customHeight="1" spans="2:14">
      <c r="B5398" s="33"/>
      <c r="C5398" s="60"/>
      <c r="D5398" s="60"/>
      <c r="E5398" s="60"/>
      <c r="F5398" s="60"/>
      <c r="G5398" s="60"/>
      <c r="H5398" s="60"/>
      <c r="I5398" s="60"/>
      <c r="J5398" s="60"/>
      <c r="K5398" s="60"/>
      <c r="L5398" s="60"/>
      <c r="M5398" s="64"/>
      <c r="N5398" s="33"/>
    </row>
    <row r="5399" ht="24" customHeight="1" spans="2:14">
      <c r="B5399" s="33"/>
      <c r="C5399" s="60"/>
      <c r="D5399" s="60"/>
      <c r="E5399" s="60"/>
      <c r="F5399" s="60"/>
      <c r="G5399" s="60"/>
      <c r="H5399" s="60"/>
      <c r="I5399" s="60"/>
      <c r="J5399" s="60"/>
      <c r="K5399" s="60"/>
      <c r="L5399" s="60"/>
      <c r="M5399" s="64"/>
      <c r="N5399" s="33"/>
    </row>
    <row r="5400" ht="24" customHeight="1" spans="2:14">
      <c r="B5400" s="33"/>
      <c r="C5400" s="60"/>
      <c r="D5400" s="60"/>
      <c r="E5400" s="60"/>
      <c r="F5400" s="60"/>
      <c r="G5400" s="60"/>
      <c r="H5400" s="60"/>
      <c r="I5400" s="60"/>
      <c r="J5400" s="60"/>
      <c r="K5400" s="60"/>
      <c r="L5400" s="60"/>
      <c r="M5400" s="64"/>
      <c r="N5400" s="33"/>
    </row>
    <row r="5401" ht="24" customHeight="1" spans="2:14">
      <c r="B5401" s="33"/>
      <c r="C5401" s="60"/>
      <c r="D5401" s="60"/>
      <c r="E5401" s="60"/>
      <c r="F5401" s="60"/>
      <c r="G5401" s="60"/>
      <c r="H5401" s="60"/>
      <c r="I5401" s="60"/>
      <c r="J5401" s="60"/>
      <c r="K5401" s="60"/>
      <c r="L5401" s="60"/>
      <c r="M5401" s="64"/>
      <c r="N5401" s="33"/>
    </row>
    <row r="5402" ht="24" customHeight="1" spans="2:14">
      <c r="B5402" s="33"/>
      <c r="C5402" s="60"/>
      <c r="D5402" s="60"/>
      <c r="E5402" s="60"/>
      <c r="F5402" s="60"/>
      <c r="G5402" s="60"/>
      <c r="H5402" s="60"/>
      <c r="I5402" s="60"/>
      <c r="J5402" s="60"/>
      <c r="K5402" s="60"/>
      <c r="L5402" s="60"/>
      <c r="M5402" s="64"/>
      <c r="N5402" s="33"/>
    </row>
    <row r="5403" ht="24" customHeight="1" spans="2:14">
      <c r="B5403" s="33"/>
      <c r="C5403" s="60"/>
      <c r="D5403" s="60"/>
      <c r="E5403" s="60"/>
      <c r="F5403" s="60"/>
      <c r="G5403" s="60"/>
      <c r="H5403" s="60"/>
      <c r="I5403" s="60"/>
      <c r="J5403" s="60"/>
      <c r="K5403" s="60"/>
      <c r="L5403" s="60"/>
      <c r="M5403" s="64"/>
      <c r="N5403" s="33"/>
    </row>
    <row r="5404" ht="24" customHeight="1" spans="2:14">
      <c r="B5404" s="33"/>
      <c r="C5404" s="60"/>
      <c r="D5404" s="60"/>
      <c r="E5404" s="60"/>
      <c r="F5404" s="60"/>
      <c r="G5404" s="60"/>
      <c r="H5404" s="60"/>
      <c r="I5404" s="60"/>
      <c r="J5404" s="60"/>
      <c r="K5404" s="60"/>
      <c r="L5404" s="60"/>
      <c r="M5404" s="64"/>
      <c r="N5404" s="33"/>
    </row>
    <row r="5405" ht="24" customHeight="1" spans="2:14">
      <c r="B5405" s="33"/>
      <c r="C5405" s="60"/>
      <c r="D5405" s="60"/>
      <c r="E5405" s="60"/>
      <c r="F5405" s="60"/>
      <c r="G5405" s="60"/>
      <c r="H5405" s="60"/>
      <c r="I5405" s="60"/>
      <c r="J5405" s="60"/>
      <c r="K5405" s="60"/>
      <c r="L5405" s="60"/>
      <c r="M5405" s="64"/>
      <c r="N5405" s="33"/>
    </row>
    <row r="5406" ht="24" customHeight="1" spans="2:14">
      <c r="B5406" s="33"/>
      <c r="C5406" s="60"/>
      <c r="D5406" s="60"/>
      <c r="E5406" s="60"/>
      <c r="F5406" s="60"/>
      <c r="G5406" s="60"/>
      <c r="H5406" s="60"/>
      <c r="I5406" s="60"/>
      <c r="J5406" s="60"/>
      <c r="K5406" s="60"/>
      <c r="L5406" s="60"/>
      <c r="M5406" s="64"/>
      <c r="N5406" s="33"/>
    </row>
    <row r="5407" ht="24" customHeight="1" spans="2:14">
      <c r="B5407" s="33"/>
      <c r="C5407" s="60"/>
      <c r="D5407" s="60"/>
      <c r="E5407" s="60"/>
      <c r="F5407" s="60"/>
      <c r="G5407" s="60"/>
      <c r="H5407" s="60"/>
      <c r="I5407" s="60"/>
      <c r="J5407" s="60"/>
      <c r="K5407" s="60"/>
      <c r="L5407" s="60"/>
      <c r="M5407" s="64"/>
      <c r="N5407" s="33"/>
    </row>
    <row r="5408" ht="24" customHeight="1" spans="2:14">
      <c r="B5408" s="33"/>
      <c r="C5408" s="60"/>
      <c r="D5408" s="60"/>
      <c r="E5408" s="60"/>
      <c r="F5408" s="60"/>
      <c r="G5408" s="60"/>
      <c r="H5408" s="60"/>
      <c r="I5408" s="60"/>
      <c r="J5408" s="60"/>
      <c r="K5408" s="60"/>
      <c r="L5408" s="60"/>
      <c r="M5408" s="64"/>
      <c r="N5408" s="33"/>
    </row>
    <row r="5409" ht="24" customHeight="1" spans="2:14">
      <c r="B5409" s="33"/>
      <c r="C5409" s="60"/>
      <c r="D5409" s="60"/>
      <c r="E5409" s="60"/>
      <c r="F5409" s="60"/>
      <c r="G5409" s="60"/>
      <c r="H5409" s="60"/>
      <c r="I5409" s="60"/>
      <c r="J5409" s="60"/>
      <c r="K5409" s="60"/>
      <c r="L5409" s="60"/>
      <c r="M5409" s="64"/>
      <c r="N5409" s="33"/>
    </row>
    <row r="5410" ht="24" customHeight="1" spans="2:14">
      <c r="B5410" s="33"/>
      <c r="C5410" s="60"/>
      <c r="D5410" s="60"/>
      <c r="E5410" s="60"/>
      <c r="F5410" s="60"/>
      <c r="G5410" s="60"/>
      <c r="H5410" s="60"/>
      <c r="I5410" s="60"/>
      <c r="J5410" s="60"/>
      <c r="K5410" s="60"/>
      <c r="L5410" s="60"/>
      <c r="M5410" s="64"/>
      <c r="N5410" s="33"/>
    </row>
    <row r="5411" ht="24" customHeight="1" spans="2:14">
      <c r="B5411" s="33"/>
      <c r="C5411" s="60"/>
      <c r="D5411" s="60"/>
      <c r="E5411" s="60"/>
      <c r="F5411" s="60"/>
      <c r="G5411" s="60"/>
      <c r="H5411" s="60"/>
      <c r="I5411" s="60"/>
      <c r="J5411" s="60"/>
      <c r="K5411" s="60"/>
      <c r="L5411" s="60"/>
      <c r="M5411" s="64"/>
      <c r="N5411" s="33"/>
    </row>
    <row r="5412" ht="24" customHeight="1" spans="2:14">
      <c r="B5412" s="33"/>
      <c r="C5412" s="60"/>
      <c r="D5412" s="60"/>
      <c r="E5412" s="60"/>
      <c r="F5412" s="60"/>
      <c r="G5412" s="60"/>
      <c r="H5412" s="60"/>
      <c r="I5412" s="60"/>
      <c r="J5412" s="60"/>
      <c r="K5412" s="60"/>
      <c r="L5412" s="60"/>
      <c r="M5412" s="64"/>
      <c r="N5412" s="33"/>
    </row>
    <row r="5413" ht="24" customHeight="1" spans="2:14">
      <c r="B5413" s="33"/>
      <c r="C5413" s="60"/>
      <c r="D5413" s="60"/>
      <c r="E5413" s="60"/>
      <c r="F5413" s="60"/>
      <c r="G5413" s="60"/>
      <c r="H5413" s="60"/>
      <c r="I5413" s="60"/>
      <c r="J5413" s="60"/>
      <c r="K5413" s="60"/>
      <c r="L5413" s="60"/>
      <c r="M5413" s="64"/>
      <c r="N5413" s="33"/>
    </row>
    <row r="5414" ht="24" customHeight="1" spans="2:14">
      <c r="B5414" s="33"/>
      <c r="C5414" s="60"/>
      <c r="D5414" s="60"/>
      <c r="E5414" s="60"/>
      <c r="F5414" s="60"/>
      <c r="G5414" s="60"/>
      <c r="H5414" s="60"/>
      <c r="I5414" s="60"/>
      <c r="J5414" s="60"/>
      <c r="K5414" s="60"/>
      <c r="L5414" s="60"/>
      <c r="M5414" s="64"/>
      <c r="N5414" s="33"/>
    </row>
    <row r="5415" ht="24" customHeight="1" spans="2:14">
      <c r="B5415" s="33"/>
      <c r="C5415" s="60"/>
      <c r="D5415" s="60"/>
      <c r="E5415" s="60"/>
      <c r="F5415" s="60"/>
      <c r="G5415" s="60"/>
      <c r="H5415" s="60"/>
      <c r="I5415" s="60"/>
      <c r="J5415" s="60"/>
      <c r="K5415" s="60"/>
      <c r="L5415" s="60"/>
      <c r="M5415" s="64"/>
      <c r="N5415" s="33"/>
    </row>
    <row r="5416" ht="24" customHeight="1" spans="2:14">
      <c r="B5416" s="33"/>
      <c r="C5416" s="60"/>
      <c r="D5416" s="60"/>
      <c r="E5416" s="60"/>
      <c r="F5416" s="60"/>
      <c r="G5416" s="60"/>
      <c r="H5416" s="60"/>
      <c r="I5416" s="60"/>
      <c r="J5416" s="60"/>
      <c r="K5416" s="60"/>
      <c r="L5416" s="60"/>
      <c r="M5416" s="64"/>
      <c r="N5416" s="33"/>
    </row>
    <row r="5417" ht="24" customHeight="1" spans="2:14">
      <c r="B5417" s="33"/>
      <c r="C5417" s="60"/>
      <c r="D5417" s="60"/>
      <c r="E5417" s="60"/>
      <c r="F5417" s="60"/>
      <c r="G5417" s="60"/>
      <c r="H5417" s="60"/>
      <c r="I5417" s="60"/>
      <c r="J5417" s="60"/>
      <c r="K5417" s="60"/>
      <c r="L5417" s="60"/>
      <c r="M5417" s="64"/>
      <c r="N5417" s="33"/>
    </row>
    <row r="5418" ht="24" customHeight="1" spans="2:14">
      <c r="B5418" s="33"/>
      <c r="C5418" s="60"/>
      <c r="D5418" s="60"/>
      <c r="E5418" s="60"/>
      <c r="F5418" s="60"/>
      <c r="G5418" s="60"/>
      <c r="H5418" s="60"/>
      <c r="I5418" s="60"/>
      <c r="J5418" s="60"/>
      <c r="K5418" s="60"/>
      <c r="L5418" s="60"/>
      <c r="M5418" s="64"/>
      <c r="N5418" s="33"/>
    </row>
    <row r="5419" ht="24" customHeight="1" spans="2:14">
      <c r="B5419" s="33"/>
      <c r="C5419" s="60"/>
      <c r="D5419" s="60"/>
      <c r="E5419" s="60"/>
      <c r="F5419" s="60"/>
      <c r="G5419" s="60"/>
      <c r="H5419" s="60"/>
      <c r="I5419" s="60"/>
      <c r="J5419" s="60"/>
      <c r="K5419" s="60"/>
      <c r="L5419" s="60"/>
      <c r="M5419" s="64"/>
      <c r="N5419" s="33"/>
    </row>
    <row r="5420" ht="24" customHeight="1" spans="2:14">
      <c r="B5420" s="33"/>
      <c r="C5420" s="60"/>
      <c r="D5420" s="60"/>
      <c r="E5420" s="60"/>
      <c r="F5420" s="60"/>
      <c r="G5420" s="60"/>
      <c r="H5420" s="60"/>
      <c r="I5420" s="60"/>
      <c r="J5420" s="60"/>
      <c r="K5420" s="60"/>
      <c r="L5420" s="60"/>
      <c r="M5420" s="64"/>
      <c r="N5420" s="33"/>
    </row>
    <row r="5421" ht="24" customHeight="1" spans="2:14">
      <c r="B5421" s="33"/>
      <c r="C5421" s="60"/>
      <c r="D5421" s="60"/>
      <c r="E5421" s="60"/>
      <c r="F5421" s="60"/>
      <c r="G5421" s="60"/>
      <c r="H5421" s="60"/>
      <c r="I5421" s="60"/>
      <c r="J5421" s="60"/>
      <c r="K5421" s="60"/>
      <c r="L5421" s="60"/>
      <c r="M5421" s="64"/>
      <c r="N5421" s="33"/>
    </row>
    <row r="5422" ht="24" customHeight="1" spans="2:14">
      <c r="B5422" s="33"/>
      <c r="C5422" s="60"/>
      <c r="D5422" s="60"/>
      <c r="E5422" s="60"/>
      <c r="F5422" s="60"/>
      <c r="G5422" s="60"/>
      <c r="H5422" s="60"/>
      <c r="I5422" s="60"/>
      <c r="J5422" s="60"/>
      <c r="K5422" s="60"/>
      <c r="L5422" s="60"/>
      <c r="M5422" s="64"/>
      <c r="N5422" s="33"/>
    </row>
    <row r="5423" ht="24" customHeight="1" spans="2:14">
      <c r="B5423" s="33"/>
      <c r="C5423" s="60"/>
      <c r="D5423" s="60"/>
      <c r="E5423" s="60"/>
      <c r="F5423" s="60"/>
      <c r="G5423" s="60"/>
      <c r="H5423" s="60"/>
      <c r="I5423" s="60"/>
      <c r="J5423" s="60"/>
      <c r="K5423" s="60"/>
      <c r="L5423" s="60"/>
      <c r="M5423" s="64"/>
      <c r="N5423" s="33"/>
    </row>
    <row r="5424" ht="24" customHeight="1" spans="2:14">
      <c r="B5424" s="33"/>
      <c r="C5424" s="60"/>
      <c r="D5424" s="60"/>
      <c r="E5424" s="60"/>
      <c r="F5424" s="60"/>
      <c r="G5424" s="60"/>
      <c r="H5424" s="60"/>
      <c r="I5424" s="60"/>
      <c r="J5424" s="60"/>
      <c r="K5424" s="60"/>
      <c r="L5424" s="60"/>
      <c r="M5424" s="64"/>
      <c r="N5424" s="33"/>
    </row>
    <row r="5425" ht="24" customHeight="1" spans="2:14">
      <c r="B5425" s="33"/>
      <c r="C5425" s="60"/>
      <c r="D5425" s="60"/>
      <c r="E5425" s="60"/>
      <c r="F5425" s="60"/>
      <c r="G5425" s="60"/>
      <c r="H5425" s="60"/>
      <c r="I5425" s="60"/>
      <c r="J5425" s="60"/>
      <c r="K5425" s="60"/>
      <c r="L5425" s="60"/>
      <c r="M5425" s="64"/>
      <c r="N5425" s="33"/>
    </row>
    <row r="5426" ht="24" customHeight="1" spans="2:14">
      <c r="B5426" s="33"/>
      <c r="C5426" s="60"/>
      <c r="D5426" s="60"/>
      <c r="E5426" s="60"/>
      <c r="F5426" s="60"/>
      <c r="G5426" s="60"/>
      <c r="H5426" s="60"/>
      <c r="I5426" s="60"/>
      <c r="J5426" s="60"/>
      <c r="K5426" s="60"/>
      <c r="L5426" s="60"/>
      <c r="M5426" s="64"/>
      <c r="N5426" s="33"/>
    </row>
    <row r="5427" ht="24" customHeight="1" spans="2:14">
      <c r="B5427" s="33"/>
      <c r="C5427" s="60"/>
      <c r="D5427" s="60"/>
      <c r="E5427" s="60"/>
      <c r="F5427" s="60"/>
      <c r="G5427" s="60"/>
      <c r="H5427" s="60"/>
      <c r="I5427" s="60"/>
      <c r="J5427" s="60"/>
      <c r="K5427" s="60"/>
      <c r="L5427" s="60"/>
      <c r="M5427" s="64"/>
      <c r="N5427" s="33"/>
    </row>
    <row r="5428" ht="24" customHeight="1" spans="2:14">
      <c r="B5428" s="33"/>
      <c r="C5428" s="60"/>
      <c r="D5428" s="60"/>
      <c r="E5428" s="60"/>
      <c r="F5428" s="60"/>
      <c r="G5428" s="60"/>
      <c r="H5428" s="60"/>
      <c r="I5428" s="60"/>
      <c r="J5428" s="60"/>
      <c r="K5428" s="60"/>
      <c r="L5428" s="60"/>
      <c r="M5428" s="64"/>
      <c r="N5428" s="33"/>
    </row>
    <row r="5429" ht="24" customHeight="1" spans="2:14">
      <c r="B5429" s="33"/>
      <c r="C5429" s="60"/>
      <c r="D5429" s="60"/>
      <c r="E5429" s="60"/>
      <c r="F5429" s="60"/>
      <c r="G5429" s="60"/>
      <c r="H5429" s="60"/>
      <c r="I5429" s="60"/>
      <c r="J5429" s="60"/>
      <c r="K5429" s="60"/>
      <c r="L5429" s="60"/>
      <c r="M5429" s="64"/>
      <c r="N5429" s="33"/>
    </row>
    <row r="5430" ht="24" customHeight="1" spans="2:14">
      <c r="B5430" s="33"/>
      <c r="C5430" s="60"/>
      <c r="D5430" s="60"/>
      <c r="E5430" s="60"/>
      <c r="F5430" s="60"/>
      <c r="G5430" s="60"/>
      <c r="H5430" s="60"/>
      <c r="I5430" s="60"/>
      <c r="J5430" s="60"/>
      <c r="K5430" s="60"/>
      <c r="L5430" s="60"/>
      <c r="M5430" s="64"/>
      <c r="N5430" s="33"/>
    </row>
    <row r="5431" ht="24" customHeight="1" spans="2:14">
      <c r="B5431" s="33"/>
      <c r="C5431" s="60"/>
      <c r="D5431" s="60"/>
      <c r="E5431" s="60"/>
      <c r="F5431" s="60"/>
      <c r="G5431" s="60"/>
      <c r="H5431" s="60"/>
      <c r="I5431" s="60"/>
      <c r="J5431" s="60"/>
      <c r="K5431" s="60"/>
      <c r="L5431" s="60"/>
      <c r="M5431" s="64"/>
      <c r="N5431" s="33"/>
    </row>
    <row r="5432" ht="24" customHeight="1" spans="2:14">
      <c r="B5432" s="33"/>
      <c r="C5432" s="60"/>
      <c r="D5432" s="60"/>
      <c r="E5432" s="60"/>
      <c r="F5432" s="60"/>
      <c r="G5432" s="60"/>
      <c r="H5432" s="60"/>
      <c r="I5432" s="60"/>
      <c r="J5432" s="60"/>
      <c r="K5432" s="60"/>
      <c r="L5432" s="60"/>
      <c r="M5432" s="64"/>
      <c r="N5432" s="33"/>
    </row>
    <row r="5433" ht="24" customHeight="1" spans="2:14">
      <c r="B5433" s="33"/>
      <c r="C5433" s="60"/>
      <c r="D5433" s="60"/>
      <c r="E5433" s="60"/>
      <c r="F5433" s="60"/>
      <c r="G5433" s="60"/>
      <c r="H5433" s="60"/>
      <c r="I5433" s="60"/>
      <c r="J5433" s="60"/>
      <c r="K5433" s="60"/>
      <c r="L5433" s="60"/>
      <c r="M5433" s="64"/>
      <c r="N5433" s="33"/>
    </row>
    <row r="5434" ht="24" customHeight="1" spans="2:14">
      <c r="B5434" s="33"/>
      <c r="C5434" s="60"/>
      <c r="D5434" s="60"/>
      <c r="E5434" s="60"/>
      <c r="F5434" s="60"/>
      <c r="G5434" s="60"/>
      <c r="H5434" s="60"/>
      <c r="I5434" s="60"/>
      <c r="J5434" s="60"/>
      <c r="K5434" s="60"/>
      <c r="L5434" s="60"/>
      <c r="M5434" s="64"/>
      <c r="N5434" s="33"/>
    </row>
    <row r="5435" ht="24" customHeight="1" spans="2:14">
      <c r="B5435" s="33"/>
      <c r="C5435" s="60"/>
      <c r="D5435" s="60"/>
      <c r="E5435" s="60"/>
      <c r="F5435" s="60"/>
      <c r="G5435" s="60"/>
      <c r="H5435" s="60"/>
      <c r="I5435" s="60"/>
      <c r="J5435" s="60"/>
      <c r="K5435" s="60"/>
      <c r="L5435" s="60"/>
      <c r="M5435" s="64"/>
      <c r="N5435" s="33"/>
    </row>
    <row r="5436" ht="24" customHeight="1" spans="2:14">
      <c r="B5436" s="33"/>
      <c r="C5436" s="60"/>
      <c r="D5436" s="60"/>
      <c r="E5436" s="60"/>
      <c r="F5436" s="60"/>
      <c r="G5436" s="60"/>
      <c r="H5436" s="60"/>
      <c r="I5436" s="60"/>
      <c r="J5436" s="60"/>
      <c r="K5436" s="60"/>
      <c r="L5436" s="60"/>
      <c r="M5436" s="64"/>
      <c r="N5436" s="33"/>
    </row>
    <row r="5437" ht="24" customHeight="1" spans="2:14">
      <c r="B5437" s="33"/>
      <c r="C5437" s="60"/>
      <c r="D5437" s="60"/>
      <c r="E5437" s="60"/>
      <c r="F5437" s="60"/>
      <c r="G5437" s="60"/>
      <c r="H5437" s="60"/>
      <c r="I5437" s="60"/>
      <c r="J5437" s="60"/>
      <c r="K5437" s="60"/>
      <c r="L5437" s="60"/>
      <c r="M5437" s="64"/>
      <c r="N5437" s="33"/>
    </row>
    <row r="5438" ht="24" customHeight="1" spans="2:14">
      <c r="B5438" s="33"/>
      <c r="C5438" s="60"/>
      <c r="D5438" s="60"/>
      <c r="E5438" s="60"/>
      <c r="F5438" s="60"/>
      <c r="G5438" s="60"/>
      <c r="H5438" s="60"/>
      <c r="I5438" s="60"/>
      <c r="J5438" s="60"/>
      <c r="K5438" s="60"/>
      <c r="L5438" s="60"/>
      <c r="M5438" s="64"/>
      <c r="N5438" s="33"/>
    </row>
    <row r="5439" ht="24" customHeight="1" spans="2:14">
      <c r="B5439" s="33"/>
      <c r="C5439" s="60"/>
      <c r="D5439" s="60"/>
      <c r="E5439" s="60"/>
      <c r="F5439" s="60"/>
      <c r="G5439" s="60"/>
      <c r="H5439" s="60"/>
      <c r="I5439" s="60"/>
      <c r="J5439" s="60"/>
      <c r="K5439" s="60"/>
      <c r="L5439" s="60"/>
      <c r="M5439" s="64"/>
      <c r="N5439" s="33"/>
    </row>
    <row r="5440" ht="24" customHeight="1" spans="2:14">
      <c r="B5440" s="33"/>
      <c r="C5440" s="60"/>
      <c r="D5440" s="60"/>
      <c r="E5440" s="60"/>
      <c r="F5440" s="60"/>
      <c r="G5440" s="60"/>
      <c r="H5440" s="60"/>
      <c r="I5440" s="60"/>
      <c r="J5440" s="60"/>
      <c r="K5440" s="60"/>
      <c r="L5440" s="60"/>
      <c r="M5440" s="64"/>
      <c r="N5440" s="33"/>
    </row>
    <row r="5441" ht="24" customHeight="1" spans="2:14">
      <c r="B5441" s="33"/>
      <c r="C5441" s="60"/>
      <c r="D5441" s="60"/>
      <c r="E5441" s="60"/>
      <c r="F5441" s="60"/>
      <c r="G5441" s="60"/>
      <c r="H5441" s="60"/>
      <c r="I5441" s="60"/>
      <c r="J5441" s="60"/>
      <c r="K5441" s="60"/>
      <c r="L5441" s="60"/>
      <c r="M5441" s="64"/>
      <c r="N5441" s="33"/>
    </row>
    <row r="5442" ht="24" customHeight="1" spans="2:14">
      <c r="B5442" s="33"/>
      <c r="C5442" s="60"/>
      <c r="D5442" s="60"/>
      <c r="E5442" s="60"/>
      <c r="F5442" s="60"/>
      <c r="G5442" s="60"/>
      <c r="H5442" s="60"/>
      <c r="I5442" s="60"/>
      <c r="J5442" s="60"/>
      <c r="K5442" s="60"/>
      <c r="L5442" s="60"/>
      <c r="M5442" s="64"/>
      <c r="N5442" s="33"/>
    </row>
    <row r="5443" ht="24" customHeight="1" spans="2:14">
      <c r="B5443" s="33"/>
      <c r="C5443" s="60"/>
      <c r="D5443" s="60"/>
      <c r="E5443" s="60"/>
      <c r="F5443" s="60"/>
      <c r="G5443" s="60"/>
      <c r="H5443" s="60"/>
      <c r="I5443" s="60"/>
      <c r="J5443" s="60"/>
      <c r="K5443" s="60"/>
      <c r="L5443" s="60"/>
      <c r="M5443" s="64"/>
      <c r="N5443" s="33"/>
    </row>
    <row r="5444" ht="24" customHeight="1" spans="2:14">
      <c r="B5444" s="33"/>
      <c r="C5444" s="60"/>
      <c r="D5444" s="60"/>
      <c r="E5444" s="60"/>
      <c r="F5444" s="60"/>
      <c r="G5444" s="60"/>
      <c r="H5444" s="60"/>
      <c r="I5444" s="60"/>
      <c r="J5444" s="60"/>
      <c r="K5444" s="60"/>
      <c r="L5444" s="60"/>
      <c r="M5444" s="64"/>
      <c r="N5444" s="33"/>
    </row>
    <row r="5445" ht="24" customHeight="1" spans="2:14">
      <c r="B5445" s="33"/>
      <c r="C5445" s="60"/>
      <c r="D5445" s="60"/>
      <c r="E5445" s="60"/>
      <c r="F5445" s="60"/>
      <c r="G5445" s="60"/>
      <c r="H5445" s="60"/>
      <c r="I5445" s="60"/>
      <c r="J5445" s="60"/>
      <c r="K5445" s="60"/>
      <c r="L5445" s="60"/>
      <c r="M5445" s="64"/>
      <c r="N5445" s="33"/>
    </row>
    <row r="5446" ht="24" customHeight="1" spans="2:14">
      <c r="B5446" s="33"/>
      <c r="C5446" s="60"/>
      <c r="D5446" s="60"/>
      <c r="E5446" s="60"/>
      <c r="F5446" s="60"/>
      <c r="G5446" s="60"/>
      <c r="H5446" s="60"/>
      <c r="I5446" s="60"/>
      <c r="J5446" s="60"/>
      <c r="K5446" s="60"/>
      <c r="L5446" s="60"/>
      <c r="M5446" s="64"/>
      <c r="N5446" s="33"/>
    </row>
    <row r="5447" ht="24" customHeight="1" spans="2:14">
      <c r="B5447" s="33"/>
      <c r="C5447" s="60"/>
      <c r="D5447" s="60"/>
      <c r="E5447" s="60"/>
      <c r="F5447" s="60"/>
      <c r="G5447" s="60"/>
      <c r="H5447" s="60"/>
      <c r="I5447" s="60"/>
      <c r="J5447" s="60"/>
      <c r="K5447" s="60"/>
      <c r="L5447" s="60"/>
      <c r="M5447" s="64"/>
      <c r="N5447" s="33"/>
    </row>
    <row r="5448" ht="24" customHeight="1" spans="2:14">
      <c r="B5448" s="33"/>
      <c r="C5448" s="60"/>
      <c r="D5448" s="60"/>
      <c r="E5448" s="60"/>
      <c r="F5448" s="60"/>
      <c r="G5448" s="60"/>
      <c r="H5448" s="60"/>
      <c r="I5448" s="60"/>
      <c r="J5448" s="60"/>
      <c r="K5448" s="60"/>
      <c r="L5448" s="60"/>
      <c r="M5448" s="64"/>
      <c r="N5448" s="33"/>
    </row>
    <row r="5449" ht="24" customHeight="1" spans="2:14">
      <c r="B5449" s="33"/>
      <c r="C5449" s="60"/>
      <c r="D5449" s="60"/>
      <c r="E5449" s="60"/>
      <c r="F5449" s="60"/>
      <c r="G5449" s="60"/>
      <c r="H5449" s="60"/>
      <c r="I5449" s="60"/>
      <c r="J5449" s="60"/>
      <c r="K5449" s="60"/>
      <c r="L5449" s="60"/>
      <c r="M5449" s="64"/>
      <c r="N5449" s="33"/>
    </row>
    <row r="5450" ht="24" customHeight="1" spans="2:14">
      <c r="B5450" s="33"/>
      <c r="C5450" s="60"/>
      <c r="D5450" s="60"/>
      <c r="E5450" s="60"/>
      <c r="F5450" s="60"/>
      <c r="G5450" s="60"/>
      <c r="H5450" s="60"/>
      <c r="I5450" s="60"/>
      <c r="J5450" s="60"/>
      <c r="K5450" s="60"/>
      <c r="L5450" s="60"/>
      <c r="M5450" s="64"/>
      <c r="N5450" s="33"/>
    </row>
    <row r="5451" ht="24" customHeight="1" spans="2:14">
      <c r="B5451" s="33"/>
      <c r="C5451" s="60"/>
      <c r="D5451" s="60"/>
      <c r="E5451" s="60"/>
      <c r="F5451" s="60"/>
      <c r="G5451" s="60"/>
      <c r="H5451" s="60"/>
      <c r="I5451" s="60"/>
      <c r="J5451" s="60"/>
      <c r="K5451" s="60"/>
      <c r="L5451" s="60"/>
      <c r="M5451" s="64"/>
      <c r="N5451" s="33"/>
    </row>
    <row r="5452" ht="24" customHeight="1" spans="2:14">
      <c r="B5452" s="33"/>
      <c r="C5452" s="60"/>
      <c r="D5452" s="60"/>
      <c r="E5452" s="60"/>
      <c r="F5452" s="60"/>
      <c r="G5452" s="60"/>
      <c r="H5452" s="60"/>
      <c r="I5452" s="60"/>
      <c r="J5452" s="60"/>
      <c r="K5452" s="60"/>
      <c r="L5452" s="60"/>
      <c r="M5452" s="64"/>
      <c r="N5452" s="33"/>
    </row>
    <row r="5453" ht="24" customHeight="1" spans="2:14">
      <c r="B5453" s="33"/>
      <c r="C5453" s="60"/>
      <c r="D5453" s="60"/>
      <c r="E5453" s="60"/>
      <c r="F5453" s="60"/>
      <c r="G5453" s="60"/>
      <c r="H5453" s="60"/>
      <c r="I5453" s="60"/>
      <c r="J5453" s="60"/>
      <c r="K5453" s="60"/>
      <c r="L5453" s="60"/>
      <c r="M5453" s="64"/>
      <c r="N5453" s="33"/>
    </row>
    <row r="5454" ht="24" customHeight="1" spans="2:14">
      <c r="B5454" s="33"/>
      <c r="C5454" s="60"/>
      <c r="D5454" s="60"/>
      <c r="E5454" s="60"/>
      <c r="F5454" s="60"/>
      <c r="G5454" s="60"/>
      <c r="H5454" s="60"/>
      <c r="I5454" s="60"/>
      <c r="J5454" s="60"/>
      <c r="K5454" s="60"/>
      <c r="L5454" s="60"/>
      <c r="M5454" s="64"/>
      <c r="N5454" s="33"/>
    </row>
    <row r="5455" ht="24" customHeight="1" spans="2:14">
      <c r="B5455" s="33"/>
      <c r="C5455" s="60"/>
      <c r="D5455" s="60"/>
      <c r="E5455" s="60"/>
      <c r="F5455" s="60"/>
      <c r="G5455" s="60"/>
      <c r="H5455" s="60"/>
      <c r="I5455" s="60"/>
      <c r="J5455" s="60"/>
      <c r="K5455" s="60"/>
      <c r="L5455" s="60"/>
      <c r="M5455" s="64"/>
      <c r="N5455" s="33"/>
    </row>
    <row r="5456" ht="24" customHeight="1" spans="2:14">
      <c r="B5456" s="33"/>
      <c r="C5456" s="60"/>
      <c r="D5456" s="60"/>
      <c r="E5456" s="60"/>
      <c r="F5456" s="60"/>
      <c r="G5456" s="60"/>
      <c r="H5456" s="60"/>
      <c r="I5456" s="60"/>
      <c r="J5456" s="60"/>
      <c r="K5456" s="60"/>
      <c r="L5456" s="60"/>
      <c r="M5456" s="64"/>
      <c r="N5456" s="33"/>
    </row>
    <row r="5457" ht="24" customHeight="1" spans="2:14">
      <c r="B5457" s="33"/>
      <c r="C5457" s="60"/>
      <c r="D5457" s="60"/>
      <c r="E5457" s="60"/>
      <c r="F5457" s="60"/>
      <c r="G5457" s="60"/>
      <c r="H5457" s="60"/>
      <c r="I5457" s="60"/>
      <c r="J5457" s="60"/>
      <c r="K5457" s="60"/>
      <c r="L5457" s="60"/>
      <c r="M5457" s="64"/>
      <c r="N5457" s="33"/>
    </row>
    <row r="5458" ht="24" customHeight="1" spans="2:14">
      <c r="B5458" s="33"/>
      <c r="C5458" s="60"/>
      <c r="D5458" s="60"/>
      <c r="E5458" s="60"/>
      <c r="F5458" s="60"/>
      <c r="G5458" s="60"/>
      <c r="H5458" s="60"/>
      <c r="I5458" s="60"/>
      <c r="J5458" s="60"/>
      <c r="K5458" s="60"/>
      <c r="L5458" s="60"/>
      <c r="M5458" s="64"/>
      <c r="N5458" s="33"/>
    </row>
    <row r="5459" ht="24" customHeight="1" spans="2:14">
      <c r="B5459" s="33"/>
      <c r="C5459" s="60"/>
      <c r="D5459" s="60"/>
      <c r="E5459" s="60"/>
      <c r="F5459" s="60"/>
      <c r="G5459" s="60"/>
      <c r="H5459" s="60"/>
      <c r="I5459" s="60"/>
      <c r="J5459" s="60"/>
      <c r="K5459" s="60"/>
      <c r="L5459" s="60"/>
      <c r="M5459" s="64"/>
      <c r="N5459" s="33"/>
    </row>
    <row r="5460" ht="24" customHeight="1" spans="2:14">
      <c r="B5460" s="33"/>
      <c r="C5460" s="60"/>
      <c r="D5460" s="60"/>
      <c r="E5460" s="60"/>
      <c r="F5460" s="60"/>
      <c r="G5460" s="60"/>
      <c r="H5460" s="60"/>
      <c r="I5460" s="60"/>
      <c r="J5460" s="60"/>
      <c r="K5460" s="60"/>
      <c r="L5460" s="60"/>
      <c r="M5460" s="64"/>
      <c r="N5460" s="33"/>
    </row>
    <row r="5461" ht="24" customHeight="1" spans="2:14">
      <c r="B5461" s="33"/>
      <c r="C5461" s="60"/>
      <c r="D5461" s="60"/>
      <c r="E5461" s="60"/>
      <c r="F5461" s="60"/>
      <c r="G5461" s="60"/>
      <c r="H5461" s="60"/>
      <c r="I5461" s="60"/>
      <c r="J5461" s="60"/>
      <c r="K5461" s="60"/>
      <c r="L5461" s="60"/>
      <c r="M5461" s="64"/>
      <c r="N5461" s="33"/>
    </row>
    <row r="5462" ht="24" customHeight="1" spans="2:14">
      <c r="B5462" s="33"/>
      <c r="C5462" s="60"/>
      <c r="D5462" s="60"/>
      <c r="E5462" s="60"/>
      <c r="F5462" s="60"/>
      <c r="G5462" s="60"/>
      <c r="H5462" s="60"/>
      <c r="I5462" s="60"/>
      <c r="J5462" s="60"/>
      <c r="K5462" s="60"/>
      <c r="L5462" s="60"/>
      <c r="M5462" s="64"/>
      <c r="N5462" s="33"/>
    </row>
    <row r="5463" ht="24" customHeight="1" spans="2:14">
      <c r="B5463" s="33"/>
      <c r="C5463" s="60"/>
      <c r="D5463" s="60"/>
      <c r="E5463" s="60"/>
      <c r="F5463" s="60"/>
      <c r="G5463" s="60"/>
      <c r="H5463" s="60"/>
      <c r="I5463" s="60"/>
      <c r="J5463" s="60"/>
      <c r="K5463" s="60"/>
      <c r="L5463" s="60"/>
      <c r="M5463" s="64"/>
      <c r="N5463" s="33"/>
    </row>
    <row r="5464" ht="24" customHeight="1" spans="2:14">
      <c r="B5464" s="33"/>
      <c r="C5464" s="60"/>
      <c r="D5464" s="60"/>
      <c r="E5464" s="60"/>
      <c r="F5464" s="60"/>
      <c r="G5464" s="60"/>
      <c r="H5464" s="60"/>
      <c r="I5464" s="60"/>
      <c r="J5464" s="60"/>
      <c r="K5464" s="60"/>
      <c r="L5464" s="60"/>
      <c r="M5464" s="64"/>
      <c r="N5464" s="33"/>
    </row>
    <row r="5465" ht="24" customHeight="1" spans="2:14">
      <c r="B5465" s="33"/>
      <c r="C5465" s="60"/>
      <c r="D5465" s="60"/>
      <c r="E5465" s="60"/>
      <c r="F5465" s="60"/>
      <c r="G5465" s="60"/>
      <c r="H5465" s="60"/>
      <c r="I5465" s="60"/>
      <c r="J5465" s="60"/>
      <c r="K5465" s="60"/>
      <c r="L5465" s="60"/>
      <c r="M5465" s="64"/>
      <c r="N5465" s="33"/>
    </row>
    <row r="5466" ht="24" customHeight="1" spans="2:14">
      <c r="B5466" s="33"/>
      <c r="C5466" s="60"/>
      <c r="D5466" s="60"/>
      <c r="E5466" s="60"/>
      <c r="F5466" s="60"/>
      <c r="G5466" s="60"/>
      <c r="H5466" s="60"/>
      <c r="I5466" s="60"/>
      <c r="J5466" s="60"/>
      <c r="K5466" s="60"/>
      <c r="L5466" s="60"/>
      <c r="M5466" s="64"/>
      <c r="N5466" s="33"/>
    </row>
    <row r="5467" ht="24" customHeight="1" spans="2:14">
      <c r="B5467" s="33"/>
      <c r="C5467" s="60"/>
      <c r="D5467" s="60"/>
      <c r="E5467" s="60"/>
      <c r="F5467" s="60"/>
      <c r="G5467" s="60"/>
      <c r="H5467" s="60"/>
      <c r="I5467" s="60"/>
      <c r="J5467" s="60"/>
      <c r="K5467" s="60"/>
      <c r="L5467" s="60"/>
      <c r="M5467" s="64"/>
      <c r="N5467" s="33"/>
    </row>
    <row r="5468" ht="24" customHeight="1" spans="2:14">
      <c r="B5468" s="33"/>
      <c r="C5468" s="60"/>
      <c r="D5468" s="60"/>
      <c r="E5468" s="60"/>
      <c r="F5468" s="60"/>
      <c r="G5468" s="60"/>
      <c r="H5468" s="60"/>
      <c r="I5468" s="60"/>
      <c r="J5468" s="60"/>
      <c r="K5468" s="60"/>
      <c r="L5468" s="60"/>
      <c r="M5468" s="64"/>
      <c r="N5468" s="33"/>
    </row>
    <row r="5469" ht="24" customHeight="1" spans="2:14">
      <c r="B5469" s="33"/>
      <c r="C5469" s="60"/>
      <c r="D5469" s="60"/>
      <c r="E5469" s="60"/>
      <c r="F5469" s="60"/>
      <c r="G5469" s="60"/>
      <c r="H5469" s="60"/>
      <c r="I5469" s="60"/>
      <c r="J5469" s="60"/>
      <c r="K5469" s="60"/>
      <c r="L5469" s="60"/>
      <c r="M5469" s="64"/>
      <c r="N5469" s="33"/>
    </row>
    <row r="5470" ht="24" customHeight="1" spans="2:14">
      <c r="B5470" s="33"/>
      <c r="C5470" s="60"/>
      <c r="D5470" s="60"/>
      <c r="E5470" s="60"/>
      <c r="F5470" s="60"/>
      <c r="G5470" s="60"/>
      <c r="H5470" s="60"/>
      <c r="I5470" s="60"/>
      <c r="J5470" s="60"/>
      <c r="K5470" s="60"/>
      <c r="L5470" s="60"/>
      <c r="M5470" s="64"/>
      <c r="N5470" s="33"/>
    </row>
    <row r="5471" ht="24" customHeight="1" spans="2:14">
      <c r="B5471" s="33"/>
      <c r="C5471" s="60"/>
      <c r="D5471" s="60"/>
      <c r="E5471" s="60"/>
      <c r="F5471" s="60"/>
      <c r="G5471" s="60"/>
      <c r="H5471" s="60"/>
      <c r="I5471" s="60"/>
      <c r="J5471" s="60"/>
      <c r="K5471" s="60"/>
      <c r="L5471" s="60"/>
      <c r="M5471" s="64"/>
      <c r="N5471" s="33"/>
    </row>
    <row r="5472" ht="24" customHeight="1" spans="2:14">
      <c r="B5472" s="33"/>
      <c r="C5472" s="60"/>
      <c r="D5472" s="60"/>
      <c r="E5472" s="60"/>
      <c r="F5472" s="60"/>
      <c r="G5472" s="60"/>
      <c r="H5472" s="60"/>
      <c r="I5472" s="60"/>
      <c r="J5472" s="60"/>
      <c r="K5472" s="60"/>
      <c r="L5472" s="60"/>
      <c r="M5472" s="64"/>
      <c r="N5472" s="33"/>
    </row>
    <row r="5473" ht="24" customHeight="1" spans="2:14">
      <c r="B5473" s="33"/>
      <c r="C5473" s="60"/>
      <c r="D5473" s="60"/>
      <c r="E5473" s="60"/>
      <c r="F5473" s="60"/>
      <c r="G5473" s="60"/>
      <c r="H5473" s="60"/>
      <c r="I5473" s="60"/>
      <c r="J5473" s="60"/>
      <c r="K5473" s="60"/>
      <c r="L5473" s="60"/>
      <c r="M5473" s="64"/>
      <c r="N5473" s="33"/>
    </row>
    <row r="5474" ht="24" customHeight="1" spans="2:14">
      <c r="B5474" s="33"/>
      <c r="C5474" s="60"/>
      <c r="D5474" s="60"/>
      <c r="E5474" s="60"/>
      <c r="F5474" s="60"/>
      <c r="G5474" s="60"/>
      <c r="H5474" s="60"/>
      <c r="I5474" s="60"/>
      <c r="J5474" s="60"/>
      <c r="K5474" s="60"/>
      <c r="L5474" s="60"/>
      <c r="M5474" s="64"/>
      <c r="N5474" s="33"/>
    </row>
    <row r="5475" ht="24" customHeight="1" spans="2:14">
      <c r="B5475" s="33"/>
      <c r="C5475" s="60"/>
      <c r="D5475" s="60"/>
      <c r="E5475" s="60"/>
      <c r="F5475" s="60"/>
      <c r="G5475" s="60"/>
      <c r="H5475" s="60"/>
      <c r="I5475" s="60"/>
      <c r="J5475" s="60"/>
      <c r="K5475" s="60"/>
      <c r="L5475" s="60"/>
      <c r="M5475" s="64"/>
      <c r="N5475" s="33"/>
    </row>
    <row r="5476" ht="24" customHeight="1" spans="2:14">
      <c r="B5476" s="33"/>
      <c r="C5476" s="60"/>
      <c r="D5476" s="60"/>
      <c r="E5476" s="60"/>
      <c r="F5476" s="60"/>
      <c r="G5476" s="60"/>
      <c r="H5476" s="60"/>
      <c r="I5476" s="60"/>
      <c r="J5476" s="60"/>
      <c r="K5476" s="60"/>
      <c r="L5476" s="60"/>
      <c r="M5476" s="64"/>
      <c r="N5476" s="33"/>
    </row>
    <row r="5477" ht="24" customHeight="1" spans="2:14">
      <c r="B5477" s="33"/>
      <c r="C5477" s="60"/>
      <c r="D5477" s="60"/>
      <c r="E5477" s="60"/>
      <c r="F5477" s="60"/>
      <c r="G5477" s="60"/>
      <c r="H5477" s="60"/>
      <c r="I5477" s="60"/>
      <c r="J5477" s="60"/>
      <c r="K5477" s="60"/>
      <c r="L5477" s="60"/>
      <c r="M5477" s="64"/>
      <c r="N5477" s="33"/>
    </row>
    <row r="5478" ht="24" customHeight="1" spans="2:14">
      <c r="B5478" s="33"/>
      <c r="C5478" s="60"/>
      <c r="D5478" s="60"/>
      <c r="E5478" s="60"/>
      <c r="F5478" s="60"/>
      <c r="G5478" s="60"/>
      <c r="H5478" s="60"/>
      <c r="I5478" s="60"/>
      <c r="J5478" s="60"/>
      <c r="K5478" s="60"/>
      <c r="L5478" s="60"/>
      <c r="M5478" s="64"/>
      <c r="N5478" s="33"/>
    </row>
    <row r="5479" ht="24" customHeight="1" spans="2:14">
      <c r="B5479" s="33"/>
      <c r="C5479" s="60"/>
      <c r="D5479" s="60"/>
      <c r="E5479" s="60"/>
      <c r="F5479" s="60"/>
      <c r="G5479" s="60"/>
      <c r="H5479" s="60"/>
      <c r="I5479" s="60"/>
      <c r="J5479" s="60"/>
      <c r="K5479" s="60"/>
      <c r="L5479" s="60"/>
      <c r="M5479" s="64"/>
      <c r="N5479" s="33"/>
    </row>
    <row r="5480" ht="24" customHeight="1" spans="2:14">
      <c r="B5480" s="33"/>
      <c r="C5480" s="60"/>
      <c r="D5480" s="60"/>
      <c r="E5480" s="60"/>
      <c r="F5480" s="60"/>
      <c r="G5480" s="60"/>
      <c r="H5480" s="60"/>
      <c r="I5480" s="60"/>
      <c r="J5480" s="60"/>
      <c r="K5480" s="60"/>
      <c r="L5480" s="60"/>
      <c r="M5480" s="64"/>
      <c r="N5480" s="33"/>
    </row>
    <row r="5481" ht="24" customHeight="1" spans="2:14">
      <c r="B5481" s="33"/>
      <c r="C5481" s="60"/>
      <c r="D5481" s="60"/>
      <c r="E5481" s="60"/>
      <c r="F5481" s="60"/>
      <c r="G5481" s="60"/>
      <c r="H5481" s="60"/>
      <c r="I5481" s="60"/>
      <c r="J5481" s="60"/>
      <c r="K5481" s="60"/>
      <c r="L5481" s="60"/>
      <c r="M5481" s="64"/>
      <c r="N5481" s="33"/>
    </row>
    <row r="5482" ht="24" customHeight="1" spans="2:14">
      <c r="B5482" s="33"/>
      <c r="C5482" s="60"/>
      <c r="D5482" s="60"/>
      <c r="E5482" s="60"/>
      <c r="F5482" s="60"/>
      <c r="G5482" s="60"/>
      <c r="H5482" s="60"/>
      <c r="I5482" s="60"/>
      <c r="J5482" s="60"/>
      <c r="K5482" s="60"/>
      <c r="L5482" s="60"/>
      <c r="M5482" s="64"/>
      <c r="N5482" s="33"/>
    </row>
    <row r="5483" ht="24" customHeight="1" spans="2:14">
      <c r="B5483" s="33"/>
      <c r="C5483" s="60"/>
      <c r="D5483" s="60"/>
      <c r="E5483" s="60"/>
      <c r="F5483" s="60"/>
      <c r="G5483" s="60"/>
      <c r="H5483" s="60"/>
      <c r="I5483" s="60"/>
      <c r="J5483" s="60"/>
      <c r="K5483" s="60"/>
      <c r="L5483" s="60"/>
      <c r="M5483" s="64"/>
      <c r="N5483" s="33"/>
    </row>
    <row r="5484" ht="24" customHeight="1" spans="2:14">
      <c r="B5484" s="33"/>
      <c r="C5484" s="60"/>
      <c r="D5484" s="60"/>
      <c r="E5484" s="60"/>
      <c r="F5484" s="60"/>
      <c r="G5484" s="60"/>
      <c r="H5484" s="60"/>
      <c r="I5484" s="60"/>
      <c r="J5484" s="60"/>
      <c r="K5484" s="60"/>
      <c r="L5484" s="60"/>
      <c r="M5484" s="64"/>
      <c r="N5484" s="33"/>
    </row>
    <row r="5485" ht="24" customHeight="1" spans="2:14">
      <c r="B5485" s="33"/>
      <c r="C5485" s="60"/>
      <c r="D5485" s="60"/>
      <c r="E5485" s="60"/>
      <c r="F5485" s="60"/>
      <c r="G5485" s="60"/>
      <c r="H5485" s="60"/>
      <c r="I5485" s="60"/>
      <c r="J5485" s="60"/>
      <c r="K5485" s="60"/>
      <c r="L5485" s="60"/>
      <c r="M5485" s="64"/>
      <c r="N5485" s="33"/>
    </row>
    <row r="5486" ht="24" customHeight="1" spans="2:14">
      <c r="B5486" s="33"/>
      <c r="C5486" s="60"/>
      <c r="D5486" s="60"/>
      <c r="E5486" s="60"/>
      <c r="F5486" s="60"/>
      <c r="G5486" s="60"/>
      <c r="H5486" s="60"/>
      <c r="I5486" s="60"/>
      <c r="J5486" s="60"/>
      <c r="K5486" s="60"/>
      <c r="L5486" s="60"/>
      <c r="M5486" s="64"/>
      <c r="N5486" s="33"/>
    </row>
    <row r="5487" ht="24" customHeight="1" spans="2:14">
      <c r="B5487" s="33"/>
      <c r="C5487" s="60"/>
      <c r="D5487" s="60"/>
      <c r="E5487" s="60"/>
      <c r="F5487" s="60"/>
      <c r="G5487" s="60"/>
      <c r="H5487" s="60"/>
      <c r="I5487" s="60"/>
      <c r="J5487" s="60"/>
      <c r="K5487" s="60"/>
      <c r="L5487" s="60"/>
      <c r="M5487" s="64"/>
      <c r="N5487" s="33"/>
    </row>
    <row r="5488" ht="24" customHeight="1" spans="2:14">
      <c r="B5488" s="33"/>
      <c r="C5488" s="60"/>
      <c r="D5488" s="60"/>
      <c r="E5488" s="60"/>
      <c r="F5488" s="60"/>
      <c r="G5488" s="60"/>
      <c r="H5488" s="60"/>
      <c r="I5488" s="60"/>
      <c r="J5488" s="60"/>
      <c r="K5488" s="60"/>
      <c r="L5488" s="60"/>
      <c r="M5488" s="64"/>
      <c r="N5488" s="33"/>
    </row>
    <row r="5489" ht="24" customHeight="1" spans="2:14">
      <c r="B5489" s="33"/>
      <c r="C5489" s="60"/>
      <c r="D5489" s="60"/>
      <c r="E5489" s="60"/>
      <c r="F5489" s="60"/>
      <c r="G5489" s="60"/>
      <c r="H5489" s="60"/>
      <c r="I5489" s="60"/>
      <c r="J5489" s="60"/>
      <c r="K5489" s="60"/>
      <c r="L5489" s="60"/>
      <c r="M5489" s="64"/>
      <c r="N5489" s="33"/>
    </row>
    <row r="5490" ht="24" customHeight="1" spans="2:14">
      <c r="B5490" s="33"/>
      <c r="C5490" s="60"/>
      <c r="D5490" s="60"/>
      <c r="E5490" s="60"/>
      <c r="F5490" s="60"/>
      <c r="G5490" s="60"/>
      <c r="H5490" s="60"/>
      <c r="I5490" s="60"/>
      <c r="J5490" s="60"/>
      <c r="K5490" s="60"/>
      <c r="L5490" s="60"/>
      <c r="M5490" s="64"/>
      <c r="N5490" s="33"/>
    </row>
    <row r="5491" ht="24" customHeight="1" spans="2:14">
      <c r="B5491" s="33"/>
      <c r="C5491" s="60"/>
      <c r="D5491" s="60"/>
      <c r="E5491" s="60"/>
      <c r="F5491" s="60"/>
      <c r="G5491" s="60"/>
      <c r="H5491" s="60"/>
      <c r="I5491" s="60"/>
      <c r="J5491" s="60"/>
      <c r="K5491" s="60"/>
      <c r="L5491" s="60"/>
      <c r="M5491" s="64"/>
      <c r="N5491" s="33"/>
    </row>
    <row r="5492" ht="24" customHeight="1" spans="2:14">
      <c r="B5492" s="33"/>
      <c r="C5492" s="60"/>
      <c r="D5492" s="60"/>
      <c r="E5492" s="60"/>
      <c r="F5492" s="60"/>
      <c r="G5492" s="60"/>
      <c r="H5492" s="60"/>
      <c r="I5492" s="60"/>
      <c r="J5492" s="60"/>
      <c r="K5492" s="60"/>
      <c r="L5492" s="60"/>
      <c r="M5492" s="64"/>
      <c r="N5492" s="33"/>
    </row>
    <row r="5493" ht="24" customHeight="1" spans="2:14">
      <c r="B5493" s="33"/>
      <c r="C5493" s="60"/>
      <c r="D5493" s="60"/>
      <c r="E5493" s="60"/>
      <c r="F5493" s="60"/>
      <c r="G5493" s="60"/>
      <c r="H5493" s="60"/>
      <c r="I5493" s="60"/>
      <c r="J5493" s="60"/>
      <c r="K5493" s="60"/>
      <c r="L5493" s="60"/>
      <c r="M5493" s="64"/>
      <c r="N5493" s="33"/>
    </row>
    <row r="5494" ht="24" customHeight="1" spans="2:14">
      <c r="B5494" s="33"/>
      <c r="C5494" s="60"/>
      <c r="D5494" s="60"/>
      <c r="E5494" s="60"/>
      <c r="F5494" s="60"/>
      <c r="G5494" s="60"/>
      <c r="H5494" s="60"/>
      <c r="I5494" s="60"/>
      <c r="J5494" s="60"/>
      <c r="K5494" s="60"/>
      <c r="L5494" s="60"/>
      <c r="M5494" s="64"/>
      <c r="N5494" s="33"/>
    </row>
    <row r="5495" ht="24" customHeight="1" spans="2:14">
      <c r="B5495" s="33"/>
      <c r="C5495" s="60"/>
      <c r="D5495" s="60"/>
      <c r="E5495" s="60"/>
      <c r="F5495" s="60"/>
      <c r="G5495" s="60"/>
      <c r="H5495" s="60"/>
      <c r="I5495" s="60"/>
      <c r="J5495" s="60"/>
      <c r="K5495" s="60"/>
      <c r="L5495" s="60"/>
      <c r="M5495" s="64"/>
      <c r="N5495" s="33"/>
    </row>
    <row r="5496" ht="24" customHeight="1" spans="2:14">
      <c r="B5496" s="33"/>
      <c r="C5496" s="60"/>
      <c r="D5496" s="60"/>
      <c r="E5496" s="60"/>
      <c r="F5496" s="60"/>
      <c r="G5496" s="60"/>
      <c r="H5496" s="60"/>
      <c r="I5496" s="60"/>
      <c r="J5496" s="60"/>
      <c r="K5496" s="60"/>
      <c r="L5496" s="60"/>
      <c r="M5496" s="64"/>
      <c r="N5496" s="33"/>
    </row>
    <row r="5497" ht="24" customHeight="1" spans="2:14">
      <c r="B5497" s="33"/>
      <c r="C5497" s="60"/>
      <c r="D5497" s="60"/>
      <c r="E5497" s="60"/>
      <c r="F5497" s="60"/>
      <c r="G5497" s="60"/>
      <c r="H5497" s="60"/>
      <c r="I5497" s="60"/>
      <c r="J5497" s="60"/>
      <c r="K5497" s="60"/>
      <c r="L5497" s="60"/>
      <c r="M5497" s="64"/>
      <c r="N5497" s="33"/>
    </row>
    <row r="5498" ht="24" customHeight="1" spans="2:14">
      <c r="B5498" s="33"/>
      <c r="C5498" s="60"/>
      <c r="D5498" s="60"/>
      <c r="E5498" s="60"/>
      <c r="F5498" s="60"/>
      <c r="G5498" s="60"/>
      <c r="H5498" s="60"/>
      <c r="I5498" s="60"/>
      <c r="J5498" s="60"/>
      <c r="K5498" s="60"/>
      <c r="L5498" s="60"/>
      <c r="M5498" s="64"/>
      <c r="N5498" s="33"/>
    </row>
    <row r="5499" ht="24" customHeight="1" spans="2:14">
      <c r="B5499" s="33"/>
      <c r="C5499" s="60"/>
      <c r="D5499" s="60"/>
      <c r="E5499" s="60"/>
      <c r="F5499" s="60"/>
      <c r="G5499" s="60"/>
      <c r="H5499" s="60"/>
      <c r="I5499" s="60"/>
      <c r="J5499" s="60"/>
      <c r="K5499" s="60"/>
      <c r="L5499" s="60"/>
      <c r="M5499" s="64"/>
      <c r="N5499" s="33"/>
    </row>
    <row r="5500" ht="24" customHeight="1" spans="2:14">
      <c r="B5500" s="33"/>
      <c r="C5500" s="60"/>
      <c r="D5500" s="60"/>
      <c r="E5500" s="60"/>
      <c r="F5500" s="60"/>
      <c r="G5500" s="60"/>
      <c r="H5500" s="60"/>
      <c r="I5500" s="60"/>
      <c r="J5500" s="60"/>
      <c r="K5500" s="60"/>
      <c r="L5500" s="60"/>
      <c r="M5500" s="64"/>
      <c r="N5500" s="33"/>
    </row>
    <row r="5501" ht="24" customHeight="1" spans="2:14">
      <c r="B5501" s="33"/>
      <c r="C5501" s="60"/>
      <c r="D5501" s="60"/>
      <c r="E5501" s="60"/>
      <c r="F5501" s="60"/>
      <c r="G5501" s="60"/>
      <c r="H5501" s="60"/>
      <c r="I5501" s="60"/>
      <c r="J5501" s="60"/>
      <c r="K5501" s="60"/>
      <c r="L5501" s="60"/>
      <c r="M5501" s="64"/>
      <c r="N5501" s="33"/>
    </row>
    <row r="5502" ht="24" customHeight="1" spans="2:14">
      <c r="B5502" s="33"/>
      <c r="C5502" s="60"/>
      <c r="D5502" s="60"/>
      <c r="E5502" s="60"/>
      <c r="F5502" s="60"/>
      <c r="G5502" s="60"/>
      <c r="H5502" s="60"/>
      <c r="I5502" s="60"/>
      <c r="J5502" s="60"/>
      <c r="K5502" s="60"/>
      <c r="L5502" s="60"/>
      <c r="M5502" s="64"/>
      <c r="N5502" s="33"/>
    </row>
    <row r="5503" ht="24" customHeight="1" spans="2:14">
      <c r="B5503" s="33"/>
      <c r="C5503" s="60"/>
      <c r="D5503" s="60"/>
      <c r="E5503" s="60"/>
      <c r="F5503" s="60"/>
      <c r="G5503" s="60"/>
      <c r="H5503" s="60"/>
      <c r="I5503" s="60"/>
      <c r="J5503" s="60"/>
      <c r="K5503" s="60"/>
      <c r="L5503" s="60"/>
      <c r="M5503" s="64"/>
      <c r="N5503" s="33"/>
    </row>
    <row r="5504" ht="24" customHeight="1" spans="2:14">
      <c r="B5504" s="33"/>
      <c r="C5504" s="60"/>
      <c r="D5504" s="60"/>
      <c r="E5504" s="60"/>
      <c r="F5504" s="60"/>
      <c r="G5504" s="60"/>
      <c r="H5504" s="60"/>
      <c r="I5504" s="60"/>
      <c r="J5504" s="60"/>
      <c r="K5504" s="60"/>
      <c r="L5504" s="60"/>
      <c r="M5504" s="64"/>
      <c r="N5504" s="33"/>
    </row>
    <row r="5505" ht="24" customHeight="1" spans="2:14">
      <c r="B5505" s="33"/>
      <c r="C5505" s="60"/>
      <c r="D5505" s="60"/>
      <c r="E5505" s="60"/>
      <c r="F5505" s="60"/>
      <c r="G5505" s="60"/>
      <c r="H5505" s="60"/>
      <c r="I5505" s="60"/>
      <c r="J5505" s="60"/>
      <c r="K5505" s="60"/>
      <c r="L5505" s="60"/>
      <c r="M5505" s="64"/>
      <c r="N5505" s="33"/>
    </row>
    <row r="5506" ht="24" customHeight="1" spans="2:14">
      <c r="B5506" s="33"/>
      <c r="C5506" s="60"/>
      <c r="D5506" s="60"/>
      <c r="E5506" s="60"/>
      <c r="F5506" s="60"/>
      <c r="G5506" s="60"/>
      <c r="H5506" s="60"/>
      <c r="I5506" s="60"/>
      <c r="J5506" s="60"/>
      <c r="K5506" s="60"/>
      <c r="L5506" s="60"/>
      <c r="M5506" s="64"/>
      <c r="N5506" s="33"/>
    </row>
    <row r="5507" ht="24" customHeight="1" spans="2:14">
      <c r="B5507" s="33"/>
      <c r="C5507" s="60"/>
      <c r="D5507" s="60"/>
      <c r="E5507" s="60"/>
      <c r="F5507" s="60"/>
      <c r="G5507" s="60"/>
      <c r="H5507" s="60"/>
      <c r="I5507" s="60"/>
      <c r="J5507" s="60"/>
      <c r="K5507" s="60"/>
      <c r="L5507" s="60"/>
      <c r="M5507" s="64"/>
      <c r="N5507" s="33"/>
    </row>
    <row r="5508" ht="24" customHeight="1" spans="2:14">
      <c r="B5508" s="33"/>
      <c r="C5508" s="60"/>
      <c r="D5508" s="60"/>
      <c r="E5508" s="60"/>
      <c r="F5508" s="60"/>
      <c r="G5508" s="60"/>
      <c r="H5508" s="60"/>
      <c r="I5508" s="60"/>
      <c r="J5508" s="60"/>
      <c r="K5508" s="60"/>
      <c r="L5508" s="60"/>
      <c r="M5508" s="64"/>
      <c r="N5508" s="33"/>
    </row>
    <row r="5509" ht="24" customHeight="1" spans="2:14">
      <c r="B5509" s="33"/>
      <c r="C5509" s="60"/>
      <c r="D5509" s="60"/>
      <c r="E5509" s="60"/>
      <c r="F5509" s="60"/>
      <c r="G5509" s="60"/>
      <c r="H5509" s="60"/>
      <c r="I5509" s="60"/>
      <c r="J5509" s="60"/>
      <c r="K5509" s="60"/>
      <c r="L5509" s="60"/>
      <c r="M5509" s="64"/>
      <c r="N5509" s="33"/>
    </row>
    <row r="5510" ht="24" customHeight="1" spans="2:14">
      <c r="B5510" s="33"/>
      <c r="C5510" s="60"/>
      <c r="D5510" s="60"/>
      <c r="E5510" s="60"/>
      <c r="F5510" s="60"/>
      <c r="G5510" s="60"/>
      <c r="H5510" s="60"/>
      <c r="I5510" s="60"/>
      <c r="J5510" s="60"/>
      <c r="K5510" s="60"/>
      <c r="L5510" s="60"/>
      <c r="M5510" s="64"/>
      <c r="N5510" s="33"/>
    </row>
    <row r="5511" ht="24" customHeight="1" spans="2:14">
      <c r="B5511" s="33"/>
      <c r="C5511" s="60"/>
      <c r="D5511" s="60"/>
      <c r="E5511" s="60"/>
      <c r="F5511" s="60"/>
      <c r="G5511" s="60"/>
      <c r="H5511" s="60"/>
      <c r="I5511" s="60"/>
      <c r="J5511" s="60"/>
      <c r="K5511" s="60"/>
      <c r="L5511" s="60"/>
      <c r="M5511" s="64"/>
      <c r="N5511" s="33"/>
    </row>
    <row r="5512" ht="24" customHeight="1" spans="2:14">
      <c r="B5512" s="33"/>
      <c r="C5512" s="60"/>
      <c r="D5512" s="60"/>
      <c r="E5512" s="60"/>
      <c r="F5512" s="60"/>
      <c r="G5512" s="60"/>
      <c r="H5512" s="60"/>
      <c r="I5512" s="60"/>
      <c r="J5512" s="60"/>
      <c r="K5512" s="60"/>
      <c r="L5512" s="60"/>
      <c r="M5512" s="64"/>
      <c r="N5512" s="33"/>
    </row>
    <row r="5513" ht="24" customHeight="1" spans="2:14">
      <c r="B5513" s="33"/>
      <c r="C5513" s="60"/>
      <c r="D5513" s="60"/>
      <c r="E5513" s="60"/>
      <c r="F5513" s="60"/>
      <c r="G5513" s="60"/>
      <c r="H5513" s="60"/>
      <c r="I5513" s="60"/>
      <c r="J5513" s="60"/>
      <c r="K5513" s="60"/>
      <c r="L5513" s="60"/>
      <c r="M5513" s="64"/>
      <c r="N5513" s="33"/>
    </row>
    <row r="5514" ht="24" customHeight="1" spans="2:14">
      <c r="B5514" s="33"/>
      <c r="C5514" s="60"/>
      <c r="D5514" s="60"/>
      <c r="E5514" s="60"/>
      <c r="F5514" s="60"/>
      <c r="G5514" s="60"/>
      <c r="H5514" s="60"/>
      <c r="I5514" s="60"/>
      <c r="J5514" s="60"/>
      <c r="K5514" s="60"/>
      <c r="L5514" s="60"/>
      <c r="M5514" s="64"/>
      <c r="N5514" s="33"/>
    </row>
    <row r="5515" ht="24" customHeight="1" spans="2:14">
      <c r="B5515" s="33"/>
      <c r="C5515" s="60"/>
      <c r="D5515" s="60"/>
      <c r="E5515" s="60"/>
      <c r="F5515" s="60"/>
      <c r="G5515" s="60"/>
      <c r="H5515" s="60"/>
      <c r="I5515" s="60"/>
      <c r="J5515" s="60"/>
      <c r="K5515" s="60"/>
      <c r="L5515" s="60"/>
      <c r="M5515" s="64"/>
      <c r="N5515" s="33"/>
    </row>
    <row r="5516" ht="24" customHeight="1" spans="2:14">
      <c r="B5516" s="33"/>
      <c r="C5516" s="60"/>
      <c r="D5516" s="60"/>
      <c r="E5516" s="60"/>
      <c r="F5516" s="60"/>
      <c r="G5516" s="60"/>
      <c r="H5516" s="60"/>
      <c r="I5516" s="60"/>
      <c r="J5516" s="60"/>
      <c r="K5516" s="60"/>
      <c r="L5516" s="60"/>
      <c r="M5516" s="64"/>
      <c r="N5516" s="33"/>
    </row>
    <row r="5517" ht="24" customHeight="1" spans="2:14">
      <c r="B5517" s="33"/>
      <c r="C5517" s="60"/>
      <c r="D5517" s="60"/>
      <c r="E5517" s="60"/>
      <c r="F5517" s="60"/>
      <c r="G5517" s="60"/>
      <c r="H5517" s="60"/>
      <c r="I5517" s="60"/>
      <c r="J5517" s="60"/>
      <c r="K5517" s="60"/>
      <c r="L5517" s="60"/>
      <c r="M5517" s="64"/>
      <c r="N5517" s="33"/>
    </row>
    <row r="5518" ht="24" customHeight="1" spans="2:14">
      <c r="B5518" s="33"/>
      <c r="C5518" s="60"/>
      <c r="D5518" s="60"/>
      <c r="E5518" s="60"/>
      <c r="F5518" s="60"/>
      <c r="G5518" s="60"/>
      <c r="H5518" s="60"/>
      <c r="I5518" s="60"/>
      <c r="J5518" s="60"/>
      <c r="K5518" s="60"/>
      <c r="L5518" s="60"/>
      <c r="M5518" s="64"/>
      <c r="N5518" s="33"/>
    </row>
    <row r="5519" ht="24" customHeight="1" spans="2:14">
      <c r="B5519" s="33"/>
      <c r="C5519" s="60"/>
      <c r="D5519" s="60"/>
      <c r="E5519" s="60"/>
      <c r="F5519" s="60"/>
      <c r="G5519" s="60"/>
      <c r="H5519" s="60"/>
      <c r="I5519" s="60"/>
      <c r="J5519" s="60"/>
      <c r="K5519" s="60"/>
      <c r="L5519" s="60"/>
      <c r="M5519" s="64"/>
      <c r="N5519" s="33"/>
    </row>
    <row r="5520" ht="24" customHeight="1" spans="2:14">
      <c r="B5520" s="33"/>
      <c r="C5520" s="60"/>
      <c r="D5520" s="60"/>
      <c r="E5520" s="60"/>
      <c r="F5520" s="60"/>
      <c r="G5520" s="60"/>
      <c r="H5520" s="60"/>
      <c r="I5520" s="60"/>
      <c r="J5520" s="60"/>
      <c r="K5520" s="60"/>
      <c r="L5520" s="60"/>
      <c r="M5520" s="64"/>
      <c r="N5520" s="33"/>
    </row>
    <row r="5521" ht="24" customHeight="1" spans="2:14">
      <c r="B5521" s="33"/>
      <c r="C5521" s="60"/>
      <c r="D5521" s="60"/>
      <c r="E5521" s="60"/>
      <c r="F5521" s="60"/>
      <c r="G5521" s="60"/>
      <c r="H5521" s="60"/>
      <c r="I5521" s="60"/>
      <c r="J5521" s="60"/>
      <c r="K5521" s="60"/>
      <c r="L5521" s="60"/>
      <c r="M5521" s="64"/>
      <c r="N5521" s="33"/>
    </row>
    <row r="5522" ht="24" customHeight="1" spans="2:14">
      <c r="B5522" s="33"/>
      <c r="C5522" s="60"/>
      <c r="D5522" s="60"/>
      <c r="E5522" s="60"/>
      <c r="F5522" s="60"/>
      <c r="G5522" s="60"/>
      <c r="H5522" s="60"/>
      <c r="I5522" s="60"/>
      <c r="J5522" s="60"/>
      <c r="K5522" s="60"/>
      <c r="L5522" s="60"/>
      <c r="M5522" s="64"/>
      <c r="N5522" s="33"/>
    </row>
    <row r="5523" ht="24" customHeight="1" spans="2:14">
      <c r="B5523" s="33"/>
      <c r="C5523" s="60"/>
      <c r="D5523" s="60"/>
      <c r="E5523" s="60"/>
      <c r="F5523" s="60"/>
      <c r="G5523" s="60"/>
      <c r="H5523" s="60"/>
      <c r="I5523" s="60"/>
      <c r="J5523" s="60"/>
      <c r="K5523" s="60"/>
      <c r="L5523" s="60"/>
      <c r="M5523" s="64"/>
      <c r="N5523" s="33"/>
    </row>
    <row r="5524" ht="24" customHeight="1" spans="2:14">
      <c r="B5524" s="33"/>
      <c r="C5524" s="60"/>
      <c r="D5524" s="60"/>
      <c r="E5524" s="60"/>
      <c r="F5524" s="60"/>
      <c r="G5524" s="60"/>
      <c r="H5524" s="60"/>
      <c r="I5524" s="60"/>
      <c r="J5524" s="60"/>
      <c r="K5524" s="60"/>
      <c r="L5524" s="60"/>
      <c r="M5524" s="64"/>
      <c r="N5524" s="33"/>
    </row>
    <row r="5525" ht="24" customHeight="1" spans="2:14">
      <c r="B5525" s="33"/>
      <c r="C5525" s="60"/>
      <c r="D5525" s="60"/>
      <c r="E5525" s="60"/>
      <c r="F5525" s="60"/>
      <c r="G5525" s="60"/>
      <c r="H5525" s="60"/>
      <c r="I5525" s="60"/>
      <c r="J5525" s="60"/>
      <c r="K5525" s="60"/>
      <c r="L5525" s="60"/>
      <c r="M5525" s="64"/>
      <c r="N5525" s="33"/>
    </row>
    <row r="5526" ht="24" customHeight="1" spans="2:14">
      <c r="B5526" s="33"/>
      <c r="C5526" s="60"/>
      <c r="D5526" s="60"/>
      <c r="E5526" s="60"/>
      <c r="F5526" s="60"/>
      <c r="G5526" s="60"/>
      <c r="H5526" s="60"/>
      <c r="I5526" s="60"/>
      <c r="J5526" s="60"/>
      <c r="K5526" s="60"/>
      <c r="L5526" s="60"/>
      <c r="M5526" s="64"/>
      <c r="N5526" s="33"/>
    </row>
    <row r="5527" ht="24" customHeight="1" spans="2:14">
      <c r="B5527" s="33"/>
      <c r="C5527" s="60"/>
      <c r="D5527" s="60"/>
      <c r="E5527" s="60"/>
      <c r="F5527" s="60"/>
      <c r="G5527" s="60"/>
      <c r="H5527" s="60"/>
      <c r="I5527" s="60"/>
      <c r="J5527" s="60"/>
      <c r="K5527" s="60"/>
      <c r="L5527" s="60"/>
      <c r="M5527" s="64"/>
      <c r="N5527" s="33"/>
    </row>
    <row r="5528" ht="24" customHeight="1" spans="2:14">
      <c r="B5528" s="33"/>
      <c r="C5528" s="60"/>
      <c r="D5528" s="60"/>
      <c r="E5528" s="60"/>
      <c r="F5528" s="60"/>
      <c r="G5528" s="60"/>
      <c r="H5528" s="60"/>
      <c r="I5528" s="60"/>
      <c r="J5528" s="60"/>
      <c r="K5528" s="60"/>
      <c r="L5528" s="60"/>
      <c r="M5528" s="64"/>
      <c r="N5528" s="33"/>
    </row>
    <row r="5529" ht="24" customHeight="1" spans="2:14">
      <c r="B5529" s="33"/>
      <c r="C5529" s="60"/>
      <c r="D5529" s="60"/>
      <c r="E5529" s="60"/>
      <c r="F5529" s="60"/>
      <c r="G5529" s="60"/>
      <c r="H5529" s="60"/>
      <c r="I5529" s="60"/>
      <c r="J5529" s="60"/>
      <c r="K5529" s="60"/>
      <c r="L5529" s="60"/>
      <c r="M5529" s="64"/>
      <c r="N5529" s="33"/>
    </row>
    <row r="5530" ht="24" customHeight="1" spans="2:14">
      <c r="B5530" s="33"/>
      <c r="C5530" s="60"/>
      <c r="D5530" s="60"/>
      <c r="E5530" s="60"/>
      <c r="F5530" s="60"/>
      <c r="G5530" s="60"/>
      <c r="H5530" s="60"/>
      <c r="I5530" s="60"/>
      <c r="J5530" s="60"/>
      <c r="K5530" s="60"/>
      <c r="L5530" s="60"/>
      <c r="M5530" s="64"/>
      <c r="N5530" s="33"/>
    </row>
    <row r="5531" ht="24" customHeight="1" spans="2:14">
      <c r="B5531" s="33"/>
      <c r="C5531" s="60"/>
      <c r="D5531" s="60"/>
      <c r="E5531" s="60"/>
      <c r="F5531" s="60"/>
      <c r="G5531" s="60"/>
      <c r="H5531" s="60"/>
      <c r="I5531" s="60"/>
      <c r="J5531" s="60"/>
      <c r="K5531" s="60"/>
      <c r="L5531" s="60"/>
      <c r="M5531" s="64"/>
      <c r="N5531" s="33"/>
    </row>
    <row r="5532" ht="24" customHeight="1" spans="2:14">
      <c r="B5532" s="33"/>
      <c r="C5532" s="60"/>
      <c r="D5532" s="60"/>
      <c r="E5532" s="60"/>
      <c r="F5532" s="60"/>
      <c r="G5532" s="60"/>
      <c r="H5532" s="60"/>
      <c r="I5532" s="60"/>
      <c r="J5532" s="60"/>
      <c r="K5532" s="60"/>
      <c r="L5532" s="60"/>
      <c r="M5532" s="64"/>
      <c r="N5532" s="33"/>
    </row>
    <row r="5533" ht="24" customHeight="1" spans="2:14">
      <c r="B5533" s="33"/>
      <c r="C5533" s="60"/>
      <c r="D5533" s="60"/>
      <c r="E5533" s="60"/>
      <c r="F5533" s="60"/>
      <c r="G5533" s="60"/>
      <c r="H5533" s="60"/>
      <c r="I5533" s="60"/>
      <c r="J5533" s="60"/>
      <c r="K5533" s="60"/>
      <c r="L5533" s="60"/>
      <c r="M5533" s="64"/>
      <c r="N5533" s="33"/>
    </row>
    <row r="5534" ht="24" customHeight="1" spans="2:14">
      <c r="B5534" s="33"/>
      <c r="C5534" s="60"/>
      <c r="D5534" s="60"/>
      <c r="E5534" s="60"/>
      <c r="F5534" s="60"/>
      <c r="G5534" s="60"/>
      <c r="H5534" s="60"/>
      <c r="I5534" s="60"/>
      <c r="J5534" s="60"/>
      <c r="K5534" s="60"/>
      <c r="L5534" s="60"/>
      <c r="M5534" s="64"/>
      <c r="N5534" s="33"/>
    </row>
    <row r="5535" ht="24" customHeight="1" spans="2:14">
      <c r="B5535" s="33"/>
      <c r="C5535" s="60"/>
      <c r="D5535" s="60"/>
      <c r="E5535" s="60"/>
      <c r="F5535" s="60"/>
      <c r="G5535" s="60"/>
      <c r="H5535" s="60"/>
      <c r="I5535" s="60"/>
      <c r="J5535" s="60"/>
      <c r="K5535" s="60"/>
      <c r="L5535" s="60"/>
      <c r="M5535" s="64"/>
      <c r="N5535" s="33"/>
    </row>
    <row r="5536" ht="24" customHeight="1" spans="2:14">
      <c r="B5536" s="33"/>
      <c r="C5536" s="60"/>
      <c r="D5536" s="60"/>
      <c r="E5536" s="60"/>
      <c r="F5536" s="60"/>
      <c r="G5536" s="60"/>
      <c r="H5536" s="60"/>
      <c r="I5536" s="60"/>
      <c r="J5536" s="60"/>
      <c r="K5536" s="60"/>
      <c r="L5536" s="60"/>
      <c r="M5536" s="64"/>
      <c r="N5536" s="33"/>
    </row>
    <row r="5537" ht="24" customHeight="1" spans="2:14">
      <c r="B5537" s="33"/>
      <c r="C5537" s="60"/>
      <c r="D5537" s="60"/>
      <c r="E5537" s="60"/>
      <c r="F5537" s="60"/>
      <c r="G5537" s="60"/>
      <c r="H5537" s="60"/>
      <c r="I5537" s="60"/>
      <c r="J5537" s="60"/>
      <c r="K5537" s="60"/>
      <c r="L5537" s="60"/>
      <c r="M5537" s="64"/>
      <c r="N5537" s="33"/>
    </row>
    <row r="5538" ht="24" customHeight="1" spans="2:14">
      <c r="B5538" s="33"/>
      <c r="C5538" s="60"/>
      <c r="D5538" s="60"/>
      <c r="E5538" s="60"/>
      <c r="F5538" s="60"/>
      <c r="G5538" s="60"/>
      <c r="H5538" s="60"/>
      <c r="I5538" s="60"/>
      <c r="J5538" s="60"/>
      <c r="K5538" s="60"/>
      <c r="L5538" s="60"/>
      <c r="M5538" s="64"/>
      <c r="N5538" s="33"/>
    </row>
    <row r="5539" ht="24" customHeight="1" spans="2:14">
      <c r="B5539" s="33"/>
      <c r="C5539" s="60"/>
      <c r="D5539" s="60"/>
      <c r="E5539" s="60"/>
      <c r="F5539" s="60"/>
      <c r="G5539" s="60"/>
      <c r="H5539" s="60"/>
      <c r="I5539" s="60"/>
      <c r="J5539" s="60"/>
      <c r="K5539" s="60"/>
      <c r="L5539" s="60"/>
      <c r="M5539" s="64"/>
      <c r="N5539" s="33"/>
    </row>
    <row r="5540" ht="24" customHeight="1" spans="2:14">
      <c r="B5540" s="33"/>
      <c r="C5540" s="60"/>
      <c r="D5540" s="60"/>
      <c r="E5540" s="60"/>
      <c r="F5540" s="60"/>
      <c r="G5540" s="60"/>
      <c r="H5540" s="60"/>
      <c r="I5540" s="60"/>
      <c r="J5540" s="60"/>
      <c r="K5540" s="60"/>
      <c r="L5540" s="60"/>
      <c r="M5540" s="64"/>
      <c r="N5540" s="33"/>
    </row>
    <row r="5541" ht="24" customHeight="1" spans="2:14">
      <c r="B5541" s="33"/>
      <c r="C5541" s="60"/>
      <c r="D5541" s="60"/>
      <c r="E5541" s="60"/>
      <c r="F5541" s="60"/>
      <c r="G5541" s="60"/>
      <c r="H5541" s="60"/>
      <c r="I5541" s="60"/>
      <c r="J5541" s="60"/>
      <c r="K5541" s="60"/>
      <c r="L5541" s="60"/>
      <c r="M5541" s="64"/>
      <c r="N5541" s="33"/>
    </row>
    <row r="5542" ht="24" customHeight="1" spans="2:14">
      <c r="B5542" s="33"/>
      <c r="C5542" s="60"/>
      <c r="D5542" s="60"/>
      <c r="E5542" s="60"/>
      <c r="F5542" s="60"/>
      <c r="G5542" s="60"/>
      <c r="H5542" s="60"/>
      <c r="I5542" s="60"/>
      <c r="J5542" s="60"/>
      <c r="K5542" s="60"/>
      <c r="L5542" s="60"/>
      <c r="M5542" s="64"/>
      <c r="N5542" s="33"/>
    </row>
    <row r="5543" ht="24" customHeight="1" spans="2:14">
      <c r="B5543" s="33"/>
      <c r="C5543" s="60"/>
      <c r="D5543" s="60"/>
      <c r="E5543" s="60"/>
      <c r="F5543" s="60"/>
      <c r="G5543" s="60"/>
      <c r="H5543" s="60"/>
      <c r="I5543" s="60"/>
      <c r="J5543" s="60"/>
      <c r="K5543" s="60"/>
      <c r="L5543" s="60"/>
      <c r="M5543" s="64"/>
      <c r="N5543" s="33"/>
    </row>
    <row r="5544" ht="24" customHeight="1" spans="2:14">
      <c r="B5544" s="33"/>
      <c r="C5544" s="60"/>
      <c r="D5544" s="60"/>
      <c r="E5544" s="60"/>
      <c r="F5544" s="60"/>
      <c r="G5544" s="60"/>
      <c r="H5544" s="60"/>
      <c r="I5544" s="60"/>
      <c r="J5544" s="60"/>
      <c r="K5544" s="60"/>
      <c r="L5544" s="60"/>
      <c r="M5544" s="64"/>
      <c r="N5544" s="33"/>
    </row>
    <row r="5545" ht="24" customHeight="1" spans="2:14">
      <c r="B5545" s="33"/>
      <c r="C5545" s="60"/>
      <c r="D5545" s="60"/>
      <c r="E5545" s="60"/>
      <c r="F5545" s="60"/>
      <c r="G5545" s="60"/>
      <c r="H5545" s="60"/>
      <c r="I5545" s="60"/>
      <c r="J5545" s="60"/>
      <c r="K5545" s="60"/>
      <c r="L5545" s="60"/>
      <c r="M5545" s="64"/>
      <c r="N5545" s="33"/>
    </row>
    <row r="5546" ht="24" customHeight="1" spans="2:14">
      <c r="B5546" s="33"/>
      <c r="C5546" s="60"/>
      <c r="D5546" s="60"/>
      <c r="E5546" s="60"/>
      <c r="F5546" s="60"/>
      <c r="G5546" s="60"/>
      <c r="H5546" s="60"/>
      <c r="I5546" s="60"/>
      <c r="J5546" s="60"/>
      <c r="K5546" s="60"/>
      <c r="L5546" s="60"/>
      <c r="M5546" s="64"/>
      <c r="N5546" s="33"/>
    </row>
    <row r="5547" ht="24" customHeight="1" spans="2:14">
      <c r="B5547" s="33"/>
      <c r="C5547" s="60"/>
      <c r="D5547" s="60"/>
      <c r="E5547" s="60"/>
      <c r="F5547" s="60"/>
      <c r="G5547" s="60"/>
      <c r="H5547" s="60"/>
      <c r="I5547" s="60"/>
      <c r="J5547" s="60"/>
      <c r="K5547" s="60"/>
      <c r="L5547" s="60"/>
      <c r="M5547" s="64"/>
      <c r="N5547" s="33"/>
    </row>
    <row r="5548" ht="24" customHeight="1" spans="2:14">
      <c r="B5548" s="33"/>
      <c r="C5548" s="60"/>
      <c r="D5548" s="60"/>
      <c r="E5548" s="60"/>
      <c r="F5548" s="60"/>
      <c r="G5548" s="60"/>
      <c r="H5548" s="60"/>
      <c r="I5548" s="60"/>
      <c r="J5548" s="60"/>
      <c r="K5548" s="60"/>
      <c r="L5548" s="60"/>
      <c r="M5548" s="64"/>
      <c r="N5548" s="33"/>
    </row>
    <row r="5549" ht="24" customHeight="1" spans="2:14">
      <c r="B5549" s="33"/>
      <c r="C5549" s="60"/>
      <c r="D5549" s="60"/>
      <c r="E5549" s="60"/>
      <c r="F5549" s="60"/>
      <c r="G5549" s="60"/>
      <c r="H5549" s="60"/>
      <c r="I5549" s="60"/>
      <c r="J5549" s="60"/>
      <c r="K5549" s="60"/>
      <c r="L5549" s="60"/>
      <c r="M5549" s="64"/>
      <c r="N5549" s="33"/>
    </row>
    <row r="5550" ht="24" customHeight="1" spans="2:14">
      <c r="B5550" s="33"/>
      <c r="C5550" s="60"/>
      <c r="D5550" s="60"/>
      <c r="E5550" s="60"/>
      <c r="F5550" s="60"/>
      <c r="G5550" s="60"/>
      <c r="H5550" s="60"/>
      <c r="I5550" s="60"/>
      <c r="J5550" s="60"/>
      <c r="K5550" s="60"/>
      <c r="L5550" s="60"/>
      <c r="M5550" s="64"/>
      <c r="N5550" s="33"/>
    </row>
    <row r="5551" ht="24" customHeight="1" spans="2:14">
      <c r="B5551" s="33"/>
      <c r="C5551" s="60"/>
      <c r="D5551" s="60"/>
      <c r="E5551" s="60"/>
      <c r="F5551" s="60"/>
      <c r="G5551" s="60"/>
      <c r="H5551" s="60"/>
      <c r="I5551" s="60"/>
      <c r="J5551" s="60"/>
      <c r="K5551" s="60"/>
      <c r="L5551" s="60"/>
      <c r="M5551" s="64"/>
      <c r="N5551" s="33"/>
    </row>
    <row r="5552" ht="24" customHeight="1" spans="2:14">
      <c r="B5552" s="33"/>
      <c r="C5552" s="60"/>
      <c r="D5552" s="60"/>
      <c r="E5552" s="60"/>
      <c r="F5552" s="60"/>
      <c r="G5552" s="60"/>
      <c r="H5552" s="60"/>
      <c r="I5552" s="60"/>
      <c r="J5552" s="60"/>
      <c r="K5552" s="60"/>
      <c r="L5552" s="60"/>
      <c r="M5552" s="64"/>
      <c r="N5552" s="33"/>
    </row>
    <row r="5553" ht="24" customHeight="1" spans="2:14">
      <c r="B5553" s="33"/>
      <c r="C5553" s="60"/>
      <c r="D5553" s="60"/>
      <c r="E5553" s="60"/>
      <c r="F5553" s="60"/>
      <c r="G5553" s="60"/>
      <c r="H5553" s="60"/>
      <c r="I5553" s="60"/>
      <c r="J5553" s="60"/>
      <c r="K5553" s="60"/>
      <c r="L5553" s="60"/>
      <c r="M5553" s="64"/>
      <c r="N5553" s="33"/>
    </row>
    <row r="5554" ht="24" customHeight="1" spans="2:14">
      <c r="B5554" s="33"/>
      <c r="C5554" s="60"/>
      <c r="D5554" s="60"/>
      <c r="E5554" s="60"/>
      <c r="F5554" s="60"/>
      <c r="G5554" s="60"/>
      <c r="H5554" s="60"/>
      <c r="I5554" s="60"/>
      <c r="J5554" s="60"/>
      <c r="K5554" s="60"/>
      <c r="L5554" s="60"/>
      <c r="M5554" s="64"/>
      <c r="N5554" s="33"/>
    </row>
    <row r="5555" ht="24" customHeight="1" spans="2:14">
      <c r="B5555" s="33"/>
      <c r="C5555" s="60"/>
      <c r="D5555" s="60"/>
      <c r="E5555" s="60"/>
      <c r="F5555" s="60"/>
      <c r="G5555" s="60"/>
      <c r="H5555" s="60"/>
      <c r="I5555" s="60"/>
      <c r="J5555" s="60"/>
      <c r="K5555" s="60"/>
      <c r="L5555" s="60"/>
      <c r="M5555" s="64"/>
      <c r="N5555" s="33"/>
    </row>
    <row r="5556" ht="24" customHeight="1" spans="2:14">
      <c r="B5556" s="33"/>
      <c r="C5556" s="60"/>
      <c r="D5556" s="60"/>
      <c r="E5556" s="60"/>
      <c r="F5556" s="60"/>
      <c r="G5556" s="60"/>
      <c r="H5556" s="60"/>
      <c r="I5556" s="60"/>
      <c r="J5556" s="60"/>
      <c r="K5556" s="60"/>
      <c r="L5556" s="60"/>
      <c r="M5556" s="64"/>
      <c r="N5556" s="33"/>
    </row>
    <row r="5557" ht="24" customHeight="1" spans="2:14">
      <c r="B5557" s="33"/>
      <c r="C5557" s="60"/>
      <c r="D5557" s="60"/>
      <c r="E5557" s="60"/>
      <c r="F5557" s="60"/>
      <c r="G5557" s="60"/>
      <c r="H5557" s="60"/>
      <c r="I5557" s="60"/>
      <c r="J5557" s="60"/>
      <c r="K5557" s="60"/>
      <c r="L5557" s="60"/>
      <c r="M5557" s="64"/>
      <c r="N5557" s="33"/>
    </row>
    <row r="5558" ht="24" customHeight="1" spans="2:14">
      <c r="B5558" s="33"/>
      <c r="C5558" s="60"/>
      <c r="D5558" s="60"/>
      <c r="E5558" s="60"/>
      <c r="F5558" s="60"/>
      <c r="G5558" s="60"/>
      <c r="H5558" s="60"/>
      <c r="I5558" s="60"/>
      <c r="J5558" s="60"/>
      <c r="K5558" s="60"/>
      <c r="L5558" s="60"/>
      <c r="M5558" s="64"/>
      <c r="N5558" s="33"/>
    </row>
    <row r="5559" ht="24" customHeight="1" spans="2:14">
      <c r="B5559" s="33"/>
      <c r="C5559" s="60"/>
      <c r="D5559" s="60"/>
      <c r="E5559" s="60"/>
      <c r="F5559" s="60"/>
      <c r="G5559" s="60"/>
      <c r="H5559" s="60"/>
      <c r="I5559" s="60"/>
      <c r="J5559" s="60"/>
      <c r="K5559" s="60"/>
      <c r="L5559" s="60"/>
      <c r="M5559" s="64"/>
      <c r="N5559" s="33"/>
    </row>
    <row r="5560" ht="24" customHeight="1" spans="2:14">
      <c r="B5560" s="33"/>
      <c r="C5560" s="60"/>
      <c r="D5560" s="60"/>
      <c r="E5560" s="60"/>
      <c r="F5560" s="60"/>
      <c r="G5560" s="60"/>
      <c r="H5560" s="60"/>
      <c r="I5560" s="60"/>
      <c r="J5560" s="60"/>
      <c r="K5560" s="60"/>
      <c r="L5560" s="60"/>
      <c r="M5560" s="64"/>
      <c r="N5560" s="33"/>
    </row>
    <row r="5561" ht="24" customHeight="1" spans="2:14">
      <c r="B5561" s="33"/>
      <c r="C5561" s="60"/>
      <c r="D5561" s="60"/>
      <c r="E5561" s="60"/>
      <c r="F5561" s="60"/>
      <c r="G5561" s="60"/>
      <c r="H5561" s="60"/>
      <c r="I5561" s="60"/>
      <c r="J5561" s="60"/>
      <c r="K5561" s="60"/>
      <c r="L5561" s="60"/>
      <c r="M5561" s="64"/>
      <c r="N5561" s="33"/>
    </row>
    <row r="5562" ht="24" customHeight="1" spans="2:14">
      <c r="B5562" s="33"/>
      <c r="C5562" s="60"/>
      <c r="D5562" s="60"/>
      <c r="E5562" s="60"/>
      <c r="F5562" s="60"/>
      <c r="G5562" s="60"/>
      <c r="H5562" s="60"/>
      <c r="I5562" s="60"/>
      <c r="J5562" s="60"/>
      <c r="K5562" s="60"/>
      <c r="L5562" s="60"/>
      <c r="M5562" s="64"/>
      <c r="N5562" s="33"/>
    </row>
    <row r="5563" ht="24" customHeight="1" spans="2:14">
      <c r="B5563" s="33"/>
      <c r="C5563" s="60"/>
      <c r="D5563" s="60"/>
      <c r="E5563" s="60"/>
      <c r="F5563" s="60"/>
      <c r="G5563" s="60"/>
      <c r="H5563" s="60"/>
      <c r="I5563" s="60"/>
      <c r="J5563" s="60"/>
      <c r="K5563" s="60"/>
      <c r="L5563" s="60"/>
      <c r="M5563" s="64"/>
      <c r="N5563" s="33"/>
    </row>
    <row r="5564" ht="24" customHeight="1" spans="2:14">
      <c r="B5564" s="33"/>
      <c r="C5564" s="60"/>
      <c r="D5564" s="60"/>
      <c r="E5564" s="60"/>
      <c r="F5564" s="60"/>
      <c r="G5564" s="60"/>
      <c r="H5564" s="60"/>
      <c r="I5564" s="60"/>
      <c r="J5564" s="60"/>
      <c r="K5564" s="60"/>
      <c r="L5564" s="60"/>
      <c r="M5564" s="64"/>
      <c r="N5564" s="33"/>
    </row>
    <row r="5565" ht="24" customHeight="1" spans="2:14">
      <c r="B5565" s="33"/>
      <c r="C5565" s="60"/>
      <c r="D5565" s="60"/>
      <c r="E5565" s="60"/>
      <c r="F5565" s="60"/>
      <c r="G5565" s="60"/>
      <c r="H5565" s="60"/>
      <c r="I5565" s="60"/>
      <c r="J5565" s="60"/>
      <c r="K5565" s="60"/>
      <c r="L5565" s="60"/>
      <c r="M5565" s="64"/>
      <c r="N5565" s="33"/>
    </row>
    <row r="5566" ht="24" customHeight="1" spans="2:14">
      <c r="B5566" s="33"/>
      <c r="C5566" s="60"/>
      <c r="D5566" s="60"/>
      <c r="E5566" s="60"/>
      <c r="F5566" s="60"/>
      <c r="G5566" s="60"/>
      <c r="H5566" s="60"/>
      <c r="I5566" s="60"/>
      <c r="J5566" s="60"/>
      <c r="K5566" s="60"/>
      <c r="L5566" s="60"/>
      <c r="M5566" s="64"/>
      <c r="N5566" s="33"/>
    </row>
    <row r="5567" ht="24" customHeight="1" spans="2:14">
      <c r="B5567" s="33"/>
      <c r="C5567" s="60"/>
      <c r="D5567" s="60"/>
      <c r="E5567" s="60"/>
      <c r="F5567" s="60"/>
      <c r="G5567" s="60"/>
      <c r="H5567" s="60"/>
      <c r="I5567" s="60"/>
      <c r="J5567" s="60"/>
      <c r="K5567" s="60"/>
      <c r="L5567" s="60"/>
      <c r="M5567" s="64"/>
      <c r="N5567" s="33"/>
    </row>
    <row r="5568" ht="24" customHeight="1" spans="2:14">
      <c r="B5568" s="33"/>
      <c r="C5568" s="60"/>
      <c r="D5568" s="60"/>
      <c r="E5568" s="60"/>
      <c r="F5568" s="60"/>
      <c r="G5568" s="60"/>
      <c r="H5568" s="60"/>
      <c r="I5568" s="60"/>
      <c r="J5568" s="60"/>
      <c r="K5568" s="60"/>
      <c r="L5568" s="60"/>
      <c r="M5568" s="64"/>
      <c r="N5568" s="33"/>
    </row>
    <row r="5569" ht="24" customHeight="1" spans="2:14">
      <c r="B5569" s="33"/>
      <c r="C5569" s="60"/>
      <c r="D5569" s="60"/>
      <c r="E5569" s="60"/>
      <c r="F5569" s="60"/>
      <c r="G5569" s="60"/>
      <c r="H5569" s="60"/>
      <c r="I5569" s="60"/>
      <c r="J5569" s="60"/>
      <c r="K5569" s="60"/>
      <c r="L5569" s="60"/>
      <c r="M5569" s="64"/>
      <c r="N5569" s="33"/>
    </row>
    <row r="5570" ht="24" customHeight="1" spans="2:14">
      <c r="B5570" s="33"/>
      <c r="C5570" s="60"/>
      <c r="D5570" s="60"/>
      <c r="E5570" s="60"/>
      <c r="F5570" s="60"/>
      <c r="G5570" s="60"/>
      <c r="H5570" s="60"/>
      <c r="I5570" s="60"/>
      <c r="J5570" s="60"/>
      <c r="K5570" s="60"/>
      <c r="L5570" s="60"/>
      <c r="M5570" s="64"/>
      <c r="N5570" s="33"/>
    </row>
    <row r="5571" ht="24" customHeight="1" spans="2:14">
      <c r="B5571" s="33"/>
      <c r="C5571" s="60"/>
      <c r="D5571" s="60"/>
      <c r="E5571" s="60"/>
      <c r="F5571" s="60"/>
      <c r="G5571" s="60"/>
      <c r="H5571" s="60"/>
      <c r="I5571" s="60"/>
      <c r="J5571" s="60"/>
      <c r="K5571" s="60"/>
      <c r="L5571" s="60"/>
      <c r="M5571" s="64"/>
      <c r="N5571" s="33"/>
    </row>
    <row r="5572" ht="24" customHeight="1" spans="2:14">
      <c r="B5572" s="33"/>
      <c r="C5572" s="60"/>
      <c r="D5572" s="60"/>
      <c r="E5572" s="60"/>
      <c r="F5572" s="60"/>
      <c r="G5572" s="60"/>
      <c r="H5572" s="60"/>
      <c r="I5572" s="60"/>
      <c r="J5572" s="60"/>
      <c r="K5572" s="60"/>
      <c r="L5572" s="60"/>
      <c r="M5572" s="64"/>
      <c r="N5572" s="33"/>
    </row>
    <row r="5573" ht="24" customHeight="1" spans="2:14">
      <c r="B5573" s="33"/>
      <c r="C5573" s="60"/>
      <c r="D5573" s="60"/>
      <c r="E5573" s="60"/>
      <c r="F5573" s="60"/>
      <c r="G5573" s="60"/>
      <c r="H5573" s="60"/>
      <c r="I5573" s="60"/>
      <c r="J5573" s="60"/>
      <c r="K5573" s="60"/>
      <c r="L5573" s="60"/>
      <c r="M5573" s="64"/>
      <c r="N5573" s="33"/>
    </row>
    <row r="5574" ht="24" customHeight="1" spans="2:14">
      <c r="B5574" s="33"/>
      <c r="C5574" s="60"/>
      <c r="D5574" s="60"/>
      <c r="E5574" s="60"/>
      <c r="F5574" s="60"/>
      <c r="G5574" s="60"/>
      <c r="H5574" s="60"/>
      <c r="I5574" s="60"/>
      <c r="J5574" s="60"/>
      <c r="K5574" s="60"/>
      <c r="L5574" s="60"/>
      <c r="M5574" s="64"/>
      <c r="N5574" s="33"/>
    </row>
    <row r="5575" ht="24" customHeight="1" spans="2:14">
      <c r="B5575" s="33"/>
      <c r="C5575" s="60"/>
      <c r="D5575" s="60"/>
      <c r="E5575" s="60"/>
      <c r="F5575" s="60"/>
      <c r="G5575" s="60"/>
      <c r="H5575" s="60"/>
      <c r="I5575" s="60"/>
      <c r="J5575" s="60"/>
      <c r="K5575" s="60"/>
      <c r="L5575" s="60"/>
      <c r="M5575" s="64"/>
      <c r="N5575" s="33"/>
    </row>
    <row r="5576" ht="24" customHeight="1" spans="2:14">
      <c r="B5576" s="33"/>
      <c r="C5576" s="60"/>
      <c r="D5576" s="60"/>
      <c r="E5576" s="60"/>
      <c r="F5576" s="60"/>
      <c r="G5576" s="60"/>
      <c r="H5576" s="60"/>
      <c r="I5576" s="60"/>
      <c r="J5576" s="60"/>
      <c r="K5576" s="60"/>
      <c r="L5576" s="60"/>
      <c r="M5576" s="64"/>
      <c r="N5576" s="33"/>
    </row>
    <row r="5577" ht="24" customHeight="1" spans="2:14">
      <c r="B5577" s="33"/>
      <c r="C5577" s="60"/>
      <c r="D5577" s="60"/>
      <c r="E5577" s="60"/>
      <c r="F5577" s="60"/>
      <c r="G5577" s="60"/>
      <c r="H5577" s="60"/>
      <c r="I5577" s="60"/>
      <c r="J5577" s="60"/>
      <c r="K5577" s="60"/>
      <c r="L5577" s="60"/>
      <c r="M5577" s="64"/>
      <c r="N5577" s="33"/>
    </row>
    <row r="5578" ht="24" customHeight="1" spans="2:14">
      <c r="B5578" s="33"/>
      <c r="C5578" s="60"/>
      <c r="D5578" s="60"/>
      <c r="E5578" s="60"/>
      <c r="F5578" s="60"/>
      <c r="G5578" s="60"/>
      <c r="H5578" s="60"/>
      <c r="I5578" s="60"/>
      <c r="J5578" s="60"/>
      <c r="K5578" s="60"/>
      <c r="L5578" s="60"/>
      <c r="M5578" s="64"/>
      <c r="N5578" s="33"/>
    </row>
    <row r="5579" ht="24" customHeight="1" spans="2:14">
      <c r="B5579" s="33"/>
      <c r="C5579" s="60"/>
      <c r="D5579" s="60"/>
      <c r="E5579" s="60"/>
      <c r="F5579" s="60"/>
      <c r="G5579" s="60"/>
      <c r="H5579" s="60"/>
      <c r="I5579" s="60"/>
      <c r="J5579" s="60"/>
      <c r="K5579" s="60"/>
      <c r="L5579" s="60"/>
      <c r="M5579" s="64"/>
      <c r="N5579" s="33"/>
    </row>
    <row r="5580" ht="24" customHeight="1" spans="2:14">
      <c r="B5580" s="33"/>
      <c r="C5580" s="60"/>
      <c r="D5580" s="60"/>
      <c r="E5580" s="60"/>
      <c r="F5580" s="60"/>
      <c r="G5580" s="60"/>
      <c r="H5580" s="60"/>
      <c r="I5580" s="60"/>
      <c r="J5580" s="60"/>
      <c r="K5580" s="60"/>
      <c r="L5580" s="60"/>
      <c r="M5580" s="64"/>
      <c r="N5580" s="33"/>
    </row>
    <row r="5581" ht="24" customHeight="1" spans="2:14">
      <c r="B5581" s="33"/>
      <c r="C5581" s="60"/>
      <c r="D5581" s="60"/>
      <c r="E5581" s="60"/>
      <c r="F5581" s="60"/>
      <c r="G5581" s="60"/>
      <c r="H5581" s="60"/>
      <c r="I5581" s="60"/>
      <c r="J5581" s="60"/>
      <c r="K5581" s="60"/>
      <c r="L5581" s="60"/>
      <c r="M5581" s="64"/>
      <c r="N5581" s="33"/>
    </row>
    <row r="5582" ht="24" customHeight="1" spans="2:14">
      <c r="B5582" s="33"/>
      <c r="C5582" s="60"/>
      <c r="D5582" s="60"/>
      <c r="E5582" s="60"/>
      <c r="F5582" s="60"/>
      <c r="G5582" s="60"/>
      <c r="H5582" s="60"/>
      <c r="I5582" s="60"/>
      <c r="J5582" s="60"/>
      <c r="K5582" s="60"/>
      <c r="L5582" s="60"/>
      <c r="M5582" s="64"/>
      <c r="N5582" s="33"/>
    </row>
    <row r="5583" ht="24" customHeight="1" spans="2:14">
      <c r="B5583" s="33"/>
      <c r="C5583" s="60"/>
      <c r="D5583" s="60"/>
      <c r="E5583" s="60"/>
      <c r="F5583" s="60"/>
      <c r="G5583" s="60"/>
      <c r="H5583" s="60"/>
      <c r="I5583" s="60"/>
      <c r="J5583" s="60"/>
      <c r="K5583" s="60"/>
      <c r="L5583" s="60"/>
      <c r="M5583" s="64"/>
      <c r="N5583" s="33"/>
    </row>
    <row r="5584" ht="24" customHeight="1" spans="2:14">
      <c r="B5584" s="33"/>
      <c r="C5584" s="60"/>
      <c r="D5584" s="60"/>
      <c r="E5584" s="60"/>
      <c r="F5584" s="60"/>
      <c r="G5584" s="60"/>
      <c r="H5584" s="60"/>
      <c r="I5584" s="60"/>
      <c r="J5584" s="60"/>
      <c r="K5584" s="60"/>
      <c r="L5584" s="60"/>
      <c r="M5584" s="64"/>
      <c r="N5584" s="33"/>
    </row>
    <row r="5585" ht="24" customHeight="1" spans="2:14">
      <c r="B5585" s="33"/>
      <c r="C5585" s="60"/>
      <c r="D5585" s="60"/>
      <c r="E5585" s="60"/>
      <c r="F5585" s="60"/>
      <c r="G5585" s="60"/>
      <c r="H5585" s="60"/>
      <c r="I5585" s="60"/>
      <c r="J5585" s="60"/>
      <c r="K5585" s="60"/>
      <c r="L5585" s="60"/>
      <c r="M5585" s="64"/>
      <c r="N5585" s="33"/>
    </row>
    <row r="5586" ht="24" customHeight="1" spans="2:14">
      <c r="B5586" s="33"/>
      <c r="C5586" s="60"/>
      <c r="D5586" s="60"/>
      <c r="E5586" s="60"/>
      <c r="F5586" s="60"/>
      <c r="G5586" s="60"/>
      <c r="H5586" s="60"/>
      <c r="I5586" s="60"/>
      <c r="J5586" s="60"/>
      <c r="K5586" s="60"/>
      <c r="L5586" s="60"/>
      <c r="M5586" s="64"/>
      <c r="N5586" s="33"/>
    </row>
    <row r="5587" ht="24" customHeight="1" spans="2:14">
      <c r="B5587" s="33"/>
      <c r="C5587" s="60"/>
      <c r="D5587" s="60"/>
      <c r="E5587" s="60"/>
      <c r="F5587" s="60"/>
      <c r="G5587" s="60"/>
      <c r="H5587" s="60"/>
      <c r="I5587" s="60"/>
      <c r="J5587" s="60"/>
      <c r="K5587" s="60"/>
      <c r="L5587" s="60"/>
      <c r="M5587" s="64"/>
      <c r="N5587" s="33"/>
    </row>
    <row r="5588" ht="24" customHeight="1" spans="2:14">
      <c r="B5588" s="33"/>
      <c r="C5588" s="60"/>
      <c r="D5588" s="60"/>
      <c r="E5588" s="60"/>
      <c r="F5588" s="60"/>
      <c r="G5588" s="60"/>
      <c r="H5588" s="60"/>
      <c r="I5588" s="60"/>
      <c r="J5588" s="60"/>
      <c r="K5588" s="60"/>
      <c r="L5588" s="60"/>
      <c r="M5588" s="64"/>
      <c r="N5588" s="33"/>
    </row>
    <row r="5589" ht="24" customHeight="1" spans="2:14">
      <c r="B5589" s="33"/>
      <c r="C5589" s="60"/>
      <c r="D5589" s="60"/>
      <c r="E5589" s="60"/>
      <c r="F5589" s="60"/>
      <c r="G5589" s="60"/>
      <c r="H5589" s="60"/>
      <c r="I5589" s="60"/>
      <c r="J5589" s="60"/>
      <c r="K5589" s="60"/>
      <c r="L5589" s="60"/>
      <c r="M5589" s="64"/>
      <c r="N5589" s="33"/>
    </row>
    <row r="5590" ht="24" customHeight="1" spans="2:14">
      <c r="B5590" s="33"/>
      <c r="C5590" s="60"/>
      <c r="D5590" s="60"/>
      <c r="E5590" s="60"/>
      <c r="F5590" s="60"/>
      <c r="G5590" s="60"/>
      <c r="H5590" s="60"/>
      <c r="I5590" s="60"/>
      <c r="J5590" s="60"/>
      <c r="K5590" s="60"/>
      <c r="L5590" s="60"/>
      <c r="M5590" s="64"/>
      <c r="N5590" s="33"/>
    </row>
    <row r="5591" ht="24" customHeight="1" spans="2:14">
      <c r="B5591" s="33"/>
      <c r="C5591" s="60"/>
      <c r="D5591" s="60"/>
      <c r="E5591" s="60"/>
      <c r="F5591" s="60"/>
      <c r="G5591" s="60"/>
      <c r="H5591" s="60"/>
      <c r="I5591" s="60"/>
      <c r="J5591" s="60"/>
      <c r="K5591" s="60"/>
      <c r="L5591" s="60"/>
      <c r="M5591" s="64"/>
      <c r="N5591" s="33"/>
    </row>
    <row r="5592" ht="24" customHeight="1" spans="2:14">
      <c r="B5592" s="33"/>
      <c r="C5592" s="60"/>
      <c r="D5592" s="60"/>
      <c r="E5592" s="60"/>
      <c r="F5592" s="60"/>
      <c r="G5592" s="60"/>
      <c r="H5592" s="60"/>
      <c r="I5592" s="60"/>
      <c r="J5592" s="60"/>
      <c r="K5592" s="60"/>
      <c r="L5592" s="60"/>
      <c r="M5592" s="64"/>
      <c r="N5592" s="33"/>
    </row>
    <row r="5593" ht="24" customHeight="1" spans="2:14">
      <c r="B5593" s="33"/>
      <c r="C5593" s="60"/>
      <c r="D5593" s="60"/>
      <c r="E5593" s="60"/>
      <c r="F5593" s="60"/>
      <c r="G5593" s="60"/>
      <c r="H5593" s="60"/>
      <c r="I5593" s="60"/>
      <c r="J5593" s="60"/>
      <c r="K5593" s="60"/>
      <c r="L5593" s="60"/>
      <c r="M5593" s="64"/>
      <c r="N5593" s="33"/>
    </row>
    <row r="5594" ht="24" customHeight="1" spans="2:14">
      <c r="B5594" s="33"/>
      <c r="C5594" s="60"/>
      <c r="D5594" s="60"/>
      <c r="E5594" s="60"/>
      <c r="F5594" s="60"/>
      <c r="G5594" s="60"/>
      <c r="H5594" s="60"/>
      <c r="I5594" s="60"/>
      <c r="J5594" s="60"/>
      <c r="K5594" s="60"/>
      <c r="L5594" s="60"/>
      <c r="M5594" s="64"/>
      <c r="N5594" s="33"/>
    </row>
    <row r="5595" ht="24" customHeight="1" spans="2:14">
      <c r="B5595" s="33"/>
      <c r="C5595" s="60"/>
      <c r="D5595" s="60"/>
      <c r="E5595" s="60"/>
      <c r="F5595" s="60"/>
      <c r="G5595" s="60"/>
      <c r="H5595" s="60"/>
      <c r="I5595" s="60"/>
      <c r="J5595" s="60"/>
      <c r="K5595" s="60"/>
      <c r="L5595" s="60"/>
      <c r="M5595" s="64"/>
      <c r="N5595" s="33"/>
    </row>
    <row r="5596" ht="24" customHeight="1" spans="2:14">
      <c r="B5596" s="33"/>
      <c r="C5596" s="60"/>
      <c r="D5596" s="60"/>
      <c r="E5596" s="60"/>
      <c r="F5596" s="60"/>
      <c r="G5596" s="60"/>
      <c r="H5596" s="60"/>
      <c r="I5596" s="60"/>
      <c r="J5596" s="60"/>
      <c r="K5596" s="60"/>
      <c r="L5596" s="60"/>
      <c r="M5596" s="64"/>
      <c r="N5596" s="33"/>
    </row>
    <row r="5597" ht="24" customHeight="1" spans="2:14">
      <c r="B5597" s="33"/>
      <c r="C5597" s="60"/>
      <c r="D5597" s="60"/>
      <c r="E5597" s="60"/>
      <c r="F5597" s="60"/>
      <c r="G5597" s="60"/>
      <c r="H5597" s="60"/>
      <c r="I5597" s="60"/>
      <c r="J5597" s="60"/>
      <c r="K5597" s="60"/>
      <c r="L5597" s="60"/>
      <c r="M5597" s="64"/>
      <c r="N5597" s="33"/>
    </row>
    <row r="5598" ht="24" customHeight="1" spans="2:14">
      <c r="B5598" s="33"/>
      <c r="C5598" s="60"/>
      <c r="D5598" s="60"/>
      <c r="E5598" s="60"/>
      <c r="F5598" s="60"/>
      <c r="G5598" s="60"/>
      <c r="H5598" s="60"/>
      <c r="I5598" s="60"/>
      <c r="J5598" s="60"/>
      <c r="K5598" s="60"/>
      <c r="L5598" s="60"/>
      <c r="M5598" s="64"/>
      <c r="N5598" s="33"/>
    </row>
    <row r="5599" ht="24" customHeight="1" spans="2:14">
      <c r="B5599" s="33"/>
      <c r="C5599" s="60"/>
      <c r="D5599" s="60"/>
      <c r="E5599" s="60"/>
      <c r="F5599" s="60"/>
      <c r="G5599" s="60"/>
      <c r="H5599" s="60"/>
      <c r="I5599" s="60"/>
      <c r="J5599" s="60"/>
      <c r="K5599" s="60"/>
      <c r="L5599" s="60"/>
      <c r="M5599" s="64"/>
      <c r="N5599" s="33"/>
    </row>
    <row r="5600" ht="24" customHeight="1" spans="2:14">
      <c r="B5600" s="33"/>
      <c r="C5600" s="60"/>
      <c r="D5600" s="60"/>
      <c r="E5600" s="60"/>
      <c r="F5600" s="60"/>
      <c r="G5600" s="60"/>
      <c r="H5600" s="60"/>
      <c r="I5600" s="60"/>
      <c r="J5600" s="60"/>
      <c r="K5600" s="60"/>
      <c r="L5600" s="60"/>
      <c r="M5600" s="64"/>
      <c r="N5600" s="33"/>
    </row>
    <row r="5601" ht="24" customHeight="1" spans="2:14">
      <c r="B5601" s="33"/>
      <c r="C5601" s="60"/>
      <c r="D5601" s="60"/>
      <c r="E5601" s="60"/>
      <c r="F5601" s="60"/>
      <c r="G5601" s="60"/>
      <c r="H5601" s="60"/>
      <c r="I5601" s="60"/>
      <c r="J5601" s="60"/>
      <c r="K5601" s="60"/>
      <c r="L5601" s="60"/>
      <c r="M5601" s="64"/>
      <c r="N5601" s="33"/>
    </row>
    <row r="5602" ht="24" customHeight="1" spans="2:14">
      <c r="B5602" s="33"/>
      <c r="C5602" s="60"/>
      <c r="D5602" s="60"/>
      <c r="E5602" s="60"/>
      <c r="F5602" s="60"/>
      <c r="G5602" s="60"/>
      <c r="H5602" s="60"/>
      <c r="I5602" s="60"/>
      <c r="J5602" s="60"/>
      <c r="K5602" s="60"/>
      <c r="L5602" s="60"/>
      <c r="M5602" s="64"/>
      <c r="N5602" s="33"/>
    </row>
    <row r="5603" ht="24" customHeight="1" spans="2:14">
      <c r="B5603" s="33"/>
      <c r="C5603" s="60"/>
      <c r="D5603" s="60"/>
      <c r="E5603" s="60"/>
      <c r="F5603" s="60"/>
      <c r="G5603" s="60"/>
      <c r="H5603" s="60"/>
      <c r="I5603" s="60"/>
      <c r="J5603" s="60"/>
      <c r="K5603" s="60"/>
      <c r="L5603" s="60"/>
      <c r="M5603" s="64"/>
      <c r="N5603" s="33"/>
    </row>
    <row r="5604" ht="24" customHeight="1" spans="2:14">
      <c r="B5604" s="33"/>
      <c r="C5604" s="60"/>
      <c r="D5604" s="60"/>
      <c r="E5604" s="60"/>
      <c r="F5604" s="60"/>
      <c r="G5604" s="60"/>
      <c r="H5604" s="60"/>
      <c r="I5604" s="60"/>
      <c r="J5604" s="60"/>
      <c r="K5604" s="60"/>
      <c r="L5604" s="60"/>
      <c r="M5604" s="64"/>
      <c r="N5604" s="33"/>
    </row>
    <row r="5605" ht="24" customHeight="1" spans="2:14">
      <c r="B5605" s="33"/>
      <c r="C5605" s="60"/>
      <c r="D5605" s="60"/>
      <c r="E5605" s="60"/>
      <c r="F5605" s="60"/>
      <c r="G5605" s="60"/>
      <c r="H5605" s="60"/>
      <c r="I5605" s="60"/>
      <c r="J5605" s="60"/>
      <c r="K5605" s="60"/>
      <c r="L5605" s="60"/>
      <c r="M5605" s="64"/>
      <c r="N5605" s="33"/>
    </row>
    <row r="5606" ht="24" customHeight="1" spans="2:14">
      <c r="B5606" s="33"/>
      <c r="C5606" s="60"/>
      <c r="D5606" s="60"/>
      <c r="E5606" s="60"/>
      <c r="F5606" s="60"/>
      <c r="G5606" s="60"/>
      <c r="H5606" s="60"/>
      <c r="I5606" s="60"/>
      <c r="J5606" s="60"/>
      <c r="K5606" s="60"/>
      <c r="L5606" s="60"/>
      <c r="M5606" s="64"/>
      <c r="N5606" s="33"/>
    </row>
    <row r="5607" ht="24" customHeight="1" spans="2:14">
      <c r="B5607" s="33"/>
      <c r="C5607" s="60"/>
      <c r="D5607" s="60"/>
      <c r="E5607" s="60"/>
      <c r="F5607" s="60"/>
      <c r="G5607" s="60"/>
      <c r="H5607" s="60"/>
      <c r="I5607" s="60"/>
      <c r="J5607" s="60"/>
      <c r="K5607" s="60"/>
      <c r="L5607" s="60"/>
      <c r="M5607" s="64"/>
      <c r="N5607" s="33"/>
    </row>
    <row r="5608" ht="24" customHeight="1" spans="2:14">
      <c r="B5608" s="33"/>
      <c r="C5608" s="60"/>
      <c r="D5608" s="60"/>
      <c r="E5608" s="60"/>
      <c r="F5608" s="60"/>
      <c r="G5608" s="60"/>
      <c r="H5608" s="60"/>
      <c r="I5608" s="60"/>
      <c r="J5608" s="60"/>
      <c r="K5608" s="60"/>
      <c r="L5608" s="60"/>
      <c r="M5608" s="64"/>
      <c r="N5608" s="33"/>
    </row>
    <row r="5609" ht="24" customHeight="1" spans="2:14">
      <c r="B5609" s="33"/>
      <c r="C5609" s="60"/>
      <c r="D5609" s="60"/>
      <c r="E5609" s="60"/>
      <c r="F5609" s="60"/>
      <c r="G5609" s="60"/>
      <c r="H5609" s="60"/>
      <c r="I5609" s="60"/>
      <c r="J5609" s="60"/>
      <c r="K5609" s="60"/>
      <c r="L5609" s="60"/>
      <c r="M5609" s="64"/>
      <c r="N5609" s="33"/>
    </row>
    <row r="5610" ht="24" customHeight="1" spans="2:14">
      <c r="B5610" s="33"/>
      <c r="C5610" s="60"/>
      <c r="D5610" s="60"/>
      <c r="E5610" s="60"/>
      <c r="F5610" s="60"/>
      <c r="G5610" s="60"/>
      <c r="H5610" s="60"/>
      <c r="I5610" s="60"/>
      <c r="J5610" s="60"/>
      <c r="K5610" s="60"/>
      <c r="L5610" s="60"/>
      <c r="M5610" s="64"/>
      <c r="N5610" s="33"/>
    </row>
    <row r="5611" ht="24" customHeight="1" spans="2:14">
      <c r="B5611" s="33"/>
      <c r="C5611" s="60"/>
      <c r="D5611" s="60"/>
      <c r="E5611" s="60"/>
      <c r="F5611" s="60"/>
      <c r="G5611" s="60"/>
      <c r="H5611" s="60"/>
      <c r="I5611" s="60"/>
      <c r="J5611" s="60"/>
      <c r="K5611" s="60"/>
      <c r="L5611" s="60"/>
      <c r="M5611" s="64"/>
      <c r="N5611" s="33"/>
    </row>
    <row r="5612" ht="24" customHeight="1" spans="2:14">
      <c r="B5612" s="33"/>
      <c r="C5612" s="60"/>
      <c r="D5612" s="60"/>
      <c r="E5612" s="60"/>
      <c r="F5612" s="60"/>
      <c r="G5612" s="60"/>
      <c r="H5612" s="60"/>
      <c r="I5612" s="60"/>
      <c r="J5612" s="60"/>
      <c r="K5612" s="60"/>
      <c r="L5612" s="60"/>
      <c r="M5612" s="64"/>
      <c r="N5612" s="33"/>
    </row>
    <row r="5613" ht="24" customHeight="1" spans="2:14">
      <c r="B5613" s="33"/>
      <c r="C5613" s="60"/>
      <c r="D5613" s="60"/>
      <c r="E5613" s="60"/>
      <c r="F5613" s="60"/>
      <c r="G5613" s="60"/>
      <c r="H5613" s="60"/>
      <c r="I5613" s="60"/>
      <c r="J5613" s="60"/>
      <c r="K5613" s="60"/>
      <c r="L5613" s="60"/>
      <c r="M5613" s="64"/>
      <c r="N5613" s="33"/>
    </row>
    <row r="5614" ht="24" customHeight="1" spans="2:14">
      <c r="B5614" s="33"/>
      <c r="C5614" s="60"/>
      <c r="D5614" s="60"/>
      <c r="E5614" s="60"/>
      <c r="F5614" s="60"/>
      <c r="G5614" s="60"/>
      <c r="H5614" s="60"/>
      <c r="I5614" s="60"/>
      <c r="J5614" s="60"/>
      <c r="K5614" s="60"/>
      <c r="L5614" s="60"/>
      <c r="M5614" s="64"/>
      <c r="N5614" s="33"/>
    </row>
    <row r="5615" ht="24" customHeight="1" spans="2:14">
      <c r="B5615" s="33"/>
      <c r="C5615" s="60"/>
      <c r="D5615" s="60"/>
      <c r="E5615" s="60"/>
      <c r="F5615" s="60"/>
      <c r="G5615" s="60"/>
      <c r="H5615" s="60"/>
      <c r="I5615" s="60"/>
      <c r="J5615" s="60"/>
      <c r="K5615" s="60"/>
      <c r="L5615" s="60"/>
      <c r="M5615" s="64"/>
      <c r="N5615" s="33"/>
    </row>
    <row r="5616" ht="24" customHeight="1" spans="2:14">
      <c r="B5616" s="33"/>
      <c r="C5616" s="60"/>
      <c r="D5616" s="60"/>
      <c r="E5616" s="60"/>
      <c r="F5616" s="60"/>
      <c r="G5616" s="60"/>
      <c r="H5616" s="60"/>
      <c r="I5616" s="60"/>
      <c r="J5616" s="60"/>
      <c r="K5616" s="60"/>
      <c r="L5616" s="60"/>
      <c r="M5616" s="64"/>
      <c r="N5616" s="33"/>
    </row>
    <row r="5617" ht="24" customHeight="1" spans="2:14">
      <c r="B5617" s="33"/>
      <c r="C5617" s="60"/>
      <c r="D5617" s="60"/>
      <c r="E5617" s="60"/>
      <c r="F5617" s="60"/>
      <c r="G5617" s="60"/>
      <c r="H5617" s="60"/>
      <c r="I5617" s="60"/>
      <c r="J5617" s="60"/>
      <c r="K5617" s="60"/>
      <c r="L5617" s="60"/>
      <c r="M5617" s="64"/>
      <c r="N5617" s="33"/>
    </row>
    <row r="5618" ht="24" customHeight="1" spans="2:14">
      <c r="B5618" s="33"/>
      <c r="C5618" s="60"/>
      <c r="D5618" s="60"/>
      <c r="E5618" s="60"/>
      <c r="F5618" s="60"/>
      <c r="G5618" s="60"/>
      <c r="H5618" s="60"/>
      <c r="I5618" s="60"/>
      <c r="J5618" s="60"/>
      <c r="K5618" s="60"/>
      <c r="L5618" s="60"/>
      <c r="M5618" s="64"/>
      <c r="N5618" s="33"/>
    </row>
    <row r="5619" ht="24" customHeight="1" spans="2:14">
      <c r="B5619" s="33"/>
      <c r="C5619" s="60"/>
      <c r="D5619" s="60"/>
      <c r="E5619" s="60"/>
      <c r="F5619" s="60"/>
      <c r="G5619" s="60"/>
      <c r="H5619" s="60"/>
      <c r="I5619" s="60"/>
      <c r="J5619" s="60"/>
      <c r="K5619" s="60"/>
      <c r="L5619" s="60"/>
      <c r="M5619" s="64"/>
      <c r="N5619" s="33"/>
    </row>
    <row r="5620" ht="24" customHeight="1" spans="2:14">
      <c r="B5620" s="33"/>
      <c r="C5620" s="60"/>
      <c r="D5620" s="60"/>
      <c r="E5620" s="60"/>
      <c r="F5620" s="60"/>
      <c r="G5620" s="60"/>
      <c r="H5620" s="60"/>
      <c r="I5620" s="60"/>
      <c r="J5620" s="60"/>
      <c r="K5620" s="60"/>
      <c r="L5620" s="60"/>
      <c r="M5620" s="64"/>
      <c r="N5620" s="33"/>
    </row>
    <row r="5621" ht="24" customHeight="1" spans="2:14">
      <c r="B5621" s="33"/>
      <c r="C5621" s="60"/>
      <c r="D5621" s="60"/>
      <c r="E5621" s="60"/>
      <c r="F5621" s="60"/>
      <c r="G5621" s="60"/>
      <c r="H5621" s="60"/>
      <c r="I5621" s="60"/>
      <c r="J5621" s="60"/>
      <c r="K5621" s="60"/>
      <c r="L5621" s="60"/>
      <c r="M5621" s="64"/>
      <c r="N5621" s="33"/>
    </row>
    <row r="5622" ht="24" customHeight="1" spans="2:14">
      <c r="B5622" s="33"/>
      <c r="C5622" s="60"/>
      <c r="D5622" s="60"/>
      <c r="E5622" s="60"/>
      <c r="F5622" s="60"/>
      <c r="G5622" s="60"/>
      <c r="H5622" s="60"/>
      <c r="I5622" s="60"/>
      <c r="J5622" s="60"/>
      <c r="K5622" s="60"/>
      <c r="L5622" s="60"/>
      <c r="M5622" s="64"/>
      <c r="N5622" s="33"/>
    </row>
    <row r="5623" ht="24" customHeight="1" spans="2:14">
      <c r="B5623" s="33"/>
      <c r="C5623" s="60"/>
      <c r="D5623" s="60"/>
      <c r="E5623" s="60"/>
      <c r="F5623" s="60"/>
      <c r="G5623" s="60"/>
      <c r="H5623" s="60"/>
      <c r="I5623" s="60"/>
      <c r="J5623" s="60"/>
      <c r="K5623" s="60"/>
      <c r="L5623" s="60"/>
      <c r="M5623" s="64"/>
      <c r="N5623" s="33"/>
    </row>
    <row r="5624" ht="24" customHeight="1" spans="2:14">
      <c r="B5624" s="33"/>
      <c r="C5624" s="60"/>
      <c r="D5624" s="60"/>
      <c r="E5624" s="60"/>
      <c r="F5624" s="60"/>
      <c r="G5624" s="60"/>
      <c r="H5624" s="60"/>
      <c r="I5624" s="60"/>
      <c r="J5624" s="60"/>
      <c r="K5624" s="60"/>
      <c r="L5624" s="60"/>
      <c r="M5624" s="64"/>
      <c r="N5624" s="33"/>
    </row>
    <row r="5625" ht="24" customHeight="1" spans="2:14">
      <c r="B5625" s="33"/>
      <c r="C5625" s="60"/>
      <c r="D5625" s="60"/>
      <c r="E5625" s="60"/>
      <c r="F5625" s="60"/>
      <c r="G5625" s="60"/>
      <c r="H5625" s="60"/>
      <c r="I5625" s="60"/>
      <c r="J5625" s="60"/>
      <c r="K5625" s="60"/>
      <c r="L5625" s="60"/>
      <c r="M5625" s="64"/>
      <c r="N5625" s="33"/>
    </row>
    <row r="5626" ht="24" customHeight="1" spans="2:14">
      <c r="B5626" s="33"/>
      <c r="C5626" s="60"/>
      <c r="D5626" s="60"/>
      <c r="E5626" s="60"/>
      <c r="F5626" s="60"/>
      <c r="G5626" s="60"/>
      <c r="H5626" s="60"/>
      <c r="I5626" s="60"/>
      <c r="J5626" s="60"/>
      <c r="K5626" s="60"/>
      <c r="L5626" s="60"/>
      <c r="M5626" s="64"/>
      <c r="N5626" s="33"/>
    </row>
    <row r="5627" ht="24" customHeight="1" spans="2:14">
      <c r="B5627" s="33"/>
      <c r="C5627" s="60"/>
      <c r="D5627" s="60"/>
      <c r="E5627" s="60"/>
      <c r="F5627" s="60"/>
      <c r="G5627" s="60"/>
      <c r="H5627" s="60"/>
      <c r="I5627" s="60"/>
      <c r="J5627" s="60"/>
      <c r="K5627" s="60"/>
      <c r="L5627" s="60"/>
      <c r="M5627" s="64"/>
      <c r="N5627" s="33"/>
    </row>
    <row r="5628" ht="24" customHeight="1" spans="2:14">
      <c r="B5628" s="33"/>
      <c r="C5628" s="60"/>
      <c r="D5628" s="60"/>
      <c r="E5628" s="60"/>
      <c r="F5628" s="60"/>
      <c r="G5628" s="60"/>
      <c r="H5628" s="60"/>
      <c r="I5628" s="60"/>
      <c r="J5628" s="60"/>
      <c r="K5628" s="60"/>
      <c r="L5628" s="60"/>
      <c r="M5628" s="64"/>
      <c r="N5628" s="33"/>
    </row>
    <row r="5629" ht="24" customHeight="1" spans="2:14">
      <c r="B5629" s="33"/>
      <c r="C5629" s="60"/>
      <c r="D5629" s="60"/>
      <c r="E5629" s="60"/>
      <c r="F5629" s="60"/>
      <c r="G5629" s="60"/>
      <c r="H5629" s="60"/>
      <c r="I5629" s="60"/>
      <c r="J5629" s="60"/>
      <c r="K5629" s="60"/>
      <c r="L5629" s="60"/>
      <c r="M5629" s="64"/>
      <c r="N5629" s="33"/>
    </row>
    <row r="5630" ht="24" customHeight="1" spans="2:14">
      <c r="B5630" s="33"/>
      <c r="C5630" s="60"/>
      <c r="D5630" s="60"/>
      <c r="E5630" s="60"/>
      <c r="F5630" s="60"/>
      <c r="G5630" s="60"/>
      <c r="H5630" s="60"/>
      <c r="I5630" s="60"/>
      <c r="J5630" s="60"/>
      <c r="K5630" s="60"/>
      <c r="L5630" s="60"/>
      <c r="M5630" s="64"/>
      <c r="N5630" s="33"/>
    </row>
    <row r="5631" ht="24" customHeight="1" spans="2:14">
      <c r="B5631" s="33"/>
      <c r="C5631" s="60"/>
      <c r="D5631" s="60"/>
      <c r="E5631" s="60"/>
      <c r="F5631" s="60"/>
      <c r="G5631" s="60"/>
      <c r="H5631" s="60"/>
      <c r="I5631" s="60"/>
      <c r="J5631" s="60"/>
      <c r="K5631" s="60"/>
      <c r="L5631" s="60"/>
      <c r="M5631" s="64"/>
      <c r="N5631" s="33"/>
    </row>
    <row r="5632" ht="24" customHeight="1" spans="2:14">
      <c r="B5632" s="33"/>
      <c r="C5632" s="60"/>
      <c r="D5632" s="60"/>
      <c r="E5632" s="60"/>
      <c r="F5632" s="60"/>
      <c r="G5632" s="60"/>
      <c r="H5632" s="60"/>
      <c r="I5632" s="60"/>
      <c r="J5632" s="60"/>
      <c r="K5632" s="60"/>
      <c r="L5632" s="60"/>
      <c r="M5632" s="64"/>
      <c r="N5632" s="33"/>
    </row>
    <row r="5633" ht="24" customHeight="1" spans="2:14">
      <c r="B5633" s="33"/>
      <c r="C5633" s="60"/>
      <c r="D5633" s="60"/>
      <c r="E5633" s="60"/>
      <c r="F5633" s="60"/>
      <c r="G5633" s="60"/>
      <c r="H5633" s="60"/>
      <c r="I5633" s="60"/>
      <c r="J5633" s="60"/>
      <c r="K5633" s="60"/>
      <c r="L5633" s="60"/>
      <c r="M5633" s="64"/>
      <c r="N5633" s="33"/>
    </row>
    <row r="5634" ht="24" customHeight="1" spans="2:14">
      <c r="B5634" s="33"/>
      <c r="C5634" s="60"/>
      <c r="D5634" s="60"/>
      <c r="E5634" s="60"/>
      <c r="F5634" s="60"/>
      <c r="G5634" s="60"/>
      <c r="H5634" s="60"/>
      <c r="I5634" s="60"/>
      <c r="J5634" s="60"/>
      <c r="K5634" s="60"/>
      <c r="L5634" s="60"/>
      <c r="M5634" s="64"/>
      <c r="N5634" s="33"/>
    </row>
    <row r="5635" ht="24" customHeight="1" spans="2:14">
      <c r="B5635" s="33"/>
      <c r="C5635" s="60"/>
      <c r="D5635" s="60"/>
      <c r="E5635" s="60"/>
      <c r="F5635" s="60"/>
      <c r="G5635" s="60"/>
      <c r="H5635" s="60"/>
      <c r="I5635" s="60"/>
      <c r="J5635" s="60"/>
      <c r="K5635" s="60"/>
      <c r="L5635" s="60"/>
      <c r="M5635" s="64"/>
      <c r="N5635" s="33"/>
    </row>
    <row r="5636" ht="24" customHeight="1" spans="2:14">
      <c r="B5636" s="33"/>
      <c r="C5636" s="60"/>
      <c r="D5636" s="60"/>
      <c r="E5636" s="60"/>
      <c r="F5636" s="60"/>
      <c r="G5636" s="60"/>
      <c r="H5636" s="60"/>
      <c r="I5636" s="60"/>
      <c r="J5636" s="60"/>
      <c r="K5636" s="60"/>
      <c r="L5636" s="60"/>
      <c r="M5636" s="64"/>
      <c r="N5636" s="33"/>
    </row>
    <row r="5637" ht="24" customHeight="1" spans="2:14">
      <c r="B5637" s="33"/>
      <c r="C5637" s="60"/>
      <c r="D5637" s="60"/>
      <c r="E5637" s="60"/>
      <c r="F5637" s="60"/>
      <c r="G5637" s="60"/>
      <c r="H5637" s="60"/>
      <c r="I5637" s="60"/>
      <c r="J5637" s="60"/>
      <c r="K5637" s="60"/>
      <c r="L5637" s="60"/>
      <c r="M5637" s="64"/>
      <c r="N5637" s="33"/>
    </row>
    <row r="5638" ht="24" customHeight="1" spans="2:14">
      <c r="B5638" s="33"/>
      <c r="C5638" s="60"/>
      <c r="D5638" s="60"/>
      <c r="E5638" s="60"/>
      <c r="F5638" s="60"/>
      <c r="G5638" s="60"/>
      <c r="H5638" s="60"/>
      <c r="I5638" s="60"/>
      <c r="J5638" s="60"/>
      <c r="K5638" s="60"/>
      <c r="L5638" s="60"/>
      <c r="M5638" s="64"/>
      <c r="N5638" s="33"/>
    </row>
    <row r="5639" ht="24" customHeight="1" spans="2:14">
      <c r="B5639" s="33"/>
      <c r="C5639" s="60"/>
      <c r="D5639" s="60"/>
      <c r="E5639" s="60"/>
      <c r="F5639" s="60"/>
      <c r="G5639" s="60"/>
      <c r="H5639" s="60"/>
      <c r="I5639" s="60"/>
      <c r="J5639" s="60"/>
      <c r="K5639" s="60"/>
      <c r="L5639" s="60"/>
      <c r="M5639" s="64"/>
      <c r="N5639" s="33"/>
    </row>
    <row r="5640" ht="24" customHeight="1" spans="2:14">
      <c r="B5640" s="33"/>
      <c r="C5640" s="60"/>
      <c r="D5640" s="60"/>
      <c r="E5640" s="60"/>
      <c r="F5640" s="60"/>
      <c r="G5640" s="60"/>
      <c r="H5640" s="60"/>
      <c r="I5640" s="60"/>
      <c r="J5640" s="60"/>
      <c r="K5640" s="60"/>
      <c r="L5640" s="60"/>
      <c r="M5640" s="64"/>
      <c r="N5640" s="33"/>
    </row>
    <row r="5641" ht="24" customHeight="1" spans="2:14">
      <c r="B5641" s="33"/>
      <c r="C5641" s="60"/>
      <c r="D5641" s="60"/>
      <c r="E5641" s="60"/>
      <c r="F5641" s="60"/>
      <c r="G5641" s="60"/>
      <c r="H5641" s="60"/>
      <c r="I5641" s="60"/>
      <c r="J5641" s="60"/>
      <c r="K5641" s="60"/>
      <c r="L5641" s="60"/>
      <c r="M5641" s="64"/>
      <c r="N5641" s="33"/>
    </row>
    <row r="5642" ht="24" customHeight="1" spans="2:14">
      <c r="B5642" s="33"/>
      <c r="C5642" s="60"/>
      <c r="D5642" s="60"/>
      <c r="E5642" s="60"/>
      <c r="F5642" s="60"/>
      <c r="G5642" s="60"/>
      <c r="H5642" s="60"/>
      <c r="I5642" s="60"/>
      <c r="J5642" s="60"/>
      <c r="K5642" s="60"/>
      <c r="L5642" s="60"/>
      <c r="M5642" s="64"/>
      <c r="N5642" s="33"/>
    </row>
    <row r="5643" ht="24" customHeight="1" spans="2:14">
      <c r="B5643" s="33"/>
      <c r="C5643" s="60"/>
      <c r="D5643" s="60"/>
      <c r="E5643" s="60"/>
      <c r="F5643" s="60"/>
      <c r="G5643" s="60"/>
      <c r="H5643" s="60"/>
      <c r="I5643" s="60"/>
      <c r="J5643" s="60"/>
      <c r="K5643" s="60"/>
      <c r="L5643" s="60"/>
      <c r="M5643" s="64"/>
      <c r="N5643" s="33"/>
    </row>
    <row r="5644" ht="24" customHeight="1" spans="2:14">
      <c r="B5644" s="33"/>
      <c r="C5644" s="60"/>
      <c r="D5644" s="60"/>
      <c r="E5644" s="60"/>
      <c r="F5644" s="60"/>
      <c r="G5644" s="60"/>
      <c r="H5644" s="60"/>
      <c r="I5644" s="60"/>
      <c r="J5644" s="60"/>
      <c r="K5644" s="60"/>
      <c r="L5644" s="60"/>
      <c r="M5644" s="64"/>
      <c r="N5644" s="33"/>
    </row>
    <row r="5645" ht="24" customHeight="1" spans="2:14">
      <c r="B5645" s="33"/>
      <c r="C5645" s="60"/>
      <c r="D5645" s="60"/>
      <c r="E5645" s="60"/>
      <c r="F5645" s="60"/>
      <c r="G5645" s="60"/>
      <c r="H5645" s="60"/>
      <c r="I5645" s="60"/>
      <c r="J5645" s="60"/>
      <c r="K5645" s="60"/>
      <c r="L5645" s="60"/>
      <c r="M5645" s="64"/>
      <c r="N5645" s="33"/>
    </row>
    <row r="5646" ht="24" customHeight="1" spans="2:14">
      <c r="B5646" s="33"/>
      <c r="C5646" s="60"/>
      <c r="D5646" s="60"/>
      <c r="E5646" s="60"/>
      <c r="F5646" s="60"/>
      <c r="G5646" s="60"/>
      <c r="H5646" s="60"/>
      <c r="I5646" s="60"/>
      <c r="J5646" s="60"/>
      <c r="K5646" s="60"/>
      <c r="L5646" s="60"/>
      <c r="M5646" s="64"/>
      <c r="N5646" s="33"/>
    </row>
    <row r="5647" ht="24" customHeight="1" spans="2:14">
      <c r="B5647" s="33"/>
      <c r="C5647" s="60"/>
      <c r="D5647" s="60"/>
      <c r="E5647" s="60"/>
      <c r="F5647" s="60"/>
      <c r="G5647" s="60"/>
      <c r="H5647" s="60"/>
      <c r="I5647" s="60"/>
      <c r="J5647" s="60"/>
      <c r="K5647" s="60"/>
      <c r="L5647" s="60"/>
      <c r="M5647" s="64"/>
      <c r="N5647" s="33"/>
    </row>
    <row r="5648" ht="24" customHeight="1" spans="2:14">
      <c r="B5648" s="33"/>
      <c r="C5648" s="60"/>
      <c r="D5648" s="60"/>
      <c r="E5648" s="60"/>
      <c r="F5648" s="60"/>
      <c r="G5648" s="60"/>
      <c r="H5648" s="60"/>
      <c r="I5648" s="60"/>
      <c r="J5648" s="60"/>
      <c r="K5648" s="60"/>
      <c r="L5648" s="60"/>
      <c r="M5648" s="64"/>
      <c r="N5648" s="33"/>
    </row>
    <row r="5649" ht="24" customHeight="1" spans="2:14">
      <c r="B5649" s="33"/>
      <c r="C5649" s="60"/>
      <c r="D5649" s="60"/>
      <c r="E5649" s="60"/>
      <c r="F5649" s="60"/>
      <c r="G5649" s="60"/>
      <c r="H5649" s="60"/>
      <c r="I5649" s="60"/>
      <c r="J5649" s="60"/>
      <c r="K5649" s="60"/>
      <c r="L5649" s="60"/>
      <c r="M5649" s="64"/>
      <c r="N5649" s="33"/>
    </row>
    <row r="5650" ht="24" customHeight="1" spans="2:14">
      <c r="B5650" s="33"/>
      <c r="C5650" s="60"/>
      <c r="D5650" s="60"/>
      <c r="E5650" s="60"/>
      <c r="F5650" s="60"/>
      <c r="G5650" s="60"/>
      <c r="H5650" s="60"/>
      <c r="I5650" s="60"/>
      <c r="J5650" s="60"/>
      <c r="K5650" s="60"/>
      <c r="L5650" s="60"/>
      <c r="M5650" s="64"/>
      <c r="N5650" s="33"/>
    </row>
    <row r="5651" ht="24" customHeight="1" spans="2:14">
      <c r="B5651" s="33"/>
      <c r="C5651" s="60"/>
      <c r="D5651" s="60"/>
      <c r="E5651" s="60"/>
      <c r="F5651" s="60"/>
      <c r="G5651" s="60"/>
      <c r="H5651" s="60"/>
      <c r="I5651" s="60"/>
      <c r="J5651" s="60"/>
      <c r="K5651" s="60"/>
      <c r="L5651" s="60"/>
      <c r="M5651" s="64"/>
      <c r="N5651" s="33"/>
    </row>
    <row r="5652" ht="24" customHeight="1" spans="2:14">
      <c r="B5652" s="33"/>
      <c r="C5652" s="60"/>
      <c r="D5652" s="60"/>
      <c r="E5652" s="60"/>
      <c r="F5652" s="60"/>
      <c r="G5652" s="60"/>
      <c r="H5652" s="60"/>
      <c r="I5652" s="60"/>
      <c r="J5652" s="60"/>
      <c r="K5652" s="60"/>
      <c r="L5652" s="60"/>
      <c r="M5652" s="64"/>
      <c r="N5652" s="33"/>
    </row>
    <row r="5653" ht="24" customHeight="1" spans="2:14">
      <c r="B5653" s="33"/>
      <c r="C5653" s="60"/>
      <c r="D5653" s="60"/>
      <c r="E5653" s="60"/>
      <c r="F5653" s="60"/>
      <c r="G5653" s="60"/>
      <c r="H5653" s="60"/>
      <c r="I5653" s="60"/>
      <c r="J5653" s="60"/>
      <c r="K5653" s="60"/>
      <c r="L5653" s="60"/>
      <c r="M5653" s="64"/>
      <c r="N5653" s="33"/>
    </row>
    <row r="5654" ht="24" customHeight="1" spans="2:14">
      <c r="B5654" s="33"/>
      <c r="C5654" s="60"/>
      <c r="D5654" s="60"/>
      <c r="E5654" s="60"/>
      <c r="F5654" s="60"/>
      <c r="G5654" s="60"/>
      <c r="H5654" s="60"/>
      <c r="I5654" s="60"/>
      <c r="J5654" s="60"/>
      <c r="K5654" s="60"/>
      <c r="L5654" s="60"/>
      <c r="M5654" s="64"/>
      <c r="N5654" s="33"/>
    </row>
    <row r="5655" ht="24" customHeight="1" spans="2:14">
      <c r="B5655" s="33"/>
      <c r="C5655" s="60"/>
      <c r="D5655" s="60"/>
      <c r="E5655" s="60"/>
      <c r="F5655" s="60"/>
      <c r="G5655" s="60"/>
      <c r="H5655" s="60"/>
      <c r="I5655" s="60"/>
      <c r="J5655" s="60"/>
      <c r="K5655" s="60"/>
      <c r="L5655" s="60"/>
      <c r="M5655" s="64"/>
      <c r="N5655" s="33"/>
    </row>
    <row r="5656" ht="24" customHeight="1" spans="2:14">
      <c r="B5656" s="33"/>
      <c r="C5656" s="60"/>
      <c r="D5656" s="60"/>
      <c r="E5656" s="60"/>
      <c r="F5656" s="60"/>
      <c r="G5656" s="60"/>
      <c r="H5656" s="60"/>
      <c r="I5656" s="60"/>
      <c r="J5656" s="60"/>
      <c r="K5656" s="60"/>
      <c r="L5656" s="60"/>
      <c r="M5656" s="64"/>
      <c r="N5656" s="33"/>
    </row>
    <row r="5657" ht="24" customHeight="1" spans="2:14">
      <c r="B5657" s="33"/>
      <c r="C5657" s="60"/>
      <c r="D5657" s="60"/>
      <c r="E5657" s="60"/>
      <c r="F5657" s="60"/>
      <c r="G5657" s="60"/>
      <c r="H5657" s="60"/>
      <c r="I5657" s="60"/>
      <c r="J5657" s="60"/>
      <c r="K5657" s="60"/>
      <c r="L5657" s="60"/>
      <c r="M5657" s="64"/>
      <c r="N5657" s="33"/>
    </row>
    <row r="5658" ht="24" customHeight="1" spans="2:14">
      <c r="B5658" s="33"/>
      <c r="C5658" s="60"/>
      <c r="D5658" s="60"/>
      <c r="E5658" s="60"/>
      <c r="F5658" s="60"/>
      <c r="G5658" s="60"/>
      <c r="H5658" s="60"/>
      <c r="I5658" s="60"/>
      <c r="J5658" s="60"/>
      <c r="K5658" s="60"/>
      <c r="L5658" s="60"/>
      <c r="M5658" s="64"/>
      <c r="N5658" s="33"/>
    </row>
    <row r="5659" ht="24" customHeight="1" spans="2:14">
      <c r="B5659" s="33"/>
      <c r="C5659" s="60"/>
      <c r="D5659" s="60"/>
      <c r="E5659" s="60"/>
      <c r="F5659" s="60"/>
      <c r="G5659" s="60"/>
      <c r="H5659" s="60"/>
      <c r="I5659" s="60"/>
      <c r="J5659" s="60"/>
      <c r="K5659" s="60"/>
      <c r="L5659" s="60"/>
      <c r="M5659" s="64"/>
      <c r="N5659" s="33"/>
    </row>
    <row r="5660" ht="24" customHeight="1" spans="2:14">
      <c r="B5660" s="33"/>
      <c r="C5660" s="60"/>
      <c r="D5660" s="60"/>
      <c r="E5660" s="60"/>
      <c r="F5660" s="60"/>
      <c r="G5660" s="60"/>
      <c r="H5660" s="60"/>
      <c r="I5660" s="60"/>
      <c r="J5660" s="60"/>
      <c r="K5660" s="60"/>
      <c r="L5660" s="60"/>
      <c r="M5660" s="64"/>
      <c r="N5660" s="33"/>
    </row>
    <row r="5661" ht="24" customHeight="1" spans="2:14">
      <c r="B5661" s="33"/>
      <c r="C5661" s="60"/>
      <c r="D5661" s="60"/>
      <c r="E5661" s="60"/>
      <c r="F5661" s="60"/>
      <c r="G5661" s="60"/>
      <c r="H5661" s="60"/>
      <c r="I5661" s="60"/>
      <c r="J5661" s="60"/>
      <c r="K5661" s="60"/>
      <c r="L5661" s="60"/>
      <c r="M5661" s="64"/>
      <c r="N5661" s="33"/>
    </row>
    <row r="5662" ht="24" customHeight="1" spans="2:14">
      <c r="B5662" s="33"/>
      <c r="C5662" s="60"/>
      <c r="D5662" s="60"/>
      <c r="E5662" s="60"/>
      <c r="F5662" s="60"/>
      <c r="G5662" s="60"/>
      <c r="H5662" s="60"/>
      <c r="I5662" s="60"/>
      <c r="J5662" s="60"/>
      <c r="K5662" s="60"/>
      <c r="L5662" s="60"/>
      <c r="M5662" s="64"/>
      <c r="N5662" s="33"/>
    </row>
    <row r="5663" ht="24" customHeight="1" spans="2:14">
      <c r="B5663" s="33"/>
      <c r="C5663" s="60"/>
      <c r="D5663" s="60"/>
      <c r="E5663" s="60"/>
      <c r="F5663" s="60"/>
      <c r="G5663" s="60"/>
      <c r="H5663" s="60"/>
      <c r="I5663" s="60"/>
      <c r="J5663" s="60"/>
      <c r="K5663" s="60"/>
      <c r="L5663" s="60"/>
      <c r="M5663" s="64"/>
      <c r="N5663" s="33"/>
    </row>
    <row r="5664" ht="24" customHeight="1" spans="2:14">
      <c r="B5664" s="33"/>
      <c r="C5664" s="60"/>
      <c r="D5664" s="60"/>
      <c r="E5664" s="60"/>
      <c r="F5664" s="60"/>
      <c r="G5664" s="60"/>
      <c r="H5664" s="60"/>
      <c r="I5664" s="60"/>
      <c r="J5664" s="60"/>
      <c r="K5664" s="60"/>
      <c r="L5664" s="60"/>
      <c r="M5664" s="64"/>
      <c r="N5664" s="33"/>
    </row>
    <row r="5665" ht="24" customHeight="1" spans="2:14">
      <c r="B5665" s="33"/>
      <c r="C5665" s="60"/>
      <c r="D5665" s="60"/>
      <c r="E5665" s="60"/>
      <c r="F5665" s="60"/>
      <c r="G5665" s="60"/>
      <c r="H5665" s="60"/>
      <c r="I5665" s="60"/>
      <c r="J5665" s="60"/>
      <c r="K5665" s="60"/>
      <c r="L5665" s="60"/>
      <c r="M5665" s="64"/>
      <c r="N5665" s="33"/>
    </row>
    <row r="5666" ht="24" customHeight="1" spans="2:14">
      <c r="B5666" s="33"/>
      <c r="C5666" s="60"/>
      <c r="D5666" s="60"/>
      <c r="E5666" s="60"/>
      <c r="F5666" s="60"/>
      <c r="G5666" s="60"/>
      <c r="H5666" s="60"/>
      <c r="I5666" s="60"/>
      <c r="J5666" s="60"/>
      <c r="K5666" s="60"/>
      <c r="L5666" s="60"/>
      <c r="M5666" s="64"/>
      <c r="N5666" s="33"/>
    </row>
    <row r="5667" ht="24" customHeight="1" spans="2:14">
      <c r="B5667" s="33"/>
      <c r="C5667" s="60"/>
      <c r="D5667" s="60"/>
      <c r="E5667" s="60"/>
      <c r="F5667" s="60"/>
      <c r="G5667" s="60"/>
      <c r="H5667" s="60"/>
      <c r="I5667" s="60"/>
      <c r="J5667" s="60"/>
      <c r="K5667" s="60"/>
      <c r="L5667" s="60"/>
      <c r="M5667" s="64"/>
      <c r="N5667" s="33"/>
    </row>
    <row r="5668" ht="24" customHeight="1" spans="2:14">
      <c r="B5668" s="33"/>
      <c r="C5668" s="60"/>
      <c r="D5668" s="60"/>
      <c r="E5668" s="60"/>
      <c r="F5668" s="60"/>
      <c r="G5668" s="60"/>
      <c r="H5668" s="60"/>
      <c r="I5668" s="60"/>
      <c r="J5668" s="60"/>
      <c r="K5668" s="60"/>
      <c r="L5668" s="60"/>
      <c r="M5668" s="64"/>
      <c r="N5668" s="33"/>
    </row>
    <row r="5669" ht="24" customHeight="1" spans="2:14">
      <c r="B5669" s="33"/>
      <c r="C5669" s="60"/>
      <c r="D5669" s="60"/>
      <c r="E5669" s="60"/>
      <c r="F5669" s="60"/>
      <c r="G5669" s="60"/>
      <c r="H5669" s="60"/>
      <c r="I5669" s="60"/>
      <c r="J5669" s="60"/>
      <c r="K5669" s="60"/>
      <c r="L5669" s="60"/>
      <c r="M5669" s="64"/>
      <c r="N5669" s="33"/>
    </row>
    <row r="5670" ht="24" customHeight="1" spans="2:14">
      <c r="B5670" s="33"/>
      <c r="C5670" s="60"/>
      <c r="D5670" s="60"/>
      <c r="E5670" s="60"/>
      <c r="F5670" s="60"/>
      <c r="G5670" s="60"/>
      <c r="H5670" s="60"/>
      <c r="I5670" s="60"/>
      <c r="J5670" s="60"/>
      <c r="K5670" s="60"/>
      <c r="L5670" s="60"/>
      <c r="M5670" s="64"/>
      <c r="N5670" s="33"/>
    </row>
    <row r="5671" ht="24" customHeight="1" spans="2:14">
      <c r="B5671" s="33"/>
      <c r="C5671" s="60"/>
      <c r="D5671" s="60"/>
      <c r="E5671" s="60"/>
      <c r="F5671" s="60"/>
      <c r="G5671" s="60"/>
      <c r="H5671" s="60"/>
      <c r="I5671" s="60"/>
      <c r="J5671" s="60"/>
      <c r="K5671" s="60"/>
      <c r="L5671" s="60"/>
      <c r="M5671" s="64"/>
      <c r="N5671" s="33"/>
    </row>
    <row r="5672" ht="24" customHeight="1" spans="2:14">
      <c r="B5672" s="33"/>
      <c r="C5672" s="60"/>
      <c r="D5672" s="60"/>
      <c r="E5672" s="60"/>
      <c r="F5672" s="60"/>
      <c r="G5672" s="60"/>
      <c r="H5672" s="60"/>
      <c r="I5672" s="60"/>
      <c r="J5672" s="60"/>
      <c r="K5672" s="60"/>
      <c r="L5672" s="60"/>
      <c r="M5672" s="64"/>
      <c r="N5672" s="33"/>
    </row>
    <row r="5673" ht="24" customHeight="1" spans="2:14">
      <c r="B5673" s="33"/>
      <c r="C5673" s="60"/>
      <c r="D5673" s="60"/>
      <c r="E5673" s="60"/>
      <c r="F5673" s="60"/>
      <c r="G5673" s="60"/>
      <c r="H5673" s="60"/>
      <c r="I5673" s="60"/>
      <c r="J5673" s="60"/>
      <c r="K5673" s="60"/>
      <c r="L5673" s="60"/>
      <c r="M5673" s="64"/>
      <c r="N5673" s="33"/>
    </row>
    <row r="5674" ht="24" customHeight="1" spans="2:14">
      <c r="B5674" s="33"/>
      <c r="C5674" s="60"/>
      <c r="D5674" s="60"/>
      <c r="E5674" s="60"/>
      <c r="F5674" s="60"/>
      <c r="G5674" s="60"/>
      <c r="H5674" s="60"/>
      <c r="I5674" s="60"/>
      <c r="J5674" s="60"/>
      <c r="K5674" s="60"/>
      <c r="L5674" s="60"/>
      <c r="M5674" s="64"/>
      <c r="N5674" s="33"/>
    </row>
    <row r="5675" ht="24" customHeight="1" spans="2:14">
      <c r="B5675" s="33"/>
      <c r="C5675" s="60"/>
      <c r="D5675" s="60"/>
      <c r="E5675" s="60"/>
      <c r="F5675" s="60"/>
      <c r="G5675" s="60"/>
      <c r="H5675" s="60"/>
      <c r="I5675" s="60"/>
      <c r="J5675" s="60"/>
      <c r="K5675" s="60"/>
      <c r="L5675" s="60"/>
      <c r="M5675" s="64"/>
      <c r="N5675" s="33"/>
    </row>
    <row r="5676" ht="24" customHeight="1" spans="2:14">
      <c r="B5676" s="33"/>
      <c r="C5676" s="60"/>
      <c r="D5676" s="60"/>
      <c r="E5676" s="60"/>
      <c r="F5676" s="60"/>
      <c r="G5676" s="60"/>
      <c r="H5676" s="60"/>
      <c r="I5676" s="60"/>
      <c r="J5676" s="60"/>
      <c r="K5676" s="60"/>
      <c r="L5676" s="60"/>
      <c r="M5676" s="64"/>
      <c r="N5676" s="33"/>
    </row>
    <row r="5677" ht="24" customHeight="1" spans="2:14">
      <c r="B5677" s="33"/>
      <c r="C5677" s="60"/>
      <c r="D5677" s="60"/>
      <c r="E5677" s="60"/>
      <c r="F5677" s="60"/>
      <c r="G5677" s="60"/>
      <c r="H5677" s="60"/>
      <c r="I5677" s="60"/>
      <c r="J5677" s="60"/>
      <c r="K5677" s="60"/>
      <c r="L5677" s="60"/>
      <c r="M5677" s="64"/>
      <c r="N5677" s="33"/>
    </row>
    <row r="5678" ht="24" customHeight="1" spans="2:14">
      <c r="B5678" s="33"/>
      <c r="C5678" s="60"/>
      <c r="D5678" s="60"/>
      <c r="E5678" s="60"/>
      <c r="F5678" s="60"/>
      <c r="G5678" s="60"/>
      <c r="H5678" s="60"/>
      <c r="I5678" s="60"/>
      <c r="J5678" s="60"/>
      <c r="K5678" s="60"/>
      <c r="L5678" s="60"/>
      <c r="M5678" s="64"/>
      <c r="N5678" s="33"/>
    </row>
    <row r="5679" ht="24" customHeight="1" spans="2:14">
      <c r="B5679" s="33"/>
      <c r="C5679" s="60"/>
      <c r="D5679" s="60"/>
      <c r="E5679" s="60"/>
      <c r="F5679" s="60"/>
      <c r="G5679" s="60"/>
      <c r="H5679" s="60"/>
      <c r="I5679" s="60"/>
      <c r="J5679" s="60"/>
      <c r="K5679" s="60"/>
      <c r="L5679" s="60"/>
      <c r="M5679" s="64"/>
      <c r="N5679" s="33"/>
    </row>
    <row r="5680" ht="24" customHeight="1" spans="2:14">
      <c r="B5680" s="33"/>
      <c r="C5680" s="60"/>
      <c r="D5680" s="60"/>
      <c r="E5680" s="60"/>
      <c r="F5680" s="60"/>
      <c r="G5680" s="60"/>
      <c r="H5680" s="60"/>
      <c r="I5680" s="60"/>
      <c r="J5680" s="60"/>
      <c r="K5680" s="60"/>
      <c r="L5680" s="60"/>
      <c r="M5680" s="64"/>
      <c r="N5680" s="33"/>
    </row>
    <row r="5681" ht="24" customHeight="1" spans="2:14">
      <c r="B5681" s="33"/>
      <c r="C5681" s="60"/>
      <c r="D5681" s="60"/>
      <c r="E5681" s="60"/>
      <c r="F5681" s="60"/>
      <c r="G5681" s="60"/>
      <c r="H5681" s="60"/>
      <c r="I5681" s="60"/>
      <c r="J5681" s="60"/>
      <c r="K5681" s="60"/>
      <c r="L5681" s="60"/>
      <c r="M5681" s="64"/>
      <c r="N5681" s="33"/>
    </row>
    <row r="5682" ht="24" customHeight="1" spans="2:14">
      <c r="B5682" s="33"/>
      <c r="C5682" s="60"/>
      <c r="D5682" s="60"/>
      <c r="E5682" s="60"/>
      <c r="F5682" s="60"/>
      <c r="G5682" s="60"/>
      <c r="H5682" s="60"/>
      <c r="I5682" s="60"/>
      <c r="J5682" s="60"/>
      <c r="K5682" s="60"/>
      <c r="L5682" s="60"/>
      <c r="M5682" s="64"/>
      <c r="N5682" s="33"/>
    </row>
    <row r="5683" ht="24" customHeight="1" spans="2:14">
      <c r="B5683" s="33"/>
      <c r="C5683" s="60"/>
      <c r="D5683" s="60"/>
      <c r="E5683" s="60"/>
      <c r="F5683" s="60"/>
      <c r="G5683" s="60"/>
      <c r="H5683" s="60"/>
      <c r="I5683" s="60"/>
      <c r="J5683" s="60"/>
      <c r="K5683" s="60"/>
      <c r="L5683" s="60"/>
      <c r="M5683" s="64"/>
      <c r="N5683" s="33"/>
    </row>
    <row r="5684" ht="24" customHeight="1" spans="2:14">
      <c r="B5684" s="33"/>
      <c r="C5684" s="60"/>
      <c r="D5684" s="60"/>
      <c r="E5684" s="60"/>
      <c r="F5684" s="60"/>
      <c r="G5684" s="60"/>
      <c r="H5684" s="60"/>
      <c r="I5684" s="60"/>
      <c r="J5684" s="60"/>
      <c r="K5684" s="60"/>
      <c r="L5684" s="60"/>
      <c r="M5684" s="64"/>
      <c r="N5684" s="33"/>
    </row>
    <row r="5685" ht="24" customHeight="1" spans="2:14">
      <c r="B5685" s="33"/>
      <c r="C5685" s="60"/>
      <c r="D5685" s="60"/>
      <c r="E5685" s="60"/>
      <c r="F5685" s="60"/>
      <c r="G5685" s="60"/>
      <c r="H5685" s="60"/>
      <c r="I5685" s="60"/>
      <c r="J5685" s="60"/>
      <c r="K5685" s="60"/>
      <c r="L5685" s="60"/>
      <c r="M5685" s="64"/>
      <c r="N5685" s="33"/>
    </row>
    <row r="5686" ht="24" customHeight="1" spans="2:14">
      <c r="B5686" s="33"/>
      <c r="C5686" s="60"/>
      <c r="D5686" s="60"/>
      <c r="E5686" s="60"/>
      <c r="F5686" s="60"/>
      <c r="G5686" s="60"/>
      <c r="H5686" s="60"/>
      <c r="I5686" s="60"/>
      <c r="J5686" s="60"/>
      <c r="K5686" s="60"/>
      <c r="L5686" s="60"/>
      <c r="M5686" s="64"/>
      <c r="N5686" s="33"/>
    </row>
    <row r="5687" ht="24" customHeight="1" spans="2:14">
      <c r="B5687" s="33"/>
      <c r="C5687" s="60"/>
      <c r="D5687" s="60"/>
      <c r="E5687" s="60"/>
      <c r="F5687" s="60"/>
      <c r="G5687" s="60"/>
      <c r="H5687" s="60"/>
      <c r="I5687" s="60"/>
      <c r="J5687" s="60"/>
      <c r="K5687" s="60"/>
      <c r="L5687" s="60"/>
      <c r="M5687" s="64"/>
      <c r="N5687" s="33"/>
    </row>
    <row r="5688" ht="24" customHeight="1" spans="2:14">
      <c r="B5688" s="33"/>
      <c r="C5688" s="60"/>
      <c r="D5688" s="60"/>
      <c r="E5688" s="60"/>
      <c r="F5688" s="60"/>
      <c r="G5688" s="60"/>
      <c r="H5688" s="60"/>
      <c r="I5688" s="60"/>
      <c r="J5688" s="60"/>
      <c r="K5688" s="60"/>
      <c r="L5688" s="60"/>
      <c r="M5688" s="64"/>
      <c r="N5688" s="33"/>
    </row>
    <row r="5689" ht="24" customHeight="1" spans="2:14">
      <c r="B5689" s="33"/>
      <c r="C5689" s="60"/>
      <c r="D5689" s="60"/>
      <c r="E5689" s="60"/>
      <c r="F5689" s="60"/>
      <c r="G5689" s="60"/>
      <c r="H5689" s="60"/>
      <c r="I5689" s="60"/>
      <c r="J5689" s="60"/>
      <c r="K5689" s="60"/>
      <c r="L5689" s="60"/>
      <c r="M5689" s="64"/>
      <c r="N5689" s="33"/>
    </row>
    <row r="5690" ht="24" customHeight="1" spans="2:14">
      <c r="B5690" s="33"/>
      <c r="C5690" s="60"/>
      <c r="D5690" s="60"/>
      <c r="E5690" s="60"/>
      <c r="F5690" s="60"/>
      <c r="G5690" s="60"/>
      <c r="H5690" s="60"/>
      <c r="I5690" s="60"/>
      <c r="J5690" s="60"/>
      <c r="K5690" s="60"/>
      <c r="L5690" s="60"/>
      <c r="M5690" s="64"/>
      <c r="N5690" s="33"/>
    </row>
    <row r="5691" ht="24" customHeight="1" spans="2:14">
      <c r="B5691" s="33"/>
      <c r="C5691" s="60"/>
      <c r="D5691" s="60"/>
      <c r="E5691" s="60"/>
      <c r="F5691" s="60"/>
      <c r="G5691" s="60"/>
      <c r="H5691" s="60"/>
      <c r="I5691" s="60"/>
      <c r="J5691" s="60"/>
      <c r="K5691" s="60"/>
      <c r="L5691" s="60"/>
      <c r="M5691" s="64"/>
      <c r="N5691" s="33"/>
    </row>
    <row r="5692" ht="24" customHeight="1" spans="2:14">
      <c r="B5692" s="33"/>
      <c r="C5692" s="60"/>
      <c r="D5692" s="60"/>
      <c r="E5692" s="60"/>
      <c r="F5692" s="60"/>
      <c r="G5692" s="60"/>
      <c r="H5692" s="60"/>
      <c r="I5692" s="60"/>
      <c r="J5692" s="60"/>
      <c r="K5692" s="60"/>
      <c r="L5692" s="60"/>
      <c r="M5692" s="64"/>
      <c r="N5692" s="33"/>
    </row>
    <row r="5693" ht="24" customHeight="1" spans="2:14">
      <c r="B5693" s="33"/>
      <c r="C5693" s="60"/>
      <c r="D5693" s="60"/>
      <c r="E5693" s="60"/>
      <c r="F5693" s="60"/>
      <c r="G5693" s="60"/>
      <c r="H5693" s="60"/>
      <c r="I5693" s="60"/>
      <c r="J5693" s="60"/>
      <c r="K5693" s="60"/>
      <c r="L5693" s="60"/>
      <c r="M5693" s="64"/>
      <c r="N5693" s="33"/>
    </row>
    <row r="5694" ht="24" customHeight="1" spans="2:14">
      <c r="B5694" s="33"/>
      <c r="C5694" s="60"/>
      <c r="D5694" s="60"/>
      <c r="E5694" s="60"/>
      <c r="F5694" s="60"/>
      <c r="G5694" s="60"/>
      <c r="H5694" s="60"/>
      <c r="I5694" s="60"/>
      <c r="J5694" s="60"/>
      <c r="K5694" s="60"/>
      <c r="L5694" s="60"/>
      <c r="M5694" s="64"/>
      <c r="N5694" s="33"/>
    </row>
    <row r="5695" ht="24" customHeight="1" spans="2:14">
      <c r="B5695" s="33"/>
      <c r="C5695" s="60"/>
      <c r="D5695" s="60"/>
      <c r="E5695" s="60"/>
      <c r="F5695" s="60"/>
      <c r="G5695" s="60"/>
      <c r="H5695" s="60"/>
      <c r="I5695" s="60"/>
      <c r="J5695" s="60"/>
      <c r="K5695" s="60"/>
      <c r="L5695" s="60"/>
      <c r="M5695" s="64"/>
      <c r="N5695" s="33"/>
    </row>
    <row r="5696" ht="24" customHeight="1" spans="2:14">
      <c r="B5696" s="33"/>
      <c r="C5696" s="60"/>
      <c r="D5696" s="60"/>
      <c r="E5696" s="60"/>
      <c r="F5696" s="60"/>
      <c r="G5696" s="60"/>
      <c r="H5696" s="60"/>
      <c r="I5696" s="60"/>
      <c r="J5696" s="60"/>
      <c r="K5696" s="60"/>
      <c r="L5696" s="60"/>
      <c r="M5696" s="64"/>
      <c r="N5696" s="33"/>
    </row>
    <row r="5697" ht="24" customHeight="1" spans="2:14">
      <c r="B5697" s="33"/>
      <c r="C5697" s="60"/>
      <c r="D5697" s="60"/>
      <c r="E5697" s="60"/>
      <c r="F5697" s="60"/>
      <c r="G5697" s="60"/>
      <c r="H5697" s="60"/>
      <c r="I5697" s="60"/>
      <c r="J5697" s="60"/>
      <c r="K5697" s="60"/>
      <c r="L5697" s="60"/>
      <c r="M5697" s="64"/>
      <c r="N5697" s="33"/>
    </row>
    <row r="5698" ht="24" customHeight="1" spans="2:14">
      <c r="B5698" s="33"/>
      <c r="C5698" s="60"/>
      <c r="D5698" s="60"/>
      <c r="E5698" s="60"/>
      <c r="F5698" s="60"/>
      <c r="G5698" s="60"/>
      <c r="H5698" s="60"/>
      <c r="I5698" s="60"/>
      <c r="J5698" s="60"/>
      <c r="K5698" s="60"/>
      <c r="L5698" s="60"/>
      <c r="M5698" s="64"/>
      <c r="N5698" s="33"/>
    </row>
    <row r="5699" ht="24" customHeight="1" spans="2:14">
      <c r="B5699" s="33"/>
      <c r="C5699" s="60"/>
      <c r="D5699" s="60"/>
      <c r="E5699" s="60"/>
      <c r="F5699" s="60"/>
      <c r="G5699" s="60"/>
      <c r="H5699" s="60"/>
      <c r="I5699" s="60"/>
      <c r="J5699" s="60"/>
      <c r="K5699" s="60"/>
      <c r="L5699" s="60"/>
      <c r="M5699" s="64"/>
      <c r="N5699" s="33"/>
    </row>
    <row r="5700" ht="24" customHeight="1" spans="2:14">
      <c r="B5700" s="33"/>
      <c r="C5700" s="60"/>
      <c r="D5700" s="60"/>
      <c r="E5700" s="60"/>
      <c r="F5700" s="60"/>
      <c r="G5700" s="60"/>
      <c r="H5700" s="60"/>
      <c r="I5700" s="60"/>
      <c r="J5700" s="60"/>
      <c r="K5700" s="60"/>
      <c r="L5700" s="60"/>
      <c r="M5700" s="64"/>
      <c r="N5700" s="33"/>
    </row>
    <row r="5701" ht="24" customHeight="1" spans="2:14">
      <c r="B5701" s="33"/>
      <c r="C5701" s="60"/>
      <c r="D5701" s="60"/>
      <c r="E5701" s="60"/>
      <c r="F5701" s="60"/>
      <c r="G5701" s="60"/>
      <c r="H5701" s="60"/>
      <c r="I5701" s="60"/>
      <c r="J5701" s="60"/>
      <c r="K5701" s="60"/>
      <c r="L5701" s="60"/>
      <c r="M5701" s="64"/>
      <c r="N5701" s="33"/>
    </row>
    <row r="5702" ht="24" customHeight="1" spans="2:14">
      <c r="B5702" s="33"/>
      <c r="C5702" s="60"/>
      <c r="D5702" s="60"/>
      <c r="E5702" s="60"/>
      <c r="F5702" s="60"/>
      <c r="G5702" s="60"/>
      <c r="H5702" s="60"/>
      <c r="I5702" s="60"/>
      <c r="J5702" s="60"/>
      <c r="K5702" s="60"/>
      <c r="L5702" s="60"/>
      <c r="M5702" s="64"/>
      <c r="N5702" s="33"/>
    </row>
    <row r="5703" ht="24" customHeight="1" spans="2:14">
      <c r="B5703" s="33"/>
      <c r="C5703" s="60"/>
      <c r="D5703" s="60"/>
      <c r="E5703" s="60"/>
      <c r="F5703" s="60"/>
      <c r="G5703" s="60"/>
      <c r="H5703" s="60"/>
      <c r="I5703" s="60"/>
      <c r="J5703" s="60"/>
      <c r="K5703" s="60"/>
      <c r="L5703" s="60"/>
      <c r="M5703" s="64"/>
      <c r="N5703" s="33"/>
    </row>
    <row r="5704" ht="24" customHeight="1" spans="2:14">
      <c r="B5704" s="33"/>
      <c r="C5704" s="60"/>
      <c r="D5704" s="60"/>
      <c r="E5704" s="60"/>
      <c r="F5704" s="60"/>
      <c r="G5704" s="60"/>
      <c r="H5704" s="60"/>
      <c r="I5704" s="60"/>
      <c r="J5704" s="60"/>
      <c r="K5704" s="60"/>
      <c r="L5704" s="60"/>
      <c r="M5704" s="64"/>
      <c r="N5704" s="33"/>
    </row>
    <row r="5705" ht="24" customHeight="1" spans="2:14">
      <c r="B5705" s="33"/>
      <c r="C5705" s="60"/>
      <c r="D5705" s="60"/>
      <c r="E5705" s="60"/>
      <c r="F5705" s="60"/>
      <c r="G5705" s="60"/>
      <c r="H5705" s="60"/>
      <c r="I5705" s="60"/>
      <c r="J5705" s="60"/>
      <c r="K5705" s="60"/>
      <c r="L5705" s="60"/>
      <c r="M5705" s="64"/>
      <c r="N5705" s="33"/>
    </row>
    <row r="5706" ht="24" customHeight="1" spans="2:14">
      <c r="B5706" s="33"/>
      <c r="C5706" s="60"/>
      <c r="D5706" s="60"/>
      <c r="E5706" s="60"/>
      <c r="F5706" s="60"/>
      <c r="G5706" s="60"/>
      <c r="H5706" s="60"/>
      <c r="I5706" s="60"/>
      <c r="J5706" s="60"/>
      <c r="K5706" s="60"/>
      <c r="L5706" s="60"/>
      <c r="M5706" s="64"/>
      <c r="N5706" s="33"/>
    </row>
    <row r="5707" ht="24" customHeight="1" spans="2:14">
      <c r="B5707" s="33"/>
      <c r="C5707" s="60"/>
      <c r="D5707" s="60"/>
      <c r="E5707" s="60"/>
      <c r="F5707" s="60"/>
      <c r="G5707" s="60"/>
      <c r="H5707" s="60"/>
      <c r="I5707" s="60"/>
      <c r="J5707" s="60"/>
      <c r="K5707" s="60"/>
      <c r="L5707" s="60"/>
      <c r="M5707" s="64"/>
      <c r="N5707" s="33"/>
    </row>
    <row r="5708" ht="24" customHeight="1" spans="2:14">
      <c r="B5708" s="33"/>
      <c r="C5708" s="60"/>
      <c r="D5708" s="60"/>
      <c r="E5708" s="60"/>
      <c r="F5708" s="60"/>
      <c r="G5708" s="60"/>
      <c r="H5708" s="60"/>
      <c r="I5708" s="60"/>
      <c r="J5708" s="60"/>
      <c r="K5708" s="60"/>
      <c r="L5708" s="60"/>
      <c r="M5708" s="64"/>
      <c r="N5708" s="33"/>
    </row>
    <row r="5709" ht="24" customHeight="1" spans="2:14">
      <c r="B5709" s="33"/>
      <c r="C5709" s="60"/>
      <c r="D5709" s="60"/>
      <c r="E5709" s="60"/>
      <c r="F5709" s="60"/>
      <c r="G5709" s="60"/>
      <c r="H5709" s="60"/>
      <c r="I5709" s="60"/>
      <c r="J5709" s="60"/>
      <c r="K5709" s="60"/>
      <c r="L5709" s="60"/>
      <c r="M5709" s="64"/>
      <c r="N5709" s="33"/>
    </row>
    <row r="5710" ht="24" customHeight="1" spans="2:14">
      <c r="B5710" s="33"/>
      <c r="C5710" s="60"/>
      <c r="D5710" s="60"/>
      <c r="E5710" s="60"/>
      <c r="F5710" s="60"/>
      <c r="G5710" s="60"/>
      <c r="H5710" s="60"/>
      <c r="I5710" s="60"/>
      <c r="J5710" s="60"/>
      <c r="K5710" s="60"/>
      <c r="L5710" s="60"/>
      <c r="M5710" s="64"/>
      <c r="N5710" s="33"/>
    </row>
    <row r="5711" ht="24" customHeight="1" spans="2:14">
      <c r="B5711" s="33"/>
      <c r="C5711" s="60"/>
      <c r="D5711" s="60"/>
      <c r="E5711" s="60"/>
      <c r="F5711" s="60"/>
      <c r="G5711" s="60"/>
      <c r="H5711" s="60"/>
      <c r="I5711" s="60"/>
      <c r="J5711" s="60"/>
      <c r="K5711" s="60"/>
      <c r="L5711" s="60"/>
      <c r="M5711" s="64"/>
      <c r="N5711" s="33"/>
    </row>
    <row r="5712" ht="24" customHeight="1" spans="2:14">
      <c r="B5712" s="33"/>
      <c r="C5712" s="60"/>
      <c r="D5712" s="60"/>
      <c r="E5712" s="60"/>
      <c r="F5712" s="60"/>
      <c r="G5712" s="60"/>
      <c r="H5712" s="60"/>
      <c r="I5712" s="60"/>
      <c r="J5712" s="60"/>
      <c r="K5712" s="60"/>
      <c r="L5712" s="60"/>
      <c r="M5712" s="64"/>
      <c r="N5712" s="33"/>
    </row>
    <row r="5713" ht="24" customHeight="1" spans="2:14">
      <c r="B5713" s="33"/>
      <c r="C5713" s="60"/>
      <c r="D5713" s="60"/>
      <c r="E5713" s="60"/>
      <c r="F5713" s="60"/>
      <c r="G5713" s="60"/>
      <c r="H5713" s="60"/>
      <c r="I5713" s="60"/>
      <c r="J5713" s="60"/>
      <c r="K5713" s="60"/>
      <c r="L5713" s="60"/>
      <c r="M5713" s="64"/>
      <c r="N5713" s="33"/>
    </row>
    <row r="5714" ht="24" customHeight="1" spans="2:14">
      <c r="B5714" s="33"/>
      <c r="C5714" s="60"/>
      <c r="D5714" s="60"/>
      <c r="E5714" s="60"/>
      <c r="F5714" s="60"/>
      <c r="G5714" s="60"/>
      <c r="H5714" s="60"/>
      <c r="I5714" s="60"/>
      <c r="J5714" s="60"/>
      <c r="K5714" s="60"/>
      <c r="L5714" s="60"/>
      <c r="M5714" s="64"/>
      <c r="N5714" s="33"/>
    </row>
    <row r="5715" ht="24" customHeight="1" spans="2:14">
      <c r="B5715" s="33"/>
      <c r="C5715" s="60"/>
      <c r="D5715" s="60"/>
      <c r="E5715" s="60"/>
      <c r="F5715" s="60"/>
      <c r="G5715" s="60"/>
      <c r="H5715" s="60"/>
      <c r="I5715" s="60"/>
      <c r="J5715" s="60"/>
      <c r="K5715" s="60"/>
      <c r="L5715" s="60"/>
      <c r="M5715" s="64"/>
      <c r="N5715" s="33"/>
    </row>
    <row r="5716" ht="24" customHeight="1" spans="2:14">
      <c r="B5716" s="33"/>
      <c r="C5716" s="60"/>
      <c r="D5716" s="60"/>
      <c r="E5716" s="60"/>
      <c r="F5716" s="60"/>
      <c r="G5716" s="60"/>
      <c r="H5716" s="60"/>
      <c r="I5716" s="60"/>
      <c r="J5716" s="60"/>
      <c r="K5716" s="60"/>
      <c r="L5716" s="60"/>
      <c r="M5716" s="64"/>
      <c r="N5716" s="33"/>
    </row>
    <row r="5717" ht="24" customHeight="1" spans="2:14">
      <c r="B5717" s="33"/>
      <c r="C5717" s="60"/>
      <c r="D5717" s="60"/>
      <c r="E5717" s="60"/>
      <c r="F5717" s="60"/>
      <c r="G5717" s="60"/>
      <c r="H5717" s="60"/>
      <c r="I5717" s="60"/>
      <c r="J5717" s="60"/>
      <c r="K5717" s="60"/>
      <c r="L5717" s="60"/>
      <c r="M5717" s="64"/>
      <c r="N5717" s="33"/>
    </row>
    <row r="5718" ht="24" customHeight="1" spans="2:14">
      <c r="B5718" s="33"/>
      <c r="C5718" s="60"/>
      <c r="D5718" s="60"/>
      <c r="E5718" s="60"/>
      <c r="F5718" s="60"/>
      <c r="G5718" s="60"/>
      <c r="H5718" s="60"/>
      <c r="I5718" s="60"/>
      <c r="J5718" s="60"/>
      <c r="K5718" s="60"/>
      <c r="L5718" s="60"/>
      <c r="M5718" s="64"/>
      <c r="N5718" s="33"/>
    </row>
    <row r="5719" ht="24" customHeight="1" spans="2:14">
      <c r="B5719" s="33"/>
      <c r="C5719" s="60"/>
      <c r="D5719" s="60"/>
      <c r="E5719" s="60"/>
      <c r="F5719" s="60"/>
      <c r="G5719" s="60"/>
      <c r="H5719" s="60"/>
      <c r="I5719" s="60"/>
      <c r="J5719" s="60"/>
      <c r="K5719" s="60"/>
      <c r="L5719" s="60"/>
      <c r="M5719" s="64"/>
      <c r="N5719" s="33"/>
    </row>
    <row r="5720" ht="24" customHeight="1" spans="2:14">
      <c r="B5720" s="33"/>
      <c r="C5720" s="60"/>
      <c r="D5720" s="60"/>
      <c r="E5720" s="60"/>
      <c r="F5720" s="60"/>
      <c r="G5720" s="60"/>
      <c r="H5720" s="60"/>
      <c r="I5720" s="60"/>
      <c r="J5720" s="60"/>
      <c r="K5720" s="60"/>
      <c r="L5720" s="60"/>
      <c r="M5720" s="64"/>
      <c r="N5720" s="33"/>
    </row>
    <row r="5721" ht="24" customHeight="1" spans="2:14">
      <c r="B5721" s="33"/>
      <c r="C5721" s="60"/>
      <c r="D5721" s="60"/>
      <c r="E5721" s="60"/>
      <c r="F5721" s="60"/>
      <c r="G5721" s="60"/>
      <c r="H5721" s="60"/>
      <c r="I5721" s="60"/>
      <c r="J5721" s="60"/>
      <c r="K5721" s="60"/>
      <c r="L5721" s="60"/>
      <c r="M5721" s="64"/>
      <c r="N5721" s="33"/>
    </row>
    <row r="5722" ht="24" customHeight="1" spans="2:14">
      <c r="B5722" s="33"/>
      <c r="C5722" s="60"/>
      <c r="D5722" s="60"/>
      <c r="E5722" s="60"/>
      <c r="F5722" s="60"/>
      <c r="G5722" s="60"/>
      <c r="H5722" s="60"/>
      <c r="I5722" s="60"/>
      <c r="J5722" s="60"/>
      <c r="K5722" s="60"/>
      <c r="L5722" s="60"/>
      <c r="M5722" s="64"/>
      <c r="N5722" s="33"/>
    </row>
    <row r="5723" ht="24" customHeight="1" spans="2:14">
      <c r="B5723" s="33"/>
      <c r="C5723" s="60"/>
      <c r="D5723" s="60"/>
      <c r="E5723" s="60"/>
      <c r="F5723" s="60"/>
      <c r="G5723" s="60"/>
      <c r="H5723" s="60"/>
      <c r="I5723" s="60"/>
      <c r="J5723" s="60"/>
      <c r="K5723" s="60"/>
      <c r="L5723" s="60"/>
      <c r="M5723" s="64"/>
      <c r="N5723" s="33"/>
    </row>
    <row r="5724" ht="24" customHeight="1" spans="2:14">
      <c r="B5724" s="33"/>
      <c r="C5724" s="60"/>
      <c r="D5724" s="60"/>
      <c r="E5724" s="60"/>
      <c r="F5724" s="60"/>
      <c r="G5724" s="60"/>
      <c r="H5724" s="60"/>
      <c r="I5724" s="60"/>
      <c r="J5724" s="60"/>
      <c r="K5724" s="60"/>
      <c r="L5724" s="60"/>
      <c r="M5724" s="64"/>
      <c r="N5724" s="33"/>
    </row>
    <row r="5725" ht="24" customHeight="1" spans="2:14">
      <c r="B5725" s="33"/>
      <c r="C5725" s="60"/>
      <c r="D5725" s="60"/>
      <c r="E5725" s="60"/>
      <c r="F5725" s="60"/>
      <c r="G5725" s="60"/>
      <c r="H5725" s="60"/>
      <c r="I5725" s="60"/>
      <c r="J5725" s="60"/>
      <c r="K5725" s="60"/>
      <c r="L5725" s="60"/>
      <c r="M5725" s="64"/>
      <c r="N5725" s="33"/>
    </row>
    <row r="5726" ht="24" customHeight="1" spans="2:14">
      <c r="B5726" s="33"/>
      <c r="C5726" s="60"/>
      <c r="D5726" s="60"/>
      <c r="E5726" s="60"/>
      <c r="F5726" s="60"/>
      <c r="G5726" s="60"/>
      <c r="H5726" s="60"/>
      <c r="I5726" s="60"/>
      <c r="J5726" s="60"/>
      <c r="K5726" s="60"/>
      <c r="L5726" s="60"/>
      <c r="M5726" s="64"/>
      <c r="N5726" s="33"/>
    </row>
    <row r="5727" ht="24" customHeight="1" spans="2:14">
      <c r="B5727" s="33"/>
      <c r="C5727" s="60"/>
      <c r="D5727" s="60"/>
      <c r="E5727" s="60"/>
      <c r="F5727" s="60"/>
      <c r="G5727" s="60"/>
      <c r="H5727" s="60"/>
      <c r="I5727" s="60"/>
      <c r="J5727" s="60"/>
      <c r="K5727" s="60"/>
      <c r="L5727" s="60"/>
      <c r="M5727" s="64"/>
      <c r="N5727" s="33"/>
    </row>
    <row r="5728" ht="24" customHeight="1" spans="2:14">
      <c r="B5728" s="33"/>
      <c r="C5728" s="60"/>
      <c r="D5728" s="60"/>
      <c r="E5728" s="60"/>
      <c r="F5728" s="60"/>
      <c r="G5728" s="60"/>
      <c r="H5728" s="60"/>
      <c r="I5728" s="60"/>
      <c r="J5728" s="60"/>
      <c r="K5728" s="60"/>
      <c r="L5728" s="60"/>
      <c r="M5728" s="64"/>
      <c r="N5728" s="33"/>
    </row>
    <row r="5729" ht="24" customHeight="1" spans="2:14">
      <c r="B5729" s="33"/>
      <c r="C5729" s="60"/>
      <c r="D5729" s="60"/>
      <c r="E5729" s="60"/>
      <c r="F5729" s="60"/>
      <c r="G5729" s="60"/>
      <c r="H5729" s="60"/>
      <c r="I5729" s="60"/>
      <c r="J5729" s="60"/>
      <c r="K5729" s="60"/>
      <c r="L5729" s="60"/>
      <c r="M5729" s="64"/>
      <c r="N5729" s="33"/>
    </row>
    <row r="5730" ht="24" customHeight="1" spans="2:14">
      <c r="B5730" s="33"/>
      <c r="C5730" s="60"/>
      <c r="D5730" s="60"/>
      <c r="E5730" s="60"/>
      <c r="F5730" s="60"/>
      <c r="G5730" s="60"/>
      <c r="H5730" s="60"/>
      <c r="I5730" s="60"/>
      <c r="J5730" s="60"/>
      <c r="K5730" s="60"/>
      <c r="L5730" s="60"/>
      <c r="M5730" s="64"/>
      <c r="N5730" s="33"/>
    </row>
    <row r="5731" ht="24" customHeight="1" spans="2:14">
      <c r="B5731" s="33"/>
      <c r="C5731" s="60"/>
      <c r="D5731" s="60"/>
      <c r="E5731" s="60"/>
      <c r="F5731" s="60"/>
      <c r="G5731" s="60"/>
      <c r="H5731" s="60"/>
      <c r="I5731" s="60"/>
      <c r="J5731" s="60"/>
      <c r="K5731" s="60"/>
      <c r="L5731" s="60"/>
      <c r="M5731" s="64"/>
      <c r="N5731" s="33"/>
    </row>
    <row r="5732" ht="24" customHeight="1" spans="2:14">
      <c r="B5732" s="33"/>
      <c r="C5732" s="60"/>
      <c r="D5732" s="60"/>
      <c r="E5732" s="60"/>
      <c r="F5732" s="60"/>
      <c r="G5732" s="60"/>
      <c r="H5732" s="60"/>
      <c r="I5732" s="60"/>
      <c r="J5732" s="60"/>
      <c r="K5732" s="60"/>
      <c r="L5732" s="60"/>
      <c r="M5732" s="64"/>
      <c r="N5732" s="33"/>
    </row>
    <row r="5733" ht="24" customHeight="1" spans="2:14">
      <c r="B5733" s="33"/>
      <c r="C5733" s="60"/>
      <c r="D5733" s="60"/>
      <c r="E5733" s="60"/>
      <c r="F5733" s="60"/>
      <c r="G5733" s="60"/>
      <c r="H5733" s="60"/>
      <c r="I5733" s="60"/>
      <c r="J5733" s="60"/>
      <c r="K5733" s="60"/>
      <c r="L5733" s="60"/>
      <c r="M5733" s="64"/>
      <c r="N5733" s="33"/>
    </row>
    <row r="5734" ht="24" customHeight="1" spans="2:14">
      <c r="B5734" s="33"/>
      <c r="C5734" s="60"/>
      <c r="D5734" s="60"/>
      <c r="E5734" s="60"/>
      <c r="F5734" s="60"/>
      <c r="G5734" s="60"/>
      <c r="H5734" s="60"/>
      <c r="I5734" s="60"/>
      <c r="J5734" s="60"/>
      <c r="K5734" s="60"/>
      <c r="L5734" s="60"/>
      <c r="M5734" s="64"/>
      <c r="N5734" s="33"/>
    </row>
    <row r="5735" ht="24" customHeight="1" spans="2:14">
      <c r="B5735" s="33"/>
      <c r="C5735" s="60"/>
      <c r="D5735" s="60"/>
      <c r="E5735" s="60"/>
      <c r="F5735" s="60"/>
      <c r="G5735" s="60"/>
      <c r="H5735" s="60"/>
      <c r="I5735" s="60"/>
      <c r="J5735" s="60"/>
      <c r="K5735" s="60"/>
      <c r="L5735" s="60"/>
      <c r="M5735" s="64"/>
      <c r="N5735" s="33"/>
    </row>
    <row r="5736" ht="24" customHeight="1" spans="2:14">
      <c r="B5736" s="33"/>
      <c r="C5736" s="60"/>
      <c r="D5736" s="60"/>
      <c r="E5736" s="60"/>
      <c r="F5736" s="60"/>
      <c r="G5736" s="60"/>
      <c r="H5736" s="60"/>
      <c r="I5736" s="60"/>
      <c r="J5736" s="60"/>
      <c r="K5736" s="60"/>
      <c r="L5736" s="60"/>
      <c r="M5736" s="64"/>
      <c r="N5736" s="33"/>
    </row>
    <row r="5737" ht="24" customHeight="1" spans="2:14">
      <c r="B5737" s="33"/>
      <c r="C5737" s="60"/>
      <c r="D5737" s="60"/>
      <c r="E5737" s="60"/>
      <c r="F5737" s="60"/>
      <c r="G5737" s="60"/>
      <c r="H5737" s="60"/>
      <c r="I5737" s="60"/>
      <c r="J5737" s="60"/>
      <c r="K5737" s="60"/>
      <c r="L5737" s="60"/>
      <c r="M5737" s="64"/>
      <c r="N5737" s="33"/>
    </row>
    <row r="5738" ht="24" customHeight="1" spans="2:14">
      <c r="B5738" s="33"/>
      <c r="C5738" s="60"/>
      <c r="D5738" s="60"/>
      <c r="E5738" s="60"/>
      <c r="F5738" s="60"/>
      <c r="G5738" s="60"/>
      <c r="H5738" s="60"/>
      <c r="I5738" s="60"/>
      <c r="J5738" s="60"/>
      <c r="K5738" s="60"/>
      <c r="L5738" s="60"/>
      <c r="M5738" s="64"/>
      <c r="N5738" s="33"/>
    </row>
    <row r="5739" ht="24" customHeight="1" spans="2:14">
      <c r="B5739" s="33"/>
      <c r="C5739" s="60"/>
      <c r="D5739" s="60"/>
      <c r="E5739" s="60"/>
      <c r="F5739" s="60"/>
      <c r="G5739" s="60"/>
      <c r="H5739" s="60"/>
      <c r="I5739" s="60"/>
      <c r="J5739" s="60"/>
      <c r="K5739" s="60"/>
      <c r="L5739" s="60"/>
      <c r="M5739" s="64"/>
      <c r="N5739" s="33"/>
    </row>
    <row r="5740" ht="24" customHeight="1" spans="2:14">
      <c r="B5740" s="33"/>
      <c r="C5740" s="60"/>
      <c r="D5740" s="60"/>
      <c r="E5740" s="60"/>
      <c r="F5740" s="60"/>
      <c r="G5740" s="60"/>
      <c r="H5740" s="60"/>
      <c r="I5740" s="60"/>
      <c r="J5740" s="60"/>
      <c r="K5740" s="60"/>
      <c r="L5740" s="60"/>
      <c r="M5740" s="64"/>
      <c r="N5740" s="33"/>
    </row>
    <row r="5741" ht="24" customHeight="1" spans="2:14">
      <c r="B5741" s="33"/>
      <c r="C5741" s="60"/>
      <c r="D5741" s="60"/>
      <c r="E5741" s="60"/>
      <c r="F5741" s="60"/>
      <c r="G5741" s="60"/>
      <c r="H5741" s="60"/>
      <c r="I5741" s="60"/>
      <c r="J5741" s="60"/>
      <c r="K5741" s="60"/>
      <c r="L5741" s="60"/>
      <c r="M5741" s="64"/>
      <c r="N5741" s="33"/>
    </row>
    <row r="5742" ht="24" customHeight="1" spans="2:14">
      <c r="B5742" s="33"/>
      <c r="C5742" s="60"/>
      <c r="D5742" s="60"/>
      <c r="E5742" s="60"/>
      <c r="F5742" s="60"/>
      <c r="G5742" s="60"/>
      <c r="H5742" s="60"/>
      <c r="I5742" s="60"/>
      <c r="J5742" s="60"/>
      <c r="K5742" s="60"/>
      <c r="L5742" s="60"/>
      <c r="M5742" s="64"/>
      <c r="N5742" s="33"/>
    </row>
    <row r="5743" ht="24" customHeight="1" spans="2:14">
      <c r="B5743" s="33"/>
      <c r="C5743" s="60"/>
      <c r="D5743" s="60"/>
      <c r="E5743" s="60"/>
      <c r="F5743" s="60"/>
      <c r="G5743" s="60"/>
      <c r="H5743" s="60"/>
      <c r="I5743" s="60"/>
      <c r="J5743" s="60"/>
      <c r="K5743" s="60"/>
      <c r="L5743" s="60"/>
      <c r="M5743" s="64"/>
      <c r="N5743" s="33"/>
    </row>
    <row r="5744" ht="24" customHeight="1" spans="2:14">
      <c r="B5744" s="33"/>
      <c r="C5744" s="60"/>
      <c r="D5744" s="60"/>
      <c r="E5744" s="60"/>
      <c r="F5744" s="60"/>
      <c r="G5744" s="60"/>
      <c r="H5744" s="60"/>
      <c r="I5744" s="60"/>
      <c r="J5744" s="60"/>
      <c r="K5744" s="60"/>
      <c r="L5744" s="60"/>
      <c r="M5744" s="64"/>
      <c r="N5744" s="33"/>
    </row>
    <row r="5745" ht="24" customHeight="1" spans="2:14">
      <c r="B5745" s="33"/>
      <c r="C5745" s="60"/>
      <c r="D5745" s="60"/>
      <c r="E5745" s="60"/>
      <c r="F5745" s="60"/>
      <c r="G5745" s="60"/>
      <c r="H5745" s="60"/>
      <c r="I5745" s="60"/>
      <c r="J5745" s="60"/>
      <c r="K5745" s="60"/>
      <c r="L5745" s="60"/>
      <c r="M5745" s="64"/>
      <c r="N5745" s="33"/>
    </row>
    <row r="5746" ht="24" customHeight="1" spans="2:14">
      <c r="B5746" s="33"/>
      <c r="C5746" s="60"/>
      <c r="D5746" s="60"/>
      <c r="E5746" s="60"/>
      <c r="F5746" s="60"/>
      <c r="G5746" s="60"/>
      <c r="H5746" s="60"/>
      <c r="I5746" s="60"/>
      <c r="J5746" s="60"/>
      <c r="K5746" s="60"/>
      <c r="L5746" s="60"/>
      <c r="M5746" s="64"/>
      <c r="N5746" s="33"/>
    </row>
    <row r="5747" ht="24" customHeight="1" spans="2:14">
      <c r="B5747" s="33"/>
      <c r="C5747" s="60"/>
      <c r="D5747" s="60"/>
      <c r="E5747" s="60"/>
      <c r="F5747" s="60"/>
      <c r="G5747" s="60"/>
      <c r="H5747" s="60"/>
      <c r="I5747" s="60"/>
      <c r="J5747" s="60"/>
      <c r="K5747" s="60"/>
      <c r="L5747" s="60"/>
      <c r="M5747" s="64"/>
      <c r="N5747" s="33"/>
    </row>
    <row r="5748" ht="24" customHeight="1" spans="2:14">
      <c r="B5748" s="33"/>
      <c r="C5748" s="60"/>
      <c r="D5748" s="60"/>
      <c r="E5748" s="60"/>
      <c r="F5748" s="60"/>
      <c r="G5748" s="60"/>
      <c r="H5748" s="60"/>
      <c r="I5748" s="60"/>
      <c r="J5748" s="60"/>
      <c r="K5748" s="60"/>
      <c r="L5748" s="60"/>
      <c r="M5748" s="64"/>
      <c r="N5748" s="33"/>
    </row>
    <row r="5749" ht="24" customHeight="1" spans="2:14">
      <c r="B5749" s="33"/>
      <c r="C5749" s="60"/>
      <c r="D5749" s="60"/>
      <c r="E5749" s="60"/>
      <c r="F5749" s="60"/>
      <c r="G5749" s="60"/>
      <c r="H5749" s="60"/>
      <c r="I5749" s="60"/>
      <c r="J5749" s="60"/>
      <c r="K5749" s="60"/>
      <c r="L5749" s="60"/>
      <c r="M5749" s="64"/>
      <c r="N5749" s="33"/>
    </row>
    <row r="5750" ht="24" customHeight="1" spans="2:14">
      <c r="B5750" s="33"/>
      <c r="C5750" s="60"/>
      <c r="D5750" s="60"/>
      <c r="E5750" s="60"/>
      <c r="F5750" s="60"/>
      <c r="G5750" s="60"/>
      <c r="H5750" s="60"/>
      <c r="I5750" s="60"/>
      <c r="J5750" s="60"/>
      <c r="K5750" s="60"/>
      <c r="L5750" s="60"/>
      <c r="M5750" s="64"/>
      <c r="N5750" s="33"/>
    </row>
    <row r="5751" ht="24" customHeight="1" spans="2:14">
      <c r="B5751" s="33"/>
      <c r="C5751" s="60"/>
      <c r="D5751" s="60"/>
      <c r="E5751" s="60"/>
      <c r="F5751" s="60"/>
      <c r="G5751" s="60"/>
      <c r="H5751" s="60"/>
      <c r="I5751" s="60"/>
      <c r="J5751" s="60"/>
      <c r="K5751" s="60"/>
      <c r="L5751" s="60"/>
      <c r="M5751" s="64"/>
      <c r="N5751" s="33"/>
    </row>
    <row r="5752" ht="24" customHeight="1" spans="2:14">
      <c r="B5752" s="33"/>
      <c r="C5752" s="60"/>
      <c r="D5752" s="60"/>
      <c r="E5752" s="60"/>
      <c r="F5752" s="60"/>
      <c r="G5752" s="60"/>
      <c r="H5752" s="60"/>
      <c r="I5752" s="60"/>
      <c r="J5752" s="60"/>
      <c r="K5752" s="60"/>
      <c r="L5752" s="60"/>
      <c r="M5752" s="64"/>
      <c r="N5752" s="33"/>
    </row>
    <row r="5753" ht="24" customHeight="1" spans="2:14">
      <c r="B5753" s="33"/>
      <c r="C5753" s="60"/>
      <c r="D5753" s="60"/>
      <c r="E5753" s="60"/>
      <c r="F5753" s="60"/>
      <c r="G5753" s="60"/>
      <c r="H5753" s="60"/>
      <c r="I5753" s="60"/>
      <c r="J5753" s="60"/>
      <c r="K5753" s="60"/>
      <c r="L5753" s="60"/>
      <c r="M5753" s="64"/>
      <c r="N5753" s="33"/>
    </row>
    <row r="5754" ht="24" customHeight="1" spans="2:14">
      <c r="B5754" s="33"/>
      <c r="C5754" s="60"/>
      <c r="D5754" s="60"/>
      <c r="E5754" s="60"/>
      <c r="F5754" s="60"/>
      <c r="G5754" s="60"/>
      <c r="H5754" s="60"/>
      <c r="I5754" s="60"/>
      <c r="J5754" s="60"/>
      <c r="K5754" s="60"/>
      <c r="L5754" s="60"/>
      <c r="M5754" s="64"/>
      <c r="N5754" s="33"/>
    </row>
    <row r="5755" ht="24" customHeight="1" spans="2:14">
      <c r="B5755" s="33"/>
      <c r="C5755" s="60"/>
      <c r="D5755" s="60"/>
      <c r="E5755" s="60"/>
      <c r="F5755" s="60"/>
      <c r="G5755" s="60"/>
      <c r="H5755" s="60"/>
      <c r="I5755" s="60"/>
      <c r="J5755" s="60"/>
      <c r="K5755" s="60"/>
      <c r="L5755" s="60"/>
      <c r="M5755" s="64"/>
      <c r="N5755" s="33"/>
    </row>
    <row r="5756" ht="24" customHeight="1" spans="2:14">
      <c r="B5756" s="33"/>
      <c r="C5756" s="60"/>
      <c r="D5756" s="60"/>
      <c r="E5756" s="60"/>
      <c r="F5756" s="60"/>
      <c r="G5756" s="60"/>
      <c r="H5756" s="60"/>
      <c r="I5756" s="60"/>
      <c r="J5756" s="60"/>
      <c r="K5756" s="60"/>
      <c r="L5756" s="60"/>
      <c r="M5756" s="64"/>
      <c r="N5756" s="33"/>
    </row>
    <row r="5757" ht="24" customHeight="1" spans="2:14">
      <c r="B5757" s="33"/>
      <c r="C5757" s="60"/>
      <c r="D5757" s="60"/>
      <c r="E5757" s="60"/>
      <c r="F5757" s="60"/>
      <c r="G5757" s="60"/>
      <c r="H5757" s="60"/>
      <c r="I5757" s="60"/>
      <c r="J5757" s="60"/>
      <c r="K5757" s="60"/>
      <c r="L5757" s="60"/>
      <c r="M5757" s="64"/>
      <c r="N5757" s="33"/>
    </row>
    <row r="5758" ht="24" customHeight="1" spans="2:14">
      <c r="B5758" s="33"/>
      <c r="C5758" s="60"/>
      <c r="D5758" s="60"/>
      <c r="E5758" s="60"/>
      <c r="F5758" s="60"/>
      <c r="G5758" s="60"/>
      <c r="H5758" s="60"/>
      <c r="I5758" s="60"/>
      <c r="J5758" s="60"/>
      <c r="K5758" s="60"/>
      <c r="L5758" s="60"/>
      <c r="M5758" s="64"/>
      <c r="N5758" s="33"/>
    </row>
    <row r="5759" ht="24" customHeight="1" spans="2:14">
      <c r="B5759" s="33"/>
      <c r="C5759" s="60"/>
      <c r="D5759" s="60"/>
      <c r="E5759" s="60"/>
      <c r="F5759" s="60"/>
      <c r="G5759" s="60"/>
      <c r="H5759" s="60"/>
      <c r="I5759" s="60"/>
      <c r="J5759" s="60"/>
      <c r="K5759" s="60"/>
      <c r="L5759" s="60"/>
      <c r="M5759" s="64"/>
      <c r="N5759" s="33"/>
    </row>
    <row r="5760" ht="24" customHeight="1" spans="2:14">
      <c r="B5760" s="33"/>
      <c r="C5760" s="60"/>
      <c r="D5760" s="60"/>
      <c r="E5760" s="60"/>
      <c r="F5760" s="60"/>
      <c r="G5760" s="60"/>
      <c r="H5760" s="60"/>
      <c r="I5760" s="60"/>
      <c r="J5760" s="60"/>
      <c r="K5760" s="60"/>
      <c r="L5760" s="60"/>
      <c r="M5760" s="64"/>
      <c r="N5760" s="33"/>
    </row>
    <row r="5761" ht="24" customHeight="1" spans="2:14">
      <c r="B5761" s="33"/>
      <c r="C5761" s="60"/>
      <c r="D5761" s="60"/>
      <c r="E5761" s="60"/>
      <c r="F5761" s="60"/>
      <c r="G5761" s="60"/>
      <c r="H5761" s="60"/>
      <c r="I5761" s="60"/>
      <c r="J5761" s="60"/>
      <c r="K5761" s="60"/>
      <c r="L5761" s="60"/>
      <c r="M5761" s="64"/>
      <c r="N5761" s="33"/>
    </row>
    <row r="5762" ht="24" customHeight="1" spans="2:14">
      <c r="B5762" s="33"/>
      <c r="C5762" s="60"/>
      <c r="D5762" s="60"/>
      <c r="E5762" s="60"/>
      <c r="F5762" s="60"/>
      <c r="G5762" s="60"/>
      <c r="H5762" s="60"/>
      <c r="I5762" s="60"/>
      <c r="J5762" s="60"/>
      <c r="K5762" s="60"/>
      <c r="L5762" s="60"/>
      <c r="M5762" s="64"/>
      <c r="N5762" s="33"/>
    </row>
    <row r="5763" ht="24" customHeight="1" spans="2:14">
      <c r="B5763" s="33"/>
      <c r="C5763" s="60"/>
      <c r="D5763" s="60"/>
      <c r="E5763" s="60"/>
      <c r="F5763" s="60"/>
      <c r="G5763" s="60"/>
      <c r="H5763" s="60"/>
      <c r="I5763" s="60"/>
      <c r="J5763" s="60"/>
      <c r="K5763" s="60"/>
      <c r="L5763" s="60"/>
      <c r="M5763" s="64"/>
      <c r="N5763" s="33"/>
    </row>
    <row r="5764" ht="24" customHeight="1" spans="2:14">
      <c r="B5764" s="33"/>
      <c r="C5764" s="60"/>
      <c r="D5764" s="60"/>
      <c r="E5764" s="60"/>
      <c r="F5764" s="60"/>
      <c r="G5764" s="60"/>
      <c r="H5764" s="60"/>
      <c r="I5764" s="60"/>
      <c r="J5764" s="60"/>
      <c r="K5764" s="60"/>
      <c r="L5764" s="60"/>
      <c r="M5764" s="64"/>
      <c r="N5764" s="33"/>
    </row>
    <row r="5765" ht="24" customHeight="1" spans="2:14">
      <c r="B5765" s="33"/>
      <c r="C5765" s="60"/>
      <c r="D5765" s="60"/>
      <c r="E5765" s="60"/>
      <c r="F5765" s="60"/>
      <c r="G5765" s="60"/>
      <c r="H5765" s="60"/>
      <c r="I5765" s="60"/>
      <c r="J5765" s="60"/>
      <c r="K5765" s="60"/>
      <c r="L5765" s="60"/>
      <c r="M5765" s="64"/>
      <c r="N5765" s="33"/>
    </row>
    <row r="5766" ht="24" customHeight="1" spans="2:14">
      <c r="B5766" s="33"/>
      <c r="C5766" s="60"/>
      <c r="D5766" s="60"/>
      <c r="E5766" s="60"/>
      <c r="F5766" s="60"/>
      <c r="G5766" s="60"/>
      <c r="H5766" s="60"/>
      <c r="I5766" s="60"/>
      <c r="J5766" s="60"/>
      <c r="K5766" s="60"/>
      <c r="L5766" s="60"/>
      <c r="M5766" s="64"/>
      <c r="N5766" s="33"/>
    </row>
    <row r="5767" ht="24" customHeight="1" spans="2:14">
      <c r="B5767" s="33"/>
      <c r="C5767" s="60"/>
      <c r="D5767" s="60"/>
      <c r="E5767" s="60"/>
      <c r="F5767" s="60"/>
      <c r="G5767" s="60"/>
      <c r="H5767" s="60"/>
      <c r="I5767" s="60"/>
      <c r="J5767" s="60"/>
      <c r="K5767" s="60"/>
      <c r="L5767" s="60"/>
      <c r="M5767" s="64"/>
      <c r="N5767" s="33"/>
    </row>
    <row r="5768" ht="24" customHeight="1" spans="2:14">
      <c r="B5768" s="33"/>
      <c r="C5768" s="60"/>
      <c r="D5768" s="60"/>
      <c r="E5768" s="60"/>
      <c r="F5768" s="60"/>
      <c r="G5768" s="60"/>
      <c r="H5768" s="60"/>
      <c r="I5768" s="60"/>
      <c r="J5768" s="60"/>
      <c r="K5768" s="60"/>
      <c r="L5768" s="60"/>
      <c r="M5768" s="64"/>
      <c r="N5768" s="33"/>
    </row>
    <row r="5769" ht="24" customHeight="1" spans="2:14">
      <c r="B5769" s="33"/>
      <c r="C5769" s="60"/>
      <c r="D5769" s="60"/>
      <c r="E5769" s="60"/>
      <c r="F5769" s="60"/>
      <c r="G5769" s="60"/>
      <c r="H5769" s="60"/>
      <c r="I5769" s="60"/>
      <c r="J5769" s="60"/>
      <c r="K5769" s="60"/>
      <c r="L5769" s="60"/>
      <c r="M5769" s="64"/>
      <c r="N5769" s="33"/>
    </row>
    <row r="5770" ht="24" customHeight="1" spans="2:14">
      <c r="B5770" s="33"/>
      <c r="C5770" s="60"/>
      <c r="D5770" s="60"/>
      <c r="E5770" s="60"/>
      <c r="F5770" s="60"/>
      <c r="G5770" s="60"/>
      <c r="H5770" s="60"/>
      <c r="I5770" s="60"/>
      <c r="J5770" s="60"/>
      <c r="K5770" s="60"/>
      <c r="L5770" s="60"/>
      <c r="M5770" s="64"/>
      <c r="N5770" s="33"/>
    </row>
    <row r="5771" ht="24" customHeight="1" spans="2:14">
      <c r="B5771" s="33"/>
      <c r="C5771" s="60"/>
      <c r="D5771" s="60"/>
      <c r="E5771" s="60"/>
      <c r="F5771" s="60"/>
      <c r="G5771" s="60"/>
      <c r="H5771" s="60"/>
      <c r="I5771" s="60"/>
      <c r="J5771" s="60"/>
      <c r="K5771" s="60"/>
      <c r="L5771" s="60"/>
      <c r="M5771" s="64"/>
      <c r="N5771" s="33"/>
    </row>
    <row r="5772" ht="24" customHeight="1" spans="2:14">
      <c r="B5772" s="33"/>
      <c r="C5772" s="60"/>
      <c r="D5772" s="60"/>
      <c r="E5772" s="60"/>
      <c r="F5772" s="60"/>
      <c r="G5772" s="60"/>
      <c r="H5772" s="60"/>
      <c r="I5772" s="60"/>
      <c r="J5772" s="60"/>
      <c r="K5772" s="60"/>
      <c r="L5772" s="60"/>
      <c r="M5772" s="64"/>
      <c r="N5772" s="33"/>
    </row>
    <row r="5773" ht="24" customHeight="1" spans="2:14">
      <c r="B5773" s="33"/>
      <c r="C5773" s="60"/>
      <c r="D5773" s="60"/>
      <c r="E5773" s="60"/>
      <c r="F5773" s="60"/>
      <c r="G5773" s="60"/>
      <c r="H5773" s="60"/>
      <c r="I5773" s="60"/>
      <c r="J5773" s="60"/>
      <c r="K5773" s="60"/>
      <c r="L5773" s="60"/>
      <c r="M5773" s="64"/>
      <c r="N5773" s="33"/>
    </row>
    <row r="5774" ht="24" customHeight="1" spans="2:14">
      <c r="B5774" s="33"/>
      <c r="C5774" s="60"/>
      <c r="D5774" s="60"/>
      <c r="E5774" s="60"/>
      <c r="F5774" s="60"/>
      <c r="G5774" s="60"/>
      <c r="H5774" s="60"/>
      <c r="I5774" s="60"/>
      <c r="J5774" s="60"/>
      <c r="K5774" s="60"/>
      <c r="L5774" s="60"/>
      <c r="M5774" s="64"/>
      <c r="N5774" s="33"/>
    </row>
    <row r="5775" ht="24" customHeight="1" spans="2:14">
      <c r="B5775" s="33"/>
      <c r="C5775" s="60"/>
      <c r="D5775" s="60"/>
      <c r="E5775" s="60"/>
      <c r="F5775" s="60"/>
      <c r="G5775" s="60"/>
      <c r="H5775" s="60"/>
      <c r="I5775" s="60"/>
      <c r="J5775" s="60"/>
      <c r="K5775" s="60"/>
      <c r="L5775" s="60"/>
      <c r="M5775" s="64"/>
      <c r="N5775" s="33"/>
    </row>
    <row r="5776" ht="24" customHeight="1" spans="2:14">
      <c r="B5776" s="33"/>
      <c r="C5776" s="60"/>
      <c r="D5776" s="60"/>
      <c r="E5776" s="60"/>
      <c r="F5776" s="60"/>
      <c r="G5776" s="60"/>
      <c r="H5776" s="60"/>
      <c r="I5776" s="60"/>
      <c r="J5776" s="60"/>
      <c r="K5776" s="60"/>
      <c r="L5776" s="60"/>
      <c r="M5776" s="64"/>
      <c r="N5776" s="33"/>
    </row>
    <row r="5777" ht="24" customHeight="1" spans="2:14">
      <c r="B5777" s="33"/>
      <c r="C5777" s="60"/>
      <c r="D5777" s="60"/>
      <c r="E5777" s="60"/>
      <c r="F5777" s="60"/>
      <c r="G5777" s="60"/>
      <c r="H5777" s="60"/>
      <c r="I5777" s="60"/>
      <c r="J5777" s="60"/>
      <c r="K5777" s="60"/>
      <c r="L5777" s="60"/>
      <c r="M5777" s="64"/>
      <c r="N5777" s="33"/>
    </row>
    <row r="5778" ht="24" customHeight="1" spans="2:14">
      <c r="B5778" s="33"/>
      <c r="C5778" s="60"/>
      <c r="D5778" s="60"/>
      <c r="E5778" s="60"/>
      <c r="F5778" s="60"/>
      <c r="G5778" s="60"/>
      <c r="H5778" s="60"/>
      <c r="I5778" s="60"/>
      <c r="J5778" s="60"/>
      <c r="K5778" s="60"/>
      <c r="L5778" s="60"/>
      <c r="M5778" s="64"/>
      <c r="N5778" s="33"/>
    </row>
    <row r="5779" ht="24" customHeight="1" spans="2:14">
      <c r="B5779" s="33"/>
      <c r="C5779" s="60"/>
      <c r="D5779" s="60"/>
      <c r="E5779" s="60"/>
      <c r="F5779" s="60"/>
      <c r="G5779" s="60"/>
      <c r="H5779" s="60"/>
      <c r="I5779" s="60"/>
      <c r="J5779" s="60"/>
      <c r="K5779" s="60"/>
      <c r="L5779" s="60"/>
      <c r="M5779" s="64"/>
      <c r="N5779" s="33"/>
    </row>
    <row r="5780" ht="24" customHeight="1" spans="2:14">
      <c r="B5780" s="33"/>
      <c r="C5780" s="60"/>
      <c r="D5780" s="60"/>
      <c r="E5780" s="60"/>
      <c r="F5780" s="60"/>
      <c r="G5780" s="60"/>
      <c r="H5780" s="60"/>
      <c r="I5780" s="60"/>
      <c r="J5780" s="60"/>
      <c r="K5780" s="60"/>
      <c r="L5780" s="60"/>
      <c r="M5780" s="64"/>
      <c r="N5780" s="33"/>
    </row>
    <row r="5781" ht="24" customHeight="1" spans="2:14">
      <c r="B5781" s="33"/>
      <c r="C5781" s="60"/>
      <c r="D5781" s="60"/>
      <c r="E5781" s="60"/>
      <c r="F5781" s="60"/>
      <c r="G5781" s="60"/>
      <c r="H5781" s="60"/>
      <c r="I5781" s="60"/>
      <c r="J5781" s="60"/>
      <c r="K5781" s="60"/>
      <c r="L5781" s="60"/>
      <c r="M5781" s="64"/>
      <c r="N5781" s="33"/>
    </row>
    <row r="5782" ht="24" customHeight="1" spans="2:14">
      <c r="B5782" s="33"/>
      <c r="C5782" s="60"/>
      <c r="D5782" s="60"/>
      <c r="E5782" s="60"/>
      <c r="F5782" s="60"/>
      <c r="G5782" s="60"/>
      <c r="H5782" s="60"/>
      <c r="I5782" s="60"/>
      <c r="J5782" s="60"/>
      <c r="K5782" s="60"/>
      <c r="L5782" s="60"/>
      <c r="M5782" s="64"/>
      <c r="N5782" s="33"/>
    </row>
    <row r="5783" ht="24" customHeight="1" spans="2:14">
      <c r="B5783" s="33"/>
      <c r="C5783" s="60"/>
      <c r="D5783" s="60"/>
      <c r="E5783" s="60"/>
      <c r="F5783" s="60"/>
      <c r="G5783" s="60"/>
      <c r="H5783" s="60"/>
      <c r="I5783" s="60"/>
      <c r="J5783" s="60"/>
      <c r="K5783" s="60"/>
      <c r="L5783" s="60"/>
      <c r="M5783" s="64"/>
      <c r="N5783" s="33"/>
    </row>
    <row r="5784" ht="24" customHeight="1" spans="2:14">
      <c r="B5784" s="33"/>
      <c r="C5784" s="60"/>
      <c r="D5784" s="60"/>
      <c r="E5784" s="60"/>
      <c r="F5784" s="60"/>
      <c r="G5784" s="60"/>
      <c r="H5784" s="60"/>
      <c r="I5784" s="60"/>
      <c r="J5784" s="60"/>
      <c r="K5784" s="60"/>
      <c r="L5784" s="60"/>
      <c r="M5784" s="64"/>
      <c r="N5784" s="33"/>
    </row>
    <row r="5785" ht="24" customHeight="1" spans="2:14">
      <c r="B5785" s="33"/>
      <c r="C5785" s="60"/>
      <c r="D5785" s="60"/>
      <c r="E5785" s="60"/>
      <c r="F5785" s="60"/>
      <c r="G5785" s="60"/>
      <c r="H5785" s="60"/>
      <c r="I5785" s="60"/>
      <c r="J5785" s="60"/>
      <c r="K5785" s="60"/>
      <c r="L5785" s="60"/>
      <c r="M5785" s="64"/>
      <c r="N5785" s="33"/>
    </row>
    <row r="5786" ht="24" customHeight="1" spans="2:14">
      <c r="B5786" s="33"/>
      <c r="C5786" s="60"/>
      <c r="D5786" s="60"/>
      <c r="E5786" s="60"/>
      <c r="F5786" s="60"/>
      <c r="G5786" s="60"/>
      <c r="H5786" s="60"/>
      <c r="I5786" s="60"/>
      <c r="J5786" s="60"/>
      <c r="K5786" s="60"/>
      <c r="L5786" s="60"/>
      <c r="M5786" s="64"/>
      <c r="N5786" s="33"/>
    </row>
    <row r="5787" ht="24" customHeight="1" spans="2:14">
      <c r="B5787" s="33"/>
      <c r="C5787" s="60"/>
      <c r="D5787" s="60"/>
      <c r="E5787" s="60"/>
      <c r="F5787" s="60"/>
      <c r="G5787" s="60"/>
      <c r="H5787" s="60"/>
      <c r="I5787" s="60"/>
      <c r="J5787" s="60"/>
      <c r="K5787" s="60"/>
      <c r="L5787" s="60"/>
      <c r="M5787" s="64"/>
      <c r="N5787" s="33"/>
    </row>
    <row r="5788" ht="24" customHeight="1" spans="2:14">
      <c r="B5788" s="33"/>
      <c r="C5788" s="60"/>
      <c r="D5788" s="60"/>
      <c r="E5788" s="60"/>
      <c r="F5788" s="60"/>
      <c r="G5788" s="60"/>
      <c r="H5788" s="60"/>
      <c r="I5788" s="60"/>
      <c r="J5788" s="60"/>
      <c r="K5788" s="60"/>
      <c r="L5788" s="60"/>
      <c r="M5788" s="64"/>
      <c r="N5788" s="33"/>
    </row>
    <row r="5789" ht="24" customHeight="1" spans="2:14">
      <c r="B5789" s="33"/>
      <c r="C5789" s="60"/>
      <c r="D5789" s="60"/>
      <c r="E5789" s="60"/>
      <c r="F5789" s="60"/>
      <c r="G5789" s="60"/>
      <c r="H5789" s="60"/>
      <c r="I5789" s="60"/>
      <c r="J5789" s="60"/>
      <c r="K5789" s="60"/>
      <c r="L5789" s="60"/>
      <c r="M5789" s="64"/>
      <c r="N5789" s="33"/>
    </row>
    <row r="5790" ht="24" customHeight="1" spans="2:14">
      <c r="B5790" s="33"/>
      <c r="C5790" s="60"/>
      <c r="D5790" s="60"/>
      <c r="E5790" s="60"/>
      <c r="F5790" s="60"/>
      <c r="G5790" s="60"/>
      <c r="H5790" s="60"/>
      <c r="I5790" s="60"/>
      <c r="J5790" s="60"/>
      <c r="K5790" s="60"/>
      <c r="L5790" s="60"/>
      <c r="M5790" s="64"/>
      <c r="N5790" s="33"/>
    </row>
    <row r="5791" ht="24" customHeight="1" spans="2:14">
      <c r="B5791" s="33"/>
      <c r="C5791" s="60"/>
      <c r="D5791" s="60"/>
      <c r="E5791" s="60"/>
      <c r="F5791" s="60"/>
      <c r="G5791" s="60"/>
      <c r="H5791" s="60"/>
      <c r="I5791" s="60"/>
      <c r="J5791" s="60"/>
      <c r="K5791" s="60"/>
      <c r="L5791" s="60"/>
      <c r="M5791" s="64"/>
      <c r="N5791" s="33"/>
    </row>
    <row r="5792" ht="24" customHeight="1" spans="2:14">
      <c r="B5792" s="33"/>
      <c r="C5792" s="60"/>
      <c r="D5792" s="60"/>
      <c r="E5792" s="60"/>
      <c r="F5792" s="60"/>
      <c r="G5792" s="60"/>
      <c r="H5792" s="60"/>
      <c r="I5792" s="60"/>
      <c r="J5792" s="60"/>
      <c r="K5792" s="60"/>
      <c r="L5792" s="60"/>
      <c r="M5792" s="64"/>
      <c r="N5792" s="33"/>
    </row>
    <row r="5793" ht="24" customHeight="1" spans="2:14">
      <c r="B5793" s="33"/>
      <c r="C5793" s="60"/>
      <c r="D5793" s="60"/>
      <c r="E5793" s="60"/>
      <c r="F5793" s="60"/>
      <c r="G5793" s="60"/>
      <c r="H5793" s="60"/>
      <c r="I5793" s="60"/>
      <c r="J5793" s="60"/>
      <c r="K5793" s="60"/>
      <c r="L5793" s="60"/>
      <c r="M5793" s="64"/>
      <c r="N5793" s="33"/>
    </row>
    <row r="5794" ht="24" customHeight="1" spans="2:14">
      <c r="B5794" s="33"/>
      <c r="C5794" s="60"/>
      <c r="D5794" s="60"/>
      <c r="E5794" s="60"/>
      <c r="F5794" s="60"/>
      <c r="G5794" s="60"/>
      <c r="H5794" s="60"/>
      <c r="I5794" s="60"/>
      <c r="J5794" s="60"/>
      <c r="K5794" s="60"/>
      <c r="L5794" s="60"/>
      <c r="M5794" s="64"/>
      <c r="N5794" s="33"/>
    </row>
    <row r="5795" ht="24" customHeight="1" spans="2:14">
      <c r="B5795" s="33"/>
      <c r="C5795" s="60"/>
      <c r="D5795" s="60"/>
      <c r="E5795" s="60"/>
      <c r="F5795" s="60"/>
      <c r="G5795" s="60"/>
      <c r="H5795" s="60"/>
      <c r="I5795" s="60"/>
      <c r="J5795" s="60"/>
      <c r="K5795" s="60"/>
      <c r="L5795" s="60"/>
      <c r="M5795" s="64"/>
      <c r="N5795" s="33"/>
    </row>
    <row r="5796" ht="24" customHeight="1" spans="2:14">
      <c r="B5796" s="33"/>
      <c r="C5796" s="60"/>
      <c r="D5796" s="60"/>
      <c r="E5796" s="60"/>
      <c r="F5796" s="60"/>
      <c r="G5796" s="60"/>
      <c r="H5796" s="60"/>
      <c r="I5796" s="60"/>
      <c r="J5796" s="60"/>
      <c r="K5796" s="60"/>
      <c r="L5796" s="60"/>
      <c r="M5796" s="64"/>
      <c r="N5796" s="33"/>
    </row>
    <row r="5797" ht="24" customHeight="1" spans="2:14">
      <c r="B5797" s="33"/>
      <c r="C5797" s="60"/>
      <c r="D5797" s="60"/>
      <c r="E5797" s="60"/>
      <c r="F5797" s="60"/>
      <c r="G5797" s="60"/>
      <c r="H5797" s="60"/>
      <c r="I5797" s="60"/>
      <c r="J5797" s="60"/>
      <c r="K5797" s="60"/>
      <c r="L5797" s="60"/>
      <c r="M5797" s="64"/>
      <c r="N5797" s="33"/>
    </row>
    <row r="5798" ht="24" customHeight="1" spans="2:14">
      <c r="B5798" s="33"/>
      <c r="C5798" s="60"/>
      <c r="D5798" s="60"/>
      <c r="E5798" s="60"/>
      <c r="F5798" s="60"/>
      <c r="G5798" s="60"/>
      <c r="H5798" s="60"/>
      <c r="I5798" s="60"/>
      <c r="J5798" s="60"/>
      <c r="K5798" s="60"/>
      <c r="L5798" s="60"/>
      <c r="M5798" s="64"/>
      <c r="N5798" s="33"/>
    </row>
    <row r="5799" ht="24" customHeight="1" spans="2:14">
      <c r="B5799" s="33"/>
      <c r="C5799" s="60"/>
      <c r="D5799" s="60"/>
      <c r="E5799" s="60"/>
      <c r="F5799" s="60"/>
      <c r="G5799" s="60"/>
      <c r="H5799" s="60"/>
      <c r="I5799" s="60"/>
      <c r="J5799" s="60"/>
      <c r="K5799" s="60"/>
      <c r="L5799" s="60"/>
      <c r="M5799" s="64"/>
      <c r="N5799" s="33"/>
    </row>
    <row r="5800" ht="24" customHeight="1" spans="2:14">
      <c r="B5800" s="33"/>
      <c r="C5800" s="60"/>
      <c r="D5800" s="60"/>
      <c r="E5800" s="60"/>
      <c r="F5800" s="60"/>
      <c r="G5800" s="60"/>
      <c r="H5800" s="60"/>
      <c r="I5800" s="60"/>
      <c r="J5800" s="60"/>
      <c r="K5800" s="60"/>
      <c r="L5800" s="60"/>
      <c r="M5800" s="64"/>
      <c r="N5800" s="33"/>
    </row>
    <row r="5801" ht="24" customHeight="1" spans="2:14">
      <c r="B5801" s="33"/>
      <c r="C5801" s="60"/>
      <c r="D5801" s="60"/>
      <c r="E5801" s="60"/>
      <c r="F5801" s="60"/>
      <c r="G5801" s="60"/>
      <c r="H5801" s="60"/>
      <c r="I5801" s="60"/>
      <c r="J5801" s="60"/>
      <c r="K5801" s="60"/>
      <c r="L5801" s="60"/>
      <c r="M5801" s="64"/>
      <c r="N5801" s="33"/>
    </row>
    <row r="5802" ht="24" customHeight="1" spans="2:14">
      <c r="B5802" s="33"/>
      <c r="C5802" s="60"/>
      <c r="D5802" s="60"/>
      <c r="E5802" s="60"/>
      <c r="F5802" s="60"/>
      <c r="G5802" s="60"/>
      <c r="H5802" s="60"/>
      <c r="I5802" s="60"/>
      <c r="J5802" s="60"/>
      <c r="K5802" s="60"/>
      <c r="L5802" s="60"/>
      <c r="M5802" s="64"/>
      <c r="N5802" s="33"/>
    </row>
    <row r="5803" ht="24" customHeight="1" spans="2:14">
      <c r="B5803" s="33"/>
      <c r="C5803" s="60"/>
      <c r="D5803" s="60"/>
      <c r="E5803" s="60"/>
      <c r="F5803" s="60"/>
      <c r="G5803" s="60"/>
      <c r="H5803" s="60"/>
      <c r="I5803" s="60"/>
      <c r="J5803" s="60"/>
      <c r="K5803" s="60"/>
      <c r="L5803" s="60"/>
      <c r="M5803" s="64"/>
      <c r="N5803" s="33"/>
    </row>
    <row r="5804" ht="24" customHeight="1" spans="2:14">
      <c r="B5804" s="33"/>
      <c r="C5804" s="60"/>
      <c r="D5804" s="60"/>
      <c r="E5804" s="60"/>
      <c r="F5804" s="60"/>
      <c r="G5804" s="60"/>
      <c r="H5804" s="60"/>
      <c r="I5804" s="60"/>
      <c r="J5804" s="60"/>
      <c r="K5804" s="60"/>
      <c r="L5804" s="60"/>
      <c r="M5804" s="64"/>
      <c r="N5804" s="33"/>
    </row>
    <row r="5805" ht="24" customHeight="1" spans="2:14">
      <c r="B5805" s="33"/>
      <c r="C5805" s="60"/>
      <c r="D5805" s="60"/>
      <c r="E5805" s="60"/>
      <c r="F5805" s="60"/>
      <c r="G5805" s="60"/>
      <c r="H5805" s="60"/>
      <c r="I5805" s="60"/>
      <c r="J5805" s="60"/>
      <c r="K5805" s="60"/>
      <c r="L5805" s="60"/>
      <c r="M5805" s="64"/>
      <c r="N5805" s="33"/>
    </row>
    <row r="5806" ht="24" customHeight="1" spans="2:14">
      <c r="B5806" s="33"/>
      <c r="C5806" s="60"/>
      <c r="D5806" s="60"/>
      <c r="E5806" s="60"/>
      <c r="F5806" s="60"/>
      <c r="G5806" s="60"/>
      <c r="H5806" s="60"/>
      <c r="I5806" s="60"/>
      <c r="J5806" s="60"/>
      <c r="K5806" s="60"/>
      <c r="L5806" s="60"/>
      <c r="M5806" s="64"/>
      <c r="N5806" s="33"/>
    </row>
    <row r="5807" ht="24" customHeight="1" spans="2:14">
      <c r="B5807" s="33"/>
      <c r="C5807" s="60"/>
      <c r="D5807" s="60"/>
      <c r="E5807" s="60"/>
      <c r="F5807" s="60"/>
      <c r="G5807" s="60"/>
      <c r="H5807" s="60"/>
      <c r="I5807" s="60"/>
      <c r="J5807" s="60"/>
      <c r="K5807" s="60"/>
      <c r="L5807" s="60"/>
      <c r="M5807" s="64"/>
      <c r="N5807" s="33"/>
    </row>
    <row r="5808" ht="24" customHeight="1" spans="2:14">
      <c r="B5808" s="33"/>
      <c r="C5808" s="60"/>
      <c r="D5808" s="60"/>
      <c r="E5808" s="60"/>
      <c r="F5808" s="60"/>
      <c r="G5808" s="60"/>
      <c r="H5808" s="60"/>
      <c r="I5808" s="60"/>
      <c r="J5808" s="60"/>
      <c r="K5808" s="60"/>
      <c r="L5808" s="60"/>
      <c r="M5808" s="64"/>
      <c r="N5808" s="33"/>
    </row>
    <row r="5809" ht="24" customHeight="1" spans="2:14">
      <c r="B5809" s="33"/>
      <c r="C5809" s="60"/>
      <c r="D5809" s="60"/>
      <c r="E5809" s="60"/>
      <c r="F5809" s="60"/>
      <c r="G5809" s="60"/>
      <c r="H5809" s="60"/>
      <c r="I5809" s="60"/>
      <c r="J5809" s="60"/>
      <c r="K5809" s="60"/>
      <c r="L5809" s="60"/>
      <c r="M5809" s="64"/>
      <c r="N5809" s="33"/>
    </row>
    <row r="5810" ht="24" customHeight="1" spans="2:14">
      <c r="B5810" s="33"/>
      <c r="C5810" s="60"/>
      <c r="D5810" s="60"/>
      <c r="E5810" s="60"/>
      <c r="F5810" s="60"/>
      <c r="G5810" s="60"/>
      <c r="H5810" s="60"/>
      <c r="I5810" s="60"/>
      <c r="J5810" s="60"/>
      <c r="K5810" s="60"/>
      <c r="L5810" s="60"/>
      <c r="M5810" s="64"/>
      <c r="N5810" s="33"/>
    </row>
    <row r="5811" ht="24" customHeight="1" spans="2:14">
      <c r="B5811" s="33"/>
      <c r="C5811" s="60"/>
      <c r="D5811" s="60"/>
      <c r="E5811" s="60"/>
      <c r="F5811" s="60"/>
      <c r="G5811" s="60"/>
      <c r="H5811" s="60"/>
      <c r="I5811" s="60"/>
      <c r="J5811" s="60"/>
      <c r="K5811" s="60"/>
      <c r="L5811" s="60"/>
      <c r="M5811" s="64"/>
      <c r="N5811" s="33"/>
    </row>
    <row r="5812" ht="24" customHeight="1" spans="2:14">
      <c r="B5812" s="33"/>
      <c r="C5812" s="60"/>
      <c r="D5812" s="60"/>
      <c r="E5812" s="60"/>
      <c r="F5812" s="60"/>
      <c r="G5812" s="60"/>
      <c r="H5812" s="60"/>
      <c r="I5812" s="60"/>
      <c r="J5812" s="60"/>
      <c r="K5812" s="60"/>
      <c r="L5812" s="60"/>
      <c r="M5812" s="64"/>
      <c r="N5812" s="33"/>
    </row>
    <row r="5813" ht="24" customHeight="1" spans="2:14">
      <c r="B5813" s="33"/>
      <c r="C5813" s="60"/>
      <c r="D5813" s="60"/>
      <c r="E5813" s="60"/>
      <c r="F5813" s="60"/>
      <c r="G5813" s="60"/>
      <c r="H5813" s="60"/>
      <c r="I5813" s="60"/>
      <c r="J5813" s="60"/>
      <c r="K5813" s="60"/>
      <c r="L5813" s="60"/>
      <c r="M5813" s="64"/>
      <c r="N5813" s="33"/>
    </row>
    <row r="5814" ht="24" customHeight="1" spans="2:14">
      <c r="B5814" s="33"/>
      <c r="C5814" s="60"/>
      <c r="D5814" s="60"/>
      <c r="E5814" s="60"/>
      <c r="F5814" s="60"/>
      <c r="G5814" s="60"/>
      <c r="H5814" s="60"/>
      <c r="I5814" s="60"/>
      <c r="J5814" s="60"/>
      <c r="K5814" s="60"/>
      <c r="L5814" s="60"/>
      <c r="M5814" s="64"/>
      <c r="N5814" s="33"/>
    </row>
    <row r="5815" ht="24" customHeight="1" spans="2:14">
      <c r="B5815" s="33"/>
      <c r="C5815" s="60"/>
      <c r="D5815" s="60"/>
      <c r="E5815" s="60"/>
      <c r="F5815" s="60"/>
      <c r="G5815" s="60"/>
      <c r="H5815" s="60"/>
      <c r="I5815" s="60"/>
      <c r="J5815" s="60"/>
      <c r="K5815" s="60"/>
      <c r="L5815" s="60"/>
      <c r="M5815" s="64"/>
      <c r="N5815" s="33"/>
    </row>
    <row r="5816" ht="24" customHeight="1" spans="2:14">
      <c r="B5816" s="33"/>
      <c r="C5816" s="60"/>
      <c r="D5816" s="60"/>
      <c r="E5816" s="60"/>
      <c r="F5816" s="60"/>
      <c r="G5816" s="60"/>
      <c r="H5816" s="60"/>
      <c r="I5816" s="60"/>
      <c r="J5816" s="60"/>
      <c r="K5816" s="60"/>
      <c r="L5816" s="60"/>
      <c r="M5816" s="64"/>
      <c r="N5816" s="33"/>
    </row>
    <row r="5817" ht="24" customHeight="1" spans="2:14">
      <c r="B5817" s="33"/>
      <c r="C5817" s="60"/>
      <c r="D5817" s="60"/>
      <c r="E5817" s="60"/>
      <c r="F5817" s="60"/>
      <c r="G5817" s="60"/>
      <c r="H5817" s="60"/>
      <c r="I5817" s="60"/>
      <c r="J5817" s="60"/>
      <c r="K5817" s="60"/>
      <c r="L5817" s="60"/>
      <c r="M5817" s="64"/>
      <c r="N5817" s="33"/>
    </row>
    <row r="5818" ht="24" customHeight="1" spans="2:14">
      <c r="B5818" s="33"/>
      <c r="C5818" s="60"/>
      <c r="D5818" s="60"/>
      <c r="E5818" s="60"/>
      <c r="F5818" s="60"/>
      <c r="G5818" s="60"/>
      <c r="H5818" s="60"/>
      <c r="I5818" s="60"/>
      <c r="J5818" s="60"/>
      <c r="K5818" s="60"/>
      <c r="L5818" s="60"/>
      <c r="M5818" s="64"/>
      <c r="N5818" s="33"/>
    </row>
    <row r="5819" ht="24" customHeight="1" spans="2:14">
      <c r="B5819" s="33"/>
      <c r="C5819" s="60"/>
      <c r="D5819" s="60"/>
      <c r="E5819" s="60"/>
      <c r="F5819" s="60"/>
      <c r="G5819" s="60"/>
      <c r="H5819" s="60"/>
      <c r="I5819" s="60"/>
      <c r="J5819" s="60"/>
      <c r="K5819" s="60"/>
      <c r="L5819" s="60"/>
      <c r="M5819" s="64"/>
      <c r="N5819" s="33"/>
    </row>
    <row r="5820" ht="24" customHeight="1" spans="2:14">
      <c r="B5820" s="33"/>
      <c r="C5820" s="60"/>
      <c r="D5820" s="60"/>
      <c r="E5820" s="60"/>
      <c r="F5820" s="60"/>
      <c r="G5820" s="60"/>
      <c r="H5820" s="60"/>
      <c r="I5820" s="60"/>
      <c r="J5820" s="60"/>
      <c r="K5820" s="60"/>
      <c r="L5820" s="60"/>
      <c r="M5820" s="64"/>
      <c r="N5820" s="33"/>
    </row>
    <row r="5821" ht="24" customHeight="1" spans="2:14">
      <c r="B5821" s="33"/>
      <c r="C5821" s="60"/>
      <c r="D5821" s="60"/>
      <c r="E5821" s="60"/>
      <c r="F5821" s="60"/>
      <c r="G5821" s="60"/>
      <c r="H5821" s="60"/>
      <c r="I5821" s="60"/>
      <c r="J5821" s="60"/>
      <c r="K5821" s="60"/>
      <c r="L5821" s="60"/>
      <c r="M5821" s="64"/>
      <c r="N5821" s="33"/>
    </row>
    <row r="5822" ht="24" customHeight="1" spans="2:14">
      <c r="B5822" s="33"/>
      <c r="C5822" s="60"/>
      <c r="D5822" s="60"/>
      <c r="E5822" s="60"/>
      <c r="F5822" s="60"/>
      <c r="G5822" s="60"/>
      <c r="H5822" s="60"/>
      <c r="I5822" s="60"/>
      <c r="J5822" s="60"/>
      <c r="K5822" s="60"/>
      <c r="L5822" s="60"/>
      <c r="M5822" s="64"/>
      <c r="N5822" s="33"/>
    </row>
    <row r="5823" ht="24" customHeight="1" spans="2:14">
      <c r="B5823" s="33"/>
      <c r="C5823" s="60"/>
      <c r="D5823" s="60"/>
      <c r="E5823" s="60"/>
      <c r="F5823" s="60"/>
      <c r="G5823" s="60"/>
      <c r="H5823" s="60"/>
      <c r="I5823" s="60"/>
      <c r="J5823" s="60"/>
      <c r="K5823" s="60"/>
      <c r="L5823" s="60"/>
      <c r="M5823" s="64"/>
      <c r="N5823" s="33"/>
    </row>
    <row r="5824" ht="24" customHeight="1" spans="2:14">
      <c r="B5824" s="33"/>
      <c r="C5824" s="60"/>
      <c r="D5824" s="60"/>
      <c r="E5824" s="60"/>
      <c r="F5824" s="60"/>
      <c r="G5824" s="60"/>
      <c r="H5824" s="60"/>
      <c r="I5824" s="60"/>
      <c r="J5824" s="60"/>
      <c r="K5824" s="60"/>
      <c r="L5824" s="60"/>
      <c r="M5824" s="64"/>
      <c r="N5824" s="33"/>
    </row>
    <row r="5825" ht="24" customHeight="1" spans="2:14">
      <c r="B5825" s="33"/>
      <c r="C5825" s="60"/>
      <c r="D5825" s="60"/>
      <c r="E5825" s="60"/>
      <c r="F5825" s="60"/>
      <c r="G5825" s="60"/>
      <c r="H5825" s="60"/>
      <c r="I5825" s="60"/>
      <c r="J5825" s="60"/>
      <c r="K5825" s="60"/>
      <c r="L5825" s="60"/>
      <c r="M5825" s="64"/>
      <c r="N5825" s="33"/>
    </row>
    <row r="5826" ht="24" customHeight="1" spans="2:14">
      <c r="B5826" s="33"/>
      <c r="C5826" s="60"/>
      <c r="D5826" s="60"/>
      <c r="E5826" s="60"/>
      <c r="F5826" s="60"/>
      <c r="G5826" s="60"/>
      <c r="H5826" s="60"/>
      <c r="I5826" s="60"/>
      <c r="J5826" s="60"/>
      <c r="K5826" s="60"/>
      <c r="L5826" s="60"/>
      <c r="M5826" s="64"/>
      <c r="N5826" s="33"/>
    </row>
    <row r="5827" ht="24" customHeight="1" spans="2:14">
      <c r="B5827" s="33"/>
      <c r="C5827" s="60"/>
      <c r="D5827" s="60"/>
      <c r="E5827" s="60"/>
      <c r="F5827" s="60"/>
      <c r="G5827" s="60"/>
      <c r="H5827" s="60"/>
      <c r="I5827" s="60"/>
      <c r="J5827" s="60"/>
      <c r="K5827" s="60"/>
      <c r="L5827" s="60"/>
      <c r="M5827" s="64"/>
      <c r="N5827" s="33"/>
    </row>
    <row r="5828" ht="24" customHeight="1" spans="2:14">
      <c r="B5828" s="33"/>
      <c r="C5828" s="60"/>
      <c r="D5828" s="60"/>
      <c r="E5828" s="60"/>
      <c r="F5828" s="60"/>
      <c r="G5828" s="60"/>
      <c r="H5828" s="60"/>
      <c r="I5828" s="60"/>
      <c r="J5828" s="60"/>
      <c r="K5828" s="60"/>
      <c r="L5828" s="60"/>
      <c r="M5828" s="64"/>
      <c r="N5828" s="33"/>
    </row>
    <row r="5829" ht="24" customHeight="1" spans="2:14">
      <c r="B5829" s="33"/>
      <c r="C5829" s="60"/>
      <c r="D5829" s="60"/>
      <c r="E5829" s="60"/>
      <c r="F5829" s="60"/>
      <c r="G5829" s="60"/>
      <c r="H5829" s="60"/>
      <c r="I5829" s="60"/>
      <c r="J5829" s="60"/>
      <c r="K5829" s="60"/>
      <c r="L5829" s="60"/>
      <c r="M5829" s="64"/>
      <c r="N5829" s="33"/>
    </row>
    <row r="5830" ht="24" customHeight="1" spans="2:14">
      <c r="B5830" s="33"/>
      <c r="C5830" s="60"/>
      <c r="D5830" s="60"/>
      <c r="E5830" s="60"/>
      <c r="F5830" s="60"/>
      <c r="G5830" s="60"/>
      <c r="H5830" s="60"/>
      <c r="I5830" s="60"/>
      <c r="J5830" s="60"/>
      <c r="K5830" s="60"/>
      <c r="L5830" s="60"/>
      <c r="M5830" s="64"/>
      <c r="N5830" s="33"/>
    </row>
    <row r="5831" ht="24" customHeight="1" spans="2:14">
      <c r="B5831" s="33"/>
      <c r="C5831" s="60"/>
      <c r="D5831" s="60"/>
      <c r="E5831" s="60"/>
      <c r="F5831" s="60"/>
      <c r="G5831" s="60"/>
      <c r="H5831" s="60"/>
      <c r="I5831" s="60"/>
      <c r="J5831" s="60"/>
      <c r="K5831" s="60"/>
      <c r="L5831" s="60"/>
      <c r="M5831" s="64"/>
      <c r="N5831" s="33"/>
    </row>
    <row r="5832" ht="24" customHeight="1" spans="2:14">
      <c r="B5832" s="33"/>
      <c r="C5832" s="60"/>
      <c r="D5832" s="60"/>
      <c r="E5832" s="60"/>
      <c r="F5832" s="60"/>
      <c r="G5832" s="60"/>
      <c r="H5832" s="60"/>
      <c r="I5832" s="60"/>
      <c r="J5832" s="60"/>
      <c r="K5832" s="60"/>
      <c r="L5832" s="60"/>
      <c r="M5832" s="64"/>
      <c r="N5832" s="33"/>
    </row>
    <row r="5833" ht="24" customHeight="1" spans="2:14">
      <c r="B5833" s="33"/>
      <c r="C5833" s="60"/>
      <c r="D5833" s="60"/>
      <c r="E5833" s="60"/>
      <c r="F5833" s="60"/>
      <c r="G5833" s="60"/>
      <c r="H5833" s="60"/>
      <c r="I5833" s="60"/>
      <c r="J5833" s="60"/>
      <c r="K5833" s="60"/>
      <c r="L5833" s="60"/>
      <c r="M5833" s="64"/>
      <c r="N5833" s="33"/>
    </row>
    <row r="5834" ht="24" customHeight="1" spans="2:14">
      <c r="B5834" s="33"/>
      <c r="C5834" s="60"/>
      <c r="D5834" s="60"/>
      <c r="E5834" s="60"/>
      <c r="F5834" s="60"/>
      <c r="G5834" s="60"/>
      <c r="H5834" s="60"/>
      <c r="I5834" s="60"/>
      <c r="J5834" s="60"/>
      <c r="K5834" s="60"/>
      <c r="L5834" s="60"/>
      <c r="M5834" s="64"/>
      <c r="N5834" s="33"/>
    </row>
    <row r="5835" ht="24" customHeight="1" spans="2:14">
      <c r="B5835" s="33"/>
      <c r="C5835" s="60"/>
      <c r="D5835" s="60"/>
      <c r="E5835" s="60"/>
      <c r="F5835" s="60"/>
      <c r="G5835" s="60"/>
      <c r="H5835" s="60"/>
      <c r="I5835" s="60"/>
      <c r="J5835" s="60"/>
      <c r="K5835" s="60"/>
      <c r="L5835" s="60"/>
      <c r="M5835" s="64"/>
      <c r="N5835" s="33"/>
    </row>
    <row r="5836" ht="24" customHeight="1" spans="2:14">
      <c r="B5836" s="33"/>
      <c r="C5836" s="60"/>
      <c r="D5836" s="60"/>
      <c r="E5836" s="60"/>
      <c r="F5836" s="60"/>
      <c r="G5836" s="60"/>
      <c r="H5836" s="60"/>
      <c r="I5836" s="60"/>
      <c r="J5836" s="60"/>
      <c r="K5836" s="60"/>
      <c r="L5836" s="60"/>
      <c r="M5836" s="64"/>
      <c r="N5836" s="33"/>
    </row>
    <row r="5837" ht="24" customHeight="1" spans="2:14">
      <c r="B5837" s="33"/>
      <c r="C5837" s="60"/>
      <c r="D5837" s="60"/>
      <c r="E5837" s="60"/>
      <c r="F5837" s="60"/>
      <c r="G5837" s="60"/>
      <c r="H5837" s="60"/>
      <c r="I5837" s="60"/>
      <c r="J5837" s="60"/>
      <c r="K5837" s="60"/>
      <c r="L5837" s="60"/>
      <c r="M5837" s="64"/>
      <c r="N5837" s="33"/>
    </row>
    <row r="5838" ht="24" customHeight="1" spans="2:14">
      <c r="B5838" s="33"/>
      <c r="C5838" s="60"/>
      <c r="D5838" s="60"/>
      <c r="E5838" s="60"/>
      <c r="F5838" s="60"/>
      <c r="G5838" s="60"/>
      <c r="H5838" s="60"/>
      <c r="I5838" s="60"/>
      <c r="J5838" s="60"/>
      <c r="K5838" s="60"/>
      <c r="L5838" s="60"/>
      <c r="M5838" s="64"/>
      <c r="N5838" s="33"/>
    </row>
    <row r="5839" ht="24" customHeight="1" spans="2:14">
      <c r="B5839" s="33"/>
      <c r="C5839" s="60"/>
      <c r="D5839" s="60"/>
      <c r="E5839" s="60"/>
      <c r="F5839" s="60"/>
      <c r="G5839" s="60"/>
      <c r="H5839" s="60"/>
      <c r="I5839" s="60"/>
      <c r="J5839" s="60"/>
      <c r="K5839" s="60"/>
      <c r="L5839" s="60"/>
      <c r="M5839" s="64"/>
      <c r="N5839" s="33"/>
    </row>
    <row r="5840" ht="24" customHeight="1" spans="2:14">
      <c r="B5840" s="33"/>
      <c r="C5840" s="60"/>
      <c r="D5840" s="60"/>
      <c r="E5840" s="60"/>
      <c r="F5840" s="60"/>
      <c r="G5840" s="60"/>
      <c r="H5840" s="60"/>
      <c r="I5840" s="60"/>
      <c r="J5840" s="60"/>
      <c r="K5840" s="60"/>
      <c r="L5840" s="60"/>
      <c r="M5840" s="64"/>
      <c r="N5840" s="33"/>
    </row>
    <row r="5841" ht="24" customHeight="1" spans="2:14">
      <c r="B5841" s="33"/>
      <c r="C5841" s="60"/>
      <c r="D5841" s="60"/>
      <c r="E5841" s="60"/>
      <c r="F5841" s="60"/>
      <c r="G5841" s="60"/>
      <c r="H5841" s="60"/>
      <c r="I5841" s="60"/>
      <c r="J5841" s="60"/>
      <c r="K5841" s="60"/>
      <c r="L5841" s="60"/>
      <c r="M5841" s="64"/>
      <c r="N5841" s="33"/>
    </row>
    <row r="5842" ht="24" customHeight="1" spans="2:14">
      <c r="B5842" s="33"/>
      <c r="C5842" s="60"/>
      <c r="D5842" s="60"/>
      <c r="E5842" s="60"/>
      <c r="F5842" s="60"/>
      <c r="G5842" s="60"/>
      <c r="H5842" s="60"/>
      <c r="I5842" s="60"/>
      <c r="J5842" s="60"/>
      <c r="K5842" s="60"/>
      <c r="L5842" s="60"/>
      <c r="M5842" s="64"/>
      <c r="N5842" s="33"/>
    </row>
    <row r="5843" ht="24" customHeight="1" spans="2:14">
      <c r="B5843" s="33"/>
      <c r="C5843" s="60"/>
      <c r="D5843" s="60"/>
      <c r="E5843" s="60"/>
      <c r="F5843" s="60"/>
      <c r="G5843" s="60"/>
      <c r="H5843" s="60"/>
      <c r="I5843" s="60"/>
      <c r="J5843" s="60"/>
      <c r="K5843" s="60"/>
      <c r="L5843" s="60"/>
      <c r="M5843" s="64"/>
      <c r="N5843" s="33"/>
    </row>
    <row r="5844" ht="24" customHeight="1" spans="2:14">
      <c r="B5844" s="33"/>
      <c r="C5844" s="60"/>
      <c r="D5844" s="60"/>
      <c r="E5844" s="60"/>
      <c r="F5844" s="60"/>
      <c r="G5844" s="60"/>
      <c r="H5844" s="60"/>
      <c r="I5844" s="60"/>
      <c r="J5844" s="60"/>
      <c r="K5844" s="60"/>
      <c r="L5844" s="60"/>
      <c r="M5844" s="64"/>
      <c r="N5844" s="33"/>
    </row>
    <row r="5845" ht="24" customHeight="1" spans="2:14">
      <c r="B5845" s="33"/>
      <c r="C5845" s="60"/>
      <c r="D5845" s="60"/>
      <c r="E5845" s="60"/>
      <c r="F5845" s="60"/>
      <c r="G5845" s="60"/>
      <c r="H5845" s="60"/>
      <c r="I5845" s="60"/>
      <c r="J5845" s="60"/>
      <c r="K5845" s="60"/>
      <c r="L5845" s="60"/>
      <c r="M5845" s="64"/>
      <c r="N5845" s="33"/>
    </row>
    <row r="5846" ht="24" customHeight="1" spans="2:14">
      <c r="B5846" s="33"/>
      <c r="C5846" s="60"/>
      <c r="D5846" s="60"/>
      <c r="E5846" s="60"/>
      <c r="F5846" s="60"/>
      <c r="G5846" s="60"/>
      <c r="H5846" s="60"/>
      <c r="I5846" s="60"/>
      <c r="J5846" s="60"/>
      <c r="K5846" s="60"/>
      <c r="L5846" s="60"/>
      <c r="M5846" s="64"/>
      <c r="N5846" s="33"/>
    </row>
    <row r="5847" ht="24" customHeight="1" spans="2:14">
      <c r="B5847" s="33"/>
      <c r="C5847" s="60"/>
      <c r="D5847" s="60"/>
      <c r="E5847" s="60"/>
      <c r="F5847" s="60"/>
      <c r="G5847" s="60"/>
      <c r="H5847" s="60"/>
      <c r="I5847" s="60"/>
      <c r="J5847" s="60"/>
      <c r="K5847" s="60"/>
      <c r="L5847" s="60"/>
      <c r="M5847" s="64"/>
      <c r="N5847" s="33"/>
    </row>
    <row r="5848" ht="24" customHeight="1" spans="2:14">
      <c r="B5848" s="33"/>
      <c r="C5848" s="60"/>
      <c r="D5848" s="60"/>
      <c r="E5848" s="60"/>
      <c r="F5848" s="60"/>
      <c r="G5848" s="60"/>
      <c r="H5848" s="60"/>
      <c r="I5848" s="60"/>
      <c r="J5848" s="60"/>
      <c r="K5848" s="60"/>
      <c r="L5848" s="60"/>
      <c r="M5848" s="64"/>
      <c r="N5848" s="33"/>
    </row>
    <row r="5849" ht="24" customHeight="1" spans="2:14">
      <c r="B5849" s="33"/>
      <c r="C5849" s="60"/>
      <c r="D5849" s="60"/>
      <c r="E5849" s="60"/>
      <c r="F5849" s="60"/>
      <c r="G5849" s="60"/>
      <c r="H5849" s="60"/>
      <c r="I5849" s="60"/>
      <c r="J5849" s="60"/>
      <c r="K5849" s="60"/>
      <c r="L5849" s="60"/>
      <c r="M5849" s="64"/>
      <c r="N5849" s="33"/>
    </row>
    <row r="5850" ht="24" customHeight="1" spans="2:14">
      <c r="B5850" s="33"/>
      <c r="C5850" s="60"/>
      <c r="D5850" s="60"/>
      <c r="E5850" s="60"/>
      <c r="F5850" s="60"/>
      <c r="G5850" s="60"/>
      <c r="H5850" s="60"/>
      <c r="I5850" s="60"/>
      <c r="J5850" s="60"/>
      <c r="K5850" s="60"/>
      <c r="L5850" s="60"/>
      <c r="M5850" s="64"/>
      <c r="N5850" s="33"/>
    </row>
    <row r="5851" ht="24" customHeight="1" spans="2:14">
      <c r="B5851" s="33"/>
      <c r="C5851" s="60"/>
      <c r="D5851" s="60"/>
      <c r="E5851" s="60"/>
      <c r="F5851" s="60"/>
      <c r="G5851" s="60"/>
      <c r="H5851" s="60"/>
      <c r="I5851" s="60"/>
      <c r="J5851" s="60"/>
      <c r="K5851" s="60"/>
      <c r="L5851" s="60"/>
      <c r="M5851" s="64"/>
      <c r="N5851" s="33"/>
    </row>
    <row r="5852" ht="24" customHeight="1" spans="2:14">
      <c r="B5852" s="33"/>
      <c r="C5852" s="60"/>
      <c r="D5852" s="60"/>
      <c r="E5852" s="60"/>
      <c r="F5852" s="60"/>
      <c r="G5852" s="60"/>
      <c r="H5852" s="60"/>
      <c r="I5852" s="60"/>
      <c r="J5852" s="60"/>
      <c r="K5852" s="60"/>
      <c r="L5852" s="60"/>
      <c r="M5852" s="64"/>
      <c r="N5852" s="33"/>
    </row>
    <row r="5853" ht="24" customHeight="1" spans="2:14">
      <c r="B5853" s="33"/>
      <c r="C5853" s="60"/>
      <c r="D5853" s="60"/>
      <c r="E5853" s="60"/>
      <c r="F5853" s="60"/>
      <c r="G5853" s="60"/>
      <c r="H5853" s="60"/>
      <c r="I5853" s="60"/>
      <c r="J5853" s="60"/>
      <c r="K5853" s="60"/>
      <c r="L5853" s="60"/>
      <c r="M5853" s="64"/>
      <c r="N5853" s="33"/>
    </row>
    <row r="5854" ht="24" customHeight="1" spans="2:14">
      <c r="B5854" s="33"/>
      <c r="C5854" s="60"/>
      <c r="D5854" s="60"/>
      <c r="E5854" s="60"/>
      <c r="F5854" s="60"/>
      <c r="G5854" s="60"/>
      <c r="H5854" s="60"/>
      <c r="I5854" s="60"/>
      <c r="J5854" s="60"/>
      <c r="K5854" s="60"/>
      <c r="L5854" s="60"/>
      <c r="M5854" s="64"/>
      <c r="N5854" s="33"/>
    </row>
    <row r="5855" ht="24" customHeight="1" spans="2:14">
      <c r="B5855" s="33"/>
      <c r="C5855" s="60"/>
      <c r="D5855" s="60"/>
      <c r="E5855" s="60"/>
      <c r="F5855" s="60"/>
      <c r="G5855" s="60"/>
      <c r="H5855" s="60"/>
      <c r="I5855" s="60"/>
      <c r="J5855" s="60"/>
      <c r="K5855" s="60"/>
      <c r="L5855" s="60"/>
      <c r="M5855" s="64"/>
      <c r="N5855" s="33"/>
    </row>
    <row r="5856" ht="24" customHeight="1" spans="2:14">
      <c r="B5856" s="33"/>
      <c r="C5856" s="60"/>
      <c r="D5856" s="60"/>
      <c r="E5856" s="60"/>
      <c r="F5856" s="60"/>
      <c r="G5856" s="60"/>
      <c r="H5856" s="60"/>
      <c r="I5856" s="60"/>
      <c r="J5856" s="60"/>
      <c r="K5856" s="60"/>
      <c r="L5856" s="60"/>
      <c r="M5856" s="64"/>
      <c r="N5856" s="33"/>
    </row>
    <row r="5857" ht="24" customHeight="1" spans="2:14">
      <c r="B5857" s="33"/>
      <c r="C5857" s="60"/>
      <c r="D5857" s="60"/>
      <c r="E5857" s="60"/>
      <c r="F5857" s="60"/>
      <c r="G5857" s="60"/>
      <c r="H5857" s="60"/>
      <c r="I5857" s="60"/>
      <c r="J5857" s="60"/>
      <c r="K5857" s="60"/>
      <c r="L5857" s="60"/>
      <c r="M5857" s="64"/>
      <c r="N5857" s="33"/>
    </row>
    <row r="5858" ht="24" customHeight="1" spans="2:14">
      <c r="B5858" s="33"/>
      <c r="C5858" s="60"/>
      <c r="D5858" s="60"/>
      <c r="E5858" s="60"/>
      <c r="F5858" s="60"/>
      <c r="G5858" s="60"/>
      <c r="H5858" s="60"/>
      <c r="I5858" s="60"/>
      <c r="J5858" s="60"/>
      <c r="K5858" s="60"/>
      <c r="L5858" s="60"/>
      <c r="M5858" s="64"/>
      <c r="N5858" s="33"/>
    </row>
    <row r="5859" ht="24" customHeight="1" spans="2:14">
      <c r="B5859" s="33"/>
      <c r="C5859" s="60"/>
      <c r="D5859" s="60"/>
      <c r="E5859" s="60"/>
      <c r="F5859" s="60"/>
      <c r="G5859" s="60"/>
      <c r="H5859" s="60"/>
      <c r="I5859" s="60"/>
      <c r="J5859" s="60"/>
      <c r="K5859" s="60"/>
      <c r="L5859" s="60"/>
      <c r="M5859" s="64"/>
      <c r="N5859" s="33"/>
    </row>
    <row r="5860" ht="24" customHeight="1" spans="2:14">
      <c r="B5860" s="33"/>
      <c r="C5860" s="60"/>
      <c r="D5860" s="60"/>
      <c r="E5860" s="60"/>
      <c r="F5860" s="60"/>
      <c r="G5860" s="60"/>
      <c r="H5860" s="60"/>
      <c r="I5860" s="60"/>
      <c r="J5860" s="60"/>
      <c r="K5860" s="60"/>
      <c r="L5860" s="60"/>
      <c r="M5860" s="64"/>
      <c r="N5860" s="33"/>
    </row>
    <row r="5861" ht="24" customHeight="1" spans="2:14">
      <c r="B5861" s="33"/>
      <c r="C5861" s="60"/>
      <c r="D5861" s="60"/>
      <c r="E5861" s="60"/>
      <c r="F5861" s="60"/>
      <c r="G5861" s="60"/>
      <c r="H5861" s="60"/>
      <c r="I5861" s="60"/>
      <c r="J5861" s="60"/>
      <c r="K5861" s="60"/>
      <c r="L5861" s="60"/>
      <c r="M5861" s="64"/>
      <c r="N5861" s="33"/>
    </row>
    <row r="5862" ht="24" customHeight="1" spans="2:14">
      <c r="B5862" s="33"/>
      <c r="C5862" s="60"/>
      <c r="D5862" s="60"/>
      <c r="E5862" s="60"/>
      <c r="F5862" s="60"/>
      <c r="G5862" s="60"/>
      <c r="H5862" s="60"/>
      <c r="I5862" s="60"/>
      <c r="J5862" s="60"/>
      <c r="K5862" s="60"/>
      <c r="L5862" s="60"/>
      <c r="M5862" s="64"/>
      <c r="N5862" s="33"/>
    </row>
    <row r="5863" ht="24" customHeight="1" spans="2:14">
      <c r="B5863" s="33"/>
      <c r="C5863" s="60"/>
      <c r="D5863" s="60"/>
      <c r="E5863" s="60"/>
      <c r="F5863" s="60"/>
      <c r="G5863" s="60"/>
      <c r="H5863" s="60"/>
      <c r="I5863" s="60"/>
      <c r="J5863" s="60"/>
      <c r="K5863" s="60"/>
      <c r="L5863" s="60"/>
      <c r="M5863" s="64"/>
      <c r="N5863" s="33"/>
    </row>
    <row r="5864" ht="24" customHeight="1" spans="2:14">
      <c r="B5864" s="33"/>
      <c r="C5864" s="60"/>
      <c r="D5864" s="60"/>
      <c r="E5864" s="60"/>
      <c r="F5864" s="60"/>
      <c r="G5864" s="60"/>
      <c r="H5864" s="60"/>
      <c r="I5864" s="60"/>
      <c r="J5864" s="60"/>
      <c r="K5864" s="60"/>
      <c r="L5864" s="60"/>
      <c r="M5864" s="64"/>
      <c r="N5864" s="33"/>
    </row>
    <row r="5865" ht="24" customHeight="1" spans="2:14">
      <c r="B5865" s="33"/>
      <c r="C5865" s="60"/>
      <c r="D5865" s="60"/>
      <c r="E5865" s="60"/>
      <c r="F5865" s="60"/>
      <c r="G5865" s="60"/>
      <c r="H5865" s="60"/>
      <c r="I5865" s="60"/>
      <c r="J5865" s="60"/>
      <c r="K5865" s="60"/>
      <c r="L5865" s="60"/>
      <c r="M5865" s="64"/>
      <c r="N5865" s="33"/>
    </row>
    <row r="5866" ht="24" customHeight="1" spans="2:14">
      <c r="B5866" s="33"/>
      <c r="C5866" s="60"/>
      <c r="D5866" s="60"/>
      <c r="E5866" s="60"/>
      <c r="F5866" s="60"/>
      <c r="G5866" s="60"/>
      <c r="H5866" s="60"/>
      <c r="I5866" s="60"/>
      <c r="J5866" s="60"/>
      <c r="K5866" s="60"/>
      <c r="L5866" s="60"/>
      <c r="M5866" s="64"/>
      <c r="N5866" s="33"/>
    </row>
    <row r="5867" ht="24" customHeight="1" spans="2:14">
      <c r="B5867" s="33"/>
      <c r="C5867" s="60"/>
      <c r="D5867" s="60"/>
      <c r="E5867" s="60"/>
      <c r="F5867" s="60"/>
      <c r="G5867" s="60"/>
      <c r="H5867" s="60"/>
      <c r="I5867" s="60"/>
      <c r="J5867" s="60"/>
      <c r="K5867" s="60"/>
      <c r="L5867" s="60"/>
      <c r="M5867" s="64"/>
      <c r="N5867" s="33"/>
    </row>
    <row r="5868" ht="24" customHeight="1" spans="2:14">
      <c r="B5868" s="33"/>
      <c r="C5868" s="60"/>
      <c r="D5868" s="60"/>
      <c r="E5868" s="60"/>
      <c r="F5868" s="60"/>
      <c r="G5868" s="60"/>
      <c r="H5868" s="60"/>
      <c r="I5868" s="60"/>
      <c r="J5868" s="60"/>
      <c r="K5868" s="60"/>
      <c r="L5868" s="60"/>
      <c r="M5868" s="64"/>
      <c r="N5868" s="33"/>
    </row>
    <row r="5869" ht="24" customHeight="1" spans="2:14">
      <c r="B5869" s="33"/>
      <c r="C5869" s="60"/>
      <c r="D5869" s="60"/>
      <c r="E5869" s="60"/>
      <c r="F5869" s="60"/>
      <c r="G5869" s="60"/>
      <c r="H5869" s="60"/>
      <c r="I5869" s="60"/>
      <c r="J5869" s="60"/>
      <c r="K5869" s="60"/>
      <c r="L5869" s="60"/>
      <c r="M5869" s="64"/>
      <c r="N5869" s="33"/>
    </row>
    <row r="5870" ht="24" customHeight="1" spans="2:14">
      <c r="B5870" s="33"/>
      <c r="C5870" s="60"/>
      <c r="D5870" s="60"/>
      <c r="E5870" s="60"/>
      <c r="F5870" s="60"/>
      <c r="G5870" s="60"/>
      <c r="H5870" s="60"/>
      <c r="I5870" s="60"/>
      <c r="J5870" s="60"/>
      <c r="K5870" s="60"/>
      <c r="L5870" s="60"/>
      <c r="M5870" s="64"/>
      <c r="N5870" s="33"/>
    </row>
    <row r="5871" ht="24" customHeight="1" spans="2:14">
      <c r="B5871" s="33"/>
      <c r="C5871" s="60"/>
      <c r="D5871" s="60"/>
      <c r="E5871" s="60"/>
      <c r="F5871" s="60"/>
      <c r="G5871" s="60"/>
      <c r="H5871" s="60"/>
      <c r="I5871" s="60"/>
      <c r="J5871" s="60"/>
      <c r="K5871" s="60"/>
      <c r="L5871" s="60"/>
      <c r="M5871" s="64"/>
      <c r="N5871" s="33"/>
    </row>
    <row r="5872" ht="24" customHeight="1" spans="2:14">
      <c r="B5872" s="33"/>
      <c r="C5872" s="60"/>
      <c r="D5872" s="60"/>
      <c r="E5872" s="60"/>
      <c r="F5872" s="60"/>
      <c r="G5872" s="60"/>
      <c r="H5872" s="60"/>
      <c r="I5872" s="60"/>
      <c r="J5872" s="60"/>
      <c r="K5872" s="60"/>
      <c r="L5872" s="60"/>
      <c r="M5872" s="64"/>
      <c r="N5872" s="33"/>
    </row>
    <row r="5873" ht="24" customHeight="1" spans="2:14">
      <c r="B5873" s="33"/>
      <c r="C5873" s="60"/>
      <c r="D5873" s="60"/>
      <c r="E5873" s="60"/>
      <c r="F5873" s="60"/>
      <c r="G5873" s="60"/>
      <c r="H5873" s="60"/>
      <c r="I5873" s="60"/>
      <c r="J5873" s="60"/>
      <c r="K5873" s="60"/>
      <c r="L5873" s="60"/>
      <c r="M5873" s="64"/>
      <c r="N5873" s="33"/>
    </row>
    <row r="5874" ht="24" customHeight="1" spans="2:14">
      <c r="B5874" s="33"/>
      <c r="C5874" s="60"/>
      <c r="D5874" s="60"/>
      <c r="E5874" s="60"/>
      <c r="F5874" s="60"/>
      <c r="G5874" s="60"/>
      <c r="H5874" s="60"/>
      <c r="I5874" s="60"/>
      <c r="J5874" s="60"/>
      <c r="K5874" s="60"/>
      <c r="L5874" s="60"/>
      <c r="M5874" s="64"/>
      <c r="N5874" s="33"/>
    </row>
    <row r="5875" ht="24" customHeight="1" spans="2:14">
      <c r="B5875" s="33"/>
      <c r="C5875" s="60"/>
      <c r="D5875" s="60"/>
      <c r="E5875" s="60"/>
      <c r="F5875" s="60"/>
      <c r="G5875" s="60"/>
      <c r="H5875" s="60"/>
      <c r="I5875" s="60"/>
      <c r="J5875" s="60"/>
      <c r="K5875" s="60"/>
      <c r="L5875" s="60"/>
      <c r="M5875" s="64"/>
      <c r="N5875" s="33"/>
    </row>
    <row r="5876" ht="24" customHeight="1" spans="2:14">
      <c r="B5876" s="33"/>
      <c r="C5876" s="60"/>
      <c r="D5876" s="60"/>
      <c r="E5876" s="60"/>
      <c r="F5876" s="60"/>
      <c r="G5876" s="60"/>
      <c r="H5876" s="60"/>
      <c r="I5876" s="60"/>
      <c r="J5876" s="60"/>
      <c r="K5876" s="60"/>
      <c r="L5876" s="60"/>
      <c r="M5876" s="64"/>
      <c r="N5876" s="33"/>
    </row>
    <row r="5877" ht="24" customHeight="1" spans="2:14">
      <c r="B5877" s="33"/>
      <c r="C5877" s="60"/>
      <c r="D5877" s="60"/>
      <c r="E5877" s="60"/>
      <c r="F5877" s="60"/>
      <c r="G5877" s="60"/>
      <c r="H5877" s="60"/>
      <c r="I5877" s="60"/>
      <c r="J5877" s="60"/>
      <c r="K5877" s="60"/>
      <c r="L5877" s="60"/>
      <c r="M5877" s="64"/>
      <c r="N5877" s="33"/>
    </row>
    <row r="5878" ht="24" customHeight="1" spans="2:14">
      <c r="B5878" s="33"/>
      <c r="C5878" s="60"/>
      <c r="D5878" s="60"/>
      <c r="E5878" s="60"/>
      <c r="F5878" s="60"/>
      <c r="G5878" s="60"/>
      <c r="H5878" s="60"/>
      <c r="I5878" s="60"/>
      <c r="J5878" s="60"/>
      <c r="K5878" s="60"/>
      <c r="L5878" s="60"/>
      <c r="M5878" s="64"/>
      <c r="N5878" s="33"/>
    </row>
    <row r="5879" ht="24" customHeight="1" spans="2:14">
      <c r="B5879" s="33"/>
      <c r="C5879" s="60"/>
      <c r="D5879" s="60"/>
      <c r="E5879" s="60"/>
      <c r="F5879" s="60"/>
      <c r="G5879" s="60"/>
      <c r="H5879" s="60"/>
      <c r="I5879" s="60"/>
      <c r="J5879" s="60"/>
      <c r="K5879" s="60"/>
      <c r="L5879" s="60"/>
      <c r="M5879" s="64"/>
      <c r="N5879" s="33"/>
    </row>
    <row r="5880" ht="24" customHeight="1" spans="2:14">
      <c r="B5880" s="33"/>
      <c r="C5880" s="60"/>
      <c r="D5880" s="60"/>
      <c r="E5880" s="60"/>
      <c r="F5880" s="60"/>
      <c r="G5880" s="60"/>
      <c r="H5880" s="60"/>
      <c r="I5880" s="60"/>
      <c r="J5880" s="60"/>
      <c r="K5880" s="60"/>
      <c r="L5880" s="60"/>
      <c r="M5880" s="64"/>
      <c r="N5880" s="33"/>
    </row>
    <row r="5881" ht="24" customHeight="1" spans="2:14">
      <c r="B5881" s="33"/>
      <c r="C5881" s="60"/>
      <c r="D5881" s="60"/>
      <c r="E5881" s="60"/>
      <c r="F5881" s="60"/>
      <c r="G5881" s="60"/>
      <c r="H5881" s="60"/>
      <c r="I5881" s="60"/>
      <c r="J5881" s="60"/>
      <c r="K5881" s="60"/>
      <c r="L5881" s="60"/>
      <c r="M5881" s="64"/>
      <c r="N5881" s="33"/>
    </row>
    <row r="5882" ht="24" customHeight="1" spans="2:14">
      <c r="B5882" s="33"/>
      <c r="C5882" s="60"/>
      <c r="D5882" s="60"/>
      <c r="E5882" s="60"/>
      <c r="F5882" s="60"/>
      <c r="G5882" s="60"/>
      <c r="H5882" s="60"/>
      <c r="I5882" s="60"/>
      <c r="J5882" s="60"/>
      <c r="K5882" s="60"/>
      <c r="L5882" s="60"/>
      <c r="M5882" s="64"/>
      <c r="N5882" s="33"/>
    </row>
    <row r="5883" ht="24" customHeight="1" spans="2:14">
      <c r="B5883" s="33"/>
      <c r="C5883" s="60"/>
      <c r="D5883" s="60"/>
      <c r="E5883" s="60"/>
      <c r="F5883" s="60"/>
      <c r="G5883" s="60"/>
      <c r="H5883" s="60"/>
      <c r="I5883" s="60"/>
      <c r="J5883" s="60"/>
      <c r="K5883" s="60"/>
      <c r="L5883" s="60"/>
      <c r="M5883" s="64"/>
      <c r="N5883" s="33"/>
    </row>
    <row r="5884" ht="24" customHeight="1" spans="2:14">
      <c r="B5884" s="33"/>
      <c r="C5884" s="60"/>
      <c r="D5884" s="60"/>
      <c r="E5884" s="60"/>
      <c r="F5884" s="60"/>
      <c r="G5884" s="60"/>
      <c r="H5884" s="60"/>
      <c r="I5884" s="60"/>
      <c r="J5884" s="60"/>
      <c r="K5884" s="60"/>
      <c r="L5884" s="60"/>
      <c r="M5884" s="64"/>
      <c r="N5884" s="33"/>
    </row>
    <row r="5885" ht="24" customHeight="1" spans="2:14">
      <c r="B5885" s="33"/>
      <c r="C5885" s="60"/>
      <c r="D5885" s="60"/>
      <c r="E5885" s="60"/>
      <c r="F5885" s="60"/>
      <c r="G5885" s="60"/>
      <c r="H5885" s="60"/>
      <c r="I5885" s="60"/>
      <c r="J5885" s="60"/>
      <c r="K5885" s="60"/>
      <c r="L5885" s="60"/>
      <c r="M5885" s="64"/>
      <c r="N5885" s="33"/>
    </row>
    <row r="5886" ht="24" customHeight="1" spans="2:14">
      <c r="B5886" s="33"/>
      <c r="C5886" s="60"/>
      <c r="D5886" s="60"/>
      <c r="E5886" s="60"/>
      <c r="F5886" s="60"/>
      <c r="G5886" s="60"/>
      <c r="H5886" s="60"/>
      <c r="I5886" s="60"/>
      <c r="J5886" s="60"/>
      <c r="K5886" s="60"/>
      <c r="L5886" s="60"/>
      <c r="M5886" s="64"/>
      <c r="N5886" s="33"/>
    </row>
    <row r="5887" ht="24" customHeight="1" spans="2:14">
      <c r="B5887" s="33"/>
      <c r="C5887" s="60"/>
      <c r="D5887" s="60"/>
      <c r="E5887" s="60"/>
      <c r="F5887" s="60"/>
      <c r="G5887" s="60"/>
      <c r="H5887" s="60"/>
      <c r="I5887" s="60"/>
      <c r="J5887" s="60"/>
      <c r="K5887" s="60"/>
      <c r="L5887" s="60"/>
      <c r="M5887" s="64"/>
      <c r="N5887" s="33"/>
    </row>
    <row r="5888" ht="24" customHeight="1" spans="2:14">
      <c r="B5888" s="33"/>
      <c r="C5888" s="60"/>
      <c r="D5888" s="60"/>
      <c r="E5888" s="60"/>
      <c r="F5888" s="60"/>
      <c r="G5888" s="60"/>
      <c r="H5888" s="60"/>
      <c r="I5888" s="60"/>
      <c r="J5888" s="60"/>
      <c r="K5888" s="60"/>
      <c r="L5888" s="60"/>
      <c r="M5888" s="64"/>
      <c r="N5888" s="33"/>
    </row>
    <row r="5889" ht="24" customHeight="1" spans="2:14">
      <c r="B5889" s="33"/>
      <c r="C5889" s="60"/>
      <c r="D5889" s="60"/>
      <c r="E5889" s="60"/>
      <c r="F5889" s="60"/>
      <c r="G5889" s="60"/>
      <c r="H5889" s="60"/>
      <c r="I5889" s="60"/>
      <c r="J5889" s="60"/>
      <c r="K5889" s="60"/>
      <c r="L5889" s="60"/>
      <c r="M5889" s="64"/>
      <c r="N5889" s="33"/>
    </row>
    <row r="5890" ht="24" customHeight="1" spans="2:14">
      <c r="B5890" s="33"/>
      <c r="C5890" s="60"/>
      <c r="D5890" s="60"/>
      <c r="E5890" s="60"/>
      <c r="F5890" s="60"/>
      <c r="G5890" s="60"/>
      <c r="H5890" s="60"/>
      <c r="I5890" s="60"/>
      <c r="J5890" s="60"/>
      <c r="K5890" s="60"/>
      <c r="L5890" s="60"/>
      <c r="M5890" s="64"/>
      <c r="N5890" s="33"/>
    </row>
    <row r="5891" ht="24" customHeight="1" spans="2:14">
      <c r="B5891" s="33"/>
      <c r="C5891" s="60"/>
      <c r="D5891" s="60"/>
      <c r="E5891" s="60"/>
      <c r="F5891" s="60"/>
      <c r="G5891" s="60"/>
      <c r="H5891" s="60"/>
      <c r="I5891" s="60"/>
      <c r="J5891" s="60"/>
      <c r="K5891" s="60"/>
      <c r="L5891" s="60"/>
      <c r="M5891" s="64"/>
      <c r="N5891" s="33"/>
    </row>
    <row r="5892" ht="24" customHeight="1" spans="2:14">
      <c r="B5892" s="33"/>
      <c r="C5892" s="60"/>
      <c r="D5892" s="60"/>
      <c r="E5892" s="60"/>
      <c r="F5892" s="60"/>
      <c r="G5892" s="60"/>
      <c r="H5892" s="60"/>
      <c r="I5892" s="60"/>
      <c r="J5892" s="60"/>
      <c r="K5892" s="60"/>
      <c r="L5892" s="60"/>
      <c r="M5892" s="64"/>
      <c r="N5892" s="33"/>
    </row>
    <row r="5893" ht="24" customHeight="1" spans="2:14">
      <c r="B5893" s="33"/>
      <c r="C5893" s="60"/>
      <c r="D5893" s="60"/>
      <c r="E5893" s="60"/>
      <c r="F5893" s="60"/>
      <c r="G5893" s="60"/>
      <c r="H5893" s="60"/>
      <c r="I5893" s="60"/>
      <c r="J5893" s="60"/>
      <c r="K5893" s="60"/>
      <c r="L5893" s="60"/>
      <c r="M5893" s="64"/>
      <c r="N5893" s="33"/>
    </row>
    <row r="5894" ht="24" customHeight="1" spans="2:14">
      <c r="B5894" s="33"/>
      <c r="C5894" s="60"/>
      <c r="D5894" s="60"/>
      <c r="E5894" s="60"/>
      <c r="F5894" s="60"/>
      <c r="G5894" s="60"/>
      <c r="H5894" s="60"/>
      <c r="I5894" s="60"/>
      <c r="J5894" s="60"/>
      <c r="K5894" s="60"/>
      <c r="L5894" s="60"/>
      <c r="M5894" s="64"/>
      <c r="N5894" s="33"/>
    </row>
    <row r="5895" ht="24" customHeight="1" spans="2:14">
      <c r="B5895" s="33"/>
      <c r="C5895" s="60"/>
      <c r="D5895" s="60"/>
      <c r="E5895" s="60"/>
      <c r="F5895" s="60"/>
      <c r="G5895" s="60"/>
      <c r="H5895" s="60"/>
      <c r="I5895" s="60"/>
      <c r="J5895" s="60"/>
      <c r="K5895" s="60"/>
      <c r="L5895" s="60"/>
      <c r="M5895" s="64"/>
      <c r="N5895" s="33"/>
    </row>
    <row r="5896" ht="24" customHeight="1" spans="2:14">
      <c r="B5896" s="33"/>
      <c r="C5896" s="60"/>
      <c r="D5896" s="60"/>
      <c r="E5896" s="60"/>
      <c r="F5896" s="60"/>
      <c r="G5896" s="60"/>
      <c r="H5896" s="60"/>
      <c r="I5896" s="60"/>
      <c r="J5896" s="60"/>
      <c r="K5896" s="60"/>
      <c r="L5896" s="60"/>
      <c r="M5896" s="64"/>
      <c r="N5896" s="33"/>
    </row>
    <row r="5897" ht="24" customHeight="1" spans="2:14">
      <c r="B5897" s="33"/>
      <c r="C5897" s="60"/>
      <c r="D5897" s="60"/>
      <c r="E5897" s="60"/>
      <c r="F5897" s="60"/>
      <c r="G5897" s="60"/>
      <c r="H5897" s="60"/>
      <c r="I5897" s="60"/>
      <c r="J5897" s="60"/>
      <c r="K5897" s="60"/>
      <c r="L5897" s="60"/>
      <c r="M5897" s="64"/>
      <c r="N5897" s="33"/>
    </row>
    <row r="5898" ht="24" customHeight="1" spans="2:14">
      <c r="B5898" s="33"/>
      <c r="C5898" s="60"/>
      <c r="D5898" s="60"/>
      <c r="E5898" s="60"/>
      <c r="F5898" s="60"/>
      <c r="G5898" s="60"/>
      <c r="H5898" s="60"/>
      <c r="I5898" s="60"/>
      <c r="J5898" s="60"/>
      <c r="K5898" s="60"/>
      <c r="L5898" s="60"/>
      <c r="M5898" s="64"/>
      <c r="N5898" s="33"/>
    </row>
    <row r="5899" ht="24" customHeight="1" spans="2:14">
      <c r="B5899" s="33"/>
      <c r="C5899" s="60"/>
      <c r="D5899" s="60"/>
      <c r="E5899" s="60"/>
      <c r="F5899" s="60"/>
      <c r="G5899" s="60"/>
      <c r="H5899" s="60"/>
      <c r="I5899" s="60"/>
      <c r="J5899" s="60"/>
      <c r="K5899" s="60"/>
      <c r="L5899" s="60"/>
      <c r="M5899" s="64"/>
      <c r="N5899" s="33"/>
    </row>
    <row r="5900" ht="24" customHeight="1" spans="2:14">
      <c r="B5900" s="33"/>
      <c r="C5900" s="60"/>
      <c r="D5900" s="60"/>
      <c r="E5900" s="60"/>
      <c r="F5900" s="60"/>
      <c r="G5900" s="60"/>
      <c r="H5900" s="60"/>
      <c r="I5900" s="60"/>
      <c r="J5900" s="60"/>
      <c r="K5900" s="60"/>
      <c r="L5900" s="60"/>
      <c r="M5900" s="64"/>
      <c r="N5900" s="33"/>
    </row>
    <row r="5901" ht="24" customHeight="1" spans="2:14">
      <c r="B5901" s="33"/>
      <c r="C5901" s="60"/>
      <c r="D5901" s="60"/>
      <c r="E5901" s="60"/>
      <c r="F5901" s="60"/>
      <c r="G5901" s="60"/>
      <c r="H5901" s="60"/>
      <c r="I5901" s="60"/>
      <c r="J5901" s="60"/>
      <c r="K5901" s="60"/>
      <c r="L5901" s="60"/>
      <c r="M5901" s="64"/>
      <c r="N5901" s="33"/>
    </row>
    <row r="5902" ht="24" customHeight="1" spans="2:14">
      <c r="B5902" s="33"/>
      <c r="C5902" s="60"/>
      <c r="D5902" s="60"/>
      <c r="E5902" s="60"/>
      <c r="F5902" s="60"/>
      <c r="G5902" s="60"/>
      <c r="H5902" s="60"/>
      <c r="I5902" s="60"/>
      <c r="J5902" s="60"/>
      <c r="K5902" s="60"/>
      <c r="L5902" s="60"/>
      <c r="M5902" s="64"/>
      <c r="N5902" s="33"/>
    </row>
    <row r="5903" ht="24" customHeight="1" spans="2:14">
      <c r="B5903" s="33"/>
      <c r="C5903" s="60"/>
      <c r="D5903" s="60"/>
      <c r="E5903" s="60"/>
      <c r="F5903" s="60"/>
      <c r="G5903" s="60"/>
      <c r="H5903" s="60"/>
      <c r="I5903" s="60"/>
      <c r="J5903" s="60"/>
      <c r="K5903" s="60"/>
      <c r="L5903" s="60"/>
      <c r="M5903" s="64"/>
      <c r="N5903" s="33"/>
    </row>
    <row r="5904" ht="24" customHeight="1" spans="2:14">
      <c r="B5904" s="33"/>
      <c r="C5904" s="60"/>
      <c r="D5904" s="60"/>
      <c r="E5904" s="60"/>
      <c r="F5904" s="60"/>
      <c r="G5904" s="60"/>
      <c r="H5904" s="60"/>
      <c r="I5904" s="60"/>
      <c r="J5904" s="60"/>
      <c r="K5904" s="60"/>
      <c r="L5904" s="60"/>
      <c r="M5904" s="64"/>
      <c r="N5904" s="33"/>
    </row>
    <row r="5905" ht="24" customHeight="1" spans="2:14">
      <c r="B5905" s="33"/>
      <c r="C5905" s="60"/>
      <c r="D5905" s="60"/>
      <c r="E5905" s="60"/>
      <c r="F5905" s="60"/>
      <c r="G5905" s="60"/>
      <c r="H5905" s="60"/>
      <c r="I5905" s="60"/>
      <c r="J5905" s="60"/>
      <c r="K5905" s="60"/>
      <c r="L5905" s="60"/>
      <c r="M5905" s="64"/>
      <c r="N5905" s="33"/>
    </row>
    <row r="5906" ht="24" customHeight="1" spans="2:14">
      <c r="B5906" s="33"/>
      <c r="C5906" s="60"/>
      <c r="D5906" s="60"/>
      <c r="E5906" s="60"/>
      <c r="F5906" s="60"/>
      <c r="G5906" s="60"/>
      <c r="H5906" s="60"/>
      <c r="I5906" s="60"/>
      <c r="J5906" s="60"/>
      <c r="K5906" s="60"/>
      <c r="L5906" s="60"/>
      <c r="M5906" s="64"/>
      <c r="N5906" s="33"/>
    </row>
    <row r="5907" ht="24" customHeight="1" spans="2:14">
      <c r="B5907" s="33"/>
      <c r="C5907" s="60"/>
      <c r="D5907" s="60"/>
      <c r="E5907" s="60"/>
      <c r="F5907" s="60"/>
      <c r="G5907" s="60"/>
      <c r="H5907" s="60"/>
      <c r="I5907" s="60"/>
      <c r="J5907" s="60"/>
      <c r="K5907" s="60"/>
      <c r="L5907" s="60"/>
      <c r="M5907" s="64"/>
      <c r="N5907" s="33"/>
    </row>
    <row r="5908" ht="24" customHeight="1" spans="2:14">
      <c r="B5908" s="33"/>
      <c r="C5908" s="60"/>
      <c r="D5908" s="60"/>
      <c r="E5908" s="60"/>
      <c r="F5908" s="60"/>
      <c r="G5908" s="60"/>
      <c r="H5908" s="60"/>
      <c r="I5908" s="60"/>
      <c r="J5908" s="60"/>
      <c r="K5908" s="60"/>
      <c r="L5908" s="60"/>
      <c r="M5908" s="64"/>
      <c r="N5908" s="33"/>
    </row>
    <row r="5909" ht="24" customHeight="1" spans="2:14">
      <c r="B5909" s="33"/>
      <c r="C5909" s="60"/>
      <c r="D5909" s="60"/>
      <c r="E5909" s="60"/>
      <c r="F5909" s="60"/>
      <c r="G5909" s="60"/>
      <c r="H5909" s="60"/>
      <c r="I5909" s="60"/>
      <c r="J5909" s="60"/>
      <c r="K5909" s="60"/>
      <c r="L5909" s="60"/>
      <c r="M5909" s="64"/>
      <c r="N5909" s="33"/>
    </row>
    <row r="5910" ht="24" customHeight="1" spans="2:14">
      <c r="B5910" s="33"/>
      <c r="C5910" s="60"/>
      <c r="D5910" s="60"/>
      <c r="E5910" s="60"/>
      <c r="F5910" s="60"/>
      <c r="G5910" s="60"/>
      <c r="H5910" s="60"/>
      <c r="I5910" s="60"/>
      <c r="J5910" s="60"/>
      <c r="K5910" s="60"/>
      <c r="L5910" s="60"/>
      <c r="M5910" s="64"/>
      <c r="N5910" s="33"/>
    </row>
    <row r="5911" ht="24" customHeight="1" spans="2:14">
      <c r="B5911" s="33"/>
      <c r="C5911" s="60"/>
      <c r="D5911" s="60"/>
      <c r="E5911" s="60"/>
      <c r="F5911" s="60"/>
      <c r="G5911" s="60"/>
      <c r="H5911" s="60"/>
      <c r="I5911" s="60"/>
      <c r="J5911" s="60"/>
      <c r="K5911" s="60"/>
      <c r="L5911" s="60"/>
      <c r="M5911" s="64"/>
      <c r="N5911" s="33"/>
    </row>
    <row r="5912" ht="24" customHeight="1" spans="2:14">
      <c r="B5912" s="33"/>
      <c r="C5912" s="60"/>
      <c r="D5912" s="60"/>
      <c r="E5912" s="60"/>
      <c r="F5912" s="60"/>
      <c r="G5912" s="60"/>
      <c r="H5912" s="60"/>
      <c r="I5912" s="60"/>
      <c r="J5912" s="60"/>
      <c r="K5912" s="60"/>
      <c r="L5912" s="60"/>
      <c r="M5912" s="64"/>
      <c r="N5912" s="33"/>
    </row>
    <row r="5913" ht="24" customHeight="1" spans="2:14">
      <c r="B5913" s="33"/>
      <c r="C5913" s="60"/>
      <c r="D5913" s="60"/>
      <c r="E5913" s="60"/>
      <c r="F5913" s="60"/>
      <c r="G5913" s="60"/>
      <c r="H5913" s="60"/>
      <c r="I5913" s="60"/>
      <c r="J5913" s="60"/>
      <c r="K5913" s="60"/>
      <c r="L5913" s="60"/>
      <c r="M5913" s="64"/>
      <c r="N5913" s="33"/>
    </row>
    <row r="5914" ht="24" customHeight="1" spans="2:14">
      <c r="B5914" s="33"/>
      <c r="C5914" s="60"/>
      <c r="D5914" s="60"/>
      <c r="E5914" s="60"/>
      <c r="F5914" s="60"/>
      <c r="G5914" s="60"/>
      <c r="H5914" s="60"/>
      <c r="I5914" s="60"/>
      <c r="J5914" s="60"/>
      <c r="K5914" s="60"/>
      <c r="L5914" s="60"/>
      <c r="M5914" s="64"/>
      <c r="N5914" s="33"/>
    </row>
    <row r="5915" ht="24" customHeight="1" spans="2:14">
      <c r="B5915" s="33"/>
      <c r="C5915" s="60"/>
      <c r="D5915" s="60"/>
      <c r="E5915" s="60"/>
      <c r="F5915" s="60"/>
      <c r="G5915" s="60"/>
      <c r="H5915" s="60"/>
      <c r="I5915" s="60"/>
      <c r="J5915" s="60"/>
      <c r="K5915" s="60"/>
      <c r="L5915" s="60"/>
      <c r="M5915" s="64"/>
      <c r="N5915" s="33"/>
    </row>
    <row r="5916" ht="24" customHeight="1" spans="2:14">
      <c r="B5916" s="33"/>
      <c r="C5916" s="60"/>
      <c r="D5916" s="60"/>
      <c r="E5916" s="60"/>
      <c r="F5916" s="60"/>
      <c r="G5916" s="60"/>
      <c r="H5916" s="60"/>
      <c r="I5916" s="60"/>
      <c r="J5916" s="60"/>
      <c r="K5916" s="60"/>
      <c r="L5916" s="60"/>
      <c r="M5916" s="64"/>
      <c r="N5916" s="33"/>
    </row>
    <row r="5917" ht="24" customHeight="1" spans="2:14">
      <c r="B5917" s="33"/>
      <c r="C5917" s="60"/>
      <c r="D5917" s="60"/>
      <c r="E5917" s="60"/>
      <c r="F5917" s="60"/>
      <c r="G5917" s="60"/>
      <c r="H5917" s="60"/>
      <c r="I5917" s="60"/>
      <c r="J5917" s="60"/>
      <c r="K5917" s="60"/>
      <c r="L5917" s="60"/>
      <c r="M5917" s="64"/>
      <c r="N5917" s="33"/>
    </row>
    <row r="5918" ht="24" customHeight="1" spans="2:14">
      <c r="B5918" s="33"/>
      <c r="C5918" s="60"/>
      <c r="D5918" s="60"/>
      <c r="E5918" s="60"/>
      <c r="F5918" s="60"/>
      <c r="G5918" s="60"/>
      <c r="H5918" s="60"/>
      <c r="I5918" s="60"/>
      <c r="J5918" s="60"/>
      <c r="K5918" s="60"/>
      <c r="L5918" s="60"/>
      <c r="M5918" s="64"/>
      <c r="N5918" s="33"/>
    </row>
    <row r="5919" ht="24" customHeight="1" spans="2:14">
      <c r="B5919" s="33"/>
      <c r="C5919" s="60"/>
      <c r="D5919" s="60"/>
      <c r="E5919" s="60"/>
      <c r="F5919" s="60"/>
      <c r="G5919" s="60"/>
      <c r="H5919" s="60"/>
      <c r="I5919" s="60"/>
      <c r="J5919" s="60"/>
      <c r="K5919" s="60"/>
      <c r="L5919" s="60"/>
      <c r="M5919" s="64"/>
      <c r="N5919" s="33"/>
    </row>
    <row r="5920" ht="24" customHeight="1" spans="2:14">
      <c r="B5920" s="33"/>
      <c r="C5920" s="60"/>
      <c r="D5920" s="60"/>
      <c r="E5920" s="60"/>
      <c r="F5920" s="60"/>
      <c r="G5920" s="60"/>
      <c r="H5920" s="60"/>
      <c r="I5920" s="60"/>
      <c r="J5920" s="60"/>
      <c r="K5920" s="60"/>
      <c r="L5920" s="60"/>
      <c r="M5920" s="64"/>
      <c r="N5920" s="33"/>
    </row>
    <row r="5921" ht="24" customHeight="1" spans="2:14">
      <c r="B5921" s="33"/>
      <c r="C5921" s="60"/>
      <c r="D5921" s="60"/>
      <c r="E5921" s="60"/>
      <c r="F5921" s="60"/>
      <c r="G5921" s="60"/>
      <c r="H5921" s="60"/>
      <c r="I5921" s="60"/>
      <c r="J5921" s="60"/>
      <c r="K5921" s="60"/>
      <c r="L5921" s="60"/>
      <c r="M5921" s="64"/>
      <c r="N5921" s="33"/>
    </row>
    <row r="5922" ht="24" customHeight="1" spans="2:14">
      <c r="B5922" s="33"/>
      <c r="C5922" s="60"/>
      <c r="D5922" s="60"/>
      <c r="E5922" s="60"/>
      <c r="F5922" s="60"/>
      <c r="G5922" s="60"/>
      <c r="H5922" s="60"/>
      <c r="I5922" s="60"/>
      <c r="J5922" s="60"/>
      <c r="K5922" s="60"/>
      <c r="L5922" s="60"/>
      <c r="M5922" s="64"/>
      <c r="N5922" s="33"/>
    </row>
    <row r="5923" ht="24" customHeight="1" spans="2:14">
      <c r="B5923" s="33"/>
      <c r="C5923" s="60"/>
      <c r="D5923" s="60"/>
      <c r="E5923" s="60"/>
      <c r="F5923" s="60"/>
      <c r="G5923" s="60"/>
      <c r="H5923" s="60"/>
      <c r="I5923" s="60"/>
      <c r="J5923" s="60"/>
      <c r="K5923" s="60"/>
      <c r="L5923" s="60"/>
      <c r="M5923" s="64"/>
      <c r="N5923" s="33"/>
    </row>
    <row r="5924" ht="24" customHeight="1" spans="2:14">
      <c r="B5924" s="33"/>
      <c r="C5924" s="60"/>
      <c r="D5924" s="60"/>
      <c r="E5924" s="60"/>
      <c r="F5924" s="60"/>
      <c r="G5924" s="60"/>
      <c r="H5924" s="60"/>
      <c r="I5924" s="60"/>
      <c r="J5924" s="60"/>
      <c r="K5924" s="60"/>
      <c r="L5924" s="60"/>
      <c r="M5924" s="64"/>
      <c r="N5924" s="33"/>
    </row>
    <row r="5925" ht="24" customHeight="1" spans="2:14">
      <c r="B5925" s="33"/>
      <c r="C5925" s="60"/>
      <c r="D5925" s="60"/>
      <c r="E5925" s="60"/>
      <c r="F5925" s="60"/>
      <c r="G5925" s="60"/>
      <c r="H5925" s="60"/>
      <c r="I5925" s="60"/>
      <c r="J5925" s="60"/>
      <c r="K5925" s="60"/>
      <c r="L5925" s="60"/>
      <c r="M5925" s="64"/>
      <c r="N5925" s="33"/>
    </row>
    <row r="5926" ht="24" customHeight="1" spans="2:14">
      <c r="B5926" s="33"/>
      <c r="C5926" s="60"/>
      <c r="D5926" s="60"/>
      <c r="E5926" s="60"/>
      <c r="F5926" s="60"/>
      <c r="G5926" s="60"/>
      <c r="H5926" s="60"/>
      <c r="I5926" s="60"/>
      <c r="J5926" s="60"/>
      <c r="K5926" s="60"/>
      <c r="L5926" s="60"/>
      <c r="M5926" s="64"/>
      <c r="N5926" s="33"/>
    </row>
    <row r="5927" ht="24" customHeight="1" spans="2:14">
      <c r="B5927" s="33"/>
      <c r="C5927" s="60"/>
      <c r="D5927" s="60"/>
      <c r="E5927" s="60"/>
      <c r="F5927" s="60"/>
      <c r="G5927" s="60"/>
      <c r="H5927" s="60"/>
      <c r="I5927" s="60"/>
      <c r="J5927" s="60"/>
      <c r="K5927" s="60"/>
      <c r="L5927" s="60"/>
      <c r="M5927" s="64"/>
      <c r="N5927" s="33"/>
    </row>
    <row r="5928" ht="24" customHeight="1" spans="2:14">
      <c r="B5928" s="33"/>
      <c r="C5928" s="60"/>
      <c r="D5928" s="60"/>
      <c r="E5928" s="60"/>
      <c r="F5928" s="60"/>
      <c r="G5928" s="60"/>
      <c r="H5928" s="60"/>
      <c r="I5928" s="60"/>
      <c r="J5928" s="60"/>
      <c r="K5928" s="60"/>
      <c r="L5928" s="60"/>
      <c r="M5928" s="64"/>
      <c r="N5928" s="33"/>
    </row>
    <row r="5929" ht="24" customHeight="1" spans="2:14">
      <c r="B5929" s="33"/>
      <c r="C5929" s="60"/>
      <c r="D5929" s="60"/>
      <c r="E5929" s="60"/>
      <c r="F5929" s="60"/>
      <c r="G5929" s="60"/>
      <c r="H5929" s="60"/>
      <c r="I5929" s="60"/>
      <c r="J5929" s="60"/>
      <c r="K5929" s="60"/>
      <c r="L5929" s="60"/>
      <c r="M5929" s="64"/>
      <c r="N5929" s="33"/>
    </row>
    <row r="5930" ht="24" customHeight="1" spans="2:14">
      <c r="B5930" s="33"/>
      <c r="C5930" s="60"/>
      <c r="D5930" s="60"/>
      <c r="E5930" s="60"/>
      <c r="F5930" s="60"/>
      <c r="G5930" s="60"/>
      <c r="H5930" s="60"/>
      <c r="I5930" s="60"/>
      <c r="J5930" s="60"/>
      <c r="K5930" s="60"/>
      <c r="L5930" s="60"/>
      <c r="M5930" s="64"/>
      <c r="N5930" s="33"/>
    </row>
    <row r="5931" ht="24" customHeight="1" spans="2:14">
      <c r="B5931" s="33"/>
      <c r="C5931" s="60"/>
      <c r="D5931" s="60"/>
      <c r="E5931" s="60"/>
      <c r="F5931" s="60"/>
      <c r="G5931" s="60"/>
      <c r="H5931" s="60"/>
      <c r="I5931" s="60"/>
      <c r="J5931" s="60"/>
      <c r="K5931" s="60"/>
      <c r="L5931" s="60"/>
      <c r="M5931" s="64"/>
      <c r="N5931" s="33"/>
    </row>
    <row r="5932" ht="24" customHeight="1" spans="2:14">
      <c r="B5932" s="33"/>
      <c r="C5932" s="60"/>
      <c r="D5932" s="60"/>
      <c r="E5932" s="60"/>
      <c r="F5932" s="60"/>
      <c r="G5932" s="60"/>
      <c r="H5932" s="60"/>
      <c r="I5932" s="60"/>
      <c r="J5932" s="60"/>
      <c r="K5932" s="60"/>
      <c r="L5932" s="60"/>
      <c r="M5932" s="64"/>
      <c r="N5932" s="33"/>
    </row>
    <row r="5933" ht="24" customHeight="1" spans="2:14">
      <c r="B5933" s="33"/>
      <c r="C5933" s="60"/>
      <c r="D5933" s="60"/>
      <c r="E5933" s="60"/>
      <c r="F5933" s="60"/>
      <c r="G5933" s="60"/>
      <c r="H5933" s="60"/>
      <c r="I5933" s="60"/>
      <c r="J5933" s="60"/>
      <c r="K5933" s="60"/>
      <c r="L5933" s="60"/>
      <c r="M5933" s="64"/>
      <c r="N5933" s="33"/>
    </row>
    <row r="5934" ht="24" customHeight="1" spans="2:14">
      <c r="B5934" s="33"/>
      <c r="C5934" s="60"/>
      <c r="D5934" s="60"/>
      <c r="E5934" s="60"/>
      <c r="F5934" s="60"/>
      <c r="G5934" s="60"/>
      <c r="H5934" s="60"/>
      <c r="I5934" s="60"/>
      <c r="J5934" s="60"/>
      <c r="K5934" s="60"/>
      <c r="L5934" s="60"/>
      <c r="M5934" s="64"/>
      <c r="N5934" s="33"/>
    </row>
    <row r="5935" ht="24" customHeight="1" spans="2:14">
      <c r="B5935" s="33"/>
      <c r="C5935" s="60"/>
      <c r="D5935" s="60"/>
      <c r="E5935" s="60"/>
      <c r="F5935" s="60"/>
      <c r="G5935" s="60"/>
      <c r="H5935" s="60"/>
      <c r="I5935" s="60"/>
      <c r="J5935" s="60"/>
      <c r="K5935" s="60"/>
      <c r="L5935" s="60"/>
      <c r="M5935" s="64"/>
      <c r="N5935" s="33"/>
    </row>
    <row r="5936" ht="24" customHeight="1" spans="2:14">
      <c r="B5936" s="33"/>
      <c r="C5936" s="60"/>
      <c r="D5936" s="60"/>
      <c r="E5936" s="60"/>
      <c r="F5936" s="60"/>
      <c r="G5936" s="60"/>
      <c r="H5936" s="60"/>
      <c r="I5936" s="60"/>
      <c r="J5936" s="60"/>
      <c r="K5936" s="60"/>
      <c r="L5936" s="60"/>
      <c r="M5936" s="64"/>
      <c r="N5936" s="33"/>
    </row>
    <row r="5937" ht="24" customHeight="1" spans="2:14">
      <c r="B5937" s="33"/>
      <c r="C5937" s="60"/>
      <c r="D5937" s="60"/>
      <c r="E5937" s="60"/>
      <c r="F5937" s="60"/>
      <c r="G5937" s="60"/>
      <c r="H5937" s="60"/>
      <c r="I5937" s="60"/>
      <c r="J5937" s="60"/>
      <c r="K5937" s="60"/>
      <c r="L5937" s="60"/>
      <c r="M5937" s="64"/>
      <c r="N5937" s="33"/>
    </row>
    <row r="5938" ht="24" customHeight="1" spans="2:14">
      <c r="B5938" s="33"/>
      <c r="C5938" s="60"/>
      <c r="D5938" s="60"/>
      <c r="E5938" s="60"/>
      <c r="F5938" s="60"/>
      <c r="G5938" s="60"/>
      <c r="H5938" s="60"/>
      <c r="I5938" s="60"/>
      <c r="J5938" s="60"/>
      <c r="K5938" s="60"/>
      <c r="L5938" s="60"/>
      <c r="M5938" s="64"/>
      <c r="N5938" s="33"/>
    </row>
    <row r="5939" ht="24" customHeight="1" spans="2:14">
      <c r="B5939" s="33"/>
      <c r="C5939" s="60"/>
      <c r="D5939" s="60"/>
      <c r="E5939" s="60"/>
      <c r="F5939" s="60"/>
      <c r="G5939" s="60"/>
      <c r="H5939" s="60"/>
      <c r="I5939" s="60"/>
      <c r="J5939" s="60"/>
      <c r="K5939" s="60"/>
      <c r="L5939" s="60"/>
      <c r="M5939" s="64"/>
      <c r="N5939" s="33"/>
    </row>
    <row r="5940" ht="24" customHeight="1" spans="2:14">
      <c r="B5940" s="33"/>
      <c r="C5940" s="60"/>
      <c r="D5940" s="60"/>
      <c r="E5940" s="60"/>
      <c r="F5940" s="60"/>
      <c r="G5940" s="60"/>
      <c r="H5940" s="60"/>
      <c r="I5940" s="60"/>
      <c r="J5940" s="60"/>
      <c r="K5940" s="60"/>
      <c r="L5940" s="60"/>
      <c r="M5940" s="64"/>
      <c r="N5940" s="33"/>
    </row>
    <row r="5941" ht="24" customHeight="1" spans="2:14">
      <c r="B5941" s="33"/>
      <c r="C5941" s="60"/>
      <c r="D5941" s="60"/>
      <c r="E5941" s="60"/>
      <c r="F5941" s="60"/>
      <c r="G5941" s="60"/>
      <c r="H5941" s="60"/>
      <c r="I5941" s="60"/>
      <c r="J5941" s="60"/>
      <c r="K5941" s="60"/>
      <c r="L5941" s="60"/>
      <c r="M5941" s="64"/>
      <c r="N5941" s="33"/>
    </row>
    <row r="5942" ht="24" customHeight="1" spans="2:14">
      <c r="B5942" s="33"/>
      <c r="C5942" s="60"/>
      <c r="D5942" s="60"/>
      <c r="E5942" s="60"/>
      <c r="F5942" s="60"/>
      <c r="G5942" s="60"/>
      <c r="H5942" s="60"/>
      <c r="I5942" s="60"/>
      <c r="J5942" s="60"/>
      <c r="K5942" s="60"/>
      <c r="L5942" s="60"/>
      <c r="M5942" s="64"/>
      <c r="N5942" s="33"/>
    </row>
    <row r="5943" ht="24" customHeight="1" spans="2:14">
      <c r="B5943" s="33"/>
      <c r="C5943" s="60"/>
      <c r="D5943" s="60"/>
      <c r="E5943" s="60"/>
      <c r="F5943" s="60"/>
      <c r="G5943" s="60"/>
      <c r="H5943" s="60"/>
      <c r="I5943" s="60"/>
      <c r="J5943" s="60"/>
      <c r="K5943" s="60"/>
      <c r="L5943" s="60"/>
      <c r="M5943" s="64"/>
      <c r="N5943" s="33"/>
    </row>
    <row r="5944" ht="24" customHeight="1" spans="2:14">
      <c r="B5944" s="33"/>
      <c r="C5944" s="60"/>
      <c r="D5944" s="60"/>
      <c r="E5944" s="60"/>
      <c r="F5944" s="60"/>
      <c r="G5944" s="60"/>
      <c r="H5944" s="60"/>
      <c r="I5944" s="60"/>
      <c r="J5944" s="60"/>
      <c r="K5944" s="60"/>
      <c r="L5944" s="60"/>
      <c r="M5944" s="64"/>
      <c r="N5944" s="33"/>
    </row>
    <row r="5945" ht="24" customHeight="1" spans="2:14">
      <c r="B5945" s="33"/>
      <c r="C5945" s="60"/>
      <c r="D5945" s="60"/>
      <c r="E5945" s="60"/>
      <c r="F5945" s="60"/>
      <c r="G5945" s="60"/>
      <c r="H5945" s="60"/>
      <c r="I5945" s="60"/>
      <c r="J5945" s="60"/>
      <c r="K5945" s="60"/>
      <c r="L5945" s="60"/>
      <c r="M5945" s="64"/>
      <c r="N5945" s="33"/>
    </row>
    <row r="5946" ht="24" customHeight="1" spans="2:14">
      <c r="B5946" s="33"/>
      <c r="C5946" s="60"/>
      <c r="D5946" s="60"/>
      <c r="E5946" s="60"/>
      <c r="F5946" s="60"/>
      <c r="G5946" s="60"/>
      <c r="H5946" s="60"/>
      <c r="I5946" s="60"/>
      <c r="J5946" s="60"/>
      <c r="K5946" s="60"/>
      <c r="L5946" s="60"/>
      <c r="M5946" s="64"/>
      <c r="N5946" s="33"/>
    </row>
    <row r="5947" ht="24" customHeight="1" spans="2:14">
      <c r="B5947" s="33"/>
      <c r="C5947" s="60"/>
      <c r="D5947" s="60"/>
      <c r="E5947" s="60"/>
      <c r="F5947" s="60"/>
      <c r="G5947" s="60"/>
      <c r="H5947" s="60"/>
      <c r="I5947" s="60"/>
      <c r="J5947" s="60"/>
      <c r="K5947" s="60"/>
      <c r="L5947" s="60"/>
      <c r="M5947" s="64"/>
      <c r="N5947" s="33"/>
    </row>
    <row r="5948" ht="24" customHeight="1" spans="2:14">
      <c r="B5948" s="33"/>
      <c r="C5948" s="60"/>
      <c r="D5948" s="60"/>
      <c r="E5948" s="60"/>
      <c r="F5948" s="60"/>
      <c r="G5948" s="60"/>
      <c r="H5948" s="60"/>
      <c r="I5948" s="60"/>
      <c r="J5948" s="60"/>
      <c r="K5948" s="60"/>
      <c r="L5948" s="60"/>
      <c r="M5948" s="64"/>
      <c r="N5948" s="33"/>
    </row>
    <row r="5949" ht="24" customHeight="1" spans="2:14">
      <c r="B5949" s="33"/>
      <c r="C5949" s="60"/>
      <c r="D5949" s="60"/>
      <c r="E5949" s="60"/>
      <c r="F5949" s="60"/>
      <c r="G5949" s="60"/>
      <c r="H5949" s="60"/>
      <c r="I5949" s="60"/>
      <c r="J5949" s="60"/>
      <c r="K5949" s="60"/>
      <c r="L5949" s="60"/>
      <c r="M5949" s="64"/>
      <c r="N5949" s="33"/>
    </row>
    <row r="5950" ht="24" customHeight="1" spans="2:14">
      <c r="B5950" s="33"/>
      <c r="C5950" s="60"/>
      <c r="D5950" s="60"/>
      <c r="E5950" s="60"/>
      <c r="F5950" s="60"/>
      <c r="G5950" s="60"/>
      <c r="H5950" s="60"/>
      <c r="I5950" s="60"/>
      <c r="J5950" s="60"/>
      <c r="K5950" s="60"/>
      <c r="L5950" s="60"/>
      <c r="M5950" s="64"/>
      <c r="N5950" s="33"/>
    </row>
    <row r="5951" ht="24" customHeight="1" spans="2:14">
      <c r="B5951" s="33"/>
      <c r="C5951" s="60"/>
      <c r="D5951" s="60"/>
      <c r="E5951" s="60"/>
      <c r="F5951" s="60"/>
      <c r="G5951" s="60"/>
      <c r="H5951" s="60"/>
      <c r="I5951" s="60"/>
      <c r="J5951" s="60"/>
      <c r="K5951" s="60"/>
      <c r="L5951" s="60"/>
      <c r="M5951" s="64"/>
      <c r="N5951" s="33"/>
    </row>
    <row r="5952" ht="24" customHeight="1" spans="2:14">
      <c r="B5952" s="33"/>
      <c r="C5952" s="60"/>
      <c r="D5952" s="60"/>
      <c r="E5952" s="60"/>
      <c r="F5952" s="60"/>
      <c r="G5952" s="60"/>
      <c r="H5952" s="60"/>
      <c r="I5952" s="60"/>
      <c r="J5952" s="60"/>
      <c r="K5952" s="60"/>
      <c r="L5952" s="60"/>
      <c r="M5952" s="64"/>
      <c r="N5952" s="33"/>
    </row>
    <row r="5953" ht="24" customHeight="1" spans="2:14">
      <c r="B5953" s="33"/>
      <c r="C5953" s="60"/>
      <c r="D5953" s="60"/>
      <c r="E5953" s="60"/>
      <c r="F5953" s="60"/>
      <c r="G5953" s="60"/>
      <c r="H5953" s="60"/>
      <c r="I5953" s="60"/>
      <c r="J5953" s="60"/>
      <c r="K5953" s="60"/>
      <c r="L5953" s="60"/>
      <c r="M5953" s="64"/>
      <c r="N5953" s="33"/>
    </row>
    <row r="5954" ht="24" customHeight="1" spans="2:14">
      <c r="B5954" s="33"/>
      <c r="C5954" s="60"/>
      <c r="D5954" s="60"/>
      <c r="E5954" s="60"/>
      <c r="F5954" s="60"/>
      <c r="G5954" s="60"/>
      <c r="H5954" s="60"/>
      <c r="I5954" s="60"/>
      <c r="J5954" s="60"/>
      <c r="K5954" s="60"/>
      <c r="L5954" s="60"/>
      <c r="M5954" s="64"/>
      <c r="N5954" s="33"/>
    </row>
    <row r="5955" ht="24" customHeight="1" spans="2:14">
      <c r="B5955" s="33"/>
      <c r="C5955" s="60"/>
      <c r="D5955" s="60"/>
      <c r="E5955" s="60"/>
      <c r="F5955" s="60"/>
      <c r="G5955" s="60"/>
      <c r="H5955" s="60"/>
      <c r="I5955" s="60"/>
      <c r="J5955" s="60"/>
      <c r="K5955" s="60"/>
      <c r="L5955" s="60"/>
      <c r="M5955" s="64"/>
      <c r="N5955" s="33"/>
    </row>
    <row r="5956" ht="24" customHeight="1" spans="2:14">
      <c r="B5956" s="33"/>
      <c r="C5956" s="60"/>
      <c r="D5956" s="60"/>
      <c r="E5956" s="60"/>
      <c r="F5956" s="60"/>
      <c r="G5956" s="60"/>
      <c r="H5956" s="60"/>
      <c r="I5956" s="60"/>
      <c r="J5956" s="60"/>
      <c r="K5956" s="60"/>
      <c r="L5956" s="60"/>
      <c r="M5956" s="64"/>
      <c r="N5956" s="33"/>
    </row>
    <row r="5957" ht="24" customHeight="1" spans="2:14">
      <c r="B5957" s="33"/>
      <c r="C5957" s="60"/>
      <c r="D5957" s="60"/>
      <c r="E5957" s="60"/>
      <c r="F5957" s="60"/>
      <c r="G5957" s="60"/>
      <c r="H5957" s="60"/>
      <c r="I5957" s="60"/>
      <c r="J5957" s="60"/>
      <c r="K5957" s="60"/>
      <c r="L5957" s="60"/>
      <c r="M5957" s="64"/>
      <c r="N5957" s="33"/>
    </row>
    <row r="5958" ht="24" customHeight="1" spans="2:14">
      <c r="B5958" s="33"/>
      <c r="C5958" s="60"/>
      <c r="D5958" s="60"/>
      <c r="E5958" s="60"/>
      <c r="F5958" s="60"/>
      <c r="G5958" s="60"/>
      <c r="H5958" s="60"/>
      <c r="I5958" s="60"/>
      <c r="J5958" s="60"/>
      <c r="K5958" s="60"/>
      <c r="L5958" s="60"/>
      <c r="M5958" s="64"/>
      <c r="N5958" s="33"/>
    </row>
    <row r="5959" ht="24" customHeight="1" spans="2:14">
      <c r="B5959" s="33"/>
      <c r="C5959" s="60"/>
      <c r="D5959" s="60"/>
      <c r="E5959" s="60"/>
      <c r="F5959" s="60"/>
      <c r="G5959" s="60"/>
      <c r="H5959" s="60"/>
      <c r="I5959" s="60"/>
      <c r="J5959" s="60"/>
      <c r="K5959" s="60"/>
      <c r="L5959" s="60"/>
      <c r="M5959" s="64"/>
      <c r="N5959" s="33"/>
    </row>
    <row r="5960" ht="24" customHeight="1" spans="2:14">
      <c r="B5960" s="33"/>
      <c r="C5960" s="60"/>
      <c r="D5960" s="60"/>
      <c r="E5960" s="60"/>
      <c r="F5960" s="60"/>
      <c r="G5960" s="60"/>
      <c r="H5960" s="60"/>
      <c r="I5960" s="60"/>
      <c r="J5960" s="60"/>
      <c r="K5960" s="60"/>
      <c r="L5960" s="60"/>
      <c r="M5960" s="64"/>
      <c r="N5960" s="33"/>
    </row>
    <row r="5961" ht="24" customHeight="1" spans="2:14">
      <c r="B5961" s="33"/>
      <c r="C5961" s="60"/>
      <c r="D5961" s="60"/>
      <c r="E5961" s="60"/>
      <c r="F5961" s="60"/>
      <c r="G5961" s="60"/>
      <c r="H5961" s="60"/>
      <c r="I5961" s="60"/>
      <c r="J5961" s="60"/>
      <c r="K5961" s="60"/>
      <c r="L5961" s="60"/>
      <c r="M5961" s="64"/>
      <c r="N5961" s="33"/>
    </row>
    <row r="5962" ht="24" customHeight="1" spans="2:14">
      <c r="B5962" s="33"/>
      <c r="C5962" s="60"/>
      <c r="D5962" s="60"/>
      <c r="E5962" s="60"/>
      <c r="F5962" s="60"/>
      <c r="G5962" s="60"/>
      <c r="H5962" s="60"/>
      <c r="I5962" s="60"/>
      <c r="J5962" s="60"/>
      <c r="K5962" s="60"/>
      <c r="L5962" s="60"/>
      <c r="M5962" s="64"/>
      <c r="N5962" s="33"/>
    </row>
    <row r="5963" ht="24" customHeight="1" spans="2:14">
      <c r="B5963" s="33"/>
      <c r="C5963" s="60"/>
      <c r="D5963" s="60"/>
      <c r="E5963" s="60"/>
      <c r="F5963" s="60"/>
      <c r="G5963" s="60"/>
      <c r="H5963" s="60"/>
      <c r="I5963" s="60"/>
      <c r="J5963" s="60"/>
      <c r="K5963" s="60"/>
      <c r="L5963" s="60"/>
      <c r="M5963" s="64"/>
      <c r="N5963" s="33"/>
    </row>
    <row r="5964" ht="24" customHeight="1" spans="2:14">
      <c r="B5964" s="33"/>
      <c r="C5964" s="60"/>
      <c r="D5964" s="60"/>
      <c r="E5964" s="60"/>
      <c r="F5964" s="60"/>
      <c r="G5964" s="60"/>
      <c r="H5964" s="60"/>
      <c r="I5964" s="60"/>
      <c r="J5964" s="60"/>
      <c r="K5964" s="60"/>
      <c r="L5964" s="60"/>
      <c r="M5964" s="64"/>
      <c r="N5964" s="33"/>
    </row>
    <row r="5965" ht="24" customHeight="1" spans="2:14">
      <c r="B5965" s="33"/>
      <c r="C5965" s="60"/>
      <c r="D5965" s="60"/>
      <c r="E5965" s="60"/>
      <c r="F5965" s="60"/>
      <c r="G5965" s="60"/>
      <c r="H5965" s="60"/>
      <c r="I5965" s="60"/>
      <c r="J5965" s="60"/>
      <c r="K5965" s="60"/>
      <c r="L5965" s="60"/>
      <c r="M5965" s="64"/>
      <c r="N5965" s="33"/>
    </row>
    <row r="5966" ht="24" customHeight="1" spans="2:14">
      <c r="B5966" s="33"/>
      <c r="C5966" s="60"/>
      <c r="D5966" s="60"/>
      <c r="E5966" s="60"/>
      <c r="F5966" s="60"/>
      <c r="G5966" s="60"/>
      <c r="H5966" s="60"/>
      <c r="I5966" s="60"/>
      <c r="J5966" s="60"/>
      <c r="K5966" s="60"/>
      <c r="L5966" s="60"/>
      <c r="M5966" s="64"/>
      <c r="N5966" s="33"/>
    </row>
    <row r="5967" ht="24" customHeight="1" spans="2:14">
      <c r="B5967" s="33"/>
      <c r="C5967" s="60"/>
      <c r="D5967" s="60"/>
      <c r="E5967" s="60"/>
      <c r="F5967" s="60"/>
      <c r="G5967" s="60"/>
      <c r="H5967" s="60"/>
      <c r="I5967" s="60"/>
      <c r="J5967" s="60"/>
      <c r="K5967" s="60"/>
      <c r="L5967" s="60"/>
      <c r="M5967" s="64"/>
      <c r="N5967" s="33"/>
    </row>
    <row r="5968" ht="24" customHeight="1" spans="2:14">
      <c r="B5968" s="33"/>
      <c r="C5968" s="60"/>
      <c r="D5968" s="60"/>
      <c r="E5968" s="60"/>
      <c r="F5968" s="60"/>
      <c r="G5968" s="60"/>
      <c r="H5968" s="60"/>
      <c r="I5968" s="60"/>
      <c r="J5968" s="60"/>
      <c r="K5968" s="60"/>
      <c r="L5968" s="60"/>
      <c r="M5968" s="64"/>
      <c r="N5968" s="33"/>
    </row>
    <row r="5969" ht="24" customHeight="1" spans="2:14">
      <c r="B5969" s="33"/>
      <c r="C5969" s="60"/>
      <c r="D5969" s="60"/>
      <c r="E5969" s="60"/>
      <c r="F5969" s="60"/>
      <c r="G5969" s="60"/>
      <c r="H5969" s="60"/>
      <c r="I5969" s="60"/>
      <c r="J5969" s="60"/>
      <c r="K5969" s="60"/>
      <c r="L5969" s="60"/>
      <c r="M5969" s="64"/>
      <c r="N5969" s="33"/>
    </row>
    <row r="5970" ht="24" customHeight="1" spans="2:14">
      <c r="B5970" s="33"/>
      <c r="C5970" s="60"/>
      <c r="D5970" s="60"/>
      <c r="E5970" s="60"/>
      <c r="F5970" s="60"/>
      <c r="G5970" s="60"/>
      <c r="H5970" s="60"/>
      <c r="I5970" s="60"/>
      <c r="J5970" s="60"/>
      <c r="K5970" s="60"/>
      <c r="L5970" s="60"/>
      <c r="M5970" s="64"/>
      <c r="N5970" s="33"/>
    </row>
    <row r="5971" ht="24" customHeight="1" spans="2:14">
      <c r="B5971" s="33"/>
      <c r="C5971" s="60"/>
      <c r="D5971" s="60"/>
      <c r="E5971" s="60"/>
      <c r="F5971" s="60"/>
      <c r="G5971" s="60"/>
      <c r="H5971" s="60"/>
      <c r="I5971" s="60"/>
      <c r="J5971" s="60"/>
      <c r="K5971" s="60"/>
      <c r="L5971" s="60"/>
      <c r="M5971" s="64"/>
      <c r="N5971" s="33"/>
    </row>
    <row r="5972" ht="24" customHeight="1" spans="2:14">
      <c r="B5972" s="33"/>
      <c r="C5972" s="60"/>
      <c r="D5972" s="60"/>
      <c r="E5972" s="60"/>
      <c r="F5972" s="60"/>
      <c r="G5972" s="60"/>
      <c r="H5972" s="60"/>
      <c r="I5972" s="60"/>
      <c r="J5972" s="60"/>
      <c r="K5972" s="60"/>
      <c r="L5972" s="60"/>
      <c r="M5972" s="64"/>
      <c r="N5972" s="33"/>
    </row>
    <row r="5973" ht="24" customHeight="1" spans="2:14">
      <c r="B5973" s="33"/>
      <c r="C5973" s="60"/>
      <c r="D5973" s="60"/>
      <c r="E5973" s="60"/>
      <c r="F5973" s="60"/>
      <c r="G5973" s="60"/>
      <c r="H5973" s="60"/>
      <c r="I5973" s="60"/>
      <c r="J5973" s="60"/>
      <c r="K5973" s="60"/>
      <c r="L5973" s="60"/>
      <c r="M5973" s="64"/>
      <c r="N5973" s="33"/>
    </row>
    <row r="5974" ht="24" customHeight="1" spans="2:14">
      <c r="B5974" s="33"/>
      <c r="C5974" s="60"/>
      <c r="D5974" s="60"/>
      <c r="E5974" s="60"/>
      <c r="F5974" s="60"/>
      <c r="G5974" s="60"/>
      <c r="H5974" s="60"/>
      <c r="I5974" s="60"/>
      <c r="J5974" s="60"/>
      <c r="K5974" s="60"/>
      <c r="L5974" s="60"/>
      <c r="M5974" s="64"/>
      <c r="N5974" s="33"/>
    </row>
    <row r="5975" ht="24" customHeight="1" spans="2:14">
      <c r="B5975" s="33"/>
      <c r="C5975" s="60"/>
      <c r="D5975" s="60"/>
      <c r="E5975" s="60"/>
      <c r="F5975" s="60"/>
      <c r="G5975" s="60"/>
      <c r="H5975" s="60"/>
      <c r="I5975" s="60"/>
      <c r="J5975" s="60"/>
      <c r="K5975" s="60"/>
      <c r="L5975" s="60"/>
      <c r="M5975" s="64"/>
      <c r="N5975" s="33"/>
    </row>
    <row r="5976" ht="24" customHeight="1" spans="2:14">
      <c r="B5976" s="33"/>
      <c r="C5976" s="60"/>
      <c r="D5976" s="60"/>
      <c r="E5976" s="60"/>
      <c r="F5976" s="60"/>
      <c r="G5976" s="60"/>
      <c r="H5976" s="60"/>
      <c r="I5976" s="60"/>
      <c r="J5976" s="60"/>
      <c r="K5976" s="60"/>
      <c r="L5976" s="60"/>
      <c r="M5976" s="64"/>
      <c r="N5976" s="33"/>
    </row>
    <row r="5977" ht="24" customHeight="1" spans="2:14">
      <c r="B5977" s="33"/>
      <c r="C5977" s="60"/>
      <c r="D5977" s="60"/>
      <c r="E5977" s="60"/>
      <c r="F5977" s="60"/>
      <c r="G5977" s="60"/>
      <c r="H5977" s="60"/>
      <c r="I5977" s="60"/>
      <c r="J5977" s="60"/>
      <c r="K5977" s="60"/>
      <c r="L5977" s="60"/>
      <c r="M5977" s="64"/>
      <c r="N5977" s="33"/>
    </row>
    <row r="5978" ht="24" customHeight="1" spans="2:14">
      <c r="B5978" s="33"/>
      <c r="C5978" s="60"/>
      <c r="D5978" s="60"/>
      <c r="E5978" s="60"/>
      <c r="F5978" s="60"/>
      <c r="G5978" s="60"/>
      <c r="H5978" s="60"/>
      <c r="I5978" s="60"/>
      <c r="J5978" s="60"/>
      <c r="K5978" s="60"/>
      <c r="L5978" s="60"/>
      <c r="M5978" s="64"/>
      <c r="N5978" s="33"/>
    </row>
    <row r="5979" ht="24" customHeight="1" spans="2:14">
      <c r="B5979" s="33"/>
      <c r="C5979" s="60"/>
      <c r="D5979" s="60"/>
      <c r="E5979" s="60"/>
      <c r="F5979" s="60"/>
      <c r="G5979" s="60"/>
      <c r="H5979" s="60"/>
      <c r="I5979" s="60"/>
      <c r="J5979" s="60"/>
      <c r="K5979" s="60"/>
      <c r="L5979" s="60"/>
      <c r="M5979" s="64"/>
      <c r="N5979" s="33"/>
    </row>
    <row r="5980" ht="24" customHeight="1" spans="2:14">
      <c r="B5980" s="33"/>
      <c r="C5980" s="60"/>
      <c r="D5980" s="60"/>
      <c r="E5980" s="60"/>
      <c r="F5980" s="60"/>
      <c r="G5980" s="60"/>
      <c r="H5980" s="60"/>
      <c r="I5980" s="60"/>
      <c r="J5980" s="60"/>
      <c r="K5980" s="60"/>
      <c r="L5980" s="60"/>
      <c r="M5980" s="64"/>
      <c r="N5980" s="33"/>
    </row>
    <row r="5981" ht="24" customHeight="1" spans="2:14">
      <c r="B5981" s="33"/>
      <c r="C5981" s="60"/>
      <c r="D5981" s="60"/>
      <c r="E5981" s="60"/>
      <c r="F5981" s="60"/>
      <c r="G5981" s="60"/>
      <c r="H5981" s="60"/>
      <c r="I5981" s="60"/>
      <c r="J5981" s="60"/>
      <c r="K5981" s="60"/>
      <c r="L5981" s="60"/>
      <c r="M5981" s="64"/>
      <c r="N5981" s="33"/>
    </row>
    <row r="5982" ht="24" customHeight="1" spans="2:14">
      <c r="B5982" s="33"/>
      <c r="C5982" s="60"/>
      <c r="D5982" s="60"/>
      <c r="E5982" s="60"/>
      <c r="F5982" s="60"/>
      <c r="G5982" s="60"/>
      <c r="H5982" s="60"/>
      <c r="I5982" s="60"/>
      <c r="J5982" s="60"/>
      <c r="K5982" s="60"/>
      <c r="L5982" s="60"/>
      <c r="M5982" s="64"/>
      <c r="N5982" s="33"/>
    </row>
    <row r="5983" ht="24" customHeight="1" spans="2:14">
      <c r="B5983" s="33"/>
      <c r="C5983" s="60"/>
      <c r="D5983" s="60"/>
      <c r="E5983" s="60"/>
      <c r="F5983" s="60"/>
      <c r="G5983" s="60"/>
      <c r="H5983" s="60"/>
      <c r="I5983" s="60"/>
      <c r="J5983" s="60"/>
      <c r="K5983" s="60"/>
      <c r="L5983" s="60"/>
      <c r="M5983" s="64"/>
      <c r="N5983" s="33"/>
    </row>
    <row r="5984" ht="24" customHeight="1" spans="2:14">
      <c r="B5984" s="33"/>
      <c r="C5984" s="60"/>
      <c r="D5984" s="60"/>
      <c r="E5984" s="60"/>
      <c r="F5984" s="60"/>
      <c r="G5984" s="60"/>
      <c r="H5984" s="60"/>
      <c r="I5984" s="60"/>
      <c r="J5984" s="60"/>
      <c r="K5984" s="60"/>
      <c r="L5984" s="60"/>
      <c r="M5984" s="64"/>
      <c r="N5984" s="33"/>
    </row>
    <row r="5985" ht="24" customHeight="1" spans="2:14">
      <c r="B5985" s="33"/>
      <c r="C5985" s="60"/>
      <c r="D5985" s="60"/>
      <c r="E5985" s="60"/>
      <c r="F5985" s="60"/>
      <c r="G5985" s="60"/>
      <c r="H5985" s="60"/>
      <c r="I5985" s="60"/>
      <c r="J5985" s="60"/>
      <c r="K5985" s="60"/>
      <c r="L5985" s="60"/>
      <c r="M5985" s="64"/>
      <c r="N5985" s="33"/>
    </row>
    <row r="5986" ht="24" customHeight="1" spans="2:14">
      <c r="B5986" s="33"/>
      <c r="C5986" s="60"/>
      <c r="D5986" s="60"/>
      <c r="E5986" s="60"/>
      <c r="F5986" s="60"/>
      <c r="G5986" s="60"/>
      <c r="H5986" s="60"/>
      <c r="I5986" s="60"/>
      <c r="J5986" s="60"/>
      <c r="K5986" s="60"/>
      <c r="L5986" s="60"/>
      <c r="M5986" s="64"/>
      <c r="N5986" s="33"/>
    </row>
    <row r="5987" ht="24" customHeight="1" spans="2:14">
      <c r="B5987" s="33"/>
      <c r="C5987" s="60"/>
      <c r="D5987" s="60"/>
      <c r="E5987" s="60"/>
      <c r="F5987" s="60"/>
      <c r="G5987" s="60"/>
      <c r="H5987" s="60"/>
      <c r="I5987" s="60"/>
      <c r="J5987" s="60"/>
      <c r="K5987" s="60"/>
      <c r="L5987" s="60"/>
      <c r="M5987" s="64"/>
      <c r="N5987" s="33"/>
    </row>
    <row r="5988" ht="24" customHeight="1" spans="2:14">
      <c r="B5988" s="33"/>
      <c r="C5988" s="60"/>
      <c r="D5988" s="60"/>
      <c r="E5988" s="60"/>
      <c r="F5988" s="60"/>
      <c r="G5988" s="60"/>
      <c r="H5988" s="60"/>
      <c r="I5988" s="60"/>
      <c r="J5988" s="60"/>
      <c r="K5988" s="60"/>
      <c r="L5988" s="60"/>
      <c r="M5988" s="64"/>
      <c r="N5988" s="33"/>
    </row>
    <row r="5989" ht="24" customHeight="1" spans="2:14">
      <c r="B5989" s="33"/>
      <c r="C5989" s="60"/>
      <c r="D5989" s="60"/>
      <c r="E5989" s="60"/>
      <c r="F5989" s="60"/>
      <c r="G5989" s="60"/>
      <c r="H5989" s="60"/>
      <c r="I5989" s="60"/>
      <c r="J5989" s="60"/>
      <c r="K5989" s="60"/>
      <c r="L5989" s="60"/>
      <c r="M5989" s="64"/>
      <c r="N5989" s="33"/>
    </row>
    <row r="5990" ht="24" customHeight="1" spans="2:14">
      <c r="B5990" s="33"/>
      <c r="C5990" s="60"/>
      <c r="D5990" s="60"/>
      <c r="E5990" s="60"/>
      <c r="F5990" s="60"/>
      <c r="G5990" s="60"/>
      <c r="H5990" s="60"/>
      <c r="I5990" s="60"/>
      <c r="J5990" s="60"/>
      <c r="K5990" s="60"/>
      <c r="L5990" s="60"/>
      <c r="M5990" s="64"/>
      <c r="N5990" s="33"/>
    </row>
    <row r="5991" ht="24" customHeight="1" spans="2:14">
      <c r="B5991" s="33"/>
      <c r="C5991" s="60"/>
      <c r="D5991" s="60"/>
      <c r="E5991" s="60"/>
      <c r="F5991" s="60"/>
      <c r="G5991" s="60"/>
      <c r="H5991" s="60"/>
      <c r="I5991" s="60"/>
      <c r="J5991" s="60"/>
      <c r="K5991" s="60"/>
      <c r="L5991" s="60"/>
      <c r="M5991" s="64"/>
      <c r="N5991" s="33"/>
    </row>
    <row r="5992" ht="24" customHeight="1" spans="2:14">
      <c r="B5992" s="33"/>
      <c r="C5992" s="60"/>
      <c r="D5992" s="60"/>
      <c r="E5992" s="60"/>
      <c r="F5992" s="60"/>
      <c r="G5992" s="60"/>
      <c r="H5992" s="60"/>
      <c r="I5992" s="60"/>
      <c r="J5992" s="60"/>
      <c r="K5992" s="60"/>
      <c r="L5992" s="60"/>
      <c r="M5992" s="64"/>
      <c r="N5992" s="33"/>
    </row>
    <row r="5993" ht="24" customHeight="1" spans="2:14">
      <c r="B5993" s="33"/>
      <c r="C5993" s="60"/>
      <c r="D5993" s="60"/>
      <c r="E5993" s="60"/>
      <c r="F5993" s="60"/>
      <c r="G5993" s="60"/>
      <c r="H5993" s="60"/>
      <c r="I5993" s="60"/>
      <c r="J5993" s="60"/>
      <c r="K5993" s="60"/>
      <c r="L5993" s="60"/>
      <c r="M5993" s="64"/>
      <c r="N5993" s="33"/>
    </row>
    <row r="5994" ht="24" customHeight="1" spans="2:14">
      <c r="B5994" s="33"/>
      <c r="C5994" s="60"/>
      <c r="D5994" s="60"/>
      <c r="E5994" s="60"/>
      <c r="F5994" s="60"/>
      <c r="G5994" s="60"/>
      <c r="H5994" s="60"/>
      <c r="I5994" s="60"/>
      <c r="J5994" s="60"/>
      <c r="K5994" s="60"/>
      <c r="L5994" s="60"/>
      <c r="M5994" s="64"/>
      <c r="N5994" s="33"/>
    </row>
    <row r="5995" ht="24" customHeight="1" spans="2:14">
      <c r="B5995" s="33"/>
      <c r="C5995" s="60"/>
      <c r="D5995" s="60"/>
      <c r="E5995" s="60"/>
      <c r="F5995" s="60"/>
      <c r="G5995" s="60"/>
      <c r="H5995" s="60"/>
      <c r="I5995" s="60"/>
      <c r="J5995" s="60"/>
      <c r="K5995" s="60"/>
      <c r="L5995" s="60"/>
      <c r="M5995" s="64"/>
      <c r="N5995" s="33"/>
    </row>
    <row r="5996" ht="24" customHeight="1" spans="2:14">
      <c r="B5996" s="33"/>
      <c r="C5996" s="60"/>
      <c r="D5996" s="60"/>
      <c r="E5996" s="60"/>
      <c r="F5996" s="60"/>
      <c r="G5996" s="60"/>
      <c r="H5996" s="60"/>
      <c r="I5996" s="60"/>
      <c r="J5996" s="60"/>
      <c r="K5996" s="60"/>
      <c r="L5996" s="60"/>
      <c r="M5996" s="64"/>
      <c r="N5996" s="33"/>
    </row>
    <row r="5997" ht="24" customHeight="1" spans="2:14">
      <c r="B5997" s="33"/>
      <c r="C5997" s="60"/>
      <c r="D5997" s="60"/>
      <c r="E5997" s="60"/>
      <c r="F5997" s="60"/>
      <c r="G5997" s="60"/>
      <c r="H5997" s="60"/>
      <c r="I5997" s="60"/>
      <c r="J5997" s="60"/>
      <c r="K5997" s="60"/>
      <c r="L5997" s="60"/>
      <c r="M5997" s="64"/>
      <c r="N5997" s="33"/>
    </row>
    <row r="5998" ht="24" customHeight="1" spans="2:14">
      <c r="B5998" s="33"/>
      <c r="C5998" s="60"/>
      <c r="D5998" s="60"/>
      <c r="E5998" s="60"/>
      <c r="F5998" s="60"/>
      <c r="G5998" s="60"/>
      <c r="H5998" s="60"/>
      <c r="I5998" s="60"/>
      <c r="J5998" s="60"/>
      <c r="K5998" s="60"/>
      <c r="L5998" s="60"/>
      <c r="M5998" s="64"/>
      <c r="N5998" s="33"/>
    </row>
    <row r="5999" ht="24" customHeight="1" spans="2:14">
      <c r="B5999" s="33"/>
      <c r="C5999" s="60"/>
      <c r="D5999" s="60"/>
      <c r="E5999" s="60"/>
      <c r="F5999" s="60"/>
      <c r="G5999" s="60"/>
      <c r="H5999" s="60"/>
      <c r="I5999" s="60"/>
      <c r="J5999" s="60"/>
      <c r="K5999" s="60"/>
      <c r="L5999" s="60"/>
      <c r="M5999" s="64"/>
      <c r="N5999" s="33"/>
    </row>
    <row r="6000" ht="24" customHeight="1" spans="2:14">
      <c r="B6000" s="33"/>
      <c r="C6000" s="60"/>
      <c r="D6000" s="60"/>
      <c r="E6000" s="60"/>
      <c r="F6000" s="60"/>
      <c r="G6000" s="60"/>
      <c r="H6000" s="60"/>
      <c r="I6000" s="60"/>
      <c r="J6000" s="60"/>
      <c r="K6000" s="60"/>
      <c r="L6000" s="60"/>
      <c r="M6000" s="64"/>
      <c r="N6000" s="33"/>
    </row>
    <row r="6001" ht="24" customHeight="1" spans="2:14">
      <c r="B6001" s="33"/>
      <c r="C6001" s="60"/>
      <c r="D6001" s="60"/>
      <c r="E6001" s="60"/>
      <c r="F6001" s="60"/>
      <c r="G6001" s="60"/>
      <c r="H6001" s="60"/>
      <c r="I6001" s="60"/>
      <c r="J6001" s="60"/>
      <c r="K6001" s="60"/>
      <c r="L6001" s="60"/>
      <c r="M6001" s="64"/>
      <c r="N6001" s="33"/>
    </row>
    <row r="6002" ht="24" customHeight="1" spans="2:14">
      <c r="B6002" s="33"/>
      <c r="C6002" s="60"/>
      <c r="D6002" s="60"/>
      <c r="E6002" s="60"/>
      <c r="F6002" s="60"/>
      <c r="G6002" s="60"/>
      <c r="H6002" s="60"/>
      <c r="I6002" s="60"/>
      <c r="J6002" s="60"/>
      <c r="K6002" s="60"/>
      <c r="L6002" s="60"/>
      <c r="M6002" s="64"/>
      <c r="N6002" s="33"/>
    </row>
    <row r="6003" ht="24" customHeight="1" spans="2:14">
      <c r="B6003" s="33"/>
      <c r="C6003" s="60"/>
      <c r="D6003" s="60"/>
      <c r="E6003" s="60"/>
      <c r="F6003" s="60"/>
      <c r="G6003" s="60"/>
      <c r="H6003" s="60"/>
      <c r="I6003" s="60"/>
      <c r="J6003" s="60"/>
      <c r="K6003" s="60"/>
      <c r="L6003" s="60"/>
      <c r="M6003" s="64"/>
      <c r="N6003" s="33"/>
    </row>
    <row r="6004" ht="24" customHeight="1" spans="2:14">
      <c r="B6004" s="33"/>
      <c r="C6004" s="60"/>
      <c r="D6004" s="60"/>
      <c r="E6004" s="60"/>
      <c r="F6004" s="60"/>
      <c r="G6004" s="60"/>
      <c r="H6004" s="60"/>
      <c r="I6004" s="60"/>
      <c r="J6004" s="60"/>
      <c r="K6004" s="60"/>
      <c r="L6004" s="60"/>
      <c r="M6004" s="64"/>
      <c r="N6004" s="33"/>
    </row>
    <row r="6005" ht="24" customHeight="1" spans="2:14">
      <c r="B6005" s="33"/>
      <c r="C6005" s="60"/>
      <c r="D6005" s="60"/>
      <c r="E6005" s="60"/>
      <c r="F6005" s="60"/>
      <c r="G6005" s="60"/>
      <c r="H6005" s="60"/>
      <c r="I6005" s="60"/>
      <c r="J6005" s="60"/>
      <c r="K6005" s="60"/>
      <c r="L6005" s="60"/>
      <c r="M6005" s="64"/>
      <c r="N6005" s="33"/>
    </row>
    <row r="6006" ht="24" customHeight="1" spans="2:14">
      <c r="B6006" s="33"/>
      <c r="C6006" s="60"/>
      <c r="D6006" s="60"/>
      <c r="E6006" s="60"/>
      <c r="F6006" s="60"/>
      <c r="G6006" s="60"/>
      <c r="H6006" s="60"/>
      <c r="I6006" s="60"/>
      <c r="J6006" s="60"/>
      <c r="K6006" s="60"/>
      <c r="L6006" s="60"/>
      <c r="M6006" s="64"/>
      <c r="N6006" s="33"/>
    </row>
    <row r="6007" ht="24" customHeight="1" spans="2:14">
      <c r="B6007" s="33"/>
      <c r="C6007" s="60"/>
      <c r="D6007" s="60"/>
      <c r="E6007" s="60"/>
      <c r="F6007" s="60"/>
      <c r="G6007" s="60"/>
      <c r="H6007" s="60"/>
      <c r="I6007" s="60"/>
      <c r="J6007" s="60"/>
      <c r="K6007" s="60"/>
      <c r="L6007" s="60"/>
      <c r="M6007" s="64"/>
      <c r="N6007" s="33"/>
    </row>
    <row r="6008" ht="24" customHeight="1" spans="2:14">
      <c r="B6008" s="33"/>
      <c r="C6008" s="60"/>
      <c r="D6008" s="60"/>
      <c r="E6008" s="60"/>
      <c r="F6008" s="60"/>
      <c r="G6008" s="60"/>
      <c r="H6008" s="60"/>
      <c r="I6008" s="60"/>
      <c r="J6008" s="60"/>
      <c r="K6008" s="60"/>
      <c r="L6008" s="60"/>
      <c r="M6008" s="64"/>
      <c r="N6008" s="33"/>
    </row>
    <row r="6009" ht="24" customHeight="1" spans="2:14">
      <c r="B6009" s="33"/>
      <c r="C6009" s="60"/>
      <c r="D6009" s="60"/>
      <c r="E6009" s="60"/>
      <c r="F6009" s="60"/>
      <c r="G6009" s="60"/>
      <c r="H6009" s="60"/>
      <c r="I6009" s="60"/>
      <c r="J6009" s="60"/>
      <c r="K6009" s="60"/>
      <c r="L6009" s="60"/>
      <c r="M6009" s="64"/>
      <c r="N6009" s="33"/>
    </row>
    <row r="6010" ht="24" customHeight="1" spans="2:14">
      <c r="B6010" s="33"/>
      <c r="C6010" s="60"/>
      <c r="D6010" s="60"/>
      <c r="E6010" s="60"/>
      <c r="F6010" s="60"/>
      <c r="G6010" s="60"/>
      <c r="H6010" s="60"/>
      <c r="I6010" s="60"/>
      <c r="J6010" s="60"/>
      <c r="K6010" s="60"/>
      <c r="L6010" s="60"/>
      <c r="M6010" s="64"/>
      <c r="N6010" s="33"/>
    </row>
    <row r="6011" ht="24" customHeight="1" spans="2:14">
      <c r="B6011" s="33"/>
      <c r="C6011" s="60"/>
      <c r="D6011" s="60"/>
      <c r="E6011" s="60"/>
      <c r="F6011" s="60"/>
      <c r="G6011" s="60"/>
      <c r="H6011" s="60"/>
      <c r="I6011" s="60"/>
      <c r="J6011" s="60"/>
      <c r="K6011" s="60"/>
      <c r="L6011" s="60"/>
      <c r="M6011" s="64"/>
      <c r="N6011" s="33"/>
    </row>
    <row r="6012" ht="24" customHeight="1" spans="2:14">
      <c r="B6012" s="33"/>
      <c r="C6012" s="60"/>
      <c r="D6012" s="60"/>
      <c r="E6012" s="60"/>
      <c r="F6012" s="60"/>
      <c r="G6012" s="60"/>
      <c r="H6012" s="60"/>
      <c r="I6012" s="60"/>
      <c r="J6012" s="60"/>
      <c r="K6012" s="60"/>
      <c r="L6012" s="60"/>
      <c r="M6012" s="64"/>
      <c r="N6012" s="33"/>
    </row>
    <row r="6013" ht="24" customHeight="1" spans="2:14">
      <c r="B6013" s="33"/>
      <c r="C6013" s="60"/>
      <c r="D6013" s="60"/>
      <c r="E6013" s="60"/>
      <c r="F6013" s="60"/>
      <c r="G6013" s="60"/>
      <c r="H6013" s="60"/>
      <c r="I6013" s="60"/>
      <c r="J6013" s="60"/>
      <c r="K6013" s="60"/>
      <c r="L6013" s="60"/>
      <c r="M6013" s="64"/>
      <c r="N6013" s="33"/>
    </row>
    <row r="6014" ht="24" customHeight="1" spans="2:14">
      <c r="B6014" s="33"/>
      <c r="C6014" s="60"/>
      <c r="D6014" s="60"/>
      <c r="E6014" s="60"/>
      <c r="F6014" s="60"/>
      <c r="G6014" s="60"/>
      <c r="H6014" s="60"/>
      <c r="I6014" s="60"/>
      <c r="J6014" s="60"/>
      <c r="K6014" s="60"/>
      <c r="L6014" s="60"/>
      <c r="M6014" s="64"/>
      <c r="N6014" s="33"/>
    </row>
    <row r="6015" ht="24" customHeight="1" spans="2:14">
      <c r="B6015" s="33"/>
      <c r="C6015" s="60"/>
      <c r="D6015" s="60"/>
      <c r="E6015" s="60"/>
      <c r="F6015" s="60"/>
      <c r="G6015" s="60"/>
      <c r="H6015" s="60"/>
      <c r="I6015" s="60"/>
      <c r="J6015" s="60"/>
      <c r="K6015" s="60"/>
      <c r="L6015" s="60"/>
      <c r="M6015" s="64"/>
      <c r="N6015" s="33"/>
    </row>
    <row r="6016" ht="24" customHeight="1" spans="2:14">
      <c r="B6016" s="33"/>
      <c r="C6016" s="60"/>
      <c r="D6016" s="60"/>
      <c r="E6016" s="60"/>
      <c r="F6016" s="60"/>
      <c r="G6016" s="60"/>
      <c r="H6016" s="60"/>
      <c r="I6016" s="60"/>
      <c r="J6016" s="60"/>
      <c r="K6016" s="60"/>
      <c r="L6016" s="60"/>
      <c r="M6016" s="64"/>
      <c r="N6016" s="33"/>
    </row>
    <row r="6017" ht="24" customHeight="1" spans="2:14">
      <c r="B6017" s="33"/>
      <c r="C6017" s="60"/>
      <c r="D6017" s="60"/>
      <c r="E6017" s="60"/>
      <c r="F6017" s="60"/>
      <c r="G6017" s="60"/>
      <c r="H6017" s="60"/>
      <c r="I6017" s="60"/>
      <c r="J6017" s="60"/>
      <c r="K6017" s="60"/>
      <c r="L6017" s="60"/>
      <c r="M6017" s="64"/>
      <c r="N6017" s="33"/>
    </row>
    <row r="6018" ht="24" customHeight="1" spans="2:14">
      <c r="B6018" s="33"/>
      <c r="C6018" s="60"/>
      <c r="D6018" s="60"/>
      <c r="E6018" s="60"/>
      <c r="F6018" s="60"/>
      <c r="G6018" s="60"/>
      <c r="H6018" s="60"/>
      <c r="I6018" s="60"/>
      <c r="J6018" s="60"/>
      <c r="K6018" s="60"/>
      <c r="L6018" s="60"/>
      <c r="M6018" s="64"/>
      <c r="N6018" s="33"/>
    </row>
    <row r="6019" ht="24" customHeight="1" spans="2:14">
      <c r="B6019" s="33"/>
      <c r="C6019" s="60"/>
      <c r="D6019" s="60"/>
      <c r="E6019" s="60"/>
      <c r="F6019" s="60"/>
      <c r="G6019" s="60"/>
      <c r="H6019" s="60"/>
      <c r="I6019" s="60"/>
      <c r="J6019" s="60"/>
      <c r="K6019" s="60"/>
      <c r="L6019" s="60"/>
      <c r="M6019" s="64"/>
      <c r="N6019" s="33"/>
    </row>
    <row r="6020" ht="24" customHeight="1" spans="2:14">
      <c r="B6020" s="33"/>
      <c r="C6020" s="60"/>
      <c r="D6020" s="60"/>
      <c r="E6020" s="60"/>
      <c r="F6020" s="60"/>
      <c r="G6020" s="60"/>
      <c r="H6020" s="60"/>
      <c r="I6020" s="60"/>
      <c r="J6020" s="60"/>
      <c r="K6020" s="60"/>
      <c r="L6020" s="60"/>
      <c r="M6020" s="64"/>
      <c r="N6020" s="33"/>
    </row>
    <row r="6021" ht="24" customHeight="1" spans="2:14">
      <c r="B6021" s="33"/>
      <c r="C6021" s="60"/>
      <c r="D6021" s="60"/>
      <c r="E6021" s="60"/>
      <c r="F6021" s="60"/>
      <c r="G6021" s="60"/>
      <c r="H6021" s="60"/>
      <c r="I6021" s="60"/>
      <c r="J6021" s="60"/>
      <c r="K6021" s="60"/>
      <c r="L6021" s="60"/>
      <c r="M6021" s="64"/>
      <c r="N6021" s="33"/>
    </row>
    <row r="6022" ht="24" customHeight="1" spans="2:14">
      <c r="B6022" s="33"/>
      <c r="C6022" s="60"/>
      <c r="D6022" s="60"/>
      <c r="E6022" s="60"/>
      <c r="F6022" s="60"/>
      <c r="G6022" s="60"/>
      <c r="H6022" s="60"/>
      <c r="I6022" s="60"/>
      <c r="J6022" s="60"/>
      <c r="K6022" s="60"/>
      <c r="L6022" s="60"/>
      <c r="M6022" s="64"/>
      <c r="N6022" s="33"/>
    </row>
    <row r="6023" ht="24" customHeight="1" spans="2:14">
      <c r="B6023" s="33"/>
      <c r="C6023" s="60"/>
      <c r="D6023" s="60"/>
      <c r="E6023" s="60"/>
      <c r="F6023" s="60"/>
      <c r="G6023" s="60"/>
      <c r="H6023" s="60"/>
      <c r="I6023" s="60"/>
      <c r="J6023" s="60"/>
      <c r="K6023" s="60"/>
      <c r="L6023" s="60"/>
      <c r="M6023" s="64"/>
      <c r="N6023" s="33"/>
    </row>
    <row r="6024" ht="24" customHeight="1" spans="2:14">
      <c r="B6024" s="33"/>
      <c r="C6024" s="60"/>
      <c r="D6024" s="60"/>
      <c r="E6024" s="60"/>
      <c r="F6024" s="60"/>
      <c r="G6024" s="60"/>
      <c r="H6024" s="60"/>
      <c r="I6024" s="60"/>
      <c r="J6024" s="60"/>
      <c r="K6024" s="60"/>
      <c r="L6024" s="60"/>
      <c r="M6024" s="64"/>
      <c r="N6024" s="33"/>
    </row>
    <row r="6025" ht="24" customHeight="1" spans="2:14">
      <c r="B6025" s="33"/>
      <c r="C6025" s="60"/>
      <c r="D6025" s="60"/>
      <c r="E6025" s="60"/>
      <c r="F6025" s="60"/>
      <c r="G6025" s="60"/>
      <c r="H6025" s="60"/>
      <c r="I6025" s="60"/>
      <c r="J6025" s="60"/>
      <c r="K6025" s="60"/>
      <c r="L6025" s="60"/>
      <c r="M6025" s="64"/>
      <c r="N6025" s="33"/>
    </row>
    <row r="6026" ht="24" customHeight="1" spans="2:14">
      <c r="B6026" s="33"/>
      <c r="C6026" s="60"/>
      <c r="D6026" s="60"/>
      <c r="E6026" s="60"/>
      <c r="F6026" s="60"/>
      <c r="G6026" s="60"/>
      <c r="H6026" s="60"/>
      <c r="I6026" s="60"/>
      <c r="J6026" s="60"/>
      <c r="K6026" s="60"/>
      <c r="L6026" s="60"/>
      <c r="M6026" s="64"/>
      <c r="N6026" s="33"/>
    </row>
    <row r="6027" ht="24" customHeight="1" spans="2:14">
      <c r="B6027" s="33"/>
      <c r="C6027" s="60"/>
      <c r="D6027" s="60"/>
      <c r="E6027" s="60"/>
      <c r="F6027" s="60"/>
      <c r="G6027" s="60"/>
      <c r="H6027" s="60"/>
      <c r="I6027" s="60"/>
      <c r="J6027" s="60"/>
      <c r="K6027" s="60"/>
      <c r="L6027" s="60"/>
      <c r="M6027" s="64"/>
      <c r="N6027" s="33"/>
    </row>
    <row r="6028" ht="24" customHeight="1" spans="2:14">
      <c r="B6028" s="33"/>
      <c r="C6028" s="60"/>
      <c r="D6028" s="60"/>
      <c r="E6028" s="60"/>
      <c r="F6028" s="60"/>
      <c r="G6028" s="60"/>
      <c r="H6028" s="60"/>
      <c r="I6028" s="60"/>
      <c r="J6028" s="60"/>
      <c r="K6028" s="60"/>
      <c r="L6028" s="60"/>
      <c r="M6028" s="64"/>
      <c r="N6028" s="33"/>
    </row>
    <row r="6029" ht="24" customHeight="1" spans="2:14">
      <c r="B6029" s="33"/>
      <c r="C6029" s="60"/>
      <c r="D6029" s="60"/>
      <c r="E6029" s="60"/>
      <c r="F6029" s="60"/>
      <c r="G6029" s="60"/>
      <c r="H6029" s="60"/>
      <c r="I6029" s="60"/>
      <c r="J6029" s="60"/>
      <c r="K6029" s="60"/>
      <c r="L6029" s="60"/>
      <c r="M6029" s="64"/>
      <c r="N6029" s="33"/>
    </row>
    <row r="6030" ht="24" customHeight="1" spans="2:14">
      <c r="B6030" s="33"/>
      <c r="C6030" s="60"/>
      <c r="D6030" s="60"/>
      <c r="E6030" s="60"/>
      <c r="F6030" s="60"/>
      <c r="G6030" s="60"/>
      <c r="H6030" s="60"/>
      <c r="I6030" s="60"/>
      <c r="J6030" s="60"/>
      <c r="K6030" s="60"/>
      <c r="L6030" s="60"/>
      <c r="M6030" s="64"/>
      <c r="N6030" s="33"/>
    </row>
    <row r="6031" ht="24" customHeight="1" spans="2:14">
      <c r="B6031" s="33"/>
      <c r="C6031" s="60"/>
      <c r="D6031" s="60"/>
      <c r="E6031" s="60"/>
      <c r="F6031" s="60"/>
      <c r="G6031" s="60"/>
      <c r="H6031" s="60"/>
      <c r="I6031" s="60"/>
      <c r="J6031" s="60"/>
      <c r="K6031" s="60"/>
      <c r="L6031" s="60"/>
      <c r="M6031" s="64"/>
      <c r="N6031" s="33"/>
    </row>
    <row r="6032" ht="24" customHeight="1" spans="2:14">
      <c r="B6032" s="33"/>
      <c r="C6032" s="60"/>
      <c r="D6032" s="60"/>
      <c r="E6032" s="60"/>
      <c r="F6032" s="60"/>
      <c r="G6032" s="60"/>
      <c r="H6032" s="60"/>
      <c r="I6032" s="60"/>
      <c r="J6032" s="60"/>
      <c r="K6032" s="60"/>
      <c r="L6032" s="60"/>
      <c r="M6032" s="64"/>
      <c r="N6032" s="33"/>
    </row>
    <row r="6033" ht="24" customHeight="1" spans="2:14">
      <c r="B6033" s="33"/>
      <c r="C6033" s="60"/>
      <c r="D6033" s="60"/>
      <c r="E6033" s="60"/>
      <c r="F6033" s="60"/>
      <c r="G6033" s="60"/>
      <c r="H6033" s="60"/>
      <c r="I6033" s="60"/>
      <c r="J6033" s="60"/>
      <c r="K6033" s="60"/>
      <c r="L6033" s="60"/>
      <c r="M6033" s="64"/>
      <c r="N6033" s="33"/>
    </row>
    <row r="6034" ht="24" customHeight="1" spans="2:14">
      <c r="B6034" s="33"/>
      <c r="C6034" s="60"/>
      <c r="D6034" s="60"/>
      <c r="E6034" s="60"/>
      <c r="F6034" s="60"/>
      <c r="G6034" s="60"/>
      <c r="H6034" s="60"/>
      <c r="I6034" s="60"/>
      <c r="J6034" s="60"/>
      <c r="K6034" s="60"/>
      <c r="L6034" s="60"/>
      <c r="M6034" s="64"/>
      <c r="N6034" s="33"/>
    </row>
    <row r="6035" ht="24" customHeight="1" spans="2:14">
      <c r="B6035" s="33"/>
      <c r="C6035" s="60"/>
      <c r="D6035" s="60"/>
      <c r="E6035" s="60"/>
      <c r="F6035" s="60"/>
      <c r="G6035" s="60"/>
      <c r="H6035" s="60"/>
      <c r="I6035" s="60"/>
      <c r="J6035" s="60"/>
      <c r="K6035" s="60"/>
      <c r="L6035" s="60"/>
      <c r="M6035" s="64"/>
      <c r="N6035" s="33"/>
    </row>
    <row r="6036" ht="24" customHeight="1" spans="2:14">
      <c r="B6036" s="33"/>
      <c r="C6036" s="60"/>
      <c r="D6036" s="60"/>
      <c r="E6036" s="60"/>
      <c r="F6036" s="60"/>
      <c r="G6036" s="60"/>
      <c r="H6036" s="60"/>
      <c r="I6036" s="60"/>
      <c r="J6036" s="60"/>
      <c r="K6036" s="60"/>
      <c r="L6036" s="60"/>
      <c r="M6036" s="64"/>
      <c r="N6036" s="33"/>
    </row>
    <row r="6037" ht="24" customHeight="1" spans="2:14">
      <c r="B6037" s="33"/>
      <c r="C6037" s="60"/>
      <c r="D6037" s="60"/>
      <c r="E6037" s="60"/>
      <c r="F6037" s="60"/>
      <c r="G6037" s="60"/>
      <c r="H6037" s="60"/>
      <c r="I6037" s="60"/>
      <c r="J6037" s="60"/>
      <c r="K6037" s="60"/>
      <c r="L6037" s="60"/>
      <c r="M6037" s="64"/>
      <c r="N6037" s="33"/>
    </row>
    <row r="6038" ht="24" customHeight="1" spans="2:14">
      <c r="B6038" s="33"/>
      <c r="C6038" s="60"/>
      <c r="D6038" s="60"/>
      <c r="E6038" s="60"/>
      <c r="F6038" s="60"/>
      <c r="G6038" s="60"/>
      <c r="H6038" s="60"/>
      <c r="I6038" s="60"/>
      <c r="J6038" s="60"/>
      <c r="K6038" s="60"/>
      <c r="L6038" s="60"/>
      <c r="M6038" s="64"/>
      <c r="N6038" s="33"/>
    </row>
    <row r="6039" ht="24" customHeight="1" spans="2:14">
      <c r="B6039" s="33"/>
      <c r="C6039" s="60"/>
      <c r="D6039" s="60"/>
      <c r="E6039" s="60"/>
      <c r="F6039" s="60"/>
      <c r="G6039" s="60"/>
      <c r="H6039" s="60"/>
      <c r="I6039" s="60"/>
      <c r="J6039" s="60"/>
      <c r="K6039" s="60"/>
      <c r="L6039" s="60"/>
      <c r="M6039" s="64"/>
      <c r="N6039" s="33"/>
    </row>
    <row r="6040" ht="24" customHeight="1" spans="2:14">
      <c r="B6040" s="33"/>
      <c r="C6040" s="60"/>
      <c r="D6040" s="60"/>
      <c r="E6040" s="60"/>
      <c r="F6040" s="60"/>
      <c r="G6040" s="60"/>
      <c r="H6040" s="60"/>
      <c r="I6040" s="60"/>
      <c r="J6040" s="60"/>
      <c r="K6040" s="60"/>
      <c r="L6040" s="60"/>
      <c r="M6040" s="64"/>
      <c r="N6040" s="33"/>
    </row>
    <row r="6041" ht="24" customHeight="1" spans="2:14">
      <c r="B6041" s="33"/>
      <c r="C6041" s="60"/>
      <c r="D6041" s="60"/>
      <c r="E6041" s="60"/>
      <c r="F6041" s="60"/>
      <c r="G6041" s="60"/>
      <c r="H6041" s="60"/>
      <c r="I6041" s="60"/>
      <c r="J6041" s="60"/>
      <c r="K6041" s="60"/>
      <c r="L6041" s="60"/>
      <c r="M6041" s="64"/>
      <c r="N6041" s="33"/>
    </row>
    <row r="6042" ht="24" customHeight="1" spans="2:14">
      <c r="B6042" s="33"/>
      <c r="C6042" s="60"/>
      <c r="D6042" s="60"/>
      <c r="E6042" s="60"/>
      <c r="F6042" s="60"/>
      <c r="G6042" s="60"/>
      <c r="H6042" s="60"/>
      <c r="I6042" s="60"/>
      <c r="J6042" s="60"/>
      <c r="K6042" s="60"/>
      <c r="L6042" s="60"/>
      <c r="M6042" s="64"/>
      <c r="N6042" s="33"/>
    </row>
    <row r="6043" ht="24" customHeight="1" spans="2:14">
      <c r="B6043" s="33"/>
      <c r="C6043" s="60"/>
      <c r="D6043" s="60"/>
      <c r="E6043" s="60"/>
      <c r="F6043" s="60"/>
      <c r="G6043" s="60"/>
      <c r="H6043" s="60"/>
      <c r="I6043" s="60"/>
      <c r="J6043" s="60"/>
      <c r="K6043" s="60"/>
      <c r="L6043" s="60"/>
      <c r="M6043" s="64"/>
      <c r="N6043" s="33"/>
    </row>
    <row r="6044" ht="24" customHeight="1" spans="2:14">
      <c r="B6044" s="33"/>
      <c r="C6044" s="60"/>
      <c r="D6044" s="60"/>
      <c r="E6044" s="60"/>
      <c r="F6044" s="60"/>
      <c r="G6044" s="60"/>
      <c r="H6044" s="60"/>
      <c r="I6044" s="60"/>
      <c r="J6044" s="60"/>
      <c r="K6044" s="60"/>
      <c r="L6044" s="60"/>
      <c r="M6044" s="64"/>
      <c r="N6044" s="33"/>
    </row>
    <row r="6045" ht="24" customHeight="1" spans="2:14">
      <c r="B6045" s="33"/>
      <c r="C6045" s="60"/>
      <c r="D6045" s="60"/>
      <c r="E6045" s="60"/>
      <c r="F6045" s="60"/>
      <c r="G6045" s="60"/>
      <c r="H6045" s="60"/>
      <c r="I6045" s="60"/>
      <c r="J6045" s="60"/>
      <c r="K6045" s="60"/>
      <c r="L6045" s="60"/>
      <c r="M6045" s="64"/>
      <c r="N6045" s="33"/>
    </row>
    <row r="6046" ht="24" customHeight="1" spans="2:14">
      <c r="B6046" s="33"/>
      <c r="C6046" s="60"/>
      <c r="D6046" s="60"/>
      <c r="E6046" s="60"/>
      <c r="F6046" s="60"/>
      <c r="G6046" s="60"/>
      <c r="H6046" s="60"/>
      <c r="I6046" s="60"/>
      <c r="J6046" s="60"/>
      <c r="K6046" s="60"/>
      <c r="L6046" s="60"/>
      <c r="M6046" s="64"/>
      <c r="N6046" s="33"/>
    </row>
    <row r="6047" ht="24" customHeight="1" spans="2:14">
      <c r="B6047" s="33"/>
      <c r="C6047" s="60"/>
      <c r="D6047" s="60"/>
      <c r="E6047" s="60"/>
      <c r="F6047" s="60"/>
      <c r="G6047" s="60"/>
      <c r="H6047" s="60"/>
      <c r="I6047" s="60"/>
      <c r="J6047" s="60"/>
      <c r="K6047" s="60"/>
      <c r="L6047" s="60"/>
      <c r="M6047" s="64"/>
      <c r="N6047" s="33"/>
    </row>
    <row r="6048" ht="24" customHeight="1" spans="2:14">
      <c r="B6048" s="33"/>
      <c r="C6048" s="60"/>
      <c r="D6048" s="60"/>
      <c r="E6048" s="60"/>
      <c r="F6048" s="60"/>
      <c r="G6048" s="60"/>
      <c r="H6048" s="60"/>
      <c r="I6048" s="60"/>
      <c r="J6048" s="60"/>
      <c r="K6048" s="60"/>
      <c r="L6048" s="60"/>
      <c r="M6048" s="64"/>
      <c r="N6048" s="33"/>
    </row>
    <row r="6049" ht="24" customHeight="1" spans="2:14">
      <c r="B6049" s="33"/>
      <c r="C6049" s="60"/>
      <c r="D6049" s="60"/>
      <c r="E6049" s="60"/>
      <c r="F6049" s="60"/>
      <c r="G6049" s="60"/>
      <c r="H6049" s="60"/>
      <c r="I6049" s="60"/>
      <c r="J6049" s="60"/>
      <c r="K6049" s="60"/>
      <c r="L6049" s="60"/>
      <c r="M6049" s="64"/>
      <c r="N6049" s="33"/>
    </row>
    <row r="6050" ht="24" customHeight="1" spans="2:14">
      <c r="B6050" s="33"/>
      <c r="C6050" s="60"/>
      <c r="D6050" s="60"/>
      <c r="E6050" s="60"/>
      <c r="F6050" s="60"/>
      <c r="G6050" s="60"/>
      <c r="H6050" s="60"/>
      <c r="I6050" s="60"/>
      <c r="J6050" s="60"/>
      <c r="K6050" s="60"/>
      <c r="L6050" s="60"/>
      <c r="M6050" s="64"/>
      <c r="N6050" s="33"/>
    </row>
    <row r="6051" ht="24" customHeight="1" spans="2:14">
      <c r="B6051" s="33"/>
      <c r="C6051" s="60"/>
      <c r="D6051" s="60"/>
      <c r="E6051" s="60"/>
      <c r="F6051" s="60"/>
      <c r="G6051" s="60"/>
      <c r="H6051" s="60"/>
      <c r="I6051" s="60"/>
      <c r="J6051" s="60"/>
      <c r="K6051" s="60"/>
      <c r="L6051" s="60"/>
      <c r="M6051" s="64"/>
      <c r="N6051" s="33"/>
    </row>
    <row r="6052" ht="24" customHeight="1" spans="2:14">
      <c r="B6052" s="33"/>
      <c r="C6052" s="60"/>
      <c r="D6052" s="60"/>
      <c r="E6052" s="60"/>
      <c r="F6052" s="60"/>
      <c r="G6052" s="60"/>
      <c r="H6052" s="60"/>
      <c r="I6052" s="60"/>
      <c r="J6052" s="60"/>
      <c r="K6052" s="60"/>
      <c r="L6052" s="60"/>
      <c r="M6052" s="64"/>
      <c r="N6052" s="33"/>
    </row>
    <row r="6053" ht="24" customHeight="1" spans="2:14">
      <c r="B6053" s="33"/>
      <c r="C6053" s="60"/>
      <c r="D6053" s="60"/>
      <c r="E6053" s="60"/>
      <c r="F6053" s="60"/>
      <c r="G6053" s="60"/>
      <c r="H6053" s="60"/>
      <c r="I6053" s="60"/>
      <c r="J6053" s="60"/>
      <c r="K6053" s="60"/>
      <c r="L6053" s="60"/>
      <c r="M6053" s="64"/>
      <c r="N6053" s="33"/>
    </row>
    <row r="6054" ht="24" customHeight="1" spans="2:14">
      <c r="B6054" s="33"/>
      <c r="C6054" s="60"/>
      <c r="D6054" s="60"/>
      <c r="E6054" s="60"/>
      <c r="F6054" s="60"/>
      <c r="G6054" s="60"/>
      <c r="H6054" s="60"/>
      <c r="I6054" s="60"/>
      <c r="J6054" s="60"/>
      <c r="K6054" s="60"/>
      <c r="L6054" s="60"/>
      <c r="M6054" s="64"/>
      <c r="N6054" s="33"/>
    </row>
    <row r="6055" ht="24" customHeight="1" spans="2:14">
      <c r="B6055" s="33"/>
      <c r="C6055" s="60"/>
      <c r="D6055" s="60"/>
      <c r="E6055" s="60"/>
      <c r="F6055" s="60"/>
      <c r="G6055" s="60"/>
      <c r="H6055" s="60"/>
      <c r="I6055" s="60"/>
      <c r="J6055" s="60"/>
      <c r="K6055" s="60"/>
      <c r="L6055" s="60"/>
      <c r="M6055" s="64"/>
      <c r="N6055" s="33"/>
    </row>
    <row r="6056" ht="24" customHeight="1" spans="2:14">
      <c r="B6056" s="33"/>
      <c r="C6056" s="60"/>
      <c r="D6056" s="60"/>
      <c r="E6056" s="60"/>
      <c r="F6056" s="60"/>
      <c r="G6056" s="60"/>
      <c r="H6056" s="60"/>
      <c r="I6056" s="60"/>
      <c r="J6056" s="60"/>
      <c r="K6056" s="60"/>
      <c r="L6056" s="60"/>
      <c r="M6056" s="64"/>
      <c r="N6056" s="33"/>
    </row>
    <row r="6057" ht="24" customHeight="1" spans="2:14">
      <c r="B6057" s="33"/>
      <c r="C6057" s="60"/>
      <c r="D6057" s="60"/>
      <c r="E6057" s="60"/>
      <c r="F6057" s="60"/>
      <c r="G6057" s="60"/>
      <c r="H6057" s="60"/>
      <c r="I6057" s="60"/>
      <c r="J6057" s="60"/>
      <c r="K6057" s="60"/>
      <c r="L6057" s="60"/>
      <c r="M6057" s="64"/>
      <c r="N6057" s="33"/>
    </row>
    <row r="6058" ht="24" customHeight="1" spans="2:14">
      <c r="B6058" s="33"/>
      <c r="C6058" s="60"/>
      <c r="D6058" s="60"/>
      <c r="E6058" s="60"/>
      <c r="F6058" s="60"/>
      <c r="G6058" s="60"/>
      <c r="H6058" s="60"/>
      <c r="I6058" s="60"/>
      <c r="J6058" s="60"/>
      <c r="K6058" s="60"/>
      <c r="L6058" s="60"/>
      <c r="M6058" s="64"/>
      <c r="N6058" s="33"/>
    </row>
    <row r="6059" ht="24" customHeight="1" spans="2:14">
      <c r="B6059" s="33"/>
      <c r="C6059" s="60"/>
      <c r="D6059" s="60"/>
      <c r="E6059" s="60"/>
      <c r="F6059" s="60"/>
      <c r="G6059" s="60"/>
      <c r="H6059" s="60"/>
      <c r="I6059" s="60"/>
      <c r="J6059" s="60"/>
      <c r="K6059" s="60"/>
      <c r="L6059" s="60"/>
      <c r="M6059" s="64"/>
      <c r="N6059" s="33"/>
    </row>
    <row r="6060" ht="24" customHeight="1" spans="2:14">
      <c r="B6060" s="33"/>
      <c r="C6060" s="60"/>
      <c r="D6060" s="60"/>
      <c r="E6060" s="60"/>
      <c r="F6060" s="60"/>
      <c r="G6060" s="60"/>
      <c r="H6060" s="60"/>
      <c r="I6060" s="60"/>
      <c r="J6060" s="60"/>
      <c r="K6060" s="60"/>
      <c r="L6060" s="60"/>
      <c r="M6060" s="64"/>
      <c r="N6060" s="33"/>
    </row>
    <row r="6061" ht="24" customHeight="1" spans="2:14">
      <c r="B6061" s="33"/>
      <c r="C6061" s="60"/>
      <c r="D6061" s="60"/>
      <c r="E6061" s="60"/>
      <c r="F6061" s="60"/>
      <c r="G6061" s="60"/>
      <c r="H6061" s="60"/>
      <c r="I6061" s="60"/>
      <c r="J6061" s="60"/>
      <c r="K6061" s="60"/>
      <c r="L6061" s="60"/>
      <c r="M6061" s="64"/>
      <c r="N6061" s="33"/>
    </row>
    <row r="6062" ht="24" customHeight="1" spans="2:14">
      <c r="B6062" s="33"/>
      <c r="C6062" s="60"/>
      <c r="D6062" s="60"/>
      <c r="E6062" s="60"/>
      <c r="F6062" s="60"/>
      <c r="G6062" s="60"/>
      <c r="H6062" s="60"/>
      <c r="I6062" s="60"/>
      <c r="J6062" s="60"/>
      <c r="K6062" s="60"/>
      <c r="L6062" s="60"/>
      <c r="M6062" s="64"/>
      <c r="N6062" s="33"/>
    </row>
    <row r="6063" ht="24" customHeight="1" spans="2:14">
      <c r="B6063" s="33"/>
      <c r="C6063" s="60"/>
      <c r="D6063" s="60"/>
      <c r="E6063" s="60"/>
      <c r="F6063" s="60"/>
      <c r="G6063" s="60"/>
      <c r="H6063" s="60"/>
      <c r="I6063" s="60"/>
      <c r="J6063" s="60"/>
      <c r="K6063" s="60"/>
      <c r="L6063" s="60"/>
      <c r="M6063" s="64"/>
      <c r="N6063" s="33"/>
    </row>
    <row r="6064" ht="24" customHeight="1" spans="2:14">
      <c r="B6064" s="33"/>
      <c r="C6064" s="60"/>
      <c r="D6064" s="60"/>
      <c r="E6064" s="60"/>
      <c r="F6064" s="60"/>
      <c r="G6064" s="60"/>
      <c r="H6064" s="60"/>
      <c r="I6064" s="60"/>
      <c r="J6064" s="60"/>
      <c r="K6064" s="60"/>
      <c r="L6064" s="60"/>
      <c r="M6064" s="64"/>
      <c r="N6064" s="33"/>
    </row>
    <row r="6065" ht="24" customHeight="1" spans="2:14">
      <c r="B6065" s="33"/>
      <c r="C6065" s="60"/>
      <c r="D6065" s="60"/>
      <c r="E6065" s="60"/>
      <c r="F6065" s="60"/>
      <c r="G6065" s="60"/>
      <c r="H6065" s="60"/>
      <c r="I6065" s="60"/>
      <c r="J6065" s="60"/>
      <c r="K6065" s="60"/>
      <c r="L6065" s="60"/>
      <c r="M6065" s="64"/>
      <c r="N6065" s="33"/>
    </row>
    <row r="6066" ht="24" customHeight="1" spans="2:14">
      <c r="B6066" s="33"/>
      <c r="C6066" s="60"/>
      <c r="D6066" s="60"/>
      <c r="E6066" s="60"/>
      <c r="F6066" s="60"/>
      <c r="G6066" s="60"/>
      <c r="H6066" s="60"/>
      <c r="I6066" s="60"/>
      <c r="J6066" s="60"/>
      <c r="K6066" s="60"/>
      <c r="L6066" s="60"/>
      <c r="M6066" s="64"/>
      <c r="N6066" s="33"/>
    </row>
    <row r="6067" ht="24" customHeight="1" spans="2:14">
      <c r="B6067" s="33"/>
      <c r="C6067" s="60"/>
      <c r="D6067" s="60"/>
      <c r="E6067" s="60"/>
      <c r="F6067" s="60"/>
      <c r="G6067" s="60"/>
      <c r="H6067" s="60"/>
      <c r="I6067" s="60"/>
      <c r="J6067" s="60"/>
      <c r="K6067" s="60"/>
      <c r="L6067" s="60"/>
      <c r="M6067" s="64"/>
      <c r="N6067" s="33"/>
    </row>
    <row r="6068" ht="24" customHeight="1" spans="2:14">
      <c r="B6068" s="33"/>
      <c r="C6068" s="60"/>
      <c r="D6068" s="60"/>
      <c r="E6068" s="60"/>
      <c r="F6068" s="60"/>
      <c r="G6068" s="60"/>
      <c r="H6068" s="60"/>
      <c r="I6068" s="60"/>
      <c r="J6068" s="60"/>
      <c r="K6068" s="60"/>
      <c r="L6068" s="60"/>
      <c r="M6068" s="64"/>
      <c r="N6068" s="33"/>
    </row>
    <row r="6069" ht="24" customHeight="1" spans="2:14">
      <c r="B6069" s="33"/>
      <c r="C6069" s="60"/>
      <c r="D6069" s="60"/>
      <c r="E6069" s="60"/>
      <c r="F6069" s="60"/>
      <c r="G6069" s="60"/>
      <c r="H6069" s="60"/>
      <c r="I6069" s="60"/>
      <c r="J6069" s="60"/>
      <c r="K6069" s="60"/>
      <c r="L6069" s="60"/>
      <c r="M6069" s="64"/>
      <c r="N6069" s="33"/>
    </row>
    <row r="6070" ht="24" customHeight="1" spans="2:14">
      <c r="B6070" s="33"/>
      <c r="C6070" s="60"/>
      <c r="D6070" s="60"/>
      <c r="E6070" s="60"/>
      <c r="F6070" s="60"/>
      <c r="G6070" s="60"/>
      <c r="H6070" s="60"/>
      <c r="I6070" s="60"/>
      <c r="J6070" s="60"/>
      <c r="K6070" s="60"/>
      <c r="L6070" s="60"/>
      <c r="M6070" s="64"/>
      <c r="N6070" s="33"/>
    </row>
    <row r="6071" ht="24" customHeight="1" spans="2:14">
      <c r="B6071" s="33"/>
      <c r="C6071" s="60"/>
      <c r="D6071" s="60"/>
      <c r="E6071" s="60"/>
      <c r="F6071" s="60"/>
      <c r="G6071" s="60"/>
      <c r="H6071" s="60"/>
      <c r="I6071" s="60"/>
      <c r="J6071" s="60"/>
      <c r="K6071" s="60"/>
      <c r="L6071" s="60"/>
      <c r="M6071" s="64"/>
      <c r="N6071" s="33"/>
    </row>
    <row r="6072" ht="24" customHeight="1" spans="2:14">
      <c r="B6072" s="33"/>
      <c r="C6072" s="60"/>
      <c r="D6072" s="60"/>
      <c r="E6072" s="60"/>
      <c r="F6072" s="60"/>
      <c r="G6072" s="60"/>
      <c r="H6072" s="60"/>
      <c r="I6072" s="60"/>
      <c r="J6072" s="60"/>
      <c r="K6072" s="60"/>
      <c r="L6072" s="60"/>
      <c r="M6072" s="64"/>
      <c r="N6072" s="33"/>
    </row>
    <row r="6073" ht="24" customHeight="1" spans="2:14">
      <c r="B6073" s="33"/>
      <c r="C6073" s="60"/>
      <c r="D6073" s="60"/>
      <c r="E6073" s="60"/>
      <c r="F6073" s="60"/>
      <c r="G6073" s="60"/>
      <c r="H6073" s="60"/>
      <c r="I6073" s="60"/>
      <c r="J6073" s="60"/>
      <c r="K6073" s="60"/>
      <c r="L6073" s="60"/>
      <c r="M6073" s="64"/>
      <c r="N6073" s="33"/>
    </row>
    <row r="6074" ht="24" customHeight="1" spans="2:14">
      <c r="B6074" s="33"/>
      <c r="C6074" s="60"/>
      <c r="D6074" s="60"/>
      <c r="E6074" s="60"/>
      <c r="F6074" s="60"/>
      <c r="G6074" s="60"/>
      <c r="H6074" s="60"/>
      <c r="I6074" s="60"/>
      <c r="J6074" s="60"/>
      <c r="K6074" s="60"/>
      <c r="L6074" s="60"/>
      <c r="M6074" s="64"/>
      <c r="N6074" s="33"/>
    </row>
    <row r="6075" ht="24" customHeight="1" spans="2:14">
      <c r="B6075" s="33"/>
      <c r="C6075" s="60"/>
      <c r="D6075" s="60"/>
      <c r="E6075" s="60"/>
      <c r="F6075" s="60"/>
      <c r="G6075" s="60"/>
      <c r="H6075" s="60"/>
      <c r="I6075" s="60"/>
      <c r="J6075" s="60"/>
      <c r="K6075" s="60"/>
      <c r="L6075" s="60"/>
      <c r="M6075" s="64"/>
      <c r="N6075" s="33"/>
    </row>
    <row r="6076" ht="24" customHeight="1" spans="2:14">
      <c r="B6076" s="33"/>
      <c r="C6076" s="60"/>
      <c r="D6076" s="60"/>
      <c r="E6076" s="60"/>
      <c r="F6076" s="60"/>
      <c r="G6076" s="60"/>
      <c r="H6076" s="60"/>
      <c r="I6076" s="60"/>
      <c r="J6076" s="60"/>
      <c r="K6076" s="60"/>
      <c r="L6076" s="60"/>
      <c r="M6076" s="64"/>
      <c r="N6076" s="33"/>
    </row>
    <row r="6077" ht="24" customHeight="1" spans="2:14">
      <c r="B6077" s="33"/>
      <c r="C6077" s="60"/>
      <c r="D6077" s="60"/>
      <c r="E6077" s="60"/>
      <c r="F6077" s="60"/>
      <c r="G6077" s="60"/>
      <c r="H6077" s="60"/>
      <c r="I6077" s="60"/>
      <c r="J6077" s="60"/>
      <c r="K6077" s="60"/>
      <c r="L6077" s="60"/>
      <c r="M6077" s="64"/>
      <c r="N6077" s="33"/>
    </row>
    <row r="6078" ht="24" customHeight="1" spans="2:14">
      <c r="B6078" s="33"/>
      <c r="C6078" s="60"/>
      <c r="D6078" s="60"/>
      <c r="E6078" s="60"/>
      <c r="F6078" s="60"/>
      <c r="G6078" s="60"/>
      <c r="H6078" s="60"/>
      <c r="I6078" s="60"/>
      <c r="J6078" s="60"/>
      <c r="K6078" s="60"/>
      <c r="L6078" s="60"/>
      <c r="M6078" s="64"/>
      <c r="N6078" s="33"/>
    </row>
    <row r="6079" ht="24" customHeight="1" spans="2:14">
      <c r="B6079" s="33"/>
      <c r="C6079" s="60"/>
      <c r="D6079" s="60"/>
      <c r="E6079" s="60"/>
      <c r="F6079" s="60"/>
      <c r="G6079" s="60"/>
      <c r="H6079" s="60"/>
      <c r="I6079" s="60"/>
      <c r="J6079" s="60"/>
      <c r="K6079" s="60"/>
      <c r="L6079" s="60"/>
      <c r="M6079" s="64"/>
      <c r="N6079" s="33"/>
    </row>
    <row r="6080" ht="24" customHeight="1" spans="2:14">
      <c r="B6080" s="33"/>
      <c r="C6080" s="60"/>
      <c r="D6080" s="60"/>
      <c r="E6080" s="60"/>
      <c r="F6080" s="60"/>
      <c r="G6080" s="60"/>
      <c r="H6080" s="60"/>
      <c r="I6080" s="60"/>
      <c r="J6080" s="60"/>
      <c r="K6080" s="60"/>
      <c r="L6080" s="60"/>
      <c r="M6080" s="64"/>
      <c r="N6080" s="33"/>
    </row>
    <row r="6081" ht="24" customHeight="1" spans="2:14">
      <c r="B6081" s="33"/>
      <c r="C6081" s="60"/>
      <c r="D6081" s="60"/>
      <c r="E6081" s="60"/>
      <c r="F6081" s="60"/>
      <c r="G6081" s="60"/>
      <c r="H6081" s="60"/>
      <c r="I6081" s="60"/>
      <c r="J6081" s="60"/>
      <c r="K6081" s="60"/>
      <c r="L6081" s="60"/>
      <c r="M6081" s="64"/>
      <c r="N6081" s="33"/>
    </row>
    <row r="6082" ht="24" customHeight="1" spans="2:14">
      <c r="B6082" s="33"/>
      <c r="C6082" s="60"/>
      <c r="D6082" s="60"/>
      <c r="E6082" s="60"/>
      <c r="F6082" s="60"/>
      <c r="G6082" s="60"/>
      <c r="H6082" s="60"/>
      <c r="I6082" s="60"/>
      <c r="J6082" s="60"/>
      <c r="K6082" s="60"/>
      <c r="L6082" s="60"/>
      <c r="M6082" s="64"/>
      <c r="N6082" s="33"/>
    </row>
    <row r="6083" ht="24" customHeight="1" spans="2:14">
      <c r="B6083" s="33"/>
      <c r="C6083" s="60"/>
      <c r="D6083" s="60"/>
      <c r="E6083" s="60"/>
      <c r="F6083" s="60"/>
      <c r="G6083" s="60"/>
      <c r="H6083" s="60"/>
      <c r="I6083" s="60"/>
      <c r="J6083" s="60"/>
      <c r="K6083" s="60"/>
      <c r="L6083" s="60"/>
      <c r="M6083" s="64"/>
      <c r="N6083" s="33"/>
    </row>
    <row r="6084" ht="24" customHeight="1" spans="2:14">
      <c r="B6084" s="33"/>
      <c r="C6084" s="60"/>
      <c r="D6084" s="60"/>
      <c r="E6084" s="60"/>
      <c r="F6084" s="60"/>
      <c r="G6084" s="60"/>
      <c r="H6084" s="60"/>
      <c r="I6084" s="60"/>
      <c r="J6084" s="60"/>
      <c r="K6084" s="60"/>
      <c r="L6084" s="60"/>
      <c r="M6084" s="64"/>
      <c r="N6084" s="33"/>
    </row>
    <row r="6085" ht="24" customHeight="1" spans="2:14">
      <c r="B6085" s="33"/>
      <c r="C6085" s="60"/>
      <c r="D6085" s="60"/>
      <c r="E6085" s="60"/>
      <c r="F6085" s="60"/>
      <c r="G6085" s="60"/>
      <c r="H6085" s="60"/>
      <c r="I6085" s="60"/>
      <c r="J6085" s="60"/>
      <c r="K6085" s="60"/>
      <c r="L6085" s="60"/>
      <c r="M6085" s="64"/>
      <c r="N6085" s="33"/>
    </row>
    <row r="6086" ht="24" customHeight="1" spans="2:14">
      <c r="B6086" s="33"/>
      <c r="C6086" s="60"/>
      <c r="D6086" s="60"/>
      <c r="E6086" s="60"/>
      <c r="F6086" s="60"/>
      <c r="G6086" s="60"/>
      <c r="H6086" s="60"/>
      <c r="I6086" s="60"/>
      <c r="J6086" s="60"/>
      <c r="K6086" s="60"/>
      <c r="L6086" s="60"/>
      <c r="M6086" s="64"/>
      <c r="N6086" s="33"/>
    </row>
    <row r="6087" ht="24" customHeight="1" spans="2:14">
      <c r="B6087" s="33"/>
      <c r="C6087" s="60"/>
      <c r="D6087" s="60"/>
      <c r="E6087" s="60"/>
      <c r="F6087" s="60"/>
      <c r="G6087" s="60"/>
      <c r="H6087" s="60"/>
      <c r="I6087" s="60"/>
      <c r="J6087" s="60"/>
      <c r="K6087" s="60"/>
      <c r="L6087" s="60"/>
      <c r="M6087" s="64"/>
      <c r="N6087" s="33"/>
    </row>
    <row r="6088" ht="24" customHeight="1" spans="2:14">
      <c r="B6088" s="33"/>
      <c r="C6088" s="60"/>
      <c r="D6088" s="60"/>
      <c r="E6088" s="60"/>
      <c r="F6088" s="60"/>
      <c r="G6088" s="60"/>
      <c r="H6088" s="60"/>
      <c r="I6088" s="60"/>
      <c r="J6088" s="60"/>
      <c r="K6088" s="60"/>
      <c r="L6088" s="60"/>
      <c r="M6088" s="64"/>
      <c r="N6088" s="33"/>
    </row>
    <row r="6089" ht="24" customHeight="1" spans="2:14">
      <c r="B6089" s="33"/>
      <c r="C6089" s="60"/>
      <c r="D6089" s="60"/>
      <c r="E6089" s="60"/>
      <c r="F6089" s="60"/>
      <c r="G6089" s="60"/>
      <c r="H6089" s="60"/>
      <c r="I6089" s="60"/>
      <c r="J6089" s="60"/>
      <c r="K6089" s="60"/>
      <c r="L6089" s="60"/>
      <c r="M6089" s="64"/>
      <c r="N6089" s="33"/>
    </row>
    <row r="6090" ht="24" customHeight="1" spans="2:14">
      <c r="B6090" s="33"/>
      <c r="C6090" s="60"/>
      <c r="D6090" s="60"/>
      <c r="E6090" s="60"/>
      <c r="F6090" s="60"/>
      <c r="G6090" s="60"/>
      <c r="H6090" s="60"/>
      <c r="I6090" s="60"/>
      <c r="J6090" s="60"/>
      <c r="K6090" s="60"/>
      <c r="L6090" s="60"/>
      <c r="M6090" s="64"/>
      <c r="N6090" s="33"/>
    </row>
    <row r="6091" ht="24" customHeight="1" spans="2:14">
      <c r="B6091" s="33"/>
      <c r="C6091" s="60"/>
      <c r="D6091" s="60"/>
      <c r="E6091" s="60"/>
      <c r="F6091" s="60"/>
      <c r="G6091" s="60"/>
      <c r="H6091" s="60"/>
      <c r="I6091" s="60"/>
      <c r="J6091" s="60"/>
      <c r="K6091" s="60"/>
      <c r="L6091" s="60"/>
      <c r="M6091" s="64"/>
      <c r="N6091" s="33"/>
    </row>
    <row r="6092" ht="24" customHeight="1" spans="2:14">
      <c r="B6092" s="33"/>
      <c r="C6092" s="60"/>
      <c r="D6092" s="60"/>
      <c r="E6092" s="60"/>
      <c r="F6092" s="60"/>
      <c r="G6092" s="60"/>
      <c r="H6092" s="60"/>
      <c r="I6092" s="60"/>
      <c r="J6092" s="60"/>
      <c r="K6092" s="60"/>
      <c r="L6092" s="60"/>
      <c r="M6092" s="64"/>
      <c r="N6092" s="33"/>
    </row>
    <row r="6093" ht="24" customHeight="1" spans="2:14">
      <c r="B6093" s="33"/>
      <c r="C6093" s="60"/>
      <c r="D6093" s="60"/>
      <c r="E6093" s="60"/>
      <c r="F6093" s="60"/>
      <c r="G6093" s="60"/>
      <c r="H6093" s="60"/>
      <c r="I6093" s="60"/>
      <c r="J6093" s="60"/>
      <c r="K6093" s="60"/>
      <c r="L6093" s="60"/>
      <c r="M6093" s="64"/>
      <c r="N6093" s="33"/>
    </row>
    <row r="6094" ht="24" customHeight="1" spans="2:14">
      <c r="B6094" s="33"/>
      <c r="C6094" s="60"/>
      <c r="D6094" s="60"/>
      <c r="E6094" s="60"/>
      <c r="F6094" s="60"/>
      <c r="G6094" s="60"/>
      <c r="H6094" s="60"/>
      <c r="I6094" s="60"/>
      <c r="J6094" s="60"/>
      <c r="K6094" s="60"/>
      <c r="L6094" s="60"/>
      <c r="M6094" s="64"/>
      <c r="N6094" s="33"/>
    </row>
    <row r="6095" ht="24" customHeight="1" spans="2:14">
      <c r="B6095" s="33"/>
      <c r="C6095" s="60"/>
      <c r="D6095" s="60"/>
      <c r="E6095" s="60"/>
      <c r="F6095" s="60"/>
      <c r="G6095" s="60"/>
      <c r="H6095" s="60"/>
      <c r="I6095" s="60"/>
      <c r="J6095" s="60"/>
      <c r="K6095" s="60"/>
      <c r="L6095" s="60"/>
      <c r="M6095" s="64"/>
      <c r="N6095" s="33"/>
    </row>
    <row r="6096" ht="24" customHeight="1" spans="2:14">
      <c r="B6096" s="33"/>
      <c r="C6096" s="60"/>
      <c r="D6096" s="60"/>
      <c r="E6096" s="60"/>
      <c r="F6096" s="60"/>
      <c r="G6096" s="60"/>
      <c r="H6096" s="60"/>
      <c r="I6096" s="60"/>
      <c r="J6096" s="60"/>
      <c r="K6096" s="60"/>
      <c r="L6096" s="60"/>
      <c r="M6096" s="64"/>
      <c r="N6096" s="33"/>
    </row>
    <row r="6097" ht="24" customHeight="1" spans="2:14">
      <c r="B6097" s="33"/>
      <c r="C6097" s="60"/>
      <c r="D6097" s="60"/>
      <c r="E6097" s="60"/>
      <c r="F6097" s="60"/>
      <c r="G6097" s="60"/>
      <c r="H6097" s="60"/>
      <c r="I6097" s="60"/>
      <c r="J6097" s="60"/>
      <c r="K6097" s="60"/>
      <c r="L6097" s="60"/>
      <c r="M6097" s="64"/>
      <c r="N6097" s="33"/>
    </row>
    <row r="6098" ht="24" customHeight="1" spans="2:14">
      <c r="B6098" s="33"/>
      <c r="C6098" s="60"/>
      <c r="D6098" s="60"/>
      <c r="E6098" s="60"/>
      <c r="F6098" s="60"/>
      <c r="G6098" s="60"/>
      <c r="H6098" s="60"/>
      <c r="I6098" s="60"/>
      <c r="J6098" s="60"/>
      <c r="K6098" s="60"/>
      <c r="L6098" s="60"/>
      <c r="M6098" s="64"/>
      <c r="N6098" s="33"/>
    </row>
    <row r="6099" ht="24" customHeight="1" spans="2:14">
      <c r="B6099" s="33"/>
      <c r="C6099" s="60"/>
      <c r="D6099" s="60"/>
      <c r="E6099" s="60"/>
      <c r="F6099" s="60"/>
      <c r="G6099" s="60"/>
      <c r="H6099" s="60"/>
      <c r="I6099" s="60"/>
      <c r="J6099" s="60"/>
      <c r="K6099" s="60"/>
      <c r="L6099" s="60"/>
      <c r="M6099" s="64"/>
      <c r="N6099" s="33"/>
    </row>
    <row r="6100" ht="24" customHeight="1" spans="2:14">
      <c r="B6100" s="33"/>
      <c r="C6100" s="60"/>
      <c r="D6100" s="60"/>
      <c r="E6100" s="60"/>
      <c r="F6100" s="60"/>
      <c r="G6100" s="60"/>
      <c r="H6100" s="60"/>
      <c r="I6100" s="60"/>
      <c r="J6100" s="60"/>
      <c r="K6100" s="60"/>
      <c r="L6100" s="60"/>
      <c r="M6100" s="64"/>
      <c r="N6100" s="33"/>
    </row>
    <row r="6101" ht="24" customHeight="1" spans="2:14">
      <c r="B6101" s="33"/>
      <c r="C6101" s="60"/>
      <c r="D6101" s="60"/>
      <c r="E6101" s="60"/>
      <c r="F6101" s="60"/>
      <c r="G6101" s="60"/>
      <c r="H6101" s="60"/>
      <c r="I6101" s="60"/>
      <c r="J6101" s="60"/>
      <c r="K6101" s="60"/>
      <c r="L6101" s="60"/>
      <c r="M6101" s="64"/>
      <c r="N6101" s="33"/>
    </row>
    <row r="6102" ht="24" customHeight="1" spans="2:14">
      <c r="B6102" s="33"/>
      <c r="C6102" s="60"/>
      <c r="D6102" s="60"/>
      <c r="E6102" s="60"/>
      <c r="F6102" s="60"/>
      <c r="G6102" s="60"/>
      <c r="H6102" s="60"/>
      <c r="I6102" s="60"/>
      <c r="J6102" s="60"/>
      <c r="K6102" s="60"/>
      <c r="L6102" s="60"/>
      <c r="M6102" s="64"/>
      <c r="N6102" s="33"/>
    </row>
    <row r="6103" ht="24" customHeight="1" spans="2:14">
      <c r="B6103" s="33"/>
      <c r="C6103" s="60"/>
      <c r="D6103" s="60"/>
      <c r="E6103" s="60"/>
      <c r="F6103" s="60"/>
      <c r="G6103" s="60"/>
      <c r="H6103" s="60"/>
      <c r="I6103" s="60"/>
      <c r="J6103" s="60"/>
      <c r="K6103" s="60"/>
      <c r="L6103" s="60"/>
      <c r="M6103" s="64"/>
      <c r="N6103" s="33"/>
    </row>
    <row r="6104" ht="24" customHeight="1" spans="2:14">
      <c r="B6104" s="33"/>
      <c r="C6104" s="60"/>
      <c r="D6104" s="60"/>
      <c r="E6104" s="60"/>
      <c r="F6104" s="60"/>
      <c r="G6104" s="60"/>
      <c r="H6104" s="60"/>
      <c r="I6104" s="60"/>
      <c r="J6104" s="60"/>
      <c r="K6104" s="60"/>
      <c r="L6104" s="60"/>
      <c r="M6104" s="64"/>
      <c r="N6104" s="33"/>
    </row>
    <row r="6105" ht="24" customHeight="1" spans="2:14">
      <c r="B6105" s="33"/>
      <c r="C6105" s="60"/>
      <c r="D6105" s="60"/>
      <c r="E6105" s="60"/>
      <c r="F6105" s="60"/>
      <c r="G6105" s="60"/>
      <c r="H6105" s="60"/>
      <c r="I6105" s="60"/>
      <c r="J6105" s="60"/>
      <c r="K6105" s="60"/>
      <c r="L6105" s="60"/>
      <c r="M6105" s="64"/>
      <c r="N6105" s="33"/>
    </row>
    <row r="6106" ht="24" customHeight="1" spans="2:14">
      <c r="B6106" s="33"/>
      <c r="C6106" s="60"/>
      <c r="D6106" s="60"/>
      <c r="E6106" s="60"/>
      <c r="F6106" s="60"/>
      <c r="G6106" s="60"/>
      <c r="H6106" s="60"/>
      <c r="I6106" s="60"/>
      <c r="J6106" s="60"/>
      <c r="K6106" s="60"/>
      <c r="L6106" s="60"/>
      <c r="M6106" s="64"/>
      <c r="N6106" s="33"/>
    </row>
    <row r="6107" ht="24" customHeight="1" spans="2:14">
      <c r="B6107" s="33"/>
      <c r="C6107" s="60"/>
      <c r="D6107" s="60"/>
      <c r="E6107" s="60"/>
      <c r="F6107" s="60"/>
      <c r="G6107" s="60"/>
      <c r="H6107" s="60"/>
      <c r="I6107" s="60"/>
      <c r="J6107" s="60"/>
      <c r="K6107" s="60"/>
      <c r="L6107" s="60"/>
      <c r="M6107" s="64"/>
      <c r="N6107" s="33"/>
    </row>
    <row r="6108" ht="24" customHeight="1" spans="2:14">
      <c r="B6108" s="33"/>
      <c r="C6108" s="60"/>
      <c r="D6108" s="60"/>
      <c r="E6108" s="60"/>
      <c r="F6108" s="60"/>
      <c r="G6108" s="60"/>
      <c r="H6108" s="60"/>
      <c r="I6108" s="60"/>
      <c r="J6108" s="60"/>
      <c r="K6108" s="60"/>
      <c r="L6108" s="60"/>
      <c r="M6108" s="64"/>
      <c r="N6108" s="33"/>
    </row>
    <row r="6109" ht="24" customHeight="1" spans="2:14">
      <c r="B6109" s="33"/>
      <c r="C6109" s="60"/>
      <c r="D6109" s="60"/>
      <c r="E6109" s="60"/>
      <c r="F6109" s="60"/>
      <c r="G6109" s="60"/>
      <c r="H6109" s="60"/>
      <c r="I6109" s="60"/>
      <c r="J6109" s="60"/>
      <c r="K6109" s="60"/>
      <c r="L6109" s="60"/>
      <c r="M6109" s="64"/>
      <c r="N6109" s="33"/>
    </row>
    <row r="6110" ht="24" customHeight="1" spans="2:14">
      <c r="B6110" s="33"/>
      <c r="C6110" s="60"/>
      <c r="D6110" s="60"/>
      <c r="E6110" s="60"/>
      <c r="F6110" s="60"/>
      <c r="G6110" s="60"/>
      <c r="H6110" s="60"/>
      <c r="I6110" s="60"/>
      <c r="J6110" s="60"/>
      <c r="K6110" s="60"/>
      <c r="L6110" s="60"/>
      <c r="M6110" s="64"/>
      <c r="N6110" s="33"/>
    </row>
    <row r="6111" ht="24" customHeight="1" spans="2:14">
      <c r="B6111" s="33"/>
      <c r="C6111" s="60"/>
      <c r="D6111" s="60"/>
      <c r="E6111" s="60"/>
      <c r="F6111" s="60"/>
      <c r="G6111" s="60"/>
      <c r="H6111" s="60"/>
      <c r="I6111" s="60"/>
      <c r="J6111" s="60"/>
      <c r="K6111" s="60"/>
      <c r="L6111" s="60"/>
      <c r="M6111" s="64"/>
      <c r="N6111" s="33"/>
    </row>
    <row r="6112" ht="24" customHeight="1" spans="2:14">
      <c r="B6112" s="33"/>
      <c r="C6112" s="60"/>
      <c r="D6112" s="60"/>
      <c r="E6112" s="60"/>
      <c r="F6112" s="60"/>
      <c r="G6112" s="60"/>
      <c r="H6112" s="60"/>
      <c r="I6112" s="60"/>
      <c r="J6112" s="60"/>
      <c r="K6112" s="60"/>
      <c r="L6112" s="60"/>
      <c r="M6112" s="64"/>
      <c r="N6112" s="33"/>
    </row>
    <row r="6113" ht="24" customHeight="1" spans="2:14">
      <c r="B6113" s="33"/>
      <c r="C6113" s="60"/>
      <c r="D6113" s="60"/>
      <c r="E6113" s="60"/>
      <c r="F6113" s="60"/>
      <c r="G6113" s="60"/>
      <c r="H6113" s="60"/>
      <c r="I6113" s="60"/>
      <c r="J6113" s="60"/>
      <c r="K6113" s="60"/>
      <c r="L6113" s="60"/>
      <c r="M6113" s="64"/>
      <c r="N6113" s="33"/>
    </row>
    <row r="6114" ht="24" customHeight="1" spans="2:14">
      <c r="B6114" s="33"/>
      <c r="C6114" s="60"/>
      <c r="D6114" s="60"/>
      <c r="E6114" s="60"/>
      <c r="F6114" s="60"/>
      <c r="G6114" s="60"/>
      <c r="H6114" s="60"/>
      <c r="I6114" s="60"/>
      <c r="J6114" s="60"/>
      <c r="K6114" s="60"/>
      <c r="L6114" s="60"/>
      <c r="M6114" s="64"/>
      <c r="N6114" s="33"/>
    </row>
    <row r="6115" ht="24" customHeight="1" spans="2:14">
      <c r="B6115" s="33"/>
      <c r="C6115" s="60"/>
      <c r="D6115" s="60"/>
      <c r="E6115" s="60"/>
      <c r="F6115" s="60"/>
      <c r="G6115" s="60"/>
      <c r="H6115" s="60"/>
      <c r="I6115" s="60"/>
      <c r="J6115" s="60"/>
      <c r="K6115" s="60"/>
      <c r="L6115" s="60"/>
      <c r="M6115" s="64"/>
      <c r="N6115" s="33"/>
    </row>
    <row r="6116" ht="24" customHeight="1" spans="2:14">
      <c r="B6116" s="33"/>
      <c r="C6116" s="60"/>
      <c r="D6116" s="60"/>
      <c r="E6116" s="60"/>
      <c r="F6116" s="60"/>
      <c r="G6116" s="60"/>
      <c r="H6116" s="60"/>
      <c r="I6116" s="60"/>
      <c r="J6116" s="60"/>
      <c r="K6116" s="60"/>
      <c r="L6116" s="60"/>
      <c r="M6116" s="64"/>
      <c r="N6116" s="33"/>
    </row>
    <row r="6117" ht="24" customHeight="1" spans="2:14">
      <c r="B6117" s="33"/>
      <c r="C6117" s="60"/>
      <c r="D6117" s="60"/>
      <c r="E6117" s="60"/>
      <c r="F6117" s="60"/>
      <c r="G6117" s="60"/>
      <c r="H6117" s="60"/>
      <c r="I6117" s="60"/>
      <c r="J6117" s="60"/>
      <c r="K6117" s="60"/>
      <c r="L6117" s="60"/>
      <c r="M6117" s="64"/>
      <c r="N6117" s="33"/>
    </row>
    <row r="6118" ht="24" customHeight="1" spans="2:14">
      <c r="B6118" s="33"/>
      <c r="C6118" s="60"/>
      <c r="D6118" s="60"/>
      <c r="E6118" s="60"/>
      <c r="F6118" s="60"/>
      <c r="G6118" s="60"/>
      <c r="H6118" s="60"/>
      <c r="I6118" s="60"/>
      <c r="J6118" s="60"/>
      <c r="K6118" s="60"/>
      <c r="L6118" s="60"/>
      <c r="M6118" s="64"/>
      <c r="N6118" s="33"/>
    </row>
    <row r="6119" ht="24" customHeight="1" spans="2:14">
      <c r="B6119" s="33"/>
      <c r="C6119" s="60"/>
      <c r="D6119" s="60"/>
      <c r="E6119" s="60"/>
      <c r="F6119" s="60"/>
      <c r="G6119" s="60"/>
      <c r="H6119" s="60"/>
      <c r="I6119" s="60"/>
      <c r="J6119" s="60"/>
      <c r="K6119" s="60"/>
      <c r="L6119" s="60"/>
      <c r="M6119" s="64"/>
      <c r="N6119" s="33"/>
    </row>
    <row r="6120" ht="24" customHeight="1" spans="2:14">
      <c r="B6120" s="33"/>
      <c r="C6120" s="60"/>
      <c r="D6120" s="60"/>
      <c r="E6120" s="60"/>
      <c r="F6120" s="60"/>
      <c r="G6120" s="60"/>
      <c r="H6120" s="60"/>
      <c r="I6120" s="60"/>
      <c r="J6120" s="60"/>
      <c r="K6120" s="60"/>
      <c r="L6120" s="60"/>
      <c r="M6120" s="64"/>
      <c r="N6120" s="33"/>
    </row>
    <row r="6121" ht="24" customHeight="1" spans="2:14">
      <c r="B6121" s="33"/>
      <c r="C6121" s="60"/>
      <c r="D6121" s="60"/>
      <c r="E6121" s="60"/>
      <c r="F6121" s="60"/>
      <c r="G6121" s="60"/>
      <c r="H6121" s="60"/>
      <c r="I6121" s="60"/>
      <c r="J6121" s="60"/>
      <c r="K6121" s="60"/>
      <c r="L6121" s="60"/>
      <c r="M6121" s="64"/>
      <c r="N6121" s="33"/>
    </row>
    <row r="6122" ht="24" customHeight="1" spans="2:14">
      <c r="B6122" s="33"/>
      <c r="C6122" s="60"/>
      <c r="D6122" s="60"/>
      <c r="E6122" s="60"/>
      <c r="F6122" s="60"/>
      <c r="G6122" s="60"/>
      <c r="H6122" s="60"/>
      <c r="I6122" s="60"/>
      <c r="J6122" s="60"/>
      <c r="K6122" s="60"/>
      <c r="L6122" s="60"/>
      <c r="M6122" s="64"/>
      <c r="N6122" s="33"/>
    </row>
    <row r="6123" ht="24" customHeight="1" spans="2:14">
      <c r="B6123" s="33"/>
      <c r="C6123" s="60"/>
      <c r="D6123" s="60"/>
      <c r="E6123" s="60"/>
      <c r="F6123" s="60"/>
      <c r="G6123" s="60"/>
      <c r="H6123" s="60"/>
      <c r="I6123" s="60"/>
      <c r="J6123" s="60"/>
      <c r="K6123" s="60"/>
      <c r="L6123" s="60"/>
      <c r="M6123" s="64"/>
      <c r="N6123" s="33"/>
    </row>
    <row r="6124" ht="24" customHeight="1" spans="2:14">
      <c r="B6124" s="33"/>
      <c r="C6124" s="60"/>
      <c r="D6124" s="60"/>
      <c r="E6124" s="60"/>
      <c r="F6124" s="60"/>
      <c r="G6124" s="60"/>
      <c r="H6124" s="60"/>
      <c r="I6124" s="60"/>
      <c r="J6124" s="60"/>
      <c r="K6124" s="60"/>
      <c r="L6124" s="60"/>
      <c r="M6124" s="64"/>
      <c r="N6124" s="33"/>
    </row>
    <row r="6125" ht="24" customHeight="1" spans="2:14">
      <c r="B6125" s="33"/>
      <c r="C6125" s="60"/>
      <c r="D6125" s="60"/>
      <c r="E6125" s="60"/>
      <c r="F6125" s="60"/>
      <c r="G6125" s="60"/>
      <c r="H6125" s="60"/>
      <c r="I6125" s="60"/>
      <c r="J6125" s="60"/>
      <c r="K6125" s="60"/>
      <c r="L6125" s="60"/>
      <c r="M6125" s="64"/>
      <c r="N6125" s="33"/>
    </row>
    <row r="6126" ht="24" customHeight="1" spans="2:14">
      <c r="B6126" s="33"/>
      <c r="C6126" s="60"/>
      <c r="D6126" s="60"/>
      <c r="E6126" s="60"/>
      <c r="F6126" s="60"/>
      <c r="G6126" s="60"/>
      <c r="H6126" s="60"/>
      <c r="I6126" s="60"/>
      <c r="J6126" s="60"/>
      <c r="K6126" s="60"/>
      <c r="L6126" s="60"/>
      <c r="M6126" s="64"/>
      <c r="N6126" s="33"/>
    </row>
    <row r="6127" ht="24" customHeight="1" spans="2:14">
      <c r="B6127" s="33"/>
      <c r="C6127" s="60"/>
      <c r="D6127" s="60"/>
      <c r="E6127" s="60"/>
      <c r="F6127" s="60"/>
      <c r="G6127" s="60"/>
      <c r="H6127" s="60"/>
      <c r="I6127" s="60"/>
      <c r="J6127" s="60"/>
      <c r="K6127" s="60"/>
      <c r="L6127" s="60"/>
      <c r="M6127" s="64"/>
      <c r="N6127" s="33"/>
    </row>
    <row r="6128" ht="24" customHeight="1" spans="2:14">
      <c r="B6128" s="33"/>
      <c r="C6128" s="60"/>
      <c r="D6128" s="60"/>
      <c r="E6128" s="60"/>
      <c r="F6128" s="60"/>
      <c r="G6128" s="60"/>
      <c r="H6128" s="60"/>
      <c r="I6128" s="60"/>
      <c r="J6128" s="60"/>
      <c r="K6128" s="60"/>
      <c r="L6128" s="60"/>
      <c r="M6128" s="64"/>
      <c r="N6128" s="33"/>
    </row>
    <row r="6129" ht="24" customHeight="1" spans="2:14">
      <c r="B6129" s="33"/>
      <c r="C6129" s="60"/>
      <c r="D6129" s="60"/>
      <c r="E6129" s="60"/>
      <c r="F6129" s="60"/>
      <c r="G6129" s="60"/>
      <c r="H6129" s="60"/>
      <c r="I6129" s="60"/>
      <c r="J6129" s="60"/>
      <c r="K6129" s="60"/>
      <c r="L6129" s="60"/>
      <c r="M6129" s="64"/>
      <c r="N6129" s="33"/>
    </row>
    <row r="6130" ht="24" customHeight="1" spans="2:14">
      <c r="B6130" s="33"/>
      <c r="C6130" s="60"/>
      <c r="D6130" s="60"/>
      <c r="E6130" s="60"/>
      <c r="F6130" s="60"/>
      <c r="G6130" s="60"/>
      <c r="H6130" s="60"/>
      <c r="I6130" s="60"/>
      <c r="J6130" s="60"/>
      <c r="K6130" s="60"/>
      <c r="L6130" s="60"/>
      <c r="M6130" s="64"/>
      <c r="N6130" s="33"/>
    </row>
    <row r="6131" ht="24" customHeight="1" spans="2:14">
      <c r="B6131" s="33"/>
      <c r="C6131" s="60"/>
      <c r="D6131" s="60"/>
      <c r="E6131" s="60"/>
      <c r="F6131" s="60"/>
      <c r="G6131" s="60"/>
      <c r="H6131" s="60"/>
      <c r="I6131" s="60"/>
      <c r="J6131" s="60"/>
      <c r="K6131" s="60"/>
      <c r="L6131" s="60"/>
      <c r="M6131" s="64"/>
      <c r="N6131" s="33"/>
    </row>
    <row r="6132" ht="24" customHeight="1" spans="2:14">
      <c r="B6132" s="33"/>
      <c r="C6132" s="60"/>
      <c r="D6132" s="60"/>
      <c r="E6132" s="60"/>
      <c r="F6132" s="60"/>
      <c r="G6132" s="60"/>
      <c r="H6132" s="60"/>
      <c r="I6132" s="60"/>
      <c r="J6132" s="60"/>
      <c r="K6132" s="60"/>
      <c r="L6132" s="60"/>
      <c r="M6132" s="64"/>
      <c r="N6132" s="33"/>
    </row>
    <row r="6133" ht="24" customHeight="1" spans="2:14">
      <c r="B6133" s="33"/>
      <c r="C6133" s="60"/>
      <c r="D6133" s="60"/>
      <c r="E6133" s="60"/>
      <c r="F6133" s="60"/>
      <c r="G6133" s="60"/>
      <c r="H6133" s="60"/>
      <c r="I6133" s="60"/>
      <c r="J6133" s="60"/>
      <c r="K6133" s="60"/>
      <c r="L6133" s="60"/>
      <c r="M6133" s="64"/>
      <c r="N6133" s="33"/>
    </row>
    <row r="6134" ht="24" customHeight="1" spans="2:14">
      <c r="B6134" s="33"/>
      <c r="C6134" s="60"/>
      <c r="D6134" s="60"/>
      <c r="E6134" s="60"/>
      <c r="F6134" s="60"/>
      <c r="G6134" s="60"/>
      <c r="H6134" s="60"/>
      <c r="I6134" s="60"/>
      <c r="J6134" s="60"/>
      <c r="K6134" s="60"/>
      <c r="L6134" s="60"/>
      <c r="M6134" s="64"/>
      <c r="N6134" s="33"/>
    </row>
    <row r="6135" ht="24" customHeight="1" spans="2:14">
      <c r="B6135" s="33"/>
      <c r="C6135" s="60"/>
      <c r="D6135" s="60"/>
      <c r="E6135" s="60"/>
      <c r="F6135" s="60"/>
      <c r="G6135" s="60"/>
      <c r="H6135" s="60"/>
      <c r="I6135" s="60"/>
      <c r="J6135" s="60"/>
      <c r="K6135" s="60"/>
      <c r="L6135" s="60"/>
      <c r="M6135" s="64"/>
      <c r="N6135" s="33"/>
    </row>
    <row r="6136" ht="24" customHeight="1" spans="2:14">
      <c r="B6136" s="33"/>
      <c r="C6136" s="60"/>
      <c r="D6136" s="60"/>
      <c r="E6136" s="60"/>
      <c r="F6136" s="60"/>
      <c r="G6136" s="60"/>
      <c r="H6136" s="60"/>
      <c r="I6136" s="60"/>
      <c r="J6136" s="60"/>
      <c r="K6136" s="60"/>
      <c r="L6136" s="60"/>
      <c r="M6136" s="64"/>
      <c r="N6136" s="33"/>
    </row>
    <row r="6137" ht="24" customHeight="1" spans="2:14">
      <c r="B6137" s="33"/>
      <c r="C6137" s="60"/>
      <c r="D6137" s="60"/>
      <c r="E6137" s="60"/>
      <c r="F6137" s="60"/>
      <c r="G6137" s="60"/>
      <c r="H6137" s="60"/>
      <c r="I6137" s="60"/>
      <c r="J6137" s="60"/>
      <c r="K6137" s="60"/>
      <c r="L6137" s="60"/>
      <c r="M6137" s="64"/>
      <c r="N6137" s="33"/>
    </row>
    <row r="6138" ht="24" customHeight="1" spans="2:14">
      <c r="B6138" s="33"/>
      <c r="C6138" s="60"/>
      <c r="D6138" s="60"/>
      <c r="E6138" s="60"/>
      <c r="F6138" s="60"/>
      <c r="G6138" s="60"/>
      <c r="H6138" s="60"/>
      <c r="I6138" s="60"/>
      <c r="J6138" s="60"/>
      <c r="K6138" s="60"/>
      <c r="L6138" s="60"/>
      <c r="M6138" s="64"/>
      <c r="N6138" s="33"/>
    </row>
    <row r="6139" ht="24" customHeight="1" spans="2:14">
      <c r="B6139" s="33"/>
      <c r="C6139" s="60"/>
      <c r="D6139" s="60"/>
      <c r="E6139" s="60"/>
      <c r="F6139" s="60"/>
      <c r="G6139" s="60"/>
      <c r="H6139" s="60"/>
      <c r="I6139" s="60"/>
      <c r="J6139" s="60"/>
      <c r="K6139" s="60"/>
      <c r="L6139" s="60"/>
      <c r="M6139" s="64"/>
      <c r="N6139" s="33"/>
    </row>
    <row r="6140" ht="24" customHeight="1" spans="2:14">
      <c r="B6140" s="33"/>
      <c r="C6140" s="60"/>
      <c r="D6140" s="60"/>
      <c r="E6140" s="60"/>
      <c r="F6140" s="60"/>
      <c r="G6140" s="60"/>
      <c r="H6140" s="60"/>
      <c r="I6140" s="60"/>
      <c r="J6140" s="60"/>
      <c r="K6140" s="60"/>
      <c r="L6140" s="60"/>
      <c r="M6140" s="64"/>
      <c r="N6140" s="33"/>
    </row>
    <row r="6141" ht="24" customHeight="1" spans="2:14">
      <c r="B6141" s="33"/>
      <c r="C6141" s="60"/>
      <c r="D6141" s="60"/>
      <c r="E6141" s="60"/>
      <c r="F6141" s="60"/>
      <c r="G6141" s="60"/>
      <c r="H6141" s="60"/>
      <c r="I6141" s="60"/>
      <c r="J6141" s="60"/>
      <c r="K6141" s="60"/>
      <c r="L6141" s="60"/>
      <c r="M6141" s="64"/>
      <c r="N6141" s="33"/>
    </row>
    <row r="6142" ht="24" customHeight="1" spans="2:14">
      <c r="B6142" s="33"/>
      <c r="C6142" s="60"/>
      <c r="D6142" s="60"/>
      <c r="E6142" s="60"/>
      <c r="F6142" s="60"/>
      <c r="G6142" s="60"/>
      <c r="H6142" s="60"/>
      <c r="I6142" s="60"/>
      <c r="J6142" s="60"/>
      <c r="K6142" s="60"/>
      <c r="L6142" s="60"/>
      <c r="M6142" s="64"/>
      <c r="N6142" s="33"/>
    </row>
    <row r="6143" ht="24" customHeight="1" spans="2:14">
      <c r="B6143" s="33"/>
      <c r="C6143" s="60"/>
      <c r="D6143" s="60"/>
      <c r="E6143" s="60"/>
      <c r="F6143" s="60"/>
      <c r="G6143" s="60"/>
      <c r="H6143" s="60"/>
      <c r="I6143" s="60"/>
      <c r="J6143" s="60"/>
      <c r="K6143" s="60"/>
      <c r="L6143" s="60"/>
      <c r="M6143" s="64"/>
      <c r="N6143" s="33"/>
    </row>
    <row r="6144" ht="24" customHeight="1" spans="2:14">
      <c r="B6144" s="33"/>
      <c r="C6144" s="60"/>
      <c r="D6144" s="60"/>
      <c r="E6144" s="60"/>
      <c r="F6144" s="60"/>
      <c r="G6144" s="60"/>
      <c r="H6144" s="60"/>
      <c r="I6144" s="60"/>
      <c r="J6144" s="60"/>
      <c r="K6144" s="60"/>
      <c r="L6144" s="60"/>
      <c r="M6144" s="64"/>
      <c r="N6144" s="33"/>
    </row>
    <row r="6145" ht="24" customHeight="1" spans="2:14">
      <c r="B6145" s="33"/>
      <c r="C6145" s="60"/>
      <c r="D6145" s="60"/>
      <c r="E6145" s="60"/>
      <c r="F6145" s="60"/>
      <c r="G6145" s="60"/>
      <c r="H6145" s="60"/>
      <c r="I6145" s="60"/>
      <c r="J6145" s="60"/>
      <c r="K6145" s="60"/>
      <c r="L6145" s="60"/>
      <c r="M6145" s="64"/>
      <c r="N6145" s="33"/>
    </row>
    <row r="6146" ht="24" customHeight="1" spans="2:14">
      <c r="B6146" s="33"/>
      <c r="C6146" s="60"/>
      <c r="D6146" s="60"/>
      <c r="E6146" s="60"/>
      <c r="F6146" s="60"/>
      <c r="G6146" s="60"/>
      <c r="H6146" s="60"/>
      <c r="I6146" s="60"/>
      <c r="J6146" s="60"/>
      <c r="K6146" s="60"/>
      <c r="L6146" s="60"/>
      <c r="M6146" s="64"/>
      <c r="N6146" s="33"/>
    </row>
    <row r="6147" ht="24" customHeight="1" spans="2:14">
      <c r="B6147" s="33"/>
      <c r="C6147" s="60"/>
      <c r="D6147" s="60"/>
      <c r="E6147" s="60"/>
      <c r="F6147" s="60"/>
      <c r="G6147" s="60"/>
      <c r="H6147" s="60"/>
      <c r="I6147" s="60"/>
      <c r="J6147" s="60"/>
      <c r="K6147" s="60"/>
      <c r="L6147" s="60"/>
      <c r="M6147" s="64"/>
      <c r="N6147" s="33"/>
    </row>
    <row r="6148" ht="24" customHeight="1" spans="2:14">
      <c r="B6148" s="33"/>
      <c r="C6148" s="60"/>
      <c r="D6148" s="60"/>
      <c r="E6148" s="60"/>
      <c r="F6148" s="60"/>
      <c r="G6148" s="60"/>
      <c r="H6148" s="60"/>
      <c r="I6148" s="60"/>
      <c r="J6148" s="60"/>
      <c r="K6148" s="60"/>
      <c r="L6148" s="60"/>
      <c r="M6148" s="64"/>
      <c r="N6148" s="33"/>
    </row>
    <row r="6149" ht="24" customHeight="1" spans="2:14">
      <c r="B6149" s="33"/>
      <c r="C6149" s="60"/>
      <c r="D6149" s="60"/>
      <c r="E6149" s="60"/>
      <c r="F6149" s="60"/>
      <c r="G6149" s="60"/>
      <c r="H6149" s="60"/>
      <c r="I6149" s="60"/>
      <c r="J6149" s="60"/>
      <c r="K6149" s="60"/>
      <c r="L6149" s="60"/>
      <c r="M6149" s="64"/>
      <c r="N6149" s="33"/>
    </row>
    <row r="6150" ht="24" customHeight="1" spans="2:14">
      <c r="B6150" s="33"/>
      <c r="C6150" s="60"/>
      <c r="D6150" s="60"/>
      <c r="E6150" s="60"/>
      <c r="F6150" s="60"/>
      <c r="G6150" s="60"/>
      <c r="H6150" s="60"/>
      <c r="I6150" s="60"/>
      <c r="J6150" s="60"/>
      <c r="K6150" s="60"/>
      <c r="L6150" s="60"/>
      <c r="M6150" s="64"/>
      <c r="N6150" s="33"/>
    </row>
    <row r="6151" ht="24" customHeight="1" spans="2:14">
      <c r="B6151" s="33"/>
      <c r="C6151" s="60"/>
      <c r="D6151" s="60"/>
      <c r="E6151" s="60"/>
      <c r="F6151" s="60"/>
      <c r="G6151" s="60"/>
      <c r="H6151" s="60"/>
      <c r="I6151" s="60"/>
      <c r="J6151" s="60"/>
      <c r="K6151" s="60"/>
      <c r="L6151" s="60"/>
      <c r="M6151" s="64"/>
      <c r="N6151" s="33"/>
    </row>
    <row r="6152" ht="24" customHeight="1" spans="2:14">
      <c r="B6152" s="33"/>
      <c r="C6152" s="60"/>
      <c r="D6152" s="60"/>
      <c r="E6152" s="60"/>
      <c r="F6152" s="60"/>
      <c r="G6152" s="60"/>
      <c r="H6152" s="60"/>
      <c r="I6152" s="60"/>
      <c r="J6152" s="60"/>
      <c r="K6152" s="60"/>
      <c r="L6152" s="60"/>
      <c r="M6152" s="64"/>
      <c r="N6152" s="33"/>
    </row>
    <row r="6153" ht="24" customHeight="1" spans="2:14">
      <c r="B6153" s="33"/>
      <c r="C6153" s="60"/>
      <c r="D6153" s="60"/>
      <c r="E6153" s="60"/>
      <c r="F6153" s="60"/>
      <c r="G6153" s="60"/>
      <c r="H6153" s="60"/>
      <c r="I6153" s="60"/>
      <c r="J6153" s="60"/>
      <c r="K6153" s="60"/>
      <c r="L6153" s="60"/>
      <c r="M6153" s="64"/>
      <c r="N6153" s="33"/>
    </row>
    <row r="6154" ht="24" customHeight="1" spans="2:14">
      <c r="B6154" s="33"/>
      <c r="C6154" s="60"/>
      <c r="D6154" s="60"/>
      <c r="E6154" s="60"/>
      <c r="F6154" s="60"/>
      <c r="G6154" s="60"/>
      <c r="H6154" s="60"/>
      <c r="I6154" s="60"/>
      <c r="J6154" s="60"/>
      <c r="K6154" s="60"/>
      <c r="L6154" s="60"/>
      <c r="M6154" s="64"/>
      <c r="N6154" s="33"/>
    </row>
    <row r="6155" ht="24" customHeight="1" spans="2:14">
      <c r="B6155" s="33"/>
      <c r="C6155" s="60"/>
      <c r="D6155" s="60"/>
      <c r="E6155" s="60"/>
      <c r="F6155" s="60"/>
      <c r="G6155" s="60"/>
      <c r="H6155" s="60"/>
      <c r="I6155" s="60"/>
      <c r="J6155" s="60"/>
      <c r="K6155" s="60"/>
      <c r="L6155" s="60"/>
      <c r="M6155" s="64"/>
      <c r="N6155" s="33"/>
    </row>
    <row r="6156" ht="24" customHeight="1" spans="2:14">
      <c r="B6156" s="33"/>
      <c r="C6156" s="60"/>
      <c r="D6156" s="60"/>
      <c r="E6156" s="60"/>
      <c r="F6156" s="60"/>
      <c r="G6156" s="60"/>
      <c r="H6156" s="60"/>
      <c r="I6156" s="60"/>
      <c r="J6156" s="60"/>
      <c r="K6156" s="60"/>
      <c r="L6156" s="60"/>
      <c r="M6156" s="64"/>
      <c r="N6156" s="33"/>
    </row>
    <row r="6157" ht="24" customHeight="1" spans="2:14">
      <c r="B6157" s="33"/>
      <c r="C6157" s="60"/>
      <c r="D6157" s="60"/>
      <c r="E6157" s="60"/>
      <c r="F6157" s="60"/>
      <c r="G6157" s="60"/>
      <c r="H6157" s="60"/>
      <c r="I6157" s="60"/>
      <c r="J6157" s="60"/>
      <c r="K6157" s="60"/>
      <c r="L6157" s="60"/>
      <c r="M6157" s="64"/>
      <c r="N6157" s="33"/>
    </row>
    <row r="6158" ht="24" customHeight="1" spans="2:14">
      <c r="B6158" s="33"/>
      <c r="C6158" s="60"/>
      <c r="D6158" s="60"/>
      <c r="E6158" s="60"/>
      <c r="F6158" s="60"/>
      <c r="G6158" s="60"/>
      <c r="H6158" s="60"/>
      <c r="I6158" s="60"/>
      <c r="J6158" s="60"/>
      <c r="K6158" s="60"/>
      <c r="L6158" s="60"/>
      <c r="M6158" s="64"/>
      <c r="N6158" s="33"/>
    </row>
    <row r="6159" ht="24" customHeight="1" spans="2:14">
      <c r="B6159" s="33"/>
      <c r="C6159" s="60"/>
      <c r="D6159" s="60"/>
      <c r="E6159" s="60"/>
      <c r="F6159" s="60"/>
      <c r="G6159" s="60"/>
      <c r="H6159" s="60"/>
      <c r="I6159" s="60"/>
      <c r="J6159" s="60"/>
      <c r="K6159" s="60"/>
      <c r="L6159" s="60"/>
      <c r="M6159" s="64"/>
      <c r="N6159" s="33"/>
    </row>
    <row r="6160" ht="24" customHeight="1" spans="2:14">
      <c r="B6160" s="33"/>
      <c r="C6160" s="60"/>
      <c r="D6160" s="60"/>
      <c r="E6160" s="60"/>
      <c r="F6160" s="60"/>
      <c r="G6160" s="60"/>
      <c r="H6160" s="60"/>
      <c r="I6160" s="60"/>
      <c r="J6160" s="60"/>
      <c r="K6160" s="60"/>
      <c r="L6160" s="60"/>
      <c r="M6160" s="64"/>
      <c r="N6160" s="33"/>
    </row>
    <row r="6161" ht="24" customHeight="1" spans="2:14">
      <c r="B6161" s="33"/>
      <c r="C6161" s="60"/>
      <c r="D6161" s="60"/>
      <c r="E6161" s="60"/>
      <c r="F6161" s="60"/>
      <c r="G6161" s="60"/>
      <c r="H6161" s="60"/>
      <c r="I6161" s="60"/>
      <c r="J6161" s="60"/>
      <c r="K6161" s="60"/>
      <c r="L6161" s="60"/>
      <c r="M6161" s="64"/>
      <c r="N6161" s="33"/>
    </row>
    <row r="6162" ht="24" customHeight="1" spans="2:14">
      <c r="B6162" s="33"/>
      <c r="C6162" s="60"/>
      <c r="D6162" s="60"/>
      <c r="E6162" s="60"/>
      <c r="F6162" s="60"/>
      <c r="G6162" s="60"/>
      <c r="H6162" s="60"/>
      <c r="I6162" s="60"/>
      <c r="J6162" s="60"/>
      <c r="K6162" s="60"/>
      <c r="L6162" s="60"/>
      <c r="M6162" s="64"/>
      <c r="N6162" s="33"/>
    </row>
    <row r="6163" ht="24" customHeight="1" spans="2:14">
      <c r="B6163" s="33"/>
      <c r="C6163" s="60"/>
      <c r="D6163" s="60"/>
      <c r="E6163" s="60"/>
      <c r="F6163" s="60"/>
      <c r="G6163" s="60"/>
      <c r="H6163" s="60"/>
      <c r="I6163" s="60"/>
      <c r="J6163" s="60"/>
      <c r="K6163" s="60"/>
      <c r="L6163" s="60"/>
      <c r="M6163" s="64"/>
      <c r="N6163" s="33"/>
    </row>
    <row r="6164" ht="24" customHeight="1" spans="2:14">
      <c r="B6164" s="33"/>
      <c r="C6164" s="60"/>
      <c r="D6164" s="60"/>
      <c r="E6164" s="60"/>
      <c r="F6164" s="60"/>
      <c r="G6164" s="60"/>
      <c r="H6164" s="60"/>
      <c r="I6164" s="60"/>
      <c r="J6164" s="60"/>
      <c r="K6164" s="60"/>
      <c r="L6164" s="60"/>
      <c r="M6164" s="64"/>
      <c r="N6164" s="33"/>
    </row>
    <row r="6165" ht="24" customHeight="1" spans="2:14">
      <c r="B6165" s="33"/>
      <c r="C6165" s="60"/>
      <c r="D6165" s="60"/>
      <c r="E6165" s="60"/>
      <c r="F6165" s="60"/>
      <c r="G6165" s="60"/>
      <c r="H6165" s="60"/>
      <c r="I6165" s="60"/>
      <c r="J6165" s="60"/>
      <c r="K6165" s="60"/>
      <c r="L6165" s="60"/>
      <c r="M6165" s="64"/>
      <c r="N6165" s="33"/>
    </row>
    <row r="6166" ht="24" customHeight="1" spans="2:14">
      <c r="B6166" s="33"/>
      <c r="C6166" s="60"/>
      <c r="D6166" s="60"/>
      <c r="E6166" s="60"/>
      <c r="F6166" s="60"/>
      <c r="G6166" s="60"/>
      <c r="H6166" s="60"/>
      <c r="I6166" s="60"/>
      <c r="J6166" s="60"/>
      <c r="K6166" s="60"/>
      <c r="L6166" s="60"/>
      <c r="M6166" s="64"/>
      <c r="N6166" s="33"/>
    </row>
    <row r="6167" ht="24" customHeight="1" spans="2:14">
      <c r="B6167" s="33"/>
      <c r="C6167" s="60"/>
      <c r="D6167" s="60"/>
      <c r="E6167" s="60"/>
      <c r="F6167" s="60"/>
      <c r="G6167" s="60"/>
      <c r="H6167" s="60"/>
      <c r="I6167" s="60"/>
      <c r="J6167" s="60"/>
      <c r="K6167" s="60"/>
      <c r="L6167" s="60"/>
      <c r="M6167" s="64"/>
      <c r="N6167" s="33"/>
    </row>
    <row r="6168" ht="24" customHeight="1" spans="2:14">
      <c r="B6168" s="33"/>
      <c r="C6168" s="60"/>
      <c r="D6168" s="60"/>
      <c r="E6168" s="60"/>
      <c r="F6168" s="60"/>
      <c r="G6168" s="60"/>
      <c r="H6168" s="60"/>
      <c r="I6168" s="60"/>
      <c r="J6168" s="60"/>
      <c r="K6168" s="60"/>
      <c r="L6168" s="60"/>
      <c r="M6168" s="64"/>
      <c r="N6168" s="33"/>
    </row>
    <row r="6169" ht="24" customHeight="1" spans="2:14">
      <c r="B6169" s="33"/>
      <c r="C6169" s="60"/>
      <c r="D6169" s="60"/>
      <c r="E6169" s="60"/>
      <c r="F6169" s="60"/>
      <c r="G6169" s="60"/>
      <c r="H6169" s="60"/>
      <c r="I6169" s="60"/>
      <c r="J6169" s="60"/>
      <c r="K6169" s="60"/>
      <c r="L6169" s="60"/>
      <c r="M6169" s="64"/>
      <c r="N6169" s="33"/>
    </row>
    <row r="6170" ht="24" customHeight="1" spans="2:14">
      <c r="B6170" s="33"/>
      <c r="C6170" s="60"/>
      <c r="D6170" s="60"/>
      <c r="E6170" s="60"/>
      <c r="F6170" s="60"/>
      <c r="G6170" s="60"/>
      <c r="H6170" s="60"/>
      <c r="I6170" s="60"/>
      <c r="J6170" s="60"/>
      <c r="K6170" s="60"/>
      <c r="L6170" s="60"/>
      <c r="M6170" s="64"/>
      <c r="N6170" s="33"/>
    </row>
    <row r="6171" ht="24" customHeight="1" spans="2:14">
      <c r="B6171" s="33"/>
      <c r="C6171" s="60"/>
      <c r="D6171" s="60"/>
      <c r="E6171" s="60"/>
      <c r="F6171" s="60"/>
      <c r="G6171" s="60"/>
      <c r="H6171" s="60"/>
      <c r="I6171" s="60"/>
      <c r="J6171" s="60"/>
      <c r="K6171" s="60"/>
      <c r="L6171" s="60"/>
      <c r="M6171" s="64"/>
      <c r="N6171" s="33"/>
    </row>
    <row r="6172" ht="24" customHeight="1" spans="2:14">
      <c r="B6172" s="33"/>
      <c r="C6172" s="60"/>
      <c r="D6172" s="60"/>
      <c r="E6172" s="60"/>
      <c r="F6172" s="60"/>
      <c r="G6172" s="60"/>
      <c r="H6172" s="60"/>
      <c r="I6172" s="60"/>
      <c r="J6172" s="60"/>
      <c r="K6172" s="60"/>
      <c r="L6172" s="60"/>
      <c r="M6172" s="64"/>
      <c r="N6172" s="33"/>
    </row>
    <row r="6173" ht="24" customHeight="1" spans="2:14">
      <c r="B6173" s="33"/>
      <c r="C6173" s="60"/>
      <c r="D6173" s="60"/>
      <c r="E6173" s="60"/>
      <c r="F6173" s="60"/>
      <c r="G6173" s="60"/>
      <c r="H6173" s="60"/>
      <c r="I6173" s="60"/>
      <c r="J6173" s="60"/>
      <c r="K6173" s="60"/>
      <c r="L6173" s="60"/>
      <c r="M6173" s="64"/>
      <c r="N6173" s="33"/>
    </row>
    <row r="6174" ht="24" customHeight="1" spans="2:14">
      <c r="B6174" s="33"/>
      <c r="C6174" s="60"/>
      <c r="D6174" s="60"/>
      <c r="E6174" s="60"/>
      <c r="F6174" s="60"/>
      <c r="G6174" s="60"/>
      <c r="H6174" s="60"/>
      <c r="I6174" s="60"/>
      <c r="J6174" s="60"/>
      <c r="K6174" s="60"/>
      <c r="L6174" s="60"/>
      <c r="M6174" s="64"/>
      <c r="N6174" s="33"/>
    </row>
    <row r="6175" ht="24" customHeight="1" spans="2:14">
      <c r="B6175" s="33"/>
      <c r="C6175" s="60"/>
      <c r="D6175" s="60"/>
      <c r="E6175" s="60"/>
      <c r="F6175" s="60"/>
      <c r="G6175" s="60"/>
      <c r="H6175" s="60"/>
      <c r="I6175" s="60"/>
      <c r="J6175" s="60"/>
      <c r="K6175" s="60"/>
      <c r="L6175" s="60"/>
      <c r="M6175" s="64"/>
      <c r="N6175" s="33"/>
    </row>
    <row r="6176" ht="24" customHeight="1" spans="2:14">
      <c r="B6176" s="33"/>
      <c r="C6176" s="60"/>
      <c r="D6176" s="60"/>
      <c r="E6176" s="60"/>
      <c r="F6176" s="60"/>
      <c r="G6176" s="60"/>
      <c r="H6176" s="60"/>
      <c r="I6176" s="60"/>
      <c r="J6176" s="60"/>
      <c r="K6176" s="60"/>
      <c r="L6176" s="60"/>
      <c r="M6176" s="64"/>
      <c r="N6176" s="33"/>
    </row>
    <row r="6177" ht="24" customHeight="1" spans="2:14">
      <c r="B6177" s="33"/>
      <c r="C6177" s="60"/>
      <c r="D6177" s="60"/>
      <c r="E6177" s="60"/>
      <c r="F6177" s="60"/>
      <c r="G6177" s="60"/>
      <c r="H6177" s="60"/>
      <c r="I6177" s="60"/>
      <c r="J6177" s="60"/>
      <c r="K6177" s="60"/>
      <c r="L6177" s="60"/>
      <c r="M6177" s="64"/>
      <c r="N6177" s="33"/>
    </row>
    <row r="6178" ht="24" customHeight="1" spans="2:14">
      <c r="B6178" s="33"/>
      <c r="C6178" s="60"/>
      <c r="D6178" s="60"/>
      <c r="E6178" s="60"/>
      <c r="F6178" s="60"/>
      <c r="G6178" s="60"/>
      <c r="H6178" s="60"/>
      <c r="I6178" s="60"/>
      <c r="J6178" s="60"/>
      <c r="K6178" s="60"/>
      <c r="L6178" s="60"/>
      <c r="M6178" s="64"/>
      <c r="N6178" s="33"/>
    </row>
    <row r="6179" ht="24" customHeight="1" spans="2:14">
      <c r="B6179" s="33"/>
      <c r="C6179" s="60"/>
      <c r="D6179" s="60"/>
      <c r="E6179" s="60"/>
      <c r="F6179" s="60"/>
      <c r="G6179" s="60"/>
      <c r="H6179" s="60"/>
      <c r="I6179" s="60"/>
      <c r="J6179" s="60"/>
      <c r="K6179" s="60"/>
      <c r="L6179" s="60"/>
      <c r="M6179" s="64"/>
      <c r="N6179" s="33"/>
    </row>
    <row r="6180" ht="24" customHeight="1" spans="2:14">
      <c r="B6180" s="33"/>
      <c r="C6180" s="60"/>
      <c r="D6180" s="60"/>
      <c r="E6180" s="60"/>
      <c r="F6180" s="60"/>
      <c r="G6180" s="60"/>
      <c r="H6180" s="60"/>
      <c r="I6180" s="60"/>
      <c r="J6180" s="60"/>
      <c r="K6180" s="60"/>
      <c r="L6180" s="60"/>
      <c r="M6180" s="64"/>
      <c r="N6180" s="33"/>
    </row>
    <row r="6181" ht="24" customHeight="1" spans="2:14">
      <c r="B6181" s="33"/>
      <c r="C6181" s="60"/>
      <c r="D6181" s="60"/>
      <c r="E6181" s="60"/>
      <c r="F6181" s="60"/>
      <c r="G6181" s="60"/>
      <c r="H6181" s="60"/>
      <c r="I6181" s="60"/>
      <c r="J6181" s="60"/>
      <c r="K6181" s="60"/>
      <c r="L6181" s="60"/>
      <c r="M6181" s="64"/>
      <c r="N6181" s="33"/>
    </row>
    <row r="6182" ht="24" customHeight="1" spans="2:14">
      <c r="B6182" s="33"/>
      <c r="C6182" s="60"/>
      <c r="D6182" s="60"/>
      <c r="E6182" s="60"/>
      <c r="F6182" s="60"/>
      <c r="G6182" s="60"/>
      <c r="H6182" s="60"/>
      <c r="I6182" s="60"/>
      <c r="J6182" s="60"/>
      <c r="K6182" s="60"/>
      <c r="L6182" s="60"/>
      <c r="M6182" s="64"/>
      <c r="N6182" s="33"/>
    </row>
    <row r="6183" ht="24" customHeight="1" spans="2:14">
      <c r="B6183" s="33"/>
      <c r="C6183" s="60"/>
      <c r="D6183" s="60"/>
      <c r="E6183" s="60"/>
      <c r="F6183" s="60"/>
      <c r="G6183" s="60"/>
      <c r="H6183" s="60"/>
      <c r="I6183" s="60"/>
      <c r="J6183" s="60"/>
      <c r="K6183" s="60"/>
      <c r="L6183" s="60"/>
      <c r="M6183" s="64"/>
      <c r="N6183" s="33"/>
    </row>
    <row r="6184" ht="24" customHeight="1" spans="2:14">
      <c r="B6184" s="33"/>
      <c r="C6184" s="60"/>
      <c r="D6184" s="60"/>
      <c r="E6184" s="60"/>
      <c r="F6184" s="60"/>
      <c r="G6184" s="60"/>
      <c r="H6184" s="60"/>
      <c r="I6184" s="60"/>
      <c r="J6184" s="60"/>
      <c r="K6184" s="60"/>
      <c r="L6184" s="60"/>
      <c r="M6184" s="64"/>
      <c r="N6184" s="33"/>
    </row>
    <row r="6185" ht="24" customHeight="1" spans="2:14">
      <c r="B6185" s="33"/>
      <c r="C6185" s="60"/>
      <c r="D6185" s="60"/>
      <c r="E6185" s="60"/>
      <c r="F6185" s="60"/>
      <c r="G6185" s="60"/>
      <c r="H6185" s="60"/>
      <c r="I6185" s="60"/>
      <c r="J6185" s="60"/>
      <c r="K6185" s="60"/>
      <c r="L6185" s="60"/>
      <c r="M6185" s="64"/>
      <c r="N6185" s="33"/>
    </row>
    <row r="6186" ht="24" customHeight="1" spans="2:14">
      <c r="B6186" s="33"/>
      <c r="C6186" s="60"/>
      <c r="D6186" s="60"/>
      <c r="E6186" s="60"/>
      <c r="F6186" s="60"/>
      <c r="G6186" s="60"/>
      <c r="H6186" s="60"/>
      <c r="I6186" s="60"/>
      <c r="J6186" s="60"/>
      <c r="K6186" s="60"/>
      <c r="L6186" s="60"/>
      <c r="M6186" s="64"/>
      <c r="N6186" s="33"/>
    </row>
    <row r="6187" ht="24" customHeight="1" spans="2:14">
      <c r="B6187" s="33"/>
      <c r="C6187" s="60"/>
      <c r="D6187" s="60"/>
      <c r="E6187" s="60"/>
      <c r="F6187" s="60"/>
      <c r="G6187" s="60"/>
      <c r="H6187" s="60"/>
      <c r="I6187" s="60"/>
      <c r="J6187" s="60"/>
      <c r="K6187" s="60"/>
      <c r="L6187" s="60"/>
      <c r="M6187" s="64"/>
      <c r="N6187" s="33"/>
    </row>
    <row r="6188" ht="24" customHeight="1" spans="2:14">
      <c r="B6188" s="33"/>
      <c r="C6188" s="60"/>
      <c r="D6188" s="60"/>
      <c r="E6188" s="60"/>
      <c r="F6188" s="60"/>
      <c r="G6188" s="60"/>
      <c r="H6188" s="60"/>
      <c r="I6188" s="60"/>
      <c r="J6188" s="60"/>
      <c r="K6188" s="60"/>
      <c r="L6188" s="60"/>
      <c r="M6188" s="64"/>
      <c r="N6188" s="33"/>
    </row>
    <row r="6189" ht="24" customHeight="1" spans="2:14">
      <c r="B6189" s="33"/>
      <c r="C6189" s="60"/>
      <c r="D6189" s="60"/>
      <c r="E6189" s="60"/>
      <c r="F6189" s="60"/>
      <c r="G6189" s="60"/>
      <c r="H6189" s="60"/>
      <c r="I6189" s="60"/>
      <c r="J6189" s="60"/>
      <c r="K6189" s="60"/>
      <c r="L6189" s="60"/>
      <c r="M6189" s="64"/>
      <c r="N6189" s="33"/>
    </row>
    <row r="6190" ht="24" customHeight="1" spans="2:14">
      <c r="B6190" s="33"/>
      <c r="C6190" s="60"/>
      <c r="D6190" s="60"/>
      <c r="E6190" s="60"/>
      <c r="F6190" s="60"/>
      <c r="G6190" s="60"/>
      <c r="H6190" s="60"/>
      <c r="I6190" s="60"/>
      <c r="J6190" s="60"/>
      <c r="K6190" s="60"/>
      <c r="L6190" s="60"/>
      <c r="M6190" s="64"/>
      <c r="N6190" s="33"/>
    </row>
    <row r="6191" ht="24" customHeight="1" spans="2:14">
      <c r="B6191" s="33"/>
      <c r="C6191" s="60"/>
      <c r="D6191" s="60"/>
      <c r="E6191" s="60"/>
      <c r="F6191" s="60"/>
      <c r="G6191" s="60"/>
      <c r="H6191" s="60"/>
      <c r="I6191" s="60"/>
      <c r="J6191" s="60"/>
      <c r="K6191" s="60"/>
      <c r="L6191" s="60"/>
      <c r="M6191" s="64"/>
      <c r="N6191" s="33"/>
    </row>
    <row r="6192" ht="24" customHeight="1" spans="2:14">
      <c r="B6192" s="33"/>
      <c r="C6192" s="60"/>
      <c r="D6192" s="60"/>
      <c r="E6192" s="60"/>
      <c r="F6192" s="60"/>
      <c r="G6192" s="60"/>
      <c r="H6192" s="60"/>
      <c r="I6192" s="60"/>
      <c r="J6192" s="60"/>
      <c r="K6192" s="60"/>
      <c r="L6192" s="60"/>
      <c r="M6192" s="64"/>
      <c r="N6192" s="33"/>
    </row>
    <row r="6193" ht="24" customHeight="1" spans="2:14">
      <c r="B6193" s="33"/>
      <c r="C6193" s="60"/>
      <c r="D6193" s="60"/>
      <c r="E6193" s="60"/>
      <c r="F6193" s="60"/>
      <c r="G6193" s="60"/>
      <c r="H6193" s="60"/>
      <c r="I6193" s="60"/>
      <c r="J6193" s="60"/>
      <c r="K6193" s="60"/>
      <c r="L6193" s="60"/>
      <c r="M6193" s="64"/>
      <c r="N6193" s="33"/>
    </row>
    <row r="6194" ht="24" customHeight="1" spans="2:14">
      <c r="B6194" s="33"/>
      <c r="C6194" s="60"/>
      <c r="D6194" s="60"/>
      <c r="E6194" s="60"/>
      <c r="F6194" s="60"/>
      <c r="G6194" s="60"/>
      <c r="H6194" s="60"/>
      <c r="I6194" s="60"/>
      <c r="J6194" s="60"/>
      <c r="K6194" s="60"/>
      <c r="L6194" s="60"/>
      <c r="M6194" s="64"/>
      <c r="N6194" s="33"/>
    </row>
    <row r="6195" ht="24" customHeight="1" spans="2:14">
      <c r="B6195" s="33"/>
      <c r="C6195" s="60"/>
      <c r="D6195" s="60"/>
      <c r="E6195" s="60"/>
      <c r="F6195" s="60"/>
      <c r="G6195" s="60"/>
      <c r="H6195" s="60"/>
      <c r="I6195" s="60"/>
      <c r="J6195" s="60"/>
      <c r="K6195" s="60"/>
      <c r="L6195" s="60"/>
      <c r="M6195" s="64"/>
      <c r="N6195" s="33"/>
    </row>
    <row r="6196" ht="24" customHeight="1" spans="2:14">
      <c r="B6196" s="33"/>
      <c r="C6196" s="60"/>
      <c r="D6196" s="60"/>
      <c r="E6196" s="60"/>
      <c r="F6196" s="60"/>
      <c r="G6196" s="60"/>
      <c r="H6196" s="60"/>
      <c r="I6196" s="60"/>
      <c r="J6196" s="60"/>
      <c r="K6196" s="60"/>
      <c r="L6196" s="60"/>
      <c r="M6196" s="64"/>
      <c r="N6196" s="33"/>
    </row>
    <row r="6197" ht="24" customHeight="1" spans="2:14">
      <c r="B6197" s="33"/>
      <c r="C6197" s="60"/>
      <c r="D6197" s="60"/>
      <c r="E6197" s="60"/>
      <c r="F6197" s="60"/>
      <c r="G6197" s="60"/>
      <c r="H6197" s="60"/>
      <c r="I6197" s="60"/>
      <c r="J6197" s="60"/>
      <c r="K6197" s="60"/>
      <c r="L6197" s="60"/>
      <c r="M6197" s="64"/>
      <c r="N6197" s="33"/>
    </row>
    <row r="6198" ht="24" customHeight="1" spans="2:14">
      <c r="B6198" s="33"/>
      <c r="C6198" s="60"/>
      <c r="D6198" s="60"/>
      <c r="E6198" s="60"/>
      <c r="F6198" s="60"/>
      <c r="G6198" s="60"/>
      <c r="H6198" s="60"/>
      <c r="I6198" s="60"/>
      <c r="J6198" s="60"/>
      <c r="K6198" s="60"/>
      <c r="L6198" s="60"/>
      <c r="M6198" s="64"/>
      <c r="N6198" s="33"/>
    </row>
    <row r="6199" ht="24" customHeight="1" spans="2:14">
      <c r="B6199" s="33"/>
      <c r="C6199" s="60"/>
      <c r="D6199" s="60"/>
      <c r="E6199" s="60"/>
      <c r="F6199" s="60"/>
      <c r="G6199" s="60"/>
      <c r="H6199" s="60"/>
      <c r="I6199" s="60"/>
      <c r="J6199" s="60"/>
      <c r="K6199" s="60"/>
      <c r="L6199" s="60"/>
      <c r="M6199" s="64"/>
      <c r="N6199" s="33"/>
    </row>
    <row r="6200" ht="24" customHeight="1" spans="2:14">
      <c r="B6200" s="33"/>
      <c r="C6200" s="60"/>
      <c r="D6200" s="60"/>
      <c r="E6200" s="60"/>
      <c r="F6200" s="60"/>
      <c r="G6200" s="60"/>
      <c r="H6200" s="60"/>
      <c r="I6200" s="60"/>
      <c r="J6200" s="60"/>
      <c r="K6200" s="60"/>
      <c r="L6200" s="60"/>
      <c r="M6200" s="64"/>
      <c r="N6200" s="33"/>
    </row>
    <row r="6201" ht="24" customHeight="1" spans="2:14">
      <c r="B6201" s="33"/>
      <c r="C6201" s="60"/>
      <c r="D6201" s="60"/>
      <c r="E6201" s="60"/>
      <c r="F6201" s="60"/>
      <c r="G6201" s="60"/>
      <c r="H6201" s="60"/>
      <c r="I6201" s="60"/>
      <c r="J6201" s="60"/>
      <c r="K6201" s="60"/>
      <c r="L6201" s="60"/>
      <c r="M6201" s="64"/>
      <c r="N6201" s="33"/>
    </row>
    <row r="6202" ht="24" customHeight="1" spans="2:14">
      <c r="B6202" s="33"/>
      <c r="C6202" s="60"/>
      <c r="D6202" s="60"/>
      <c r="E6202" s="60"/>
      <c r="F6202" s="60"/>
      <c r="G6202" s="60"/>
      <c r="H6202" s="60"/>
      <c r="I6202" s="60"/>
      <c r="J6202" s="60"/>
      <c r="K6202" s="60"/>
      <c r="L6202" s="60"/>
      <c r="M6202" s="64"/>
      <c r="N6202" s="33"/>
    </row>
    <row r="6203" ht="24" customHeight="1" spans="2:14">
      <c r="B6203" s="33"/>
      <c r="C6203" s="60"/>
      <c r="D6203" s="60"/>
      <c r="E6203" s="60"/>
      <c r="F6203" s="60"/>
      <c r="G6203" s="60"/>
      <c r="H6203" s="60"/>
      <c r="I6203" s="60"/>
      <c r="J6203" s="60"/>
      <c r="K6203" s="60"/>
      <c r="L6203" s="60"/>
      <c r="M6203" s="64"/>
      <c r="N6203" s="33"/>
    </row>
    <row r="6204" ht="24" customHeight="1" spans="2:14">
      <c r="B6204" s="33"/>
      <c r="C6204" s="60"/>
      <c r="D6204" s="60"/>
      <c r="E6204" s="60"/>
      <c r="F6204" s="60"/>
      <c r="G6204" s="60"/>
      <c r="H6204" s="60"/>
      <c r="I6204" s="60"/>
      <c r="J6204" s="60"/>
      <c r="K6204" s="60"/>
      <c r="L6204" s="60"/>
      <c r="M6204" s="64"/>
      <c r="N6204" s="33"/>
    </row>
    <row r="6205" ht="24" customHeight="1" spans="2:14">
      <c r="B6205" s="33"/>
      <c r="C6205" s="60"/>
      <c r="D6205" s="60"/>
      <c r="E6205" s="60"/>
      <c r="F6205" s="60"/>
      <c r="G6205" s="60"/>
      <c r="H6205" s="60"/>
      <c r="I6205" s="60"/>
      <c r="J6205" s="60"/>
      <c r="K6205" s="60"/>
      <c r="L6205" s="60"/>
      <c r="M6205" s="64"/>
      <c r="N6205" s="33"/>
    </row>
    <row r="6206" ht="24" customHeight="1" spans="2:14">
      <c r="B6206" s="33"/>
      <c r="C6206" s="60"/>
      <c r="D6206" s="60"/>
      <c r="E6206" s="60"/>
      <c r="F6206" s="60"/>
      <c r="G6206" s="60"/>
      <c r="H6206" s="60"/>
      <c r="I6206" s="60"/>
      <c r="J6206" s="60"/>
      <c r="K6206" s="60"/>
      <c r="L6206" s="60"/>
      <c r="M6206" s="64"/>
      <c r="N6206" s="33"/>
    </row>
    <row r="6207" ht="24" customHeight="1" spans="2:14">
      <c r="B6207" s="33"/>
      <c r="C6207" s="60"/>
      <c r="D6207" s="60"/>
      <c r="E6207" s="60"/>
      <c r="F6207" s="60"/>
      <c r="G6207" s="60"/>
      <c r="H6207" s="60"/>
      <c r="I6207" s="60"/>
      <c r="J6207" s="60"/>
      <c r="K6207" s="60"/>
      <c r="L6207" s="60"/>
      <c r="M6207" s="64"/>
      <c r="N6207" s="33"/>
    </row>
    <row r="6208" ht="24" customHeight="1" spans="2:14">
      <c r="B6208" s="33"/>
      <c r="C6208" s="60"/>
      <c r="D6208" s="60"/>
      <c r="E6208" s="60"/>
      <c r="F6208" s="60"/>
      <c r="G6208" s="60"/>
      <c r="H6208" s="60"/>
      <c r="I6208" s="60"/>
      <c r="J6208" s="60"/>
      <c r="K6208" s="60"/>
      <c r="L6208" s="60"/>
      <c r="M6208" s="64"/>
      <c r="N6208" s="33"/>
    </row>
    <row r="6209" ht="24" customHeight="1" spans="2:14">
      <c r="B6209" s="33"/>
      <c r="C6209" s="60"/>
      <c r="D6209" s="60"/>
      <c r="E6209" s="60"/>
      <c r="F6209" s="60"/>
      <c r="G6209" s="60"/>
      <c r="H6209" s="60"/>
      <c r="I6209" s="60"/>
      <c r="J6209" s="60"/>
      <c r="K6209" s="60"/>
      <c r="L6209" s="60"/>
      <c r="M6209" s="64"/>
      <c r="N6209" s="33"/>
    </row>
    <row r="6210" ht="24" customHeight="1" spans="2:14">
      <c r="B6210" s="33"/>
      <c r="C6210" s="60"/>
      <c r="D6210" s="60"/>
      <c r="E6210" s="60"/>
      <c r="F6210" s="60"/>
      <c r="G6210" s="60"/>
      <c r="H6210" s="60"/>
      <c r="I6210" s="60"/>
      <c r="J6210" s="60"/>
      <c r="K6210" s="60"/>
      <c r="L6210" s="60"/>
      <c r="M6210" s="64"/>
      <c r="N6210" s="33"/>
    </row>
    <row r="6211" ht="24" customHeight="1" spans="2:14">
      <c r="B6211" s="33"/>
      <c r="C6211" s="60"/>
      <c r="D6211" s="60"/>
      <c r="E6211" s="60"/>
      <c r="F6211" s="60"/>
      <c r="G6211" s="60"/>
      <c r="H6211" s="60"/>
      <c r="I6211" s="60"/>
      <c r="J6211" s="60"/>
      <c r="K6211" s="60"/>
      <c r="L6211" s="60"/>
      <c r="M6211" s="64"/>
      <c r="N6211" s="33"/>
    </row>
    <row r="6212" ht="24" customHeight="1" spans="2:14">
      <c r="B6212" s="33"/>
      <c r="C6212" s="60"/>
      <c r="D6212" s="60"/>
      <c r="E6212" s="60"/>
      <c r="F6212" s="60"/>
      <c r="G6212" s="60"/>
      <c r="H6212" s="60"/>
      <c r="I6212" s="60"/>
      <c r="J6212" s="60"/>
      <c r="K6212" s="60"/>
      <c r="L6212" s="60"/>
      <c r="M6212" s="64"/>
      <c r="N6212" s="33"/>
    </row>
    <row r="6213" ht="24" customHeight="1" spans="2:14">
      <c r="B6213" s="33"/>
      <c r="C6213" s="60"/>
      <c r="D6213" s="60"/>
      <c r="E6213" s="60"/>
      <c r="F6213" s="60"/>
      <c r="G6213" s="60"/>
      <c r="H6213" s="60"/>
      <c r="I6213" s="60"/>
      <c r="J6213" s="60"/>
      <c r="K6213" s="60"/>
      <c r="L6213" s="60"/>
      <c r="M6213" s="64"/>
      <c r="N6213" s="33"/>
    </row>
    <row r="6214" ht="24" customHeight="1" spans="2:14">
      <c r="B6214" s="33"/>
      <c r="C6214" s="60"/>
      <c r="D6214" s="60"/>
      <c r="E6214" s="60"/>
      <c r="F6214" s="60"/>
      <c r="G6214" s="60"/>
      <c r="H6214" s="60"/>
      <c r="I6214" s="60"/>
      <c r="J6214" s="60"/>
      <c r="K6214" s="60"/>
      <c r="L6214" s="60"/>
      <c r="M6214" s="64"/>
      <c r="N6214" s="33"/>
    </row>
    <row r="6215" ht="24" customHeight="1" spans="2:14">
      <c r="B6215" s="33"/>
      <c r="C6215" s="60"/>
      <c r="D6215" s="60"/>
      <c r="E6215" s="60"/>
      <c r="F6215" s="60"/>
      <c r="G6215" s="60"/>
      <c r="H6215" s="60"/>
      <c r="I6215" s="60"/>
      <c r="J6215" s="60"/>
      <c r="K6215" s="60"/>
      <c r="L6215" s="60"/>
      <c r="M6215" s="64"/>
      <c r="N6215" s="33"/>
    </row>
    <row r="6216" ht="24" customHeight="1" spans="2:14">
      <c r="B6216" s="33"/>
      <c r="C6216" s="60"/>
      <c r="D6216" s="60"/>
      <c r="E6216" s="60"/>
      <c r="F6216" s="60"/>
      <c r="G6216" s="60"/>
      <c r="H6216" s="60"/>
      <c r="I6216" s="60"/>
      <c r="J6216" s="60"/>
      <c r="K6216" s="60"/>
      <c r="L6216" s="60"/>
      <c r="M6216" s="64"/>
      <c r="N6216" s="33"/>
    </row>
    <row r="6217" ht="24" customHeight="1" spans="2:14">
      <c r="B6217" s="33"/>
      <c r="C6217" s="60"/>
      <c r="D6217" s="60"/>
      <c r="E6217" s="60"/>
      <c r="F6217" s="60"/>
      <c r="G6217" s="60"/>
      <c r="H6217" s="60"/>
      <c r="I6217" s="60"/>
      <c r="J6217" s="60"/>
      <c r="K6217" s="60"/>
      <c r="L6217" s="60"/>
      <c r="M6217" s="64"/>
      <c r="N6217" s="33"/>
    </row>
    <row r="6218" ht="24" customHeight="1" spans="2:14">
      <c r="B6218" s="33"/>
      <c r="C6218" s="60"/>
      <c r="D6218" s="60"/>
      <c r="E6218" s="60"/>
      <c r="F6218" s="60"/>
      <c r="G6218" s="60"/>
      <c r="H6218" s="60"/>
      <c r="I6218" s="60"/>
      <c r="J6218" s="60"/>
      <c r="K6218" s="60"/>
      <c r="L6218" s="60"/>
      <c r="M6218" s="64"/>
      <c r="N6218" s="33"/>
    </row>
    <row r="6219" ht="24" customHeight="1" spans="2:14">
      <c r="B6219" s="33"/>
      <c r="C6219" s="60"/>
      <c r="D6219" s="60"/>
      <c r="E6219" s="60"/>
      <c r="F6219" s="60"/>
      <c r="G6219" s="60"/>
      <c r="H6219" s="60"/>
      <c r="I6219" s="60"/>
      <c r="J6219" s="60"/>
      <c r="K6219" s="60"/>
      <c r="L6219" s="60"/>
      <c r="M6219" s="64"/>
      <c r="N6219" s="33"/>
    </row>
    <row r="6220" ht="24" customHeight="1" spans="2:14">
      <c r="B6220" s="33"/>
      <c r="C6220" s="60"/>
      <c r="D6220" s="60"/>
      <c r="E6220" s="60"/>
      <c r="F6220" s="60"/>
      <c r="G6220" s="60"/>
      <c r="H6220" s="60"/>
      <c r="I6220" s="60"/>
      <c r="J6220" s="60"/>
      <c r="K6220" s="60"/>
      <c r="L6220" s="60"/>
      <c r="M6220" s="64"/>
      <c r="N6220" s="33"/>
    </row>
    <row r="6221" ht="24" customHeight="1" spans="2:14">
      <c r="B6221" s="33"/>
      <c r="C6221" s="60"/>
      <c r="D6221" s="60"/>
      <c r="E6221" s="60"/>
      <c r="F6221" s="60"/>
      <c r="G6221" s="60"/>
      <c r="H6221" s="60"/>
      <c r="I6221" s="60"/>
      <c r="J6221" s="60"/>
      <c r="K6221" s="60"/>
      <c r="L6221" s="60"/>
      <c r="M6221" s="64"/>
      <c r="N6221" s="33"/>
    </row>
    <row r="6222" ht="24" customHeight="1" spans="2:14">
      <c r="B6222" s="33"/>
      <c r="C6222" s="60"/>
      <c r="D6222" s="60"/>
      <c r="E6222" s="60"/>
      <c r="F6222" s="60"/>
      <c r="G6222" s="60"/>
      <c r="H6222" s="60"/>
      <c r="I6222" s="60"/>
      <c r="J6222" s="60"/>
      <c r="K6222" s="60"/>
      <c r="L6222" s="60"/>
      <c r="M6222" s="64"/>
      <c r="N6222" s="33"/>
    </row>
    <row r="6223" ht="24" customHeight="1" spans="2:14">
      <c r="B6223" s="33"/>
      <c r="C6223" s="60"/>
      <c r="D6223" s="60"/>
      <c r="E6223" s="60"/>
      <c r="F6223" s="60"/>
      <c r="G6223" s="60"/>
      <c r="H6223" s="60"/>
      <c r="I6223" s="60"/>
      <c r="J6223" s="60"/>
      <c r="K6223" s="60"/>
      <c r="L6223" s="60"/>
      <c r="M6223" s="64"/>
      <c r="N6223" s="33"/>
    </row>
    <row r="6224" ht="24" customHeight="1" spans="2:14">
      <c r="B6224" s="33"/>
      <c r="C6224" s="60"/>
      <c r="D6224" s="60"/>
      <c r="E6224" s="60"/>
      <c r="F6224" s="60"/>
      <c r="G6224" s="60"/>
      <c r="H6224" s="60"/>
      <c r="I6224" s="60"/>
      <c r="J6224" s="60"/>
      <c r="K6224" s="60"/>
      <c r="L6224" s="60"/>
      <c r="M6224" s="64"/>
      <c r="N6224" s="33"/>
    </row>
    <row r="6225" ht="24" customHeight="1" spans="2:14">
      <c r="B6225" s="33"/>
      <c r="C6225" s="60"/>
      <c r="D6225" s="60"/>
      <c r="E6225" s="60"/>
      <c r="F6225" s="60"/>
      <c r="G6225" s="60"/>
      <c r="H6225" s="60"/>
      <c r="I6225" s="60"/>
      <c r="J6225" s="60"/>
      <c r="K6225" s="60"/>
      <c r="L6225" s="60"/>
      <c r="M6225" s="64"/>
      <c r="N6225" s="33"/>
    </row>
    <row r="6226" ht="24" customHeight="1" spans="2:14">
      <c r="B6226" s="33"/>
      <c r="C6226" s="60"/>
      <c r="D6226" s="60"/>
      <c r="E6226" s="60"/>
      <c r="F6226" s="60"/>
      <c r="G6226" s="60"/>
      <c r="H6226" s="60"/>
      <c r="I6226" s="60"/>
      <c r="J6226" s="60"/>
      <c r="K6226" s="60"/>
      <c r="L6226" s="60"/>
      <c r="M6226" s="64"/>
      <c r="N6226" s="33"/>
    </row>
    <row r="6227" ht="24" customHeight="1" spans="2:14">
      <c r="B6227" s="33"/>
      <c r="C6227" s="60"/>
      <c r="D6227" s="60"/>
      <c r="E6227" s="60"/>
      <c r="F6227" s="60"/>
      <c r="G6227" s="60"/>
      <c r="H6227" s="60"/>
      <c r="I6227" s="60"/>
      <c r="J6227" s="60"/>
      <c r="K6227" s="60"/>
      <c r="L6227" s="60"/>
      <c r="M6227" s="64"/>
      <c r="N6227" s="33"/>
    </row>
    <row r="6228" ht="24" customHeight="1" spans="2:14">
      <c r="B6228" s="33"/>
      <c r="C6228" s="60"/>
      <c r="D6228" s="60"/>
      <c r="E6228" s="60"/>
      <c r="F6228" s="60"/>
      <c r="G6228" s="60"/>
      <c r="H6228" s="60"/>
      <c r="I6228" s="60"/>
      <c r="J6228" s="60"/>
      <c r="K6228" s="60"/>
      <c r="L6228" s="60"/>
      <c r="M6228" s="64"/>
      <c r="N6228" s="33"/>
    </row>
    <row r="6229" ht="24" customHeight="1" spans="2:14">
      <c r="B6229" s="33"/>
      <c r="C6229" s="60"/>
      <c r="D6229" s="60"/>
      <c r="E6229" s="60"/>
      <c r="F6229" s="60"/>
      <c r="G6229" s="60"/>
      <c r="H6229" s="60"/>
      <c r="I6229" s="60"/>
      <c r="J6229" s="60"/>
      <c r="K6229" s="60"/>
      <c r="L6229" s="60"/>
      <c r="M6229" s="64"/>
      <c r="N6229" s="33"/>
    </row>
    <row r="6230" ht="24" customHeight="1" spans="2:14">
      <c r="B6230" s="33"/>
      <c r="C6230" s="60"/>
      <c r="D6230" s="60"/>
      <c r="E6230" s="60"/>
      <c r="F6230" s="60"/>
      <c r="G6230" s="60"/>
      <c r="H6230" s="60"/>
      <c r="I6230" s="60"/>
      <c r="J6230" s="60"/>
      <c r="K6230" s="60"/>
      <c r="L6230" s="60"/>
      <c r="M6230" s="64"/>
      <c r="N6230" s="33"/>
    </row>
    <row r="6231" ht="24" customHeight="1" spans="2:14">
      <c r="B6231" s="33"/>
      <c r="C6231" s="60"/>
      <c r="D6231" s="60"/>
      <c r="E6231" s="60"/>
      <c r="F6231" s="60"/>
      <c r="G6231" s="60"/>
      <c r="H6231" s="60"/>
      <c r="I6231" s="60"/>
      <c r="J6231" s="60"/>
      <c r="K6231" s="60"/>
      <c r="L6231" s="60"/>
      <c r="M6231" s="64"/>
      <c r="N6231" s="33"/>
    </row>
    <row r="6232" ht="24" customHeight="1" spans="2:14">
      <c r="B6232" s="33"/>
      <c r="C6232" s="60"/>
      <c r="D6232" s="60"/>
      <c r="E6232" s="60"/>
      <c r="F6232" s="60"/>
      <c r="G6232" s="60"/>
      <c r="H6232" s="60"/>
      <c r="I6232" s="60"/>
      <c r="J6232" s="60"/>
      <c r="K6232" s="60"/>
      <c r="L6232" s="60"/>
      <c r="M6232" s="64"/>
      <c r="N6232" s="33"/>
    </row>
    <row r="6233" ht="24" customHeight="1" spans="2:14">
      <c r="B6233" s="33"/>
      <c r="C6233" s="60"/>
      <c r="D6233" s="60"/>
      <c r="E6233" s="60"/>
      <c r="F6233" s="60"/>
      <c r="G6233" s="60"/>
      <c r="H6233" s="60"/>
      <c r="I6233" s="60"/>
      <c r="J6233" s="60"/>
      <c r="K6233" s="60"/>
      <c r="L6233" s="60"/>
      <c r="M6233" s="64"/>
      <c r="N6233" s="33"/>
    </row>
    <row r="6234" ht="24" customHeight="1" spans="2:14">
      <c r="B6234" s="33"/>
      <c r="C6234" s="60"/>
      <c r="D6234" s="60"/>
      <c r="E6234" s="60"/>
      <c r="F6234" s="60"/>
      <c r="G6234" s="60"/>
      <c r="H6234" s="60"/>
      <c r="I6234" s="60"/>
      <c r="J6234" s="60"/>
      <c r="K6234" s="60"/>
      <c r="L6234" s="60"/>
      <c r="M6234" s="64"/>
      <c r="N6234" s="33"/>
    </row>
    <row r="6235" ht="24" customHeight="1" spans="2:14">
      <c r="B6235" s="33"/>
      <c r="C6235" s="60"/>
      <c r="D6235" s="60"/>
      <c r="E6235" s="60"/>
      <c r="F6235" s="60"/>
      <c r="G6235" s="60"/>
      <c r="H6235" s="60"/>
      <c r="I6235" s="60"/>
      <c r="J6235" s="60"/>
      <c r="K6235" s="60"/>
      <c r="L6235" s="60"/>
      <c r="M6235" s="64"/>
      <c r="N6235" s="33"/>
    </row>
    <row r="6236" ht="24" customHeight="1" spans="2:14">
      <c r="B6236" s="33"/>
      <c r="C6236" s="60"/>
      <c r="D6236" s="60"/>
      <c r="E6236" s="60"/>
      <c r="F6236" s="60"/>
      <c r="G6236" s="60"/>
      <c r="H6236" s="60"/>
      <c r="I6236" s="60"/>
      <c r="J6236" s="60"/>
      <c r="K6236" s="60"/>
      <c r="L6236" s="60"/>
      <c r="M6236" s="64"/>
      <c r="N6236" s="33"/>
    </row>
    <row r="6237" ht="24" customHeight="1" spans="2:14">
      <c r="B6237" s="33"/>
      <c r="C6237" s="60"/>
      <c r="D6237" s="60"/>
      <c r="E6237" s="60"/>
      <c r="F6237" s="60"/>
      <c r="G6237" s="60"/>
      <c r="H6237" s="60"/>
      <c r="I6237" s="60"/>
      <c r="J6237" s="60"/>
      <c r="K6237" s="60"/>
      <c r="L6237" s="60"/>
      <c r="M6237" s="64"/>
      <c r="N6237" s="33"/>
    </row>
    <row r="6238" ht="24" customHeight="1" spans="2:14">
      <c r="B6238" s="33"/>
      <c r="C6238" s="60"/>
      <c r="D6238" s="60"/>
      <c r="E6238" s="60"/>
      <c r="F6238" s="60"/>
      <c r="G6238" s="60"/>
      <c r="H6238" s="60"/>
      <c r="I6238" s="60"/>
      <c r="J6238" s="60"/>
      <c r="K6238" s="60"/>
      <c r="L6238" s="60"/>
      <c r="M6238" s="64"/>
      <c r="N6238" s="33"/>
    </row>
    <row r="6239" ht="24" customHeight="1" spans="2:14">
      <c r="B6239" s="33"/>
      <c r="C6239" s="60"/>
      <c r="D6239" s="60"/>
      <c r="E6239" s="60"/>
      <c r="F6239" s="60"/>
      <c r="G6239" s="60"/>
      <c r="H6239" s="60"/>
      <c r="I6239" s="60"/>
      <c r="J6239" s="60"/>
      <c r="K6239" s="60"/>
      <c r="L6239" s="60"/>
      <c r="M6239" s="64"/>
      <c r="N6239" s="33"/>
    </row>
    <row r="6240" ht="24" customHeight="1" spans="2:14">
      <c r="B6240" s="33"/>
      <c r="C6240" s="60"/>
      <c r="D6240" s="60"/>
      <c r="E6240" s="60"/>
      <c r="F6240" s="60"/>
      <c r="G6240" s="60"/>
      <c r="H6240" s="60"/>
      <c r="I6240" s="60"/>
      <c r="J6240" s="60"/>
      <c r="K6240" s="60"/>
      <c r="L6240" s="60"/>
      <c r="M6240" s="64"/>
      <c r="N6240" s="33"/>
    </row>
    <row r="6241" ht="24" customHeight="1" spans="2:14">
      <c r="B6241" s="33"/>
      <c r="C6241" s="60"/>
      <c r="D6241" s="60"/>
      <c r="E6241" s="60"/>
      <c r="F6241" s="60"/>
      <c r="G6241" s="60"/>
      <c r="H6241" s="60"/>
      <c r="I6241" s="60"/>
      <c r="J6241" s="60"/>
      <c r="K6241" s="60"/>
      <c r="L6241" s="60"/>
      <c r="M6241" s="64"/>
      <c r="N6241" s="33"/>
    </row>
    <row r="6242" ht="24" customHeight="1" spans="2:14">
      <c r="B6242" s="33"/>
      <c r="C6242" s="60"/>
      <c r="D6242" s="60"/>
      <c r="E6242" s="60"/>
      <c r="F6242" s="60"/>
      <c r="G6242" s="60"/>
      <c r="H6242" s="60"/>
      <c r="I6242" s="60"/>
      <c r="J6242" s="60"/>
      <c r="K6242" s="60"/>
      <c r="L6242" s="60"/>
      <c r="M6242" s="64"/>
      <c r="N6242" s="33"/>
    </row>
    <row r="6243" ht="24" customHeight="1" spans="2:14">
      <c r="B6243" s="33"/>
      <c r="C6243" s="60"/>
      <c r="D6243" s="60"/>
      <c r="E6243" s="60"/>
      <c r="F6243" s="60"/>
      <c r="G6243" s="60"/>
      <c r="H6243" s="60"/>
      <c r="I6243" s="60"/>
      <c r="J6243" s="60"/>
      <c r="K6243" s="60"/>
      <c r="L6243" s="60"/>
      <c r="M6243" s="64"/>
      <c r="N6243" s="33"/>
    </row>
    <row r="6244" ht="24" customHeight="1" spans="2:14">
      <c r="B6244" s="33"/>
      <c r="C6244" s="60"/>
      <c r="D6244" s="60"/>
      <c r="E6244" s="60"/>
      <c r="F6244" s="60"/>
      <c r="G6244" s="60"/>
      <c r="H6244" s="60"/>
      <c r="I6244" s="60"/>
      <c r="J6244" s="60"/>
      <c r="K6244" s="60"/>
      <c r="L6244" s="60"/>
      <c r="M6244" s="64"/>
      <c r="N6244" s="33"/>
    </row>
    <row r="6245" ht="24" customHeight="1" spans="2:14">
      <c r="B6245" s="33"/>
      <c r="C6245" s="60"/>
      <c r="D6245" s="60"/>
      <c r="E6245" s="60"/>
      <c r="F6245" s="60"/>
      <c r="G6245" s="60"/>
      <c r="H6245" s="60"/>
      <c r="I6245" s="60"/>
      <c r="J6245" s="60"/>
      <c r="K6245" s="60"/>
      <c r="L6245" s="60"/>
      <c r="M6245" s="64"/>
      <c r="N6245" s="33"/>
    </row>
    <row r="6246" ht="24" customHeight="1" spans="2:14">
      <c r="B6246" s="33"/>
      <c r="C6246" s="60"/>
      <c r="D6246" s="60"/>
      <c r="E6246" s="60"/>
      <c r="F6246" s="60"/>
      <c r="G6246" s="60"/>
      <c r="H6246" s="60"/>
      <c r="I6246" s="60"/>
      <c r="J6246" s="60"/>
      <c r="K6246" s="60"/>
      <c r="L6246" s="60"/>
      <c r="M6246" s="64"/>
      <c r="N6246" s="33"/>
    </row>
    <row r="6247" ht="24" customHeight="1" spans="2:14">
      <c r="B6247" s="33"/>
      <c r="C6247" s="60"/>
      <c r="D6247" s="60"/>
      <c r="E6247" s="60"/>
      <c r="F6247" s="60"/>
      <c r="G6247" s="60"/>
      <c r="H6247" s="60"/>
      <c r="I6247" s="60"/>
      <c r="J6247" s="60"/>
      <c r="K6247" s="60"/>
      <c r="L6247" s="60"/>
      <c r="M6247" s="64"/>
      <c r="N6247" s="33"/>
    </row>
    <row r="6248" ht="24" customHeight="1" spans="2:14">
      <c r="B6248" s="33"/>
      <c r="C6248" s="60"/>
      <c r="D6248" s="60"/>
      <c r="E6248" s="60"/>
      <c r="F6248" s="60"/>
      <c r="G6248" s="60"/>
      <c r="H6248" s="60"/>
      <c r="I6248" s="60"/>
      <c r="J6248" s="60"/>
      <c r="K6248" s="60"/>
      <c r="L6248" s="60"/>
      <c r="M6248" s="64"/>
      <c r="N6248" s="33"/>
    </row>
    <row r="6249" ht="24" customHeight="1" spans="2:14">
      <c r="B6249" s="33"/>
      <c r="C6249" s="60"/>
      <c r="D6249" s="60"/>
      <c r="E6249" s="60"/>
      <c r="F6249" s="60"/>
      <c r="G6249" s="60"/>
      <c r="H6249" s="60"/>
      <c r="I6249" s="60"/>
      <c r="J6249" s="60"/>
      <c r="K6249" s="60"/>
      <c r="L6249" s="60"/>
      <c r="M6249" s="64"/>
      <c r="N6249" s="33"/>
    </row>
    <row r="6250" ht="24" customHeight="1" spans="2:14">
      <c r="B6250" s="33"/>
      <c r="C6250" s="60"/>
      <c r="D6250" s="60"/>
      <c r="E6250" s="60"/>
      <c r="F6250" s="60"/>
      <c r="G6250" s="60"/>
      <c r="H6250" s="60"/>
      <c r="I6250" s="60"/>
      <c r="J6250" s="60"/>
      <c r="K6250" s="60"/>
      <c r="L6250" s="60"/>
      <c r="M6250" s="64"/>
      <c r="N6250" s="33"/>
    </row>
    <row r="6251" ht="24" customHeight="1" spans="2:14">
      <c r="B6251" s="33"/>
      <c r="C6251" s="60"/>
      <c r="D6251" s="60"/>
      <c r="E6251" s="60"/>
      <c r="F6251" s="60"/>
      <c r="G6251" s="60"/>
      <c r="H6251" s="60"/>
      <c r="I6251" s="60"/>
      <c r="J6251" s="60"/>
      <c r="K6251" s="60"/>
      <c r="L6251" s="60"/>
      <c r="M6251" s="64"/>
      <c r="N6251" s="33"/>
    </row>
    <row r="6252" ht="24" customHeight="1" spans="2:14">
      <c r="B6252" s="33"/>
      <c r="C6252" s="60"/>
      <c r="D6252" s="60"/>
      <c r="E6252" s="60"/>
      <c r="F6252" s="60"/>
      <c r="G6252" s="60"/>
      <c r="H6252" s="60"/>
      <c r="I6252" s="60"/>
      <c r="J6252" s="60"/>
      <c r="K6252" s="60"/>
      <c r="L6252" s="60"/>
      <c r="M6252" s="64"/>
      <c r="N6252" s="33"/>
    </row>
    <row r="6253" ht="24" customHeight="1" spans="2:14">
      <c r="B6253" s="33"/>
      <c r="C6253" s="60"/>
      <c r="D6253" s="60"/>
      <c r="E6253" s="60"/>
      <c r="F6253" s="60"/>
      <c r="G6253" s="60"/>
      <c r="H6253" s="60"/>
      <c r="I6253" s="60"/>
      <c r="J6253" s="60"/>
      <c r="K6253" s="60"/>
      <c r="L6253" s="60"/>
      <c r="M6253" s="64"/>
      <c r="N6253" s="33"/>
    </row>
    <row r="6254" ht="24" customHeight="1" spans="2:14">
      <c r="B6254" s="33"/>
      <c r="C6254" s="60"/>
      <c r="D6254" s="60"/>
      <c r="E6254" s="60"/>
      <c r="F6254" s="60"/>
      <c r="G6254" s="60"/>
      <c r="H6254" s="60"/>
      <c r="I6254" s="60"/>
      <c r="J6254" s="60"/>
      <c r="K6254" s="60"/>
      <c r="L6254" s="60"/>
      <c r="M6254" s="64"/>
      <c r="N6254" s="33"/>
    </row>
    <row r="6255" ht="24" customHeight="1" spans="2:14">
      <c r="B6255" s="33"/>
      <c r="C6255" s="60"/>
      <c r="D6255" s="60"/>
      <c r="E6255" s="60"/>
      <c r="F6255" s="60"/>
      <c r="G6255" s="60"/>
      <c r="H6255" s="60"/>
      <c r="I6255" s="60"/>
      <c r="J6255" s="60"/>
      <c r="K6255" s="60"/>
      <c r="L6255" s="60"/>
      <c r="M6255" s="64"/>
      <c r="N6255" s="33"/>
    </row>
    <row r="6256" ht="24" customHeight="1" spans="2:14">
      <c r="B6256" s="33"/>
      <c r="C6256" s="60"/>
      <c r="D6256" s="60"/>
      <c r="E6256" s="60"/>
      <c r="F6256" s="60"/>
      <c r="G6256" s="60"/>
      <c r="H6256" s="60"/>
      <c r="I6256" s="60"/>
      <c r="J6256" s="60"/>
      <c r="K6256" s="60"/>
      <c r="L6256" s="60"/>
      <c r="M6256" s="64"/>
      <c r="N6256" s="33"/>
    </row>
    <row r="6257" ht="24" customHeight="1" spans="2:14">
      <c r="B6257" s="33"/>
      <c r="C6257" s="60"/>
      <c r="D6257" s="60"/>
      <c r="E6257" s="60"/>
      <c r="F6257" s="60"/>
      <c r="G6257" s="60"/>
      <c r="H6257" s="60"/>
      <c r="I6257" s="60"/>
      <c r="J6257" s="60"/>
      <c r="K6257" s="60"/>
      <c r="L6257" s="60"/>
      <c r="M6257" s="64"/>
      <c r="N6257" s="33"/>
    </row>
    <row r="6258" ht="24" customHeight="1" spans="2:14">
      <c r="B6258" s="33"/>
      <c r="C6258" s="60"/>
      <c r="D6258" s="60"/>
      <c r="E6258" s="60"/>
      <c r="F6258" s="60"/>
      <c r="G6258" s="60"/>
      <c r="H6258" s="60"/>
      <c r="I6258" s="60"/>
      <c r="J6258" s="60"/>
      <c r="K6258" s="60"/>
      <c r="L6258" s="60"/>
      <c r="M6258" s="64"/>
      <c r="N6258" s="33"/>
    </row>
    <row r="6259" ht="24" customHeight="1" spans="2:14">
      <c r="B6259" s="33"/>
      <c r="C6259" s="60"/>
      <c r="D6259" s="60"/>
      <c r="E6259" s="60"/>
      <c r="F6259" s="60"/>
      <c r="G6259" s="60"/>
      <c r="H6259" s="60"/>
      <c r="I6259" s="60"/>
      <c r="J6259" s="60"/>
      <c r="K6259" s="60"/>
      <c r="L6259" s="60"/>
      <c r="M6259" s="64"/>
      <c r="N6259" s="33"/>
    </row>
    <row r="6260" ht="24" customHeight="1" spans="2:14">
      <c r="B6260" s="33"/>
      <c r="C6260" s="60"/>
      <c r="D6260" s="60"/>
      <c r="E6260" s="60"/>
      <c r="F6260" s="60"/>
      <c r="G6260" s="60"/>
      <c r="H6260" s="60"/>
      <c r="I6260" s="60"/>
      <c r="J6260" s="60"/>
      <c r="K6260" s="60"/>
      <c r="L6260" s="60"/>
      <c r="M6260" s="64"/>
      <c r="N6260" s="33"/>
    </row>
    <row r="6261" ht="24" customHeight="1" spans="2:14">
      <c r="B6261" s="33"/>
      <c r="C6261" s="60"/>
      <c r="D6261" s="60"/>
      <c r="E6261" s="60"/>
      <c r="F6261" s="60"/>
      <c r="G6261" s="60"/>
      <c r="H6261" s="60"/>
      <c r="I6261" s="60"/>
      <c r="J6261" s="60"/>
      <c r="K6261" s="60"/>
      <c r="L6261" s="60"/>
      <c r="M6261" s="64"/>
      <c r="N6261" s="33"/>
    </row>
    <row r="6262" ht="24" customHeight="1" spans="2:14">
      <c r="B6262" s="33"/>
      <c r="C6262" s="60"/>
      <c r="D6262" s="60"/>
      <c r="E6262" s="60"/>
      <c r="F6262" s="60"/>
      <c r="G6262" s="60"/>
      <c r="H6262" s="60"/>
      <c r="I6262" s="60"/>
      <c r="J6262" s="60"/>
      <c r="K6262" s="60"/>
      <c r="L6262" s="60"/>
      <c r="M6262" s="64"/>
      <c r="N6262" s="33"/>
    </row>
    <row r="6263" ht="24" customHeight="1" spans="2:14">
      <c r="B6263" s="33"/>
      <c r="C6263" s="60"/>
      <c r="D6263" s="60"/>
      <c r="E6263" s="60"/>
      <c r="F6263" s="60"/>
      <c r="G6263" s="60"/>
      <c r="H6263" s="60"/>
      <c r="I6263" s="60"/>
      <c r="J6263" s="60"/>
      <c r="K6263" s="60"/>
      <c r="L6263" s="60"/>
      <c r="M6263" s="64"/>
      <c r="N6263" s="33"/>
    </row>
    <row r="6264" ht="24" customHeight="1" spans="2:14">
      <c r="B6264" s="33"/>
      <c r="C6264" s="60"/>
      <c r="D6264" s="60"/>
      <c r="E6264" s="60"/>
      <c r="F6264" s="60"/>
      <c r="G6264" s="60"/>
      <c r="H6264" s="60"/>
      <c r="I6264" s="60"/>
      <c r="J6264" s="60"/>
      <c r="K6264" s="60"/>
      <c r="L6264" s="60"/>
      <c r="M6264" s="64"/>
      <c r="N6264" s="33"/>
    </row>
    <row r="6265" ht="24" customHeight="1" spans="2:14">
      <c r="B6265" s="33"/>
      <c r="C6265" s="60"/>
      <c r="D6265" s="60"/>
      <c r="E6265" s="60"/>
      <c r="F6265" s="60"/>
      <c r="G6265" s="60"/>
      <c r="H6265" s="60"/>
      <c r="I6265" s="60"/>
      <c r="J6265" s="60"/>
      <c r="K6265" s="60"/>
      <c r="L6265" s="60"/>
      <c r="M6265" s="64"/>
      <c r="N6265" s="33"/>
    </row>
    <row r="6266" ht="24" customHeight="1" spans="2:14">
      <c r="B6266" s="33"/>
      <c r="C6266" s="60"/>
      <c r="D6266" s="60"/>
      <c r="E6266" s="60"/>
      <c r="F6266" s="60"/>
      <c r="G6266" s="60"/>
      <c r="H6266" s="60"/>
      <c r="I6266" s="60"/>
      <c r="J6266" s="60"/>
      <c r="K6266" s="60"/>
      <c r="L6266" s="60"/>
      <c r="M6266" s="64"/>
      <c r="N6266" s="33"/>
    </row>
    <row r="6267" ht="24" customHeight="1" spans="2:14">
      <c r="B6267" s="33"/>
      <c r="C6267" s="60"/>
      <c r="D6267" s="60"/>
      <c r="E6267" s="60"/>
      <c r="F6267" s="60"/>
      <c r="G6267" s="60"/>
      <c r="H6267" s="60"/>
      <c r="I6267" s="60"/>
      <c r="J6267" s="60"/>
      <c r="K6267" s="60"/>
      <c r="L6267" s="60"/>
      <c r="M6267" s="64"/>
      <c r="N6267" s="33"/>
    </row>
    <row r="6268" ht="24" customHeight="1" spans="2:14">
      <c r="B6268" s="33"/>
      <c r="C6268" s="60"/>
      <c r="D6268" s="60"/>
      <c r="E6268" s="60"/>
      <c r="F6268" s="60"/>
      <c r="G6268" s="60"/>
      <c r="H6268" s="60"/>
      <c r="I6268" s="60"/>
      <c r="J6268" s="60"/>
      <c r="K6268" s="60"/>
      <c r="L6268" s="60"/>
      <c r="M6268" s="64"/>
      <c r="N6268" s="33"/>
    </row>
    <row r="6269" ht="24" customHeight="1" spans="2:14">
      <c r="B6269" s="33"/>
      <c r="C6269" s="60"/>
      <c r="D6269" s="60"/>
      <c r="E6269" s="60"/>
      <c r="F6269" s="60"/>
      <c r="G6269" s="60"/>
      <c r="H6269" s="60"/>
      <c r="I6269" s="60"/>
      <c r="J6269" s="60"/>
      <c r="K6269" s="60"/>
      <c r="L6269" s="60"/>
      <c r="M6269" s="64"/>
      <c r="N6269" s="33"/>
    </row>
    <row r="6270" ht="24" customHeight="1" spans="2:14">
      <c r="B6270" s="33"/>
      <c r="C6270" s="60"/>
      <c r="D6270" s="60"/>
      <c r="E6270" s="60"/>
      <c r="F6270" s="60"/>
      <c r="G6270" s="60"/>
      <c r="H6270" s="60"/>
      <c r="I6270" s="60"/>
      <c r="J6270" s="60"/>
      <c r="K6270" s="60"/>
      <c r="L6270" s="60"/>
      <c r="M6270" s="64"/>
      <c r="N6270" s="33"/>
    </row>
    <row r="6271" ht="24" customHeight="1" spans="2:14">
      <c r="B6271" s="33"/>
      <c r="C6271" s="60"/>
      <c r="D6271" s="60"/>
      <c r="E6271" s="60"/>
      <c r="F6271" s="60"/>
      <c r="G6271" s="60"/>
      <c r="H6271" s="60"/>
      <c r="I6271" s="60"/>
      <c r="J6271" s="60"/>
      <c r="K6271" s="60"/>
      <c r="L6271" s="60"/>
      <c r="M6271" s="64"/>
      <c r="N6271" s="33"/>
    </row>
    <row r="6272" ht="24" customHeight="1" spans="2:14">
      <c r="B6272" s="33"/>
      <c r="C6272" s="60"/>
      <c r="D6272" s="60"/>
      <c r="E6272" s="60"/>
      <c r="F6272" s="60"/>
      <c r="G6272" s="60"/>
      <c r="H6272" s="60"/>
      <c r="I6272" s="60"/>
      <c r="J6272" s="60"/>
      <c r="K6272" s="60"/>
      <c r="L6272" s="60"/>
      <c r="M6272" s="64"/>
      <c r="N6272" s="33"/>
    </row>
    <row r="6273" ht="24" customHeight="1" spans="2:14">
      <c r="B6273" s="33"/>
      <c r="C6273" s="60"/>
      <c r="D6273" s="60"/>
      <c r="E6273" s="60"/>
      <c r="F6273" s="60"/>
      <c r="G6273" s="60"/>
      <c r="H6273" s="60"/>
      <c r="I6273" s="60"/>
      <c r="J6273" s="60"/>
      <c r="K6273" s="60"/>
      <c r="L6273" s="60"/>
      <c r="M6273" s="64"/>
      <c r="N6273" s="33"/>
    </row>
    <row r="6274" ht="24" customHeight="1" spans="2:14">
      <c r="B6274" s="33"/>
      <c r="C6274" s="60"/>
      <c r="D6274" s="60"/>
      <c r="E6274" s="60"/>
      <c r="F6274" s="60"/>
      <c r="G6274" s="60"/>
      <c r="H6274" s="60"/>
      <c r="I6274" s="60"/>
      <c r="J6274" s="60"/>
      <c r="K6274" s="60"/>
      <c r="L6274" s="60"/>
      <c r="M6274" s="64"/>
      <c r="N6274" s="33"/>
    </row>
    <row r="6275" ht="24" customHeight="1" spans="2:14">
      <c r="B6275" s="33"/>
      <c r="C6275" s="60"/>
      <c r="D6275" s="60"/>
      <c r="E6275" s="60"/>
      <c r="F6275" s="60"/>
      <c r="G6275" s="60"/>
      <c r="H6275" s="60"/>
      <c r="I6275" s="60"/>
      <c r="J6275" s="60"/>
      <c r="K6275" s="60"/>
      <c r="L6275" s="60"/>
      <c r="M6275" s="64"/>
      <c r="N6275" s="33"/>
    </row>
    <row r="6276" ht="24" customHeight="1" spans="2:14">
      <c r="B6276" s="33"/>
      <c r="C6276" s="60"/>
      <c r="D6276" s="60"/>
      <c r="E6276" s="60"/>
      <c r="F6276" s="60"/>
      <c r="G6276" s="60"/>
      <c r="H6276" s="60"/>
      <c r="I6276" s="60"/>
      <c r="J6276" s="60"/>
      <c r="K6276" s="60"/>
      <c r="L6276" s="60"/>
      <c r="M6276" s="64"/>
      <c r="N6276" s="33"/>
    </row>
    <row r="6277" ht="24" customHeight="1" spans="2:14">
      <c r="B6277" s="33"/>
      <c r="C6277" s="60"/>
      <c r="D6277" s="60"/>
      <c r="E6277" s="60"/>
      <c r="F6277" s="60"/>
      <c r="G6277" s="60"/>
      <c r="H6277" s="60"/>
      <c r="I6277" s="60"/>
      <c r="J6277" s="60"/>
      <c r="K6277" s="60"/>
      <c r="L6277" s="60"/>
      <c r="M6277" s="64"/>
      <c r="N6277" s="33"/>
    </row>
    <row r="6278" ht="24" customHeight="1" spans="2:14">
      <c r="B6278" s="33"/>
      <c r="C6278" s="60"/>
      <c r="D6278" s="60"/>
      <c r="E6278" s="60"/>
      <c r="F6278" s="60"/>
      <c r="G6278" s="60"/>
      <c r="H6278" s="60"/>
      <c r="I6278" s="60"/>
      <c r="J6278" s="60"/>
      <c r="K6278" s="60"/>
      <c r="L6278" s="60"/>
      <c r="M6278" s="64"/>
      <c r="N6278" s="33"/>
    </row>
    <row r="6279" ht="24" customHeight="1" spans="2:14">
      <c r="B6279" s="33"/>
      <c r="C6279" s="60"/>
      <c r="D6279" s="60"/>
      <c r="E6279" s="60"/>
      <c r="F6279" s="60"/>
      <c r="G6279" s="60"/>
      <c r="H6279" s="60"/>
      <c r="I6279" s="60"/>
      <c r="J6279" s="60"/>
      <c r="K6279" s="60"/>
      <c r="L6279" s="60"/>
      <c r="M6279" s="64"/>
      <c r="N6279" s="33"/>
    </row>
    <row r="6280" ht="24" customHeight="1" spans="2:14">
      <c r="B6280" s="33"/>
      <c r="C6280" s="60"/>
      <c r="D6280" s="60"/>
      <c r="E6280" s="60"/>
      <c r="F6280" s="60"/>
      <c r="G6280" s="60"/>
      <c r="H6280" s="60"/>
      <c r="I6280" s="60"/>
      <c r="J6280" s="60"/>
      <c r="K6280" s="60"/>
      <c r="L6280" s="60"/>
      <c r="M6280" s="64"/>
      <c r="N6280" s="33"/>
    </row>
    <row r="6281" ht="24" customHeight="1" spans="2:14">
      <c r="B6281" s="33"/>
      <c r="C6281" s="60"/>
      <c r="D6281" s="60"/>
      <c r="E6281" s="60"/>
      <c r="F6281" s="60"/>
      <c r="G6281" s="60"/>
      <c r="H6281" s="60"/>
      <c r="I6281" s="60"/>
      <c r="J6281" s="60"/>
      <c r="K6281" s="60"/>
      <c r="L6281" s="60"/>
      <c r="M6281" s="64"/>
      <c r="N6281" s="33"/>
    </row>
    <row r="6282" ht="24" customHeight="1" spans="2:14">
      <c r="B6282" s="33"/>
      <c r="C6282" s="60"/>
      <c r="D6282" s="60"/>
      <c r="E6282" s="60"/>
      <c r="F6282" s="60"/>
      <c r="G6282" s="60"/>
      <c r="H6282" s="60"/>
      <c r="I6282" s="60"/>
      <c r="J6282" s="60"/>
      <c r="K6282" s="60"/>
      <c r="L6282" s="60"/>
      <c r="M6282" s="64"/>
      <c r="N6282" s="33"/>
    </row>
    <row r="6283" ht="24" customHeight="1" spans="2:14">
      <c r="B6283" s="33"/>
      <c r="C6283" s="60"/>
      <c r="D6283" s="60"/>
      <c r="E6283" s="60"/>
      <c r="F6283" s="60"/>
      <c r="G6283" s="60"/>
      <c r="H6283" s="60"/>
      <c r="I6283" s="60"/>
      <c r="J6283" s="60"/>
      <c r="K6283" s="60"/>
      <c r="L6283" s="60"/>
      <c r="M6283" s="64"/>
      <c r="N6283" s="33"/>
    </row>
    <row r="6284" ht="24" customHeight="1" spans="2:14">
      <c r="B6284" s="33"/>
      <c r="C6284" s="60"/>
      <c r="D6284" s="60"/>
      <c r="E6284" s="60"/>
      <c r="F6284" s="60"/>
      <c r="G6284" s="60"/>
      <c r="H6284" s="60"/>
      <c r="I6284" s="60"/>
      <c r="J6284" s="60"/>
      <c r="K6284" s="60"/>
      <c r="L6284" s="60"/>
      <c r="M6284" s="64"/>
      <c r="N6284" s="33"/>
    </row>
    <row r="6285" ht="24" customHeight="1" spans="2:14">
      <c r="B6285" s="33"/>
      <c r="C6285" s="60"/>
      <c r="D6285" s="60"/>
      <c r="E6285" s="60"/>
      <c r="F6285" s="60"/>
      <c r="G6285" s="60"/>
      <c r="H6285" s="60"/>
      <c r="I6285" s="60"/>
      <c r="J6285" s="60"/>
      <c r="K6285" s="60"/>
      <c r="L6285" s="60"/>
      <c r="M6285" s="64"/>
      <c r="N6285" s="33"/>
    </row>
    <row r="6286" ht="24" customHeight="1" spans="2:14">
      <c r="B6286" s="33"/>
      <c r="C6286" s="60"/>
      <c r="D6286" s="60"/>
      <c r="E6286" s="60"/>
      <c r="F6286" s="60"/>
      <c r="G6286" s="60"/>
      <c r="H6286" s="60"/>
      <c r="I6286" s="60"/>
      <c r="J6286" s="60"/>
      <c r="K6286" s="60"/>
      <c r="L6286" s="60"/>
      <c r="M6286" s="64"/>
      <c r="N6286" s="33"/>
    </row>
    <row r="6287" ht="24" customHeight="1" spans="2:14">
      <c r="B6287" s="33"/>
      <c r="C6287" s="60"/>
      <c r="D6287" s="60"/>
      <c r="E6287" s="60"/>
      <c r="F6287" s="60"/>
      <c r="G6287" s="60"/>
      <c r="H6287" s="60"/>
      <c r="I6287" s="60"/>
      <c r="J6287" s="60"/>
      <c r="K6287" s="60"/>
      <c r="L6287" s="60"/>
      <c r="M6287" s="64"/>
      <c r="N6287" s="33"/>
    </row>
    <row r="6288" ht="24" customHeight="1" spans="2:14">
      <c r="B6288" s="33"/>
      <c r="C6288" s="60"/>
      <c r="D6288" s="60"/>
      <c r="E6288" s="60"/>
      <c r="F6288" s="60"/>
      <c r="G6288" s="60"/>
      <c r="H6288" s="60"/>
      <c r="I6288" s="60"/>
      <c r="J6288" s="60"/>
      <c r="K6288" s="60"/>
      <c r="L6288" s="60"/>
      <c r="M6288" s="64"/>
      <c r="N6288" s="33"/>
    </row>
    <row r="6289" ht="24" customHeight="1" spans="2:14">
      <c r="B6289" s="33"/>
      <c r="C6289" s="60"/>
      <c r="D6289" s="60"/>
      <c r="E6289" s="60"/>
      <c r="F6289" s="60"/>
      <c r="G6289" s="60"/>
      <c r="H6289" s="60"/>
      <c r="I6289" s="60"/>
      <c r="J6289" s="60"/>
      <c r="K6289" s="60"/>
      <c r="L6289" s="60"/>
      <c r="M6289" s="64"/>
      <c r="N6289" s="33"/>
    </row>
    <row r="6290" ht="24" customHeight="1" spans="2:14">
      <c r="B6290" s="33"/>
      <c r="C6290" s="60"/>
      <c r="D6290" s="60"/>
      <c r="E6290" s="60"/>
      <c r="F6290" s="60"/>
      <c r="G6290" s="60"/>
      <c r="H6290" s="60"/>
      <c r="I6290" s="60"/>
      <c r="J6290" s="60"/>
      <c r="K6290" s="60"/>
      <c r="L6290" s="60"/>
      <c r="M6290" s="64"/>
      <c r="N6290" s="33"/>
    </row>
    <row r="6291" ht="24" customHeight="1" spans="2:14">
      <c r="B6291" s="33"/>
      <c r="C6291" s="60"/>
      <c r="D6291" s="60"/>
      <c r="E6291" s="60"/>
      <c r="F6291" s="60"/>
      <c r="G6291" s="60"/>
      <c r="H6291" s="60"/>
      <c r="I6291" s="60"/>
      <c r="J6291" s="60"/>
      <c r="K6291" s="60"/>
      <c r="L6291" s="60"/>
      <c r="M6291" s="64"/>
      <c r="N6291" s="33"/>
    </row>
    <row r="6292" ht="24" customHeight="1" spans="2:14">
      <c r="B6292" s="33"/>
      <c r="C6292" s="60"/>
      <c r="D6292" s="60"/>
      <c r="E6292" s="60"/>
      <c r="F6292" s="60"/>
      <c r="G6292" s="60"/>
      <c r="H6292" s="60"/>
      <c r="I6292" s="60"/>
      <c r="J6292" s="60"/>
      <c r="K6292" s="60"/>
      <c r="L6292" s="60"/>
      <c r="M6292" s="64"/>
      <c r="N6292" s="33"/>
    </row>
    <row r="6293" ht="24" customHeight="1" spans="2:14">
      <c r="B6293" s="33"/>
      <c r="C6293" s="60"/>
      <c r="D6293" s="60"/>
      <c r="E6293" s="60"/>
      <c r="F6293" s="60"/>
      <c r="G6293" s="60"/>
      <c r="H6293" s="60"/>
      <c r="I6293" s="60"/>
      <c r="J6293" s="60"/>
      <c r="K6293" s="60"/>
      <c r="L6293" s="60"/>
      <c r="M6293" s="64"/>
      <c r="N6293" s="33"/>
    </row>
    <row r="6294" ht="24" customHeight="1" spans="2:14">
      <c r="B6294" s="33"/>
      <c r="C6294" s="60"/>
      <c r="D6294" s="60"/>
      <c r="E6294" s="60"/>
      <c r="F6294" s="60"/>
      <c r="G6294" s="60"/>
      <c r="H6294" s="60"/>
      <c r="I6294" s="60"/>
      <c r="J6294" s="60"/>
      <c r="K6294" s="60"/>
      <c r="L6294" s="60"/>
      <c r="M6294" s="64"/>
      <c r="N6294" s="33"/>
    </row>
    <row r="6295" ht="24" customHeight="1" spans="2:14">
      <c r="B6295" s="33"/>
      <c r="C6295" s="60"/>
      <c r="D6295" s="60"/>
      <c r="E6295" s="60"/>
      <c r="F6295" s="60"/>
      <c r="G6295" s="60"/>
      <c r="H6295" s="60"/>
      <c r="I6295" s="60"/>
      <c r="J6295" s="60"/>
      <c r="K6295" s="60"/>
      <c r="L6295" s="60"/>
      <c r="M6295" s="64"/>
      <c r="N6295" s="33"/>
    </row>
    <row r="6296" ht="24" customHeight="1" spans="2:14">
      <c r="B6296" s="33"/>
      <c r="C6296" s="60"/>
      <c r="D6296" s="60"/>
      <c r="E6296" s="60"/>
      <c r="F6296" s="60"/>
      <c r="G6296" s="60"/>
      <c r="H6296" s="60"/>
      <c r="I6296" s="60"/>
      <c r="J6296" s="60"/>
      <c r="K6296" s="60"/>
      <c r="L6296" s="60"/>
      <c r="M6296" s="64"/>
      <c r="N6296" s="33"/>
    </row>
    <row r="6297" ht="24" customHeight="1" spans="2:14">
      <c r="B6297" s="33"/>
      <c r="C6297" s="60"/>
      <c r="D6297" s="60"/>
      <c r="E6297" s="60"/>
      <c r="F6297" s="60"/>
      <c r="G6297" s="60"/>
      <c r="H6297" s="60"/>
      <c r="I6297" s="60"/>
      <c r="J6297" s="60"/>
      <c r="K6297" s="60"/>
      <c r="L6297" s="60"/>
      <c r="M6297" s="64"/>
      <c r="N6297" s="33"/>
    </row>
    <row r="6298" ht="24" customHeight="1" spans="2:14">
      <c r="B6298" s="33"/>
      <c r="C6298" s="60"/>
      <c r="D6298" s="60"/>
      <c r="E6298" s="60"/>
      <c r="F6298" s="60"/>
      <c r="G6298" s="60"/>
      <c r="H6298" s="60"/>
      <c r="I6298" s="60"/>
      <c r="J6298" s="60"/>
      <c r="K6298" s="60"/>
      <c r="L6298" s="60"/>
      <c r="M6298" s="64"/>
      <c r="N6298" s="33"/>
    </row>
    <row r="6299" ht="24" customHeight="1" spans="2:14">
      <c r="B6299" s="33"/>
      <c r="C6299" s="60"/>
      <c r="D6299" s="60"/>
      <c r="E6299" s="60"/>
      <c r="F6299" s="60"/>
      <c r="G6299" s="60"/>
      <c r="H6299" s="60"/>
      <c r="I6299" s="60"/>
      <c r="J6299" s="60"/>
      <c r="K6299" s="60"/>
      <c r="L6299" s="60"/>
      <c r="M6299" s="64"/>
      <c r="N6299" s="33"/>
    </row>
    <row r="6300" ht="24" customHeight="1" spans="2:14">
      <c r="B6300" s="33"/>
      <c r="C6300" s="60"/>
      <c r="D6300" s="60"/>
      <c r="E6300" s="60"/>
      <c r="F6300" s="60"/>
      <c r="G6300" s="60"/>
      <c r="H6300" s="60"/>
      <c r="I6300" s="60"/>
      <c r="J6300" s="60"/>
      <c r="K6300" s="60"/>
      <c r="L6300" s="60"/>
      <c r="M6300" s="64"/>
      <c r="N6300" s="33"/>
    </row>
    <row r="6301" ht="24" customHeight="1" spans="2:14">
      <c r="B6301" s="33"/>
      <c r="C6301" s="60"/>
      <c r="D6301" s="60"/>
      <c r="E6301" s="60"/>
      <c r="F6301" s="60"/>
      <c r="G6301" s="60"/>
      <c r="H6301" s="60"/>
      <c r="I6301" s="60"/>
      <c r="J6301" s="60"/>
      <c r="K6301" s="60"/>
      <c r="L6301" s="60"/>
      <c r="M6301" s="64"/>
      <c r="N6301" s="33"/>
    </row>
    <row r="6302" ht="24" customHeight="1" spans="2:14">
      <c r="B6302" s="33"/>
      <c r="C6302" s="60"/>
      <c r="D6302" s="60"/>
      <c r="E6302" s="60"/>
      <c r="F6302" s="60"/>
      <c r="G6302" s="60"/>
      <c r="H6302" s="60"/>
      <c r="I6302" s="60"/>
      <c r="J6302" s="60"/>
      <c r="K6302" s="60"/>
      <c r="L6302" s="60"/>
      <c r="M6302" s="64"/>
      <c r="N6302" s="33"/>
    </row>
    <row r="6303" ht="24" customHeight="1" spans="2:14">
      <c r="B6303" s="33"/>
      <c r="C6303" s="60"/>
      <c r="D6303" s="60"/>
      <c r="E6303" s="60"/>
      <c r="F6303" s="60"/>
      <c r="G6303" s="60"/>
      <c r="H6303" s="60"/>
      <c r="I6303" s="60"/>
      <c r="J6303" s="60"/>
      <c r="K6303" s="60"/>
      <c r="L6303" s="60"/>
      <c r="M6303" s="64"/>
      <c r="N6303" s="33"/>
    </row>
    <row r="6304" ht="24" customHeight="1" spans="2:14">
      <c r="B6304" s="33"/>
      <c r="C6304" s="60"/>
      <c r="D6304" s="60"/>
      <c r="E6304" s="60"/>
      <c r="F6304" s="60"/>
      <c r="G6304" s="60"/>
      <c r="H6304" s="60"/>
      <c r="I6304" s="60"/>
      <c r="J6304" s="60"/>
      <c r="K6304" s="60"/>
      <c r="L6304" s="60"/>
      <c r="M6304" s="64"/>
      <c r="N6304" s="33"/>
    </row>
    <row r="6305" ht="24" customHeight="1" spans="2:14">
      <c r="B6305" s="33"/>
      <c r="C6305" s="60"/>
      <c r="D6305" s="60"/>
      <c r="E6305" s="60"/>
      <c r="F6305" s="60"/>
      <c r="G6305" s="60"/>
      <c r="H6305" s="60"/>
      <c r="I6305" s="60"/>
      <c r="J6305" s="60"/>
      <c r="K6305" s="60"/>
      <c r="L6305" s="60"/>
      <c r="M6305" s="64"/>
      <c r="N6305" s="33"/>
    </row>
    <row r="6306" ht="24" customHeight="1" spans="2:14">
      <c r="B6306" s="33"/>
      <c r="C6306" s="60"/>
      <c r="D6306" s="60"/>
      <c r="E6306" s="60"/>
      <c r="F6306" s="60"/>
      <c r="G6306" s="60"/>
      <c r="H6306" s="60"/>
      <c r="I6306" s="60"/>
      <c r="J6306" s="60"/>
      <c r="K6306" s="60"/>
      <c r="L6306" s="60"/>
      <c r="M6306" s="64"/>
      <c r="N6306" s="33"/>
    </row>
    <row r="6307" ht="24" customHeight="1" spans="2:14">
      <c r="B6307" s="33"/>
      <c r="C6307" s="60"/>
      <c r="D6307" s="60"/>
      <c r="E6307" s="60"/>
      <c r="F6307" s="60"/>
      <c r="G6307" s="60"/>
      <c r="H6307" s="60"/>
      <c r="I6307" s="60"/>
      <c r="J6307" s="60"/>
      <c r="K6307" s="60"/>
      <c r="L6307" s="60"/>
      <c r="M6307" s="64"/>
      <c r="N6307" s="33"/>
    </row>
    <row r="6308" ht="24" customHeight="1" spans="2:14">
      <c r="B6308" s="33"/>
      <c r="C6308" s="60"/>
      <c r="D6308" s="60"/>
      <c r="E6308" s="60"/>
      <c r="F6308" s="60"/>
      <c r="G6308" s="60"/>
      <c r="H6308" s="60"/>
      <c r="I6308" s="60"/>
      <c r="J6308" s="60"/>
      <c r="K6308" s="60"/>
      <c r="L6308" s="60"/>
      <c r="M6308" s="64"/>
      <c r="N6308" s="33"/>
    </row>
    <row r="6309" ht="24" customHeight="1" spans="2:14">
      <c r="B6309" s="33"/>
      <c r="C6309" s="60"/>
      <c r="D6309" s="60"/>
      <c r="E6309" s="60"/>
      <c r="F6309" s="60"/>
      <c r="G6309" s="60"/>
      <c r="H6309" s="60"/>
      <c r="I6309" s="60"/>
      <c r="J6309" s="60"/>
      <c r="K6309" s="60"/>
      <c r="L6309" s="60"/>
      <c r="M6309" s="64"/>
      <c r="N6309" s="33"/>
    </row>
    <row r="6310" ht="24" customHeight="1" spans="2:14">
      <c r="B6310" s="33"/>
      <c r="C6310" s="60"/>
      <c r="D6310" s="60"/>
      <c r="E6310" s="60"/>
      <c r="F6310" s="60"/>
      <c r="G6310" s="60"/>
      <c r="H6310" s="60"/>
      <c r="I6310" s="60"/>
      <c r="J6310" s="60"/>
      <c r="K6310" s="60"/>
      <c r="L6310" s="60"/>
      <c r="M6310" s="64"/>
      <c r="N6310" s="33"/>
    </row>
    <row r="6311" ht="24" customHeight="1" spans="2:14">
      <c r="B6311" s="33"/>
      <c r="C6311" s="60"/>
      <c r="D6311" s="60"/>
      <c r="E6311" s="60"/>
      <c r="F6311" s="60"/>
      <c r="G6311" s="60"/>
      <c r="H6311" s="60"/>
      <c r="I6311" s="60"/>
      <c r="J6311" s="60"/>
      <c r="K6311" s="60"/>
      <c r="L6311" s="60"/>
      <c r="M6311" s="64"/>
      <c r="N6311" s="33"/>
    </row>
    <row r="6312" ht="24" customHeight="1" spans="2:14">
      <c r="B6312" s="33"/>
      <c r="C6312" s="60"/>
      <c r="D6312" s="60"/>
      <c r="E6312" s="60"/>
      <c r="F6312" s="60"/>
      <c r="G6312" s="60"/>
      <c r="H6312" s="60"/>
      <c r="I6312" s="60"/>
      <c r="J6312" s="60"/>
      <c r="K6312" s="60"/>
      <c r="L6312" s="60"/>
      <c r="M6312" s="64"/>
      <c r="N6312" s="33"/>
    </row>
    <row r="6313" ht="24" customHeight="1" spans="2:14">
      <c r="B6313" s="33"/>
      <c r="C6313" s="60"/>
      <c r="D6313" s="60"/>
      <c r="E6313" s="60"/>
      <c r="F6313" s="60"/>
      <c r="G6313" s="60"/>
      <c r="H6313" s="60"/>
      <c r="I6313" s="60"/>
      <c r="J6313" s="60"/>
      <c r="K6313" s="60"/>
      <c r="L6313" s="60"/>
      <c r="M6313" s="64"/>
      <c r="N6313" s="33"/>
    </row>
    <row r="6314" ht="24" customHeight="1" spans="2:14">
      <c r="B6314" s="33"/>
      <c r="C6314" s="60"/>
      <c r="D6314" s="60"/>
      <c r="E6314" s="60"/>
      <c r="F6314" s="60"/>
      <c r="G6314" s="60"/>
      <c r="H6314" s="60"/>
      <c r="I6314" s="60"/>
      <c r="J6314" s="60"/>
      <c r="K6314" s="60"/>
      <c r="L6314" s="60"/>
      <c r="M6314" s="64"/>
      <c r="N6314" s="33"/>
    </row>
    <row r="6315" ht="24" customHeight="1" spans="2:14">
      <c r="B6315" s="33"/>
      <c r="C6315" s="60"/>
      <c r="D6315" s="60"/>
      <c r="E6315" s="60"/>
      <c r="F6315" s="60"/>
      <c r="G6315" s="60"/>
      <c r="H6315" s="60"/>
      <c r="I6315" s="60"/>
      <c r="J6315" s="60"/>
      <c r="K6315" s="60"/>
      <c r="L6315" s="60"/>
      <c r="M6315" s="64"/>
      <c r="N6315" s="33"/>
    </row>
    <row r="6316" ht="24" customHeight="1" spans="2:14">
      <c r="B6316" s="33"/>
      <c r="C6316" s="60"/>
      <c r="D6316" s="60"/>
      <c r="E6316" s="60"/>
      <c r="F6316" s="60"/>
      <c r="G6316" s="60"/>
      <c r="H6316" s="60"/>
      <c r="I6316" s="60"/>
      <c r="J6316" s="60"/>
      <c r="K6316" s="60"/>
      <c r="L6316" s="60"/>
      <c r="M6316" s="64"/>
      <c r="N6316" s="33"/>
    </row>
    <row r="6317" ht="24" customHeight="1" spans="2:14">
      <c r="B6317" s="33"/>
      <c r="C6317" s="60"/>
      <c r="D6317" s="60"/>
      <c r="E6317" s="60"/>
      <c r="F6317" s="60"/>
      <c r="G6317" s="60"/>
      <c r="H6317" s="60"/>
      <c r="I6317" s="60"/>
      <c r="J6317" s="60"/>
      <c r="K6317" s="60"/>
      <c r="L6317" s="60"/>
      <c r="M6317" s="64"/>
      <c r="N6317" s="33"/>
    </row>
    <row r="6318" ht="24" customHeight="1" spans="2:14">
      <c r="B6318" s="33"/>
      <c r="C6318" s="60"/>
      <c r="D6318" s="60"/>
      <c r="E6318" s="60"/>
      <c r="F6318" s="60"/>
      <c r="G6318" s="60"/>
      <c r="H6318" s="60"/>
      <c r="I6318" s="60"/>
      <c r="J6318" s="60"/>
      <c r="K6318" s="60"/>
      <c r="L6318" s="60"/>
      <c r="M6318" s="64"/>
      <c r="N6318" s="33"/>
    </row>
    <row r="6319" ht="24" customHeight="1" spans="2:14">
      <c r="B6319" s="33"/>
      <c r="C6319" s="60"/>
      <c r="D6319" s="60"/>
      <c r="E6319" s="60"/>
      <c r="F6319" s="60"/>
      <c r="G6319" s="60"/>
      <c r="H6319" s="60"/>
      <c r="I6319" s="60"/>
      <c r="J6319" s="60"/>
      <c r="K6319" s="60"/>
      <c r="L6319" s="60"/>
      <c r="M6319" s="64"/>
      <c r="N6319" s="33"/>
    </row>
    <row r="6320" ht="24" customHeight="1" spans="2:14">
      <c r="B6320" s="33"/>
      <c r="C6320" s="60"/>
      <c r="D6320" s="60"/>
      <c r="E6320" s="60"/>
      <c r="F6320" s="60"/>
      <c r="G6320" s="60"/>
      <c r="H6320" s="60"/>
      <c r="I6320" s="60"/>
      <c r="J6320" s="60"/>
      <c r="K6320" s="60"/>
      <c r="L6320" s="60"/>
      <c r="M6320" s="64"/>
      <c r="N6320" s="33"/>
    </row>
    <row r="6321" ht="24" customHeight="1" spans="2:14">
      <c r="B6321" s="33"/>
      <c r="C6321" s="60"/>
      <c r="D6321" s="60"/>
      <c r="E6321" s="60"/>
      <c r="F6321" s="60"/>
      <c r="G6321" s="60"/>
      <c r="H6321" s="60"/>
      <c r="I6321" s="60"/>
      <c r="J6321" s="60"/>
      <c r="K6321" s="60"/>
      <c r="L6321" s="60"/>
      <c r="M6321" s="64"/>
      <c r="N6321" s="33"/>
    </row>
    <row r="6322" ht="24" customHeight="1" spans="2:14">
      <c r="B6322" s="33"/>
      <c r="C6322" s="60"/>
      <c r="D6322" s="60"/>
      <c r="E6322" s="60"/>
      <c r="F6322" s="60"/>
      <c r="G6322" s="60"/>
      <c r="H6322" s="60"/>
      <c r="I6322" s="60"/>
      <c r="J6322" s="60"/>
      <c r="K6322" s="60"/>
      <c r="L6322" s="60"/>
      <c r="M6322" s="64"/>
      <c r="N6322" s="33"/>
    </row>
    <row r="6323" ht="24" customHeight="1" spans="2:14">
      <c r="B6323" s="33"/>
      <c r="C6323" s="60"/>
      <c r="D6323" s="60"/>
      <c r="E6323" s="60"/>
      <c r="F6323" s="60"/>
      <c r="G6323" s="60"/>
      <c r="H6323" s="60"/>
      <c r="I6323" s="60"/>
      <c r="J6323" s="60"/>
      <c r="K6323" s="60"/>
      <c r="L6323" s="60"/>
      <c r="M6323" s="64"/>
      <c r="N6323" s="33"/>
    </row>
    <row r="6324" ht="24" customHeight="1" spans="2:14">
      <c r="B6324" s="33"/>
      <c r="C6324" s="60"/>
      <c r="D6324" s="60"/>
      <c r="E6324" s="60"/>
      <c r="F6324" s="60"/>
      <c r="G6324" s="60"/>
      <c r="H6324" s="60"/>
      <c r="I6324" s="60"/>
      <c r="J6324" s="60"/>
      <c r="K6324" s="60"/>
      <c r="L6324" s="60"/>
      <c r="M6324" s="64"/>
      <c r="N6324" s="33"/>
    </row>
    <row r="6325" ht="24" customHeight="1" spans="2:14">
      <c r="B6325" s="33"/>
      <c r="C6325" s="60"/>
      <c r="D6325" s="60"/>
      <c r="E6325" s="60"/>
      <c r="F6325" s="60"/>
      <c r="G6325" s="60"/>
      <c r="H6325" s="60"/>
      <c r="I6325" s="60"/>
      <c r="J6325" s="60"/>
      <c r="K6325" s="60"/>
      <c r="L6325" s="60"/>
      <c r="M6325" s="64"/>
      <c r="N6325" s="33"/>
    </row>
    <row r="6326" ht="24" customHeight="1" spans="2:14">
      <c r="B6326" s="33"/>
      <c r="C6326" s="60"/>
      <c r="D6326" s="60"/>
      <c r="E6326" s="60"/>
      <c r="F6326" s="60"/>
      <c r="G6326" s="60"/>
      <c r="H6326" s="60"/>
      <c r="I6326" s="60"/>
      <c r="J6326" s="60"/>
      <c r="K6326" s="60"/>
      <c r="L6326" s="60"/>
      <c r="M6326" s="64"/>
      <c r="N6326" s="33"/>
    </row>
    <row r="6327" ht="24" customHeight="1" spans="2:14">
      <c r="B6327" s="33"/>
      <c r="C6327" s="60"/>
      <c r="D6327" s="60"/>
      <c r="E6327" s="60"/>
      <c r="F6327" s="60"/>
      <c r="G6327" s="60"/>
      <c r="H6327" s="60"/>
      <c r="I6327" s="60"/>
      <c r="J6327" s="60"/>
      <c r="K6327" s="60"/>
      <c r="L6327" s="60"/>
      <c r="M6327" s="64"/>
      <c r="N6327" s="33"/>
    </row>
    <row r="6328" ht="24" customHeight="1" spans="2:14">
      <c r="B6328" s="33"/>
      <c r="C6328" s="60"/>
      <c r="D6328" s="60"/>
      <c r="E6328" s="60"/>
      <c r="F6328" s="60"/>
      <c r="G6328" s="60"/>
      <c r="H6328" s="60"/>
      <c r="I6328" s="60"/>
      <c r="J6328" s="60"/>
      <c r="K6328" s="60"/>
      <c r="L6328" s="60"/>
      <c r="M6328" s="64"/>
      <c r="N6328" s="33"/>
    </row>
    <row r="6329" ht="24" customHeight="1" spans="2:14">
      <c r="B6329" s="33"/>
      <c r="C6329" s="60"/>
      <c r="D6329" s="60"/>
      <c r="E6329" s="60"/>
      <c r="F6329" s="60"/>
      <c r="G6329" s="60"/>
      <c r="H6329" s="60"/>
      <c r="I6329" s="60"/>
      <c r="J6329" s="60"/>
      <c r="K6329" s="60"/>
      <c r="L6329" s="60"/>
      <c r="M6329" s="64"/>
      <c r="N6329" s="33"/>
    </row>
    <row r="6330" ht="24" customHeight="1" spans="2:14">
      <c r="B6330" s="33"/>
      <c r="C6330" s="60"/>
      <c r="D6330" s="60"/>
      <c r="E6330" s="60"/>
      <c r="F6330" s="60"/>
      <c r="G6330" s="60"/>
      <c r="H6330" s="60"/>
      <c r="I6330" s="60"/>
      <c r="J6330" s="60"/>
      <c r="K6330" s="60"/>
      <c r="L6330" s="60"/>
      <c r="M6330" s="64"/>
      <c r="N6330" s="33"/>
    </row>
    <row r="6331" ht="24" customHeight="1" spans="2:14">
      <c r="B6331" s="33"/>
      <c r="C6331" s="60"/>
      <c r="D6331" s="60"/>
      <c r="E6331" s="60"/>
      <c r="F6331" s="60"/>
      <c r="G6331" s="60"/>
      <c r="H6331" s="60"/>
      <c r="I6331" s="60"/>
      <c r="J6331" s="60"/>
      <c r="K6331" s="60"/>
      <c r="L6331" s="60"/>
      <c r="M6331" s="64"/>
      <c r="N6331" s="33"/>
    </row>
    <row r="6332" ht="24" customHeight="1" spans="2:14">
      <c r="B6332" s="33"/>
      <c r="C6332" s="60"/>
      <c r="D6332" s="60"/>
      <c r="E6332" s="60"/>
      <c r="F6332" s="60"/>
      <c r="G6332" s="60"/>
      <c r="H6332" s="60"/>
      <c r="I6332" s="60"/>
      <c r="J6332" s="60"/>
      <c r="K6332" s="60"/>
      <c r="L6332" s="60"/>
      <c r="M6332" s="64"/>
      <c r="N6332" s="33"/>
    </row>
    <row r="6333" ht="24" customHeight="1" spans="2:14">
      <c r="B6333" s="33"/>
      <c r="C6333" s="60"/>
      <c r="D6333" s="60"/>
      <c r="E6333" s="60"/>
      <c r="F6333" s="60"/>
      <c r="G6333" s="60"/>
      <c r="H6333" s="60"/>
      <c r="I6333" s="60"/>
      <c r="J6333" s="60"/>
      <c r="K6333" s="60"/>
      <c r="L6333" s="60"/>
      <c r="M6333" s="64"/>
      <c r="N6333" s="33"/>
    </row>
    <row r="6334" ht="24" customHeight="1" spans="2:14">
      <c r="B6334" s="33"/>
      <c r="C6334" s="60"/>
      <c r="D6334" s="60"/>
      <c r="E6334" s="60"/>
      <c r="F6334" s="60"/>
      <c r="G6334" s="60"/>
      <c r="H6334" s="60"/>
      <c r="I6334" s="60"/>
      <c r="J6334" s="60"/>
      <c r="K6334" s="60"/>
      <c r="L6334" s="60"/>
      <c r="M6334" s="64"/>
      <c r="N6334" s="33"/>
    </row>
    <row r="6335" ht="24" customHeight="1" spans="2:14">
      <c r="B6335" s="33"/>
      <c r="C6335" s="60"/>
      <c r="D6335" s="60"/>
      <c r="E6335" s="60"/>
      <c r="F6335" s="60"/>
      <c r="G6335" s="60"/>
      <c r="H6335" s="60"/>
      <c r="I6335" s="60"/>
      <c r="J6335" s="60"/>
      <c r="K6335" s="60"/>
      <c r="L6335" s="60"/>
      <c r="M6335" s="64"/>
      <c r="N6335" s="33"/>
    </row>
    <row r="6336" ht="24" customHeight="1" spans="2:14">
      <c r="B6336" s="33"/>
      <c r="C6336" s="60"/>
      <c r="D6336" s="60"/>
      <c r="E6336" s="60"/>
      <c r="F6336" s="60"/>
      <c r="G6336" s="60"/>
      <c r="H6336" s="60"/>
      <c r="I6336" s="60"/>
      <c r="J6336" s="60"/>
      <c r="K6336" s="60"/>
      <c r="L6336" s="60"/>
      <c r="M6336" s="64"/>
      <c r="N6336" s="33"/>
    </row>
    <row r="6337" ht="24" customHeight="1" spans="2:14">
      <c r="B6337" s="33"/>
      <c r="C6337" s="60"/>
      <c r="D6337" s="60"/>
      <c r="E6337" s="60"/>
      <c r="F6337" s="60"/>
      <c r="G6337" s="60"/>
      <c r="H6337" s="60"/>
      <c r="I6337" s="60"/>
      <c r="J6337" s="60"/>
      <c r="K6337" s="60"/>
      <c r="L6337" s="60"/>
      <c r="M6337" s="64"/>
      <c r="N6337" s="33"/>
    </row>
    <row r="6338" ht="24" customHeight="1" spans="2:14">
      <c r="B6338" s="33"/>
      <c r="C6338" s="60"/>
      <c r="D6338" s="60"/>
      <c r="E6338" s="60"/>
      <c r="F6338" s="60"/>
      <c r="G6338" s="60"/>
      <c r="H6338" s="60"/>
      <c r="I6338" s="60"/>
      <c r="J6338" s="60"/>
      <c r="K6338" s="60"/>
      <c r="L6338" s="60"/>
      <c r="M6338" s="64"/>
      <c r="N6338" s="33"/>
    </row>
    <row r="6339" ht="24" customHeight="1" spans="2:14">
      <c r="B6339" s="33"/>
      <c r="C6339" s="60"/>
      <c r="D6339" s="60"/>
      <c r="E6339" s="60"/>
      <c r="F6339" s="60"/>
      <c r="G6339" s="60"/>
      <c r="H6339" s="60"/>
      <c r="I6339" s="60"/>
      <c r="J6339" s="60"/>
      <c r="K6339" s="60"/>
      <c r="L6339" s="60"/>
      <c r="M6339" s="64"/>
      <c r="N6339" s="33"/>
    </row>
    <row r="6340" ht="24" customHeight="1" spans="2:14">
      <c r="B6340" s="33"/>
      <c r="C6340" s="60"/>
      <c r="D6340" s="60"/>
      <c r="E6340" s="60"/>
      <c r="F6340" s="60"/>
      <c r="G6340" s="60"/>
      <c r="H6340" s="60"/>
      <c r="I6340" s="60"/>
      <c r="J6340" s="60"/>
      <c r="K6340" s="60"/>
      <c r="L6340" s="60"/>
      <c r="M6340" s="64"/>
      <c r="N6340" s="33"/>
    </row>
    <row r="6341" ht="24" customHeight="1" spans="2:14">
      <c r="B6341" s="33"/>
      <c r="C6341" s="60"/>
      <c r="D6341" s="60"/>
      <c r="E6341" s="60"/>
      <c r="F6341" s="60"/>
      <c r="G6341" s="60"/>
      <c r="H6341" s="60"/>
      <c r="I6341" s="60"/>
      <c r="J6341" s="60"/>
      <c r="K6341" s="60"/>
      <c r="L6341" s="60"/>
      <c r="M6341" s="64"/>
      <c r="N6341" s="33"/>
    </row>
    <row r="6342" ht="24" customHeight="1" spans="2:14">
      <c r="B6342" s="33"/>
      <c r="C6342" s="60"/>
      <c r="D6342" s="60"/>
      <c r="E6342" s="60"/>
      <c r="F6342" s="60"/>
      <c r="G6342" s="60"/>
      <c r="H6342" s="60"/>
      <c r="I6342" s="60"/>
      <c r="J6342" s="60"/>
      <c r="K6342" s="60"/>
      <c r="L6342" s="60"/>
      <c r="M6342" s="64"/>
      <c r="N6342" s="33"/>
    </row>
    <row r="6343" ht="24" customHeight="1" spans="2:14">
      <c r="B6343" s="33"/>
      <c r="C6343" s="60"/>
      <c r="D6343" s="60"/>
      <c r="E6343" s="60"/>
      <c r="F6343" s="60"/>
      <c r="G6343" s="60"/>
      <c r="H6343" s="60"/>
      <c r="I6343" s="60"/>
      <c r="J6343" s="60"/>
      <c r="K6343" s="60"/>
      <c r="L6343" s="60"/>
      <c r="M6343" s="64"/>
      <c r="N6343" s="33"/>
    </row>
    <row r="6344" ht="24" customHeight="1" spans="2:14">
      <c r="B6344" s="33"/>
      <c r="C6344" s="60"/>
      <c r="D6344" s="60"/>
      <c r="E6344" s="60"/>
      <c r="F6344" s="60"/>
      <c r="G6344" s="60"/>
      <c r="H6344" s="60"/>
      <c r="I6344" s="60"/>
      <c r="J6344" s="60"/>
      <c r="K6344" s="60"/>
      <c r="L6344" s="60"/>
      <c r="M6344" s="64"/>
      <c r="N6344" s="33"/>
    </row>
    <row r="6345" ht="24" customHeight="1" spans="2:14">
      <c r="B6345" s="33"/>
      <c r="C6345" s="60"/>
      <c r="D6345" s="60"/>
      <c r="E6345" s="60"/>
      <c r="F6345" s="60"/>
      <c r="G6345" s="60"/>
      <c r="H6345" s="60"/>
      <c r="I6345" s="60"/>
      <c r="J6345" s="60"/>
      <c r="K6345" s="60"/>
      <c r="L6345" s="60"/>
      <c r="M6345" s="64"/>
      <c r="N6345" s="33"/>
    </row>
    <row r="6346" ht="24" customHeight="1" spans="2:14">
      <c r="B6346" s="33"/>
      <c r="C6346" s="60"/>
      <c r="D6346" s="60"/>
      <c r="E6346" s="60"/>
      <c r="F6346" s="60"/>
      <c r="G6346" s="60"/>
      <c r="H6346" s="60"/>
      <c r="I6346" s="60"/>
      <c r="J6346" s="60"/>
      <c r="K6346" s="60"/>
      <c r="L6346" s="60"/>
      <c r="M6346" s="64"/>
      <c r="N6346" s="33"/>
    </row>
    <row r="6347" ht="24" customHeight="1" spans="2:14">
      <c r="B6347" s="33"/>
      <c r="C6347" s="60"/>
      <c r="D6347" s="60"/>
      <c r="E6347" s="60"/>
      <c r="F6347" s="60"/>
      <c r="G6347" s="60"/>
      <c r="H6347" s="60"/>
      <c r="I6347" s="60"/>
      <c r="J6347" s="60"/>
      <c r="K6347" s="60"/>
      <c r="L6347" s="60"/>
      <c r="M6347" s="64"/>
      <c r="N6347" s="33"/>
    </row>
    <row r="6348" ht="24" customHeight="1" spans="2:14">
      <c r="B6348" s="33"/>
      <c r="C6348" s="60"/>
      <c r="D6348" s="60"/>
      <c r="E6348" s="60"/>
      <c r="F6348" s="60"/>
      <c r="G6348" s="60"/>
      <c r="H6348" s="60"/>
      <c r="I6348" s="60"/>
      <c r="J6348" s="60"/>
      <c r="K6348" s="60"/>
      <c r="L6348" s="60"/>
      <c r="M6348" s="64"/>
      <c r="N6348" s="33"/>
    </row>
    <row r="6349" ht="24" customHeight="1" spans="2:14">
      <c r="B6349" s="33"/>
      <c r="C6349" s="60"/>
      <c r="D6349" s="60"/>
      <c r="E6349" s="60"/>
      <c r="F6349" s="60"/>
      <c r="G6349" s="60"/>
      <c r="H6349" s="60"/>
      <c r="I6349" s="60"/>
      <c r="J6349" s="60"/>
      <c r="K6349" s="60"/>
      <c r="L6349" s="60"/>
      <c r="M6349" s="64"/>
      <c r="N6349" s="33"/>
    </row>
    <row r="6350" ht="24" customHeight="1" spans="2:14">
      <c r="B6350" s="33"/>
      <c r="C6350" s="60"/>
      <c r="D6350" s="60"/>
      <c r="E6350" s="60"/>
      <c r="F6350" s="60"/>
      <c r="G6350" s="60"/>
      <c r="H6350" s="60"/>
      <c r="I6350" s="60"/>
      <c r="J6350" s="60"/>
      <c r="K6350" s="60"/>
      <c r="L6350" s="60"/>
      <c r="M6350" s="64"/>
      <c r="N6350" s="33"/>
    </row>
    <row r="6351" ht="24" customHeight="1" spans="2:14">
      <c r="B6351" s="33"/>
      <c r="C6351" s="60"/>
      <c r="D6351" s="60"/>
      <c r="E6351" s="60"/>
      <c r="F6351" s="60"/>
      <c r="G6351" s="60"/>
      <c r="H6351" s="60"/>
      <c r="I6351" s="60"/>
      <c r="J6351" s="60"/>
      <c r="K6351" s="60"/>
      <c r="L6351" s="60"/>
      <c r="M6351" s="64"/>
      <c r="N6351" s="33"/>
    </row>
    <row r="6352" ht="24" customHeight="1" spans="2:14">
      <c r="B6352" s="33"/>
      <c r="C6352" s="60"/>
      <c r="D6352" s="60"/>
      <c r="E6352" s="60"/>
      <c r="F6352" s="60"/>
      <c r="G6352" s="60"/>
      <c r="H6352" s="60"/>
      <c r="I6352" s="60"/>
      <c r="J6352" s="60"/>
      <c r="K6352" s="60"/>
      <c r="L6352" s="60"/>
      <c r="M6352" s="64"/>
      <c r="N6352" s="33"/>
    </row>
    <row r="6353" ht="24" customHeight="1" spans="2:14">
      <c r="B6353" s="33"/>
      <c r="C6353" s="60"/>
      <c r="D6353" s="60"/>
      <c r="E6353" s="60"/>
      <c r="F6353" s="60"/>
      <c r="G6353" s="60"/>
      <c r="H6353" s="60"/>
      <c r="I6353" s="60"/>
      <c r="J6353" s="60"/>
      <c r="K6353" s="60"/>
      <c r="L6353" s="60"/>
      <c r="M6353" s="64"/>
      <c r="N6353" s="33"/>
    </row>
    <row r="6354" ht="24" customHeight="1" spans="2:14">
      <c r="B6354" s="33"/>
      <c r="C6354" s="60"/>
      <c r="D6354" s="60"/>
      <c r="E6354" s="60"/>
      <c r="F6354" s="60"/>
      <c r="G6354" s="60"/>
      <c r="H6354" s="60"/>
      <c r="I6354" s="60"/>
      <c r="J6354" s="60"/>
      <c r="K6354" s="60"/>
      <c r="L6354" s="60"/>
      <c r="M6354" s="64"/>
      <c r="N6354" s="33"/>
    </row>
    <row r="6355" ht="24" customHeight="1" spans="2:14">
      <c r="B6355" s="33"/>
      <c r="C6355" s="60"/>
      <c r="D6355" s="60"/>
      <c r="E6355" s="60"/>
      <c r="F6355" s="60"/>
      <c r="G6355" s="60"/>
      <c r="H6355" s="60"/>
      <c r="I6355" s="60"/>
      <c r="J6355" s="60"/>
      <c r="K6355" s="60"/>
      <c r="L6355" s="60"/>
      <c r="M6355" s="64"/>
      <c r="N6355" s="33"/>
    </row>
    <row r="6356" ht="24" customHeight="1" spans="2:14">
      <c r="B6356" s="33"/>
      <c r="C6356" s="60"/>
      <c r="D6356" s="60"/>
      <c r="E6356" s="60"/>
      <c r="F6356" s="60"/>
      <c r="G6356" s="60"/>
      <c r="H6356" s="60"/>
      <c r="I6356" s="60"/>
      <c r="J6356" s="60"/>
      <c r="K6356" s="60"/>
      <c r="L6356" s="60"/>
      <c r="M6356" s="64"/>
      <c r="N6356" s="33"/>
    </row>
    <row r="6357" ht="24" customHeight="1" spans="2:14">
      <c r="B6357" s="33"/>
      <c r="C6357" s="60"/>
      <c r="D6357" s="60"/>
      <c r="E6357" s="60"/>
      <c r="F6357" s="60"/>
      <c r="G6357" s="60"/>
      <c r="H6357" s="60"/>
      <c r="I6357" s="60"/>
      <c r="J6357" s="60"/>
      <c r="K6357" s="60"/>
      <c r="L6357" s="60"/>
      <c r="M6357" s="64"/>
      <c r="N6357" s="33"/>
    </row>
    <row r="6358" ht="24" customHeight="1" spans="2:14">
      <c r="B6358" s="33"/>
      <c r="C6358" s="60"/>
      <c r="D6358" s="60"/>
      <c r="E6358" s="60"/>
      <c r="F6358" s="60"/>
      <c r="G6358" s="60"/>
      <c r="H6358" s="60"/>
      <c r="I6358" s="60"/>
      <c r="J6358" s="60"/>
      <c r="K6358" s="60"/>
      <c r="L6358" s="60"/>
      <c r="M6358" s="64"/>
      <c r="N6358" s="33"/>
    </row>
    <row r="6359" ht="24" customHeight="1" spans="2:14">
      <c r="B6359" s="33"/>
      <c r="C6359" s="60"/>
      <c r="D6359" s="60"/>
      <c r="E6359" s="60"/>
      <c r="F6359" s="60"/>
      <c r="G6359" s="60"/>
      <c r="H6359" s="60"/>
      <c r="I6359" s="60"/>
      <c r="J6359" s="60"/>
      <c r="K6359" s="60"/>
      <c r="L6359" s="60"/>
      <c r="M6359" s="64"/>
      <c r="N6359" s="33"/>
    </row>
    <row r="6360" ht="24" customHeight="1" spans="2:14">
      <c r="B6360" s="33"/>
      <c r="C6360" s="60"/>
      <c r="D6360" s="60"/>
      <c r="E6360" s="60"/>
      <c r="F6360" s="60"/>
      <c r="G6360" s="60"/>
      <c r="H6360" s="60"/>
      <c r="I6360" s="60"/>
      <c r="J6360" s="60"/>
      <c r="K6360" s="60"/>
      <c r="L6360" s="60"/>
      <c r="M6360" s="64"/>
      <c r="N6360" s="33"/>
    </row>
    <row r="6361" ht="24" customHeight="1" spans="2:14">
      <c r="B6361" s="33"/>
      <c r="C6361" s="60"/>
      <c r="D6361" s="60"/>
      <c r="E6361" s="60"/>
      <c r="F6361" s="60"/>
      <c r="G6361" s="60"/>
      <c r="H6361" s="60"/>
      <c r="I6361" s="60"/>
      <c r="J6361" s="60"/>
      <c r="K6361" s="60"/>
      <c r="L6361" s="60"/>
      <c r="M6361" s="64"/>
      <c r="N6361" s="33"/>
    </row>
    <row r="6362" ht="24" customHeight="1" spans="2:14">
      <c r="B6362" s="33"/>
      <c r="C6362" s="60"/>
      <c r="D6362" s="60"/>
      <c r="E6362" s="60"/>
      <c r="F6362" s="60"/>
      <c r="G6362" s="60"/>
      <c r="H6362" s="60"/>
      <c r="I6362" s="60"/>
      <c r="J6362" s="60"/>
      <c r="K6362" s="60"/>
      <c r="L6362" s="60"/>
      <c r="M6362" s="64"/>
      <c r="N6362" s="33"/>
    </row>
    <row r="6363" ht="24" customHeight="1" spans="2:14">
      <c r="B6363" s="33"/>
      <c r="C6363" s="60"/>
      <c r="D6363" s="60"/>
      <c r="E6363" s="60"/>
      <c r="F6363" s="60"/>
      <c r="G6363" s="60"/>
      <c r="H6363" s="60"/>
      <c r="I6363" s="60"/>
      <c r="J6363" s="60"/>
      <c r="K6363" s="60"/>
      <c r="L6363" s="60"/>
      <c r="M6363" s="64"/>
      <c r="N6363" s="33"/>
    </row>
    <row r="6364" ht="24" customHeight="1" spans="2:14">
      <c r="B6364" s="33"/>
      <c r="C6364" s="60"/>
      <c r="D6364" s="60"/>
      <c r="E6364" s="60"/>
      <c r="F6364" s="60"/>
      <c r="G6364" s="60"/>
      <c r="H6364" s="60"/>
      <c r="I6364" s="60"/>
      <c r="J6364" s="60"/>
      <c r="K6364" s="60"/>
      <c r="L6364" s="60"/>
      <c r="M6364" s="64"/>
      <c r="N6364" s="33"/>
    </row>
    <row r="6365" ht="24" customHeight="1" spans="2:14">
      <c r="B6365" s="33"/>
      <c r="C6365" s="60"/>
      <c r="D6365" s="60"/>
      <c r="E6365" s="60"/>
      <c r="F6365" s="60"/>
      <c r="G6365" s="60"/>
      <c r="H6365" s="60"/>
      <c r="I6365" s="60"/>
      <c r="J6365" s="60"/>
      <c r="K6365" s="60"/>
      <c r="L6365" s="60"/>
      <c r="M6365" s="64"/>
      <c r="N6365" s="33"/>
    </row>
    <row r="6366" ht="24" customHeight="1" spans="2:14">
      <c r="B6366" s="33"/>
      <c r="C6366" s="60"/>
      <c r="D6366" s="60"/>
      <c r="E6366" s="60"/>
      <c r="F6366" s="60"/>
      <c r="G6366" s="60"/>
      <c r="H6366" s="60"/>
      <c r="I6366" s="60"/>
      <c r="J6366" s="60"/>
      <c r="K6366" s="60"/>
      <c r="L6366" s="60"/>
      <c r="M6366" s="64"/>
      <c r="N6366" s="33"/>
    </row>
    <row r="6367" ht="24" customHeight="1" spans="2:14">
      <c r="B6367" s="33"/>
      <c r="C6367" s="60"/>
      <c r="D6367" s="60"/>
      <c r="E6367" s="60"/>
      <c r="F6367" s="60"/>
      <c r="G6367" s="60"/>
      <c r="H6367" s="60"/>
      <c r="I6367" s="60"/>
      <c r="J6367" s="60"/>
      <c r="K6367" s="60"/>
      <c r="L6367" s="60"/>
      <c r="M6367" s="64"/>
      <c r="N6367" s="33"/>
    </row>
    <row r="6368" ht="24" customHeight="1" spans="2:14">
      <c r="B6368" s="33"/>
      <c r="C6368" s="60"/>
      <c r="D6368" s="60"/>
      <c r="E6368" s="60"/>
      <c r="F6368" s="60"/>
      <c r="G6368" s="60"/>
      <c r="H6368" s="60"/>
      <c r="I6368" s="60"/>
      <c r="J6368" s="60"/>
      <c r="K6368" s="60"/>
      <c r="L6368" s="60"/>
      <c r="M6368" s="64"/>
      <c r="N6368" s="33"/>
    </row>
    <row r="6369" ht="24" customHeight="1" spans="2:14">
      <c r="B6369" s="33"/>
      <c r="C6369" s="60"/>
      <c r="D6369" s="60"/>
      <c r="E6369" s="60"/>
      <c r="F6369" s="60"/>
      <c r="G6369" s="60"/>
      <c r="H6369" s="60"/>
      <c r="I6369" s="60"/>
      <c r="J6369" s="60"/>
      <c r="K6369" s="60"/>
      <c r="L6369" s="60"/>
      <c r="M6369" s="64"/>
      <c r="N6369" s="33"/>
    </row>
    <row r="6370" ht="24" customHeight="1" spans="2:14">
      <c r="B6370" s="33"/>
      <c r="C6370" s="60"/>
      <c r="D6370" s="60"/>
      <c r="E6370" s="60"/>
      <c r="F6370" s="60"/>
      <c r="G6370" s="60"/>
      <c r="H6370" s="60"/>
      <c r="I6370" s="60"/>
      <c r="J6370" s="60"/>
      <c r="K6370" s="60"/>
      <c r="L6370" s="60"/>
      <c r="M6370" s="64"/>
      <c r="N6370" s="33"/>
    </row>
    <row r="6371" ht="24" customHeight="1" spans="2:14">
      <c r="B6371" s="33"/>
      <c r="C6371" s="60"/>
      <c r="D6371" s="60"/>
      <c r="E6371" s="60"/>
      <c r="F6371" s="60"/>
      <c r="G6371" s="60"/>
      <c r="H6371" s="60"/>
      <c r="I6371" s="60"/>
      <c r="J6371" s="60"/>
      <c r="K6371" s="60"/>
      <c r="L6371" s="60"/>
      <c r="M6371" s="64"/>
      <c r="N6371" s="33"/>
    </row>
    <row r="6372" ht="24" customHeight="1" spans="2:14">
      <c r="B6372" s="33"/>
      <c r="C6372" s="60"/>
      <c r="D6372" s="60"/>
      <c r="E6372" s="60"/>
      <c r="F6372" s="60"/>
      <c r="G6372" s="60"/>
      <c r="H6372" s="60"/>
      <c r="I6372" s="60"/>
      <c r="J6372" s="60"/>
      <c r="K6372" s="60"/>
      <c r="L6372" s="60"/>
      <c r="M6372" s="64"/>
      <c r="N6372" s="33"/>
    </row>
    <row r="6373" ht="24" customHeight="1" spans="2:14">
      <c r="B6373" s="33"/>
      <c r="C6373" s="60"/>
      <c r="D6373" s="60"/>
      <c r="E6373" s="60"/>
      <c r="F6373" s="60"/>
      <c r="G6373" s="60"/>
      <c r="H6373" s="60"/>
      <c r="I6373" s="60"/>
      <c r="J6373" s="60"/>
      <c r="K6373" s="60"/>
      <c r="L6373" s="60"/>
      <c r="M6373" s="64"/>
      <c r="N6373" s="33"/>
    </row>
    <row r="6374" ht="24" customHeight="1" spans="2:14">
      <c r="B6374" s="33"/>
      <c r="C6374" s="60"/>
      <c r="D6374" s="60"/>
      <c r="E6374" s="60"/>
      <c r="F6374" s="60"/>
      <c r="G6374" s="60"/>
      <c r="H6374" s="60"/>
      <c r="I6374" s="60"/>
      <c r="J6374" s="60"/>
      <c r="K6374" s="60"/>
      <c r="L6374" s="60"/>
      <c r="M6374" s="64"/>
      <c r="N6374" s="33"/>
    </row>
    <row r="6375" ht="24" customHeight="1" spans="2:14">
      <c r="B6375" s="33"/>
      <c r="C6375" s="60"/>
      <c r="D6375" s="60"/>
      <c r="E6375" s="60"/>
      <c r="F6375" s="60"/>
      <c r="G6375" s="60"/>
      <c r="H6375" s="60"/>
      <c r="I6375" s="60"/>
      <c r="J6375" s="60"/>
      <c r="K6375" s="60"/>
      <c r="L6375" s="60"/>
      <c r="M6375" s="64"/>
      <c r="N6375" s="33"/>
    </row>
    <row r="6376" ht="24" customHeight="1" spans="2:14">
      <c r="B6376" s="33"/>
      <c r="C6376" s="60"/>
      <c r="D6376" s="60"/>
      <c r="E6376" s="60"/>
      <c r="F6376" s="60"/>
      <c r="G6376" s="60"/>
      <c r="H6376" s="60"/>
      <c r="I6376" s="60"/>
      <c r="J6376" s="60"/>
      <c r="K6376" s="60"/>
      <c r="L6376" s="60"/>
      <c r="M6376" s="64"/>
      <c r="N6376" s="33"/>
    </row>
    <row r="6377" ht="24" customHeight="1" spans="2:14">
      <c r="B6377" s="33"/>
      <c r="C6377" s="60"/>
      <c r="D6377" s="60"/>
      <c r="E6377" s="60"/>
      <c r="F6377" s="60"/>
      <c r="G6377" s="60"/>
      <c r="H6377" s="60"/>
      <c r="I6377" s="60"/>
      <c r="J6377" s="60"/>
      <c r="K6377" s="60"/>
      <c r="L6377" s="60"/>
      <c r="M6377" s="64"/>
      <c r="N6377" s="33"/>
    </row>
    <row r="6378" ht="24" customHeight="1" spans="2:14">
      <c r="B6378" s="33"/>
      <c r="C6378" s="60"/>
      <c r="D6378" s="60"/>
      <c r="E6378" s="60"/>
      <c r="F6378" s="60"/>
      <c r="G6378" s="60"/>
      <c r="H6378" s="60"/>
      <c r="I6378" s="60"/>
      <c r="J6378" s="60"/>
      <c r="K6378" s="60"/>
      <c r="L6378" s="60"/>
      <c r="M6378" s="64"/>
      <c r="N6378" s="33"/>
    </row>
    <row r="6379" ht="24" customHeight="1" spans="2:14">
      <c r="B6379" s="33"/>
      <c r="C6379" s="60"/>
      <c r="D6379" s="60"/>
      <c r="E6379" s="60"/>
      <c r="F6379" s="60"/>
      <c r="G6379" s="60"/>
      <c r="H6379" s="60"/>
      <c r="I6379" s="60"/>
      <c r="J6379" s="60"/>
      <c r="K6379" s="60"/>
      <c r="L6379" s="60"/>
      <c r="M6379" s="64"/>
      <c r="N6379" s="33"/>
    </row>
    <row r="6380" ht="24" customHeight="1" spans="2:14">
      <c r="B6380" s="33"/>
      <c r="C6380" s="60"/>
      <c r="D6380" s="60"/>
      <c r="E6380" s="60"/>
      <c r="F6380" s="60"/>
      <c r="G6380" s="60"/>
      <c r="H6380" s="60"/>
      <c r="I6380" s="60"/>
      <c r="J6380" s="60"/>
      <c r="K6380" s="60"/>
      <c r="L6380" s="60"/>
      <c r="M6380" s="64"/>
      <c r="N6380" s="33"/>
    </row>
    <row r="6381" ht="24" customHeight="1" spans="2:14">
      <c r="B6381" s="33"/>
      <c r="C6381" s="60"/>
      <c r="D6381" s="60"/>
      <c r="E6381" s="60"/>
      <c r="F6381" s="60"/>
      <c r="G6381" s="60"/>
      <c r="H6381" s="60"/>
      <c r="I6381" s="60"/>
      <c r="J6381" s="60"/>
      <c r="K6381" s="60"/>
      <c r="L6381" s="60"/>
      <c r="M6381" s="64"/>
      <c r="N6381" s="33"/>
    </row>
    <row r="6382" ht="24" customHeight="1" spans="2:14">
      <c r="B6382" s="33"/>
      <c r="C6382" s="60"/>
      <c r="D6382" s="60"/>
      <c r="E6382" s="60"/>
      <c r="F6382" s="60"/>
      <c r="G6382" s="60"/>
      <c r="H6382" s="60"/>
      <c r="I6382" s="60"/>
      <c r="J6382" s="60"/>
      <c r="K6382" s="60"/>
      <c r="L6382" s="60"/>
      <c r="M6382" s="64"/>
      <c r="N6382" s="33"/>
    </row>
    <row r="6383" ht="24" customHeight="1" spans="2:14">
      <c r="B6383" s="33"/>
      <c r="C6383" s="60"/>
      <c r="D6383" s="60"/>
      <c r="E6383" s="60"/>
      <c r="F6383" s="60"/>
      <c r="G6383" s="60"/>
      <c r="H6383" s="60"/>
      <c r="I6383" s="60"/>
      <c r="J6383" s="60"/>
      <c r="K6383" s="60"/>
      <c r="L6383" s="60"/>
      <c r="M6383" s="64"/>
      <c r="N6383" s="33"/>
    </row>
    <row r="6384" ht="24" customHeight="1" spans="2:14">
      <c r="B6384" s="33"/>
      <c r="C6384" s="60"/>
      <c r="D6384" s="60"/>
      <c r="E6384" s="60"/>
      <c r="F6384" s="60"/>
      <c r="G6384" s="60"/>
      <c r="H6384" s="60"/>
      <c r="I6384" s="60"/>
      <c r="J6384" s="60"/>
      <c r="K6384" s="60"/>
      <c r="L6384" s="60"/>
      <c r="M6384" s="64"/>
      <c r="N6384" s="33"/>
    </row>
    <row r="6385" ht="24" customHeight="1" spans="2:14">
      <c r="B6385" s="33"/>
      <c r="C6385" s="60"/>
      <c r="D6385" s="60"/>
      <c r="E6385" s="60"/>
      <c r="F6385" s="60"/>
      <c r="G6385" s="60"/>
      <c r="H6385" s="60"/>
      <c r="I6385" s="60"/>
      <c r="J6385" s="60"/>
      <c r="K6385" s="60"/>
      <c r="L6385" s="60"/>
      <c r="M6385" s="64"/>
      <c r="N6385" s="33"/>
    </row>
    <row r="6386" ht="24" customHeight="1" spans="2:14">
      <c r="B6386" s="33"/>
      <c r="C6386" s="60"/>
      <c r="D6386" s="60"/>
      <c r="E6386" s="60"/>
      <c r="F6386" s="60"/>
      <c r="G6386" s="60"/>
      <c r="H6386" s="60"/>
      <c r="I6386" s="60"/>
      <c r="J6386" s="60"/>
      <c r="K6386" s="60"/>
      <c r="L6386" s="60"/>
      <c r="M6386" s="64"/>
      <c r="N6386" s="33"/>
    </row>
    <row r="6387" ht="24" customHeight="1" spans="2:14">
      <c r="B6387" s="33"/>
      <c r="C6387" s="60"/>
      <c r="D6387" s="60"/>
      <c r="E6387" s="60"/>
      <c r="F6387" s="60"/>
      <c r="G6387" s="60"/>
      <c r="H6387" s="60"/>
      <c r="I6387" s="60"/>
      <c r="J6387" s="60"/>
      <c r="K6387" s="60"/>
      <c r="L6387" s="60"/>
      <c r="M6387" s="64"/>
      <c r="N6387" s="33"/>
    </row>
    <row r="6388" ht="24" customHeight="1" spans="2:14">
      <c r="B6388" s="33"/>
      <c r="C6388" s="60"/>
      <c r="D6388" s="60"/>
      <c r="E6388" s="60"/>
      <c r="F6388" s="60"/>
      <c r="G6388" s="60"/>
      <c r="H6388" s="60"/>
      <c r="I6388" s="60"/>
      <c r="J6388" s="60"/>
      <c r="K6388" s="60"/>
      <c r="L6388" s="60"/>
      <c r="M6388" s="64"/>
      <c r="N6388" s="33"/>
    </row>
    <row r="6389" ht="24" customHeight="1" spans="2:14">
      <c r="B6389" s="33"/>
      <c r="C6389" s="60"/>
      <c r="D6389" s="60"/>
      <c r="E6389" s="60"/>
      <c r="F6389" s="60"/>
      <c r="G6389" s="60"/>
      <c r="H6389" s="60"/>
      <c r="I6389" s="60"/>
      <c r="J6389" s="60"/>
      <c r="K6389" s="60"/>
      <c r="L6389" s="60"/>
      <c r="M6389" s="64"/>
      <c r="N6389" s="33"/>
    </row>
    <row r="6390" ht="24" customHeight="1" spans="2:14">
      <c r="B6390" s="33"/>
      <c r="C6390" s="60"/>
      <c r="D6390" s="60"/>
      <c r="E6390" s="60"/>
      <c r="F6390" s="60"/>
      <c r="G6390" s="60"/>
      <c r="H6390" s="60"/>
      <c r="I6390" s="60"/>
      <c r="J6390" s="60"/>
      <c r="K6390" s="60"/>
      <c r="L6390" s="60"/>
      <c r="M6390" s="64"/>
      <c r="N6390" s="33"/>
    </row>
    <row r="6391" ht="24" customHeight="1" spans="2:14">
      <c r="B6391" s="33"/>
      <c r="C6391" s="60"/>
      <c r="D6391" s="60"/>
      <c r="E6391" s="60"/>
      <c r="F6391" s="60"/>
      <c r="G6391" s="60"/>
      <c r="H6391" s="60"/>
      <c r="I6391" s="60"/>
      <c r="J6391" s="60"/>
      <c r="K6391" s="60"/>
      <c r="L6391" s="60"/>
      <c r="M6391" s="64"/>
      <c r="N6391" s="33"/>
    </row>
    <row r="6392" ht="24" customHeight="1" spans="2:14">
      <c r="B6392" s="33"/>
      <c r="C6392" s="60"/>
      <c r="D6392" s="60"/>
      <c r="E6392" s="60"/>
      <c r="F6392" s="60"/>
      <c r="G6392" s="60"/>
      <c r="H6392" s="60"/>
      <c r="I6392" s="60"/>
      <c r="J6392" s="60"/>
      <c r="K6392" s="60"/>
      <c r="L6392" s="60"/>
      <c r="M6392" s="64"/>
      <c r="N6392" s="33"/>
    </row>
    <row r="6393" ht="24" customHeight="1" spans="2:14">
      <c r="B6393" s="33"/>
      <c r="C6393" s="60"/>
      <c r="D6393" s="60"/>
      <c r="E6393" s="60"/>
      <c r="F6393" s="60"/>
      <c r="G6393" s="60"/>
      <c r="H6393" s="60"/>
      <c r="I6393" s="60"/>
      <c r="J6393" s="60"/>
      <c r="K6393" s="60"/>
      <c r="L6393" s="60"/>
      <c r="M6393" s="64"/>
      <c r="N6393" s="33"/>
    </row>
    <row r="6394" ht="24" customHeight="1" spans="2:14">
      <c r="B6394" s="33"/>
      <c r="C6394" s="60"/>
      <c r="D6394" s="60"/>
      <c r="E6394" s="60"/>
      <c r="F6394" s="60"/>
      <c r="G6394" s="60"/>
      <c r="H6394" s="60"/>
      <c r="I6394" s="60"/>
      <c r="J6394" s="60"/>
      <c r="K6394" s="60"/>
      <c r="L6394" s="60"/>
      <c r="M6394" s="64"/>
      <c r="N6394" s="33"/>
    </row>
    <row r="6395" ht="24" customHeight="1" spans="2:14">
      <c r="B6395" s="33"/>
      <c r="C6395" s="60"/>
      <c r="D6395" s="60"/>
      <c r="E6395" s="60"/>
      <c r="F6395" s="60"/>
      <c r="G6395" s="60"/>
      <c r="H6395" s="60"/>
      <c r="I6395" s="60"/>
      <c r="J6395" s="60"/>
      <c r="K6395" s="60"/>
      <c r="L6395" s="60"/>
      <c r="M6395" s="64"/>
      <c r="N6395" s="33"/>
    </row>
    <row r="6396" ht="24" customHeight="1" spans="2:14">
      <c r="B6396" s="33"/>
      <c r="C6396" s="60"/>
      <c r="D6396" s="60"/>
      <c r="E6396" s="60"/>
      <c r="F6396" s="60"/>
      <c r="G6396" s="60"/>
      <c r="H6396" s="60"/>
      <c r="I6396" s="60"/>
      <c r="J6396" s="60"/>
      <c r="K6396" s="60"/>
      <c r="L6396" s="60"/>
      <c r="M6396" s="64"/>
      <c r="N6396" s="33"/>
    </row>
    <row r="6397" ht="24" customHeight="1" spans="2:14">
      <c r="B6397" s="33"/>
      <c r="C6397" s="60"/>
      <c r="D6397" s="60"/>
      <c r="E6397" s="60"/>
      <c r="F6397" s="60"/>
      <c r="G6397" s="60"/>
      <c r="H6397" s="60"/>
      <c r="I6397" s="60"/>
      <c r="J6397" s="60"/>
      <c r="K6397" s="60"/>
      <c r="L6397" s="60"/>
      <c r="M6397" s="64"/>
      <c r="N6397" s="33"/>
    </row>
    <row r="6398" ht="24" customHeight="1" spans="2:14">
      <c r="B6398" s="33"/>
      <c r="C6398" s="60"/>
      <c r="D6398" s="60"/>
      <c r="E6398" s="60"/>
      <c r="F6398" s="60"/>
      <c r="G6398" s="60"/>
      <c r="H6398" s="60"/>
      <c r="I6398" s="60"/>
      <c r="J6398" s="60"/>
      <c r="K6398" s="60"/>
      <c r="L6398" s="60"/>
      <c r="M6398" s="64"/>
      <c r="N6398" s="33"/>
    </row>
    <row r="6399" ht="24" customHeight="1" spans="2:14">
      <c r="B6399" s="33"/>
      <c r="C6399" s="60"/>
      <c r="D6399" s="60"/>
      <c r="E6399" s="60"/>
      <c r="F6399" s="60"/>
      <c r="G6399" s="60"/>
      <c r="H6399" s="60"/>
      <c r="I6399" s="60"/>
      <c r="J6399" s="60"/>
      <c r="K6399" s="60"/>
      <c r="L6399" s="60"/>
      <c r="M6399" s="64"/>
      <c r="N6399" s="33"/>
    </row>
    <row r="6400" ht="24" customHeight="1" spans="2:14">
      <c r="B6400" s="33"/>
      <c r="C6400" s="60"/>
      <c r="D6400" s="60"/>
      <c r="E6400" s="60"/>
      <c r="F6400" s="60"/>
      <c r="G6400" s="60"/>
      <c r="H6400" s="60"/>
      <c r="I6400" s="60"/>
      <c r="J6400" s="60"/>
      <c r="K6400" s="60"/>
      <c r="L6400" s="60"/>
      <c r="M6400" s="64"/>
      <c r="N6400" s="33"/>
    </row>
    <row r="6401" ht="24" customHeight="1" spans="2:14">
      <c r="B6401" s="33"/>
      <c r="C6401" s="60"/>
      <c r="D6401" s="60"/>
      <c r="E6401" s="60"/>
      <c r="F6401" s="60"/>
      <c r="G6401" s="60"/>
      <c r="H6401" s="60"/>
      <c r="I6401" s="60"/>
      <c r="J6401" s="60"/>
      <c r="K6401" s="60"/>
      <c r="L6401" s="60"/>
      <c r="M6401" s="64"/>
      <c r="N6401" s="33"/>
    </row>
    <row r="6402" ht="24" customHeight="1" spans="2:14">
      <c r="B6402" s="33"/>
      <c r="C6402" s="60"/>
      <c r="D6402" s="60"/>
      <c r="E6402" s="60"/>
      <c r="F6402" s="60"/>
      <c r="G6402" s="60"/>
      <c r="H6402" s="60"/>
      <c r="I6402" s="60"/>
      <c r="J6402" s="60"/>
      <c r="K6402" s="60"/>
      <c r="L6402" s="60"/>
      <c r="M6402" s="64"/>
      <c r="N6402" s="33"/>
    </row>
    <row r="6403" ht="24" customHeight="1" spans="2:14">
      <c r="B6403" s="33"/>
      <c r="C6403" s="60"/>
      <c r="D6403" s="60"/>
      <c r="E6403" s="60"/>
      <c r="F6403" s="60"/>
      <c r="G6403" s="60"/>
      <c r="H6403" s="60"/>
      <c r="I6403" s="60"/>
      <c r="J6403" s="60"/>
      <c r="K6403" s="60"/>
      <c r="L6403" s="60"/>
      <c r="M6403" s="64"/>
      <c r="N6403" s="33"/>
    </row>
    <row r="6404" ht="24" customHeight="1" spans="2:14">
      <c r="B6404" s="33"/>
      <c r="C6404" s="60"/>
      <c r="D6404" s="60"/>
      <c r="E6404" s="60"/>
      <c r="F6404" s="60"/>
      <c r="G6404" s="60"/>
      <c r="H6404" s="60"/>
      <c r="I6404" s="60"/>
      <c r="J6404" s="60"/>
      <c r="K6404" s="60"/>
      <c r="L6404" s="60"/>
      <c r="M6404" s="64"/>
      <c r="N6404" s="33"/>
    </row>
    <row r="6405" ht="24" customHeight="1" spans="2:14">
      <c r="B6405" s="33"/>
      <c r="C6405" s="60"/>
      <c r="D6405" s="60"/>
      <c r="E6405" s="60"/>
      <c r="F6405" s="60"/>
      <c r="G6405" s="60"/>
      <c r="H6405" s="60"/>
      <c r="I6405" s="60"/>
      <c r="J6405" s="60"/>
      <c r="K6405" s="60"/>
      <c r="L6405" s="60"/>
      <c r="M6405" s="64"/>
      <c r="N6405" s="33"/>
    </row>
    <row r="6406" ht="24" customHeight="1" spans="2:14">
      <c r="B6406" s="33"/>
      <c r="C6406" s="60"/>
      <c r="D6406" s="60"/>
      <c r="E6406" s="60"/>
      <c r="F6406" s="60"/>
      <c r="G6406" s="60"/>
      <c r="H6406" s="60"/>
      <c r="I6406" s="60"/>
      <c r="J6406" s="60"/>
      <c r="K6406" s="60"/>
      <c r="L6406" s="60"/>
      <c r="M6406" s="64"/>
      <c r="N6406" s="33"/>
    </row>
    <row r="6407" ht="24" customHeight="1" spans="2:14">
      <c r="B6407" s="33"/>
      <c r="C6407" s="60"/>
      <c r="D6407" s="60"/>
      <c r="E6407" s="60"/>
      <c r="F6407" s="60"/>
      <c r="G6407" s="60"/>
      <c r="H6407" s="60"/>
      <c r="I6407" s="60"/>
      <c r="J6407" s="60"/>
      <c r="K6407" s="60"/>
      <c r="L6407" s="60"/>
      <c r="M6407" s="64"/>
      <c r="N6407" s="33"/>
    </row>
    <row r="6408" ht="24" customHeight="1" spans="2:14">
      <c r="B6408" s="33"/>
      <c r="C6408" s="60"/>
      <c r="D6408" s="60"/>
      <c r="E6408" s="60"/>
      <c r="F6408" s="60"/>
      <c r="G6408" s="60"/>
      <c r="H6408" s="60"/>
      <c r="I6408" s="60"/>
      <c r="J6408" s="60"/>
      <c r="K6408" s="60"/>
      <c r="L6408" s="60"/>
      <c r="M6408" s="64"/>
      <c r="N6408" s="33"/>
    </row>
    <row r="6409" ht="24" customHeight="1" spans="2:14">
      <c r="B6409" s="33"/>
      <c r="C6409" s="60"/>
      <c r="D6409" s="60"/>
      <c r="E6409" s="60"/>
      <c r="F6409" s="60"/>
      <c r="G6409" s="60"/>
      <c r="H6409" s="60"/>
      <c r="I6409" s="60"/>
      <c r="J6409" s="60"/>
      <c r="K6409" s="60"/>
      <c r="L6409" s="60"/>
      <c r="M6409" s="64"/>
      <c r="N6409" s="33"/>
    </row>
    <row r="6410" ht="24" customHeight="1" spans="2:14">
      <c r="B6410" s="33"/>
      <c r="C6410" s="60"/>
      <c r="D6410" s="60"/>
      <c r="E6410" s="60"/>
      <c r="F6410" s="60"/>
      <c r="G6410" s="60"/>
      <c r="H6410" s="60"/>
      <c r="I6410" s="60"/>
      <c r="J6410" s="60"/>
      <c r="K6410" s="60"/>
      <c r="L6410" s="60"/>
      <c r="M6410" s="64"/>
      <c r="N6410" s="33"/>
    </row>
    <row r="6411" ht="24" customHeight="1" spans="2:14">
      <c r="B6411" s="33"/>
      <c r="C6411" s="60"/>
      <c r="D6411" s="60"/>
      <c r="E6411" s="60"/>
      <c r="F6411" s="60"/>
      <c r="G6411" s="60"/>
      <c r="H6411" s="60"/>
      <c r="I6411" s="60"/>
      <c r="J6411" s="60"/>
      <c r="K6411" s="60"/>
      <c r="L6411" s="60"/>
      <c r="M6411" s="64"/>
      <c r="N6411" s="33"/>
    </row>
    <row r="6412" ht="24" customHeight="1" spans="2:14">
      <c r="B6412" s="33"/>
      <c r="C6412" s="60"/>
      <c r="D6412" s="60"/>
      <c r="E6412" s="60"/>
      <c r="F6412" s="60"/>
      <c r="G6412" s="60"/>
      <c r="H6412" s="60"/>
      <c r="I6412" s="60"/>
      <c r="J6412" s="60"/>
      <c r="K6412" s="60"/>
      <c r="L6412" s="60"/>
      <c r="M6412" s="64"/>
      <c r="N6412" s="33"/>
    </row>
    <row r="6413" ht="24" customHeight="1" spans="2:14">
      <c r="B6413" s="33"/>
      <c r="C6413" s="60"/>
      <c r="D6413" s="60"/>
      <c r="E6413" s="60"/>
      <c r="F6413" s="60"/>
      <c r="G6413" s="60"/>
      <c r="H6413" s="60"/>
      <c r="I6413" s="60"/>
      <c r="J6413" s="60"/>
      <c r="K6413" s="60"/>
      <c r="L6413" s="60"/>
      <c r="M6413" s="64"/>
      <c r="N6413" s="33"/>
    </row>
    <row r="6414" ht="24" customHeight="1" spans="2:14">
      <c r="B6414" s="33"/>
      <c r="C6414" s="60"/>
      <c r="D6414" s="60"/>
      <c r="E6414" s="60"/>
      <c r="F6414" s="60"/>
      <c r="G6414" s="60"/>
      <c r="H6414" s="60"/>
      <c r="I6414" s="60"/>
      <c r="J6414" s="60"/>
      <c r="K6414" s="60"/>
      <c r="L6414" s="60"/>
      <c r="M6414" s="64"/>
      <c r="N6414" s="33"/>
    </row>
    <row r="6415" ht="24" customHeight="1" spans="2:14">
      <c r="B6415" s="33"/>
      <c r="C6415" s="60"/>
      <c r="D6415" s="60"/>
      <c r="E6415" s="60"/>
      <c r="F6415" s="60"/>
      <c r="G6415" s="60"/>
      <c r="H6415" s="60"/>
      <c r="I6415" s="60"/>
      <c r="J6415" s="60"/>
      <c r="K6415" s="60"/>
      <c r="L6415" s="60"/>
      <c r="M6415" s="64"/>
      <c r="N6415" s="33"/>
    </row>
    <row r="6416" ht="24" customHeight="1" spans="2:14">
      <c r="B6416" s="33"/>
      <c r="C6416" s="60"/>
      <c r="D6416" s="60"/>
      <c r="E6416" s="60"/>
      <c r="F6416" s="60"/>
      <c r="G6416" s="60"/>
      <c r="H6416" s="60"/>
      <c r="I6416" s="60"/>
      <c r="J6416" s="60"/>
      <c r="K6416" s="60"/>
      <c r="L6416" s="60"/>
      <c r="M6416" s="64"/>
      <c r="N6416" s="33"/>
    </row>
    <row r="6417" ht="24" customHeight="1" spans="2:14">
      <c r="B6417" s="33"/>
      <c r="C6417" s="60"/>
      <c r="D6417" s="60"/>
      <c r="E6417" s="60"/>
      <c r="F6417" s="60"/>
      <c r="G6417" s="60"/>
      <c r="H6417" s="60"/>
      <c r="I6417" s="60"/>
      <c r="J6417" s="60"/>
      <c r="K6417" s="60"/>
      <c r="L6417" s="60"/>
      <c r="M6417" s="64"/>
      <c r="N6417" s="33"/>
    </row>
    <row r="6418" ht="24" customHeight="1" spans="2:14">
      <c r="B6418" s="33"/>
      <c r="C6418" s="60"/>
      <c r="D6418" s="60"/>
      <c r="E6418" s="60"/>
      <c r="F6418" s="60"/>
      <c r="G6418" s="60"/>
      <c r="H6418" s="60"/>
      <c r="I6418" s="60"/>
      <c r="J6418" s="60"/>
      <c r="K6418" s="60"/>
      <c r="L6418" s="60"/>
      <c r="M6418" s="64"/>
      <c r="N6418" s="33"/>
    </row>
    <row r="6419" ht="24" customHeight="1" spans="2:14">
      <c r="B6419" s="33"/>
      <c r="C6419" s="60"/>
      <c r="D6419" s="60"/>
      <c r="E6419" s="60"/>
      <c r="F6419" s="60"/>
      <c r="G6419" s="60"/>
      <c r="H6419" s="60"/>
      <c r="I6419" s="60"/>
      <c r="J6419" s="60"/>
      <c r="K6419" s="60"/>
      <c r="L6419" s="60"/>
      <c r="M6419" s="64"/>
      <c r="N6419" s="33"/>
    </row>
    <row r="6420" ht="24" customHeight="1" spans="2:14">
      <c r="B6420" s="33"/>
      <c r="C6420" s="60"/>
      <c r="D6420" s="60"/>
      <c r="E6420" s="60"/>
      <c r="F6420" s="60"/>
      <c r="G6420" s="60"/>
      <c r="H6420" s="60"/>
      <c r="I6420" s="60"/>
      <c r="J6420" s="60"/>
      <c r="K6420" s="60"/>
      <c r="L6420" s="60"/>
      <c r="M6420" s="64"/>
      <c r="N6420" s="33"/>
    </row>
    <row r="6421" ht="24" customHeight="1" spans="2:14">
      <c r="B6421" s="33"/>
      <c r="C6421" s="60"/>
      <c r="D6421" s="60"/>
      <c r="E6421" s="60"/>
      <c r="F6421" s="60"/>
      <c r="G6421" s="60"/>
      <c r="H6421" s="60"/>
      <c r="I6421" s="60"/>
      <c r="J6421" s="60"/>
      <c r="K6421" s="60"/>
      <c r="L6421" s="60"/>
      <c r="M6421" s="64"/>
      <c r="N6421" s="33"/>
    </row>
    <row r="6422" ht="24" customHeight="1" spans="2:14">
      <c r="B6422" s="33"/>
      <c r="C6422" s="60"/>
      <c r="D6422" s="60"/>
      <c r="E6422" s="60"/>
      <c r="F6422" s="60"/>
      <c r="G6422" s="60"/>
      <c r="H6422" s="60"/>
      <c r="I6422" s="60"/>
      <c r="J6422" s="60"/>
      <c r="K6422" s="60"/>
      <c r="L6422" s="60"/>
      <c r="M6422" s="64"/>
      <c r="N6422" s="33"/>
    </row>
    <row r="6423" ht="24" customHeight="1" spans="2:14">
      <c r="B6423" s="33"/>
      <c r="C6423" s="60"/>
      <c r="D6423" s="60"/>
      <c r="E6423" s="60"/>
      <c r="F6423" s="60"/>
      <c r="G6423" s="60"/>
      <c r="H6423" s="60"/>
      <c r="I6423" s="60"/>
      <c r="J6423" s="60"/>
      <c r="K6423" s="60"/>
      <c r="L6423" s="60"/>
      <c r="M6423" s="64"/>
      <c r="N6423" s="33"/>
    </row>
    <row r="6424" ht="24" customHeight="1" spans="2:14">
      <c r="B6424" s="33"/>
      <c r="C6424" s="60"/>
      <c r="D6424" s="60"/>
      <c r="E6424" s="60"/>
      <c r="F6424" s="60"/>
      <c r="G6424" s="60"/>
      <c r="H6424" s="60"/>
      <c r="I6424" s="60"/>
      <c r="J6424" s="60"/>
      <c r="K6424" s="60"/>
      <c r="L6424" s="60"/>
      <c r="M6424" s="64"/>
      <c r="N6424" s="33"/>
    </row>
    <row r="6425" ht="24" customHeight="1" spans="2:14">
      <c r="B6425" s="33"/>
      <c r="C6425" s="60"/>
      <c r="D6425" s="60"/>
      <c r="E6425" s="60"/>
      <c r="F6425" s="60"/>
      <c r="G6425" s="60"/>
      <c r="H6425" s="60"/>
      <c r="I6425" s="60"/>
      <c r="J6425" s="60"/>
      <c r="K6425" s="60"/>
      <c r="L6425" s="60"/>
      <c r="M6425" s="64"/>
      <c r="N6425" s="33"/>
    </row>
    <row r="6426" ht="24" customHeight="1" spans="2:14">
      <c r="B6426" s="33"/>
      <c r="C6426" s="60"/>
      <c r="D6426" s="60"/>
      <c r="E6426" s="60"/>
      <c r="F6426" s="60"/>
      <c r="G6426" s="60"/>
      <c r="H6426" s="60"/>
      <c r="I6426" s="60"/>
      <c r="J6426" s="60"/>
      <c r="K6426" s="60"/>
      <c r="L6426" s="60"/>
      <c r="M6426" s="64"/>
      <c r="N6426" s="33"/>
    </row>
    <row r="6427" ht="24" customHeight="1" spans="2:14">
      <c r="B6427" s="33"/>
      <c r="C6427" s="60"/>
      <c r="D6427" s="60"/>
      <c r="E6427" s="60"/>
      <c r="F6427" s="60"/>
      <c r="G6427" s="60"/>
      <c r="H6427" s="60"/>
      <c r="I6427" s="60"/>
      <c r="J6427" s="60"/>
      <c r="K6427" s="60"/>
      <c r="L6427" s="60"/>
      <c r="M6427" s="64"/>
      <c r="N6427" s="33"/>
    </row>
    <row r="6428" ht="24" customHeight="1" spans="2:14">
      <c r="B6428" s="33"/>
      <c r="C6428" s="60"/>
      <c r="D6428" s="60"/>
      <c r="E6428" s="60"/>
      <c r="F6428" s="60"/>
      <c r="G6428" s="60"/>
      <c r="H6428" s="60"/>
      <c r="I6428" s="60"/>
      <c r="J6428" s="60"/>
      <c r="K6428" s="60"/>
      <c r="L6428" s="60"/>
      <c r="M6428" s="64"/>
      <c r="N6428" s="33"/>
    </row>
    <row r="6429" ht="24" customHeight="1" spans="2:14">
      <c r="B6429" s="33"/>
      <c r="C6429" s="60"/>
      <c r="D6429" s="60"/>
      <c r="E6429" s="60"/>
      <c r="F6429" s="60"/>
      <c r="G6429" s="60"/>
      <c r="H6429" s="60"/>
      <c r="I6429" s="60"/>
      <c r="J6429" s="60"/>
      <c r="K6429" s="60"/>
      <c r="L6429" s="60"/>
      <c r="M6429" s="64"/>
      <c r="N6429" s="33"/>
    </row>
    <row r="6430" ht="24" customHeight="1" spans="2:14">
      <c r="B6430" s="33"/>
      <c r="C6430" s="60"/>
      <c r="D6430" s="60"/>
      <c r="E6430" s="60"/>
      <c r="F6430" s="60"/>
      <c r="G6430" s="60"/>
      <c r="H6430" s="60"/>
      <c r="I6430" s="60"/>
      <c r="J6430" s="60"/>
      <c r="K6430" s="60"/>
      <c r="L6430" s="60"/>
      <c r="M6430" s="64"/>
      <c r="N6430" s="33"/>
    </row>
    <row r="6431" ht="24" customHeight="1" spans="2:14">
      <c r="B6431" s="33"/>
      <c r="C6431" s="60"/>
      <c r="D6431" s="60"/>
      <c r="E6431" s="60"/>
      <c r="F6431" s="60"/>
      <c r="G6431" s="60"/>
      <c r="H6431" s="60"/>
      <c r="I6431" s="60"/>
      <c r="J6431" s="60"/>
      <c r="K6431" s="60"/>
      <c r="L6431" s="60"/>
      <c r="M6431" s="64"/>
      <c r="N6431" s="33"/>
    </row>
    <row r="6432" ht="24" customHeight="1" spans="2:14">
      <c r="B6432" s="33"/>
      <c r="C6432" s="60"/>
      <c r="D6432" s="60"/>
      <c r="E6432" s="60"/>
      <c r="F6432" s="60"/>
      <c r="G6432" s="60"/>
      <c r="H6432" s="60"/>
      <c r="I6432" s="60"/>
      <c r="J6432" s="60"/>
      <c r="K6432" s="60"/>
      <c r="L6432" s="60"/>
      <c r="M6432" s="64"/>
      <c r="N6432" s="33"/>
    </row>
    <row r="6433" ht="24" customHeight="1" spans="2:14">
      <c r="B6433" s="33"/>
      <c r="C6433" s="60"/>
      <c r="D6433" s="60"/>
      <c r="E6433" s="60"/>
      <c r="F6433" s="60"/>
      <c r="G6433" s="60"/>
      <c r="H6433" s="60"/>
      <c r="I6433" s="60"/>
      <c r="J6433" s="60"/>
      <c r="K6433" s="60"/>
      <c r="L6433" s="60"/>
      <c r="M6433" s="64"/>
      <c r="N6433" s="33"/>
    </row>
    <row r="6434" ht="24" customHeight="1" spans="2:14">
      <c r="B6434" s="33"/>
      <c r="C6434" s="60"/>
      <c r="D6434" s="60"/>
      <c r="E6434" s="60"/>
      <c r="F6434" s="60"/>
      <c r="G6434" s="60"/>
      <c r="H6434" s="60"/>
      <c r="I6434" s="60"/>
      <c r="J6434" s="60"/>
      <c r="K6434" s="60"/>
      <c r="L6434" s="60"/>
      <c r="M6434" s="64"/>
      <c r="N6434" s="33"/>
    </row>
    <row r="6435" ht="24" customHeight="1" spans="2:14">
      <c r="B6435" s="33"/>
      <c r="C6435" s="60"/>
      <c r="D6435" s="60"/>
      <c r="E6435" s="60"/>
      <c r="F6435" s="60"/>
      <c r="G6435" s="60"/>
      <c r="H6435" s="60"/>
      <c r="I6435" s="60"/>
      <c r="J6435" s="60"/>
      <c r="K6435" s="60"/>
      <c r="L6435" s="60"/>
      <c r="M6435" s="64"/>
      <c r="N6435" s="33"/>
    </row>
    <row r="6436" ht="24" customHeight="1" spans="2:14">
      <c r="B6436" s="33"/>
      <c r="C6436" s="60"/>
      <c r="D6436" s="60"/>
      <c r="E6436" s="60"/>
      <c r="F6436" s="60"/>
      <c r="G6436" s="60"/>
      <c r="H6436" s="60"/>
      <c r="I6436" s="60"/>
      <c r="J6436" s="60"/>
      <c r="K6436" s="60"/>
      <c r="L6436" s="60"/>
      <c r="M6436" s="64"/>
      <c r="N6436" s="33"/>
    </row>
    <row r="6437" ht="24" customHeight="1" spans="2:14">
      <c r="B6437" s="33"/>
      <c r="C6437" s="60"/>
      <c r="D6437" s="60"/>
      <c r="E6437" s="60"/>
      <c r="F6437" s="60"/>
      <c r="G6437" s="60"/>
      <c r="H6437" s="60"/>
      <c r="I6437" s="60"/>
      <c r="J6437" s="60"/>
      <c r="K6437" s="60"/>
      <c r="L6437" s="60"/>
      <c r="M6437" s="64"/>
      <c r="N6437" s="33"/>
    </row>
    <row r="6438" ht="24" customHeight="1" spans="2:14">
      <c r="B6438" s="33"/>
      <c r="C6438" s="60"/>
      <c r="D6438" s="60"/>
      <c r="E6438" s="60"/>
      <c r="F6438" s="60"/>
      <c r="G6438" s="60"/>
      <c r="H6438" s="60"/>
      <c r="I6438" s="60"/>
      <c r="J6438" s="60"/>
      <c r="K6438" s="60"/>
      <c r="L6438" s="60"/>
      <c r="M6438" s="64"/>
      <c r="N6438" s="33"/>
    </row>
    <row r="6439" ht="24" customHeight="1" spans="2:14">
      <c r="B6439" s="33"/>
      <c r="C6439" s="60"/>
      <c r="D6439" s="60"/>
      <c r="E6439" s="60"/>
      <c r="F6439" s="60"/>
      <c r="G6439" s="60"/>
      <c r="H6439" s="60"/>
      <c r="I6439" s="60"/>
      <c r="J6439" s="60"/>
      <c r="K6439" s="60"/>
      <c r="L6439" s="60"/>
      <c r="M6439" s="64"/>
      <c r="N6439" s="33"/>
    </row>
    <row r="6440" ht="24" customHeight="1" spans="2:14">
      <c r="B6440" s="33"/>
      <c r="C6440" s="60"/>
      <c r="D6440" s="60"/>
      <c r="E6440" s="60"/>
      <c r="F6440" s="60"/>
      <c r="G6440" s="60"/>
      <c r="H6440" s="60"/>
      <c r="I6440" s="60"/>
      <c r="J6440" s="60"/>
      <c r="K6440" s="60"/>
      <c r="L6440" s="60"/>
      <c r="M6440" s="64"/>
      <c r="N6440" s="33"/>
    </row>
    <row r="6441" ht="24" customHeight="1" spans="2:14">
      <c r="B6441" s="33"/>
      <c r="C6441" s="60"/>
      <c r="D6441" s="60"/>
      <c r="E6441" s="60"/>
      <c r="F6441" s="60"/>
      <c r="G6441" s="60"/>
      <c r="H6441" s="60"/>
      <c r="I6441" s="60"/>
      <c r="J6441" s="60"/>
      <c r="K6441" s="60"/>
      <c r="L6441" s="60"/>
      <c r="M6441" s="64"/>
      <c r="N6441" s="33"/>
    </row>
    <row r="6442" ht="24" customHeight="1" spans="2:14">
      <c r="B6442" s="33"/>
      <c r="C6442" s="60"/>
      <c r="D6442" s="60"/>
      <c r="E6442" s="60"/>
      <c r="F6442" s="60"/>
      <c r="G6442" s="60"/>
      <c r="H6442" s="60"/>
      <c r="I6442" s="60"/>
      <c r="J6442" s="60"/>
      <c r="K6442" s="60"/>
      <c r="L6442" s="60"/>
      <c r="M6442" s="64"/>
      <c r="N6442" s="33"/>
    </row>
    <row r="6443" ht="24" customHeight="1" spans="2:14">
      <c r="B6443" s="33"/>
      <c r="C6443" s="60"/>
      <c r="D6443" s="60"/>
      <c r="E6443" s="60"/>
      <c r="F6443" s="60"/>
      <c r="G6443" s="60"/>
      <c r="H6443" s="60"/>
      <c r="I6443" s="60"/>
      <c r="J6443" s="60"/>
      <c r="K6443" s="60"/>
      <c r="L6443" s="60"/>
      <c r="M6443" s="64"/>
      <c r="N6443" s="33"/>
    </row>
    <row r="6444" ht="24" customHeight="1" spans="2:14">
      <c r="B6444" s="33"/>
      <c r="C6444" s="60"/>
      <c r="D6444" s="60"/>
      <c r="E6444" s="60"/>
      <c r="F6444" s="60"/>
      <c r="G6444" s="60"/>
      <c r="H6444" s="60"/>
      <c r="I6444" s="60"/>
      <c r="J6444" s="60"/>
      <c r="K6444" s="60"/>
      <c r="L6444" s="60"/>
      <c r="M6444" s="64"/>
      <c r="N6444" s="33"/>
    </row>
    <row r="6445" ht="24" customHeight="1" spans="2:14">
      <c r="B6445" s="33"/>
      <c r="C6445" s="60"/>
      <c r="D6445" s="60"/>
      <c r="E6445" s="60"/>
      <c r="F6445" s="60"/>
      <c r="G6445" s="60"/>
      <c r="H6445" s="60"/>
      <c r="I6445" s="60"/>
      <c r="J6445" s="60"/>
      <c r="K6445" s="60"/>
      <c r="L6445" s="60"/>
      <c r="M6445" s="64"/>
      <c r="N6445" s="33"/>
    </row>
    <row r="6446" ht="24" customHeight="1" spans="2:14">
      <c r="B6446" s="33"/>
      <c r="C6446" s="60"/>
      <c r="D6446" s="60"/>
      <c r="E6446" s="60"/>
      <c r="F6446" s="60"/>
      <c r="G6446" s="60"/>
      <c r="H6446" s="60"/>
      <c r="I6446" s="60"/>
      <c r="J6446" s="60"/>
      <c r="K6446" s="60"/>
      <c r="L6446" s="60"/>
      <c r="M6446" s="64"/>
      <c r="N6446" s="33"/>
    </row>
    <row r="6447" ht="24" customHeight="1" spans="2:14">
      <c r="B6447" s="33"/>
      <c r="C6447" s="60"/>
      <c r="D6447" s="60"/>
      <c r="E6447" s="60"/>
      <c r="F6447" s="60"/>
      <c r="G6447" s="60"/>
      <c r="H6447" s="60"/>
      <c r="I6447" s="60"/>
      <c r="J6447" s="60"/>
      <c r="K6447" s="60"/>
      <c r="L6447" s="60"/>
      <c r="M6447" s="64"/>
      <c r="N6447" s="33"/>
    </row>
    <row r="6448" ht="24" customHeight="1" spans="2:14">
      <c r="B6448" s="33"/>
      <c r="C6448" s="60"/>
      <c r="D6448" s="60"/>
      <c r="E6448" s="60"/>
      <c r="F6448" s="60"/>
      <c r="G6448" s="60"/>
      <c r="H6448" s="60"/>
      <c r="I6448" s="60"/>
      <c r="J6448" s="60"/>
      <c r="K6448" s="60"/>
      <c r="L6448" s="60"/>
      <c r="M6448" s="64"/>
      <c r="N6448" s="33"/>
    </row>
    <row r="6449" ht="24" customHeight="1" spans="2:14">
      <c r="B6449" s="33"/>
      <c r="C6449" s="60"/>
      <c r="D6449" s="60"/>
      <c r="E6449" s="60"/>
      <c r="F6449" s="60"/>
      <c r="G6449" s="60"/>
      <c r="H6449" s="60"/>
      <c r="I6449" s="60"/>
      <c r="J6449" s="60"/>
      <c r="K6449" s="60"/>
      <c r="L6449" s="60"/>
      <c r="M6449" s="64"/>
      <c r="N6449" s="33"/>
    </row>
    <row r="6450" ht="24" customHeight="1" spans="2:14">
      <c r="B6450" s="33"/>
      <c r="C6450" s="60"/>
      <c r="D6450" s="60"/>
      <c r="E6450" s="60"/>
      <c r="F6450" s="60"/>
      <c r="G6450" s="60"/>
      <c r="H6450" s="60"/>
      <c r="I6450" s="60"/>
      <c r="J6450" s="60"/>
      <c r="K6450" s="60"/>
      <c r="L6450" s="60"/>
      <c r="M6450" s="64"/>
      <c r="N6450" s="33"/>
    </row>
    <row r="6451" ht="24" customHeight="1" spans="2:14">
      <c r="B6451" s="33"/>
      <c r="C6451" s="60"/>
      <c r="D6451" s="60"/>
      <c r="E6451" s="60"/>
      <c r="F6451" s="60"/>
      <c r="G6451" s="60"/>
      <c r="H6451" s="60"/>
      <c r="I6451" s="60"/>
      <c r="J6451" s="60"/>
      <c r="K6451" s="60"/>
      <c r="L6451" s="60"/>
      <c r="M6451" s="64"/>
      <c r="N6451" s="33"/>
    </row>
    <row r="6452" ht="24" customHeight="1" spans="2:14">
      <c r="B6452" s="33"/>
      <c r="C6452" s="60"/>
      <c r="D6452" s="60"/>
      <c r="E6452" s="60"/>
      <c r="F6452" s="60"/>
      <c r="G6452" s="60"/>
      <c r="H6452" s="60"/>
      <c r="I6452" s="60"/>
      <c r="J6452" s="60"/>
      <c r="K6452" s="60"/>
      <c r="L6452" s="60"/>
      <c r="M6452" s="64"/>
      <c r="N6452" s="33"/>
    </row>
    <row r="6453" ht="24" customHeight="1" spans="2:14">
      <c r="B6453" s="33"/>
      <c r="C6453" s="60"/>
      <c r="D6453" s="60"/>
      <c r="E6453" s="60"/>
      <c r="F6453" s="60"/>
      <c r="G6453" s="60"/>
      <c r="H6453" s="60"/>
      <c r="I6453" s="60"/>
      <c r="J6453" s="60"/>
      <c r="K6453" s="60"/>
      <c r="L6453" s="60"/>
      <c r="M6453" s="64"/>
      <c r="N6453" s="33"/>
    </row>
    <row r="6454" ht="24" customHeight="1" spans="2:14">
      <c r="B6454" s="33"/>
      <c r="C6454" s="60"/>
      <c r="D6454" s="60"/>
      <c r="E6454" s="60"/>
      <c r="F6454" s="60"/>
      <c r="G6454" s="60"/>
      <c r="H6454" s="60"/>
      <c r="I6454" s="60"/>
      <c r="J6454" s="60"/>
      <c r="K6454" s="60"/>
      <c r="L6454" s="60"/>
      <c r="M6454" s="64"/>
      <c r="N6454" s="33"/>
    </row>
    <row r="6455" ht="24" customHeight="1" spans="2:14">
      <c r="B6455" s="33"/>
      <c r="C6455" s="60"/>
      <c r="D6455" s="60"/>
      <c r="E6455" s="60"/>
      <c r="F6455" s="60"/>
      <c r="G6455" s="60"/>
      <c r="H6455" s="60"/>
      <c r="I6455" s="60"/>
      <c r="J6455" s="60"/>
      <c r="K6455" s="60"/>
      <c r="L6455" s="60"/>
      <c r="M6455" s="64"/>
      <c r="N6455" s="33"/>
    </row>
    <row r="6456" ht="24" customHeight="1" spans="2:14">
      <c r="B6456" s="33"/>
      <c r="C6456" s="60"/>
      <c r="D6456" s="60"/>
      <c r="E6456" s="60"/>
      <c r="F6456" s="60"/>
      <c r="G6456" s="60"/>
      <c r="H6456" s="60"/>
      <c r="I6456" s="60"/>
      <c r="J6456" s="60"/>
      <c r="K6456" s="60"/>
      <c r="L6456" s="60"/>
      <c r="M6456" s="64"/>
      <c r="N6456" s="33"/>
    </row>
    <row r="6457" ht="24" customHeight="1" spans="2:14">
      <c r="B6457" s="33"/>
      <c r="C6457" s="60"/>
      <c r="D6457" s="60"/>
      <c r="E6457" s="60"/>
      <c r="F6457" s="60"/>
      <c r="G6457" s="60"/>
      <c r="H6457" s="60"/>
      <c r="I6457" s="60"/>
      <c r="J6457" s="60"/>
      <c r="K6457" s="60"/>
      <c r="L6457" s="60"/>
      <c r="M6457" s="64"/>
      <c r="N6457" s="33"/>
    </row>
    <row r="6458" ht="24" customHeight="1" spans="2:14">
      <c r="B6458" s="33"/>
      <c r="C6458" s="60"/>
      <c r="D6458" s="60"/>
      <c r="E6458" s="60"/>
      <c r="F6458" s="60"/>
      <c r="G6458" s="60"/>
      <c r="H6458" s="60"/>
      <c r="I6458" s="60"/>
      <c r="J6458" s="60"/>
      <c r="K6458" s="60"/>
      <c r="L6458" s="60"/>
      <c r="M6458" s="64"/>
      <c r="N6458" s="33"/>
    </row>
    <row r="6459" ht="24" customHeight="1" spans="2:14">
      <c r="B6459" s="33"/>
      <c r="C6459" s="60"/>
      <c r="D6459" s="60"/>
      <c r="E6459" s="60"/>
      <c r="F6459" s="60"/>
      <c r="G6459" s="60"/>
      <c r="H6459" s="60"/>
      <c r="I6459" s="60"/>
      <c r="J6459" s="60"/>
      <c r="K6459" s="60"/>
      <c r="L6459" s="60"/>
      <c r="M6459" s="64"/>
      <c r="N6459" s="33"/>
    </row>
    <row r="6460" ht="24" customHeight="1" spans="2:14">
      <c r="B6460" s="33"/>
      <c r="C6460" s="60"/>
      <c r="D6460" s="60"/>
      <c r="E6460" s="60"/>
      <c r="F6460" s="60"/>
      <c r="G6460" s="60"/>
      <c r="H6460" s="60"/>
      <c r="I6460" s="60"/>
      <c r="J6460" s="60"/>
      <c r="K6460" s="60"/>
      <c r="L6460" s="60"/>
      <c r="M6460" s="64"/>
      <c r="N6460" s="33"/>
    </row>
    <row r="6461" ht="24" customHeight="1" spans="2:14">
      <c r="B6461" s="33"/>
      <c r="C6461" s="60"/>
      <c r="D6461" s="60"/>
      <c r="E6461" s="60"/>
      <c r="F6461" s="60"/>
      <c r="G6461" s="60"/>
      <c r="H6461" s="60"/>
      <c r="I6461" s="60"/>
      <c r="J6461" s="60"/>
      <c r="K6461" s="60"/>
      <c r="L6461" s="60"/>
      <c r="M6461" s="64"/>
      <c r="N6461" s="33"/>
    </row>
    <row r="6462" ht="24" customHeight="1" spans="2:14">
      <c r="B6462" s="33"/>
      <c r="C6462" s="60"/>
      <c r="D6462" s="60"/>
      <c r="E6462" s="60"/>
      <c r="F6462" s="60"/>
      <c r="G6462" s="60"/>
      <c r="H6462" s="60"/>
      <c r="I6462" s="60"/>
      <c r="J6462" s="60"/>
      <c r="K6462" s="60"/>
      <c r="L6462" s="60"/>
      <c r="M6462" s="64"/>
      <c r="N6462" s="33"/>
    </row>
    <row r="6463" ht="24" customHeight="1" spans="2:14">
      <c r="B6463" s="33"/>
      <c r="C6463" s="60"/>
      <c r="D6463" s="60"/>
      <c r="E6463" s="60"/>
      <c r="F6463" s="60"/>
      <c r="G6463" s="60"/>
      <c r="H6463" s="60"/>
      <c r="I6463" s="60"/>
      <c r="J6463" s="60"/>
      <c r="K6463" s="60"/>
      <c r="L6463" s="60"/>
      <c r="M6463" s="64"/>
      <c r="N6463" s="33"/>
    </row>
    <row r="6464" ht="24" customHeight="1" spans="2:14">
      <c r="B6464" s="33"/>
      <c r="C6464" s="60"/>
      <c r="D6464" s="60"/>
      <c r="E6464" s="60"/>
      <c r="F6464" s="60"/>
      <c r="G6464" s="60"/>
      <c r="H6464" s="60"/>
      <c r="I6464" s="60"/>
      <c r="J6464" s="60"/>
      <c r="K6464" s="60"/>
      <c r="L6464" s="60"/>
      <c r="M6464" s="64"/>
      <c r="N6464" s="33"/>
    </row>
    <row r="6465" ht="24" customHeight="1" spans="2:14">
      <c r="B6465" s="33"/>
      <c r="C6465" s="60"/>
      <c r="D6465" s="60"/>
      <c r="E6465" s="60"/>
      <c r="F6465" s="60"/>
      <c r="G6465" s="60"/>
      <c r="H6465" s="60"/>
      <c r="I6465" s="60"/>
      <c r="J6465" s="60"/>
      <c r="K6465" s="60"/>
      <c r="L6465" s="60"/>
      <c r="M6465" s="64"/>
      <c r="N6465" s="33"/>
    </row>
    <row r="6466" ht="24" customHeight="1" spans="2:14">
      <c r="B6466" s="33"/>
      <c r="C6466" s="60"/>
      <c r="D6466" s="60"/>
      <c r="E6466" s="60"/>
      <c r="F6466" s="60"/>
      <c r="G6466" s="60"/>
      <c r="H6466" s="60"/>
      <c r="I6466" s="60"/>
      <c r="J6466" s="60"/>
      <c r="K6466" s="60"/>
      <c r="L6466" s="60"/>
      <c r="M6466" s="64"/>
      <c r="N6466" s="33"/>
    </row>
    <row r="6467" ht="24" customHeight="1" spans="2:14">
      <c r="B6467" s="33"/>
      <c r="C6467" s="60"/>
      <c r="D6467" s="60"/>
      <c r="E6467" s="60"/>
      <c r="F6467" s="60"/>
      <c r="G6467" s="60"/>
      <c r="H6467" s="60"/>
      <c r="I6467" s="60"/>
      <c r="J6467" s="60"/>
      <c r="K6467" s="60"/>
      <c r="L6467" s="60"/>
      <c r="M6467" s="64"/>
      <c r="N6467" s="33"/>
    </row>
    <row r="6468" ht="24" customHeight="1" spans="2:14">
      <c r="B6468" s="33"/>
      <c r="C6468" s="60"/>
      <c r="D6468" s="60"/>
      <c r="E6468" s="60"/>
      <c r="F6468" s="60"/>
      <c r="G6468" s="60"/>
      <c r="H6468" s="60"/>
      <c r="I6468" s="60"/>
      <c r="J6468" s="60"/>
      <c r="K6468" s="60"/>
      <c r="L6468" s="60"/>
      <c r="M6468" s="64"/>
      <c r="N6468" s="33"/>
    </row>
    <row r="6469" ht="24" customHeight="1" spans="2:14">
      <c r="B6469" s="33"/>
      <c r="C6469" s="60"/>
      <c r="D6469" s="60"/>
      <c r="E6469" s="60"/>
      <c r="F6469" s="60"/>
      <c r="G6469" s="60"/>
      <c r="H6469" s="60"/>
      <c r="I6469" s="60"/>
      <c r="J6469" s="60"/>
      <c r="K6469" s="60"/>
      <c r="L6469" s="60"/>
      <c r="M6469" s="64"/>
      <c r="N6469" s="33"/>
    </row>
    <row r="6470" ht="24" customHeight="1" spans="2:14">
      <c r="B6470" s="33"/>
      <c r="C6470" s="60"/>
      <c r="D6470" s="60"/>
      <c r="E6470" s="60"/>
      <c r="F6470" s="60"/>
      <c r="G6470" s="60"/>
      <c r="H6470" s="60"/>
      <c r="I6470" s="60"/>
      <c r="J6470" s="60"/>
      <c r="K6470" s="60"/>
      <c r="L6470" s="60"/>
      <c r="M6470" s="64"/>
      <c r="N6470" s="33"/>
    </row>
    <row r="6471" ht="24" customHeight="1" spans="2:14">
      <c r="B6471" s="33"/>
      <c r="C6471" s="60"/>
      <c r="D6471" s="60"/>
      <c r="E6471" s="60"/>
      <c r="F6471" s="60"/>
      <c r="G6471" s="60"/>
      <c r="H6471" s="60"/>
      <c r="I6471" s="60"/>
      <c r="J6471" s="60"/>
      <c r="K6471" s="60"/>
      <c r="L6471" s="60"/>
      <c r="M6471" s="64"/>
      <c r="N6471" s="33"/>
    </row>
    <row r="6472" ht="24" customHeight="1" spans="2:14">
      <c r="B6472" s="33"/>
      <c r="C6472" s="60"/>
      <c r="D6472" s="60"/>
      <c r="E6472" s="60"/>
      <c r="F6472" s="60"/>
      <c r="G6472" s="60"/>
      <c r="H6472" s="60"/>
      <c r="I6472" s="60"/>
      <c r="J6472" s="60"/>
      <c r="K6472" s="60"/>
      <c r="L6472" s="60"/>
      <c r="M6472" s="64"/>
      <c r="N6472" s="33"/>
    </row>
    <row r="6473" ht="24" customHeight="1" spans="2:14">
      <c r="B6473" s="33"/>
      <c r="C6473" s="60"/>
      <c r="D6473" s="60"/>
      <c r="E6473" s="60"/>
      <c r="F6473" s="60"/>
      <c r="G6473" s="60"/>
      <c r="H6473" s="60"/>
      <c r="I6473" s="60"/>
      <c r="J6473" s="60"/>
      <c r="K6473" s="60"/>
      <c r="L6473" s="60"/>
      <c r="M6473" s="64"/>
      <c r="N6473" s="33"/>
    </row>
    <row r="6474" ht="24" customHeight="1" spans="2:14">
      <c r="B6474" s="33"/>
      <c r="C6474" s="60"/>
      <c r="D6474" s="60"/>
      <c r="E6474" s="60"/>
      <c r="F6474" s="60"/>
      <c r="G6474" s="60"/>
      <c r="H6474" s="60"/>
      <c r="I6474" s="60"/>
      <c r="J6474" s="60"/>
      <c r="K6474" s="60"/>
      <c r="L6474" s="60"/>
      <c r="M6474" s="64"/>
      <c r="N6474" s="33"/>
    </row>
    <row r="6475" ht="24" customHeight="1" spans="2:14">
      <c r="B6475" s="33"/>
      <c r="C6475" s="60"/>
      <c r="D6475" s="60"/>
      <c r="E6475" s="60"/>
      <c r="F6475" s="60"/>
      <c r="G6475" s="60"/>
      <c r="H6475" s="60"/>
      <c r="I6475" s="60"/>
      <c r="J6475" s="60"/>
      <c r="K6475" s="60"/>
      <c r="L6475" s="60"/>
      <c r="M6475" s="64"/>
      <c r="N6475" s="33"/>
    </row>
    <row r="6476" ht="24" customHeight="1" spans="2:14">
      <c r="B6476" s="33"/>
      <c r="C6476" s="60"/>
      <c r="D6476" s="60"/>
      <c r="E6476" s="60"/>
      <c r="F6476" s="60"/>
      <c r="G6476" s="60"/>
      <c r="H6476" s="60"/>
      <c r="I6476" s="60"/>
      <c r="J6476" s="60"/>
      <c r="K6476" s="60"/>
      <c r="L6476" s="60"/>
      <c r="M6476" s="64"/>
      <c r="N6476" s="33"/>
    </row>
    <row r="6477" ht="24" customHeight="1" spans="2:14">
      <c r="B6477" s="33"/>
      <c r="C6477" s="60"/>
      <c r="D6477" s="60"/>
      <c r="E6477" s="60"/>
      <c r="F6477" s="60"/>
      <c r="G6477" s="60"/>
      <c r="H6477" s="60"/>
      <c r="I6477" s="60"/>
      <c r="J6477" s="60"/>
      <c r="K6477" s="60"/>
      <c r="L6477" s="60"/>
      <c r="M6477" s="64"/>
      <c r="N6477" s="33"/>
    </row>
    <row r="6478" ht="24" customHeight="1" spans="2:14">
      <c r="B6478" s="33"/>
      <c r="C6478" s="60"/>
      <c r="D6478" s="60"/>
      <c r="E6478" s="60"/>
      <c r="F6478" s="60"/>
      <c r="G6478" s="60"/>
      <c r="H6478" s="60"/>
      <c r="I6478" s="60"/>
      <c r="J6478" s="60"/>
      <c r="K6478" s="60"/>
      <c r="L6478" s="60"/>
      <c r="M6478" s="64"/>
      <c r="N6478" s="33"/>
    </row>
    <row r="6479" ht="24" customHeight="1" spans="2:14">
      <c r="B6479" s="33"/>
      <c r="C6479" s="60"/>
      <c r="D6479" s="60"/>
      <c r="E6479" s="60"/>
      <c r="F6479" s="60"/>
      <c r="G6479" s="60"/>
      <c r="H6479" s="60"/>
      <c r="I6479" s="60"/>
      <c r="J6479" s="60"/>
      <c r="K6479" s="60"/>
      <c r="L6479" s="60"/>
      <c r="M6479" s="64"/>
      <c r="N6479" s="33"/>
    </row>
    <row r="6480" ht="24" customHeight="1" spans="2:14">
      <c r="B6480" s="33"/>
      <c r="C6480" s="60"/>
      <c r="D6480" s="60"/>
      <c r="E6480" s="60"/>
      <c r="F6480" s="60"/>
      <c r="G6480" s="60"/>
      <c r="H6480" s="60"/>
      <c r="I6480" s="60"/>
      <c r="J6480" s="60"/>
      <c r="K6480" s="60"/>
      <c r="L6480" s="60"/>
      <c r="M6480" s="64"/>
      <c r="N6480" s="33"/>
    </row>
    <row r="6481" ht="24" customHeight="1" spans="2:14">
      <c r="B6481" s="33"/>
      <c r="C6481" s="60"/>
      <c r="D6481" s="60"/>
      <c r="E6481" s="60"/>
      <c r="F6481" s="60"/>
      <c r="G6481" s="60"/>
      <c r="H6481" s="60"/>
      <c r="I6481" s="60"/>
      <c r="J6481" s="60"/>
      <c r="K6481" s="60"/>
      <c r="L6481" s="60"/>
      <c r="M6481" s="64"/>
      <c r="N6481" s="33"/>
    </row>
    <row r="6482" ht="24" customHeight="1" spans="2:14">
      <c r="B6482" s="33"/>
      <c r="C6482" s="60"/>
      <c r="D6482" s="60"/>
      <c r="E6482" s="60"/>
      <c r="F6482" s="60"/>
      <c r="G6482" s="60"/>
      <c r="H6482" s="60"/>
      <c r="I6482" s="60"/>
      <c r="J6482" s="60"/>
      <c r="K6482" s="60"/>
      <c r="L6482" s="60"/>
      <c r="M6482" s="64"/>
      <c r="N6482" s="33"/>
    </row>
    <row r="6483" ht="24" customHeight="1" spans="2:14">
      <c r="B6483" s="33"/>
      <c r="C6483" s="60"/>
      <c r="D6483" s="60"/>
      <c r="E6483" s="60"/>
      <c r="F6483" s="60"/>
      <c r="G6483" s="60"/>
      <c r="H6483" s="60"/>
      <c r="I6483" s="60"/>
      <c r="J6483" s="60"/>
      <c r="K6483" s="60"/>
      <c r="L6483" s="60"/>
      <c r="M6483" s="64"/>
      <c r="N6483" s="33"/>
    </row>
    <row r="6484" ht="24" customHeight="1" spans="2:14">
      <c r="B6484" s="33"/>
      <c r="C6484" s="60"/>
      <c r="D6484" s="60"/>
      <c r="E6484" s="60"/>
      <c r="F6484" s="60"/>
      <c r="G6484" s="60"/>
      <c r="H6484" s="60"/>
      <c r="I6484" s="60"/>
      <c r="J6484" s="60"/>
      <c r="K6484" s="60"/>
      <c r="L6484" s="60"/>
      <c r="M6484" s="64"/>
      <c r="N6484" s="33"/>
    </row>
    <row r="6485" ht="24" customHeight="1" spans="2:14">
      <c r="B6485" s="33"/>
      <c r="C6485" s="60"/>
      <c r="D6485" s="60"/>
      <c r="E6485" s="60"/>
      <c r="F6485" s="60"/>
      <c r="G6485" s="60"/>
      <c r="H6485" s="60"/>
      <c r="I6485" s="60"/>
      <c r="J6485" s="60"/>
      <c r="K6485" s="60"/>
      <c r="L6485" s="60"/>
      <c r="M6485" s="64"/>
      <c r="N6485" s="33"/>
    </row>
    <row r="6486" ht="24" customHeight="1" spans="2:14">
      <c r="B6486" s="33"/>
      <c r="C6486" s="60"/>
      <c r="D6486" s="60"/>
      <c r="E6486" s="60"/>
      <c r="F6486" s="60"/>
      <c r="G6486" s="60"/>
      <c r="H6486" s="60"/>
      <c r="I6486" s="60"/>
      <c r="J6486" s="60"/>
      <c r="K6486" s="60"/>
      <c r="L6486" s="60"/>
      <c r="M6486" s="64"/>
      <c r="N6486" s="33"/>
    </row>
    <row r="6487" ht="24" customHeight="1" spans="2:14">
      <c r="B6487" s="33"/>
      <c r="C6487" s="60"/>
      <c r="D6487" s="60"/>
      <c r="E6487" s="60"/>
      <c r="F6487" s="60"/>
      <c r="G6487" s="60"/>
      <c r="H6487" s="60"/>
      <c r="I6487" s="60"/>
      <c r="J6487" s="60"/>
      <c r="K6487" s="60"/>
      <c r="L6487" s="60"/>
      <c r="M6487" s="64"/>
      <c r="N6487" s="33"/>
    </row>
    <row r="6488" ht="24" customHeight="1" spans="2:14">
      <c r="B6488" s="33"/>
      <c r="C6488" s="60"/>
      <c r="D6488" s="60"/>
      <c r="E6488" s="60"/>
      <c r="F6488" s="60"/>
      <c r="G6488" s="60"/>
      <c r="H6488" s="60"/>
      <c r="I6488" s="60"/>
      <c r="J6488" s="60"/>
      <c r="K6488" s="60"/>
      <c r="L6488" s="60"/>
      <c r="M6488" s="64"/>
      <c r="N6488" s="33"/>
    </row>
    <row r="6489" ht="24" customHeight="1" spans="2:14">
      <c r="B6489" s="33"/>
      <c r="C6489" s="60"/>
      <c r="D6489" s="60"/>
      <c r="E6489" s="60"/>
      <c r="F6489" s="60"/>
      <c r="G6489" s="60"/>
      <c r="H6489" s="60"/>
      <c r="I6489" s="60"/>
      <c r="J6489" s="60"/>
      <c r="K6489" s="60"/>
      <c r="L6489" s="60"/>
      <c r="M6489" s="64"/>
      <c r="N6489" s="33"/>
    </row>
    <row r="6490" ht="24" customHeight="1" spans="2:14">
      <c r="B6490" s="33"/>
      <c r="C6490" s="60"/>
      <c r="D6490" s="60"/>
      <c r="E6490" s="60"/>
      <c r="F6490" s="60"/>
      <c r="G6490" s="60"/>
      <c r="H6490" s="60"/>
      <c r="I6490" s="60"/>
      <c r="J6490" s="60"/>
      <c r="K6490" s="60"/>
      <c r="L6490" s="60"/>
      <c r="M6490" s="64"/>
      <c r="N6490" s="33"/>
    </row>
    <row r="6491" ht="24" customHeight="1" spans="2:14">
      <c r="B6491" s="33"/>
      <c r="C6491" s="60"/>
      <c r="D6491" s="60"/>
      <c r="E6491" s="60"/>
      <c r="F6491" s="60"/>
      <c r="G6491" s="60"/>
      <c r="H6491" s="60"/>
      <c r="I6491" s="60"/>
      <c r="J6491" s="60"/>
      <c r="K6491" s="60"/>
      <c r="L6491" s="60"/>
      <c r="M6491" s="64"/>
      <c r="N6491" s="33"/>
    </row>
    <row r="6492" ht="24" customHeight="1" spans="2:14">
      <c r="B6492" s="33"/>
      <c r="C6492" s="60"/>
      <c r="D6492" s="60"/>
      <c r="E6492" s="60"/>
      <c r="F6492" s="60"/>
      <c r="G6492" s="60"/>
      <c r="H6492" s="60"/>
      <c r="I6492" s="60"/>
      <c r="J6492" s="60"/>
      <c r="K6492" s="60"/>
      <c r="L6492" s="60"/>
      <c r="M6492" s="64"/>
      <c r="N6492" s="33"/>
    </row>
    <row r="6493" ht="24" customHeight="1" spans="2:14">
      <c r="B6493" s="33"/>
      <c r="C6493" s="60"/>
      <c r="D6493" s="60"/>
      <c r="E6493" s="60"/>
      <c r="F6493" s="60"/>
      <c r="G6493" s="60"/>
      <c r="H6493" s="60"/>
      <c r="I6493" s="60"/>
      <c r="J6493" s="60"/>
      <c r="K6493" s="60"/>
      <c r="L6493" s="60"/>
      <c r="M6493" s="64"/>
      <c r="N6493" s="33"/>
    </row>
    <row r="6494" ht="24" customHeight="1" spans="2:14">
      <c r="B6494" s="33"/>
      <c r="C6494" s="60"/>
      <c r="D6494" s="60"/>
      <c r="E6494" s="60"/>
      <c r="F6494" s="60"/>
      <c r="G6494" s="60"/>
      <c r="H6494" s="60"/>
      <c r="I6494" s="60"/>
      <c r="J6494" s="60"/>
      <c r="K6494" s="60"/>
      <c r="L6494" s="60"/>
      <c r="M6494" s="64"/>
      <c r="N6494" s="33"/>
    </row>
    <row r="6495" ht="24" customHeight="1" spans="2:14">
      <c r="B6495" s="33"/>
      <c r="C6495" s="60"/>
      <c r="D6495" s="60"/>
      <c r="E6495" s="60"/>
      <c r="F6495" s="60"/>
      <c r="G6495" s="60"/>
      <c r="H6495" s="60"/>
      <c r="I6495" s="60"/>
      <c r="J6495" s="60"/>
      <c r="K6495" s="60"/>
      <c r="L6495" s="60"/>
      <c r="M6495" s="64"/>
      <c r="N6495" s="33"/>
    </row>
    <row r="6496" ht="24" customHeight="1" spans="2:14">
      <c r="B6496" s="33"/>
      <c r="C6496" s="60"/>
      <c r="D6496" s="60"/>
      <c r="E6496" s="60"/>
      <c r="F6496" s="60"/>
      <c r="G6496" s="60"/>
      <c r="H6496" s="60"/>
      <c r="I6496" s="60"/>
      <c r="J6496" s="60"/>
      <c r="K6496" s="60"/>
      <c r="L6496" s="60"/>
      <c r="M6496" s="64"/>
      <c r="N6496" s="33"/>
    </row>
    <row r="6497" ht="24" customHeight="1" spans="2:14">
      <c r="B6497" s="33"/>
      <c r="C6497" s="60"/>
      <c r="D6497" s="60"/>
      <c r="E6497" s="60"/>
      <c r="F6497" s="60"/>
      <c r="G6497" s="60"/>
      <c r="H6497" s="60"/>
      <c r="I6497" s="60"/>
      <c r="J6497" s="60"/>
      <c r="K6497" s="60"/>
      <c r="L6497" s="60"/>
      <c r="M6497" s="64"/>
      <c r="N6497" s="33"/>
    </row>
    <row r="6498" ht="24" customHeight="1" spans="2:14">
      <c r="B6498" s="33"/>
      <c r="C6498" s="60"/>
      <c r="D6498" s="60"/>
      <c r="E6498" s="60"/>
      <c r="F6498" s="60"/>
      <c r="G6498" s="60"/>
      <c r="H6498" s="60"/>
      <c r="I6498" s="60"/>
      <c r="J6498" s="60"/>
      <c r="K6498" s="60"/>
      <c r="L6498" s="60"/>
      <c r="M6498" s="64"/>
      <c r="N6498" s="33"/>
    </row>
    <row r="6499" ht="24" customHeight="1" spans="2:14">
      <c r="B6499" s="33"/>
      <c r="C6499" s="60"/>
      <c r="D6499" s="60"/>
      <c r="E6499" s="60"/>
      <c r="F6499" s="60"/>
      <c r="G6499" s="60"/>
      <c r="H6499" s="60"/>
      <c r="I6499" s="60"/>
      <c r="J6499" s="60"/>
      <c r="K6499" s="60"/>
      <c r="L6499" s="60"/>
      <c r="M6499" s="64"/>
      <c r="N6499" s="33"/>
    </row>
    <row r="6500" ht="24" customHeight="1" spans="2:14">
      <c r="B6500" s="33"/>
      <c r="C6500" s="60"/>
      <c r="D6500" s="60"/>
      <c r="E6500" s="60"/>
      <c r="F6500" s="60"/>
      <c r="G6500" s="60"/>
      <c r="H6500" s="60"/>
      <c r="I6500" s="60"/>
      <c r="J6500" s="60"/>
      <c r="K6500" s="60"/>
      <c r="L6500" s="60"/>
      <c r="M6500" s="64"/>
      <c r="N6500" s="33"/>
    </row>
    <row r="6501" ht="24" customHeight="1" spans="2:14">
      <c r="B6501" s="33"/>
      <c r="C6501" s="60"/>
      <c r="D6501" s="60"/>
      <c r="E6501" s="60"/>
      <c r="F6501" s="60"/>
      <c r="G6501" s="60"/>
      <c r="H6501" s="60"/>
      <c r="I6501" s="60"/>
      <c r="J6501" s="60"/>
      <c r="K6501" s="60"/>
      <c r="L6501" s="60"/>
      <c r="M6501" s="64"/>
      <c r="N6501" s="33"/>
    </row>
    <row r="6502" ht="24" customHeight="1" spans="2:14">
      <c r="B6502" s="33"/>
      <c r="C6502" s="60"/>
      <c r="D6502" s="60"/>
      <c r="E6502" s="60"/>
      <c r="F6502" s="60"/>
      <c r="G6502" s="60"/>
      <c r="H6502" s="60"/>
      <c r="I6502" s="60"/>
      <c r="J6502" s="60"/>
      <c r="K6502" s="60"/>
      <c r="L6502" s="60"/>
      <c r="M6502" s="64"/>
      <c r="N6502" s="33"/>
    </row>
    <row r="6503" ht="24" customHeight="1" spans="2:14">
      <c r="B6503" s="33"/>
      <c r="C6503" s="60"/>
      <c r="D6503" s="60"/>
      <c r="E6503" s="60"/>
      <c r="F6503" s="60"/>
      <c r="G6503" s="60"/>
      <c r="H6503" s="60"/>
      <c r="I6503" s="60"/>
      <c r="J6503" s="60"/>
      <c r="K6503" s="60"/>
      <c r="L6503" s="60"/>
      <c r="M6503" s="64"/>
      <c r="N6503" s="33"/>
    </row>
    <row r="6504" ht="24" customHeight="1" spans="2:14">
      <c r="B6504" s="33"/>
      <c r="C6504" s="60"/>
      <c r="D6504" s="60"/>
      <c r="E6504" s="60"/>
      <c r="F6504" s="60"/>
      <c r="G6504" s="60"/>
      <c r="H6504" s="60"/>
      <c r="I6504" s="60"/>
      <c r="J6504" s="60"/>
      <c r="K6504" s="60"/>
      <c r="L6504" s="60"/>
      <c r="M6504" s="64"/>
      <c r="N6504" s="33"/>
    </row>
    <row r="6505" ht="24" customHeight="1" spans="2:14">
      <c r="B6505" s="33"/>
      <c r="C6505" s="60"/>
      <c r="D6505" s="60"/>
      <c r="E6505" s="60"/>
      <c r="F6505" s="60"/>
      <c r="G6505" s="60"/>
      <c r="H6505" s="60"/>
      <c r="I6505" s="60"/>
      <c r="J6505" s="60"/>
      <c r="K6505" s="60"/>
      <c r="L6505" s="60"/>
      <c r="M6505" s="64"/>
      <c r="N6505" s="33"/>
    </row>
    <row r="6506" ht="24" customHeight="1" spans="2:14">
      <c r="B6506" s="33"/>
      <c r="C6506" s="60"/>
      <c r="D6506" s="60"/>
      <c r="E6506" s="60"/>
      <c r="F6506" s="60"/>
      <c r="G6506" s="60"/>
      <c r="H6506" s="60"/>
      <c r="I6506" s="60"/>
      <c r="J6506" s="60"/>
      <c r="K6506" s="60"/>
      <c r="L6506" s="60"/>
      <c r="M6506" s="64"/>
      <c r="N6506" s="33"/>
    </row>
    <row r="6507" ht="24" customHeight="1" spans="2:14">
      <c r="B6507" s="33"/>
      <c r="C6507" s="60"/>
      <c r="D6507" s="60"/>
      <c r="E6507" s="60"/>
      <c r="F6507" s="60"/>
      <c r="G6507" s="60"/>
      <c r="H6507" s="60"/>
      <c r="I6507" s="60"/>
      <c r="J6507" s="60"/>
      <c r="K6507" s="60"/>
      <c r="L6507" s="60"/>
      <c r="M6507" s="64"/>
      <c r="N6507" s="33"/>
    </row>
    <row r="6508" ht="24" customHeight="1" spans="2:14">
      <c r="B6508" s="33"/>
      <c r="C6508" s="60"/>
      <c r="D6508" s="60"/>
      <c r="E6508" s="60"/>
      <c r="F6508" s="60"/>
      <c r="G6508" s="60"/>
      <c r="H6508" s="60"/>
      <c r="I6508" s="60"/>
      <c r="J6508" s="60"/>
      <c r="K6508" s="60"/>
      <c r="L6508" s="60"/>
      <c r="M6508" s="64"/>
      <c r="N6508" s="33"/>
    </row>
    <row r="6509" ht="24" customHeight="1" spans="2:14">
      <c r="B6509" s="33"/>
      <c r="C6509" s="60"/>
      <c r="D6509" s="60"/>
      <c r="E6509" s="60"/>
      <c r="F6509" s="60"/>
      <c r="G6509" s="60"/>
      <c r="H6509" s="60"/>
      <c r="I6509" s="60"/>
      <c r="J6509" s="60"/>
      <c r="K6509" s="60"/>
      <c r="L6509" s="60"/>
      <c r="M6509" s="64"/>
      <c r="N6509" s="33"/>
    </row>
    <row r="6510" ht="24" customHeight="1" spans="2:14">
      <c r="B6510" s="33"/>
      <c r="C6510" s="60"/>
      <c r="D6510" s="60"/>
      <c r="E6510" s="60"/>
      <c r="F6510" s="60"/>
      <c r="G6510" s="60"/>
      <c r="H6510" s="60"/>
      <c r="I6510" s="60"/>
      <c r="J6510" s="60"/>
      <c r="K6510" s="60"/>
      <c r="L6510" s="60"/>
      <c r="M6510" s="64"/>
      <c r="N6510" s="33"/>
    </row>
    <row r="6511" ht="24" customHeight="1" spans="2:14">
      <c r="B6511" s="33"/>
      <c r="C6511" s="60"/>
      <c r="D6511" s="60"/>
      <c r="E6511" s="60"/>
      <c r="F6511" s="60"/>
      <c r="G6511" s="60"/>
      <c r="H6511" s="60"/>
      <c r="I6511" s="60"/>
      <c r="J6511" s="60"/>
      <c r="K6511" s="60"/>
      <c r="L6511" s="60"/>
      <c r="M6511" s="64"/>
      <c r="N6511" s="33"/>
    </row>
    <row r="6512" ht="24" customHeight="1" spans="2:14">
      <c r="B6512" s="33"/>
      <c r="C6512" s="60"/>
      <c r="D6512" s="60"/>
      <c r="E6512" s="60"/>
      <c r="F6512" s="60"/>
      <c r="G6512" s="60"/>
      <c r="H6512" s="60"/>
      <c r="I6512" s="60"/>
      <c r="J6512" s="60"/>
      <c r="K6512" s="60"/>
      <c r="L6512" s="60"/>
      <c r="M6512" s="64"/>
      <c r="N6512" s="33"/>
    </row>
    <row r="6513" ht="24" customHeight="1" spans="2:14">
      <c r="B6513" s="33"/>
      <c r="C6513" s="60"/>
      <c r="D6513" s="60"/>
      <c r="E6513" s="60"/>
      <c r="F6513" s="60"/>
      <c r="G6513" s="60"/>
      <c r="H6513" s="60"/>
      <c r="I6513" s="60"/>
      <c r="J6513" s="60"/>
      <c r="K6513" s="60"/>
      <c r="L6513" s="60"/>
      <c r="M6513" s="64"/>
      <c r="N6513" s="33"/>
    </row>
    <row r="6514" ht="24" customHeight="1" spans="2:14">
      <c r="B6514" s="33"/>
      <c r="C6514" s="60"/>
      <c r="D6514" s="60"/>
      <c r="E6514" s="60"/>
      <c r="F6514" s="60"/>
      <c r="G6514" s="60"/>
      <c r="H6514" s="60"/>
      <c r="I6514" s="60"/>
      <c r="J6514" s="60"/>
      <c r="K6514" s="60"/>
      <c r="L6514" s="60"/>
      <c r="M6514" s="64"/>
      <c r="N6514" s="33"/>
    </row>
    <row r="6515" ht="24" customHeight="1" spans="2:14">
      <c r="B6515" s="33"/>
      <c r="C6515" s="60"/>
      <c r="D6515" s="60"/>
      <c r="E6515" s="60"/>
      <c r="F6515" s="60"/>
      <c r="G6515" s="60"/>
      <c r="H6515" s="60"/>
      <c r="I6515" s="60"/>
      <c r="J6515" s="60"/>
      <c r="K6515" s="60"/>
      <c r="L6515" s="60"/>
      <c r="M6515" s="64"/>
      <c r="N6515" s="33"/>
    </row>
    <row r="6516" ht="24" customHeight="1" spans="2:14">
      <c r="B6516" s="33"/>
      <c r="C6516" s="60"/>
      <c r="D6516" s="60"/>
      <c r="E6516" s="60"/>
      <c r="F6516" s="60"/>
      <c r="G6516" s="60"/>
      <c r="H6516" s="60"/>
      <c r="I6516" s="60"/>
      <c r="J6516" s="60"/>
      <c r="K6516" s="60"/>
      <c r="L6516" s="60"/>
      <c r="M6516" s="64"/>
      <c r="N6516" s="33"/>
    </row>
    <row r="6517" ht="24" customHeight="1" spans="2:14">
      <c r="B6517" s="33"/>
      <c r="C6517" s="60"/>
      <c r="D6517" s="60"/>
      <c r="E6517" s="60"/>
      <c r="F6517" s="60"/>
      <c r="G6517" s="60"/>
      <c r="H6517" s="60"/>
      <c r="I6517" s="60"/>
      <c r="J6517" s="60"/>
      <c r="K6517" s="60"/>
      <c r="L6517" s="60"/>
      <c r="M6517" s="64"/>
      <c r="N6517" s="33"/>
    </row>
    <row r="6518" ht="24" customHeight="1" spans="2:14">
      <c r="B6518" s="33"/>
      <c r="C6518" s="60"/>
      <c r="D6518" s="60"/>
      <c r="E6518" s="60"/>
      <c r="F6518" s="60"/>
      <c r="G6518" s="60"/>
      <c r="H6518" s="60"/>
      <c r="I6518" s="60"/>
      <c r="J6518" s="60"/>
      <c r="K6518" s="60"/>
      <c r="L6518" s="60"/>
      <c r="M6518" s="64"/>
      <c r="N6518" s="33"/>
    </row>
    <row r="6519" ht="24" customHeight="1" spans="2:14">
      <c r="B6519" s="33"/>
      <c r="C6519" s="60"/>
      <c r="D6519" s="60"/>
      <c r="E6519" s="60"/>
      <c r="F6519" s="60"/>
      <c r="G6519" s="60"/>
      <c r="H6519" s="60"/>
      <c r="I6519" s="60"/>
      <c r="J6519" s="60"/>
      <c r="K6519" s="60"/>
      <c r="L6519" s="60"/>
      <c r="M6519" s="64"/>
      <c r="N6519" s="33"/>
    </row>
    <row r="6520" ht="24" customHeight="1" spans="2:14">
      <c r="B6520" s="33"/>
      <c r="C6520" s="60"/>
      <c r="D6520" s="60"/>
      <c r="E6520" s="60"/>
      <c r="F6520" s="60"/>
      <c r="G6520" s="60"/>
      <c r="H6520" s="60"/>
      <c r="I6520" s="60"/>
      <c r="J6520" s="60"/>
      <c r="K6520" s="60"/>
      <c r="L6520" s="60"/>
      <c r="M6520" s="64"/>
      <c r="N6520" s="33"/>
    </row>
    <row r="6521" ht="24" customHeight="1" spans="2:14">
      <c r="B6521" s="33"/>
      <c r="C6521" s="60"/>
      <c r="D6521" s="60"/>
      <c r="E6521" s="60"/>
      <c r="F6521" s="60"/>
      <c r="G6521" s="60"/>
      <c r="H6521" s="60"/>
      <c r="I6521" s="60"/>
      <c r="J6521" s="60"/>
      <c r="K6521" s="60"/>
      <c r="L6521" s="60"/>
      <c r="M6521" s="64"/>
      <c r="N6521" s="33"/>
    </row>
    <row r="6522" ht="24" customHeight="1" spans="2:14">
      <c r="B6522" s="33"/>
      <c r="C6522" s="60"/>
      <c r="D6522" s="60"/>
      <c r="E6522" s="60"/>
      <c r="F6522" s="60"/>
      <c r="G6522" s="60"/>
      <c r="H6522" s="60"/>
      <c r="I6522" s="60"/>
      <c r="J6522" s="60"/>
      <c r="K6522" s="60"/>
      <c r="L6522" s="60"/>
      <c r="M6522" s="64"/>
      <c r="N6522" s="33"/>
    </row>
    <row r="6523" ht="24" customHeight="1" spans="2:14">
      <c r="B6523" s="33"/>
      <c r="C6523" s="60"/>
      <c r="D6523" s="60"/>
      <c r="E6523" s="60"/>
      <c r="F6523" s="60"/>
      <c r="G6523" s="60"/>
      <c r="H6523" s="60"/>
      <c r="I6523" s="60"/>
      <c r="J6523" s="60"/>
      <c r="K6523" s="60"/>
      <c r="L6523" s="60"/>
      <c r="M6523" s="64"/>
      <c r="N6523" s="33"/>
    </row>
    <row r="6524" ht="24" customHeight="1" spans="2:14">
      <c r="B6524" s="33"/>
      <c r="C6524" s="60"/>
      <c r="D6524" s="60"/>
      <c r="E6524" s="60"/>
      <c r="F6524" s="60"/>
      <c r="G6524" s="60"/>
      <c r="H6524" s="60"/>
      <c r="I6524" s="60"/>
      <c r="J6524" s="60"/>
      <c r="K6524" s="60"/>
      <c r="L6524" s="60"/>
      <c r="M6524" s="64"/>
      <c r="N6524" s="33"/>
    </row>
    <row r="6525" ht="24" customHeight="1" spans="2:14">
      <c r="B6525" s="33"/>
      <c r="C6525" s="60"/>
      <c r="D6525" s="60"/>
      <c r="E6525" s="60"/>
      <c r="F6525" s="60"/>
      <c r="G6525" s="60"/>
      <c r="H6525" s="60"/>
      <c r="I6525" s="60"/>
      <c r="J6525" s="60"/>
      <c r="K6525" s="60"/>
      <c r="L6525" s="60"/>
      <c r="M6525" s="64"/>
      <c r="N6525" s="33"/>
    </row>
    <row r="6526" ht="24" customHeight="1" spans="2:14">
      <c r="B6526" s="33"/>
      <c r="C6526" s="60"/>
      <c r="D6526" s="60"/>
      <c r="E6526" s="60"/>
      <c r="F6526" s="60"/>
      <c r="G6526" s="60"/>
      <c r="H6526" s="60"/>
      <c r="I6526" s="60"/>
      <c r="J6526" s="60"/>
      <c r="K6526" s="60"/>
      <c r="L6526" s="60"/>
      <c r="M6526" s="64"/>
      <c r="N6526" s="33"/>
    </row>
    <row r="6527" ht="24" customHeight="1" spans="2:14">
      <c r="B6527" s="33"/>
      <c r="C6527" s="60"/>
      <c r="D6527" s="60"/>
      <c r="E6527" s="60"/>
      <c r="F6527" s="60"/>
      <c r="G6527" s="60"/>
      <c r="H6527" s="60"/>
      <c r="I6527" s="60"/>
      <c r="J6527" s="60"/>
      <c r="K6527" s="60"/>
      <c r="L6527" s="60"/>
      <c r="M6527" s="64"/>
      <c r="N6527" s="33"/>
    </row>
    <row r="6528" ht="24" customHeight="1" spans="2:14">
      <c r="B6528" s="33"/>
      <c r="C6528" s="60"/>
      <c r="D6528" s="60"/>
      <c r="E6528" s="60"/>
      <c r="F6528" s="60"/>
      <c r="G6528" s="60"/>
      <c r="H6528" s="60"/>
      <c r="I6528" s="60"/>
      <c r="J6528" s="60"/>
      <c r="K6528" s="60"/>
      <c r="L6528" s="60"/>
      <c r="M6528" s="64"/>
      <c r="N6528" s="33"/>
    </row>
    <row r="6529" ht="24" customHeight="1" spans="2:14">
      <c r="B6529" s="33"/>
      <c r="C6529" s="60"/>
      <c r="D6529" s="60"/>
      <c r="E6529" s="60"/>
      <c r="F6529" s="60"/>
      <c r="G6529" s="60"/>
      <c r="H6529" s="60"/>
      <c r="I6529" s="60"/>
      <c r="J6529" s="60"/>
      <c r="K6529" s="60"/>
      <c r="L6529" s="60"/>
      <c r="M6529" s="64"/>
      <c r="N6529" s="33"/>
    </row>
    <row r="6530" ht="24" customHeight="1" spans="2:14">
      <c r="B6530" s="33"/>
      <c r="C6530" s="60"/>
      <c r="D6530" s="60"/>
      <c r="E6530" s="60"/>
      <c r="F6530" s="60"/>
      <c r="G6530" s="60"/>
      <c r="H6530" s="60"/>
      <c r="I6530" s="60"/>
      <c r="J6530" s="60"/>
      <c r="K6530" s="60"/>
      <c r="L6530" s="60"/>
      <c r="M6530" s="64"/>
      <c r="N6530" s="33"/>
    </row>
    <row r="6531" ht="24" customHeight="1" spans="2:14">
      <c r="B6531" s="33"/>
      <c r="C6531" s="60"/>
      <c r="D6531" s="60"/>
      <c r="E6531" s="60"/>
      <c r="F6531" s="60"/>
      <c r="G6531" s="60"/>
      <c r="H6531" s="60"/>
      <c r="I6531" s="60"/>
      <c r="J6531" s="60"/>
      <c r="K6531" s="60"/>
      <c r="L6531" s="60"/>
      <c r="M6531" s="64"/>
      <c r="N6531" s="33"/>
    </row>
    <row r="6532" ht="24" customHeight="1" spans="2:14">
      <c r="B6532" s="33"/>
      <c r="C6532" s="60"/>
      <c r="D6532" s="60"/>
      <c r="E6532" s="60"/>
      <c r="F6532" s="60"/>
      <c r="G6532" s="60"/>
      <c r="H6532" s="60"/>
      <c r="I6532" s="60"/>
      <c r="J6532" s="60"/>
      <c r="K6532" s="60"/>
      <c r="L6532" s="60"/>
      <c r="M6532" s="64"/>
      <c r="N6532" s="33"/>
    </row>
    <row r="6533" ht="24" customHeight="1" spans="2:14">
      <c r="B6533" s="33"/>
      <c r="C6533" s="60"/>
      <c r="D6533" s="60"/>
      <c r="E6533" s="60"/>
      <c r="F6533" s="60"/>
      <c r="G6533" s="60"/>
      <c r="H6533" s="60"/>
      <c r="I6533" s="60"/>
      <c r="J6533" s="60"/>
      <c r="K6533" s="60"/>
      <c r="L6533" s="60"/>
      <c r="M6533" s="64"/>
      <c r="N6533" s="33"/>
    </row>
    <row r="6534" ht="24" customHeight="1" spans="2:14">
      <c r="B6534" s="33"/>
      <c r="C6534" s="60"/>
      <c r="D6534" s="60"/>
      <c r="E6534" s="60"/>
      <c r="F6534" s="60"/>
      <c r="G6534" s="60"/>
      <c r="H6534" s="60"/>
      <c r="I6534" s="60"/>
      <c r="J6534" s="60"/>
      <c r="K6534" s="60"/>
      <c r="L6534" s="60"/>
      <c r="M6534" s="64"/>
      <c r="N6534" s="33"/>
    </row>
    <row r="6535" ht="24" customHeight="1" spans="2:14">
      <c r="B6535" s="33"/>
      <c r="C6535" s="60"/>
      <c r="D6535" s="60"/>
      <c r="E6535" s="60"/>
      <c r="F6535" s="60"/>
      <c r="G6535" s="60"/>
      <c r="H6535" s="60"/>
      <c r="I6535" s="60"/>
      <c r="J6535" s="60"/>
      <c r="K6535" s="60"/>
      <c r="L6535" s="60"/>
      <c r="M6535" s="64"/>
      <c r="N6535" s="33"/>
    </row>
    <row r="6536" ht="24" customHeight="1" spans="2:14">
      <c r="B6536" s="33"/>
      <c r="C6536" s="60"/>
      <c r="D6536" s="60"/>
      <c r="E6536" s="60"/>
      <c r="F6536" s="60"/>
      <c r="G6536" s="60"/>
      <c r="H6536" s="60"/>
      <c r="I6536" s="60"/>
      <c r="J6536" s="60"/>
      <c r="K6536" s="60"/>
      <c r="L6536" s="60"/>
      <c r="M6536" s="64"/>
      <c r="N6536" s="33"/>
    </row>
    <row r="6537" ht="24" customHeight="1" spans="2:14">
      <c r="B6537" s="33"/>
      <c r="C6537" s="60"/>
      <c r="D6537" s="60"/>
      <c r="E6537" s="60"/>
      <c r="F6537" s="60"/>
      <c r="G6537" s="60"/>
      <c r="H6537" s="60"/>
      <c r="I6537" s="60"/>
      <c r="J6537" s="60"/>
      <c r="K6537" s="60"/>
      <c r="L6537" s="60"/>
      <c r="M6537" s="64"/>
      <c r="N6537" s="33"/>
    </row>
    <row r="6538" ht="24" customHeight="1" spans="2:14">
      <c r="B6538" s="33"/>
      <c r="C6538" s="60"/>
      <c r="D6538" s="60"/>
      <c r="E6538" s="60"/>
      <c r="F6538" s="60"/>
      <c r="G6538" s="60"/>
      <c r="H6538" s="60"/>
      <c r="I6538" s="60"/>
      <c r="J6538" s="60"/>
      <c r="K6538" s="60"/>
      <c r="L6538" s="60"/>
      <c r="M6538" s="64"/>
      <c r="N6538" s="33"/>
    </row>
    <row r="6539" ht="24" customHeight="1" spans="2:14">
      <c r="B6539" s="33"/>
      <c r="C6539" s="60"/>
      <c r="D6539" s="60"/>
      <c r="E6539" s="60"/>
      <c r="F6539" s="60"/>
      <c r="G6539" s="60"/>
      <c r="H6539" s="60"/>
      <c r="I6539" s="60"/>
      <c r="J6539" s="60"/>
      <c r="K6539" s="60"/>
      <c r="L6539" s="60"/>
      <c r="M6539" s="64"/>
      <c r="N6539" s="33"/>
    </row>
    <row r="6540" ht="24" customHeight="1" spans="2:14">
      <c r="B6540" s="33"/>
      <c r="C6540" s="60"/>
      <c r="D6540" s="60"/>
      <c r="E6540" s="60"/>
      <c r="F6540" s="60"/>
      <c r="G6540" s="60"/>
      <c r="H6540" s="60"/>
      <c r="I6540" s="60"/>
      <c r="J6540" s="60"/>
      <c r="K6540" s="60"/>
      <c r="L6540" s="60"/>
      <c r="M6540" s="64"/>
      <c r="N6540" s="33"/>
    </row>
    <row r="6541" ht="24" customHeight="1" spans="2:14">
      <c r="B6541" s="33"/>
      <c r="C6541" s="60"/>
      <c r="D6541" s="60"/>
      <c r="E6541" s="60"/>
      <c r="F6541" s="60"/>
      <c r="G6541" s="60"/>
      <c r="H6541" s="60"/>
      <c r="I6541" s="60"/>
      <c r="J6541" s="60"/>
      <c r="K6541" s="60"/>
      <c r="L6541" s="60"/>
      <c r="M6541" s="64"/>
      <c r="N6541" s="33"/>
    </row>
    <row r="6542" ht="24" customHeight="1" spans="2:14">
      <c r="B6542" s="33"/>
      <c r="C6542" s="60"/>
      <c r="D6542" s="60"/>
      <c r="E6542" s="60"/>
      <c r="F6542" s="60"/>
      <c r="G6542" s="60"/>
      <c r="H6542" s="60"/>
      <c r="I6542" s="60"/>
      <c r="J6542" s="60"/>
      <c r="K6542" s="60"/>
      <c r="L6542" s="60"/>
      <c r="M6542" s="64"/>
      <c r="N6542" s="33"/>
    </row>
    <row r="6543" ht="24" customHeight="1" spans="2:14">
      <c r="B6543" s="33"/>
      <c r="C6543" s="60"/>
      <c r="D6543" s="60"/>
      <c r="E6543" s="60"/>
      <c r="F6543" s="60"/>
      <c r="G6543" s="60"/>
      <c r="H6543" s="60"/>
      <c r="I6543" s="60"/>
      <c r="J6543" s="60"/>
      <c r="K6543" s="60"/>
      <c r="L6543" s="60"/>
      <c r="M6543" s="64"/>
      <c r="N6543" s="33"/>
    </row>
    <row r="6544" ht="24" customHeight="1" spans="2:14">
      <c r="B6544" s="33"/>
      <c r="C6544" s="60"/>
      <c r="D6544" s="60"/>
      <c r="E6544" s="60"/>
      <c r="F6544" s="60"/>
      <c r="G6544" s="60"/>
      <c r="H6544" s="60"/>
      <c r="I6544" s="60"/>
      <c r="J6544" s="60"/>
      <c r="K6544" s="60"/>
      <c r="L6544" s="60"/>
      <c r="M6544" s="64"/>
      <c r="N6544" s="33"/>
    </row>
    <row r="6545" ht="24" customHeight="1" spans="2:14">
      <c r="B6545" s="33"/>
      <c r="C6545" s="60"/>
      <c r="D6545" s="60"/>
      <c r="E6545" s="60"/>
      <c r="F6545" s="60"/>
      <c r="G6545" s="60"/>
      <c r="H6545" s="60"/>
      <c r="I6545" s="60"/>
      <c r="J6545" s="60"/>
      <c r="K6545" s="60"/>
      <c r="L6545" s="60"/>
      <c r="M6545" s="64"/>
      <c r="N6545" s="33"/>
    </row>
    <row r="6546" ht="24" customHeight="1" spans="2:14">
      <c r="B6546" s="33"/>
      <c r="C6546" s="60"/>
      <c r="D6546" s="60"/>
      <c r="E6546" s="60"/>
      <c r="F6546" s="60"/>
      <c r="G6546" s="60"/>
      <c r="H6546" s="60"/>
      <c r="I6546" s="60"/>
      <c r="J6546" s="60"/>
      <c r="K6546" s="60"/>
      <c r="L6546" s="60"/>
      <c r="M6546" s="64"/>
      <c r="N6546" s="33"/>
    </row>
    <row r="6547" ht="24" customHeight="1" spans="2:14">
      <c r="B6547" s="33"/>
      <c r="C6547" s="60"/>
      <c r="D6547" s="60"/>
      <c r="E6547" s="60"/>
      <c r="F6547" s="60"/>
      <c r="G6547" s="60"/>
      <c r="H6547" s="60"/>
      <c r="I6547" s="60"/>
      <c r="J6547" s="60"/>
      <c r="K6547" s="60"/>
      <c r="L6547" s="60"/>
      <c r="M6547" s="64"/>
      <c r="N6547" s="33"/>
    </row>
    <row r="6548" ht="24" customHeight="1" spans="2:14">
      <c r="B6548" s="33"/>
      <c r="C6548" s="60"/>
      <c r="D6548" s="60"/>
      <c r="E6548" s="60"/>
      <c r="F6548" s="60"/>
      <c r="G6548" s="60"/>
      <c r="H6548" s="60"/>
      <c r="I6548" s="60"/>
      <c r="J6548" s="60"/>
      <c r="K6548" s="60"/>
      <c r="L6548" s="60"/>
      <c r="M6548" s="64"/>
      <c r="N6548" s="33"/>
    </row>
    <row r="6549" ht="24" customHeight="1" spans="2:14">
      <c r="B6549" s="33"/>
      <c r="C6549" s="60"/>
      <c r="D6549" s="60"/>
      <c r="E6549" s="60"/>
      <c r="F6549" s="60"/>
      <c r="G6549" s="60"/>
      <c r="H6549" s="60"/>
      <c r="I6549" s="60"/>
      <c r="J6549" s="60"/>
      <c r="K6549" s="60"/>
      <c r="L6549" s="60"/>
      <c r="M6549" s="64"/>
      <c r="N6549" s="33"/>
    </row>
    <row r="6550" ht="24" customHeight="1" spans="2:14">
      <c r="B6550" s="33"/>
      <c r="C6550" s="60"/>
      <c r="D6550" s="60"/>
      <c r="E6550" s="60"/>
      <c r="F6550" s="60"/>
      <c r="G6550" s="60"/>
      <c r="H6550" s="60"/>
      <c r="I6550" s="60"/>
      <c r="J6550" s="60"/>
      <c r="K6550" s="60"/>
      <c r="L6550" s="60"/>
      <c r="M6550" s="64"/>
      <c r="N6550" s="33"/>
    </row>
    <row r="6551" ht="24" customHeight="1" spans="2:14">
      <c r="B6551" s="33"/>
      <c r="C6551" s="60"/>
      <c r="D6551" s="60"/>
      <c r="E6551" s="60"/>
      <c r="F6551" s="60"/>
      <c r="G6551" s="60"/>
      <c r="H6551" s="60"/>
      <c r="I6551" s="60"/>
      <c r="J6551" s="60"/>
      <c r="K6551" s="60"/>
      <c r="L6551" s="60"/>
      <c r="M6551" s="64"/>
      <c r="N6551" s="33"/>
    </row>
    <row r="6552" ht="24" customHeight="1" spans="2:14">
      <c r="B6552" s="33"/>
      <c r="C6552" s="60"/>
      <c r="D6552" s="60"/>
      <c r="E6552" s="60"/>
      <c r="F6552" s="60"/>
      <c r="G6552" s="60"/>
      <c r="H6552" s="60"/>
      <c r="I6552" s="60"/>
      <c r="J6552" s="60"/>
      <c r="K6552" s="60"/>
      <c r="L6552" s="60"/>
      <c r="M6552" s="64"/>
      <c r="N6552" s="33"/>
    </row>
    <row r="6553" ht="24" customHeight="1" spans="2:14">
      <c r="B6553" s="33"/>
      <c r="C6553" s="60"/>
      <c r="D6553" s="60"/>
      <c r="E6553" s="60"/>
      <c r="F6553" s="60"/>
      <c r="G6553" s="60"/>
      <c r="H6553" s="60"/>
      <c r="I6553" s="60"/>
      <c r="J6553" s="60"/>
      <c r="K6553" s="60"/>
      <c r="L6553" s="60"/>
      <c r="M6553" s="64"/>
      <c r="N6553" s="33"/>
    </row>
    <row r="6554" ht="24" customHeight="1" spans="2:14">
      <c r="B6554" s="33"/>
      <c r="C6554" s="60"/>
      <c r="D6554" s="60"/>
      <c r="E6554" s="60"/>
      <c r="F6554" s="60"/>
      <c r="G6554" s="60"/>
      <c r="H6554" s="60"/>
      <c r="I6554" s="60"/>
      <c r="J6554" s="60"/>
      <c r="K6554" s="60"/>
      <c r="L6554" s="60"/>
      <c r="M6554" s="64"/>
      <c r="N6554" s="33"/>
    </row>
    <row r="6555" ht="24" customHeight="1" spans="2:14">
      <c r="B6555" s="33"/>
      <c r="C6555" s="60"/>
      <c r="D6555" s="60"/>
      <c r="E6555" s="60"/>
      <c r="F6555" s="60"/>
      <c r="G6555" s="60"/>
      <c r="H6555" s="60"/>
      <c r="I6555" s="60"/>
      <c r="J6555" s="60"/>
      <c r="K6555" s="60"/>
      <c r="L6555" s="60"/>
      <c r="M6555" s="64"/>
      <c r="N6555" s="33"/>
    </row>
    <row r="6556" ht="24" customHeight="1" spans="2:14">
      <c r="B6556" s="33"/>
      <c r="C6556" s="60"/>
      <c r="D6556" s="60"/>
      <c r="E6556" s="60"/>
      <c r="F6556" s="60"/>
      <c r="G6556" s="60"/>
      <c r="H6556" s="60"/>
      <c r="I6556" s="60"/>
      <c r="J6556" s="60"/>
      <c r="K6556" s="60"/>
      <c r="L6556" s="60"/>
      <c r="M6556" s="64"/>
      <c r="N6556" s="33"/>
    </row>
    <row r="6557" ht="24" customHeight="1" spans="2:14">
      <c r="B6557" s="33"/>
      <c r="C6557" s="60"/>
      <c r="D6557" s="60"/>
      <c r="E6557" s="60"/>
      <c r="F6557" s="60"/>
      <c r="G6557" s="60"/>
      <c r="H6557" s="60"/>
      <c r="I6557" s="60"/>
      <c r="J6557" s="60"/>
      <c r="K6557" s="60"/>
      <c r="L6557" s="60"/>
      <c r="M6557" s="64"/>
      <c r="N6557" s="33"/>
    </row>
    <row r="6558" ht="24" customHeight="1" spans="2:14">
      <c r="B6558" s="33"/>
      <c r="C6558" s="60"/>
      <c r="D6558" s="60"/>
      <c r="E6558" s="60"/>
      <c r="F6558" s="60"/>
      <c r="G6558" s="60"/>
      <c r="H6558" s="60"/>
      <c r="I6558" s="60"/>
      <c r="J6558" s="60"/>
      <c r="K6558" s="60"/>
      <c r="L6558" s="60"/>
      <c r="M6558" s="64"/>
      <c r="N6558" s="33"/>
    </row>
    <row r="6559" ht="24" customHeight="1" spans="2:14">
      <c r="B6559" s="33"/>
      <c r="C6559" s="60"/>
      <c r="D6559" s="60"/>
      <c r="E6559" s="60"/>
      <c r="F6559" s="60"/>
      <c r="G6559" s="60"/>
      <c r="H6559" s="60"/>
      <c r="I6559" s="60"/>
      <c r="J6559" s="60"/>
      <c r="K6559" s="60"/>
      <c r="L6559" s="60"/>
      <c r="M6559" s="64"/>
      <c r="N6559" s="33"/>
    </row>
    <row r="6560" ht="24" customHeight="1" spans="2:14">
      <c r="B6560" s="33"/>
      <c r="C6560" s="60"/>
      <c r="D6560" s="60"/>
      <c r="E6560" s="60"/>
      <c r="F6560" s="60"/>
      <c r="G6560" s="60"/>
      <c r="H6560" s="60"/>
      <c r="I6560" s="60"/>
      <c r="J6560" s="60"/>
      <c r="K6560" s="60"/>
      <c r="L6560" s="60"/>
      <c r="M6560" s="64"/>
      <c r="N6560" s="33"/>
    </row>
    <row r="6561" ht="24" customHeight="1" spans="2:14">
      <c r="B6561" s="33"/>
      <c r="C6561" s="60"/>
      <c r="D6561" s="60"/>
      <c r="E6561" s="60"/>
      <c r="F6561" s="60"/>
      <c r="G6561" s="60"/>
      <c r="H6561" s="60"/>
      <c r="I6561" s="60"/>
      <c r="J6561" s="60"/>
      <c r="K6561" s="60"/>
      <c r="L6561" s="60"/>
      <c r="M6561" s="64"/>
      <c r="N6561" s="33"/>
    </row>
    <row r="6562" ht="24" customHeight="1" spans="2:14">
      <c r="B6562" s="33"/>
      <c r="C6562" s="60"/>
      <c r="D6562" s="60"/>
      <c r="E6562" s="60"/>
      <c r="F6562" s="60"/>
      <c r="G6562" s="60"/>
      <c r="H6562" s="60"/>
      <c r="I6562" s="60"/>
      <c r="J6562" s="60"/>
      <c r="K6562" s="60"/>
      <c r="L6562" s="60"/>
      <c r="M6562" s="64"/>
      <c r="N6562" s="33"/>
    </row>
    <row r="6563" ht="24" customHeight="1" spans="2:14">
      <c r="B6563" s="33"/>
      <c r="C6563" s="60"/>
      <c r="D6563" s="60"/>
      <c r="E6563" s="60"/>
      <c r="F6563" s="60"/>
      <c r="G6563" s="60"/>
      <c r="H6563" s="60"/>
      <c r="I6563" s="60"/>
      <c r="J6563" s="60"/>
      <c r="K6563" s="60"/>
      <c r="L6563" s="60"/>
      <c r="M6563" s="64"/>
      <c r="N6563" s="33"/>
    </row>
    <row r="6564" ht="24" customHeight="1" spans="2:14">
      <c r="B6564" s="33"/>
      <c r="C6564" s="60"/>
      <c r="D6564" s="60"/>
      <c r="E6564" s="60"/>
      <c r="F6564" s="60"/>
      <c r="G6564" s="60"/>
      <c r="H6564" s="60"/>
      <c r="I6564" s="60"/>
      <c r="J6564" s="60"/>
      <c r="K6564" s="60"/>
      <c r="L6564" s="60"/>
      <c r="M6564" s="64"/>
      <c r="N6564" s="33"/>
    </row>
    <row r="6565" ht="24" customHeight="1" spans="2:14">
      <c r="B6565" s="33"/>
      <c r="C6565" s="60"/>
      <c r="D6565" s="60"/>
      <c r="E6565" s="60"/>
      <c r="F6565" s="60"/>
      <c r="G6565" s="60"/>
      <c r="H6565" s="60"/>
      <c r="I6565" s="60"/>
      <c r="J6565" s="60"/>
      <c r="K6565" s="60"/>
      <c r="L6565" s="60"/>
      <c r="M6565" s="64"/>
      <c r="N6565" s="33"/>
    </row>
    <row r="6566" ht="24" customHeight="1" spans="2:14">
      <c r="B6566" s="33"/>
      <c r="C6566" s="60"/>
      <c r="D6566" s="60"/>
      <c r="E6566" s="60"/>
      <c r="F6566" s="60"/>
      <c r="G6566" s="60"/>
      <c r="H6566" s="60"/>
      <c r="I6566" s="60"/>
      <c r="J6566" s="60"/>
      <c r="K6566" s="60"/>
      <c r="L6566" s="60"/>
      <c r="M6566" s="64"/>
      <c r="N6566" s="33"/>
    </row>
    <row r="6567" ht="24" customHeight="1" spans="2:14">
      <c r="B6567" s="33"/>
      <c r="C6567" s="60"/>
      <c r="D6567" s="60"/>
      <c r="E6567" s="60"/>
      <c r="F6567" s="60"/>
      <c r="G6567" s="60"/>
      <c r="H6567" s="60"/>
      <c r="I6567" s="60"/>
      <c r="J6567" s="60"/>
      <c r="K6567" s="60"/>
      <c r="L6567" s="60"/>
      <c r="M6567" s="64"/>
      <c r="N6567" s="33"/>
    </row>
    <row r="6568" ht="24" customHeight="1" spans="2:14">
      <c r="B6568" s="33"/>
      <c r="C6568" s="60"/>
      <c r="D6568" s="60"/>
      <c r="E6568" s="60"/>
      <c r="F6568" s="60"/>
      <c r="G6568" s="60"/>
      <c r="H6568" s="60"/>
      <c r="I6568" s="60"/>
      <c r="J6568" s="60"/>
      <c r="K6568" s="60"/>
      <c r="L6568" s="60"/>
      <c r="M6568" s="64"/>
      <c r="N6568" s="33"/>
    </row>
    <row r="6569" ht="24" customHeight="1" spans="2:14">
      <c r="B6569" s="33"/>
      <c r="C6569" s="60"/>
      <c r="D6569" s="60"/>
      <c r="E6569" s="60"/>
      <c r="F6569" s="60"/>
      <c r="G6569" s="60"/>
      <c r="H6569" s="60"/>
      <c r="I6569" s="60"/>
      <c r="J6569" s="60"/>
      <c r="K6569" s="60"/>
      <c r="L6569" s="60"/>
      <c r="M6569" s="64"/>
      <c r="N6569" s="33"/>
    </row>
    <row r="6570" ht="24" customHeight="1" spans="2:14">
      <c r="B6570" s="33"/>
      <c r="C6570" s="60"/>
      <c r="D6570" s="60"/>
      <c r="E6570" s="60"/>
      <c r="F6570" s="60"/>
      <c r="G6570" s="60"/>
      <c r="H6570" s="60"/>
      <c r="I6570" s="60"/>
      <c r="J6570" s="60"/>
      <c r="K6570" s="60"/>
      <c r="L6570" s="60"/>
      <c r="M6570" s="64"/>
      <c r="N6570" s="33"/>
    </row>
    <row r="6571" ht="24" customHeight="1" spans="2:14">
      <c r="B6571" s="33"/>
      <c r="C6571" s="60"/>
      <c r="D6571" s="60"/>
      <c r="E6571" s="60"/>
      <c r="F6571" s="60"/>
      <c r="G6571" s="60"/>
      <c r="H6571" s="60"/>
      <c r="I6571" s="60"/>
      <c r="J6571" s="60"/>
      <c r="K6571" s="60"/>
      <c r="L6571" s="60"/>
      <c r="M6571" s="64"/>
      <c r="N6571" s="33"/>
    </row>
    <row r="6572" ht="24" customHeight="1" spans="2:14">
      <c r="B6572" s="33"/>
      <c r="C6572" s="60"/>
      <c r="D6572" s="60"/>
      <c r="E6572" s="60"/>
      <c r="F6572" s="60"/>
      <c r="G6572" s="60"/>
      <c r="H6572" s="60"/>
      <c r="I6572" s="60"/>
      <c r="J6572" s="60"/>
      <c r="K6572" s="60"/>
      <c r="L6572" s="60"/>
      <c r="M6572" s="64"/>
      <c r="N6572" s="33"/>
    </row>
    <row r="6573" ht="24" customHeight="1" spans="2:14">
      <c r="B6573" s="33"/>
      <c r="C6573" s="60"/>
      <c r="D6573" s="60"/>
      <c r="E6573" s="60"/>
      <c r="F6573" s="60"/>
      <c r="G6573" s="60"/>
      <c r="H6573" s="60"/>
      <c r="I6573" s="60"/>
      <c r="J6573" s="60"/>
      <c r="K6573" s="60"/>
      <c r="L6573" s="60"/>
      <c r="M6573" s="64"/>
      <c r="N6573" s="33"/>
    </row>
    <row r="6574" ht="24" customHeight="1" spans="2:14">
      <c r="B6574" s="33"/>
      <c r="C6574" s="60"/>
      <c r="D6574" s="60"/>
      <c r="E6574" s="60"/>
      <c r="F6574" s="60"/>
      <c r="G6574" s="60"/>
      <c r="H6574" s="60"/>
      <c r="I6574" s="60"/>
      <c r="J6574" s="60"/>
      <c r="K6574" s="60"/>
      <c r="L6574" s="60"/>
      <c r="M6574" s="64"/>
      <c r="N6574" s="33"/>
    </row>
    <row r="6575" ht="24" customHeight="1" spans="2:14">
      <c r="B6575" s="33"/>
      <c r="C6575" s="60"/>
      <c r="D6575" s="60"/>
      <c r="E6575" s="60"/>
      <c r="F6575" s="60"/>
      <c r="G6575" s="60"/>
      <c r="H6575" s="60"/>
      <c r="I6575" s="60"/>
      <c r="J6575" s="60"/>
      <c r="K6575" s="60"/>
      <c r="L6575" s="60"/>
      <c r="M6575" s="64"/>
      <c r="N6575" s="33"/>
    </row>
    <row r="6576" ht="24" customHeight="1" spans="2:14">
      <c r="B6576" s="33"/>
      <c r="C6576" s="60"/>
      <c r="D6576" s="60"/>
      <c r="E6576" s="60"/>
      <c r="F6576" s="60"/>
      <c r="G6576" s="60"/>
      <c r="H6576" s="60"/>
      <c r="I6576" s="60"/>
      <c r="J6576" s="60"/>
      <c r="K6576" s="60"/>
      <c r="L6576" s="60"/>
      <c r="M6576" s="64"/>
      <c r="N6576" s="33"/>
    </row>
    <row r="6577" ht="24" customHeight="1" spans="2:14">
      <c r="B6577" s="33"/>
      <c r="C6577" s="60"/>
      <c r="D6577" s="60"/>
      <c r="E6577" s="60"/>
      <c r="F6577" s="60"/>
      <c r="G6577" s="60"/>
      <c r="H6577" s="60"/>
      <c r="I6577" s="60"/>
      <c r="J6577" s="60"/>
      <c r="K6577" s="60"/>
      <c r="L6577" s="60"/>
      <c r="M6577" s="64"/>
      <c r="N6577" s="33"/>
    </row>
    <row r="6578" ht="24" customHeight="1" spans="2:14">
      <c r="B6578" s="33"/>
      <c r="C6578" s="60"/>
      <c r="D6578" s="60"/>
      <c r="E6578" s="60"/>
      <c r="F6578" s="60"/>
      <c r="G6578" s="60"/>
      <c r="H6578" s="60"/>
      <c r="I6578" s="60"/>
      <c r="J6578" s="60"/>
      <c r="K6578" s="60"/>
      <c r="L6578" s="60"/>
      <c r="M6578" s="64"/>
      <c r="N6578" s="33"/>
    </row>
    <row r="6579" ht="24" customHeight="1" spans="2:14">
      <c r="B6579" s="33"/>
      <c r="C6579" s="60"/>
      <c r="D6579" s="60"/>
      <c r="E6579" s="60"/>
      <c r="F6579" s="60"/>
      <c r="G6579" s="60"/>
      <c r="H6579" s="60"/>
      <c r="I6579" s="60"/>
      <c r="J6579" s="60"/>
      <c r="K6579" s="60"/>
      <c r="L6579" s="60"/>
      <c r="M6579" s="64"/>
      <c r="N6579" s="33"/>
    </row>
    <row r="6580" ht="24" customHeight="1" spans="2:14">
      <c r="B6580" s="33"/>
      <c r="C6580" s="60"/>
      <c r="D6580" s="60"/>
      <c r="E6580" s="60"/>
      <c r="F6580" s="60"/>
      <c r="G6580" s="60"/>
      <c r="H6580" s="60"/>
      <c r="I6580" s="60"/>
      <c r="J6580" s="60"/>
      <c r="K6580" s="60"/>
      <c r="L6580" s="60"/>
      <c r="M6580" s="64"/>
      <c r="N6580" s="33"/>
    </row>
    <row r="6581" ht="24" customHeight="1" spans="2:14">
      <c r="B6581" s="33"/>
      <c r="C6581" s="60"/>
      <c r="D6581" s="60"/>
      <c r="E6581" s="60"/>
      <c r="F6581" s="60"/>
      <c r="G6581" s="60"/>
      <c r="H6581" s="60"/>
      <c r="I6581" s="60"/>
      <c r="J6581" s="60"/>
      <c r="K6581" s="60"/>
      <c r="L6581" s="60"/>
      <c r="M6581" s="64"/>
      <c r="N6581" s="33"/>
    </row>
    <row r="6582" ht="24" customHeight="1" spans="2:14">
      <c r="B6582" s="33"/>
      <c r="C6582" s="60"/>
      <c r="D6582" s="60"/>
      <c r="E6582" s="60"/>
      <c r="F6582" s="60"/>
      <c r="G6582" s="60"/>
      <c r="H6582" s="60"/>
      <c r="I6582" s="60"/>
      <c r="J6582" s="60"/>
      <c r="K6582" s="60"/>
      <c r="L6582" s="60"/>
      <c r="M6582" s="64"/>
      <c r="N6582" s="33"/>
    </row>
    <row r="6583" ht="24" customHeight="1" spans="2:14">
      <c r="B6583" s="33"/>
      <c r="C6583" s="60"/>
      <c r="D6583" s="60"/>
      <c r="E6583" s="60"/>
      <c r="F6583" s="60"/>
      <c r="G6583" s="60"/>
      <c r="H6583" s="60"/>
      <c r="I6583" s="60"/>
      <c r="J6583" s="60"/>
      <c r="K6583" s="60"/>
      <c r="L6583" s="60"/>
      <c r="M6583" s="64"/>
      <c r="N6583" s="33"/>
    </row>
    <row r="6584" ht="24" customHeight="1" spans="2:14">
      <c r="B6584" s="33"/>
      <c r="C6584" s="60"/>
      <c r="D6584" s="60"/>
      <c r="E6584" s="60"/>
      <c r="F6584" s="60"/>
      <c r="G6584" s="60"/>
      <c r="H6584" s="60"/>
      <c r="I6584" s="60"/>
      <c r="J6584" s="60"/>
      <c r="K6584" s="60"/>
      <c r="L6584" s="60"/>
      <c r="M6584" s="64"/>
      <c r="N6584" s="33"/>
    </row>
    <row r="6585" ht="24" customHeight="1" spans="2:14">
      <c r="B6585" s="33"/>
      <c r="C6585" s="60"/>
      <c r="D6585" s="60"/>
      <c r="E6585" s="60"/>
      <c r="F6585" s="60"/>
      <c r="G6585" s="60"/>
      <c r="H6585" s="60"/>
      <c r="I6585" s="60"/>
      <c r="J6585" s="60"/>
      <c r="K6585" s="60"/>
      <c r="L6585" s="60"/>
      <c r="M6585" s="64"/>
      <c r="N6585" s="33"/>
    </row>
    <row r="6586" ht="24" customHeight="1" spans="2:14">
      <c r="B6586" s="33"/>
      <c r="C6586" s="60"/>
      <c r="D6586" s="60"/>
      <c r="E6586" s="60"/>
      <c r="F6586" s="60"/>
      <c r="G6586" s="60"/>
      <c r="H6586" s="60"/>
      <c r="I6586" s="60"/>
      <c r="J6586" s="60"/>
      <c r="K6586" s="60"/>
      <c r="L6586" s="60"/>
      <c r="M6586" s="64"/>
      <c r="N6586" s="33"/>
    </row>
    <row r="6587" ht="24" customHeight="1" spans="2:14">
      <c r="B6587" s="33"/>
      <c r="C6587" s="60"/>
      <c r="D6587" s="60"/>
      <c r="E6587" s="60"/>
      <c r="F6587" s="60"/>
      <c r="G6587" s="60"/>
      <c r="H6587" s="60"/>
      <c r="I6587" s="60"/>
      <c r="J6587" s="60"/>
      <c r="K6587" s="60"/>
      <c r="L6587" s="60"/>
      <c r="M6587" s="64"/>
      <c r="N6587" s="33"/>
    </row>
    <row r="6588" ht="24" customHeight="1" spans="2:14">
      <c r="B6588" s="33"/>
      <c r="C6588" s="60"/>
      <c r="D6588" s="60"/>
      <c r="E6588" s="60"/>
      <c r="F6588" s="60"/>
      <c r="G6588" s="60"/>
      <c r="H6588" s="60"/>
      <c r="I6588" s="60"/>
      <c r="J6588" s="60"/>
      <c r="K6588" s="60"/>
      <c r="L6588" s="60"/>
      <c r="M6588" s="64"/>
      <c r="N6588" s="33"/>
    </row>
    <row r="6589" ht="24" customHeight="1" spans="2:14">
      <c r="B6589" s="33"/>
      <c r="C6589" s="60"/>
      <c r="D6589" s="60"/>
      <c r="E6589" s="60"/>
      <c r="F6589" s="60"/>
      <c r="G6589" s="60"/>
      <c r="H6589" s="60"/>
      <c r="I6589" s="60"/>
      <c r="J6589" s="60"/>
      <c r="K6589" s="60"/>
      <c r="L6589" s="60"/>
      <c r="M6589" s="64"/>
      <c r="N6589" s="33"/>
    </row>
    <row r="6590" ht="24" customHeight="1" spans="2:14">
      <c r="B6590" s="33"/>
      <c r="C6590" s="60"/>
      <c r="D6590" s="60"/>
      <c r="E6590" s="60"/>
      <c r="F6590" s="60"/>
      <c r="G6590" s="60"/>
      <c r="H6590" s="60"/>
      <c r="I6590" s="60"/>
      <c r="J6590" s="60"/>
      <c r="K6590" s="60"/>
      <c r="L6590" s="60"/>
      <c r="M6590" s="64"/>
      <c r="N6590" s="33"/>
    </row>
    <row r="6591" ht="24" customHeight="1" spans="2:14">
      <c r="B6591" s="33"/>
      <c r="C6591" s="60"/>
      <c r="D6591" s="60"/>
      <c r="E6591" s="60"/>
      <c r="F6591" s="60"/>
      <c r="G6591" s="60"/>
      <c r="H6591" s="60"/>
      <c r="I6591" s="60"/>
      <c r="J6591" s="60"/>
      <c r="K6591" s="60"/>
      <c r="L6591" s="60"/>
      <c r="M6591" s="64"/>
      <c r="N6591" s="33"/>
    </row>
    <row r="6592" ht="24" customHeight="1" spans="2:14">
      <c r="B6592" s="33"/>
      <c r="C6592" s="60"/>
      <c r="D6592" s="60"/>
      <c r="E6592" s="60"/>
      <c r="F6592" s="60"/>
      <c r="G6592" s="60"/>
      <c r="H6592" s="60"/>
      <c r="I6592" s="60"/>
      <c r="J6592" s="60"/>
      <c r="K6592" s="60"/>
      <c r="L6592" s="60"/>
      <c r="M6592" s="64"/>
      <c r="N6592" s="33"/>
    </row>
    <row r="6593" ht="24" customHeight="1" spans="2:14">
      <c r="B6593" s="33"/>
      <c r="C6593" s="60"/>
      <c r="D6593" s="60"/>
      <c r="E6593" s="60"/>
      <c r="F6593" s="60"/>
      <c r="G6593" s="60"/>
      <c r="H6593" s="60"/>
      <c r="I6593" s="60"/>
      <c r="J6593" s="60"/>
      <c r="K6593" s="60"/>
      <c r="L6593" s="60"/>
      <c r="M6593" s="64"/>
      <c r="N6593" s="33"/>
    </row>
    <row r="6594" ht="24" customHeight="1" spans="2:14">
      <c r="B6594" s="33"/>
      <c r="C6594" s="60"/>
      <c r="D6594" s="60"/>
      <c r="E6594" s="60"/>
      <c r="F6594" s="60"/>
      <c r="G6594" s="60"/>
      <c r="H6594" s="60"/>
      <c r="I6594" s="60"/>
      <c r="J6594" s="60"/>
      <c r="K6594" s="60"/>
      <c r="L6594" s="60"/>
      <c r="M6594" s="64"/>
      <c r="N6594" s="33"/>
    </row>
    <row r="6595" ht="24" customHeight="1" spans="2:14">
      <c r="B6595" s="33"/>
      <c r="C6595" s="60"/>
      <c r="D6595" s="60"/>
      <c r="E6595" s="60"/>
      <c r="F6595" s="60"/>
      <c r="G6595" s="60"/>
      <c r="H6595" s="60"/>
      <c r="I6595" s="60"/>
      <c r="J6595" s="60"/>
      <c r="K6595" s="60"/>
      <c r="L6595" s="60"/>
      <c r="M6595" s="64"/>
      <c r="N6595" s="33"/>
    </row>
    <row r="6596" ht="24" customHeight="1" spans="2:14">
      <c r="B6596" s="33"/>
      <c r="C6596" s="60"/>
      <c r="D6596" s="60"/>
      <c r="E6596" s="60"/>
      <c r="F6596" s="60"/>
      <c r="G6596" s="60"/>
      <c r="H6596" s="60"/>
      <c r="I6596" s="60"/>
      <c r="J6596" s="60"/>
      <c r="K6596" s="60"/>
      <c r="L6596" s="60"/>
      <c r="M6596" s="64"/>
      <c r="N6596" s="33"/>
    </row>
    <row r="6597" ht="24" customHeight="1" spans="2:14">
      <c r="B6597" s="33"/>
      <c r="C6597" s="60"/>
      <c r="D6597" s="60"/>
      <c r="E6597" s="60"/>
      <c r="F6597" s="60"/>
      <c r="G6597" s="60"/>
      <c r="H6597" s="60"/>
      <c r="I6597" s="60"/>
      <c r="J6597" s="60"/>
      <c r="K6597" s="60"/>
      <c r="L6597" s="60"/>
      <c r="M6597" s="64"/>
      <c r="N6597" s="33"/>
    </row>
    <row r="6598" ht="24" customHeight="1" spans="2:14">
      <c r="B6598" s="33"/>
      <c r="C6598" s="60"/>
      <c r="D6598" s="60"/>
      <c r="E6598" s="60"/>
      <c r="F6598" s="60"/>
      <c r="G6598" s="60"/>
      <c r="H6598" s="60"/>
      <c r="I6598" s="60"/>
      <c r="J6598" s="60"/>
      <c r="K6598" s="60"/>
      <c r="L6598" s="60"/>
      <c r="M6598" s="64"/>
      <c r="N6598" s="33"/>
    </row>
    <row r="6599" ht="24" customHeight="1" spans="2:14">
      <c r="B6599" s="33"/>
      <c r="C6599" s="60"/>
      <c r="D6599" s="60"/>
      <c r="E6599" s="60"/>
      <c r="F6599" s="60"/>
      <c r="G6599" s="60"/>
      <c r="H6599" s="60"/>
      <c r="I6599" s="60"/>
      <c r="J6599" s="60"/>
      <c r="K6599" s="60"/>
      <c r="L6599" s="60"/>
      <c r="M6599" s="64"/>
      <c r="N6599" s="33"/>
    </row>
    <row r="6600" ht="24" customHeight="1" spans="2:14">
      <c r="B6600" s="33"/>
      <c r="C6600" s="60"/>
      <c r="D6600" s="60"/>
      <c r="E6600" s="60"/>
      <c r="F6600" s="60"/>
      <c r="G6600" s="60"/>
      <c r="H6600" s="60"/>
      <c r="I6600" s="60"/>
      <c r="J6600" s="60"/>
      <c r="K6600" s="60"/>
      <c r="L6600" s="60"/>
      <c r="M6600" s="64"/>
      <c r="N6600" s="33"/>
    </row>
    <row r="6601" ht="24" customHeight="1" spans="2:14">
      <c r="B6601" s="33"/>
      <c r="C6601" s="60"/>
      <c r="D6601" s="60"/>
      <c r="E6601" s="60"/>
      <c r="F6601" s="60"/>
      <c r="G6601" s="60"/>
      <c r="H6601" s="60"/>
      <c r="I6601" s="60"/>
      <c r="J6601" s="60"/>
      <c r="K6601" s="60"/>
      <c r="L6601" s="60"/>
      <c r="M6601" s="64"/>
      <c r="N6601" s="33"/>
    </row>
    <row r="6602" ht="24" customHeight="1" spans="2:14">
      <c r="B6602" s="33"/>
      <c r="C6602" s="60"/>
      <c r="D6602" s="60"/>
      <c r="E6602" s="60"/>
      <c r="F6602" s="60"/>
      <c r="G6602" s="60"/>
      <c r="H6602" s="60"/>
      <c r="I6602" s="60"/>
      <c r="J6602" s="60"/>
      <c r="K6602" s="60"/>
      <c r="L6602" s="60"/>
      <c r="M6602" s="64"/>
      <c r="N6602" s="33"/>
    </row>
    <row r="6603" ht="24" customHeight="1" spans="2:14">
      <c r="B6603" s="33"/>
      <c r="C6603" s="60"/>
      <c r="D6603" s="60"/>
      <c r="E6603" s="60"/>
      <c r="F6603" s="60"/>
      <c r="G6603" s="60"/>
      <c r="H6603" s="60"/>
      <c r="I6603" s="60"/>
      <c r="J6603" s="60"/>
      <c r="K6603" s="60"/>
      <c r="L6603" s="60"/>
      <c r="M6603" s="64"/>
      <c r="N6603" s="33"/>
    </row>
    <row r="6604" ht="24" customHeight="1" spans="2:14">
      <c r="B6604" s="33"/>
      <c r="C6604" s="60"/>
      <c r="D6604" s="60"/>
      <c r="E6604" s="60"/>
      <c r="F6604" s="60"/>
      <c r="G6604" s="60"/>
      <c r="H6604" s="60"/>
      <c r="I6604" s="60"/>
      <c r="J6604" s="60"/>
      <c r="K6604" s="60"/>
      <c r="L6604" s="60"/>
      <c r="M6604" s="64"/>
      <c r="N6604" s="33"/>
    </row>
    <row r="6605" ht="24" customHeight="1" spans="2:14">
      <c r="B6605" s="33"/>
      <c r="C6605" s="60"/>
      <c r="D6605" s="60"/>
      <c r="E6605" s="60"/>
      <c r="F6605" s="60"/>
      <c r="G6605" s="60"/>
      <c r="H6605" s="60"/>
      <c r="I6605" s="60"/>
      <c r="J6605" s="60"/>
      <c r="K6605" s="60"/>
      <c r="L6605" s="60"/>
      <c r="M6605" s="64"/>
      <c r="N6605" s="33"/>
    </row>
    <row r="6606" ht="24" customHeight="1" spans="2:14">
      <c r="B6606" s="33"/>
      <c r="C6606" s="60"/>
      <c r="D6606" s="60"/>
      <c r="E6606" s="60"/>
      <c r="F6606" s="60"/>
      <c r="G6606" s="60"/>
      <c r="H6606" s="60"/>
      <c r="I6606" s="60"/>
      <c r="J6606" s="60"/>
      <c r="K6606" s="60"/>
      <c r="L6606" s="60"/>
      <c r="M6606" s="64"/>
      <c r="N6606" s="33"/>
    </row>
    <row r="6607" ht="24" customHeight="1" spans="2:14">
      <c r="B6607" s="33"/>
      <c r="C6607" s="60"/>
      <c r="D6607" s="60"/>
      <c r="E6607" s="60"/>
      <c r="F6607" s="60"/>
      <c r="G6607" s="60"/>
      <c r="H6607" s="60"/>
      <c r="I6607" s="60"/>
      <c r="J6607" s="60"/>
      <c r="K6607" s="60"/>
      <c r="L6607" s="60"/>
      <c r="M6607" s="64"/>
      <c r="N6607" s="33"/>
    </row>
    <row r="6608" ht="24" customHeight="1" spans="2:14">
      <c r="B6608" s="33"/>
      <c r="C6608" s="60"/>
      <c r="D6608" s="60"/>
      <c r="E6608" s="60"/>
      <c r="F6608" s="60"/>
      <c r="G6608" s="60"/>
      <c r="H6608" s="60"/>
      <c r="I6608" s="60"/>
      <c r="J6608" s="60"/>
      <c r="K6608" s="60"/>
      <c r="L6608" s="60"/>
      <c r="M6608" s="64"/>
      <c r="N6608" s="33"/>
    </row>
    <row r="6609" ht="24" customHeight="1" spans="2:14">
      <c r="B6609" s="33"/>
      <c r="C6609" s="60"/>
      <c r="D6609" s="60"/>
      <c r="E6609" s="60"/>
      <c r="F6609" s="60"/>
      <c r="G6609" s="60"/>
      <c r="H6609" s="60"/>
      <c r="I6609" s="60"/>
      <c r="J6609" s="60"/>
      <c r="K6609" s="60"/>
      <c r="L6609" s="60"/>
      <c r="M6609" s="64"/>
      <c r="N6609" s="33"/>
    </row>
    <row r="6610" ht="24" customHeight="1" spans="2:14">
      <c r="B6610" s="33"/>
      <c r="C6610" s="60"/>
      <c r="D6610" s="60"/>
      <c r="E6610" s="60"/>
      <c r="F6610" s="60"/>
      <c r="G6610" s="60"/>
      <c r="H6610" s="60"/>
      <c r="I6610" s="60"/>
      <c r="J6610" s="60"/>
      <c r="K6610" s="60"/>
      <c r="L6610" s="60"/>
      <c r="M6610" s="64"/>
      <c r="N6610" s="33"/>
    </row>
    <row r="6611" ht="24" customHeight="1" spans="2:14">
      <c r="B6611" s="33"/>
      <c r="C6611" s="60"/>
      <c r="D6611" s="60"/>
      <c r="E6611" s="60"/>
      <c r="F6611" s="60"/>
      <c r="G6611" s="60"/>
      <c r="H6611" s="60"/>
      <c r="I6611" s="60"/>
      <c r="J6611" s="60"/>
      <c r="K6611" s="60"/>
      <c r="L6611" s="60"/>
      <c r="M6611" s="64"/>
      <c r="N6611" s="33"/>
    </row>
    <row r="6612" ht="24" customHeight="1" spans="2:14">
      <c r="B6612" s="33"/>
      <c r="C6612" s="60"/>
      <c r="D6612" s="60"/>
      <c r="E6612" s="60"/>
      <c r="F6612" s="60"/>
      <c r="G6612" s="60"/>
      <c r="H6612" s="60"/>
      <c r="I6612" s="60"/>
      <c r="J6612" s="60"/>
      <c r="K6612" s="60"/>
      <c r="L6612" s="60"/>
      <c r="M6612" s="64"/>
      <c r="N6612" s="33"/>
    </row>
    <row r="6613" ht="24" customHeight="1" spans="2:14">
      <c r="B6613" s="33"/>
      <c r="C6613" s="60"/>
      <c r="D6613" s="60"/>
      <c r="E6613" s="60"/>
      <c r="F6613" s="60"/>
      <c r="G6613" s="60"/>
      <c r="H6613" s="60"/>
      <c r="I6613" s="60"/>
      <c r="J6613" s="60"/>
      <c r="K6613" s="60"/>
      <c r="L6613" s="60"/>
      <c r="M6613" s="64"/>
      <c r="N6613" s="33"/>
    </row>
    <row r="6614" ht="24" customHeight="1" spans="2:14">
      <c r="B6614" s="33"/>
      <c r="C6614" s="60"/>
      <c r="D6614" s="60"/>
      <c r="E6614" s="60"/>
      <c r="F6614" s="60"/>
      <c r="G6614" s="60"/>
      <c r="H6614" s="60"/>
      <c r="I6614" s="60"/>
      <c r="J6614" s="60"/>
      <c r="K6614" s="60"/>
      <c r="L6614" s="60"/>
      <c r="M6614" s="64"/>
      <c r="N6614" s="33"/>
    </row>
    <row r="6615" ht="24" customHeight="1" spans="2:14">
      <c r="B6615" s="33"/>
      <c r="C6615" s="60"/>
      <c r="D6615" s="60"/>
      <c r="E6615" s="60"/>
      <c r="F6615" s="60"/>
      <c r="G6615" s="60"/>
      <c r="H6615" s="60"/>
      <c r="I6615" s="60"/>
      <c r="J6615" s="60"/>
      <c r="K6615" s="60"/>
      <c r="L6615" s="60"/>
      <c r="M6615" s="64"/>
      <c r="N6615" s="33"/>
    </row>
    <row r="6616" ht="24" customHeight="1" spans="2:14">
      <c r="B6616" s="33"/>
      <c r="C6616" s="60"/>
      <c r="D6616" s="60"/>
      <c r="E6616" s="60"/>
      <c r="F6616" s="60"/>
      <c r="G6616" s="60"/>
      <c r="H6616" s="60"/>
      <c r="I6616" s="60"/>
      <c r="J6616" s="60"/>
      <c r="K6616" s="60"/>
      <c r="L6616" s="60"/>
      <c r="M6616" s="64"/>
      <c r="N6616" s="33"/>
    </row>
    <row r="6617" ht="24" customHeight="1" spans="2:14">
      <c r="B6617" s="33"/>
      <c r="C6617" s="60"/>
      <c r="D6617" s="60"/>
      <c r="E6617" s="60"/>
      <c r="F6617" s="60"/>
      <c r="G6617" s="60"/>
      <c r="H6617" s="60"/>
      <c r="I6617" s="60"/>
      <c r="J6617" s="60"/>
      <c r="K6617" s="60"/>
      <c r="L6617" s="60"/>
      <c r="M6617" s="64"/>
      <c r="N6617" s="33"/>
    </row>
    <row r="6618" ht="24" customHeight="1" spans="2:14">
      <c r="B6618" s="33"/>
      <c r="C6618" s="60"/>
      <c r="D6618" s="60"/>
      <c r="E6618" s="60"/>
      <c r="F6618" s="60"/>
      <c r="G6618" s="60"/>
      <c r="H6618" s="60"/>
      <c r="I6618" s="60"/>
      <c r="J6618" s="60"/>
      <c r="K6618" s="60"/>
      <c r="L6618" s="60"/>
      <c r="M6618" s="64"/>
      <c r="N6618" s="33"/>
    </row>
    <row r="6619" ht="24" customHeight="1" spans="2:14">
      <c r="B6619" s="33"/>
      <c r="C6619" s="60"/>
      <c r="D6619" s="60"/>
      <c r="E6619" s="60"/>
      <c r="F6619" s="60"/>
      <c r="G6619" s="60"/>
      <c r="H6619" s="60"/>
      <c r="I6619" s="60"/>
      <c r="J6619" s="60"/>
      <c r="K6619" s="60"/>
      <c r="L6619" s="60"/>
      <c r="M6619" s="64"/>
      <c r="N6619" s="33"/>
    </row>
    <row r="6620" ht="24" customHeight="1" spans="2:14">
      <c r="B6620" s="33"/>
      <c r="C6620" s="60"/>
      <c r="D6620" s="60"/>
      <c r="E6620" s="60"/>
      <c r="F6620" s="60"/>
      <c r="G6620" s="60"/>
      <c r="H6620" s="60"/>
      <c r="I6620" s="60"/>
      <c r="J6620" s="60"/>
      <c r="K6620" s="60"/>
      <c r="L6620" s="60"/>
      <c r="M6620" s="64"/>
      <c r="N6620" s="33"/>
    </row>
    <row r="6621" ht="24" customHeight="1" spans="2:14">
      <c r="B6621" s="33"/>
      <c r="C6621" s="60"/>
      <c r="D6621" s="60"/>
      <c r="E6621" s="60"/>
      <c r="F6621" s="60"/>
      <c r="G6621" s="60"/>
      <c r="H6621" s="60"/>
      <c r="I6621" s="60"/>
      <c r="J6621" s="60"/>
      <c r="K6621" s="60"/>
      <c r="L6621" s="60"/>
      <c r="M6621" s="64"/>
      <c r="N6621" s="33"/>
    </row>
    <row r="6622" ht="24" customHeight="1" spans="2:14">
      <c r="B6622" s="33"/>
      <c r="C6622" s="60"/>
      <c r="D6622" s="60"/>
      <c r="E6622" s="60"/>
      <c r="F6622" s="60"/>
      <c r="G6622" s="60"/>
      <c r="H6622" s="60"/>
      <c r="I6622" s="60"/>
      <c r="J6622" s="60"/>
      <c r="K6622" s="60"/>
      <c r="L6622" s="60"/>
      <c r="M6622" s="64"/>
      <c r="N6622" s="33"/>
    </row>
    <row r="6623" ht="24" customHeight="1" spans="2:14">
      <c r="B6623" s="33"/>
      <c r="C6623" s="60"/>
      <c r="D6623" s="60"/>
      <c r="E6623" s="60"/>
      <c r="F6623" s="60"/>
      <c r="G6623" s="60"/>
      <c r="H6623" s="60"/>
      <c r="I6623" s="60"/>
      <c r="J6623" s="60"/>
      <c r="K6623" s="60"/>
      <c r="L6623" s="60"/>
      <c r="M6623" s="64"/>
      <c r="N6623" s="33"/>
    </row>
    <row r="6624" ht="24" customHeight="1" spans="2:14">
      <c r="B6624" s="33"/>
      <c r="C6624" s="60"/>
      <c r="D6624" s="60"/>
      <c r="E6624" s="60"/>
      <c r="F6624" s="60"/>
      <c r="G6624" s="60"/>
      <c r="H6624" s="60"/>
      <c r="I6624" s="60"/>
      <c r="J6624" s="60"/>
      <c r="K6624" s="60"/>
      <c r="L6624" s="60"/>
      <c r="M6624" s="64"/>
      <c r="N6624" s="33"/>
    </row>
    <row r="6625" ht="24" customHeight="1" spans="2:14">
      <c r="B6625" s="33"/>
      <c r="C6625" s="60"/>
      <c r="D6625" s="60"/>
      <c r="E6625" s="60"/>
      <c r="F6625" s="60"/>
      <c r="G6625" s="60"/>
      <c r="H6625" s="60"/>
      <c r="I6625" s="60"/>
      <c r="J6625" s="60"/>
      <c r="K6625" s="60"/>
      <c r="L6625" s="60"/>
      <c r="M6625" s="64"/>
      <c r="N6625" s="33"/>
    </row>
    <row r="6626" ht="24" customHeight="1" spans="2:14">
      <c r="B6626" s="33"/>
      <c r="C6626" s="60"/>
      <c r="D6626" s="60"/>
      <c r="E6626" s="60"/>
      <c r="F6626" s="60"/>
      <c r="G6626" s="60"/>
      <c r="H6626" s="60"/>
      <c r="I6626" s="60"/>
      <c r="J6626" s="60"/>
      <c r="K6626" s="60"/>
      <c r="L6626" s="60"/>
      <c r="M6626" s="64"/>
      <c r="N6626" s="33"/>
    </row>
    <row r="6627" ht="24" customHeight="1" spans="2:14">
      <c r="B6627" s="33"/>
      <c r="C6627" s="60"/>
      <c r="D6627" s="60"/>
      <c r="E6627" s="60"/>
      <c r="F6627" s="60"/>
      <c r="G6627" s="60"/>
      <c r="H6627" s="60"/>
      <c r="I6627" s="60"/>
      <c r="J6627" s="60"/>
      <c r="K6627" s="60"/>
      <c r="L6627" s="60"/>
      <c r="M6627" s="64"/>
      <c r="N6627" s="33"/>
    </row>
    <row r="6628" ht="24" customHeight="1" spans="2:14">
      <c r="B6628" s="33"/>
      <c r="C6628" s="60"/>
      <c r="D6628" s="60"/>
      <c r="E6628" s="60"/>
      <c r="F6628" s="60"/>
      <c r="G6628" s="60"/>
      <c r="H6628" s="60"/>
      <c r="I6628" s="60"/>
      <c r="J6628" s="60"/>
      <c r="K6628" s="60"/>
      <c r="L6628" s="60"/>
      <c r="M6628" s="64"/>
      <c r="N6628" s="33"/>
    </row>
    <row r="6629" ht="24" customHeight="1" spans="2:14">
      <c r="B6629" s="33"/>
      <c r="C6629" s="60"/>
      <c r="D6629" s="60"/>
      <c r="E6629" s="60"/>
      <c r="F6629" s="60"/>
      <c r="G6629" s="60"/>
      <c r="H6629" s="60"/>
      <c r="I6629" s="60"/>
      <c r="J6629" s="60"/>
      <c r="K6629" s="60"/>
      <c r="L6629" s="60"/>
      <c r="M6629" s="64"/>
      <c r="N6629" s="33"/>
    </row>
    <row r="6630" ht="24" customHeight="1" spans="2:14">
      <c r="B6630" s="33"/>
      <c r="C6630" s="60"/>
      <c r="D6630" s="60"/>
      <c r="E6630" s="60"/>
      <c r="F6630" s="60"/>
      <c r="G6630" s="60"/>
      <c r="H6630" s="60"/>
      <c r="I6630" s="60"/>
      <c r="J6630" s="60"/>
      <c r="K6630" s="60"/>
      <c r="L6630" s="60"/>
      <c r="M6630" s="64"/>
      <c r="N6630" s="33"/>
    </row>
    <row r="6631" ht="24" customHeight="1" spans="2:14">
      <c r="B6631" s="33"/>
      <c r="C6631" s="60"/>
      <c r="D6631" s="60"/>
      <c r="E6631" s="60"/>
      <c r="F6631" s="60"/>
      <c r="G6631" s="60"/>
      <c r="H6631" s="60"/>
      <c r="I6631" s="60"/>
      <c r="J6631" s="60"/>
      <c r="K6631" s="60"/>
      <c r="L6631" s="60"/>
      <c r="M6631" s="64"/>
      <c r="N6631" s="33"/>
    </row>
    <row r="6632" ht="24" customHeight="1" spans="2:14">
      <c r="B6632" s="33"/>
      <c r="C6632" s="60"/>
      <c r="D6632" s="60"/>
      <c r="E6632" s="60"/>
      <c r="F6632" s="60"/>
      <c r="G6632" s="60"/>
      <c r="H6632" s="60"/>
      <c r="I6632" s="60"/>
      <c r="J6632" s="60"/>
      <c r="K6632" s="60"/>
      <c r="L6632" s="60"/>
      <c r="M6632" s="64"/>
      <c r="N6632" s="33"/>
    </row>
    <row r="6633" ht="24" customHeight="1" spans="2:14">
      <c r="B6633" s="33"/>
      <c r="C6633" s="60"/>
      <c r="D6633" s="60"/>
      <c r="E6633" s="60"/>
      <c r="F6633" s="60"/>
      <c r="G6633" s="60"/>
      <c r="H6633" s="60"/>
      <c r="I6633" s="60"/>
      <c r="J6633" s="60"/>
      <c r="K6633" s="60"/>
      <c r="L6633" s="60"/>
      <c r="M6633" s="64"/>
      <c r="N6633" s="33"/>
    </row>
    <row r="6634" ht="24" customHeight="1" spans="2:14">
      <c r="B6634" s="33"/>
      <c r="C6634" s="60"/>
      <c r="D6634" s="60"/>
      <c r="E6634" s="60"/>
      <c r="F6634" s="60"/>
      <c r="G6634" s="60"/>
      <c r="H6634" s="60"/>
      <c r="I6634" s="60"/>
      <c r="J6634" s="60"/>
      <c r="K6634" s="60"/>
      <c r="L6634" s="60"/>
      <c r="M6634" s="64"/>
      <c r="N6634" s="33"/>
    </row>
    <row r="6635" ht="24" customHeight="1" spans="2:14">
      <c r="B6635" s="33"/>
      <c r="C6635" s="60"/>
      <c r="D6635" s="60"/>
      <c r="E6635" s="60"/>
      <c r="F6635" s="60"/>
      <c r="G6635" s="60"/>
      <c r="H6635" s="60"/>
      <c r="I6635" s="60"/>
      <c r="J6635" s="60"/>
      <c r="K6635" s="60"/>
      <c r="L6635" s="60"/>
      <c r="M6635" s="64"/>
      <c r="N6635" s="33"/>
    </row>
    <row r="6636" ht="24" customHeight="1" spans="2:14">
      <c r="B6636" s="33"/>
      <c r="C6636" s="60"/>
      <c r="D6636" s="60"/>
      <c r="E6636" s="60"/>
      <c r="F6636" s="60"/>
      <c r="G6636" s="60"/>
      <c r="H6636" s="60"/>
      <c r="I6636" s="60"/>
      <c r="J6636" s="60"/>
      <c r="K6636" s="60"/>
      <c r="L6636" s="60"/>
      <c r="M6636" s="64"/>
      <c r="N6636" s="33"/>
    </row>
    <row r="6637" ht="24" customHeight="1" spans="2:14">
      <c r="B6637" s="33"/>
      <c r="C6637" s="60"/>
      <c r="D6637" s="60"/>
      <c r="E6637" s="60"/>
      <c r="F6637" s="60"/>
      <c r="G6637" s="60"/>
      <c r="H6637" s="60"/>
      <c r="I6637" s="60"/>
      <c r="J6637" s="60"/>
      <c r="K6637" s="60"/>
      <c r="L6637" s="60"/>
      <c r="M6637" s="64"/>
      <c r="N6637" s="33"/>
    </row>
    <row r="6638" ht="24" customHeight="1" spans="2:14">
      <c r="B6638" s="33"/>
      <c r="C6638" s="60"/>
      <c r="D6638" s="60"/>
      <c r="E6638" s="60"/>
      <c r="F6638" s="60"/>
      <c r="G6638" s="60"/>
      <c r="H6638" s="60"/>
      <c r="I6638" s="60"/>
      <c r="J6638" s="60"/>
      <c r="K6638" s="60"/>
      <c r="L6638" s="60"/>
      <c r="M6638" s="64"/>
      <c r="N6638" s="33"/>
    </row>
    <row r="6639" ht="24" customHeight="1" spans="2:14">
      <c r="B6639" s="33"/>
      <c r="C6639" s="60"/>
      <c r="D6639" s="60"/>
      <c r="E6639" s="60"/>
      <c r="F6639" s="60"/>
      <c r="G6639" s="60"/>
      <c r="H6639" s="60"/>
      <c r="I6639" s="60"/>
      <c r="J6639" s="60"/>
      <c r="K6639" s="60"/>
      <c r="L6639" s="60"/>
      <c r="M6639" s="64"/>
      <c r="N6639" s="33"/>
    </row>
    <row r="6640" ht="24" customHeight="1" spans="2:14">
      <c r="B6640" s="33"/>
      <c r="C6640" s="60"/>
      <c r="D6640" s="60"/>
      <c r="E6640" s="60"/>
      <c r="F6640" s="60"/>
      <c r="G6640" s="60"/>
      <c r="H6640" s="60"/>
      <c r="I6640" s="60"/>
      <c r="J6640" s="60"/>
      <c r="K6640" s="60"/>
      <c r="L6640" s="60"/>
      <c r="M6640" s="64"/>
      <c r="N6640" s="33"/>
    </row>
    <row r="6641" ht="24" customHeight="1" spans="2:14">
      <c r="B6641" s="33"/>
      <c r="C6641" s="60"/>
      <c r="D6641" s="60"/>
      <c r="E6641" s="60"/>
      <c r="F6641" s="60"/>
      <c r="G6641" s="60"/>
      <c r="H6641" s="60"/>
      <c r="I6641" s="60"/>
      <c r="J6641" s="60"/>
      <c r="K6641" s="60"/>
      <c r="L6641" s="60"/>
      <c r="M6641" s="64"/>
      <c r="N6641" s="33"/>
    </row>
    <row r="6642" ht="24" customHeight="1" spans="2:14">
      <c r="B6642" s="33"/>
      <c r="C6642" s="60"/>
      <c r="D6642" s="60"/>
      <c r="E6642" s="60"/>
      <c r="F6642" s="60"/>
      <c r="G6642" s="60"/>
      <c r="H6642" s="60"/>
      <c r="I6642" s="60"/>
      <c r="J6642" s="60"/>
      <c r="K6642" s="60"/>
      <c r="L6642" s="60"/>
      <c r="M6642" s="64"/>
      <c r="N6642" s="33"/>
    </row>
    <row r="6643" ht="24" customHeight="1" spans="2:14">
      <c r="B6643" s="33"/>
      <c r="C6643" s="60"/>
      <c r="D6643" s="60"/>
      <c r="E6643" s="60"/>
      <c r="F6643" s="60"/>
      <c r="G6643" s="60"/>
      <c r="H6643" s="60"/>
      <c r="I6643" s="60"/>
      <c r="J6643" s="60"/>
      <c r="K6643" s="60"/>
      <c r="L6643" s="60"/>
      <c r="M6643" s="64"/>
      <c r="N6643" s="33"/>
    </row>
    <row r="6644" ht="24" customHeight="1" spans="2:14">
      <c r="B6644" s="33"/>
      <c r="C6644" s="60"/>
      <c r="D6644" s="60"/>
      <c r="E6644" s="60"/>
      <c r="F6644" s="60"/>
      <c r="G6644" s="60"/>
      <c r="H6644" s="60"/>
      <c r="I6644" s="60"/>
      <c r="J6644" s="60"/>
      <c r="K6644" s="60"/>
      <c r="L6644" s="60"/>
      <c r="M6644" s="64"/>
      <c r="N6644" s="33"/>
    </row>
    <row r="6645" ht="24" customHeight="1" spans="2:14">
      <c r="B6645" s="33"/>
      <c r="C6645" s="60"/>
      <c r="D6645" s="60"/>
      <c r="E6645" s="60"/>
      <c r="F6645" s="60"/>
      <c r="G6645" s="60"/>
      <c r="H6645" s="60"/>
      <c r="I6645" s="60"/>
      <c r="J6645" s="60"/>
      <c r="K6645" s="60"/>
      <c r="L6645" s="60"/>
      <c r="M6645" s="64"/>
      <c r="N6645" s="33"/>
    </row>
    <row r="6646" ht="24" customHeight="1" spans="2:14">
      <c r="B6646" s="33"/>
      <c r="C6646" s="60"/>
      <c r="D6646" s="60"/>
      <c r="E6646" s="60"/>
      <c r="F6646" s="60"/>
      <c r="G6646" s="60"/>
      <c r="H6646" s="60"/>
      <c r="I6646" s="60"/>
      <c r="J6646" s="60"/>
      <c r="K6646" s="60"/>
      <c r="L6646" s="60"/>
      <c r="M6646" s="64"/>
      <c r="N6646" s="33"/>
    </row>
    <row r="6647" ht="24" customHeight="1" spans="2:14">
      <c r="B6647" s="33"/>
      <c r="C6647" s="60"/>
      <c r="D6647" s="60"/>
      <c r="E6647" s="60"/>
      <c r="F6647" s="60"/>
      <c r="G6647" s="60"/>
      <c r="H6647" s="60"/>
      <c r="I6647" s="60"/>
      <c r="J6647" s="60"/>
      <c r="K6647" s="60"/>
      <c r="L6647" s="60"/>
      <c r="M6647" s="64"/>
      <c r="N6647" s="33"/>
    </row>
    <row r="6648" ht="24" customHeight="1" spans="2:14">
      <c r="B6648" s="33"/>
      <c r="C6648" s="60"/>
      <c r="D6648" s="60"/>
      <c r="E6648" s="60"/>
      <c r="F6648" s="60"/>
      <c r="G6648" s="60"/>
      <c r="H6648" s="60"/>
      <c r="I6648" s="60"/>
      <c r="J6648" s="60"/>
      <c r="K6648" s="60"/>
      <c r="L6648" s="60"/>
      <c r="M6648" s="64"/>
      <c r="N6648" s="33"/>
    </row>
    <row r="6649" ht="24" customHeight="1" spans="2:14">
      <c r="B6649" s="33"/>
      <c r="C6649" s="60"/>
      <c r="D6649" s="60"/>
      <c r="E6649" s="60"/>
      <c r="F6649" s="60"/>
      <c r="G6649" s="60"/>
      <c r="H6649" s="60"/>
      <c r="I6649" s="60"/>
      <c r="J6649" s="60"/>
      <c r="K6649" s="60"/>
      <c r="L6649" s="60"/>
      <c r="M6649" s="64"/>
      <c r="N6649" s="33"/>
    </row>
    <row r="6650" ht="24" customHeight="1" spans="2:14">
      <c r="B6650" s="33"/>
      <c r="C6650" s="60"/>
      <c r="D6650" s="60"/>
      <c r="E6650" s="60"/>
      <c r="F6650" s="60"/>
      <c r="G6650" s="60"/>
      <c r="H6650" s="60"/>
      <c r="I6650" s="60"/>
      <c r="J6650" s="60"/>
      <c r="K6650" s="60"/>
      <c r="L6650" s="60"/>
      <c r="M6650" s="64"/>
      <c r="N6650" s="33"/>
    </row>
    <row r="6651" ht="24" customHeight="1" spans="2:14">
      <c r="B6651" s="33"/>
      <c r="C6651" s="60"/>
      <c r="D6651" s="60"/>
      <c r="E6651" s="60"/>
      <c r="F6651" s="60"/>
      <c r="G6651" s="60"/>
      <c r="H6651" s="60"/>
      <c r="I6651" s="60"/>
      <c r="J6651" s="60"/>
      <c r="K6651" s="60"/>
      <c r="L6651" s="60"/>
      <c r="M6651" s="64"/>
      <c r="N6651" s="33"/>
    </row>
    <row r="6652" ht="24" customHeight="1" spans="2:14">
      <c r="B6652" s="33"/>
      <c r="C6652" s="60"/>
      <c r="D6652" s="60"/>
      <c r="E6652" s="60"/>
      <c r="F6652" s="60"/>
      <c r="G6652" s="60"/>
      <c r="H6652" s="60"/>
      <c r="I6652" s="60"/>
      <c r="J6652" s="60"/>
      <c r="K6652" s="60"/>
      <c r="L6652" s="60"/>
      <c r="M6652" s="64"/>
      <c r="N6652" s="33"/>
    </row>
    <row r="6653" ht="24" customHeight="1" spans="2:14">
      <c r="B6653" s="33"/>
      <c r="C6653" s="60"/>
      <c r="D6653" s="60"/>
      <c r="E6653" s="60"/>
      <c r="F6653" s="60"/>
      <c r="G6653" s="60"/>
      <c r="H6653" s="60"/>
      <c r="I6653" s="60"/>
      <c r="J6653" s="60"/>
      <c r="K6653" s="60"/>
      <c r="L6653" s="60"/>
      <c r="M6653" s="64"/>
      <c r="N6653" s="33"/>
    </row>
    <row r="6654" ht="24" customHeight="1" spans="2:14">
      <c r="B6654" s="33"/>
      <c r="C6654" s="60"/>
      <c r="D6654" s="60"/>
      <c r="E6654" s="60"/>
      <c r="F6654" s="60"/>
      <c r="G6654" s="60"/>
      <c r="H6654" s="60"/>
      <c r="I6654" s="60"/>
      <c r="J6654" s="60"/>
      <c r="K6654" s="60"/>
      <c r="L6654" s="60"/>
      <c r="M6654" s="64"/>
      <c r="N6654" s="33"/>
    </row>
    <row r="6655" ht="24" customHeight="1" spans="2:14">
      <c r="B6655" s="33"/>
      <c r="C6655" s="60"/>
      <c r="D6655" s="60"/>
      <c r="E6655" s="60"/>
      <c r="F6655" s="60"/>
      <c r="G6655" s="60"/>
      <c r="H6655" s="60"/>
      <c r="I6655" s="60"/>
      <c r="J6655" s="60"/>
      <c r="K6655" s="60"/>
      <c r="L6655" s="60"/>
      <c r="M6655" s="64"/>
      <c r="N6655" s="33"/>
    </row>
    <row r="6656" ht="24" customHeight="1" spans="2:14">
      <c r="B6656" s="33"/>
      <c r="C6656" s="60"/>
      <c r="D6656" s="60"/>
      <c r="E6656" s="60"/>
      <c r="F6656" s="60"/>
      <c r="G6656" s="60"/>
      <c r="H6656" s="60"/>
      <c r="I6656" s="60"/>
      <c r="J6656" s="60"/>
      <c r="K6656" s="60"/>
      <c r="L6656" s="60"/>
      <c r="M6656" s="64"/>
      <c r="N6656" s="33"/>
    </row>
    <row r="6657" ht="24" customHeight="1" spans="2:14">
      <c r="B6657" s="33"/>
      <c r="C6657" s="60"/>
      <c r="D6657" s="60"/>
      <c r="E6657" s="60"/>
      <c r="F6657" s="60"/>
      <c r="G6657" s="60"/>
      <c r="H6657" s="60"/>
      <c r="I6657" s="60"/>
      <c r="J6657" s="60"/>
      <c r="K6657" s="60"/>
      <c r="L6657" s="60"/>
      <c r="M6657" s="64"/>
      <c r="N6657" s="33"/>
    </row>
    <row r="6658" ht="24" customHeight="1" spans="2:14">
      <c r="B6658" s="33"/>
      <c r="C6658" s="60"/>
      <c r="D6658" s="60"/>
      <c r="E6658" s="60"/>
      <c r="F6658" s="60"/>
      <c r="G6658" s="60"/>
      <c r="H6658" s="60"/>
      <c r="I6658" s="60"/>
      <c r="J6658" s="60"/>
      <c r="K6658" s="60"/>
      <c r="L6658" s="60"/>
      <c r="M6658" s="64"/>
      <c r="N6658" s="33"/>
    </row>
    <row r="6659" ht="24" customHeight="1" spans="2:14">
      <c r="B6659" s="33"/>
      <c r="C6659" s="60"/>
      <c r="D6659" s="60"/>
      <c r="E6659" s="60"/>
      <c r="F6659" s="60"/>
      <c r="G6659" s="60"/>
      <c r="H6659" s="60"/>
      <c r="I6659" s="60"/>
      <c r="J6659" s="60"/>
      <c r="K6659" s="60"/>
      <c r="L6659" s="60"/>
      <c r="M6659" s="64"/>
      <c r="N6659" s="33"/>
    </row>
    <row r="6660" ht="24" customHeight="1" spans="2:14">
      <c r="B6660" s="33"/>
      <c r="C6660" s="60"/>
      <c r="D6660" s="60"/>
      <c r="E6660" s="60"/>
      <c r="F6660" s="60"/>
      <c r="G6660" s="60"/>
      <c r="H6660" s="60"/>
      <c r="I6660" s="60"/>
      <c r="J6660" s="60"/>
      <c r="K6660" s="60"/>
      <c r="L6660" s="60"/>
      <c r="M6660" s="64"/>
      <c r="N6660" s="33"/>
    </row>
    <row r="6661" ht="24" customHeight="1" spans="2:14">
      <c r="B6661" s="33"/>
      <c r="C6661" s="60"/>
      <c r="D6661" s="60"/>
      <c r="E6661" s="60"/>
      <c r="F6661" s="60"/>
      <c r="G6661" s="60"/>
      <c r="H6661" s="60"/>
      <c r="I6661" s="60"/>
      <c r="J6661" s="60"/>
      <c r="K6661" s="60"/>
      <c r="L6661" s="60"/>
      <c r="M6661" s="64"/>
      <c r="N6661" s="33"/>
    </row>
    <row r="6662" ht="24" customHeight="1" spans="2:14">
      <c r="B6662" s="33"/>
      <c r="C6662" s="60"/>
      <c r="D6662" s="60"/>
      <c r="E6662" s="60"/>
      <c r="F6662" s="60"/>
      <c r="G6662" s="60"/>
      <c r="H6662" s="60"/>
      <c r="I6662" s="60"/>
      <c r="J6662" s="60"/>
      <c r="K6662" s="60"/>
      <c r="L6662" s="60"/>
      <c r="M6662" s="64"/>
      <c r="N6662" s="33"/>
    </row>
    <row r="6663" ht="24" customHeight="1" spans="2:14">
      <c r="B6663" s="33"/>
      <c r="C6663" s="60"/>
      <c r="D6663" s="60"/>
      <c r="E6663" s="60"/>
      <c r="F6663" s="60"/>
      <c r="G6663" s="60"/>
      <c r="H6663" s="60"/>
      <c r="I6663" s="60"/>
      <c r="J6663" s="60"/>
      <c r="K6663" s="60"/>
      <c r="L6663" s="60"/>
      <c r="M6663" s="64"/>
      <c r="N6663" s="33"/>
    </row>
    <row r="6664" ht="24" customHeight="1" spans="2:14">
      <c r="B6664" s="33"/>
      <c r="C6664" s="60"/>
      <c r="D6664" s="60"/>
      <c r="E6664" s="60"/>
      <c r="F6664" s="60"/>
      <c r="G6664" s="60"/>
      <c r="H6664" s="60"/>
      <c r="I6664" s="60"/>
      <c r="J6664" s="60"/>
      <c r="K6664" s="60"/>
      <c r="L6664" s="60"/>
      <c r="M6664" s="64"/>
      <c r="N6664" s="33"/>
    </row>
    <row r="6665" ht="24" customHeight="1" spans="2:14">
      <c r="B6665" s="33"/>
      <c r="C6665" s="60"/>
      <c r="D6665" s="60"/>
      <c r="E6665" s="60"/>
      <c r="F6665" s="60"/>
      <c r="G6665" s="60"/>
      <c r="H6665" s="60"/>
      <c r="I6665" s="60"/>
      <c r="J6665" s="60"/>
      <c r="K6665" s="60"/>
      <c r="L6665" s="60"/>
      <c r="M6665" s="64"/>
      <c r="N6665" s="33"/>
    </row>
    <row r="6666" ht="24" customHeight="1" spans="2:14">
      <c r="B6666" s="33"/>
      <c r="C6666" s="60"/>
      <c r="D6666" s="60"/>
      <c r="E6666" s="60"/>
      <c r="F6666" s="60"/>
      <c r="G6666" s="60"/>
      <c r="H6666" s="60"/>
      <c r="I6666" s="60"/>
      <c r="J6666" s="60"/>
      <c r="K6666" s="60"/>
      <c r="L6666" s="60"/>
      <c r="M6666" s="64"/>
      <c r="N6666" s="33"/>
    </row>
    <row r="6667" ht="24" customHeight="1" spans="2:14">
      <c r="B6667" s="33"/>
      <c r="C6667" s="60"/>
      <c r="D6667" s="60"/>
      <c r="E6667" s="60"/>
      <c r="F6667" s="60"/>
      <c r="G6667" s="60"/>
      <c r="H6667" s="60"/>
      <c r="I6667" s="60"/>
      <c r="J6667" s="60"/>
      <c r="K6667" s="60"/>
      <c r="L6667" s="60"/>
      <c r="M6667" s="64"/>
      <c r="N6667" s="33"/>
    </row>
    <row r="6668" ht="24" customHeight="1" spans="2:14">
      <c r="B6668" s="33"/>
      <c r="C6668" s="60"/>
      <c r="D6668" s="60"/>
      <c r="E6668" s="60"/>
      <c r="F6668" s="60"/>
      <c r="G6668" s="60"/>
      <c r="H6668" s="60"/>
      <c r="I6668" s="60"/>
      <c r="J6668" s="60"/>
      <c r="K6668" s="60"/>
      <c r="L6668" s="60"/>
      <c r="M6668" s="64"/>
      <c r="N6668" s="33"/>
    </row>
    <row r="6669" ht="24" customHeight="1" spans="2:14">
      <c r="B6669" s="33"/>
      <c r="C6669" s="60"/>
      <c r="D6669" s="60"/>
      <c r="E6669" s="60"/>
      <c r="F6669" s="60"/>
      <c r="G6669" s="60"/>
      <c r="H6669" s="60"/>
      <c r="I6669" s="60"/>
      <c r="J6669" s="60"/>
      <c r="K6669" s="60"/>
      <c r="L6669" s="60"/>
      <c r="M6669" s="64"/>
      <c r="N6669" s="33"/>
    </row>
    <row r="6670" ht="24" customHeight="1" spans="2:14">
      <c r="B6670" s="33"/>
      <c r="C6670" s="60"/>
      <c r="D6670" s="60"/>
      <c r="E6670" s="60"/>
      <c r="F6670" s="60"/>
      <c r="G6670" s="60"/>
      <c r="H6670" s="60"/>
      <c r="I6670" s="60"/>
      <c r="J6670" s="60"/>
      <c r="K6670" s="60"/>
      <c r="L6670" s="60"/>
      <c r="M6670" s="64"/>
      <c r="N6670" s="33"/>
    </row>
    <row r="6671" ht="24" customHeight="1" spans="2:14">
      <c r="B6671" s="33"/>
      <c r="C6671" s="60"/>
      <c r="D6671" s="60"/>
      <c r="E6671" s="60"/>
      <c r="F6671" s="60"/>
      <c r="G6671" s="60"/>
      <c r="H6671" s="60"/>
      <c r="I6671" s="60"/>
      <c r="J6671" s="60"/>
      <c r="K6671" s="60"/>
      <c r="L6671" s="60"/>
      <c r="M6671" s="64"/>
      <c r="N6671" s="33"/>
    </row>
    <row r="6672" ht="24" customHeight="1" spans="2:14">
      <c r="B6672" s="33"/>
      <c r="C6672" s="60"/>
      <c r="D6672" s="60"/>
      <c r="E6672" s="60"/>
      <c r="F6672" s="60"/>
      <c r="G6672" s="60"/>
      <c r="H6672" s="60"/>
      <c r="I6672" s="60"/>
      <c r="J6672" s="60"/>
      <c r="K6672" s="60"/>
      <c r="L6672" s="60"/>
      <c r="M6672" s="64"/>
      <c r="N6672" s="33"/>
    </row>
    <row r="6673" ht="24" customHeight="1" spans="2:14">
      <c r="B6673" s="33"/>
      <c r="C6673" s="60"/>
      <c r="D6673" s="60"/>
      <c r="E6673" s="60"/>
      <c r="F6673" s="60"/>
      <c r="G6673" s="60"/>
      <c r="H6673" s="60"/>
      <c r="I6673" s="60"/>
      <c r="J6673" s="60"/>
      <c r="K6673" s="60"/>
      <c r="L6673" s="60"/>
      <c r="M6673" s="64"/>
      <c r="N6673" s="33"/>
    </row>
    <row r="6674" ht="24" customHeight="1" spans="2:14">
      <c r="B6674" s="33"/>
      <c r="C6674" s="60"/>
      <c r="D6674" s="60"/>
      <c r="E6674" s="60"/>
      <c r="F6674" s="60"/>
      <c r="G6674" s="60"/>
      <c r="H6674" s="60"/>
      <c r="I6674" s="60"/>
      <c r="J6674" s="60"/>
      <c r="K6674" s="60"/>
      <c r="L6674" s="60"/>
      <c r="M6674" s="64"/>
      <c r="N6674" s="33"/>
    </row>
    <row r="6675" ht="24" customHeight="1" spans="2:14">
      <c r="B6675" s="33"/>
      <c r="C6675" s="60"/>
      <c r="D6675" s="60"/>
      <c r="E6675" s="60"/>
      <c r="F6675" s="60"/>
      <c r="G6675" s="60"/>
      <c r="H6675" s="60"/>
      <c r="I6675" s="60"/>
      <c r="J6675" s="60"/>
      <c r="K6675" s="60"/>
      <c r="L6675" s="60"/>
      <c r="M6675" s="64"/>
      <c r="N6675" s="33"/>
    </row>
    <row r="6676" ht="24" customHeight="1" spans="2:14">
      <c r="B6676" s="33"/>
      <c r="C6676" s="60"/>
      <c r="D6676" s="60"/>
      <c r="E6676" s="60"/>
      <c r="F6676" s="60"/>
      <c r="G6676" s="60"/>
      <c r="H6676" s="60"/>
      <c r="I6676" s="60"/>
      <c r="J6676" s="60"/>
      <c r="K6676" s="60"/>
      <c r="L6676" s="60"/>
      <c r="M6676" s="64"/>
      <c r="N6676" s="33"/>
    </row>
    <row r="6677" ht="24" customHeight="1" spans="2:14">
      <c r="B6677" s="33"/>
      <c r="C6677" s="60"/>
      <c r="D6677" s="60"/>
      <c r="E6677" s="60"/>
      <c r="F6677" s="60"/>
      <c r="G6677" s="60"/>
      <c r="H6677" s="60"/>
      <c r="I6677" s="60"/>
      <c r="J6677" s="60"/>
      <c r="K6677" s="60"/>
      <c r="L6677" s="60"/>
      <c r="M6677" s="64"/>
      <c r="N6677" s="33"/>
    </row>
    <row r="6678" ht="24" customHeight="1" spans="2:14">
      <c r="B6678" s="33"/>
      <c r="C6678" s="60"/>
      <c r="D6678" s="60"/>
      <c r="E6678" s="60"/>
      <c r="F6678" s="60"/>
      <c r="G6678" s="60"/>
      <c r="H6678" s="60"/>
      <c r="I6678" s="60"/>
      <c r="J6678" s="60"/>
      <c r="K6678" s="60"/>
      <c r="L6678" s="60"/>
      <c r="M6678" s="64"/>
      <c r="N6678" s="33"/>
    </row>
    <row r="6679" ht="24" customHeight="1" spans="2:14">
      <c r="B6679" s="33"/>
      <c r="C6679" s="60"/>
      <c r="D6679" s="60"/>
      <c r="E6679" s="60"/>
      <c r="F6679" s="60"/>
      <c r="G6679" s="60"/>
      <c r="H6679" s="60"/>
      <c r="I6679" s="60"/>
      <c r="J6679" s="60"/>
      <c r="K6679" s="60"/>
      <c r="L6679" s="60"/>
      <c r="M6679" s="64"/>
      <c r="N6679" s="33"/>
    </row>
    <row r="6680" ht="24" customHeight="1" spans="2:14">
      <c r="B6680" s="33"/>
      <c r="C6680" s="60"/>
      <c r="D6680" s="60"/>
      <c r="E6680" s="60"/>
      <c r="F6680" s="60"/>
      <c r="G6680" s="60"/>
      <c r="H6680" s="60"/>
      <c r="I6680" s="60"/>
      <c r="J6680" s="60"/>
      <c r="K6680" s="60"/>
      <c r="L6680" s="60"/>
      <c r="M6680" s="64"/>
      <c r="N6680" s="33"/>
    </row>
    <row r="6681" ht="24" customHeight="1" spans="2:14">
      <c r="B6681" s="33"/>
      <c r="C6681" s="60"/>
      <c r="D6681" s="60"/>
      <c r="E6681" s="60"/>
      <c r="F6681" s="60"/>
      <c r="G6681" s="60"/>
      <c r="H6681" s="60"/>
      <c r="I6681" s="60"/>
      <c r="J6681" s="60"/>
      <c r="K6681" s="60"/>
      <c r="L6681" s="60"/>
      <c r="M6681" s="64"/>
      <c r="N6681" s="33"/>
    </row>
    <row r="6682" ht="24" customHeight="1" spans="2:14">
      <c r="B6682" s="33"/>
      <c r="C6682" s="60"/>
      <c r="D6682" s="60"/>
      <c r="E6682" s="60"/>
      <c r="F6682" s="60"/>
      <c r="G6682" s="60"/>
      <c r="H6682" s="60"/>
      <c r="I6682" s="60"/>
      <c r="J6682" s="60"/>
      <c r="K6682" s="60"/>
      <c r="L6682" s="60"/>
      <c r="M6682" s="64"/>
      <c r="N6682" s="33"/>
    </row>
    <row r="6683" ht="24" customHeight="1" spans="2:14">
      <c r="B6683" s="33"/>
      <c r="C6683" s="60"/>
      <c r="D6683" s="60"/>
      <c r="E6683" s="60"/>
      <c r="F6683" s="60"/>
      <c r="G6683" s="60"/>
      <c r="H6683" s="60"/>
      <c r="I6683" s="60"/>
      <c r="J6683" s="60"/>
      <c r="K6683" s="60"/>
      <c r="L6683" s="60"/>
      <c r="M6683" s="64"/>
      <c r="N6683" s="33"/>
    </row>
    <row r="6684" ht="24" customHeight="1" spans="2:14">
      <c r="B6684" s="33"/>
      <c r="C6684" s="60"/>
      <c r="D6684" s="60"/>
      <c r="E6684" s="60"/>
      <c r="F6684" s="60"/>
      <c r="G6684" s="60"/>
      <c r="H6684" s="60"/>
      <c r="I6684" s="60"/>
      <c r="J6684" s="60"/>
      <c r="K6684" s="60"/>
      <c r="L6684" s="60"/>
      <c r="M6684" s="64"/>
      <c r="N6684" s="33"/>
    </row>
    <row r="6685" ht="24" customHeight="1" spans="2:14">
      <c r="B6685" s="33"/>
      <c r="C6685" s="60"/>
      <c r="D6685" s="60"/>
      <c r="E6685" s="60"/>
      <c r="F6685" s="60"/>
      <c r="G6685" s="60"/>
      <c r="H6685" s="60"/>
      <c r="I6685" s="60"/>
      <c r="J6685" s="60"/>
      <c r="K6685" s="60"/>
      <c r="L6685" s="60"/>
      <c r="M6685" s="64"/>
      <c r="N6685" s="33"/>
    </row>
    <row r="6686" ht="24" customHeight="1" spans="2:14">
      <c r="B6686" s="33"/>
      <c r="C6686" s="60"/>
      <c r="D6686" s="60"/>
      <c r="E6686" s="60"/>
      <c r="F6686" s="60"/>
      <c r="G6686" s="60"/>
      <c r="H6686" s="60"/>
      <c r="I6686" s="60"/>
      <c r="J6686" s="60"/>
      <c r="K6686" s="60"/>
      <c r="L6686" s="60"/>
      <c r="M6686" s="64"/>
      <c r="N6686" s="33"/>
    </row>
    <row r="6687" ht="24" customHeight="1" spans="2:14">
      <c r="B6687" s="33"/>
      <c r="C6687" s="60"/>
      <c r="D6687" s="60"/>
      <c r="E6687" s="60"/>
      <c r="F6687" s="60"/>
      <c r="G6687" s="60"/>
      <c r="H6687" s="60"/>
      <c r="I6687" s="60"/>
      <c r="J6687" s="60"/>
      <c r="K6687" s="60"/>
      <c r="L6687" s="60"/>
      <c r="M6687" s="64"/>
      <c r="N6687" s="33"/>
    </row>
    <row r="6688" ht="24" customHeight="1" spans="2:14">
      <c r="B6688" s="33"/>
      <c r="C6688" s="60"/>
      <c r="D6688" s="60"/>
      <c r="E6688" s="60"/>
      <c r="F6688" s="60"/>
      <c r="G6688" s="60"/>
      <c r="H6688" s="60"/>
      <c r="I6688" s="60"/>
      <c r="J6688" s="60"/>
      <c r="K6688" s="60"/>
      <c r="L6688" s="60"/>
      <c r="M6688" s="64"/>
      <c r="N6688" s="33"/>
    </row>
    <row r="6689" ht="24" customHeight="1" spans="2:14">
      <c r="B6689" s="33"/>
      <c r="C6689" s="60"/>
      <c r="D6689" s="60"/>
      <c r="E6689" s="60"/>
      <c r="F6689" s="60"/>
      <c r="G6689" s="60"/>
      <c r="H6689" s="60"/>
      <c r="I6689" s="60"/>
      <c r="J6689" s="60"/>
      <c r="K6689" s="60"/>
      <c r="L6689" s="60"/>
      <c r="M6689" s="64"/>
      <c r="N6689" s="33"/>
    </row>
    <row r="6690" ht="24" customHeight="1" spans="2:14">
      <c r="B6690" s="33"/>
      <c r="C6690" s="60"/>
      <c r="D6690" s="60"/>
      <c r="E6690" s="60"/>
      <c r="F6690" s="60"/>
      <c r="G6690" s="60"/>
      <c r="H6690" s="60"/>
      <c r="I6690" s="60"/>
      <c r="J6690" s="60"/>
      <c r="K6690" s="60"/>
      <c r="L6690" s="60"/>
      <c r="M6690" s="64"/>
      <c r="N6690" s="33"/>
    </row>
    <row r="6691" ht="24" customHeight="1" spans="2:14">
      <c r="B6691" s="33"/>
      <c r="C6691" s="60"/>
      <c r="D6691" s="60"/>
      <c r="E6691" s="60"/>
      <c r="F6691" s="60"/>
      <c r="G6691" s="60"/>
      <c r="H6691" s="60"/>
      <c r="I6691" s="60"/>
      <c r="J6691" s="60"/>
      <c r="K6691" s="60"/>
      <c r="L6691" s="60"/>
      <c r="M6691" s="64"/>
      <c r="N6691" s="33"/>
    </row>
    <row r="6692" ht="24" customHeight="1" spans="2:14">
      <c r="B6692" s="33"/>
      <c r="C6692" s="60"/>
      <c r="D6692" s="60"/>
      <c r="E6692" s="60"/>
      <c r="F6692" s="60"/>
      <c r="G6692" s="60"/>
      <c r="H6692" s="60"/>
      <c r="I6692" s="60"/>
      <c r="J6692" s="60"/>
      <c r="K6692" s="60"/>
      <c r="L6692" s="60"/>
      <c r="M6692" s="64"/>
      <c r="N6692" s="33"/>
    </row>
    <row r="6693" ht="24" customHeight="1" spans="2:14">
      <c r="B6693" s="33"/>
      <c r="C6693" s="60"/>
      <c r="D6693" s="60"/>
      <c r="E6693" s="60"/>
      <c r="F6693" s="60"/>
      <c r="G6693" s="60"/>
      <c r="H6693" s="60"/>
      <c r="I6693" s="60"/>
      <c r="J6693" s="60"/>
      <c r="K6693" s="60"/>
      <c r="L6693" s="60"/>
      <c r="M6693" s="64"/>
      <c r="N6693" s="33"/>
    </row>
    <row r="6694" ht="24" customHeight="1" spans="2:14">
      <c r="B6694" s="33"/>
      <c r="C6694" s="60"/>
      <c r="D6694" s="60"/>
      <c r="E6694" s="60"/>
      <c r="F6694" s="60"/>
      <c r="G6694" s="60"/>
      <c r="H6694" s="60"/>
      <c r="I6694" s="60"/>
      <c r="J6694" s="60"/>
      <c r="K6694" s="60"/>
      <c r="L6694" s="60"/>
      <c r="M6694" s="64"/>
      <c r="N6694" s="33"/>
    </row>
    <row r="6695" ht="24" customHeight="1" spans="2:14">
      <c r="B6695" s="33"/>
      <c r="C6695" s="60"/>
      <c r="D6695" s="60"/>
      <c r="E6695" s="60"/>
      <c r="F6695" s="60"/>
      <c r="G6695" s="60"/>
      <c r="H6695" s="60"/>
      <c r="I6695" s="60"/>
      <c r="J6695" s="60"/>
      <c r="K6695" s="60"/>
      <c r="L6695" s="60"/>
      <c r="M6695" s="64"/>
      <c r="N6695" s="33"/>
    </row>
    <row r="6696" ht="24" customHeight="1" spans="2:14">
      <c r="B6696" s="33"/>
      <c r="C6696" s="60"/>
      <c r="D6696" s="60"/>
      <c r="E6696" s="60"/>
      <c r="F6696" s="60"/>
      <c r="G6696" s="60"/>
      <c r="H6696" s="60"/>
      <c r="I6696" s="60"/>
      <c r="J6696" s="60"/>
      <c r="K6696" s="60"/>
      <c r="L6696" s="60"/>
      <c r="M6696" s="64"/>
      <c r="N6696" s="33"/>
    </row>
    <row r="6697" ht="24" customHeight="1" spans="2:14">
      <c r="B6697" s="33"/>
      <c r="C6697" s="60"/>
      <c r="D6697" s="60"/>
      <c r="E6697" s="60"/>
      <c r="F6697" s="60"/>
      <c r="G6697" s="60"/>
      <c r="H6697" s="60"/>
      <c r="I6697" s="60"/>
      <c r="J6697" s="60"/>
      <c r="K6697" s="60"/>
      <c r="L6697" s="60"/>
      <c r="M6697" s="64"/>
      <c r="N6697" s="33"/>
    </row>
    <row r="6698" ht="24" customHeight="1" spans="2:14">
      <c r="B6698" s="33"/>
      <c r="C6698" s="60"/>
      <c r="D6698" s="60"/>
      <c r="E6698" s="60"/>
      <c r="F6698" s="60"/>
      <c r="G6698" s="60"/>
      <c r="H6698" s="60"/>
      <c r="I6698" s="60"/>
      <c r="J6698" s="60"/>
      <c r="K6698" s="60"/>
      <c r="L6698" s="60"/>
      <c r="M6698" s="64"/>
      <c r="N6698" s="33"/>
    </row>
    <row r="6699" ht="24" customHeight="1" spans="2:14">
      <c r="B6699" s="33"/>
      <c r="C6699" s="60"/>
      <c r="D6699" s="60"/>
      <c r="E6699" s="60"/>
      <c r="F6699" s="60"/>
      <c r="G6699" s="60"/>
      <c r="H6699" s="60"/>
      <c r="I6699" s="60"/>
      <c r="J6699" s="60"/>
      <c r="K6699" s="60"/>
      <c r="L6699" s="60"/>
      <c r="M6699" s="64"/>
      <c r="N6699" s="33"/>
    </row>
    <row r="6700" ht="24" customHeight="1" spans="2:14">
      <c r="B6700" s="33"/>
      <c r="C6700" s="60"/>
      <c r="D6700" s="60"/>
      <c r="E6700" s="60"/>
      <c r="F6700" s="60"/>
      <c r="G6700" s="60"/>
      <c r="H6700" s="60"/>
      <c r="I6700" s="60"/>
      <c r="J6700" s="60"/>
      <c r="K6700" s="60"/>
      <c r="L6700" s="60"/>
      <c r="M6700" s="64"/>
      <c r="N6700" s="33"/>
    </row>
    <row r="6701" ht="24" customHeight="1" spans="2:14">
      <c r="B6701" s="33"/>
      <c r="C6701" s="60"/>
      <c r="D6701" s="60"/>
      <c r="E6701" s="60"/>
      <c r="F6701" s="60"/>
      <c r="G6701" s="60"/>
      <c r="H6701" s="60"/>
      <c r="I6701" s="60"/>
      <c r="J6701" s="60"/>
      <c r="K6701" s="60"/>
      <c r="L6701" s="60"/>
      <c r="M6701" s="64"/>
      <c r="N6701" s="33"/>
    </row>
    <row r="6702" ht="24" customHeight="1" spans="2:14">
      <c r="B6702" s="33"/>
      <c r="C6702" s="60"/>
      <c r="D6702" s="60"/>
      <c r="E6702" s="60"/>
      <c r="F6702" s="60"/>
      <c r="G6702" s="60"/>
      <c r="H6702" s="60"/>
      <c r="I6702" s="60"/>
      <c r="J6702" s="60"/>
      <c r="K6702" s="60"/>
      <c r="L6702" s="60"/>
      <c r="M6702" s="64"/>
      <c r="N6702" s="33"/>
    </row>
    <row r="6703" ht="24" customHeight="1" spans="2:14">
      <c r="B6703" s="33"/>
      <c r="C6703" s="60"/>
      <c r="D6703" s="60"/>
      <c r="E6703" s="60"/>
      <c r="F6703" s="60"/>
      <c r="G6703" s="60"/>
      <c r="H6703" s="60"/>
      <c r="I6703" s="60"/>
      <c r="J6703" s="60"/>
      <c r="K6703" s="60"/>
      <c r="L6703" s="60"/>
      <c r="M6703" s="64"/>
      <c r="N6703" s="33"/>
    </row>
    <row r="6704" ht="24" customHeight="1" spans="2:14">
      <c r="B6704" s="33"/>
      <c r="C6704" s="60"/>
      <c r="D6704" s="60"/>
      <c r="E6704" s="60"/>
      <c r="F6704" s="60"/>
      <c r="G6704" s="60"/>
      <c r="H6704" s="60"/>
      <c r="I6704" s="60"/>
      <c r="J6704" s="60"/>
      <c r="K6704" s="60"/>
      <c r="L6704" s="60"/>
      <c r="M6704" s="64"/>
      <c r="N6704" s="33"/>
    </row>
    <row r="6705" ht="24" customHeight="1" spans="2:14">
      <c r="B6705" s="33"/>
      <c r="C6705" s="60"/>
      <c r="D6705" s="60"/>
      <c r="E6705" s="60"/>
      <c r="F6705" s="60"/>
      <c r="G6705" s="60"/>
      <c r="H6705" s="60"/>
      <c r="I6705" s="60"/>
      <c r="J6705" s="60"/>
      <c r="K6705" s="60"/>
      <c r="L6705" s="60"/>
      <c r="M6705" s="64"/>
      <c r="N6705" s="33"/>
    </row>
    <row r="6706" ht="24" customHeight="1" spans="2:14">
      <c r="B6706" s="33"/>
      <c r="C6706" s="60"/>
      <c r="D6706" s="60"/>
      <c r="E6706" s="60"/>
      <c r="F6706" s="60"/>
      <c r="G6706" s="60"/>
      <c r="H6706" s="60"/>
      <c r="I6706" s="60"/>
      <c r="J6706" s="60"/>
      <c r="K6706" s="60"/>
      <c r="L6706" s="60"/>
      <c r="M6706" s="64"/>
      <c r="N6706" s="33"/>
    </row>
    <row r="6707" ht="24" customHeight="1" spans="2:14">
      <c r="B6707" s="33"/>
      <c r="C6707" s="60"/>
      <c r="D6707" s="60"/>
      <c r="E6707" s="60"/>
      <c r="F6707" s="60"/>
      <c r="G6707" s="60"/>
      <c r="H6707" s="60"/>
      <c r="I6707" s="60"/>
      <c r="J6707" s="60"/>
      <c r="K6707" s="60"/>
      <c r="L6707" s="60"/>
      <c r="M6707" s="64"/>
      <c r="N6707" s="33"/>
    </row>
    <row r="6708" ht="24" customHeight="1" spans="2:14">
      <c r="B6708" s="33"/>
      <c r="C6708" s="60"/>
      <c r="D6708" s="60"/>
      <c r="E6708" s="60"/>
      <c r="F6708" s="60"/>
      <c r="G6708" s="60"/>
      <c r="H6708" s="60"/>
      <c r="I6708" s="60"/>
      <c r="J6708" s="60"/>
      <c r="K6708" s="60"/>
      <c r="L6708" s="60"/>
      <c r="M6708" s="64"/>
      <c r="N6708" s="33"/>
    </row>
    <row r="6709" ht="24" customHeight="1" spans="2:14">
      <c r="B6709" s="33"/>
      <c r="C6709" s="60"/>
      <c r="D6709" s="60"/>
      <c r="E6709" s="60"/>
      <c r="F6709" s="60"/>
      <c r="G6709" s="60"/>
      <c r="H6709" s="60"/>
      <c r="I6709" s="60"/>
      <c r="J6709" s="60"/>
      <c r="K6709" s="60"/>
      <c r="L6709" s="60"/>
      <c r="M6709" s="64"/>
      <c r="N6709" s="33"/>
    </row>
    <row r="6710" ht="24" customHeight="1" spans="2:14">
      <c r="B6710" s="33"/>
      <c r="C6710" s="60"/>
      <c r="D6710" s="60"/>
      <c r="E6710" s="60"/>
      <c r="F6710" s="60"/>
      <c r="G6710" s="60"/>
      <c r="H6710" s="60"/>
      <c r="I6710" s="60"/>
      <c r="J6710" s="60"/>
      <c r="K6710" s="60"/>
      <c r="L6710" s="60"/>
      <c r="M6710" s="64"/>
      <c r="N6710" s="33"/>
    </row>
    <row r="6711" ht="24" customHeight="1" spans="2:14">
      <c r="B6711" s="33"/>
      <c r="C6711" s="60"/>
      <c r="D6711" s="60"/>
      <c r="E6711" s="60"/>
      <c r="F6711" s="60"/>
      <c r="G6711" s="60"/>
      <c r="H6711" s="60"/>
      <c r="I6711" s="60"/>
      <c r="J6711" s="60"/>
      <c r="K6711" s="60"/>
      <c r="L6711" s="60"/>
      <c r="M6711" s="64"/>
      <c r="N6711" s="33"/>
    </row>
    <row r="6712" ht="24" customHeight="1" spans="2:14">
      <c r="B6712" s="33"/>
      <c r="C6712" s="60"/>
      <c r="D6712" s="60"/>
      <c r="E6712" s="60"/>
      <c r="F6712" s="60"/>
      <c r="G6712" s="60"/>
      <c r="H6712" s="60"/>
      <c r="I6712" s="60"/>
      <c r="J6712" s="60"/>
      <c r="K6712" s="60"/>
      <c r="L6712" s="60"/>
      <c r="M6712" s="64"/>
      <c r="N6712" s="33"/>
    </row>
    <row r="6713" ht="24" customHeight="1" spans="2:14">
      <c r="B6713" s="33"/>
      <c r="C6713" s="60"/>
      <c r="D6713" s="60"/>
      <c r="E6713" s="60"/>
      <c r="F6713" s="60"/>
      <c r="G6713" s="60"/>
      <c r="H6713" s="60"/>
      <c r="I6713" s="60"/>
      <c r="J6713" s="60"/>
      <c r="K6713" s="60"/>
      <c r="L6713" s="60"/>
      <c r="M6713" s="64"/>
      <c r="N6713" s="33"/>
    </row>
    <row r="6714" ht="24" customHeight="1" spans="2:14">
      <c r="B6714" s="33"/>
      <c r="C6714" s="60"/>
      <c r="D6714" s="60"/>
      <c r="E6714" s="60"/>
      <c r="F6714" s="60"/>
      <c r="G6714" s="60"/>
      <c r="H6714" s="60"/>
      <c r="I6714" s="60"/>
      <c r="J6714" s="60"/>
      <c r="K6714" s="60"/>
      <c r="L6714" s="60"/>
      <c r="M6714" s="64"/>
      <c r="N6714" s="33"/>
    </row>
    <row r="6715" ht="24" customHeight="1" spans="2:14">
      <c r="B6715" s="33"/>
      <c r="C6715" s="60"/>
      <c r="D6715" s="60"/>
      <c r="E6715" s="60"/>
      <c r="F6715" s="60"/>
      <c r="G6715" s="60"/>
      <c r="H6715" s="60"/>
      <c r="I6715" s="60"/>
      <c r="J6715" s="60"/>
      <c r="K6715" s="60"/>
      <c r="L6715" s="60"/>
      <c r="M6715" s="64"/>
      <c r="N6715" s="33"/>
    </row>
    <row r="6716" ht="24" customHeight="1" spans="2:14">
      <c r="B6716" s="33"/>
      <c r="C6716" s="60"/>
      <c r="D6716" s="60"/>
      <c r="E6716" s="60"/>
      <c r="F6716" s="60"/>
      <c r="G6716" s="60"/>
      <c r="H6716" s="60"/>
      <c r="I6716" s="60"/>
      <c r="J6716" s="60"/>
      <c r="K6716" s="60"/>
      <c r="L6716" s="60"/>
      <c r="M6716" s="64"/>
      <c r="N6716" s="33"/>
    </row>
    <row r="6717" ht="24" customHeight="1" spans="2:14">
      <c r="B6717" s="33"/>
      <c r="C6717" s="60"/>
      <c r="D6717" s="60"/>
      <c r="E6717" s="60"/>
      <c r="F6717" s="60"/>
      <c r="G6717" s="60"/>
      <c r="H6717" s="60"/>
      <c r="I6717" s="60"/>
      <c r="J6717" s="60"/>
      <c r="K6717" s="60"/>
      <c r="L6717" s="60"/>
      <c r="M6717" s="64"/>
      <c r="N6717" s="33"/>
    </row>
    <row r="6718" ht="24" customHeight="1" spans="2:14">
      <c r="B6718" s="33"/>
      <c r="C6718" s="60"/>
      <c r="D6718" s="60"/>
      <c r="E6718" s="60"/>
      <c r="F6718" s="60"/>
      <c r="G6718" s="60"/>
      <c r="H6718" s="60"/>
      <c r="I6718" s="60"/>
      <c r="J6718" s="60"/>
      <c r="K6718" s="60"/>
      <c r="L6718" s="60"/>
      <c r="M6718" s="64"/>
      <c r="N6718" s="33"/>
    </row>
    <row r="6719" ht="24" customHeight="1" spans="2:14">
      <c r="B6719" s="33"/>
      <c r="C6719" s="60"/>
      <c r="D6719" s="60"/>
      <c r="E6719" s="60"/>
      <c r="F6719" s="60"/>
      <c r="G6719" s="60"/>
      <c r="H6719" s="60"/>
      <c r="I6719" s="60"/>
      <c r="J6719" s="60"/>
      <c r="K6719" s="60"/>
      <c r="L6719" s="60"/>
      <c r="M6719" s="64"/>
      <c r="N6719" s="33"/>
    </row>
    <row r="6720" ht="24" customHeight="1" spans="2:14">
      <c r="B6720" s="33"/>
      <c r="C6720" s="60"/>
      <c r="D6720" s="60"/>
      <c r="E6720" s="60"/>
      <c r="F6720" s="60"/>
      <c r="G6720" s="60"/>
      <c r="H6720" s="60"/>
      <c r="I6720" s="60"/>
      <c r="J6720" s="60"/>
      <c r="K6720" s="60"/>
      <c r="L6720" s="60"/>
      <c r="M6720" s="64"/>
      <c r="N6720" s="33"/>
    </row>
    <row r="6721" ht="24" customHeight="1" spans="2:14">
      <c r="B6721" s="33"/>
      <c r="C6721" s="60"/>
      <c r="D6721" s="60"/>
      <c r="E6721" s="60"/>
      <c r="F6721" s="60"/>
      <c r="G6721" s="60"/>
      <c r="H6721" s="60"/>
      <c r="I6721" s="60"/>
      <c r="J6721" s="60"/>
      <c r="K6721" s="60"/>
      <c r="L6721" s="60"/>
      <c r="M6721" s="64"/>
      <c r="N6721" s="33"/>
    </row>
    <row r="6722" ht="24" customHeight="1" spans="2:14">
      <c r="B6722" s="33"/>
      <c r="C6722" s="60"/>
      <c r="D6722" s="60"/>
      <c r="E6722" s="60"/>
      <c r="F6722" s="60"/>
      <c r="G6722" s="60"/>
      <c r="H6722" s="60"/>
      <c r="I6722" s="60"/>
      <c r="J6722" s="60"/>
      <c r="K6722" s="60"/>
      <c r="L6722" s="60"/>
      <c r="M6722" s="64"/>
      <c r="N6722" s="33"/>
    </row>
    <row r="6723" ht="24" customHeight="1" spans="2:14">
      <c r="B6723" s="33"/>
      <c r="C6723" s="60"/>
      <c r="D6723" s="60"/>
      <c r="E6723" s="60"/>
      <c r="F6723" s="60"/>
      <c r="G6723" s="60"/>
      <c r="H6723" s="60"/>
      <c r="I6723" s="60"/>
      <c r="J6723" s="60"/>
      <c r="K6723" s="60"/>
      <c r="L6723" s="60"/>
      <c r="M6723" s="64"/>
      <c r="N6723" s="33"/>
    </row>
    <row r="6724" ht="24" customHeight="1" spans="2:14">
      <c r="B6724" s="33"/>
      <c r="C6724" s="60"/>
      <c r="D6724" s="60"/>
      <c r="E6724" s="60"/>
      <c r="F6724" s="60"/>
      <c r="G6724" s="60"/>
      <c r="H6724" s="60"/>
      <c r="I6724" s="60"/>
      <c r="J6724" s="60"/>
      <c r="K6724" s="60"/>
      <c r="L6724" s="60"/>
      <c r="M6724" s="64"/>
      <c r="N6724" s="33"/>
    </row>
    <row r="6725" ht="24" customHeight="1" spans="2:14">
      <c r="B6725" s="33"/>
      <c r="C6725" s="60"/>
      <c r="D6725" s="60"/>
      <c r="E6725" s="60"/>
      <c r="F6725" s="60"/>
      <c r="G6725" s="60"/>
      <c r="H6725" s="60"/>
      <c r="I6725" s="60"/>
      <c r="J6725" s="60"/>
      <c r="K6725" s="60"/>
      <c r="L6725" s="60"/>
      <c r="M6725" s="64"/>
      <c r="N6725" s="33"/>
    </row>
    <row r="6726" ht="24" customHeight="1" spans="2:14">
      <c r="B6726" s="33"/>
      <c r="C6726" s="60"/>
      <c r="D6726" s="60"/>
      <c r="E6726" s="60"/>
      <c r="F6726" s="60"/>
      <c r="G6726" s="60"/>
      <c r="H6726" s="60"/>
      <c r="I6726" s="60"/>
      <c r="J6726" s="60"/>
      <c r="K6726" s="60"/>
      <c r="L6726" s="60"/>
      <c r="M6726" s="64"/>
      <c r="N6726" s="33"/>
    </row>
    <row r="6727" ht="24" customHeight="1" spans="2:14">
      <c r="B6727" s="33"/>
      <c r="C6727" s="60"/>
      <c r="D6727" s="60"/>
      <c r="E6727" s="60"/>
      <c r="F6727" s="60"/>
      <c r="G6727" s="60"/>
      <c r="H6727" s="60"/>
      <c r="I6727" s="60"/>
      <c r="J6727" s="60"/>
      <c r="K6727" s="60"/>
      <c r="L6727" s="60"/>
      <c r="M6727" s="64"/>
      <c r="N6727" s="33"/>
    </row>
    <row r="6728" ht="24" customHeight="1" spans="2:14">
      <c r="B6728" s="33"/>
      <c r="C6728" s="60"/>
      <c r="D6728" s="60"/>
      <c r="E6728" s="60"/>
      <c r="F6728" s="60"/>
      <c r="G6728" s="60"/>
      <c r="H6728" s="60"/>
      <c r="I6728" s="60"/>
      <c r="J6728" s="60"/>
      <c r="K6728" s="60"/>
      <c r="L6728" s="60"/>
      <c r="M6728" s="64"/>
      <c r="N6728" s="33"/>
    </row>
    <row r="6729" ht="24" customHeight="1" spans="2:14">
      <c r="B6729" s="33"/>
      <c r="C6729" s="60"/>
      <c r="D6729" s="60"/>
      <c r="E6729" s="60"/>
      <c r="F6729" s="60"/>
      <c r="G6729" s="60"/>
      <c r="H6729" s="60"/>
      <c r="I6729" s="60"/>
      <c r="J6729" s="60"/>
      <c r="K6729" s="60"/>
      <c r="L6729" s="60"/>
      <c r="M6729" s="64"/>
      <c r="N6729" s="33"/>
    </row>
    <row r="6730" ht="24" customHeight="1" spans="2:14">
      <c r="B6730" s="33"/>
      <c r="C6730" s="60"/>
      <c r="D6730" s="60"/>
      <c r="E6730" s="60"/>
      <c r="F6730" s="60"/>
      <c r="G6730" s="60"/>
      <c r="H6730" s="60"/>
      <c r="I6730" s="60"/>
      <c r="J6730" s="60"/>
      <c r="K6730" s="60"/>
      <c r="L6730" s="60"/>
      <c r="M6730" s="64"/>
      <c r="N6730" s="33"/>
    </row>
    <row r="6731" ht="24" customHeight="1" spans="2:14">
      <c r="B6731" s="33"/>
      <c r="C6731" s="60"/>
      <c r="D6731" s="60"/>
      <c r="E6731" s="60"/>
      <c r="F6731" s="60"/>
      <c r="G6731" s="60"/>
      <c r="H6731" s="60"/>
      <c r="I6731" s="60"/>
      <c r="J6731" s="60"/>
      <c r="K6731" s="60"/>
      <c r="L6731" s="60"/>
      <c r="M6731" s="64"/>
      <c r="N6731" s="33"/>
    </row>
    <row r="6732" ht="24" customHeight="1" spans="2:14">
      <c r="B6732" s="33"/>
      <c r="C6732" s="60"/>
      <c r="D6732" s="60"/>
      <c r="E6732" s="60"/>
      <c r="F6732" s="60"/>
      <c r="G6732" s="60"/>
      <c r="H6732" s="60"/>
      <c r="I6732" s="60"/>
      <c r="J6732" s="60"/>
      <c r="K6732" s="60"/>
      <c r="L6732" s="60"/>
      <c r="M6732" s="64"/>
      <c r="N6732" s="33"/>
    </row>
    <row r="6733" ht="24" customHeight="1" spans="2:14">
      <c r="B6733" s="33"/>
      <c r="C6733" s="60"/>
      <c r="D6733" s="60"/>
      <c r="E6733" s="60"/>
      <c r="F6733" s="60"/>
      <c r="G6733" s="60"/>
      <c r="H6733" s="60"/>
      <c r="I6733" s="60"/>
      <c r="J6733" s="60"/>
      <c r="K6733" s="60"/>
      <c r="L6733" s="60"/>
      <c r="M6733" s="64"/>
      <c r="N6733" s="33"/>
    </row>
    <row r="6734" ht="24" customHeight="1" spans="2:14">
      <c r="B6734" s="33"/>
      <c r="C6734" s="60"/>
      <c r="D6734" s="60"/>
      <c r="E6734" s="60"/>
      <c r="F6734" s="60"/>
      <c r="G6734" s="60"/>
      <c r="H6734" s="60"/>
      <c r="I6734" s="60"/>
      <c r="J6734" s="60"/>
      <c r="K6734" s="60"/>
      <c r="L6734" s="60"/>
      <c r="M6734" s="64"/>
      <c r="N6734" s="33"/>
    </row>
    <row r="6735" ht="24" customHeight="1" spans="2:14">
      <c r="B6735" s="33"/>
      <c r="C6735" s="60"/>
      <c r="D6735" s="60"/>
      <c r="E6735" s="60"/>
      <c r="F6735" s="60"/>
      <c r="G6735" s="60"/>
      <c r="H6735" s="60"/>
      <c r="I6735" s="60"/>
      <c r="J6735" s="60"/>
      <c r="K6735" s="60"/>
      <c r="L6735" s="60"/>
      <c r="M6735" s="64"/>
      <c r="N6735" s="33"/>
    </row>
    <row r="6736" ht="24" customHeight="1" spans="2:14">
      <c r="B6736" s="33"/>
      <c r="C6736" s="60"/>
      <c r="D6736" s="60"/>
      <c r="E6736" s="60"/>
      <c r="F6736" s="60"/>
      <c r="G6736" s="60"/>
      <c r="H6736" s="60"/>
      <c r="I6736" s="60"/>
      <c r="J6736" s="60"/>
      <c r="K6736" s="60"/>
      <c r="L6736" s="60"/>
      <c r="M6736" s="64"/>
      <c r="N6736" s="33"/>
    </row>
    <row r="6737" ht="24" customHeight="1" spans="2:14">
      <c r="B6737" s="33"/>
      <c r="C6737" s="60"/>
      <c r="D6737" s="60"/>
      <c r="E6737" s="60"/>
      <c r="F6737" s="60"/>
      <c r="G6737" s="60"/>
      <c r="H6737" s="60"/>
      <c r="I6737" s="60"/>
      <c r="J6737" s="60"/>
      <c r="K6737" s="60"/>
      <c r="L6737" s="60"/>
      <c r="M6737" s="64"/>
      <c r="N6737" s="33"/>
    </row>
    <row r="6738" ht="24" customHeight="1" spans="2:14">
      <c r="B6738" s="33"/>
      <c r="C6738" s="60"/>
      <c r="D6738" s="60"/>
      <c r="E6738" s="60"/>
      <c r="F6738" s="60"/>
      <c r="G6738" s="60"/>
      <c r="H6738" s="60"/>
      <c r="I6738" s="60"/>
      <c r="J6738" s="60"/>
      <c r="K6738" s="60"/>
      <c r="L6738" s="60"/>
      <c r="M6738" s="64"/>
      <c r="N6738" s="33"/>
    </row>
    <row r="6739" ht="24" customHeight="1" spans="2:14">
      <c r="B6739" s="33"/>
      <c r="C6739" s="60"/>
      <c r="D6739" s="60"/>
      <c r="E6739" s="60"/>
      <c r="F6739" s="60"/>
      <c r="G6739" s="60"/>
      <c r="H6739" s="60"/>
      <c r="I6739" s="60"/>
      <c r="J6739" s="60"/>
      <c r="K6739" s="60"/>
      <c r="L6739" s="60"/>
      <c r="M6739" s="64"/>
      <c r="N6739" s="33"/>
    </row>
    <row r="6740" ht="24" customHeight="1" spans="2:14">
      <c r="B6740" s="33"/>
      <c r="C6740" s="60"/>
      <c r="D6740" s="60"/>
      <c r="E6740" s="60"/>
      <c r="F6740" s="60"/>
      <c r="G6740" s="60"/>
      <c r="H6740" s="60"/>
      <c r="I6740" s="60"/>
      <c r="J6740" s="60"/>
      <c r="K6740" s="60"/>
      <c r="L6740" s="60"/>
      <c r="M6740" s="64"/>
      <c r="N6740" s="33"/>
    </row>
    <row r="6741" ht="24" customHeight="1" spans="2:14">
      <c r="B6741" s="33"/>
      <c r="C6741" s="60"/>
      <c r="D6741" s="60"/>
      <c r="E6741" s="60"/>
      <c r="F6741" s="60"/>
      <c r="G6741" s="60"/>
      <c r="H6741" s="60"/>
      <c r="I6741" s="60"/>
      <c r="J6741" s="60"/>
      <c r="K6741" s="60"/>
      <c r="L6741" s="60"/>
      <c r="M6741" s="64"/>
      <c r="N6741" s="33"/>
    </row>
    <row r="6742" ht="24" customHeight="1" spans="2:14">
      <c r="B6742" s="33"/>
      <c r="C6742" s="60"/>
      <c r="D6742" s="60"/>
      <c r="E6742" s="60"/>
      <c r="F6742" s="60"/>
      <c r="G6742" s="60"/>
      <c r="H6742" s="60"/>
      <c r="I6742" s="60"/>
      <c r="J6742" s="60"/>
      <c r="K6742" s="60"/>
      <c r="L6742" s="60"/>
      <c r="M6742" s="64"/>
      <c r="N6742" s="33"/>
    </row>
    <row r="6743" ht="24" customHeight="1" spans="2:14">
      <c r="B6743" s="33"/>
      <c r="C6743" s="60"/>
      <c r="D6743" s="60"/>
      <c r="E6743" s="60"/>
      <c r="F6743" s="60"/>
      <c r="G6743" s="60"/>
      <c r="H6743" s="60"/>
      <c r="I6743" s="60"/>
      <c r="J6743" s="60"/>
      <c r="K6743" s="60"/>
      <c r="L6743" s="60"/>
      <c r="M6743" s="64"/>
      <c r="N6743" s="33"/>
    </row>
    <row r="6744" ht="24" customHeight="1" spans="2:14">
      <c r="B6744" s="33"/>
      <c r="C6744" s="60"/>
      <c r="D6744" s="60"/>
      <c r="E6744" s="60"/>
      <c r="F6744" s="60"/>
      <c r="G6744" s="60"/>
      <c r="H6744" s="60"/>
      <c r="I6744" s="60"/>
      <c r="J6744" s="60"/>
      <c r="K6744" s="60"/>
      <c r="L6744" s="60"/>
      <c r="M6744" s="64"/>
      <c r="N6744" s="33"/>
    </row>
    <row r="6745" ht="24" customHeight="1" spans="2:14">
      <c r="B6745" s="33"/>
      <c r="C6745" s="60"/>
      <c r="D6745" s="60"/>
      <c r="E6745" s="60"/>
      <c r="F6745" s="60"/>
      <c r="G6745" s="60"/>
      <c r="H6745" s="60"/>
      <c r="I6745" s="60"/>
      <c r="J6745" s="60"/>
      <c r="K6745" s="60"/>
      <c r="L6745" s="60"/>
      <c r="M6745" s="64"/>
      <c r="N6745" s="33"/>
    </row>
    <row r="6746" ht="24" customHeight="1" spans="2:14">
      <c r="B6746" s="33"/>
      <c r="C6746" s="60"/>
      <c r="D6746" s="60"/>
      <c r="E6746" s="60"/>
      <c r="F6746" s="60"/>
      <c r="G6746" s="60"/>
      <c r="H6746" s="60"/>
      <c r="I6746" s="60"/>
      <c r="J6746" s="60"/>
      <c r="K6746" s="60"/>
      <c r="L6746" s="60"/>
      <c r="M6746" s="64"/>
      <c r="N6746" s="33"/>
    </row>
    <row r="6747" ht="24" customHeight="1" spans="2:14">
      <c r="B6747" s="33"/>
      <c r="C6747" s="60"/>
      <c r="D6747" s="60"/>
      <c r="E6747" s="60"/>
      <c r="F6747" s="60"/>
      <c r="G6747" s="60"/>
      <c r="H6747" s="60"/>
      <c r="I6747" s="60"/>
      <c r="J6747" s="60"/>
      <c r="K6747" s="60"/>
      <c r="L6747" s="60"/>
      <c r="M6747" s="64"/>
      <c r="N6747" s="33"/>
    </row>
    <row r="6748" ht="24" customHeight="1" spans="2:14">
      <c r="B6748" s="33"/>
      <c r="C6748" s="60"/>
      <c r="D6748" s="60"/>
      <c r="E6748" s="60"/>
      <c r="F6748" s="60"/>
      <c r="G6748" s="60"/>
      <c r="H6748" s="60"/>
      <c r="I6748" s="60"/>
      <c r="J6748" s="60"/>
      <c r="K6748" s="60"/>
      <c r="L6748" s="60"/>
      <c r="M6748" s="64"/>
      <c r="N6748" s="33"/>
    </row>
    <row r="6749" ht="24" customHeight="1" spans="2:14">
      <c r="B6749" s="33"/>
      <c r="C6749" s="60"/>
      <c r="D6749" s="60"/>
      <c r="E6749" s="60"/>
      <c r="F6749" s="60"/>
      <c r="G6749" s="60"/>
      <c r="H6749" s="60"/>
      <c r="I6749" s="60"/>
      <c r="J6749" s="60"/>
      <c r="K6749" s="60"/>
      <c r="L6749" s="60"/>
      <c r="M6749" s="64"/>
      <c r="N6749" s="33"/>
    </row>
    <row r="6750" ht="24" customHeight="1" spans="2:14">
      <c r="B6750" s="33"/>
      <c r="C6750" s="60"/>
      <c r="D6750" s="60"/>
      <c r="E6750" s="60"/>
      <c r="F6750" s="60"/>
      <c r="G6750" s="60"/>
      <c r="H6750" s="60"/>
      <c r="I6750" s="60"/>
      <c r="J6750" s="60"/>
      <c r="K6750" s="60"/>
      <c r="L6750" s="60"/>
      <c r="M6750" s="64"/>
      <c r="N6750" s="33"/>
    </row>
    <row r="6751" ht="24" customHeight="1" spans="2:14">
      <c r="B6751" s="33"/>
      <c r="C6751" s="60"/>
      <c r="D6751" s="60"/>
      <c r="E6751" s="60"/>
      <c r="F6751" s="60"/>
      <c r="G6751" s="60"/>
      <c r="H6751" s="60"/>
      <c r="I6751" s="60"/>
      <c r="J6751" s="60"/>
      <c r="K6751" s="60"/>
      <c r="L6751" s="60"/>
      <c r="M6751" s="64"/>
      <c r="N6751" s="33"/>
    </row>
    <row r="6752" ht="24" customHeight="1" spans="2:14">
      <c r="B6752" s="33"/>
      <c r="C6752" s="60"/>
      <c r="D6752" s="60"/>
      <c r="E6752" s="60"/>
      <c r="F6752" s="60"/>
      <c r="G6752" s="60"/>
      <c r="H6752" s="60"/>
      <c r="I6752" s="60"/>
      <c r="J6752" s="60"/>
      <c r="K6752" s="60"/>
      <c r="L6752" s="60"/>
      <c r="M6752" s="64"/>
      <c r="N6752" s="33"/>
    </row>
    <row r="6753" ht="24" customHeight="1" spans="2:14">
      <c r="B6753" s="33"/>
      <c r="C6753" s="60"/>
      <c r="D6753" s="60"/>
      <c r="E6753" s="60"/>
      <c r="F6753" s="60"/>
      <c r="G6753" s="60"/>
      <c r="H6753" s="60"/>
      <c r="I6753" s="60"/>
      <c r="J6753" s="60"/>
      <c r="K6753" s="60"/>
      <c r="L6753" s="60"/>
      <c r="M6753" s="64"/>
      <c r="N6753" s="33"/>
    </row>
    <row r="6754" ht="24" customHeight="1" spans="2:14">
      <c r="B6754" s="33"/>
      <c r="C6754" s="60"/>
      <c r="D6754" s="60"/>
      <c r="E6754" s="60"/>
      <c r="F6754" s="60"/>
      <c r="G6754" s="60"/>
      <c r="H6754" s="60"/>
      <c r="I6754" s="60"/>
      <c r="J6754" s="60"/>
      <c r="K6754" s="60"/>
      <c r="L6754" s="60"/>
      <c r="M6754" s="64"/>
      <c r="N6754" s="33"/>
    </row>
    <row r="6755" ht="24" customHeight="1" spans="2:14">
      <c r="B6755" s="33"/>
      <c r="C6755" s="60"/>
      <c r="D6755" s="60"/>
      <c r="E6755" s="60"/>
      <c r="F6755" s="60"/>
      <c r="G6755" s="60"/>
      <c r="H6755" s="60"/>
      <c r="I6755" s="60"/>
      <c r="J6755" s="60"/>
      <c r="K6755" s="60"/>
      <c r="L6755" s="60"/>
      <c r="M6755" s="64"/>
      <c r="N6755" s="33"/>
    </row>
    <row r="6756" ht="24" customHeight="1" spans="2:14">
      <c r="B6756" s="33"/>
      <c r="C6756" s="60"/>
      <c r="D6756" s="60"/>
      <c r="E6756" s="60"/>
      <c r="F6756" s="60"/>
      <c r="G6756" s="60"/>
      <c r="H6756" s="60"/>
      <c r="I6756" s="60"/>
      <c r="J6756" s="60"/>
      <c r="K6756" s="60"/>
      <c r="L6756" s="60"/>
      <c r="M6756" s="64"/>
      <c r="N6756" s="33"/>
    </row>
    <row r="6757" ht="24" customHeight="1" spans="2:14">
      <c r="B6757" s="33"/>
      <c r="C6757" s="60"/>
      <c r="D6757" s="60"/>
      <c r="E6757" s="60"/>
      <c r="F6757" s="60"/>
      <c r="G6757" s="60"/>
      <c r="H6757" s="60"/>
      <c r="I6757" s="60"/>
      <c r="J6757" s="60"/>
      <c r="K6757" s="60"/>
      <c r="L6757" s="60"/>
      <c r="M6757" s="64"/>
      <c r="N6757" s="33"/>
    </row>
    <row r="6758" ht="24" customHeight="1" spans="2:14">
      <c r="B6758" s="33"/>
      <c r="C6758" s="60"/>
      <c r="D6758" s="60"/>
      <c r="E6758" s="60"/>
      <c r="F6758" s="60"/>
      <c r="G6758" s="60"/>
      <c r="H6758" s="60"/>
      <c r="I6758" s="60"/>
      <c r="J6758" s="60"/>
      <c r="K6758" s="60"/>
      <c r="L6758" s="60"/>
      <c r="M6758" s="64"/>
      <c r="N6758" s="33"/>
    </row>
    <row r="6759" ht="24" customHeight="1" spans="2:14">
      <c r="B6759" s="33"/>
      <c r="C6759" s="60"/>
      <c r="D6759" s="60"/>
      <c r="E6759" s="60"/>
      <c r="F6759" s="60"/>
      <c r="G6759" s="60"/>
      <c r="H6759" s="60"/>
      <c r="I6759" s="60"/>
      <c r="J6759" s="60"/>
      <c r="K6759" s="60"/>
      <c r="L6759" s="60"/>
      <c r="M6759" s="64"/>
      <c r="N6759" s="33"/>
    </row>
    <row r="6760" ht="24" customHeight="1" spans="2:14">
      <c r="B6760" s="33"/>
      <c r="C6760" s="60"/>
      <c r="D6760" s="60"/>
      <c r="E6760" s="60"/>
      <c r="F6760" s="60"/>
      <c r="G6760" s="60"/>
      <c r="H6760" s="60"/>
      <c r="I6760" s="60"/>
      <c r="J6760" s="60"/>
      <c r="K6760" s="60"/>
      <c r="L6760" s="60"/>
      <c r="M6760" s="64"/>
      <c r="N6760" s="33"/>
    </row>
    <row r="6761" ht="24" customHeight="1" spans="2:14">
      <c r="B6761" s="33"/>
      <c r="C6761" s="60"/>
      <c r="D6761" s="60"/>
      <c r="E6761" s="60"/>
      <c r="F6761" s="60"/>
      <c r="G6761" s="60"/>
      <c r="H6761" s="60"/>
      <c r="I6761" s="60"/>
      <c r="J6761" s="60"/>
      <c r="K6761" s="60"/>
      <c r="L6761" s="60"/>
      <c r="M6761" s="64"/>
      <c r="N6761" s="33"/>
    </row>
    <row r="6762" ht="24" customHeight="1" spans="2:14">
      <c r="B6762" s="33"/>
      <c r="C6762" s="60"/>
      <c r="D6762" s="60"/>
      <c r="E6762" s="60"/>
      <c r="F6762" s="60"/>
      <c r="G6762" s="60"/>
      <c r="H6762" s="60"/>
      <c r="I6762" s="60"/>
      <c r="J6762" s="60"/>
      <c r="K6762" s="60"/>
      <c r="L6762" s="60"/>
      <c r="M6762" s="64"/>
      <c r="N6762" s="33"/>
    </row>
    <row r="6763" ht="24" customHeight="1" spans="2:14">
      <c r="B6763" s="33"/>
      <c r="C6763" s="60"/>
      <c r="D6763" s="60"/>
      <c r="E6763" s="60"/>
      <c r="F6763" s="60"/>
      <c r="G6763" s="60"/>
      <c r="H6763" s="60"/>
      <c r="I6763" s="60"/>
      <c r="J6763" s="60"/>
      <c r="K6763" s="60"/>
      <c r="L6763" s="60"/>
      <c r="M6763" s="64"/>
      <c r="N6763" s="33"/>
    </row>
    <row r="6764" ht="24" customHeight="1" spans="2:14">
      <c r="B6764" s="33"/>
      <c r="C6764" s="60"/>
      <c r="D6764" s="60"/>
      <c r="E6764" s="60"/>
      <c r="F6764" s="60"/>
      <c r="G6764" s="60"/>
      <c r="H6764" s="60"/>
      <c r="I6764" s="60"/>
      <c r="J6764" s="60"/>
      <c r="K6764" s="60"/>
      <c r="L6764" s="60"/>
      <c r="M6764" s="64"/>
      <c r="N6764" s="33"/>
    </row>
    <row r="6765" ht="24" customHeight="1" spans="2:14">
      <c r="B6765" s="33"/>
      <c r="C6765" s="60"/>
      <c r="D6765" s="60"/>
      <c r="E6765" s="60"/>
      <c r="F6765" s="60"/>
      <c r="G6765" s="60"/>
      <c r="H6765" s="60"/>
      <c r="I6765" s="60"/>
      <c r="J6765" s="60"/>
      <c r="K6765" s="60"/>
      <c r="L6765" s="60"/>
      <c r="M6765" s="64"/>
      <c r="N6765" s="33"/>
    </row>
    <row r="6766" ht="24" customHeight="1" spans="2:14">
      <c r="B6766" s="33"/>
      <c r="C6766" s="60"/>
      <c r="D6766" s="60"/>
      <c r="E6766" s="60"/>
      <c r="F6766" s="60"/>
      <c r="G6766" s="60"/>
      <c r="H6766" s="60"/>
      <c r="I6766" s="60"/>
      <c r="J6766" s="60"/>
      <c r="K6766" s="60"/>
      <c r="L6766" s="60"/>
      <c r="M6766" s="64"/>
      <c r="N6766" s="33"/>
    </row>
    <row r="6767" ht="24" customHeight="1" spans="2:14">
      <c r="B6767" s="33"/>
      <c r="C6767" s="60"/>
      <c r="D6767" s="60"/>
      <c r="E6767" s="60"/>
      <c r="F6767" s="60"/>
      <c r="G6767" s="60"/>
      <c r="H6767" s="60"/>
      <c r="I6767" s="60"/>
      <c r="J6767" s="60"/>
      <c r="K6767" s="60"/>
      <c r="L6767" s="60"/>
      <c r="M6767" s="64"/>
      <c r="N6767" s="33"/>
    </row>
    <row r="6768" ht="24" customHeight="1" spans="2:14">
      <c r="B6768" s="33"/>
      <c r="C6768" s="60"/>
      <c r="D6768" s="60"/>
      <c r="E6768" s="60"/>
      <c r="F6768" s="60"/>
      <c r="G6768" s="60"/>
      <c r="H6768" s="60"/>
      <c r="I6768" s="60"/>
      <c r="J6768" s="60"/>
      <c r="K6768" s="60"/>
      <c r="L6768" s="60"/>
      <c r="M6768" s="64"/>
      <c r="N6768" s="33"/>
    </row>
    <row r="6769" ht="24" customHeight="1" spans="2:14">
      <c r="B6769" s="33"/>
      <c r="C6769" s="60"/>
      <c r="D6769" s="60"/>
      <c r="E6769" s="60"/>
      <c r="F6769" s="60"/>
      <c r="G6769" s="60"/>
      <c r="H6769" s="60"/>
      <c r="I6769" s="60"/>
      <c r="J6769" s="60"/>
      <c r="K6769" s="60"/>
      <c r="L6769" s="60"/>
      <c r="M6769" s="64"/>
      <c r="N6769" s="33"/>
    </row>
    <row r="6770" ht="24" customHeight="1" spans="2:14">
      <c r="B6770" s="33"/>
      <c r="C6770" s="60"/>
      <c r="D6770" s="60"/>
      <c r="E6770" s="60"/>
      <c r="F6770" s="60"/>
      <c r="G6770" s="60"/>
      <c r="H6770" s="60"/>
      <c r="I6770" s="60"/>
      <c r="J6770" s="60"/>
      <c r="K6770" s="60"/>
      <c r="L6770" s="60"/>
      <c r="M6770" s="64"/>
      <c r="N6770" s="33"/>
    </row>
    <row r="6771" ht="24" customHeight="1" spans="2:14">
      <c r="B6771" s="33"/>
      <c r="C6771" s="60"/>
      <c r="D6771" s="60"/>
      <c r="E6771" s="60"/>
      <c r="F6771" s="60"/>
      <c r="G6771" s="60"/>
      <c r="H6771" s="60"/>
      <c r="I6771" s="60"/>
      <c r="J6771" s="60"/>
      <c r="K6771" s="60"/>
      <c r="L6771" s="60"/>
      <c r="M6771" s="64"/>
      <c r="N6771" s="33"/>
    </row>
    <row r="6772" ht="24" customHeight="1" spans="2:14">
      <c r="B6772" s="33"/>
      <c r="C6772" s="60"/>
      <c r="D6772" s="60"/>
      <c r="E6772" s="60"/>
      <c r="F6772" s="60"/>
      <c r="G6772" s="60"/>
      <c r="H6772" s="60"/>
      <c r="I6772" s="60"/>
      <c r="J6772" s="60"/>
      <c r="K6772" s="60"/>
      <c r="L6772" s="60"/>
      <c r="M6772" s="64"/>
      <c r="N6772" s="33"/>
    </row>
    <row r="6773" ht="24" customHeight="1" spans="2:14">
      <c r="B6773" s="33"/>
      <c r="C6773" s="60"/>
      <c r="D6773" s="60"/>
      <c r="E6773" s="60"/>
      <c r="F6773" s="60"/>
      <c r="G6773" s="60"/>
      <c r="H6773" s="60"/>
      <c r="I6773" s="60"/>
      <c r="J6773" s="60"/>
      <c r="K6773" s="60"/>
      <c r="L6773" s="60"/>
      <c r="M6773" s="64"/>
      <c r="N6773" s="33"/>
    </row>
    <row r="6774" ht="24" customHeight="1" spans="2:14">
      <c r="B6774" s="33"/>
      <c r="C6774" s="60"/>
      <c r="D6774" s="60"/>
      <c r="E6774" s="60"/>
      <c r="F6774" s="60"/>
      <c r="G6774" s="60"/>
      <c r="H6774" s="60"/>
      <c r="I6774" s="60"/>
      <c r="J6774" s="60"/>
      <c r="K6774" s="60"/>
      <c r="L6774" s="60"/>
      <c r="M6774" s="64"/>
      <c r="N6774" s="33"/>
    </row>
    <row r="6775" ht="24" customHeight="1" spans="2:14">
      <c r="B6775" s="33"/>
      <c r="C6775" s="60"/>
      <c r="D6775" s="60"/>
      <c r="E6775" s="60"/>
      <c r="F6775" s="60"/>
      <c r="G6775" s="60"/>
      <c r="H6775" s="60"/>
      <c r="I6775" s="60"/>
      <c r="J6775" s="60"/>
      <c r="K6775" s="60"/>
      <c r="L6775" s="60"/>
      <c r="M6775" s="64"/>
      <c r="N6775" s="33"/>
    </row>
    <row r="6776" ht="24" customHeight="1" spans="2:14">
      <c r="B6776" s="33"/>
      <c r="C6776" s="60"/>
      <c r="D6776" s="60"/>
      <c r="E6776" s="60"/>
      <c r="F6776" s="60"/>
      <c r="G6776" s="60"/>
      <c r="H6776" s="60"/>
      <c r="I6776" s="60"/>
      <c r="J6776" s="60"/>
      <c r="K6776" s="60"/>
      <c r="L6776" s="60"/>
      <c r="M6776" s="64"/>
      <c r="N6776" s="33"/>
    </row>
    <row r="6777" ht="24" customHeight="1" spans="2:14">
      <c r="B6777" s="33"/>
      <c r="C6777" s="60"/>
      <c r="D6777" s="60"/>
      <c r="E6777" s="60"/>
      <c r="F6777" s="60"/>
      <c r="G6777" s="60"/>
      <c r="H6777" s="60"/>
      <c r="I6777" s="60"/>
      <c r="J6777" s="60"/>
      <c r="K6777" s="60"/>
      <c r="L6777" s="60"/>
      <c r="M6777" s="64"/>
      <c r="N6777" s="33"/>
    </row>
    <row r="6778" ht="24" customHeight="1" spans="2:14">
      <c r="B6778" s="33"/>
      <c r="C6778" s="60"/>
      <c r="D6778" s="60"/>
      <c r="E6778" s="60"/>
      <c r="F6778" s="60"/>
      <c r="G6778" s="60"/>
      <c r="H6778" s="60"/>
      <c r="I6778" s="60"/>
      <c r="J6778" s="60"/>
      <c r="K6778" s="60"/>
      <c r="L6778" s="60"/>
      <c r="M6778" s="64"/>
      <c r="N6778" s="33"/>
    </row>
    <row r="6779" ht="24" customHeight="1" spans="2:14">
      <c r="B6779" s="33"/>
      <c r="C6779" s="60"/>
      <c r="D6779" s="60"/>
      <c r="E6779" s="60"/>
      <c r="F6779" s="60"/>
      <c r="G6779" s="60"/>
      <c r="H6779" s="60"/>
      <c r="I6779" s="60"/>
      <c r="J6779" s="60"/>
      <c r="K6779" s="60"/>
      <c r="L6779" s="60"/>
      <c r="M6779" s="64"/>
      <c r="N6779" s="33"/>
    </row>
    <row r="6780" ht="24" customHeight="1" spans="2:14">
      <c r="B6780" s="33"/>
      <c r="C6780" s="60"/>
      <c r="D6780" s="60"/>
      <c r="E6780" s="60"/>
      <c r="F6780" s="60"/>
      <c r="G6780" s="60"/>
      <c r="H6780" s="60"/>
      <c r="I6780" s="60"/>
      <c r="J6780" s="60"/>
      <c r="K6780" s="60"/>
      <c r="L6780" s="60"/>
      <c r="M6780" s="64"/>
      <c r="N6780" s="33"/>
    </row>
    <row r="6781" ht="24" customHeight="1" spans="2:14">
      <c r="B6781" s="33"/>
      <c r="C6781" s="60"/>
      <c r="D6781" s="60"/>
      <c r="E6781" s="60"/>
      <c r="F6781" s="60"/>
      <c r="G6781" s="60"/>
      <c r="H6781" s="60"/>
      <c r="I6781" s="60"/>
      <c r="J6781" s="60"/>
      <c r="K6781" s="60"/>
      <c r="L6781" s="60"/>
      <c r="M6781" s="64"/>
      <c r="N6781" s="33"/>
    </row>
    <row r="6782" ht="24" customHeight="1" spans="2:14">
      <c r="B6782" s="33"/>
      <c r="C6782" s="60"/>
      <c r="D6782" s="60"/>
      <c r="E6782" s="60"/>
      <c r="F6782" s="60"/>
      <c r="G6782" s="60"/>
      <c r="H6782" s="60"/>
      <c r="I6782" s="60"/>
      <c r="J6782" s="60"/>
      <c r="K6782" s="60"/>
      <c r="L6782" s="60"/>
      <c r="M6782" s="64"/>
      <c r="N6782" s="33"/>
    </row>
    <row r="6783" ht="24" customHeight="1" spans="2:14">
      <c r="B6783" s="33"/>
      <c r="C6783" s="60"/>
      <c r="D6783" s="60"/>
      <c r="E6783" s="60"/>
      <c r="F6783" s="60"/>
      <c r="G6783" s="60"/>
      <c r="H6783" s="60"/>
      <c r="I6783" s="60"/>
      <c r="J6783" s="60"/>
      <c r="K6783" s="60"/>
      <c r="L6783" s="60"/>
      <c r="M6783" s="64"/>
      <c r="N6783" s="33"/>
    </row>
    <row r="6784" ht="24" customHeight="1" spans="2:14">
      <c r="B6784" s="33"/>
      <c r="C6784" s="60"/>
      <c r="D6784" s="60"/>
      <c r="E6784" s="60"/>
      <c r="F6784" s="60"/>
      <c r="G6784" s="60"/>
      <c r="H6784" s="60"/>
      <c r="I6784" s="60"/>
      <c r="J6784" s="60"/>
      <c r="K6784" s="60"/>
      <c r="L6784" s="60"/>
      <c r="M6784" s="64"/>
      <c r="N6784" s="33"/>
    </row>
    <row r="6785" ht="24" customHeight="1" spans="2:14">
      <c r="B6785" s="33"/>
      <c r="C6785" s="60"/>
      <c r="D6785" s="60"/>
      <c r="E6785" s="60"/>
      <c r="F6785" s="60"/>
      <c r="G6785" s="60"/>
      <c r="H6785" s="60"/>
      <c r="I6785" s="60"/>
      <c r="J6785" s="60"/>
      <c r="K6785" s="60"/>
      <c r="L6785" s="60"/>
      <c r="M6785" s="64"/>
      <c r="N6785" s="33"/>
    </row>
    <row r="6786" ht="24" customHeight="1" spans="2:14">
      <c r="B6786" s="33"/>
      <c r="C6786" s="60"/>
      <c r="D6786" s="60"/>
      <c r="E6786" s="60"/>
      <c r="F6786" s="60"/>
      <c r="G6786" s="60"/>
      <c r="H6786" s="60"/>
      <c r="I6786" s="60"/>
      <c r="J6786" s="60"/>
      <c r="K6786" s="60"/>
      <c r="L6786" s="60"/>
      <c r="M6786" s="64"/>
      <c r="N6786" s="33"/>
    </row>
    <row r="6787" ht="24" customHeight="1" spans="2:14">
      <c r="B6787" s="33"/>
      <c r="C6787" s="60"/>
      <c r="D6787" s="60"/>
      <c r="E6787" s="60"/>
      <c r="F6787" s="60"/>
      <c r="G6787" s="60"/>
      <c r="H6787" s="60"/>
      <c r="I6787" s="60"/>
      <c r="J6787" s="60"/>
      <c r="K6787" s="60"/>
      <c r="L6787" s="60"/>
      <c r="M6787" s="64"/>
      <c r="N6787" s="33"/>
    </row>
    <row r="6788" ht="24" customHeight="1" spans="2:14">
      <c r="B6788" s="33"/>
      <c r="C6788" s="60"/>
      <c r="D6788" s="60"/>
      <c r="E6788" s="60"/>
      <c r="F6788" s="60"/>
      <c r="G6788" s="60"/>
      <c r="H6788" s="60"/>
      <c r="I6788" s="60"/>
      <c r="J6788" s="60"/>
      <c r="K6788" s="60"/>
      <c r="L6788" s="60"/>
      <c r="M6788" s="64"/>
      <c r="N6788" s="33"/>
    </row>
    <row r="6789" ht="24" customHeight="1" spans="2:14">
      <c r="B6789" s="33"/>
      <c r="C6789" s="60"/>
      <c r="D6789" s="60"/>
      <c r="E6789" s="60"/>
      <c r="F6789" s="60"/>
      <c r="G6789" s="60"/>
      <c r="H6789" s="60"/>
      <c r="I6789" s="60"/>
      <c r="J6789" s="60"/>
      <c r="K6789" s="60"/>
      <c r="L6789" s="60"/>
      <c r="M6789" s="64"/>
      <c r="N6789" s="33"/>
    </row>
    <row r="6790" ht="24" customHeight="1" spans="2:14">
      <c r="B6790" s="33"/>
      <c r="C6790" s="60"/>
      <c r="D6790" s="60"/>
      <c r="E6790" s="60"/>
      <c r="F6790" s="60"/>
      <c r="G6790" s="60"/>
      <c r="H6790" s="60"/>
      <c r="I6790" s="60"/>
      <c r="J6790" s="60"/>
      <c r="K6790" s="60"/>
      <c r="L6790" s="60"/>
      <c r="M6790" s="64"/>
      <c r="N6790" s="33"/>
    </row>
    <row r="6791" ht="24" customHeight="1" spans="2:14">
      <c r="B6791" s="33"/>
      <c r="C6791" s="60"/>
      <c r="D6791" s="60"/>
      <c r="E6791" s="60"/>
      <c r="F6791" s="60"/>
      <c r="G6791" s="60"/>
      <c r="H6791" s="60"/>
      <c r="I6791" s="60"/>
      <c r="J6791" s="60"/>
      <c r="K6791" s="60"/>
      <c r="L6791" s="60"/>
      <c r="M6791" s="64"/>
      <c r="N6791" s="33"/>
    </row>
    <row r="6792" ht="24" customHeight="1" spans="2:14">
      <c r="B6792" s="33"/>
      <c r="C6792" s="60"/>
      <c r="D6792" s="60"/>
      <c r="E6792" s="60"/>
      <c r="F6792" s="60"/>
      <c r="G6792" s="60"/>
      <c r="H6792" s="60"/>
      <c r="I6792" s="60"/>
      <c r="J6792" s="60"/>
      <c r="K6792" s="60"/>
      <c r="L6792" s="60"/>
      <c r="M6792" s="64"/>
      <c r="N6792" s="33"/>
    </row>
    <row r="6793" ht="24" customHeight="1" spans="2:14">
      <c r="B6793" s="33"/>
      <c r="C6793" s="60"/>
      <c r="D6793" s="60"/>
      <c r="E6793" s="60"/>
      <c r="F6793" s="60"/>
      <c r="G6793" s="60"/>
      <c r="H6793" s="60"/>
      <c r="I6793" s="60"/>
      <c r="J6793" s="60"/>
      <c r="K6793" s="60"/>
      <c r="L6793" s="60"/>
      <c r="M6793" s="64"/>
      <c r="N6793" s="33"/>
    </row>
    <row r="6794" ht="24" customHeight="1" spans="2:14">
      <c r="B6794" s="33"/>
      <c r="C6794" s="60"/>
      <c r="D6794" s="60"/>
      <c r="E6794" s="60"/>
      <c r="F6794" s="60"/>
      <c r="G6794" s="60"/>
      <c r="H6794" s="60"/>
      <c r="I6794" s="60"/>
      <c r="J6794" s="60"/>
      <c r="K6794" s="60"/>
      <c r="L6794" s="60"/>
      <c r="M6794" s="64"/>
      <c r="N6794" s="33"/>
    </row>
    <row r="6795" ht="24" customHeight="1" spans="2:14">
      <c r="B6795" s="33"/>
      <c r="C6795" s="60"/>
      <c r="D6795" s="60"/>
      <c r="E6795" s="60"/>
      <c r="F6795" s="60"/>
      <c r="G6795" s="60"/>
      <c r="H6795" s="60"/>
      <c r="I6795" s="60"/>
      <c r="J6795" s="60"/>
      <c r="K6795" s="60"/>
      <c r="L6795" s="60"/>
      <c r="M6795" s="64"/>
      <c r="N6795" s="33"/>
    </row>
    <row r="6796" ht="24" customHeight="1" spans="2:14">
      <c r="B6796" s="33"/>
      <c r="C6796" s="60"/>
      <c r="D6796" s="60"/>
      <c r="E6796" s="60"/>
      <c r="F6796" s="60"/>
      <c r="G6796" s="60"/>
      <c r="H6796" s="60"/>
      <c r="I6796" s="60"/>
      <c r="J6796" s="60"/>
      <c r="K6796" s="60"/>
      <c r="L6796" s="60"/>
      <c r="M6796" s="64"/>
      <c r="N6796" s="33"/>
    </row>
    <row r="6797" ht="24" customHeight="1" spans="2:14">
      <c r="B6797" s="33"/>
      <c r="C6797" s="60"/>
      <c r="D6797" s="60"/>
      <c r="E6797" s="60"/>
      <c r="F6797" s="60"/>
      <c r="G6797" s="60"/>
      <c r="H6797" s="60"/>
      <c r="I6797" s="60"/>
      <c r="J6797" s="60"/>
      <c r="K6797" s="60"/>
      <c r="L6797" s="60"/>
      <c r="M6797" s="64"/>
      <c r="N6797" s="33"/>
    </row>
    <row r="6798" ht="24" customHeight="1" spans="2:14">
      <c r="B6798" s="33"/>
      <c r="C6798" s="60"/>
      <c r="D6798" s="60"/>
      <c r="E6798" s="60"/>
      <c r="F6798" s="60"/>
      <c r="G6798" s="60"/>
      <c r="H6798" s="60"/>
      <c r="I6798" s="60"/>
      <c r="J6798" s="60"/>
      <c r="K6798" s="60"/>
      <c r="L6798" s="60"/>
      <c r="M6798" s="64"/>
      <c r="N6798" s="33"/>
    </row>
    <row r="6799" ht="24" customHeight="1" spans="2:14">
      <c r="B6799" s="33"/>
      <c r="C6799" s="60"/>
      <c r="D6799" s="60"/>
      <c r="E6799" s="60"/>
      <c r="F6799" s="60"/>
      <c r="G6799" s="60"/>
      <c r="H6799" s="60"/>
      <c r="I6799" s="60"/>
      <c r="J6799" s="60"/>
      <c r="K6799" s="60"/>
      <c r="L6799" s="60"/>
      <c r="M6799" s="64"/>
      <c r="N6799" s="33"/>
    </row>
    <row r="6800" ht="24" customHeight="1" spans="2:14">
      <c r="B6800" s="33"/>
      <c r="C6800" s="60"/>
      <c r="D6800" s="60"/>
      <c r="E6800" s="60"/>
      <c r="F6800" s="60"/>
      <c r="G6800" s="60"/>
      <c r="H6800" s="60"/>
      <c r="I6800" s="60"/>
      <c r="J6800" s="60"/>
      <c r="K6800" s="60"/>
      <c r="L6800" s="60"/>
      <c r="M6800" s="64"/>
      <c r="N6800" s="33"/>
    </row>
    <row r="6801" ht="24" customHeight="1" spans="2:14">
      <c r="B6801" s="33"/>
      <c r="C6801" s="60"/>
      <c r="D6801" s="60"/>
      <c r="E6801" s="60"/>
      <c r="F6801" s="60"/>
      <c r="G6801" s="60"/>
      <c r="H6801" s="60"/>
      <c r="I6801" s="60"/>
      <c r="J6801" s="60"/>
      <c r="K6801" s="60"/>
      <c r="L6801" s="60"/>
      <c r="M6801" s="64"/>
      <c r="N6801" s="33"/>
    </row>
    <row r="6802" ht="24" customHeight="1" spans="2:14">
      <c r="B6802" s="33"/>
      <c r="C6802" s="60"/>
      <c r="D6802" s="60"/>
      <c r="E6802" s="60"/>
      <c r="F6802" s="60"/>
      <c r="G6802" s="60"/>
      <c r="H6802" s="60"/>
      <c r="I6802" s="60"/>
      <c r="J6802" s="60"/>
      <c r="K6802" s="60"/>
      <c r="L6802" s="60"/>
      <c r="M6802" s="64"/>
      <c r="N6802" s="33"/>
    </row>
    <row r="6803" ht="24" customHeight="1" spans="2:14">
      <c r="B6803" s="33"/>
      <c r="C6803" s="60"/>
      <c r="D6803" s="60"/>
      <c r="E6803" s="60"/>
      <c r="F6803" s="60"/>
      <c r="G6803" s="60"/>
      <c r="H6803" s="60"/>
      <c r="I6803" s="60"/>
      <c r="J6803" s="60"/>
      <c r="K6803" s="60"/>
      <c r="L6803" s="60"/>
      <c r="M6803" s="64"/>
      <c r="N6803" s="33"/>
    </row>
    <row r="6804" ht="24" customHeight="1" spans="2:14">
      <c r="B6804" s="33"/>
      <c r="C6804" s="60"/>
      <c r="D6804" s="60"/>
      <c r="E6804" s="60"/>
      <c r="F6804" s="60"/>
      <c r="G6804" s="60"/>
      <c r="H6804" s="60"/>
      <c r="I6804" s="60"/>
      <c r="J6804" s="60"/>
      <c r="K6804" s="60"/>
      <c r="L6804" s="60"/>
      <c r="M6804" s="64"/>
      <c r="N6804" s="33"/>
    </row>
    <row r="6805" ht="24" customHeight="1" spans="2:14">
      <c r="B6805" s="33"/>
      <c r="C6805" s="60"/>
      <c r="D6805" s="60"/>
      <c r="E6805" s="60"/>
      <c r="F6805" s="60"/>
      <c r="G6805" s="60"/>
      <c r="H6805" s="60"/>
      <c r="I6805" s="60"/>
      <c r="J6805" s="60"/>
      <c r="K6805" s="60"/>
      <c r="L6805" s="60"/>
      <c r="M6805" s="64"/>
      <c r="N6805" s="33"/>
    </row>
    <row r="6806" ht="24" customHeight="1" spans="2:14">
      <c r="B6806" s="33"/>
      <c r="C6806" s="60"/>
      <c r="D6806" s="60"/>
      <c r="E6806" s="60"/>
      <c r="F6806" s="60"/>
      <c r="G6806" s="60"/>
      <c r="H6806" s="60"/>
      <c r="I6806" s="60"/>
      <c r="J6806" s="60"/>
      <c r="K6806" s="60"/>
      <c r="L6806" s="60"/>
      <c r="M6806" s="64"/>
      <c r="N6806" s="33"/>
    </row>
    <row r="6807" ht="24" customHeight="1" spans="2:14">
      <c r="B6807" s="33"/>
      <c r="C6807" s="60"/>
      <c r="D6807" s="60"/>
      <c r="E6807" s="60"/>
      <c r="F6807" s="60"/>
      <c r="G6807" s="60"/>
      <c r="H6807" s="60"/>
      <c r="I6807" s="60"/>
      <c r="J6807" s="60"/>
      <c r="K6807" s="60"/>
      <c r="L6807" s="60"/>
      <c r="M6807" s="64"/>
      <c r="N6807" s="33"/>
    </row>
    <row r="6808" ht="24" customHeight="1" spans="2:14">
      <c r="B6808" s="33"/>
      <c r="C6808" s="60"/>
      <c r="D6808" s="60"/>
      <c r="E6808" s="60"/>
      <c r="F6808" s="60"/>
      <c r="G6808" s="60"/>
      <c r="H6808" s="60"/>
      <c r="I6808" s="60"/>
      <c r="J6808" s="60"/>
      <c r="K6808" s="60"/>
      <c r="L6808" s="60"/>
      <c r="M6808" s="64"/>
      <c r="N6808" s="33"/>
    </row>
    <row r="6809" ht="24" customHeight="1" spans="2:14">
      <c r="B6809" s="33"/>
      <c r="C6809" s="60"/>
      <c r="D6809" s="60"/>
      <c r="E6809" s="60"/>
      <c r="F6809" s="60"/>
      <c r="G6809" s="60"/>
      <c r="H6809" s="60"/>
      <c r="I6809" s="60"/>
      <c r="J6809" s="60"/>
      <c r="K6809" s="60"/>
      <c r="L6809" s="60"/>
      <c r="M6809" s="64"/>
      <c r="N6809" s="33"/>
    </row>
    <row r="6810" ht="24" customHeight="1" spans="2:14">
      <c r="B6810" s="33"/>
      <c r="C6810" s="60"/>
      <c r="D6810" s="60"/>
      <c r="E6810" s="60"/>
      <c r="F6810" s="60"/>
      <c r="G6810" s="60"/>
      <c r="H6810" s="60"/>
      <c r="I6810" s="60"/>
      <c r="J6810" s="60"/>
      <c r="K6810" s="60"/>
      <c r="L6810" s="60"/>
      <c r="M6810" s="64"/>
      <c r="N6810" s="33"/>
    </row>
    <row r="6811" ht="24" customHeight="1" spans="2:14">
      <c r="B6811" s="33"/>
      <c r="C6811" s="60"/>
      <c r="D6811" s="60"/>
      <c r="E6811" s="60"/>
      <c r="F6811" s="60"/>
      <c r="G6811" s="60"/>
      <c r="H6811" s="60"/>
      <c r="I6811" s="60"/>
      <c r="J6811" s="60"/>
      <c r="K6811" s="60"/>
      <c r="L6811" s="60"/>
      <c r="M6811" s="64"/>
      <c r="N6811" s="33"/>
    </row>
    <row r="6812" ht="24" customHeight="1" spans="2:14">
      <c r="B6812" s="33"/>
      <c r="C6812" s="60"/>
      <c r="D6812" s="60"/>
      <c r="E6812" s="60"/>
      <c r="F6812" s="60"/>
      <c r="G6812" s="60"/>
      <c r="H6812" s="60"/>
      <c r="I6812" s="60"/>
      <c r="J6812" s="60"/>
      <c r="K6812" s="60"/>
      <c r="L6812" s="60"/>
      <c r="M6812" s="64"/>
      <c r="N6812" s="33"/>
    </row>
    <row r="6813" ht="24" customHeight="1" spans="2:14">
      <c r="B6813" s="33"/>
      <c r="C6813" s="60"/>
      <c r="D6813" s="60"/>
      <c r="E6813" s="60"/>
      <c r="F6813" s="60"/>
      <c r="G6813" s="60"/>
      <c r="H6813" s="60"/>
      <c r="I6813" s="60"/>
      <c r="J6813" s="60"/>
      <c r="K6813" s="60"/>
      <c r="L6813" s="60"/>
      <c r="M6813" s="64"/>
      <c r="N6813" s="33"/>
    </row>
    <row r="6814" ht="24" customHeight="1" spans="2:14">
      <c r="B6814" s="33"/>
      <c r="C6814" s="60"/>
      <c r="D6814" s="60"/>
      <c r="E6814" s="60"/>
      <c r="F6814" s="60"/>
      <c r="G6814" s="60"/>
      <c r="H6814" s="60"/>
      <c r="I6814" s="60"/>
      <c r="J6814" s="60"/>
      <c r="K6814" s="60"/>
      <c r="L6814" s="60"/>
      <c r="M6814" s="64"/>
      <c r="N6814" s="33"/>
    </row>
    <row r="6815" ht="24" customHeight="1" spans="2:14">
      <c r="B6815" s="33"/>
      <c r="C6815" s="60"/>
      <c r="D6815" s="60"/>
      <c r="E6815" s="60"/>
      <c r="F6815" s="60"/>
      <c r="G6815" s="60"/>
      <c r="H6815" s="60"/>
      <c r="I6815" s="60"/>
      <c r="J6815" s="60"/>
      <c r="K6815" s="60"/>
      <c r="L6815" s="60"/>
      <c r="M6815" s="64"/>
      <c r="N6815" s="33"/>
    </row>
    <row r="6816" ht="24" customHeight="1" spans="2:14">
      <c r="B6816" s="33"/>
      <c r="C6816" s="60"/>
      <c r="D6816" s="60"/>
      <c r="E6816" s="60"/>
      <c r="F6816" s="60"/>
      <c r="G6816" s="60"/>
      <c r="H6816" s="60"/>
      <c r="I6816" s="60"/>
      <c r="J6816" s="60"/>
      <c r="K6816" s="60"/>
      <c r="L6816" s="60"/>
      <c r="M6816" s="64"/>
      <c r="N6816" s="33"/>
    </row>
    <row r="6817" ht="24" customHeight="1" spans="2:14">
      <c r="B6817" s="33"/>
      <c r="C6817" s="60"/>
      <c r="D6817" s="60"/>
      <c r="E6817" s="60"/>
      <c r="F6817" s="60"/>
      <c r="G6817" s="60"/>
      <c r="H6817" s="60"/>
      <c r="I6817" s="60"/>
      <c r="J6817" s="60"/>
      <c r="K6817" s="60"/>
      <c r="L6817" s="60"/>
      <c r="M6817" s="64"/>
      <c r="N6817" s="33"/>
    </row>
    <row r="6818" ht="24" customHeight="1" spans="2:14">
      <c r="B6818" s="33"/>
      <c r="C6818" s="60"/>
      <c r="D6818" s="60"/>
      <c r="E6818" s="60"/>
      <c r="F6818" s="60"/>
      <c r="G6818" s="60"/>
      <c r="H6818" s="60"/>
      <c r="I6818" s="60"/>
      <c r="J6818" s="60"/>
      <c r="K6818" s="60"/>
      <c r="L6818" s="60"/>
      <c r="M6818" s="64"/>
      <c r="N6818" s="33"/>
    </row>
    <row r="6819" ht="24" customHeight="1" spans="2:14">
      <c r="B6819" s="33"/>
      <c r="C6819" s="60"/>
      <c r="D6819" s="60"/>
      <c r="E6819" s="60"/>
      <c r="F6819" s="60"/>
      <c r="G6819" s="60"/>
      <c r="H6819" s="60"/>
      <c r="I6819" s="60"/>
      <c r="J6819" s="60"/>
      <c r="K6819" s="60"/>
      <c r="L6819" s="60"/>
      <c r="M6819" s="64"/>
      <c r="N6819" s="33"/>
    </row>
    <row r="6820" ht="24" customHeight="1" spans="2:14">
      <c r="B6820" s="33"/>
      <c r="C6820" s="60"/>
      <c r="D6820" s="60"/>
      <c r="E6820" s="60"/>
      <c r="F6820" s="60"/>
      <c r="G6820" s="60"/>
      <c r="H6820" s="60"/>
      <c r="I6820" s="60"/>
      <c r="J6820" s="60"/>
      <c r="K6820" s="60"/>
      <c r="L6820" s="60"/>
      <c r="M6820" s="64"/>
      <c r="N6820" s="33"/>
    </row>
    <row r="6821" ht="24" customHeight="1" spans="2:14">
      <c r="B6821" s="33"/>
      <c r="C6821" s="60"/>
      <c r="D6821" s="60"/>
      <c r="E6821" s="60"/>
      <c r="F6821" s="60"/>
      <c r="G6821" s="60"/>
      <c r="H6821" s="60"/>
      <c r="I6821" s="60"/>
      <c r="J6821" s="60"/>
      <c r="K6821" s="60"/>
      <c r="L6821" s="60"/>
      <c r="M6821" s="64"/>
      <c r="N6821" s="33"/>
    </row>
    <row r="6822" ht="24" customHeight="1" spans="2:14">
      <c r="B6822" s="33"/>
      <c r="C6822" s="60"/>
      <c r="D6822" s="60"/>
      <c r="E6822" s="60"/>
      <c r="F6822" s="60"/>
      <c r="G6822" s="60"/>
      <c r="H6822" s="60"/>
      <c r="I6822" s="60"/>
      <c r="J6822" s="60"/>
      <c r="K6822" s="60"/>
      <c r="L6822" s="60"/>
      <c r="M6822" s="64"/>
      <c r="N6822" s="33"/>
    </row>
    <row r="6823" ht="24" customHeight="1" spans="2:14">
      <c r="B6823" s="33"/>
      <c r="C6823" s="60"/>
      <c r="D6823" s="60"/>
      <c r="E6823" s="60"/>
      <c r="F6823" s="60"/>
      <c r="G6823" s="60"/>
      <c r="H6823" s="60"/>
      <c r="I6823" s="60"/>
      <c r="J6823" s="60"/>
      <c r="K6823" s="60"/>
      <c r="L6823" s="60"/>
      <c r="M6823" s="64"/>
      <c r="N6823" s="33"/>
    </row>
    <row r="6824" ht="24" customHeight="1" spans="2:14">
      <c r="B6824" s="33"/>
      <c r="C6824" s="60"/>
      <c r="D6824" s="60"/>
      <c r="E6824" s="60"/>
      <c r="F6824" s="60"/>
      <c r="G6824" s="60"/>
      <c r="H6824" s="60"/>
      <c r="I6824" s="60"/>
      <c r="J6824" s="60"/>
      <c r="K6824" s="60"/>
      <c r="L6824" s="60"/>
      <c r="M6824" s="64"/>
      <c r="N6824" s="33"/>
    </row>
    <row r="6825" ht="24" customHeight="1" spans="2:14">
      <c r="B6825" s="33"/>
      <c r="C6825" s="60"/>
      <c r="D6825" s="60"/>
      <c r="E6825" s="60"/>
      <c r="F6825" s="60"/>
      <c r="G6825" s="60"/>
      <c r="H6825" s="60"/>
      <c r="I6825" s="60"/>
      <c r="J6825" s="60"/>
      <c r="K6825" s="60"/>
      <c r="L6825" s="60"/>
      <c r="M6825" s="64"/>
      <c r="N6825" s="33"/>
    </row>
    <row r="6826" ht="24" customHeight="1" spans="2:14">
      <c r="B6826" s="33"/>
      <c r="C6826" s="60"/>
      <c r="D6826" s="60"/>
      <c r="E6826" s="60"/>
      <c r="F6826" s="60"/>
      <c r="G6826" s="60"/>
      <c r="H6826" s="60"/>
      <c r="I6826" s="60"/>
      <c r="J6826" s="60"/>
      <c r="K6826" s="60"/>
      <c r="L6826" s="60"/>
      <c r="M6826" s="64"/>
      <c r="N6826" s="33"/>
    </row>
    <row r="6827" ht="24" customHeight="1" spans="2:14">
      <c r="B6827" s="33"/>
      <c r="C6827" s="60"/>
      <c r="D6827" s="60"/>
      <c r="E6827" s="60"/>
      <c r="F6827" s="60"/>
      <c r="G6827" s="60"/>
      <c r="H6827" s="60"/>
      <c r="I6827" s="60"/>
      <c r="J6827" s="60"/>
      <c r="K6827" s="60"/>
      <c r="L6827" s="60"/>
      <c r="M6827" s="64"/>
      <c r="N6827" s="33"/>
    </row>
    <row r="6828" ht="24" customHeight="1" spans="2:14">
      <c r="B6828" s="33"/>
      <c r="C6828" s="60"/>
      <c r="D6828" s="60"/>
      <c r="E6828" s="60"/>
      <c r="F6828" s="60"/>
      <c r="G6828" s="60"/>
      <c r="H6828" s="60"/>
      <c r="I6828" s="60"/>
      <c r="J6828" s="60"/>
      <c r="K6828" s="60"/>
      <c r="L6828" s="60"/>
      <c r="M6828" s="64"/>
      <c r="N6828" s="33"/>
    </row>
    <row r="6829" ht="24" customHeight="1" spans="2:14">
      <c r="B6829" s="33"/>
      <c r="C6829" s="60"/>
      <c r="D6829" s="60"/>
      <c r="E6829" s="60"/>
      <c r="F6829" s="60"/>
      <c r="G6829" s="60"/>
      <c r="H6829" s="60"/>
      <c r="I6829" s="60"/>
      <c r="J6829" s="60"/>
      <c r="K6829" s="60"/>
      <c r="L6829" s="60"/>
      <c r="M6829" s="64"/>
      <c r="N6829" s="33"/>
    </row>
    <row r="6830" ht="24" customHeight="1" spans="2:14">
      <c r="B6830" s="33"/>
      <c r="C6830" s="60"/>
      <c r="D6830" s="60"/>
      <c r="E6830" s="60"/>
      <c r="F6830" s="60"/>
      <c r="G6830" s="60"/>
      <c r="H6830" s="60"/>
      <c r="I6830" s="60"/>
      <c r="J6830" s="60"/>
      <c r="K6830" s="60"/>
      <c r="L6830" s="60"/>
      <c r="M6830" s="64"/>
      <c r="N6830" s="33"/>
    </row>
    <row r="6831" ht="24" customHeight="1" spans="2:14">
      <c r="B6831" s="33"/>
      <c r="C6831" s="60"/>
      <c r="D6831" s="60"/>
      <c r="E6831" s="60"/>
      <c r="F6831" s="60"/>
      <c r="G6831" s="60"/>
      <c r="H6831" s="60"/>
      <c r="I6831" s="60"/>
      <c r="J6831" s="60"/>
      <c r="K6831" s="60"/>
      <c r="L6831" s="60"/>
      <c r="M6831" s="64"/>
      <c r="N6831" s="33"/>
    </row>
    <row r="6832" ht="24" customHeight="1" spans="2:14">
      <c r="B6832" s="33"/>
      <c r="C6832" s="60"/>
      <c r="D6832" s="60"/>
      <c r="E6832" s="60"/>
      <c r="F6832" s="60"/>
      <c r="G6832" s="60"/>
      <c r="H6832" s="60"/>
      <c r="I6832" s="60"/>
      <c r="J6832" s="60"/>
      <c r="K6832" s="60"/>
      <c r="L6832" s="60"/>
      <c r="M6832" s="64"/>
      <c r="N6832" s="33"/>
    </row>
    <row r="6833" ht="24" customHeight="1" spans="2:14">
      <c r="B6833" s="33"/>
      <c r="C6833" s="60"/>
      <c r="D6833" s="60"/>
      <c r="E6833" s="60"/>
      <c r="F6833" s="60"/>
      <c r="G6833" s="60"/>
      <c r="H6833" s="60"/>
      <c r="I6833" s="60"/>
      <c r="J6833" s="60"/>
      <c r="K6833" s="60"/>
      <c r="L6833" s="60"/>
      <c r="M6833" s="64"/>
      <c r="N6833" s="33"/>
    </row>
    <row r="6834" ht="24" customHeight="1" spans="2:14">
      <c r="B6834" s="33"/>
      <c r="C6834" s="60"/>
      <c r="D6834" s="60"/>
      <c r="E6834" s="60"/>
      <c r="F6834" s="60"/>
      <c r="G6834" s="60"/>
      <c r="H6834" s="60"/>
      <c r="I6834" s="60"/>
      <c r="J6834" s="60"/>
      <c r="K6834" s="60"/>
      <c r="L6834" s="60"/>
      <c r="M6834" s="64"/>
      <c r="N6834" s="33"/>
    </row>
    <row r="6835" ht="24" customHeight="1" spans="2:14">
      <c r="B6835" s="33"/>
      <c r="C6835" s="60"/>
      <c r="D6835" s="60"/>
      <c r="E6835" s="60"/>
      <c r="F6835" s="60"/>
      <c r="G6835" s="60"/>
      <c r="H6835" s="60"/>
      <c r="I6835" s="60"/>
      <c r="J6835" s="60"/>
      <c r="K6835" s="60"/>
      <c r="L6835" s="60"/>
      <c r="M6835" s="64"/>
      <c r="N6835" s="33"/>
    </row>
    <row r="6836" ht="24" customHeight="1" spans="2:14">
      <c r="B6836" s="33"/>
      <c r="C6836" s="60"/>
      <c r="D6836" s="60"/>
      <c r="E6836" s="60"/>
      <c r="F6836" s="60"/>
      <c r="G6836" s="60"/>
      <c r="H6836" s="60"/>
      <c r="I6836" s="60"/>
      <c r="J6836" s="60"/>
      <c r="K6836" s="60"/>
      <c r="L6836" s="60"/>
      <c r="M6836" s="64"/>
      <c r="N6836" s="33"/>
    </row>
    <row r="6837" ht="24" customHeight="1" spans="2:14">
      <c r="B6837" s="33"/>
      <c r="C6837" s="60"/>
      <c r="D6837" s="60"/>
      <c r="E6837" s="60"/>
      <c r="F6837" s="60"/>
      <c r="G6837" s="60"/>
      <c r="H6837" s="60"/>
      <c r="I6837" s="60"/>
      <c r="J6837" s="60"/>
      <c r="K6837" s="60"/>
      <c r="L6837" s="60"/>
      <c r="M6837" s="64"/>
      <c r="N6837" s="33"/>
    </row>
    <row r="6838" ht="24" customHeight="1" spans="2:14">
      <c r="B6838" s="33"/>
      <c r="C6838" s="60"/>
      <c r="D6838" s="60"/>
      <c r="E6838" s="60"/>
      <c r="F6838" s="60"/>
      <c r="G6838" s="60"/>
      <c r="H6838" s="60"/>
      <c r="I6838" s="60"/>
      <c r="J6838" s="60"/>
      <c r="K6838" s="60"/>
      <c r="L6838" s="60"/>
      <c r="M6838" s="64"/>
      <c r="N6838" s="33"/>
    </row>
    <row r="6839" ht="24" customHeight="1" spans="2:14">
      <c r="B6839" s="33"/>
      <c r="C6839" s="60"/>
      <c r="D6839" s="60"/>
      <c r="E6839" s="60"/>
      <c r="F6839" s="60"/>
      <c r="G6839" s="60"/>
      <c r="H6839" s="60"/>
      <c r="I6839" s="60"/>
      <c r="J6839" s="60"/>
      <c r="K6839" s="60"/>
      <c r="L6839" s="60"/>
      <c r="M6839" s="64"/>
      <c r="N6839" s="33"/>
    </row>
    <row r="6840" ht="24" customHeight="1" spans="2:14">
      <c r="B6840" s="33"/>
      <c r="C6840" s="60"/>
      <c r="D6840" s="60"/>
      <c r="E6840" s="60"/>
      <c r="F6840" s="60"/>
      <c r="G6840" s="60"/>
      <c r="H6840" s="60"/>
      <c r="I6840" s="60"/>
      <c r="J6840" s="60"/>
      <c r="K6840" s="60"/>
      <c r="L6840" s="60"/>
      <c r="M6840" s="64"/>
      <c r="N6840" s="33"/>
    </row>
    <row r="6841" ht="24" customHeight="1" spans="2:14">
      <c r="B6841" s="33"/>
      <c r="C6841" s="60"/>
      <c r="D6841" s="60"/>
      <c r="E6841" s="60"/>
      <c r="F6841" s="60"/>
      <c r="G6841" s="60"/>
      <c r="H6841" s="60"/>
      <c r="I6841" s="60"/>
      <c r="J6841" s="60"/>
      <c r="K6841" s="60"/>
      <c r="L6841" s="60"/>
      <c r="M6841" s="64"/>
      <c r="N6841" s="33"/>
    </row>
    <row r="6842" ht="24" customHeight="1" spans="2:14">
      <c r="B6842" s="33"/>
      <c r="C6842" s="60"/>
      <c r="D6842" s="60"/>
      <c r="E6842" s="60"/>
      <c r="F6842" s="60"/>
      <c r="G6842" s="60"/>
      <c r="H6842" s="60"/>
      <c r="I6842" s="60"/>
      <c r="J6842" s="60"/>
      <c r="K6842" s="60"/>
      <c r="L6842" s="60"/>
      <c r="M6842" s="64"/>
      <c r="N6842" s="33"/>
    </row>
    <row r="6843" ht="24" customHeight="1" spans="2:14">
      <c r="B6843" s="33"/>
      <c r="C6843" s="60"/>
      <c r="D6843" s="60"/>
      <c r="E6843" s="60"/>
      <c r="F6843" s="60"/>
      <c r="G6843" s="60"/>
      <c r="H6843" s="60"/>
      <c r="I6843" s="60"/>
      <c r="J6843" s="60"/>
      <c r="K6843" s="60"/>
      <c r="L6843" s="60"/>
      <c r="M6843" s="64"/>
      <c r="N6843" s="33"/>
    </row>
    <row r="6844" ht="24" customHeight="1" spans="2:14">
      <c r="B6844" s="33"/>
      <c r="C6844" s="60"/>
      <c r="D6844" s="60"/>
      <c r="E6844" s="60"/>
      <c r="F6844" s="60"/>
      <c r="G6844" s="60"/>
      <c r="H6844" s="60"/>
      <c r="I6844" s="60"/>
      <c r="J6844" s="60"/>
      <c r="K6844" s="60"/>
      <c r="L6844" s="60"/>
      <c r="M6844" s="64"/>
      <c r="N6844" s="33"/>
    </row>
    <row r="6845" ht="24" customHeight="1" spans="2:14">
      <c r="B6845" s="33"/>
      <c r="C6845" s="60"/>
      <c r="D6845" s="60"/>
      <c r="E6845" s="60"/>
      <c r="F6845" s="60"/>
      <c r="G6845" s="60"/>
      <c r="H6845" s="60"/>
      <c r="I6845" s="60"/>
      <c r="J6845" s="60"/>
      <c r="K6845" s="60"/>
      <c r="L6845" s="60"/>
      <c r="M6845" s="64"/>
      <c r="N6845" s="33"/>
    </row>
    <row r="6846" ht="24" customHeight="1" spans="2:14">
      <c r="B6846" s="33"/>
      <c r="C6846" s="60"/>
      <c r="D6846" s="60"/>
      <c r="E6846" s="60"/>
      <c r="F6846" s="60"/>
      <c r="G6846" s="60"/>
      <c r="H6846" s="60"/>
      <c r="I6846" s="60"/>
      <c r="J6846" s="60"/>
      <c r="K6846" s="60"/>
      <c r="L6846" s="60"/>
      <c r="M6846" s="64"/>
      <c r="N6846" s="33"/>
    </row>
    <row r="6847" ht="24" customHeight="1" spans="2:14">
      <c r="B6847" s="33"/>
      <c r="C6847" s="60"/>
      <c r="D6847" s="60"/>
      <c r="E6847" s="60"/>
      <c r="F6847" s="60"/>
      <c r="G6847" s="60"/>
      <c r="H6847" s="60"/>
      <c r="I6847" s="60"/>
      <c r="J6847" s="60"/>
      <c r="K6847" s="60"/>
      <c r="L6847" s="60"/>
      <c r="M6847" s="64"/>
      <c r="N6847" s="33"/>
    </row>
    <row r="6848" ht="24" customHeight="1" spans="2:14">
      <c r="B6848" s="33"/>
      <c r="C6848" s="60"/>
      <c r="D6848" s="60"/>
      <c r="E6848" s="60"/>
      <c r="F6848" s="60"/>
      <c r="G6848" s="60"/>
      <c r="H6848" s="60"/>
      <c r="I6848" s="60"/>
      <c r="J6848" s="60"/>
      <c r="K6848" s="60"/>
      <c r="L6848" s="60"/>
      <c r="M6848" s="64"/>
      <c r="N6848" s="33"/>
    </row>
    <row r="6849" ht="24" customHeight="1" spans="2:14">
      <c r="B6849" s="33"/>
      <c r="C6849" s="60"/>
      <c r="D6849" s="60"/>
      <c r="E6849" s="60"/>
      <c r="F6849" s="60"/>
      <c r="G6849" s="60"/>
      <c r="H6849" s="60"/>
      <c r="I6849" s="60"/>
      <c r="J6849" s="60"/>
      <c r="K6849" s="60"/>
      <c r="L6849" s="60"/>
      <c r="M6849" s="64"/>
      <c r="N6849" s="33"/>
    </row>
    <row r="6850" ht="24" customHeight="1" spans="2:14">
      <c r="B6850" s="33"/>
      <c r="C6850" s="60"/>
      <c r="D6850" s="60"/>
      <c r="E6850" s="60"/>
      <c r="F6850" s="60"/>
      <c r="G6850" s="60"/>
      <c r="H6850" s="60"/>
      <c r="I6850" s="60"/>
      <c r="J6850" s="60"/>
      <c r="K6850" s="60"/>
      <c r="L6850" s="60"/>
      <c r="M6850" s="64"/>
      <c r="N6850" s="33"/>
    </row>
    <row r="6851" ht="24" customHeight="1" spans="2:14">
      <c r="B6851" s="33"/>
      <c r="C6851" s="60"/>
      <c r="D6851" s="60"/>
      <c r="E6851" s="60"/>
      <c r="F6851" s="60"/>
      <c r="G6851" s="60"/>
      <c r="H6851" s="60"/>
      <c r="I6851" s="60"/>
      <c r="J6851" s="60"/>
      <c r="K6851" s="60"/>
      <c r="L6851" s="60"/>
      <c r="M6851" s="64"/>
      <c r="N6851" s="33"/>
    </row>
    <row r="6852" ht="24" customHeight="1" spans="2:14">
      <c r="B6852" s="33"/>
      <c r="C6852" s="60"/>
      <c r="D6852" s="60"/>
      <c r="E6852" s="60"/>
      <c r="F6852" s="60"/>
      <c r="G6852" s="60"/>
      <c r="H6852" s="60"/>
      <c r="I6852" s="60"/>
      <c r="J6852" s="60"/>
      <c r="K6852" s="60"/>
      <c r="L6852" s="60"/>
      <c r="M6852" s="64"/>
      <c r="N6852" s="33"/>
    </row>
    <row r="6853" ht="24" customHeight="1" spans="2:14">
      <c r="B6853" s="33"/>
      <c r="C6853" s="60"/>
      <c r="D6853" s="60"/>
      <c r="E6853" s="60"/>
      <c r="F6853" s="60"/>
      <c r="G6853" s="60"/>
      <c r="H6853" s="60"/>
      <c r="I6853" s="60"/>
      <c r="J6853" s="60"/>
      <c r="K6853" s="60"/>
      <c r="L6853" s="60"/>
      <c r="M6853" s="64"/>
      <c r="N6853" s="33"/>
    </row>
    <row r="6854" ht="24" customHeight="1" spans="2:14">
      <c r="B6854" s="33"/>
      <c r="C6854" s="60"/>
      <c r="D6854" s="60"/>
      <c r="E6854" s="60"/>
      <c r="F6854" s="60"/>
      <c r="G6854" s="60"/>
      <c r="H6854" s="60"/>
      <c r="I6854" s="60"/>
      <c r="J6854" s="60"/>
      <c r="K6854" s="60"/>
      <c r="L6854" s="60"/>
      <c r="M6854" s="64"/>
      <c r="N6854" s="33"/>
    </row>
    <row r="6855" ht="24" customHeight="1" spans="2:14">
      <c r="B6855" s="33"/>
      <c r="C6855" s="60"/>
      <c r="D6855" s="60"/>
      <c r="E6855" s="60"/>
      <c r="F6855" s="60"/>
      <c r="G6855" s="60"/>
      <c r="H6855" s="60"/>
      <c r="I6855" s="60"/>
      <c r="J6855" s="60"/>
      <c r="K6855" s="60"/>
      <c r="L6855" s="60"/>
      <c r="M6855" s="64"/>
      <c r="N6855" s="33"/>
    </row>
    <row r="6856" ht="24" customHeight="1" spans="2:14">
      <c r="B6856" s="33"/>
      <c r="C6856" s="60"/>
      <c r="D6856" s="60"/>
      <c r="E6856" s="60"/>
      <c r="F6856" s="60"/>
      <c r="G6856" s="60"/>
      <c r="H6856" s="60"/>
      <c r="I6856" s="60"/>
      <c r="J6856" s="60"/>
      <c r="K6856" s="60"/>
      <c r="L6856" s="60"/>
      <c r="M6856" s="64"/>
      <c r="N6856" s="33"/>
    </row>
    <row r="6857" ht="24" customHeight="1" spans="2:14">
      <c r="B6857" s="33"/>
      <c r="C6857" s="60"/>
      <c r="D6857" s="60"/>
      <c r="E6857" s="60"/>
      <c r="F6857" s="60"/>
      <c r="G6857" s="60"/>
      <c r="H6857" s="60"/>
      <c r="I6857" s="60"/>
      <c r="J6857" s="60"/>
      <c r="K6857" s="60"/>
      <c r="L6857" s="60"/>
      <c r="M6857" s="64"/>
      <c r="N6857" s="33"/>
    </row>
    <row r="6858" ht="24" customHeight="1" spans="2:14">
      <c r="B6858" s="33"/>
      <c r="C6858" s="60"/>
      <c r="D6858" s="60"/>
      <c r="E6858" s="60"/>
      <c r="F6858" s="60"/>
      <c r="G6858" s="60"/>
      <c r="H6858" s="60"/>
      <c r="I6858" s="60"/>
      <c r="J6858" s="60"/>
      <c r="K6858" s="60"/>
      <c r="L6858" s="60"/>
      <c r="M6858" s="64"/>
      <c r="N6858" s="33"/>
    </row>
    <row r="6859" ht="24" customHeight="1" spans="2:14">
      <c r="B6859" s="33"/>
      <c r="C6859" s="60"/>
      <c r="D6859" s="60"/>
      <c r="E6859" s="60"/>
      <c r="F6859" s="60"/>
      <c r="G6859" s="60"/>
      <c r="H6859" s="60"/>
      <c r="I6859" s="60"/>
      <c r="J6859" s="60"/>
      <c r="K6859" s="60"/>
      <c r="L6859" s="60"/>
      <c r="M6859" s="64"/>
      <c r="N6859" s="33"/>
    </row>
    <row r="6860" ht="24" customHeight="1" spans="2:14">
      <c r="B6860" s="33"/>
      <c r="C6860" s="60"/>
      <c r="D6860" s="60"/>
      <c r="E6860" s="60"/>
      <c r="F6860" s="60"/>
      <c r="G6860" s="60"/>
      <c r="H6860" s="60"/>
      <c r="I6860" s="60"/>
      <c r="J6860" s="60"/>
      <c r="K6860" s="60"/>
      <c r="L6860" s="60"/>
      <c r="M6860" s="64"/>
      <c r="N6860" s="33"/>
    </row>
    <row r="6861" ht="24" customHeight="1" spans="2:14">
      <c r="B6861" s="33"/>
      <c r="C6861" s="60"/>
      <c r="D6861" s="60"/>
      <c r="E6861" s="60"/>
      <c r="F6861" s="60"/>
      <c r="G6861" s="60"/>
      <c r="H6861" s="60"/>
      <c r="I6861" s="60"/>
      <c r="J6861" s="60"/>
      <c r="K6861" s="60"/>
      <c r="L6861" s="60"/>
      <c r="M6861" s="64"/>
      <c r="N6861" s="33"/>
    </row>
    <row r="6862" ht="24" customHeight="1" spans="2:14">
      <c r="B6862" s="33"/>
      <c r="C6862" s="60"/>
      <c r="D6862" s="60"/>
      <c r="E6862" s="60"/>
      <c r="F6862" s="60"/>
      <c r="G6862" s="60"/>
      <c r="H6862" s="60"/>
      <c r="I6862" s="60"/>
      <c r="J6862" s="60"/>
      <c r="K6862" s="60"/>
      <c r="L6862" s="60"/>
      <c r="M6862" s="64"/>
      <c r="N6862" s="33"/>
    </row>
    <row r="6863" ht="24" customHeight="1" spans="2:14">
      <c r="B6863" s="33"/>
      <c r="C6863" s="60"/>
      <c r="D6863" s="60"/>
      <c r="E6863" s="60"/>
      <c r="F6863" s="60"/>
      <c r="G6863" s="60"/>
      <c r="H6863" s="60"/>
      <c r="I6863" s="60"/>
      <c r="J6863" s="60"/>
      <c r="K6863" s="60"/>
      <c r="L6863" s="60"/>
      <c r="M6863" s="64"/>
      <c r="N6863" s="33"/>
    </row>
    <row r="6864" ht="24" customHeight="1" spans="2:14">
      <c r="B6864" s="33"/>
      <c r="C6864" s="60"/>
      <c r="D6864" s="60"/>
      <c r="E6864" s="60"/>
      <c r="F6864" s="60"/>
      <c r="G6864" s="60"/>
      <c r="H6864" s="60"/>
      <c r="I6864" s="60"/>
      <c r="J6864" s="60"/>
      <c r="K6864" s="60"/>
      <c r="L6864" s="60"/>
      <c r="M6864" s="64"/>
      <c r="N6864" s="33"/>
    </row>
    <row r="6865" ht="24" customHeight="1" spans="2:14">
      <c r="B6865" s="33"/>
      <c r="C6865" s="60"/>
      <c r="D6865" s="60"/>
      <c r="E6865" s="60"/>
      <c r="F6865" s="60"/>
      <c r="G6865" s="60"/>
      <c r="H6865" s="60"/>
      <c r="I6865" s="60"/>
      <c r="J6865" s="60"/>
      <c r="K6865" s="60"/>
      <c r="L6865" s="60"/>
      <c r="M6865" s="64"/>
      <c r="N6865" s="33"/>
    </row>
    <row r="6866" ht="24" customHeight="1" spans="2:14">
      <c r="B6866" s="33"/>
      <c r="C6866" s="60"/>
      <c r="D6866" s="60"/>
      <c r="E6866" s="60"/>
      <c r="F6866" s="60"/>
      <c r="G6866" s="60"/>
      <c r="H6866" s="60"/>
      <c r="I6866" s="60"/>
      <c r="J6866" s="60"/>
      <c r="K6866" s="60"/>
      <c r="L6866" s="60"/>
      <c r="M6866" s="64"/>
      <c r="N6866" s="33"/>
    </row>
    <row r="6867" ht="24" customHeight="1" spans="2:14">
      <c r="B6867" s="33"/>
      <c r="C6867" s="60"/>
      <c r="D6867" s="60"/>
      <c r="E6867" s="60"/>
      <c r="F6867" s="60"/>
      <c r="G6867" s="60"/>
      <c r="H6867" s="60"/>
      <c r="I6867" s="60"/>
      <c r="J6867" s="60"/>
      <c r="K6867" s="60"/>
      <c r="L6867" s="60"/>
      <c r="M6867" s="64"/>
      <c r="N6867" s="33"/>
    </row>
    <row r="6868" ht="24" customHeight="1" spans="2:14">
      <c r="B6868" s="33"/>
      <c r="C6868" s="60"/>
      <c r="D6868" s="60"/>
      <c r="E6868" s="60"/>
      <c r="F6868" s="60"/>
      <c r="G6868" s="60"/>
      <c r="H6868" s="60"/>
      <c r="I6868" s="60"/>
      <c r="J6868" s="60"/>
      <c r="K6868" s="60"/>
      <c r="L6868" s="60"/>
      <c r="M6868" s="64"/>
      <c r="N6868" s="33"/>
    </row>
    <row r="6869" ht="24" customHeight="1" spans="2:14">
      <c r="B6869" s="33"/>
      <c r="C6869" s="60"/>
      <c r="D6869" s="60"/>
      <c r="E6869" s="60"/>
      <c r="F6869" s="60"/>
      <c r="G6869" s="60"/>
      <c r="H6869" s="60"/>
      <c r="I6869" s="60"/>
      <c r="J6869" s="60"/>
      <c r="K6869" s="60"/>
      <c r="L6869" s="60"/>
      <c r="M6869" s="64"/>
      <c r="N6869" s="33"/>
    </row>
    <row r="6870" ht="24" customHeight="1" spans="2:14">
      <c r="B6870" s="33"/>
      <c r="C6870" s="60"/>
      <c r="D6870" s="60"/>
      <c r="E6870" s="60"/>
      <c r="F6870" s="60"/>
      <c r="G6870" s="60"/>
      <c r="H6870" s="60"/>
      <c r="I6870" s="60"/>
      <c r="J6870" s="60"/>
      <c r="K6870" s="60"/>
      <c r="L6870" s="60"/>
      <c r="M6870" s="64"/>
      <c r="N6870" s="33"/>
    </row>
    <row r="6871" ht="24" customHeight="1" spans="2:14">
      <c r="B6871" s="33"/>
      <c r="C6871" s="60"/>
      <c r="D6871" s="60"/>
      <c r="E6871" s="60"/>
      <c r="F6871" s="60"/>
      <c r="G6871" s="60"/>
      <c r="H6871" s="60"/>
      <c r="I6871" s="60"/>
      <c r="J6871" s="60"/>
      <c r="K6871" s="60"/>
      <c r="L6871" s="60"/>
      <c r="M6871" s="64"/>
      <c r="N6871" s="33"/>
    </row>
    <row r="6872" ht="24" customHeight="1" spans="2:14">
      <c r="B6872" s="33"/>
      <c r="C6872" s="60"/>
      <c r="D6872" s="60"/>
      <c r="E6872" s="60"/>
      <c r="F6872" s="60"/>
      <c r="G6872" s="60"/>
      <c r="H6872" s="60"/>
      <c r="I6872" s="60"/>
      <c r="J6872" s="60"/>
      <c r="K6872" s="60"/>
      <c r="L6872" s="60"/>
      <c r="M6872" s="64"/>
      <c r="N6872" s="33"/>
    </row>
    <row r="6873" ht="24" customHeight="1" spans="2:14">
      <c r="B6873" s="33"/>
      <c r="C6873" s="60"/>
      <c r="D6873" s="60"/>
      <c r="E6873" s="60"/>
      <c r="F6873" s="60"/>
      <c r="G6873" s="60"/>
      <c r="H6873" s="60"/>
      <c r="I6873" s="60"/>
      <c r="J6873" s="60"/>
      <c r="K6873" s="60"/>
      <c r="L6873" s="60"/>
      <c r="M6873" s="64"/>
      <c r="N6873" s="33"/>
    </row>
    <row r="6874" ht="24" customHeight="1" spans="2:14">
      <c r="B6874" s="33"/>
      <c r="C6874" s="60"/>
      <c r="D6874" s="60"/>
      <c r="E6874" s="60"/>
      <c r="F6874" s="60"/>
      <c r="G6874" s="60"/>
      <c r="H6874" s="60"/>
      <c r="I6874" s="60"/>
      <c r="J6874" s="60"/>
      <c r="K6874" s="60"/>
      <c r="L6874" s="60"/>
      <c r="M6874" s="64"/>
      <c r="N6874" s="33"/>
    </row>
    <row r="6875" ht="24" customHeight="1" spans="2:14">
      <c r="B6875" s="33"/>
      <c r="C6875" s="60"/>
      <c r="D6875" s="60"/>
      <c r="E6875" s="60"/>
      <c r="F6875" s="60"/>
      <c r="G6875" s="60"/>
      <c r="H6875" s="60"/>
      <c r="I6875" s="60"/>
      <c r="J6875" s="60"/>
      <c r="K6875" s="60"/>
      <c r="L6875" s="60"/>
      <c r="M6875" s="64"/>
      <c r="N6875" s="33"/>
    </row>
    <row r="6876" ht="24" customHeight="1" spans="2:14">
      <c r="B6876" s="33"/>
      <c r="C6876" s="60"/>
      <c r="D6876" s="60"/>
      <c r="E6876" s="60"/>
      <c r="F6876" s="60"/>
      <c r="G6876" s="60"/>
      <c r="H6876" s="60"/>
      <c r="I6876" s="60"/>
      <c r="J6876" s="60"/>
      <c r="K6876" s="60"/>
      <c r="L6876" s="60"/>
      <c r="M6876" s="64"/>
      <c r="N6876" s="33"/>
    </row>
    <row r="6877" ht="24" customHeight="1" spans="2:14">
      <c r="B6877" s="33"/>
      <c r="C6877" s="60"/>
      <c r="D6877" s="60"/>
      <c r="E6877" s="60"/>
      <c r="F6877" s="60"/>
      <c r="G6877" s="60"/>
      <c r="H6877" s="60"/>
      <c r="I6877" s="60"/>
      <c r="J6877" s="60"/>
      <c r="K6877" s="60"/>
      <c r="L6877" s="60"/>
      <c r="M6877" s="64"/>
      <c r="N6877" s="33"/>
    </row>
    <row r="6878" ht="24" customHeight="1" spans="2:14">
      <c r="B6878" s="33"/>
      <c r="C6878" s="60"/>
      <c r="D6878" s="60"/>
      <c r="E6878" s="60"/>
      <c r="F6878" s="60"/>
      <c r="G6878" s="60"/>
      <c r="H6878" s="60"/>
      <c r="I6878" s="60"/>
      <c r="J6878" s="60"/>
      <c r="K6878" s="60"/>
      <c r="L6878" s="60"/>
      <c r="M6878" s="64"/>
      <c r="N6878" s="33"/>
    </row>
    <row r="6879" ht="24" customHeight="1" spans="2:14">
      <c r="B6879" s="33"/>
      <c r="C6879" s="60"/>
      <c r="D6879" s="60"/>
      <c r="E6879" s="60"/>
      <c r="F6879" s="60"/>
      <c r="G6879" s="60"/>
      <c r="H6879" s="60"/>
      <c r="I6879" s="60"/>
      <c r="J6879" s="60"/>
      <c r="K6879" s="60"/>
      <c r="L6879" s="60"/>
      <c r="M6879" s="64"/>
      <c r="N6879" s="33"/>
    </row>
    <row r="6880" ht="24" customHeight="1" spans="2:14">
      <c r="B6880" s="33"/>
      <c r="C6880" s="60"/>
      <c r="D6880" s="60"/>
      <c r="E6880" s="60"/>
      <c r="F6880" s="60"/>
      <c r="G6880" s="60"/>
      <c r="H6880" s="60"/>
      <c r="I6880" s="60"/>
      <c r="J6880" s="60"/>
      <c r="K6880" s="60"/>
      <c r="L6880" s="60"/>
      <c r="M6880" s="64"/>
      <c r="N6880" s="33"/>
    </row>
    <row r="6881" ht="24" customHeight="1" spans="2:14">
      <c r="B6881" s="33"/>
      <c r="C6881" s="60"/>
      <c r="D6881" s="60"/>
      <c r="E6881" s="60"/>
      <c r="F6881" s="60"/>
      <c r="G6881" s="60"/>
      <c r="H6881" s="60"/>
      <c r="I6881" s="60"/>
      <c r="J6881" s="60"/>
      <c r="K6881" s="60"/>
      <c r="L6881" s="60"/>
      <c r="M6881" s="64"/>
      <c r="N6881" s="33"/>
    </row>
    <row r="6882" ht="24" customHeight="1" spans="2:14">
      <c r="B6882" s="33"/>
      <c r="C6882" s="60"/>
      <c r="D6882" s="60"/>
      <c r="E6882" s="60"/>
      <c r="F6882" s="60"/>
      <c r="G6882" s="60"/>
      <c r="H6882" s="60"/>
      <c r="I6882" s="60"/>
      <c r="J6882" s="60"/>
      <c r="K6882" s="60"/>
      <c r="L6882" s="60"/>
      <c r="M6882" s="64"/>
      <c r="N6882" s="33"/>
    </row>
    <row r="6883" ht="24" customHeight="1" spans="2:14">
      <c r="B6883" s="33"/>
      <c r="C6883" s="60"/>
      <c r="D6883" s="60"/>
      <c r="E6883" s="60"/>
      <c r="F6883" s="60"/>
      <c r="G6883" s="60"/>
      <c r="H6883" s="60"/>
      <c r="I6883" s="60"/>
      <c r="J6883" s="60"/>
      <c r="K6883" s="60"/>
      <c r="L6883" s="60"/>
      <c r="M6883" s="64"/>
      <c r="N6883" s="33"/>
    </row>
    <row r="6884" ht="24" customHeight="1" spans="2:14">
      <c r="B6884" s="33"/>
      <c r="C6884" s="60"/>
      <c r="D6884" s="60"/>
      <c r="E6884" s="60"/>
      <c r="F6884" s="60"/>
      <c r="G6884" s="60"/>
      <c r="H6884" s="60"/>
      <c r="I6884" s="60"/>
      <c r="J6884" s="60"/>
      <c r="K6884" s="60"/>
      <c r="L6884" s="60"/>
      <c r="M6884" s="64"/>
      <c r="N6884" s="33"/>
    </row>
    <row r="6885" ht="24" customHeight="1" spans="2:14">
      <c r="B6885" s="33"/>
      <c r="C6885" s="60"/>
      <c r="D6885" s="60"/>
      <c r="E6885" s="60"/>
      <c r="F6885" s="60"/>
      <c r="G6885" s="60"/>
      <c r="H6885" s="60"/>
      <c r="I6885" s="60"/>
      <c r="J6885" s="60"/>
      <c r="K6885" s="60"/>
      <c r="L6885" s="60"/>
      <c r="M6885" s="64"/>
      <c r="N6885" s="33"/>
    </row>
    <row r="6886" ht="24" customHeight="1" spans="2:14">
      <c r="B6886" s="33"/>
      <c r="C6886" s="60"/>
      <c r="D6886" s="60"/>
      <c r="E6886" s="60"/>
      <c r="F6886" s="60"/>
      <c r="G6886" s="60"/>
      <c r="H6886" s="60"/>
      <c r="I6886" s="60"/>
      <c r="J6886" s="60"/>
      <c r="K6886" s="60"/>
      <c r="L6886" s="60"/>
      <c r="M6886" s="64"/>
      <c r="N6886" s="33"/>
    </row>
    <row r="6887" ht="24" customHeight="1" spans="2:14">
      <c r="B6887" s="33"/>
      <c r="C6887" s="60"/>
      <c r="D6887" s="60"/>
      <c r="E6887" s="60"/>
      <c r="F6887" s="60"/>
      <c r="G6887" s="60"/>
      <c r="H6887" s="60"/>
      <c r="I6887" s="60"/>
      <c r="J6887" s="60"/>
      <c r="K6887" s="60"/>
      <c r="L6887" s="60"/>
      <c r="M6887" s="64"/>
      <c r="N6887" s="33"/>
    </row>
    <row r="6888" ht="24" customHeight="1" spans="2:14">
      <c r="B6888" s="33"/>
      <c r="C6888" s="60"/>
      <c r="D6888" s="60"/>
      <c r="E6888" s="60"/>
      <c r="F6888" s="60"/>
      <c r="G6888" s="60"/>
      <c r="H6888" s="60"/>
      <c r="I6888" s="60"/>
      <c r="J6888" s="60"/>
      <c r="K6888" s="60"/>
      <c r="L6888" s="60"/>
      <c r="M6888" s="64"/>
      <c r="N6888" s="33"/>
    </row>
    <row r="6889" ht="24" customHeight="1" spans="2:14">
      <c r="B6889" s="33"/>
      <c r="C6889" s="60"/>
      <c r="D6889" s="60"/>
      <c r="E6889" s="60"/>
      <c r="F6889" s="60"/>
      <c r="G6889" s="60"/>
      <c r="H6889" s="60"/>
      <c r="I6889" s="60"/>
      <c r="J6889" s="60"/>
      <c r="K6889" s="60"/>
      <c r="L6889" s="60"/>
      <c r="M6889" s="64"/>
      <c r="N6889" s="33"/>
    </row>
    <row r="6890" ht="24" customHeight="1" spans="2:14">
      <c r="B6890" s="33"/>
      <c r="C6890" s="60"/>
      <c r="D6890" s="60"/>
      <c r="E6890" s="60"/>
      <c r="F6890" s="60"/>
      <c r="G6890" s="60"/>
      <c r="H6890" s="60"/>
      <c r="I6890" s="60"/>
      <c r="J6890" s="60"/>
      <c r="K6890" s="60"/>
      <c r="L6890" s="60"/>
      <c r="M6890" s="64"/>
      <c r="N6890" s="33"/>
    </row>
    <row r="6891" ht="24" customHeight="1" spans="2:14">
      <c r="B6891" s="33"/>
      <c r="C6891" s="60"/>
      <c r="D6891" s="60"/>
      <c r="E6891" s="60"/>
      <c r="F6891" s="60"/>
      <c r="G6891" s="60"/>
      <c r="H6891" s="60"/>
      <c r="I6891" s="60"/>
      <c r="J6891" s="60"/>
      <c r="K6891" s="60"/>
      <c r="L6891" s="60"/>
      <c r="M6891" s="64"/>
      <c r="N6891" s="33"/>
    </row>
    <row r="6892" ht="24" customHeight="1" spans="2:14">
      <c r="B6892" s="33"/>
      <c r="C6892" s="60"/>
      <c r="D6892" s="60"/>
      <c r="E6892" s="60"/>
      <c r="F6892" s="60"/>
      <c r="G6892" s="60"/>
      <c r="H6892" s="60"/>
      <c r="I6892" s="60"/>
      <c r="J6892" s="60"/>
      <c r="K6892" s="60"/>
      <c r="L6892" s="60"/>
      <c r="M6892" s="64"/>
      <c r="N6892" s="33"/>
    </row>
    <row r="6893" ht="24" customHeight="1" spans="2:14">
      <c r="B6893" s="33"/>
      <c r="C6893" s="60"/>
      <c r="D6893" s="60"/>
      <c r="E6893" s="60"/>
      <c r="F6893" s="60"/>
      <c r="G6893" s="60"/>
      <c r="H6893" s="60"/>
      <c r="I6893" s="60"/>
      <c r="J6893" s="60"/>
      <c r="K6893" s="60"/>
      <c r="L6893" s="60"/>
      <c r="M6893" s="64"/>
      <c r="N6893" s="33"/>
    </row>
    <row r="6894" ht="24" customHeight="1" spans="2:14">
      <c r="B6894" s="33"/>
      <c r="C6894" s="60"/>
      <c r="D6894" s="60"/>
      <c r="E6894" s="60"/>
      <c r="F6894" s="60"/>
      <c r="G6894" s="60"/>
      <c r="H6894" s="60"/>
      <c r="I6894" s="60"/>
      <c r="J6894" s="60"/>
      <c r="K6894" s="60"/>
      <c r="L6894" s="60"/>
      <c r="M6894" s="64"/>
      <c r="N6894" s="33"/>
    </row>
    <row r="6895" ht="24" customHeight="1" spans="2:14">
      <c r="B6895" s="33"/>
      <c r="C6895" s="60"/>
      <c r="D6895" s="60"/>
      <c r="E6895" s="60"/>
      <c r="F6895" s="60"/>
      <c r="G6895" s="60"/>
      <c r="H6895" s="60"/>
      <c r="I6895" s="60"/>
      <c r="J6895" s="60"/>
      <c r="K6895" s="60"/>
      <c r="L6895" s="60"/>
      <c r="M6895" s="64"/>
      <c r="N6895" s="33"/>
    </row>
    <row r="6896" ht="24" customHeight="1" spans="2:14">
      <c r="B6896" s="33"/>
      <c r="C6896" s="60"/>
      <c r="D6896" s="60"/>
      <c r="E6896" s="60"/>
      <c r="F6896" s="60"/>
      <c r="G6896" s="60"/>
      <c r="H6896" s="60"/>
      <c r="I6896" s="60"/>
      <c r="J6896" s="60"/>
      <c r="K6896" s="60"/>
      <c r="L6896" s="60"/>
      <c r="M6896" s="64"/>
      <c r="N6896" s="33"/>
    </row>
    <row r="6897" ht="24" customHeight="1" spans="2:14">
      <c r="B6897" s="33"/>
      <c r="C6897" s="60"/>
      <c r="D6897" s="60"/>
      <c r="E6897" s="60"/>
      <c r="F6897" s="60"/>
      <c r="G6897" s="60"/>
      <c r="H6897" s="60"/>
      <c r="I6897" s="60"/>
      <c r="J6897" s="60"/>
      <c r="K6897" s="60"/>
      <c r="L6897" s="60"/>
      <c r="M6897" s="64"/>
      <c r="N6897" s="33"/>
    </row>
    <row r="6898" ht="24" customHeight="1" spans="2:14">
      <c r="B6898" s="33"/>
      <c r="C6898" s="60"/>
      <c r="D6898" s="60"/>
      <c r="E6898" s="60"/>
      <c r="F6898" s="60"/>
      <c r="G6898" s="60"/>
      <c r="H6898" s="60"/>
      <c r="I6898" s="60"/>
      <c r="J6898" s="60"/>
      <c r="K6898" s="60"/>
      <c r="L6898" s="60"/>
      <c r="M6898" s="64"/>
      <c r="N6898" s="33"/>
    </row>
    <row r="6899" ht="24" customHeight="1" spans="2:14">
      <c r="B6899" s="33"/>
      <c r="C6899" s="60"/>
      <c r="D6899" s="60"/>
      <c r="E6899" s="60"/>
      <c r="F6899" s="60"/>
      <c r="G6899" s="60"/>
      <c r="H6899" s="60"/>
      <c r="I6899" s="60"/>
      <c r="J6899" s="60"/>
      <c r="K6899" s="60"/>
      <c r="L6899" s="60"/>
      <c r="M6899" s="64"/>
      <c r="N6899" s="33"/>
    </row>
    <row r="6900" ht="24" customHeight="1" spans="2:14">
      <c r="B6900" s="33"/>
      <c r="C6900" s="60"/>
      <c r="D6900" s="60"/>
      <c r="E6900" s="60"/>
      <c r="F6900" s="60"/>
      <c r="G6900" s="60"/>
      <c r="H6900" s="60"/>
      <c r="I6900" s="60"/>
      <c r="J6900" s="60"/>
      <c r="K6900" s="60"/>
      <c r="L6900" s="60"/>
      <c r="M6900" s="64"/>
      <c r="N6900" s="33"/>
    </row>
    <row r="6901" ht="24" customHeight="1" spans="2:14">
      <c r="B6901" s="33"/>
      <c r="C6901" s="60"/>
      <c r="D6901" s="60"/>
      <c r="E6901" s="60"/>
      <c r="F6901" s="60"/>
      <c r="G6901" s="60"/>
      <c r="H6901" s="60"/>
      <c r="I6901" s="60"/>
      <c r="J6901" s="60"/>
      <c r="K6901" s="60"/>
      <c r="L6901" s="60"/>
      <c r="M6901" s="64"/>
      <c r="N6901" s="33"/>
    </row>
    <row r="6902" ht="24" customHeight="1" spans="2:14">
      <c r="B6902" s="33"/>
      <c r="C6902" s="60"/>
      <c r="D6902" s="60"/>
      <c r="E6902" s="60"/>
      <c r="F6902" s="60"/>
      <c r="G6902" s="60"/>
      <c r="H6902" s="60"/>
      <c r="I6902" s="60"/>
      <c r="J6902" s="60"/>
      <c r="K6902" s="60"/>
      <c r="L6902" s="60"/>
      <c r="M6902" s="64"/>
      <c r="N6902" s="33"/>
    </row>
    <row r="6903" ht="24" customHeight="1" spans="2:14">
      <c r="B6903" s="33"/>
      <c r="C6903" s="60"/>
      <c r="D6903" s="60"/>
      <c r="E6903" s="60"/>
      <c r="F6903" s="60"/>
      <c r="G6903" s="60"/>
      <c r="H6903" s="60"/>
      <c r="I6903" s="60"/>
      <c r="J6903" s="60"/>
      <c r="K6903" s="60"/>
      <c r="L6903" s="60"/>
      <c r="M6903" s="64"/>
      <c r="N6903" s="33"/>
    </row>
    <row r="6904" ht="24" customHeight="1" spans="2:14">
      <c r="B6904" s="33"/>
      <c r="C6904" s="60"/>
      <c r="D6904" s="60"/>
      <c r="E6904" s="60"/>
      <c r="F6904" s="60"/>
      <c r="G6904" s="60"/>
      <c r="H6904" s="60"/>
      <c r="I6904" s="60"/>
      <c r="J6904" s="60"/>
      <c r="K6904" s="60"/>
      <c r="L6904" s="60"/>
      <c r="M6904" s="64"/>
      <c r="N6904" s="33"/>
    </row>
    <row r="6905" ht="24" customHeight="1" spans="2:14">
      <c r="B6905" s="33"/>
      <c r="C6905" s="60"/>
      <c r="D6905" s="60"/>
      <c r="E6905" s="60"/>
      <c r="F6905" s="60"/>
      <c r="G6905" s="60"/>
      <c r="H6905" s="60"/>
      <c r="I6905" s="60"/>
      <c r="J6905" s="60"/>
      <c r="K6905" s="60"/>
      <c r="L6905" s="60"/>
      <c r="M6905" s="64"/>
      <c r="N6905" s="33"/>
    </row>
    <row r="6906" ht="24" customHeight="1" spans="2:14">
      <c r="B6906" s="33"/>
      <c r="C6906" s="60"/>
      <c r="D6906" s="60"/>
      <c r="E6906" s="60"/>
      <c r="F6906" s="60"/>
      <c r="G6906" s="60"/>
      <c r="H6906" s="60"/>
      <c r="I6906" s="60"/>
      <c r="J6906" s="60"/>
      <c r="K6906" s="60"/>
      <c r="L6906" s="60"/>
      <c r="M6906" s="64"/>
      <c r="N6906" s="33"/>
    </row>
    <row r="6907" ht="24" customHeight="1" spans="2:14">
      <c r="B6907" s="33"/>
      <c r="C6907" s="60"/>
      <c r="D6907" s="60"/>
      <c r="E6907" s="60"/>
      <c r="F6907" s="60"/>
      <c r="G6907" s="60"/>
      <c r="H6907" s="60"/>
      <c r="I6907" s="60"/>
      <c r="J6907" s="60"/>
      <c r="K6907" s="60"/>
      <c r="L6907" s="60"/>
      <c r="M6907" s="64"/>
      <c r="N6907" s="33"/>
    </row>
    <row r="6908" ht="24" customHeight="1" spans="2:14">
      <c r="B6908" s="33"/>
      <c r="C6908" s="60"/>
      <c r="D6908" s="60"/>
      <c r="E6908" s="60"/>
      <c r="F6908" s="60"/>
      <c r="G6908" s="60"/>
      <c r="H6908" s="60"/>
      <c r="I6908" s="60"/>
      <c r="J6908" s="60"/>
      <c r="K6908" s="60"/>
      <c r="L6908" s="60"/>
      <c r="M6908" s="64"/>
      <c r="N6908" s="33"/>
    </row>
    <row r="6909" ht="24" customHeight="1" spans="2:14">
      <c r="B6909" s="33"/>
      <c r="C6909" s="60"/>
      <c r="D6909" s="60"/>
      <c r="E6909" s="60"/>
      <c r="F6909" s="60"/>
      <c r="G6909" s="60"/>
      <c r="H6909" s="60"/>
      <c r="I6909" s="60"/>
      <c r="J6909" s="60"/>
      <c r="K6909" s="60"/>
      <c r="L6909" s="60"/>
      <c r="M6909" s="64"/>
      <c r="N6909" s="33"/>
    </row>
    <row r="6910" ht="24" customHeight="1" spans="2:14">
      <c r="B6910" s="33"/>
      <c r="C6910" s="60"/>
      <c r="D6910" s="60"/>
      <c r="E6910" s="60"/>
      <c r="F6910" s="60"/>
      <c r="G6910" s="60"/>
      <c r="H6910" s="60"/>
      <c r="I6910" s="60"/>
      <c r="J6910" s="60"/>
      <c r="K6910" s="60"/>
      <c r="L6910" s="60"/>
      <c r="M6910" s="64"/>
      <c r="N6910" s="33"/>
    </row>
    <row r="6911" ht="24" customHeight="1" spans="2:14">
      <c r="B6911" s="33"/>
      <c r="C6911" s="60"/>
      <c r="D6911" s="60"/>
      <c r="E6911" s="60"/>
      <c r="F6911" s="60"/>
      <c r="G6911" s="60"/>
      <c r="H6911" s="60"/>
      <c r="I6911" s="60"/>
      <c r="J6911" s="60"/>
      <c r="K6911" s="60"/>
      <c r="L6911" s="60"/>
      <c r="M6911" s="64"/>
      <c r="N6911" s="33"/>
    </row>
    <row r="6912" ht="24" customHeight="1" spans="2:14">
      <c r="B6912" s="33"/>
      <c r="C6912" s="60"/>
      <c r="D6912" s="60"/>
      <c r="E6912" s="60"/>
      <c r="F6912" s="60"/>
      <c r="G6912" s="60"/>
      <c r="H6912" s="60"/>
      <c r="I6912" s="60"/>
      <c r="J6912" s="60"/>
      <c r="K6912" s="60"/>
      <c r="L6912" s="60"/>
      <c r="M6912" s="64"/>
      <c r="N6912" s="33"/>
    </row>
    <row r="6913" ht="24" customHeight="1" spans="2:14">
      <c r="B6913" s="33"/>
      <c r="C6913" s="60"/>
      <c r="D6913" s="60"/>
      <c r="E6913" s="60"/>
      <c r="F6913" s="60"/>
      <c r="G6913" s="60"/>
      <c r="H6913" s="60"/>
      <c r="I6913" s="60"/>
      <c r="J6913" s="60"/>
      <c r="K6913" s="60"/>
      <c r="L6913" s="60"/>
      <c r="M6913" s="64"/>
      <c r="N6913" s="33"/>
    </row>
    <row r="6914" ht="24" customHeight="1" spans="2:14">
      <c r="B6914" s="33"/>
      <c r="C6914" s="60"/>
      <c r="D6914" s="60"/>
      <c r="E6914" s="60"/>
      <c r="F6914" s="60"/>
      <c r="G6914" s="60"/>
      <c r="H6914" s="60"/>
      <c r="I6914" s="60"/>
      <c r="J6914" s="60"/>
      <c r="K6914" s="60"/>
      <c r="L6914" s="60"/>
      <c r="M6914" s="64"/>
      <c r="N6914" s="33"/>
    </row>
    <row r="6915" ht="24" customHeight="1" spans="2:14">
      <c r="B6915" s="33"/>
      <c r="C6915" s="60"/>
      <c r="D6915" s="60"/>
      <c r="E6915" s="60"/>
      <c r="F6915" s="60"/>
      <c r="G6915" s="60"/>
      <c r="H6915" s="60"/>
      <c r="I6915" s="60"/>
      <c r="J6915" s="60"/>
      <c r="K6915" s="60"/>
      <c r="L6915" s="60"/>
      <c r="M6915" s="64"/>
      <c r="N6915" s="33"/>
    </row>
    <row r="6916" ht="24" customHeight="1" spans="2:14">
      <c r="B6916" s="33"/>
      <c r="C6916" s="60"/>
      <c r="D6916" s="60"/>
      <c r="E6916" s="60"/>
      <c r="F6916" s="60"/>
      <c r="G6916" s="60"/>
      <c r="H6916" s="60"/>
      <c r="I6916" s="60"/>
      <c r="J6916" s="60"/>
      <c r="K6916" s="60"/>
      <c r="L6916" s="60"/>
      <c r="M6916" s="64"/>
      <c r="N6916" s="33"/>
    </row>
    <row r="6917" ht="24" customHeight="1" spans="2:14">
      <c r="B6917" s="33"/>
      <c r="C6917" s="60"/>
      <c r="D6917" s="60"/>
      <c r="E6917" s="60"/>
      <c r="F6917" s="60"/>
      <c r="G6917" s="60"/>
      <c r="H6917" s="60"/>
      <c r="I6917" s="60"/>
      <c r="J6917" s="60"/>
      <c r="K6917" s="60"/>
      <c r="L6917" s="60"/>
      <c r="M6917" s="64"/>
      <c r="N6917" s="33"/>
    </row>
    <row r="6918" ht="24" customHeight="1" spans="2:14">
      <c r="B6918" s="33"/>
      <c r="C6918" s="60"/>
      <c r="D6918" s="60"/>
      <c r="E6918" s="60"/>
      <c r="F6918" s="60"/>
      <c r="G6918" s="60"/>
      <c r="H6918" s="60"/>
      <c r="I6918" s="60"/>
      <c r="J6918" s="60"/>
      <c r="K6918" s="60"/>
      <c r="L6918" s="60"/>
      <c r="M6918" s="64"/>
      <c r="N6918" s="33"/>
    </row>
    <row r="6919" ht="24" customHeight="1" spans="2:14">
      <c r="B6919" s="33"/>
      <c r="C6919" s="60"/>
      <c r="D6919" s="60"/>
      <c r="E6919" s="60"/>
      <c r="F6919" s="60"/>
      <c r="G6919" s="60"/>
      <c r="H6919" s="60"/>
      <c r="I6919" s="60"/>
      <c r="J6919" s="60"/>
      <c r="K6919" s="60"/>
      <c r="L6919" s="60"/>
      <c r="M6919" s="64"/>
      <c r="N6919" s="33"/>
    </row>
    <row r="6920" ht="24" customHeight="1" spans="2:14">
      <c r="B6920" s="33"/>
      <c r="C6920" s="60"/>
      <c r="D6920" s="60"/>
      <c r="E6920" s="60"/>
      <c r="F6920" s="60"/>
      <c r="G6920" s="60"/>
      <c r="H6920" s="60"/>
      <c r="I6920" s="60"/>
      <c r="J6920" s="60"/>
      <c r="K6920" s="60"/>
      <c r="L6920" s="60"/>
      <c r="M6920" s="64"/>
      <c r="N6920" s="33"/>
    </row>
    <row r="6921" ht="24" customHeight="1" spans="2:14">
      <c r="B6921" s="33"/>
      <c r="C6921" s="60"/>
      <c r="D6921" s="60"/>
      <c r="E6921" s="60"/>
      <c r="F6921" s="60"/>
      <c r="G6921" s="60"/>
      <c r="H6921" s="60"/>
      <c r="I6921" s="60"/>
      <c r="J6921" s="60"/>
      <c r="K6921" s="60"/>
      <c r="L6921" s="60"/>
      <c r="M6921" s="64"/>
      <c r="N6921" s="33"/>
    </row>
    <row r="6922" ht="24" customHeight="1" spans="2:14">
      <c r="B6922" s="33"/>
      <c r="C6922" s="60"/>
      <c r="D6922" s="60"/>
      <c r="E6922" s="60"/>
      <c r="F6922" s="60"/>
      <c r="G6922" s="60"/>
      <c r="H6922" s="60"/>
      <c r="I6922" s="60"/>
      <c r="J6922" s="60"/>
      <c r="K6922" s="60"/>
      <c r="L6922" s="60"/>
      <c r="M6922" s="64"/>
      <c r="N6922" s="33"/>
    </row>
    <row r="6923" ht="24" customHeight="1" spans="2:14">
      <c r="B6923" s="33"/>
      <c r="C6923" s="60"/>
      <c r="D6923" s="60"/>
      <c r="E6923" s="60"/>
      <c r="F6923" s="60"/>
      <c r="G6923" s="60"/>
      <c r="H6923" s="60"/>
      <c r="I6923" s="60"/>
      <c r="J6923" s="60"/>
      <c r="K6923" s="60"/>
      <c r="L6923" s="60"/>
      <c r="M6923" s="64"/>
      <c r="N6923" s="33"/>
    </row>
    <row r="6924" ht="24" customHeight="1" spans="2:14">
      <c r="B6924" s="33"/>
      <c r="C6924" s="60"/>
      <c r="D6924" s="60"/>
      <c r="E6924" s="60"/>
      <c r="F6924" s="60"/>
      <c r="G6924" s="60"/>
      <c r="H6924" s="60"/>
      <c r="I6924" s="60"/>
      <c r="J6924" s="60"/>
      <c r="K6924" s="60"/>
      <c r="L6924" s="60"/>
      <c r="M6924" s="64"/>
      <c r="N6924" s="33"/>
    </row>
    <row r="6925" ht="24" customHeight="1" spans="2:14">
      <c r="B6925" s="33"/>
      <c r="C6925" s="60"/>
      <c r="D6925" s="60"/>
      <c r="E6925" s="60"/>
      <c r="F6925" s="60"/>
      <c r="G6925" s="60"/>
      <c r="H6925" s="60"/>
      <c r="I6925" s="60"/>
      <c r="J6925" s="60"/>
      <c r="K6925" s="60"/>
      <c r="L6925" s="60"/>
      <c r="M6925" s="64"/>
      <c r="N6925" s="33"/>
    </row>
    <row r="6926" ht="24" customHeight="1" spans="2:14">
      <c r="B6926" s="33"/>
      <c r="C6926" s="60"/>
      <c r="D6926" s="60"/>
      <c r="E6926" s="60"/>
      <c r="F6926" s="60"/>
      <c r="G6926" s="60"/>
      <c r="H6926" s="60"/>
      <c r="I6926" s="60"/>
      <c r="J6926" s="60"/>
      <c r="K6926" s="60"/>
      <c r="L6926" s="60"/>
      <c r="M6926" s="64"/>
      <c r="N6926" s="33"/>
    </row>
    <row r="6927" ht="24" customHeight="1" spans="2:14">
      <c r="B6927" s="33"/>
      <c r="C6927" s="60"/>
      <c r="D6927" s="60"/>
      <c r="E6927" s="60"/>
      <c r="F6927" s="60"/>
      <c r="G6927" s="60"/>
      <c r="H6927" s="60"/>
      <c r="I6927" s="60"/>
      <c r="J6927" s="60"/>
      <c r="K6927" s="60"/>
      <c r="L6927" s="60"/>
      <c r="M6927" s="64"/>
      <c r="N6927" s="33"/>
    </row>
    <row r="6928" ht="24" customHeight="1" spans="2:14">
      <c r="B6928" s="33"/>
      <c r="C6928" s="60"/>
      <c r="D6928" s="60"/>
      <c r="E6928" s="60"/>
      <c r="F6928" s="60"/>
      <c r="G6928" s="60"/>
      <c r="H6928" s="60"/>
      <c r="I6928" s="60"/>
      <c r="J6928" s="60"/>
      <c r="K6928" s="60"/>
      <c r="L6928" s="60"/>
      <c r="M6928" s="64"/>
      <c r="N6928" s="33"/>
    </row>
    <row r="6929" ht="24" customHeight="1" spans="2:14">
      <c r="B6929" s="33"/>
      <c r="C6929" s="60"/>
      <c r="D6929" s="60"/>
      <c r="E6929" s="60"/>
      <c r="F6929" s="60"/>
      <c r="G6929" s="60"/>
      <c r="H6929" s="60"/>
      <c r="I6929" s="60"/>
      <c r="J6929" s="60"/>
      <c r="K6929" s="60"/>
      <c r="L6929" s="60"/>
      <c r="M6929" s="64"/>
      <c r="N6929" s="33"/>
    </row>
    <row r="6930" ht="24" customHeight="1" spans="2:14">
      <c r="B6930" s="33"/>
      <c r="C6930" s="60"/>
      <c r="D6930" s="60"/>
      <c r="E6930" s="60"/>
      <c r="F6930" s="60"/>
      <c r="G6930" s="60"/>
      <c r="H6930" s="60"/>
      <c r="I6930" s="60"/>
      <c r="J6930" s="60"/>
      <c r="K6930" s="60"/>
      <c r="L6930" s="60"/>
      <c r="M6930" s="64"/>
      <c r="N6930" s="33"/>
    </row>
    <row r="6931" ht="24" customHeight="1" spans="2:14">
      <c r="B6931" s="33"/>
      <c r="C6931" s="60"/>
      <c r="D6931" s="60"/>
      <c r="E6931" s="60"/>
      <c r="F6931" s="60"/>
      <c r="G6931" s="60"/>
      <c r="H6931" s="60"/>
      <c r="I6931" s="60"/>
      <c r="J6931" s="60"/>
      <c r="K6931" s="60"/>
      <c r="L6931" s="60"/>
      <c r="M6931" s="64"/>
      <c r="N6931" s="33"/>
    </row>
    <row r="6932" ht="24" customHeight="1" spans="2:14">
      <c r="B6932" s="33"/>
      <c r="C6932" s="60"/>
      <c r="D6932" s="60"/>
      <c r="E6932" s="60"/>
      <c r="F6932" s="60"/>
      <c r="G6932" s="60"/>
      <c r="H6932" s="60"/>
      <c r="I6932" s="60"/>
      <c r="J6932" s="60"/>
      <c r="K6932" s="60"/>
      <c r="L6932" s="60"/>
      <c r="M6932" s="64"/>
      <c r="N6932" s="33"/>
    </row>
    <row r="6933" ht="24" customHeight="1" spans="2:14">
      <c r="B6933" s="33"/>
      <c r="C6933" s="60"/>
      <c r="D6933" s="60"/>
      <c r="E6933" s="60"/>
      <c r="F6933" s="60"/>
      <c r="G6933" s="60"/>
      <c r="H6933" s="60"/>
      <c r="I6933" s="60"/>
      <c r="J6933" s="60"/>
      <c r="K6933" s="60"/>
      <c r="L6933" s="60"/>
      <c r="M6933" s="64"/>
      <c r="N6933" s="33"/>
    </row>
    <row r="6934" ht="24" customHeight="1" spans="2:14">
      <c r="B6934" s="33"/>
      <c r="C6934" s="60"/>
      <c r="D6934" s="60"/>
      <c r="E6934" s="60"/>
      <c r="F6934" s="60"/>
      <c r="G6934" s="60"/>
      <c r="H6934" s="60"/>
      <c r="I6934" s="60"/>
      <c r="J6934" s="60"/>
      <c r="K6934" s="60"/>
      <c r="L6934" s="60"/>
      <c r="M6934" s="64"/>
      <c r="N6934" s="33"/>
    </row>
    <row r="6935" ht="24" customHeight="1" spans="2:14">
      <c r="B6935" s="33"/>
      <c r="C6935" s="60"/>
      <c r="D6935" s="60"/>
      <c r="E6935" s="60"/>
      <c r="F6935" s="60"/>
      <c r="G6935" s="60"/>
      <c r="H6935" s="60"/>
      <c r="I6935" s="60"/>
      <c r="J6935" s="60"/>
      <c r="K6935" s="60"/>
      <c r="L6935" s="60"/>
      <c r="M6935" s="64"/>
      <c r="N6935" s="33"/>
    </row>
    <row r="6936" ht="24" customHeight="1" spans="2:14">
      <c r="B6936" s="33"/>
      <c r="C6936" s="60"/>
      <c r="D6936" s="60"/>
      <c r="E6936" s="60"/>
      <c r="F6936" s="60"/>
      <c r="G6936" s="60"/>
      <c r="H6936" s="60"/>
      <c r="I6936" s="60"/>
      <c r="J6936" s="60"/>
      <c r="K6936" s="60"/>
      <c r="L6936" s="60"/>
      <c r="M6936" s="64"/>
      <c r="N6936" s="33"/>
    </row>
    <row r="6937" ht="24" customHeight="1" spans="2:14">
      <c r="B6937" s="33"/>
      <c r="C6937" s="60"/>
      <c r="D6937" s="60"/>
      <c r="E6937" s="60"/>
      <c r="F6937" s="60"/>
      <c r="G6937" s="60"/>
      <c r="H6937" s="60"/>
      <c r="I6937" s="60"/>
      <c r="J6937" s="60"/>
      <c r="K6937" s="60"/>
      <c r="L6937" s="60"/>
      <c r="M6937" s="64"/>
      <c r="N6937" s="33"/>
    </row>
    <row r="6938" ht="24" customHeight="1" spans="2:14">
      <c r="B6938" s="33"/>
      <c r="C6938" s="60"/>
      <c r="D6938" s="60"/>
      <c r="E6938" s="60"/>
      <c r="F6938" s="60"/>
      <c r="G6938" s="60"/>
      <c r="H6938" s="60"/>
      <c r="I6938" s="60"/>
      <c r="J6938" s="60"/>
      <c r="K6938" s="60"/>
      <c r="L6938" s="60"/>
      <c r="M6938" s="64"/>
      <c r="N6938" s="33"/>
    </row>
    <row r="6939" ht="24" customHeight="1" spans="2:14">
      <c r="B6939" s="33"/>
      <c r="C6939" s="60"/>
      <c r="D6939" s="60"/>
      <c r="E6939" s="60"/>
      <c r="F6939" s="60"/>
      <c r="G6939" s="60"/>
      <c r="H6939" s="60"/>
      <c r="I6939" s="60"/>
      <c r="J6939" s="60"/>
      <c r="K6939" s="60"/>
      <c r="L6939" s="60"/>
      <c r="M6939" s="64"/>
      <c r="N6939" s="33"/>
    </row>
    <row r="6940" ht="24" customHeight="1" spans="2:14">
      <c r="B6940" s="33"/>
      <c r="C6940" s="60"/>
      <c r="D6940" s="60"/>
      <c r="E6940" s="60"/>
      <c r="F6940" s="60"/>
      <c r="G6940" s="60"/>
      <c r="H6940" s="60"/>
      <c r="I6940" s="60"/>
      <c r="J6940" s="60"/>
      <c r="K6940" s="60"/>
      <c r="L6940" s="60"/>
      <c r="M6940" s="64"/>
      <c r="N6940" s="33"/>
    </row>
    <row r="6941" ht="24" customHeight="1" spans="2:14">
      <c r="B6941" s="33"/>
      <c r="C6941" s="60"/>
      <c r="D6941" s="60"/>
      <c r="E6941" s="60"/>
      <c r="F6941" s="60"/>
      <c r="G6941" s="60"/>
      <c r="H6941" s="60"/>
      <c r="I6941" s="60"/>
      <c r="J6941" s="60"/>
      <c r="K6941" s="60"/>
      <c r="L6941" s="60"/>
      <c r="M6941" s="64"/>
      <c r="N6941" s="33"/>
    </row>
    <row r="6942" ht="24" customHeight="1" spans="2:14">
      <c r="B6942" s="33"/>
      <c r="C6942" s="60"/>
      <c r="D6942" s="60"/>
      <c r="E6942" s="60"/>
      <c r="F6942" s="60"/>
      <c r="G6942" s="60"/>
      <c r="H6942" s="60"/>
      <c r="I6942" s="60"/>
      <c r="J6942" s="60"/>
      <c r="K6942" s="60"/>
      <c r="L6942" s="60"/>
      <c r="M6942" s="64"/>
      <c r="N6942" s="33"/>
    </row>
    <row r="6943" ht="24" customHeight="1" spans="2:14">
      <c r="B6943" s="33"/>
      <c r="C6943" s="60"/>
      <c r="D6943" s="60"/>
      <c r="E6943" s="60"/>
      <c r="F6943" s="60"/>
      <c r="G6943" s="60"/>
      <c r="H6943" s="60"/>
      <c r="I6943" s="60"/>
      <c r="J6943" s="60"/>
      <c r="K6943" s="60"/>
      <c r="L6943" s="60"/>
      <c r="M6943" s="64"/>
      <c r="N6943" s="33"/>
    </row>
    <row r="6944" ht="24" customHeight="1" spans="2:14">
      <c r="B6944" s="33"/>
      <c r="C6944" s="60"/>
      <c r="D6944" s="60"/>
      <c r="E6944" s="60"/>
      <c r="F6944" s="60"/>
      <c r="G6944" s="60"/>
      <c r="H6944" s="60"/>
      <c r="I6944" s="60"/>
      <c r="J6944" s="60"/>
      <c r="K6944" s="60"/>
      <c r="L6944" s="60"/>
      <c r="M6944" s="64"/>
      <c r="N6944" s="33"/>
    </row>
    <row r="6945" ht="24" customHeight="1" spans="2:14">
      <c r="B6945" s="33"/>
      <c r="C6945" s="60"/>
      <c r="D6945" s="60"/>
      <c r="E6945" s="60"/>
      <c r="F6945" s="60"/>
      <c r="G6945" s="60"/>
      <c r="H6945" s="60"/>
      <c r="I6945" s="60"/>
      <c r="J6945" s="60"/>
      <c r="K6945" s="60"/>
      <c r="L6945" s="60"/>
      <c r="M6945" s="64"/>
      <c r="N6945" s="33"/>
    </row>
    <row r="6946" ht="24" customHeight="1" spans="2:14">
      <c r="B6946" s="33"/>
      <c r="C6946" s="60"/>
      <c r="D6946" s="60"/>
      <c r="E6946" s="60"/>
      <c r="F6946" s="60"/>
      <c r="G6946" s="60"/>
      <c r="H6946" s="60"/>
      <c r="I6946" s="60"/>
      <c r="J6946" s="60"/>
      <c r="K6946" s="60"/>
      <c r="L6946" s="60"/>
      <c r="M6946" s="64"/>
      <c r="N6946" s="33"/>
    </row>
    <row r="6947" ht="24" customHeight="1" spans="2:14">
      <c r="B6947" s="33"/>
      <c r="C6947" s="60"/>
      <c r="D6947" s="60"/>
      <c r="E6947" s="60"/>
      <c r="F6947" s="60"/>
      <c r="G6947" s="60"/>
      <c r="H6947" s="60"/>
      <c r="I6947" s="60"/>
      <c r="J6947" s="60"/>
      <c r="K6947" s="60"/>
      <c r="L6947" s="60"/>
      <c r="M6947" s="64"/>
      <c r="N6947" s="33"/>
    </row>
    <row r="6948" ht="24" customHeight="1" spans="2:14">
      <c r="B6948" s="33"/>
      <c r="C6948" s="60"/>
      <c r="D6948" s="60"/>
      <c r="E6948" s="60"/>
      <c r="F6948" s="60"/>
      <c r="G6948" s="60"/>
      <c r="H6948" s="60"/>
      <c r="I6948" s="60"/>
      <c r="J6948" s="60"/>
      <c r="K6948" s="60"/>
      <c r="L6948" s="60"/>
      <c r="M6948" s="64"/>
      <c r="N6948" s="33"/>
    </row>
    <row r="6949" ht="24" customHeight="1" spans="2:14">
      <c r="B6949" s="33"/>
      <c r="C6949" s="60"/>
      <c r="D6949" s="60"/>
      <c r="E6949" s="60"/>
      <c r="F6949" s="60"/>
      <c r="G6949" s="60"/>
      <c r="H6949" s="60"/>
      <c r="I6949" s="60"/>
      <c r="J6949" s="60"/>
      <c r="K6949" s="60"/>
      <c r="L6949" s="60"/>
      <c r="M6949" s="64"/>
      <c r="N6949" s="33"/>
    </row>
    <row r="6950" ht="24" customHeight="1" spans="2:14">
      <c r="B6950" s="33"/>
      <c r="C6950" s="60"/>
      <c r="D6950" s="60"/>
      <c r="E6950" s="60"/>
      <c r="F6950" s="60"/>
      <c r="G6950" s="60"/>
      <c r="H6950" s="60"/>
      <c r="I6950" s="60"/>
      <c r="J6950" s="60"/>
      <c r="K6950" s="60"/>
      <c r="L6950" s="60"/>
      <c r="M6950" s="64"/>
      <c r="N6950" s="33"/>
    </row>
    <row r="6951" ht="24" customHeight="1" spans="2:14">
      <c r="B6951" s="33"/>
      <c r="C6951" s="60"/>
      <c r="D6951" s="60"/>
      <c r="E6951" s="60"/>
      <c r="F6951" s="60"/>
      <c r="G6951" s="60"/>
      <c r="H6951" s="60"/>
      <c r="I6951" s="60"/>
      <c r="J6951" s="60"/>
      <c r="K6951" s="60"/>
      <c r="L6951" s="60"/>
      <c r="M6951" s="64"/>
      <c r="N6951" s="33"/>
    </row>
    <row r="6952" ht="24" customHeight="1" spans="2:14">
      <c r="B6952" s="33"/>
      <c r="C6952" s="60"/>
      <c r="D6952" s="60"/>
      <c r="E6952" s="60"/>
      <c r="F6952" s="60"/>
      <c r="G6952" s="60"/>
      <c r="H6952" s="60"/>
      <c r="I6952" s="60"/>
      <c r="J6952" s="60"/>
      <c r="K6952" s="60"/>
      <c r="L6952" s="60"/>
      <c r="M6952" s="64"/>
      <c r="N6952" s="33"/>
    </row>
    <row r="6953" ht="24" customHeight="1" spans="2:14">
      <c r="B6953" s="33"/>
      <c r="C6953" s="60"/>
      <c r="D6953" s="60"/>
      <c r="E6953" s="60"/>
      <c r="F6953" s="60"/>
      <c r="G6953" s="60"/>
      <c r="H6953" s="60"/>
      <c r="I6953" s="60"/>
      <c r="J6953" s="60"/>
      <c r="K6953" s="60"/>
      <c r="L6953" s="60"/>
      <c r="M6953" s="64"/>
      <c r="N6953" s="33"/>
    </row>
    <row r="6954" ht="24" customHeight="1" spans="2:14">
      <c r="B6954" s="33"/>
      <c r="C6954" s="60"/>
      <c r="D6954" s="60"/>
      <c r="E6954" s="60"/>
      <c r="F6954" s="60"/>
      <c r="G6954" s="60"/>
      <c r="H6954" s="60"/>
      <c r="I6954" s="60"/>
      <c r="J6954" s="60"/>
      <c r="K6954" s="60"/>
      <c r="L6954" s="60"/>
      <c r="M6954" s="64"/>
      <c r="N6954" s="33"/>
    </row>
    <row r="6955" ht="24" customHeight="1" spans="2:14">
      <c r="B6955" s="33"/>
      <c r="C6955" s="60"/>
      <c r="D6955" s="60"/>
      <c r="E6955" s="60"/>
      <c r="F6955" s="60"/>
      <c r="G6955" s="60"/>
      <c r="H6955" s="60"/>
      <c r="I6955" s="60"/>
      <c r="J6955" s="60"/>
      <c r="K6955" s="60"/>
      <c r="L6955" s="60"/>
      <c r="M6955" s="64"/>
      <c r="N6955" s="33"/>
    </row>
    <row r="6956" ht="24" customHeight="1" spans="2:14">
      <c r="B6956" s="33"/>
      <c r="C6956" s="60"/>
      <c r="D6956" s="60"/>
      <c r="E6956" s="60"/>
      <c r="F6956" s="60"/>
      <c r="G6956" s="60"/>
      <c r="H6956" s="60"/>
      <c r="I6956" s="60"/>
      <c r="J6956" s="60"/>
      <c r="K6956" s="60"/>
      <c r="L6956" s="60"/>
      <c r="M6956" s="64"/>
      <c r="N6956" s="33"/>
    </row>
    <row r="6957" ht="24" customHeight="1" spans="2:14">
      <c r="B6957" s="33"/>
      <c r="C6957" s="60"/>
      <c r="D6957" s="60"/>
      <c r="E6957" s="60"/>
      <c r="F6957" s="60"/>
      <c r="G6957" s="60"/>
      <c r="H6957" s="60"/>
      <c r="I6957" s="60"/>
      <c r="J6957" s="60"/>
      <c r="K6957" s="60"/>
      <c r="L6957" s="60"/>
      <c r="M6957" s="64"/>
      <c r="N6957" s="33"/>
    </row>
    <row r="6958" ht="24" customHeight="1" spans="2:14">
      <c r="B6958" s="33"/>
      <c r="C6958" s="60"/>
      <c r="D6958" s="60"/>
      <c r="E6958" s="60"/>
      <c r="F6958" s="60"/>
      <c r="G6958" s="60"/>
      <c r="H6958" s="60"/>
      <c r="I6958" s="60"/>
      <c r="J6958" s="60"/>
      <c r="K6958" s="60"/>
      <c r="L6958" s="60"/>
      <c r="M6958" s="64"/>
      <c r="N6958" s="33"/>
    </row>
    <row r="6959" ht="24" customHeight="1" spans="2:14">
      <c r="B6959" s="33"/>
      <c r="C6959" s="60"/>
      <c r="D6959" s="60"/>
      <c r="E6959" s="60"/>
      <c r="F6959" s="60"/>
      <c r="G6959" s="60"/>
      <c r="H6959" s="60"/>
      <c r="I6959" s="60"/>
      <c r="J6959" s="60"/>
      <c r="K6959" s="60"/>
      <c r="L6959" s="60"/>
      <c r="M6959" s="64"/>
      <c r="N6959" s="33"/>
    </row>
    <row r="6960" ht="24" customHeight="1" spans="2:14">
      <c r="B6960" s="33"/>
      <c r="C6960" s="60"/>
      <c r="D6960" s="60"/>
      <c r="E6960" s="60"/>
      <c r="F6960" s="60"/>
      <c r="G6960" s="60"/>
      <c r="H6960" s="60"/>
      <c r="I6960" s="60"/>
      <c r="J6960" s="60"/>
      <c r="K6960" s="60"/>
      <c r="L6960" s="60"/>
      <c r="M6960" s="64"/>
      <c r="N6960" s="33"/>
    </row>
    <row r="6961" ht="24" customHeight="1" spans="2:14">
      <c r="B6961" s="33"/>
      <c r="C6961" s="60"/>
      <c r="D6961" s="60"/>
      <c r="E6961" s="60"/>
      <c r="F6961" s="60"/>
      <c r="G6961" s="60"/>
      <c r="H6961" s="60"/>
      <c r="I6961" s="60"/>
      <c r="J6961" s="60"/>
      <c r="K6961" s="60"/>
      <c r="L6961" s="60"/>
      <c r="M6961" s="64"/>
      <c r="N6961" s="33"/>
    </row>
    <row r="6962" ht="24" customHeight="1" spans="2:14">
      <c r="B6962" s="33"/>
      <c r="C6962" s="60"/>
      <c r="D6962" s="60"/>
      <c r="E6962" s="60"/>
      <c r="F6962" s="60"/>
      <c r="G6962" s="60"/>
      <c r="H6962" s="60"/>
      <c r="I6962" s="60"/>
      <c r="J6962" s="60"/>
      <c r="K6962" s="60"/>
      <c r="L6962" s="60"/>
      <c r="M6962" s="64"/>
      <c r="N6962" s="33"/>
    </row>
    <row r="6963" ht="24" customHeight="1" spans="2:14">
      <c r="B6963" s="33"/>
      <c r="C6963" s="60"/>
      <c r="D6963" s="60"/>
      <c r="E6963" s="60"/>
      <c r="F6963" s="60"/>
      <c r="G6963" s="60"/>
      <c r="H6963" s="60"/>
      <c r="I6963" s="60"/>
      <c r="J6963" s="60"/>
      <c r="K6963" s="60"/>
      <c r="L6963" s="60"/>
      <c r="M6963" s="64"/>
      <c r="N6963" s="33"/>
    </row>
    <row r="6964" ht="24" customHeight="1" spans="2:14">
      <c r="B6964" s="33"/>
      <c r="C6964" s="60"/>
      <c r="D6964" s="60"/>
      <c r="E6964" s="60"/>
      <c r="F6964" s="60"/>
      <c r="G6964" s="60"/>
      <c r="H6964" s="60"/>
      <c r="I6964" s="60"/>
      <c r="J6964" s="60"/>
      <c r="K6964" s="60"/>
      <c r="L6964" s="60"/>
      <c r="M6964" s="64"/>
      <c r="N6964" s="33"/>
    </row>
    <row r="6965" ht="24" customHeight="1" spans="2:14">
      <c r="B6965" s="33"/>
      <c r="C6965" s="60"/>
      <c r="D6965" s="60"/>
      <c r="E6965" s="60"/>
      <c r="F6965" s="60"/>
      <c r="G6965" s="60"/>
      <c r="H6965" s="60"/>
      <c r="I6965" s="60"/>
      <c r="J6965" s="60"/>
      <c r="K6965" s="60"/>
      <c r="L6965" s="60"/>
      <c r="M6965" s="64"/>
      <c r="N6965" s="33"/>
    </row>
    <row r="6966" ht="24" customHeight="1" spans="2:14">
      <c r="B6966" s="33"/>
      <c r="C6966" s="60"/>
      <c r="D6966" s="60"/>
      <c r="E6966" s="60"/>
      <c r="F6966" s="60"/>
      <c r="G6966" s="60"/>
      <c r="H6966" s="60"/>
      <c r="I6966" s="60"/>
      <c r="J6966" s="60"/>
      <c r="K6966" s="60"/>
      <c r="L6966" s="60"/>
      <c r="M6966" s="64"/>
      <c r="N6966" s="33"/>
    </row>
    <row r="6967" ht="24" customHeight="1" spans="2:14">
      <c r="B6967" s="33"/>
      <c r="C6967" s="60"/>
      <c r="D6967" s="60"/>
      <c r="E6967" s="60"/>
      <c r="F6967" s="60"/>
      <c r="G6967" s="60"/>
      <c r="H6967" s="60"/>
      <c r="I6967" s="60"/>
      <c r="J6967" s="60"/>
      <c r="K6967" s="60"/>
      <c r="L6967" s="60"/>
      <c r="M6967" s="64"/>
      <c r="N6967" s="33"/>
    </row>
    <row r="6968" ht="24" customHeight="1" spans="2:14">
      <c r="B6968" s="33"/>
      <c r="C6968" s="60"/>
      <c r="D6968" s="60"/>
      <c r="E6968" s="60"/>
      <c r="F6968" s="60"/>
      <c r="G6968" s="60"/>
      <c r="H6968" s="60"/>
      <c r="I6968" s="60"/>
      <c r="J6968" s="60"/>
      <c r="K6968" s="60"/>
      <c r="L6968" s="60"/>
      <c r="M6968" s="64"/>
      <c r="N6968" s="33"/>
    </row>
    <row r="6969" ht="24" customHeight="1" spans="2:14">
      <c r="B6969" s="33"/>
      <c r="C6969" s="60"/>
      <c r="D6969" s="60"/>
      <c r="E6969" s="60"/>
      <c r="F6969" s="60"/>
      <c r="G6969" s="60"/>
      <c r="H6969" s="60"/>
      <c r="I6969" s="60"/>
      <c r="J6969" s="60"/>
      <c r="K6969" s="60"/>
      <c r="L6969" s="60"/>
      <c r="M6969" s="64"/>
      <c r="N6969" s="33"/>
    </row>
    <row r="6970" ht="24" customHeight="1" spans="2:14">
      <c r="B6970" s="33"/>
      <c r="C6970" s="60"/>
      <c r="D6970" s="60"/>
      <c r="E6970" s="60"/>
      <c r="F6970" s="60"/>
      <c r="G6970" s="60"/>
      <c r="H6970" s="60"/>
      <c r="I6970" s="60"/>
      <c r="J6970" s="60"/>
      <c r="K6970" s="60"/>
      <c r="L6970" s="60"/>
      <c r="M6970" s="64"/>
      <c r="N6970" s="33"/>
    </row>
    <row r="6971" ht="24" customHeight="1" spans="2:14">
      <c r="B6971" s="33"/>
      <c r="C6971" s="60"/>
      <c r="D6971" s="60"/>
      <c r="E6971" s="60"/>
      <c r="F6971" s="60"/>
      <c r="G6971" s="60"/>
      <c r="H6971" s="60"/>
      <c r="I6971" s="60"/>
      <c r="J6971" s="60"/>
      <c r="K6971" s="60"/>
      <c r="L6971" s="60"/>
      <c r="M6971" s="64"/>
      <c r="N6971" s="33"/>
    </row>
    <row r="6972" ht="24" customHeight="1" spans="2:14">
      <c r="B6972" s="33"/>
      <c r="C6972" s="60"/>
      <c r="D6972" s="60"/>
      <c r="E6972" s="60"/>
      <c r="F6972" s="60"/>
      <c r="G6972" s="60"/>
      <c r="H6972" s="60"/>
      <c r="I6972" s="60"/>
      <c r="J6972" s="60"/>
      <c r="K6972" s="60"/>
      <c r="L6972" s="60"/>
      <c r="M6972" s="64"/>
      <c r="N6972" s="33"/>
    </row>
    <row r="6973" ht="24" customHeight="1" spans="2:14">
      <c r="B6973" s="33"/>
      <c r="C6973" s="60"/>
      <c r="D6973" s="60"/>
      <c r="E6973" s="60"/>
      <c r="F6973" s="60"/>
      <c r="G6973" s="60"/>
      <c r="H6973" s="60"/>
      <c r="I6973" s="60"/>
      <c r="J6973" s="60"/>
      <c r="K6973" s="60"/>
      <c r="L6973" s="60"/>
      <c r="M6973" s="64"/>
      <c r="N6973" s="33"/>
    </row>
    <row r="6974" ht="24" customHeight="1" spans="2:14">
      <c r="B6974" s="33"/>
      <c r="C6974" s="60"/>
      <c r="D6974" s="60"/>
      <c r="E6974" s="60"/>
      <c r="F6974" s="60"/>
      <c r="G6974" s="60"/>
      <c r="H6974" s="60"/>
      <c r="I6974" s="60"/>
      <c r="J6974" s="60"/>
      <c r="K6974" s="60"/>
      <c r="L6974" s="60"/>
      <c r="M6974" s="64"/>
      <c r="N6974" s="33"/>
    </row>
    <row r="6975" ht="24" customHeight="1" spans="2:14">
      <c r="B6975" s="33"/>
      <c r="C6975" s="60"/>
      <c r="D6975" s="60"/>
      <c r="E6975" s="60"/>
      <c r="F6975" s="60"/>
      <c r="G6975" s="60"/>
      <c r="H6975" s="60"/>
      <c r="I6975" s="60"/>
      <c r="J6975" s="60"/>
      <c r="K6975" s="60"/>
      <c r="L6975" s="60"/>
      <c r="M6975" s="64"/>
      <c r="N6975" s="33"/>
    </row>
    <row r="6976" ht="24" customHeight="1" spans="2:14">
      <c r="B6976" s="33"/>
      <c r="C6976" s="60"/>
      <c r="D6976" s="60"/>
      <c r="E6976" s="60"/>
      <c r="F6976" s="60"/>
      <c r="G6976" s="60"/>
      <c r="H6976" s="60"/>
      <c r="I6976" s="60"/>
      <c r="J6976" s="60"/>
      <c r="K6976" s="60"/>
      <c r="L6976" s="60"/>
      <c r="M6976" s="64"/>
      <c r="N6976" s="33"/>
    </row>
    <row r="6977" ht="24" customHeight="1" spans="2:14">
      <c r="B6977" s="33"/>
      <c r="C6977" s="60"/>
      <c r="D6977" s="60"/>
      <c r="E6977" s="60"/>
      <c r="F6977" s="60"/>
      <c r="G6977" s="60"/>
      <c r="H6977" s="60"/>
      <c r="I6977" s="60"/>
      <c r="J6977" s="60"/>
      <c r="K6977" s="60"/>
      <c r="L6977" s="60"/>
      <c r="M6977" s="64"/>
      <c r="N6977" s="33"/>
    </row>
    <row r="6978" ht="24" customHeight="1" spans="2:14">
      <c r="B6978" s="33"/>
      <c r="C6978" s="60"/>
      <c r="D6978" s="60"/>
      <c r="E6978" s="60"/>
      <c r="F6978" s="60"/>
      <c r="G6978" s="60"/>
      <c r="H6978" s="60"/>
      <c r="I6978" s="60"/>
      <c r="J6978" s="60"/>
      <c r="K6978" s="60"/>
      <c r="L6978" s="60"/>
      <c r="M6978" s="64"/>
      <c r="N6978" s="33"/>
    </row>
    <row r="6979" ht="24" customHeight="1" spans="2:14">
      <c r="B6979" s="33"/>
      <c r="C6979" s="60"/>
      <c r="D6979" s="60"/>
      <c r="E6979" s="60"/>
      <c r="F6979" s="60"/>
      <c r="G6979" s="60"/>
      <c r="H6979" s="60"/>
      <c r="I6979" s="60"/>
      <c r="J6979" s="60"/>
      <c r="K6979" s="60"/>
      <c r="L6979" s="60"/>
      <c r="M6979" s="64"/>
      <c r="N6979" s="33"/>
    </row>
    <row r="6980" ht="24" customHeight="1" spans="2:14">
      <c r="B6980" s="33"/>
      <c r="C6980" s="60"/>
      <c r="D6980" s="60"/>
      <c r="E6980" s="60"/>
      <c r="F6980" s="60"/>
      <c r="G6980" s="60"/>
      <c r="H6980" s="60"/>
      <c r="I6980" s="60"/>
      <c r="J6980" s="60"/>
      <c r="K6980" s="60"/>
      <c r="L6980" s="60"/>
      <c r="M6980" s="64"/>
      <c r="N6980" s="33"/>
    </row>
    <row r="6981" ht="24" customHeight="1" spans="2:14">
      <c r="B6981" s="33"/>
      <c r="C6981" s="60"/>
      <c r="D6981" s="60"/>
      <c r="E6981" s="60"/>
      <c r="F6981" s="60"/>
      <c r="G6981" s="60"/>
      <c r="H6981" s="60"/>
      <c r="I6981" s="60"/>
      <c r="J6981" s="60"/>
      <c r="K6981" s="60"/>
      <c r="L6981" s="60"/>
      <c r="M6981" s="64"/>
      <c r="N6981" s="33"/>
    </row>
    <row r="6982" ht="24" customHeight="1" spans="2:14">
      <c r="B6982" s="33"/>
      <c r="C6982" s="60"/>
      <c r="D6982" s="60"/>
      <c r="E6982" s="60"/>
      <c r="F6982" s="60"/>
      <c r="G6982" s="60"/>
      <c r="H6982" s="60"/>
      <c r="I6982" s="60"/>
      <c r="J6982" s="60"/>
      <c r="K6982" s="60"/>
      <c r="L6982" s="60"/>
      <c r="M6982" s="64"/>
      <c r="N6982" s="33"/>
    </row>
    <row r="6983" ht="24" customHeight="1" spans="2:14">
      <c r="B6983" s="33"/>
      <c r="C6983" s="60"/>
      <c r="D6983" s="60"/>
      <c r="E6983" s="60"/>
      <c r="F6983" s="60"/>
      <c r="G6983" s="60"/>
      <c r="H6983" s="60"/>
      <c r="I6983" s="60"/>
      <c r="J6983" s="60"/>
      <c r="K6983" s="60"/>
      <c r="L6983" s="60"/>
      <c r="M6983" s="64"/>
      <c r="N6983" s="33"/>
    </row>
    <row r="6984" ht="24" customHeight="1" spans="2:14">
      <c r="B6984" s="33"/>
      <c r="C6984" s="60"/>
      <c r="D6984" s="60"/>
      <c r="E6984" s="60"/>
      <c r="F6984" s="60"/>
      <c r="G6984" s="60"/>
      <c r="H6984" s="60"/>
      <c r="I6984" s="60"/>
      <c r="J6984" s="60"/>
      <c r="K6984" s="60"/>
      <c r="L6984" s="60"/>
      <c r="M6984" s="64"/>
      <c r="N6984" s="33"/>
    </row>
    <row r="6985" ht="24" customHeight="1" spans="2:14">
      <c r="B6985" s="33"/>
      <c r="C6985" s="60"/>
      <c r="D6985" s="60"/>
      <c r="E6985" s="60"/>
      <c r="F6985" s="60"/>
      <c r="G6985" s="60"/>
      <c r="H6985" s="60"/>
      <c r="I6985" s="60"/>
      <c r="J6985" s="60"/>
      <c r="K6985" s="60"/>
      <c r="L6985" s="60"/>
      <c r="M6985" s="64"/>
      <c r="N6985" s="33"/>
    </row>
    <row r="6986" ht="24" customHeight="1" spans="2:14">
      <c r="B6986" s="33"/>
      <c r="C6986" s="60"/>
      <c r="D6986" s="60"/>
      <c r="E6986" s="60"/>
      <c r="F6986" s="60"/>
      <c r="G6986" s="60"/>
      <c r="H6986" s="60"/>
      <c r="I6986" s="60"/>
      <c r="J6986" s="60"/>
      <c r="K6986" s="60"/>
      <c r="L6986" s="60"/>
      <c r="M6986" s="64"/>
      <c r="N6986" s="33"/>
    </row>
    <row r="6987" ht="24" customHeight="1" spans="2:14">
      <c r="B6987" s="33"/>
      <c r="C6987" s="60"/>
      <c r="D6987" s="60"/>
      <c r="E6987" s="60"/>
      <c r="F6987" s="60"/>
      <c r="G6987" s="60"/>
      <c r="H6987" s="60"/>
      <c r="I6987" s="60"/>
      <c r="J6987" s="60"/>
      <c r="K6987" s="60"/>
      <c r="L6987" s="60"/>
      <c r="M6987" s="64"/>
      <c r="N6987" s="33"/>
    </row>
    <row r="6988" ht="24" customHeight="1" spans="2:14">
      <c r="B6988" s="33"/>
      <c r="C6988" s="60"/>
      <c r="D6988" s="60"/>
      <c r="E6988" s="60"/>
      <c r="F6988" s="60"/>
      <c r="G6988" s="60"/>
      <c r="H6988" s="60"/>
      <c r="I6988" s="60"/>
      <c r="J6988" s="60"/>
      <c r="K6988" s="60"/>
      <c r="L6988" s="60"/>
      <c r="M6988" s="64"/>
      <c r="N6988" s="33"/>
    </row>
    <row r="6989" ht="24" customHeight="1" spans="2:14">
      <c r="B6989" s="33"/>
      <c r="C6989" s="60"/>
      <c r="D6989" s="60"/>
      <c r="E6989" s="60"/>
      <c r="F6989" s="60"/>
      <c r="G6989" s="60"/>
      <c r="H6989" s="60"/>
      <c r="I6989" s="60"/>
      <c r="J6989" s="60"/>
      <c r="K6989" s="60"/>
      <c r="L6989" s="60"/>
      <c r="M6989" s="64"/>
      <c r="N6989" s="33"/>
    </row>
    <row r="6990" ht="24" customHeight="1" spans="2:14">
      <c r="B6990" s="33"/>
      <c r="C6990" s="60"/>
      <c r="D6990" s="60"/>
      <c r="E6990" s="60"/>
      <c r="F6990" s="60"/>
      <c r="G6990" s="60"/>
      <c r="H6990" s="60"/>
      <c r="I6990" s="60"/>
      <c r="J6990" s="60"/>
      <c r="K6990" s="60"/>
      <c r="L6990" s="60"/>
      <c r="M6990" s="64"/>
      <c r="N6990" s="33"/>
    </row>
    <row r="6991" ht="24" customHeight="1" spans="2:14">
      <c r="B6991" s="33"/>
      <c r="C6991" s="60"/>
      <c r="D6991" s="60"/>
      <c r="E6991" s="60"/>
      <c r="F6991" s="60"/>
      <c r="G6991" s="60"/>
      <c r="H6991" s="60"/>
      <c r="I6991" s="60"/>
      <c r="J6991" s="60"/>
      <c r="K6991" s="60"/>
      <c r="L6991" s="60"/>
      <c r="M6991" s="64"/>
      <c r="N6991" s="33"/>
    </row>
    <row r="6992" ht="24" customHeight="1" spans="2:14">
      <c r="B6992" s="33"/>
      <c r="C6992" s="60"/>
      <c r="D6992" s="60"/>
      <c r="E6992" s="60"/>
      <c r="F6992" s="60"/>
      <c r="G6992" s="60"/>
      <c r="H6992" s="60"/>
      <c r="I6992" s="60"/>
      <c r="J6992" s="60"/>
      <c r="K6992" s="60"/>
      <c r="L6992" s="60"/>
      <c r="M6992" s="64"/>
      <c r="N6992" s="33"/>
    </row>
    <row r="6993" ht="24" customHeight="1" spans="2:14">
      <c r="B6993" s="33"/>
      <c r="C6993" s="60"/>
      <c r="D6993" s="60"/>
      <c r="E6993" s="60"/>
      <c r="F6993" s="60"/>
      <c r="G6993" s="60"/>
      <c r="H6993" s="60"/>
      <c r="I6993" s="60"/>
      <c r="J6993" s="60"/>
      <c r="K6993" s="60"/>
      <c r="L6993" s="60"/>
      <c r="M6993" s="64"/>
      <c r="N6993" s="33"/>
    </row>
    <row r="6994" ht="24" customHeight="1" spans="2:14">
      <c r="B6994" s="33"/>
      <c r="C6994" s="60"/>
      <c r="D6994" s="60"/>
      <c r="E6994" s="60"/>
      <c r="F6994" s="60"/>
      <c r="G6994" s="60"/>
      <c r="H6994" s="60"/>
      <c r="I6994" s="60"/>
      <c r="J6994" s="60"/>
      <c r="K6994" s="60"/>
      <c r="L6994" s="60"/>
      <c r="M6994" s="64"/>
      <c r="N6994" s="33"/>
    </row>
    <row r="6995" ht="24" customHeight="1" spans="2:14">
      <c r="B6995" s="33"/>
      <c r="C6995" s="60"/>
      <c r="D6995" s="60"/>
      <c r="E6995" s="60"/>
      <c r="F6995" s="60"/>
      <c r="G6995" s="60"/>
      <c r="H6995" s="60"/>
      <c r="I6995" s="60"/>
      <c r="J6995" s="60"/>
      <c r="K6995" s="60"/>
      <c r="L6995" s="60"/>
      <c r="M6995" s="64"/>
      <c r="N6995" s="33"/>
    </row>
    <row r="6996" ht="24" customHeight="1" spans="2:14">
      <c r="B6996" s="33"/>
      <c r="C6996" s="60"/>
      <c r="D6996" s="60"/>
      <c r="E6996" s="60"/>
      <c r="F6996" s="60"/>
      <c r="G6996" s="60"/>
      <c r="H6996" s="60"/>
      <c r="I6996" s="60"/>
      <c r="J6996" s="60"/>
      <c r="K6996" s="60"/>
      <c r="L6996" s="60"/>
      <c r="M6996" s="64"/>
      <c r="N6996" s="33"/>
    </row>
    <row r="6997" ht="24" customHeight="1" spans="2:14">
      <c r="B6997" s="33"/>
      <c r="C6997" s="60"/>
      <c r="D6997" s="60"/>
      <c r="E6997" s="60"/>
      <c r="F6997" s="60"/>
      <c r="G6997" s="60"/>
      <c r="H6997" s="60"/>
      <c r="I6997" s="60"/>
      <c r="J6997" s="60"/>
      <c r="K6997" s="60"/>
      <c r="L6997" s="60"/>
      <c r="M6997" s="64"/>
      <c r="N6997" s="33"/>
    </row>
    <row r="6998" ht="24" customHeight="1" spans="2:14">
      <c r="B6998" s="33"/>
      <c r="C6998" s="60"/>
      <c r="D6998" s="60"/>
      <c r="E6998" s="60"/>
      <c r="F6998" s="60"/>
      <c r="G6998" s="60"/>
      <c r="H6998" s="60"/>
      <c r="I6998" s="60"/>
      <c r="J6998" s="60"/>
      <c r="K6998" s="60"/>
      <c r="L6998" s="60"/>
      <c r="M6998" s="64"/>
      <c r="N6998" s="33"/>
    </row>
    <row r="6999" ht="24" customHeight="1" spans="2:14">
      <c r="B6999" s="33"/>
      <c r="C6999" s="60"/>
      <c r="D6999" s="60"/>
      <c r="E6999" s="60"/>
      <c r="F6999" s="60"/>
      <c r="G6999" s="60"/>
      <c r="H6999" s="60"/>
      <c r="I6999" s="60"/>
      <c r="J6999" s="60"/>
      <c r="K6999" s="60"/>
      <c r="L6999" s="60"/>
      <c r="M6999" s="64"/>
      <c r="N6999" s="33"/>
    </row>
    <row r="7000" ht="24" customHeight="1" spans="2:14">
      <c r="B7000" s="33"/>
      <c r="C7000" s="60"/>
      <c r="D7000" s="60"/>
      <c r="E7000" s="60"/>
      <c r="F7000" s="60"/>
      <c r="G7000" s="60"/>
      <c r="H7000" s="60"/>
      <c r="I7000" s="60"/>
      <c r="J7000" s="60"/>
      <c r="K7000" s="60"/>
      <c r="L7000" s="60"/>
      <c r="M7000" s="64"/>
      <c r="N7000" s="33"/>
    </row>
    <row r="7001" ht="24" customHeight="1" spans="2:14">
      <c r="B7001" s="33"/>
      <c r="C7001" s="60"/>
      <c r="D7001" s="60"/>
      <c r="E7001" s="60"/>
      <c r="F7001" s="60"/>
      <c r="G7001" s="60"/>
      <c r="H7001" s="60"/>
      <c r="I7001" s="60"/>
      <c r="J7001" s="60"/>
      <c r="K7001" s="60"/>
      <c r="L7001" s="60"/>
      <c r="M7001" s="64"/>
      <c r="N7001" s="33"/>
    </row>
    <row r="7002" ht="24" customHeight="1" spans="2:14">
      <c r="B7002" s="33"/>
      <c r="C7002" s="60"/>
      <c r="D7002" s="60"/>
      <c r="E7002" s="60"/>
      <c r="F7002" s="60"/>
      <c r="G7002" s="60"/>
      <c r="H7002" s="60"/>
      <c r="I7002" s="60"/>
      <c r="J7002" s="60"/>
      <c r="K7002" s="60"/>
      <c r="L7002" s="60"/>
      <c r="M7002" s="64"/>
      <c r="N7002" s="33"/>
    </row>
    <row r="7003" ht="24" customHeight="1" spans="2:14">
      <c r="B7003" s="33"/>
      <c r="C7003" s="60"/>
      <c r="D7003" s="60"/>
      <c r="E7003" s="60"/>
      <c r="F7003" s="60"/>
      <c r="G7003" s="60"/>
      <c r="H7003" s="60"/>
      <c r="I7003" s="60"/>
      <c r="J7003" s="60"/>
      <c r="K7003" s="60"/>
      <c r="L7003" s="60"/>
      <c r="M7003" s="64"/>
      <c r="N7003" s="33"/>
    </row>
    <row r="7004" ht="24" customHeight="1" spans="2:14">
      <c r="B7004" s="33"/>
      <c r="C7004" s="60"/>
      <c r="D7004" s="60"/>
      <c r="E7004" s="60"/>
      <c r="F7004" s="60"/>
      <c r="G7004" s="60"/>
      <c r="H7004" s="60"/>
      <c r="I7004" s="60"/>
      <c r="J7004" s="60"/>
      <c r="K7004" s="60"/>
      <c r="L7004" s="60"/>
      <c r="M7004" s="64"/>
      <c r="N7004" s="33"/>
    </row>
    <row r="7005" ht="24" customHeight="1" spans="2:14">
      <c r="B7005" s="33"/>
      <c r="C7005" s="60"/>
      <c r="D7005" s="60"/>
      <c r="E7005" s="60"/>
      <c r="F7005" s="60"/>
      <c r="G7005" s="60"/>
      <c r="H7005" s="60"/>
      <c r="I7005" s="60"/>
      <c r="J7005" s="60"/>
      <c r="K7005" s="60"/>
      <c r="L7005" s="60"/>
      <c r="M7005" s="64"/>
      <c r="N7005" s="33"/>
    </row>
    <row r="7006" ht="24" customHeight="1" spans="2:14">
      <c r="B7006" s="33"/>
      <c r="C7006" s="60"/>
      <c r="D7006" s="60"/>
      <c r="E7006" s="60"/>
      <c r="F7006" s="60"/>
      <c r="G7006" s="60"/>
      <c r="H7006" s="60"/>
      <c r="I7006" s="60"/>
      <c r="J7006" s="60"/>
      <c r="K7006" s="60"/>
      <c r="L7006" s="60"/>
      <c r="M7006" s="64"/>
      <c r="N7006" s="33"/>
    </row>
    <row r="7007" ht="24" customHeight="1" spans="2:14">
      <c r="B7007" s="33"/>
      <c r="C7007" s="60"/>
      <c r="D7007" s="60"/>
      <c r="E7007" s="60"/>
      <c r="F7007" s="60"/>
      <c r="G7007" s="60"/>
      <c r="H7007" s="60"/>
      <c r="I7007" s="60"/>
      <c r="J7007" s="60"/>
      <c r="K7007" s="60"/>
      <c r="L7007" s="60"/>
      <c r="M7007" s="64"/>
      <c r="N7007" s="33"/>
    </row>
    <row r="7008" ht="24" customHeight="1" spans="2:14">
      <c r="B7008" s="33"/>
      <c r="C7008" s="60"/>
      <c r="D7008" s="60"/>
      <c r="E7008" s="60"/>
      <c r="F7008" s="60"/>
      <c r="G7008" s="60"/>
      <c r="H7008" s="60"/>
      <c r="I7008" s="60"/>
      <c r="J7008" s="60"/>
      <c r="K7008" s="60"/>
      <c r="L7008" s="60"/>
      <c r="M7008" s="64"/>
      <c r="N7008" s="33"/>
    </row>
    <row r="7009" ht="24" customHeight="1" spans="2:14">
      <c r="B7009" s="33"/>
      <c r="C7009" s="60"/>
      <c r="D7009" s="60"/>
      <c r="E7009" s="60"/>
      <c r="F7009" s="60"/>
      <c r="G7009" s="60"/>
      <c r="H7009" s="60"/>
      <c r="I7009" s="60"/>
      <c r="J7009" s="60"/>
      <c r="K7009" s="60"/>
      <c r="L7009" s="60"/>
      <c r="M7009" s="64"/>
      <c r="N7009" s="33"/>
    </row>
    <row r="7010" ht="24" customHeight="1" spans="2:14">
      <c r="B7010" s="33"/>
      <c r="C7010" s="60"/>
      <c r="D7010" s="60"/>
      <c r="E7010" s="60"/>
      <c r="F7010" s="60"/>
      <c r="G7010" s="60"/>
      <c r="H7010" s="60"/>
      <c r="I7010" s="60"/>
      <c r="J7010" s="60"/>
      <c r="K7010" s="60"/>
      <c r="L7010" s="60"/>
      <c r="M7010" s="64"/>
      <c r="N7010" s="33"/>
    </row>
    <row r="7011" ht="24" customHeight="1" spans="2:14">
      <c r="B7011" s="33"/>
      <c r="C7011" s="60"/>
      <c r="D7011" s="60"/>
      <c r="E7011" s="60"/>
      <c r="F7011" s="60"/>
      <c r="G7011" s="60"/>
      <c r="H7011" s="60"/>
      <c r="I7011" s="60"/>
      <c r="J7011" s="60"/>
      <c r="K7011" s="60"/>
      <c r="L7011" s="60"/>
      <c r="M7011" s="64"/>
      <c r="N7011" s="33"/>
    </row>
    <row r="7012" ht="24" customHeight="1" spans="2:14">
      <c r="B7012" s="33"/>
      <c r="C7012" s="60"/>
      <c r="D7012" s="60"/>
      <c r="E7012" s="60"/>
      <c r="F7012" s="60"/>
      <c r="G7012" s="60"/>
      <c r="H7012" s="60"/>
      <c r="I7012" s="60"/>
      <c r="J7012" s="60"/>
      <c r="K7012" s="60"/>
      <c r="L7012" s="60"/>
      <c r="M7012" s="64"/>
      <c r="N7012" s="33"/>
    </row>
    <row r="7013" ht="24" customHeight="1" spans="2:14">
      <c r="B7013" s="33"/>
      <c r="C7013" s="60"/>
      <c r="D7013" s="60"/>
      <c r="E7013" s="60"/>
      <c r="F7013" s="60"/>
      <c r="G7013" s="60"/>
      <c r="H7013" s="60"/>
      <c r="I7013" s="60"/>
      <c r="J7013" s="60"/>
      <c r="K7013" s="60"/>
      <c r="L7013" s="60"/>
      <c r="M7013" s="64"/>
      <c r="N7013" s="33"/>
    </row>
    <row r="7014" ht="24" customHeight="1" spans="2:14">
      <c r="B7014" s="33"/>
      <c r="C7014" s="60"/>
      <c r="D7014" s="60"/>
      <c r="E7014" s="60"/>
      <c r="F7014" s="60"/>
      <c r="G7014" s="60"/>
      <c r="H7014" s="60"/>
      <c r="I7014" s="60"/>
      <c r="J7014" s="60"/>
      <c r="K7014" s="60"/>
      <c r="L7014" s="60"/>
      <c r="M7014" s="64"/>
      <c r="N7014" s="33"/>
    </row>
    <row r="7015" ht="24" customHeight="1" spans="2:14">
      <c r="B7015" s="33"/>
      <c r="C7015" s="60"/>
      <c r="D7015" s="60"/>
      <c r="E7015" s="60"/>
      <c r="F7015" s="60"/>
      <c r="G7015" s="60"/>
      <c r="H7015" s="60"/>
      <c r="I7015" s="60"/>
      <c r="J7015" s="60"/>
      <c r="K7015" s="60"/>
      <c r="L7015" s="60"/>
      <c r="M7015" s="64"/>
      <c r="N7015" s="33"/>
    </row>
    <row r="7016" ht="24" customHeight="1" spans="2:14">
      <c r="B7016" s="33"/>
      <c r="C7016" s="60"/>
      <c r="D7016" s="60"/>
      <c r="E7016" s="60"/>
      <c r="F7016" s="60"/>
      <c r="G7016" s="60"/>
      <c r="H7016" s="60"/>
      <c r="I7016" s="60"/>
      <c r="J7016" s="60"/>
      <c r="K7016" s="60"/>
      <c r="L7016" s="60"/>
      <c r="M7016" s="64"/>
      <c r="N7016" s="33"/>
    </row>
    <row r="7017" ht="24" customHeight="1" spans="2:14">
      <c r="B7017" s="33"/>
      <c r="C7017" s="60"/>
      <c r="D7017" s="60"/>
      <c r="E7017" s="60"/>
      <c r="F7017" s="60"/>
      <c r="G7017" s="60"/>
      <c r="H7017" s="60"/>
      <c r="I7017" s="60"/>
      <c r="J7017" s="60"/>
      <c r="K7017" s="60"/>
      <c r="L7017" s="60"/>
      <c r="M7017" s="64"/>
      <c r="N7017" s="33"/>
    </row>
    <row r="7018" ht="24" customHeight="1" spans="2:14">
      <c r="B7018" s="33"/>
      <c r="C7018" s="60"/>
      <c r="D7018" s="60"/>
      <c r="E7018" s="60"/>
      <c r="F7018" s="60"/>
      <c r="G7018" s="60"/>
      <c r="H7018" s="60"/>
      <c r="I7018" s="60"/>
      <c r="J7018" s="60"/>
      <c r="K7018" s="60"/>
      <c r="L7018" s="60"/>
      <c r="M7018" s="64"/>
      <c r="N7018" s="33"/>
    </row>
    <row r="7019" ht="24" customHeight="1" spans="2:14">
      <c r="B7019" s="33"/>
      <c r="C7019" s="60"/>
      <c r="D7019" s="60"/>
      <c r="E7019" s="60"/>
      <c r="F7019" s="60"/>
      <c r="G7019" s="60"/>
      <c r="H7019" s="60"/>
      <c r="I7019" s="60"/>
      <c r="J7019" s="60"/>
      <c r="K7019" s="60"/>
      <c r="L7019" s="60"/>
      <c r="M7019" s="64"/>
      <c r="N7019" s="33"/>
    </row>
    <row r="7020" ht="24" customHeight="1" spans="2:14">
      <c r="B7020" s="33"/>
      <c r="C7020" s="60"/>
      <c r="D7020" s="60"/>
      <c r="E7020" s="60"/>
      <c r="F7020" s="60"/>
      <c r="G7020" s="60"/>
      <c r="H7020" s="60"/>
      <c r="I7020" s="60"/>
      <c r="J7020" s="60"/>
      <c r="K7020" s="60"/>
      <c r="L7020" s="60"/>
      <c r="M7020" s="64"/>
      <c r="N7020" s="33"/>
    </row>
    <row r="7021" ht="24" customHeight="1" spans="2:14">
      <c r="B7021" s="33"/>
      <c r="C7021" s="60"/>
      <c r="D7021" s="60"/>
      <c r="E7021" s="60"/>
      <c r="F7021" s="60"/>
      <c r="G7021" s="60"/>
      <c r="H7021" s="60"/>
      <c r="I7021" s="60"/>
      <c r="J7021" s="60"/>
      <c r="K7021" s="60"/>
      <c r="L7021" s="60"/>
      <c r="M7021" s="64"/>
      <c r="N7021" s="33"/>
    </row>
    <row r="7022" ht="24" customHeight="1" spans="2:14">
      <c r="B7022" s="33"/>
      <c r="C7022" s="60"/>
      <c r="D7022" s="60"/>
      <c r="E7022" s="60"/>
      <c r="F7022" s="60"/>
      <c r="G7022" s="60"/>
      <c r="H7022" s="60"/>
      <c r="I7022" s="60"/>
      <c r="J7022" s="60"/>
      <c r="K7022" s="60"/>
      <c r="L7022" s="60"/>
      <c r="M7022" s="64"/>
      <c r="N7022" s="33"/>
    </row>
    <row r="7023" ht="24" customHeight="1" spans="2:14">
      <c r="B7023" s="33"/>
      <c r="C7023" s="60"/>
      <c r="D7023" s="60"/>
      <c r="E7023" s="60"/>
      <c r="F7023" s="60"/>
      <c r="G7023" s="60"/>
      <c r="H7023" s="60"/>
      <c r="I7023" s="60"/>
      <c r="J7023" s="60"/>
      <c r="K7023" s="60"/>
      <c r="L7023" s="60"/>
      <c r="M7023" s="64"/>
      <c r="N7023" s="33"/>
    </row>
    <row r="7024" ht="24" customHeight="1" spans="2:14">
      <c r="B7024" s="33"/>
      <c r="C7024" s="60"/>
      <c r="D7024" s="60"/>
      <c r="E7024" s="60"/>
      <c r="F7024" s="60"/>
      <c r="G7024" s="60"/>
      <c r="H7024" s="60"/>
      <c r="I7024" s="60"/>
      <c r="J7024" s="60"/>
      <c r="K7024" s="60"/>
      <c r="L7024" s="60"/>
      <c r="M7024" s="64"/>
      <c r="N7024" s="33"/>
    </row>
    <row r="7025" ht="24" customHeight="1" spans="2:14">
      <c r="B7025" s="33"/>
      <c r="C7025" s="60"/>
      <c r="D7025" s="60"/>
      <c r="E7025" s="60"/>
      <c r="F7025" s="60"/>
      <c r="G7025" s="60"/>
      <c r="H7025" s="60"/>
      <c r="I7025" s="60"/>
      <c r="J7025" s="60"/>
      <c r="K7025" s="60"/>
      <c r="L7025" s="60"/>
      <c r="M7025" s="64"/>
      <c r="N7025" s="33"/>
    </row>
    <row r="7026" ht="24" customHeight="1" spans="2:14">
      <c r="B7026" s="33"/>
      <c r="C7026" s="60"/>
      <c r="D7026" s="60"/>
      <c r="E7026" s="60"/>
      <c r="F7026" s="60"/>
      <c r="G7026" s="60"/>
      <c r="H7026" s="60"/>
      <c r="I7026" s="60"/>
      <c r="J7026" s="60"/>
      <c r="K7026" s="60"/>
      <c r="L7026" s="60"/>
      <c r="M7026" s="64"/>
      <c r="N7026" s="33"/>
    </row>
    <row r="7027" ht="24" customHeight="1" spans="2:14">
      <c r="B7027" s="33"/>
      <c r="C7027" s="60"/>
      <c r="D7027" s="60"/>
      <c r="E7027" s="60"/>
      <c r="F7027" s="60"/>
      <c r="G7027" s="60"/>
      <c r="H7027" s="60"/>
      <c r="I7027" s="60"/>
      <c r="J7027" s="60"/>
      <c r="K7027" s="60"/>
      <c r="L7027" s="60"/>
      <c r="M7027" s="64"/>
      <c r="N7027" s="33"/>
    </row>
    <row r="7028" ht="24" customHeight="1" spans="2:14">
      <c r="B7028" s="33"/>
      <c r="C7028" s="60"/>
      <c r="D7028" s="60"/>
      <c r="E7028" s="60"/>
      <c r="F7028" s="60"/>
      <c r="G7028" s="60"/>
      <c r="H7028" s="60"/>
      <c r="I7028" s="60"/>
      <c r="J7028" s="60"/>
      <c r="K7028" s="60"/>
      <c r="L7028" s="60"/>
      <c r="M7028" s="64"/>
      <c r="N7028" s="33"/>
    </row>
    <row r="7029" ht="24" customHeight="1" spans="2:14">
      <c r="B7029" s="33"/>
      <c r="C7029" s="60"/>
      <c r="D7029" s="60"/>
      <c r="E7029" s="60"/>
      <c r="F7029" s="60"/>
      <c r="G7029" s="60"/>
      <c r="H7029" s="60"/>
      <c r="I7029" s="60"/>
      <c r="J7029" s="60"/>
      <c r="K7029" s="60"/>
      <c r="L7029" s="60"/>
      <c r="M7029" s="64"/>
      <c r="N7029" s="33"/>
    </row>
    <row r="7030" ht="24" customHeight="1" spans="2:14">
      <c r="B7030" s="33"/>
      <c r="C7030" s="60"/>
      <c r="D7030" s="60"/>
      <c r="E7030" s="60"/>
      <c r="F7030" s="60"/>
      <c r="G7030" s="60"/>
      <c r="H7030" s="60"/>
      <c r="I7030" s="60"/>
      <c r="J7030" s="60"/>
      <c r="K7030" s="60"/>
      <c r="L7030" s="60"/>
      <c r="M7030" s="64"/>
      <c r="N7030" s="33"/>
    </row>
    <row r="7031" ht="24" customHeight="1" spans="2:14">
      <c r="B7031" s="33"/>
      <c r="C7031" s="60"/>
      <c r="D7031" s="60"/>
      <c r="E7031" s="60"/>
      <c r="F7031" s="60"/>
      <c r="G7031" s="60"/>
      <c r="H7031" s="60"/>
      <c r="I7031" s="60"/>
      <c r="J7031" s="60"/>
      <c r="K7031" s="60"/>
      <c r="L7031" s="60"/>
      <c r="M7031" s="64"/>
      <c r="N7031" s="33"/>
    </row>
    <row r="7032" ht="24" customHeight="1" spans="2:14">
      <c r="B7032" s="33"/>
      <c r="C7032" s="60"/>
      <c r="D7032" s="60"/>
      <c r="E7032" s="60"/>
      <c r="F7032" s="60"/>
      <c r="G7032" s="60"/>
      <c r="H7032" s="60"/>
      <c r="I7032" s="60"/>
      <c r="J7032" s="60"/>
      <c r="K7032" s="60"/>
      <c r="L7032" s="60"/>
      <c r="M7032" s="64"/>
      <c r="N7032" s="33"/>
    </row>
    <row r="7033" ht="24" customHeight="1" spans="2:14">
      <c r="B7033" s="33"/>
      <c r="C7033" s="60"/>
      <c r="D7033" s="60"/>
      <c r="E7033" s="60"/>
      <c r="F7033" s="60"/>
      <c r="G7033" s="60"/>
      <c r="H7033" s="60"/>
      <c r="I7033" s="60"/>
      <c r="J7033" s="60"/>
      <c r="K7033" s="60"/>
      <c r="L7033" s="60"/>
      <c r="M7033" s="64"/>
      <c r="N7033" s="33"/>
    </row>
    <row r="7034" ht="24" customHeight="1" spans="2:14">
      <c r="B7034" s="33"/>
      <c r="C7034" s="60"/>
      <c r="D7034" s="60"/>
      <c r="E7034" s="60"/>
      <c r="F7034" s="60"/>
      <c r="G7034" s="60"/>
      <c r="H7034" s="60"/>
      <c r="I7034" s="60"/>
      <c r="J7034" s="60"/>
      <c r="K7034" s="60"/>
      <c r="L7034" s="60"/>
      <c r="M7034" s="64"/>
      <c r="N7034" s="33"/>
    </row>
    <row r="7035" ht="24" customHeight="1" spans="2:14">
      <c r="B7035" s="33"/>
      <c r="C7035" s="60"/>
      <c r="D7035" s="60"/>
      <c r="E7035" s="60"/>
      <c r="F7035" s="60"/>
      <c r="G7035" s="60"/>
      <c r="H7035" s="60"/>
      <c r="I7035" s="60"/>
      <c r="J7035" s="60"/>
      <c r="K7035" s="60"/>
      <c r="L7035" s="60"/>
      <c r="M7035" s="64"/>
      <c r="N7035" s="33"/>
    </row>
    <row r="7036" ht="24" customHeight="1" spans="2:14">
      <c r="B7036" s="33"/>
      <c r="C7036" s="60"/>
      <c r="D7036" s="60"/>
      <c r="E7036" s="60"/>
      <c r="F7036" s="60"/>
      <c r="G7036" s="60"/>
      <c r="H7036" s="60"/>
      <c r="I7036" s="60"/>
      <c r="J7036" s="60"/>
      <c r="K7036" s="60"/>
      <c r="L7036" s="60"/>
      <c r="M7036" s="64"/>
      <c r="N7036" s="33"/>
    </row>
    <row r="7037" ht="24" customHeight="1" spans="2:14">
      <c r="B7037" s="33"/>
      <c r="C7037" s="60"/>
      <c r="D7037" s="60"/>
      <c r="E7037" s="60"/>
      <c r="F7037" s="60"/>
      <c r="G7037" s="60"/>
      <c r="H7037" s="60"/>
      <c r="I7037" s="60"/>
      <c r="J7037" s="60"/>
      <c r="K7037" s="60"/>
      <c r="L7037" s="60"/>
      <c r="M7037" s="64"/>
      <c r="N7037" s="33"/>
    </row>
    <row r="7038" ht="24" customHeight="1" spans="2:14">
      <c r="B7038" s="33"/>
      <c r="C7038" s="60"/>
      <c r="D7038" s="60"/>
      <c r="E7038" s="60"/>
      <c r="F7038" s="60"/>
      <c r="G7038" s="60"/>
      <c r="H7038" s="60"/>
      <c r="I7038" s="60"/>
      <c r="J7038" s="60"/>
      <c r="K7038" s="60"/>
      <c r="L7038" s="60"/>
      <c r="M7038" s="64"/>
      <c r="N7038" s="33"/>
    </row>
    <row r="7039" ht="24" customHeight="1" spans="2:14">
      <c r="B7039" s="33"/>
      <c r="C7039" s="60"/>
      <c r="D7039" s="60"/>
      <c r="E7039" s="60"/>
      <c r="F7039" s="60"/>
      <c r="G7039" s="60"/>
      <c r="H7039" s="60"/>
      <c r="I7039" s="60"/>
      <c r="J7039" s="60"/>
      <c r="K7039" s="60"/>
      <c r="L7039" s="60"/>
      <c r="M7039" s="64"/>
      <c r="N7039" s="33"/>
    </row>
    <row r="7040" ht="24" customHeight="1" spans="2:14">
      <c r="B7040" s="33"/>
      <c r="C7040" s="60"/>
      <c r="D7040" s="60"/>
      <c r="E7040" s="60"/>
      <c r="F7040" s="60"/>
      <c r="G7040" s="60"/>
      <c r="H7040" s="60"/>
      <c r="I7040" s="60"/>
      <c r="J7040" s="60"/>
      <c r="K7040" s="60"/>
      <c r="L7040" s="60"/>
      <c r="M7040" s="64"/>
      <c r="N7040" s="33"/>
    </row>
    <row r="7041" ht="24" customHeight="1" spans="2:14">
      <c r="B7041" s="33"/>
      <c r="C7041" s="60"/>
      <c r="D7041" s="60"/>
      <c r="E7041" s="60"/>
      <c r="F7041" s="60"/>
      <c r="G7041" s="60"/>
      <c r="H7041" s="60"/>
      <c r="I7041" s="60"/>
      <c r="J7041" s="60"/>
      <c r="K7041" s="60"/>
      <c r="L7041" s="60"/>
      <c r="M7041" s="64"/>
      <c r="N7041" s="33"/>
    </row>
    <row r="7042" ht="24" customHeight="1" spans="2:14">
      <c r="B7042" s="33"/>
      <c r="C7042" s="60"/>
      <c r="D7042" s="60"/>
      <c r="E7042" s="60"/>
      <c r="F7042" s="60"/>
      <c r="G7042" s="60"/>
      <c r="H7042" s="60"/>
      <c r="I7042" s="60"/>
      <c r="J7042" s="60"/>
      <c r="K7042" s="60"/>
      <c r="L7042" s="60"/>
      <c r="M7042" s="64"/>
      <c r="N7042" s="33"/>
    </row>
    <row r="7043" ht="24" customHeight="1" spans="2:14">
      <c r="B7043" s="33"/>
      <c r="C7043" s="60"/>
      <c r="D7043" s="60"/>
      <c r="E7043" s="60"/>
      <c r="F7043" s="60"/>
      <c r="G7043" s="60"/>
      <c r="H7043" s="60"/>
      <c r="I7043" s="60"/>
      <c r="J7043" s="60"/>
      <c r="K7043" s="60"/>
      <c r="L7043" s="60"/>
      <c r="M7043" s="64"/>
      <c r="N7043" s="33"/>
    </row>
    <row r="7044" ht="24" customHeight="1" spans="2:14">
      <c r="B7044" s="33"/>
      <c r="C7044" s="60"/>
      <c r="D7044" s="60"/>
      <c r="E7044" s="60"/>
      <c r="F7044" s="60"/>
      <c r="G7044" s="60"/>
      <c r="H7044" s="60"/>
      <c r="I7044" s="60"/>
      <c r="J7044" s="60"/>
      <c r="K7044" s="60"/>
      <c r="L7044" s="60"/>
      <c r="M7044" s="64"/>
      <c r="N7044" s="33"/>
    </row>
    <row r="7045" ht="24" customHeight="1" spans="2:14">
      <c r="B7045" s="33"/>
      <c r="C7045" s="60"/>
      <c r="D7045" s="60"/>
      <c r="E7045" s="60"/>
      <c r="F7045" s="60"/>
      <c r="G7045" s="60"/>
      <c r="H7045" s="60"/>
      <c r="I7045" s="60"/>
      <c r="J7045" s="60"/>
      <c r="K7045" s="60"/>
      <c r="L7045" s="60"/>
      <c r="M7045" s="64"/>
      <c r="N7045" s="33"/>
    </row>
    <row r="7046" ht="24" customHeight="1" spans="2:14">
      <c r="B7046" s="33"/>
      <c r="C7046" s="60"/>
      <c r="D7046" s="60"/>
      <c r="E7046" s="60"/>
      <c r="F7046" s="60"/>
      <c r="G7046" s="60"/>
      <c r="H7046" s="60"/>
      <c r="I7046" s="60"/>
      <c r="J7046" s="60"/>
      <c r="K7046" s="60"/>
      <c r="L7046" s="60"/>
      <c r="M7046" s="64"/>
      <c r="N7046" s="33"/>
    </row>
    <row r="7047" ht="24" customHeight="1" spans="2:14">
      <c r="B7047" s="33"/>
      <c r="C7047" s="60"/>
      <c r="D7047" s="60"/>
      <c r="E7047" s="60"/>
      <c r="F7047" s="60"/>
      <c r="G7047" s="60"/>
      <c r="H7047" s="60"/>
      <c r="I7047" s="60"/>
      <c r="J7047" s="60"/>
      <c r="K7047" s="60"/>
      <c r="L7047" s="60"/>
      <c r="M7047" s="64"/>
      <c r="N7047" s="33"/>
    </row>
    <row r="7048" ht="24" customHeight="1" spans="2:14">
      <c r="B7048" s="33"/>
      <c r="C7048" s="60"/>
      <c r="D7048" s="60"/>
      <c r="E7048" s="60"/>
      <c r="F7048" s="60"/>
      <c r="G7048" s="60"/>
      <c r="H7048" s="60"/>
      <c r="I7048" s="60"/>
      <c r="J7048" s="60"/>
      <c r="K7048" s="60"/>
      <c r="L7048" s="60"/>
      <c r="M7048" s="64"/>
      <c r="N7048" s="33"/>
    </row>
    <row r="7049" ht="24" customHeight="1" spans="2:14">
      <c r="B7049" s="33"/>
      <c r="C7049" s="60"/>
      <c r="D7049" s="60"/>
      <c r="E7049" s="60"/>
      <c r="F7049" s="60"/>
      <c r="G7049" s="60"/>
      <c r="H7049" s="60"/>
      <c r="I7049" s="60"/>
      <c r="J7049" s="60"/>
      <c r="K7049" s="60"/>
      <c r="L7049" s="60"/>
      <c r="M7049" s="64"/>
      <c r="N7049" s="33"/>
    </row>
    <row r="7050" ht="24" customHeight="1" spans="2:14">
      <c r="B7050" s="33"/>
      <c r="C7050" s="60"/>
      <c r="D7050" s="60"/>
      <c r="E7050" s="60"/>
      <c r="F7050" s="60"/>
      <c r="G7050" s="60"/>
      <c r="H7050" s="60"/>
      <c r="I7050" s="60"/>
      <c r="J7050" s="60"/>
      <c r="K7050" s="60"/>
      <c r="L7050" s="60"/>
      <c r="M7050" s="64"/>
      <c r="N7050" s="33"/>
    </row>
    <row r="7051" ht="24" customHeight="1" spans="2:14">
      <c r="B7051" s="33"/>
      <c r="C7051" s="60"/>
      <c r="D7051" s="60"/>
      <c r="E7051" s="60"/>
      <c r="F7051" s="60"/>
      <c r="G7051" s="60"/>
      <c r="H7051" s="60"/>
      <c r="I7051" s="60"/>
      <c r="J7051" s="60"/>
      <c r="K7051" s="60"/>
      <c r="L7051" s="60"/>
      <c r="M7051" s="64"/>
      <c r="N7051" s="33"/>
    </row>
    <row r="7052" ht="24" customHeight="1" spans="2:14">
      <c r="B7052" s="33"/>
      <c r="C7052" s="60"/>
      <c r="D7052" s="60"/>
      <c r="E7052" s="60"/>
      <c r="F7052" s="60"/>
      <c r="G7052" s="60"/>
      <c r="H7052" s="60"/>
      <c r="I7052" s="60"/>
      <c r="J7052" s="60"/>
      <c r="K7052" s="60"/>
      <c r="L7052" s="60"/>
      <c r="M7052" s="64"/>
      <c r="N7052" s="33"/>
    </row>
    <row r="7053" ht="24" customHeight="1" spans="2:14">
      <c r="B7053" s="33"/>
      <c r="C7053" s="60"/>
      <c r="D7053" s="60"/>
      <c r="E7053" s="60"/>
      <c r="F7053" s="60"/>
      <c r="G7053" s="60"/>
      <c r="H7053" s="60"/>
      <c r="I7053" s="60"/>
      <c r="J7053" s="60"/>
      <c r="K7053" s="60"/>
      <c r="L7053" s="60"/>
      <c r="M7053" s="64"/>
      <c r="N7053" s="33"/>
    </row>
    <row r="7054" ht="24" customHeight="1" spans="2:14">
      <c r="B7054" s="33"/>
      <c r="C7054" s="60"/>
      <c r="D7054" s="60"/>
      <c r="E7054" s="60"/>
      <c r="F7054" s="60"/>
      <c r="G7054" s="60"/>
      <c r="H7054" s="60"/>
      <c r="I7054" s="60"/>
      <c r="J7054" s="60"/>
      <c r="K7054" s="60"/>
      <c r="L7054" s="60"/>
      <c r="M7054" s="64"/>
      <c r="N7054" s="33"/>
    </row>
    <row r="7055" ht="24" customHeight="1" spans="2:14">
      <c r="B7055" s="33"/>
      <c r="C7055" s="60"/>
      <c r="D7055" s="60"/>
      <c r="E7055" s="60"/>
      <c r="F7055" s="60"/>
      <c r="G7055" s="60"/>
      <c r="H7055" s="60"/>
      <c r="I7055" s="60"/>
      <c r="J7055" s="60"/>
      <c r="K7055" s="60"/>
      <c r="L7055" s="60"/>
      <c r="M7055" s="64"/>
      <c r="N7055" s="33"/>
    </row>
    <row r="7056" ht="24" customHeight="1" spans="2:14">
      <c r="B7056" s="33"/>
      <c r="C7056" s="60"/>
      <c r="D7056" s="60"/>
      <c r="E7056" s="60"/>
      <c r="F7056" s="60"/>
      <c r="G7056" s="60"/>
      <c r="H7056" s="60"/>
      <c r="I7056" s="60"/>
      <c r="J7056" s="60"/>
      <c r="K7056" s="60"/>
      <c r="L7056" s="60"/>
      <c r="M7056" s="64"/>
      <c r="N7056" s="33"/>
    </row>
    <row r="7057" ht="24" customHeight="1" spans="2:14">
      <c r="B7057" s="33"/>
      <c r="C7057" s="60"/>
      <c r="D7057" s="60"/>
      <c r="E7057" s="60"/>
      <c r="F7057" s="60"/>
      <c r="G7057" s="60"/>
      <c r="H7057" s="60"/>
      <c r="I7057" s="60"/>
      <c r="J7057" s="60"/>
      <c r="K7057" s="60"/>
      <c r="L7057" s="60"/>
      <c r="M7057" s="64"/>
      <c r="N7057" s="33"/>
    </row>
    <row r="7058" ht="24" customHeight="1" spans="2:14">
      <c r="B7058" s="33"/>
      <c r="C7058" s="60"/>
      <c r="D7058" s="60"/>
      <c r="E7058" s="60"/>
      <c r="F7058" s="60"/>
      <c r="G7058" s="60"/>
      <c r="H7058" s="60"/>
      <c r="I7058" s="60"/>
      <c r="J7058" s="60"/>
      <c r="K7058" s="60"/>
      <c r="L7058" s="60"/>
      <c r="M7058" s="64"/>
      <c r="N7058" s="33"/>
    </row>
    <row r="7059" ht="24" customHeight="1" spans="2:14">
      <c r="B7059" s="33"/>
      <c r="C7059" s="60"/>
      <c r="D7059" s="60"/>
      <c r="E7059" s="60"/>
      <c r="F7059" s="60"/>
      <c r="G7059" s="60"/>
      <c r="H7059" s="60"/>
      <c r="I7059" s="60"/>
      <c r="J7059" s="60"/>
      <c r="K7059" s="60"/>
      <c r="L7059" s="60"/>
      <c r="M7059" s="64"/>
      <c r="N7059" s="33"/>
    </row>
    <row r="7060" ht="24" customHeight="1" spans="2:14">
      <c r="B7060" s="33"/>
      <c r="C7060" s="60"/>
      <c r="D7060" s="60"/>
      <c r="E7060" s="60"/>
      <c r="F7060" s="60"/>
      <c r="G7060" s="60"/>
      <c r="H7060" s="60"/>
      <c r="I7060" s="60"/>
      <c r="J7060" s="60"/>
      <c r="K7060" s="60"/>
      <c r="L7060" s="60"/>
      <c r="M7060" s="64"/>
      <c r="N7060" s="33"/>
    </row>
    <row r="7061" ht="24" customHeight="1" spans="2:14">
      <c r="B7061" s="33"/>
      <c r="C7061" s="60"/>
      <c r="D7061" s="60"/>
      <c r="E7061" s="60"/>
      <c r="F7061" s="60"/>
      <c r="G7061" s="60"/>
      <c r="H7061" s="60"/>
      <c r="I7061" s="60"/>
      <c r="J7061" s="60"/>
      <c r="K7061" s="60"/>
      <c r="L7061" s="60"/>
      <c r="M7061" s="64"/>
      <c r="N7061" s="33"/>
    </row>
    <row r="7062" ht="24" customHeight="1" spans="2:14">
      <c r="B7062" s="33"/>
      <c r="C7062" s="60"/>
      <c r="D7062" s="60"/>
      <c r="E7062" s="60"/>
      <c r="F7062" s="60"/>
      <c r="G7062" s="60"/>
      <c r="H7062" s="60"/>
      <c r="I7062" s="60"/>
      <c r="J7062" s="60"/>
      <c r="K7062" s="60"/>
      <c r="L7062" s="60"/>
      <c r="M7062" s="64"/>
      <c r="N7062" s="33"/>
    </row>
    <row r="7063" ht="24" customHeight="1" spans="2:14">
      <c r="B7063" s="33"/>
      <c r="C7063" s="60"/>
      <c r="D7063" s="60"/>
      <c r="E7063" s="60"/>
      <c r="F7063" s="60"/>
      <c r="G7063" s="60"/>
      <c r="H7063" s="60"/>
      <c r="I7063" s="60"/>
      <c r="J7063" s="60"/>
      <c r="K7063" s="60"/>
      <c r="L7063" s="60"/>
      <c r="M7063" s="64"/>
      <c r="N7063" s="33"/>
    </row>
    <row r="7064" ht="24" customHeight="1" spans="2:14">
      <c r="B7064" s="33"/>
      <c r="C7064" s="60"/>
      <c r="D7064" s="60"/>
      <c r="E7064" s="60"/>
      <c r="F7064" s="60"/>
      <c r="G7064" s="60"/>
      <c r="H7064" s="60"/>
      <c r="I7064" s="60"/>
      <c r="J7064" s="60"/>
      <c r="K7064" s="60"/>
      <c r="L7064" s="60"/>
      <c r="M7064" s="64"/>
      <c r="N7064" s="33"/>
    </row>
    <row r="7065" ht="24" customHeight="1" spans="2:14">
      <c r="B7065" s="33"/>
      <c r="C7065" s="60"/>
      <c r="D7065" s="60"/>
      <c r="E7065" s="60"/>
      <c r="F7065" s="60"/>
      <c r="G7065" s="60"/>
      <c r="H7065" s="60"/>
      <c r="I7065" s="60"/>
      <c r="J7065" s="60"/>
      <c r="K7065" s="60"/>
      <c r="L7065" s="60"/>
      <c r="M7065" s="64"/>
      <c r="N7065" s="33"/>
    </row>
    <row r="7066" ht="24" customHeight="1" spans="2:14">
      <c r="B7066" s="33"/>
      <c r="C7066" s="60"/>
      <c r="D7066" s="60"/>
      <c r="E7066" s="60"/>
      <c r="F7066" s="60"/>
      <c r="G7066" s="60"/>
      <c r="H7066" s="60"/>
      <c r="I7066" s="60"/>
      <c r="J7066" s="60"/>
      <c r="K7066" s="60"/>
      <c r="L7066" s="60"/>
      <c r="M7066" s="64"/>
      <c r="N7066" s="33"/>
    </row>
    <row r="7067" ht="24" customHeight="1" spans="2:14">
      <c r="B7067" s="33"/>
      <c r="C7067" s="60"/>
      <c r="D7067" s="60"/>
      <c r="E7067" s="60"/>
      <c r="F7067" s="60"/>
      <c r="G7067" s="60"/>
      <c r="H7067" s="60"/>
      <c r="I7067" s="60"/>
      <c r="J7067" s="60"/>
      <c r="K7067" s="60"/>
      <c r="L7067" s="60"/>
      <c r="M7067" s="64"/>
      <c r="N7067" s="33"/>
    </row>
    <row r="7068" ht="24" customHeight="1" spans="2:14">
      <c r="B7068" s="33"/>
      <c r="C7068" s="60"/>
      <c r="D7068" s="60"/>
      <c r="E7068" s="60"/>
      <c r="F7068" s="60"/>
      <c r="G7068" s="60"/>
      <c r="H7068" s="60"/>
      <c r="I7068" s="60"/>
      <c r="J7068" s="60"/>
      <c r="K7068" s="60"/>
      <c r="L7068" s="60"/>
      <c r="M7068" s="64"/>
      <c r="N7068" s="33"/>
    </row>
    <row r="7069" ht="24" customHeight="1" spans="2:14">
      <c r="B7069" s="33"/>
      <c r="C7069" s="60"/>
      <c r="D7069" s="60"/>
      <c r="E7069" s="60"/>
      <c r="F7069" s="60"/>
      <c r="G7069" s="60"/>
      <c r="H7069" s="60"/>
      <c r="I7069" s="60"/>
      <c r="J7069" s="60"/>
      <c r="K7069" s="60"/>
      <c r="L7069" s="60"/>
      <c r="M7069" s="64"/>
      <c r="N7069" s="33"/>
    </row>
    <row r="7070" ht="24" customHeight="1" spans="2:14">
      <c r="B7070" s="33"/>
      <c r="C7070" s="60"/>
      <c r="D7070" s="60"/>
      <c r="E7070" s="60"/>
      <c r="F7070" s="60"/>
      <c r="G7070" s="60"/>
      <c r="H7070" s="60"/>
      <c r="I7070" s="60"/>
      <c r="J7070" s="60"/>
      <c r="K7070" s="60"/>
      <c r="L7070" s="60"/>
      <c r="M7070" s="64"/>
      <c r="N7070" s="33"/>
    </row>
    <row r="7071" ht="24" customHeight="1" spans="2:14">
      <c r="B7071" s="33"/>
      <c r="C7071" s="60"/>
      <c r="D7071" s="60"/>
      <c r="E7071" s="60"/>
      <c r="F7071" s="60"/>
      <c r="G7071" s="60"/>
      <c r="H7071" s="60"/>
      <c r="I7071" s="60"/>
      <c r="J7071" s="60"/>
      <c r="K7071" s="60"/>
      <c r="L7071" s="60"/>
      <c r="M7071" s="64"/>
      <c r="N7071" s="33"/>
    </row>
    <row r="7072" ht="24" customHeight="1" spans="2:14">
      <c r="B7072" s="33"/>
      <c r="C7072" s="60"/>
      <c r="D7072" s="60"/>
      <c r="E7072" s="60"/>
      <c r="F7072" s="60"/>
      <c r="G7072" s="60"/>
      <c r="H7072" s="60"/>
      <c r="I7072" s="60"/>
      <c r="J7072" s="60"/>
      <c r="K7072" s="60"/>
      <c r="L7072" s="60"/>
      <c r="M7072" s="64"/>
      <c r="N7072" s="33"/>
    </row>
    <row r="7073" ht="24" customHeight="1" spans="2:14">
      <c r="B7073" s="33"/>
      <c r="C7073" s="60"/>
      <c r="D7073" s="60"/>
      <c r="E7073" s="60"/>
      <c r="F7073" s="60"/>
      <c r="G7073" s="60"/>
      <c r="H7073" s="60"/>
      <c r="I7073" s="60"/>
      <c r="J7073" s="60"/>
      <c r="K7073" s="60"/>
      <c r="L7073" s="60"/>
      <c r="M7073" s="64"/>
      <c r="N7073" s="33"/>
    </row>
    <row r="7074" ht="24" customHeight="1" spans="2:14">
      <c r="B7074" s="33"/>
      <c r="C7074" s="60"/>
      <c r="D7074" s="60"/>
      <c r="E7074" s="60"/>
      <c r="F7074" s="60"/>
      <c r="G7074" s="60"/>
      <c r="H7074" s="60"/>
      <c r="I7074" s="60"/>
      <c r="J7074" s="60"/>
      <c r="K7074" s="60"/>
      <c r="L7074" s="60"/>
      <c r="M7074" s="64"/>
      <c r="N7074" s="33"/>
    </row>
    <row r="7075" ht="24" customHeight="1" spans="2:14">
      <c r="B7075" s="33"/>
      <c r="C7075" s="60"/>
      <c r="D7075" s="60"/>
      <c r="E7075" s="60"/>
      <c r="F7075" s="60"/>
      <c r="G7075" s="60"/>
      <c r="H7075" s="60"/>
      <c r="I7075" s="60"/>
      <c r="J7075" s="60"/>
      <c r="K7075" s="60"/>
      <c r="L7075" s="60"/>
      <c r="M7075" s="64"/>
      <c r="N7075" s="33"/>
    </row>
    <row r="7076" ht="24" customHeight="1" spans="2:14">
      <c r="B7076" s="33"/>
      <c r="C7076" s="60"/>
      <c r="D7076" s="60"/>
      <c r="E7076" s="60"/>
      <c r="F7076" s="60"/>
      <c r="G7076" s="60"/>
      <c r="H7076" s="60"/>
      <c r="I7076" s="60"/>
      <c r="J7076" s="60"/>
      <c r="K7076" s="60"/>
      <c r="L7076" s="60"/>
      <c r="M7076" s="64"/>
      <c r="N7076" s="33"/>
    </row>
    <row r="7077" ht="24" customHeight="1" spans="2:14">
      <c r="B7077" s="33"/>
      <c r="C7077" s="60"/>
      <c r="D7077" s="60"/>
      <c r="E7077" s="60"/>
      <c r="F7077" s="60"/>
      <c r="G7077" s="60"/>
      <c r="H7077" s="60"/>
      <c r="I7077" s="60"/>
      <c r="J7077" s="60"/>
      <c r="K7077" s="60"/>
      <c r="L7077" s="60"/>
      <c r="M7077" s="64"/>
      <c r="N7077" s="33"/>
    </row>
    <row r="7078" ht="24" customHeight="1" spans="2:14">
      <c r="B7078" s="33"/>
      <c r="C7078" s="60"/>
      <c r="D7078" s="60"/>
      <c r="E7078" s="60"/>
      <c r="F7078" s="60"/>
      <c r="G7078" s="60"/>
      <c r="H7078" s="60"/>
      <c r="I7078" s="60"/>
      <c r="J7078" s="60"/>
      <c r="K7078" s="60"/>
      <c r="L7078" s="60"/>
      <c r="M7078" s="64"/>
      <c r="N7078" s="33"/>
    </row>
    <row r="7079" ht="24" customHeight="1" spans="2:14">
      <c r="B7079" s="33"/>
      <c r="C7079" s="60"/>
      <c r="D7079" s="60"/>
      <c r="E7079" s="60"/>
      <c r="F7079" s="60"/>
      <c r="G7079" s="60"/>
      <c r="H7079" s="60"/>
      <c r="I7079" s="60"/>
      <c r="J7079" s="60"/>
      <c r="K7079" s="60"/>
      <c r="L7079" s="60"/>
      <c r="M7079" s="64"/>
      <c r="N7079" s="33"/>
    </row>
    <row r="7080" ht="24" customHeight="1" spans="2:14">
      <c r="B7080" s="33"/>
      <c r="C7080" s="60"/>
      <c r="D7080" s="60"/>
      <c r="E7080" s="60"/>
      <c r="F7080" s="60"/>
      <c r="G7080" s="60"/>
      <c r="H7080" s="60"/>
      <c r="I7080" s="60"/>
      <c r="J7080" s="60"/>
      <c r="K7080" s="60"/>
      <c r="L7080" s="60"/>
      <c r="M7080" s="64"/>
      <c r="N7080" s="33"/>
    </row>
    <row r="7081" ht="24" customHeight="1" spans="2:14">
      <c r="B7081" s="33"/>
      <c r="C7081" s="60"/>
      <c r="D7081" s="60"/>
      <c r="E7081" s="60"/>
      <c r="F7081" s="60"/>
      <c r="G7081" s="60"/>
      <c r="H7081" s="60"/>
      <c r="I7081" s="60"/>
      <c r="J7081" s="60"/>
      <c r="K7081" s="60"/>
      <c r="L7081" s="60"/>
      <c r="M7081" s="64"/>
      <c r="N7081" s="33"/>
    </row>
    <row r="7082" ht="24" customHeight="1" spans="2:14">
      <c r="B7082" s="33"/>
      <c r="C7082" s="60"/>
      <c r="D7082" s="60"/>
      <c r="E7082" s="60"/>
      <c r="F7082" s="60"/>
      <c r="G7082" s="60"/>
      <c r="H7082" s="60"/>
      <c r="I7082" s="60"/>
      <c r="J7082" s="60"/>
      <c r="K7082" s="60"/>
      <c r="L7082" s="60"/>
      <c r="M7082" s="64"/>
      <c r="N7082" s="33"/>
    </row>
    <row r="7083" ht="24" customHeight="1" spans="2:14">
      <c r="B7083" s="33"/>
      <c r="C7083" s="60"/>
      <c r="D7083" s="60"/>
      <c r="E7083" s="60"/>
      <c r="F7083" s="60"/>
      <c r="G7083" s="60"/>
      <c r="H7083" s="60"/>
      <c r="I7083" s="60"/>
      <c r="J7083" s="60"/>
      <c r="K7083" s="60"/>
      <c r="L7083" s="60"/>
      <c r="M7083" s="64"/>
      <c r="N7083" s="33"/>
    </row>
    <row r="7084" ht="24" customHeight="1" spans="2:14">
      <c r="B7084" s="33"/>
      <c r="C7084" s="60"/>
      <c r="D7084" s="60"/>
      <c r="E7084" s="60"/>
      <c r="F7084" s="60"/>
      <c r="G7084" s="60"/>
      <c r="H7084" s="60"/>
      <c r="I7084" s="60"/>
      <c r="J7084" s="60"/>
      <c r="K7084" s="60"/>
      <c r="L7084" s="60"/>
      <c r="M7084" s="64"/>
      <c r="N7084" s="33"/>
    </row>
    <row r="7085" ht="24" customHeight="1" spans="2:14">
      <c r="B7085" s="33"/>
      <c r="C7085" s="60"/>
      <c r="D7085" s="60"/>
      <c r="E7085" s="60"/>
      <c r="F7085" s="60"/>
      <c r="G7085" s="60"/>
      <c r="H7085" s="60"/>
      <c r="I7085" s="60"/>
      <c r="J7085" s="60"/>
      <c r="K7085" s="60"/>
      <c r="L7085" s="60"/>
      <c r="M7085" s="64"/>
      <c r="N7085" s="33"/>
    </row>
    <row r="7086" ht="24" customHeight="1" spans="2:14">
      <c r="B7086" s="33"/>
      <c r="C7086" s="60"/>
      <c r="D7086" s="60"/>
      <c r="E7086" s="60"/>
      <c r="F7086" s="60"/>
      <c r="G7086" s="60"/>
      <c r="H7086" s="60"/>
      <c r="I7086" s="60"/>
      <c r="J7086" s="60"/>
      <c r="K7086" s="60"/>
      <c r="L7086" s="60"/>
      <c r="M7086" s="64"/>
      <c r="N7086" s="33"/>
    </row>
    <row r="7087" ht="24" customHeight="1" spans="2:14">
      <c r="B7087" s="33"/>
      <c r="C7087" s="60"/>
      <c r="D7087" s="60"/>
      <c r="E7087" s="60"/>
      <c r="F7087" s="60"/>
      <c r="G7087" s="60"/>
      <c r="H7087" s="60"/>
      <c r="I7087" s="60"/>
      <c r="J7087" s="60"/>
      <c r="K7087" s="60"/>
      <c r="L7087" s="60"/>
      <c r="M7087" s="64"/>
      <c r="N7087" s="33"/>
    </row>
    <row r="7088" ht="24" customHeight="1" spans="2:14">
      <c r="B7088" s="33"/>
      <c r="C7088" s="60"/>
      <c r="D7088" s="60"/>
      <c r="E7088" s="60"/>
      <c r="F7088" s="60"/>
      <c r="G7088" s="60"/>
      <c r="H7088" s="60"/>
      <c r="I7088" s="60"/>
      <c r="J7088" s="60"/>
      <c r="K7088" s="60"/>
      <c r="L7088" s="60"/>
      <c r="M7088" s="64"/>
      <c r="N7088" s="33"/>
    </row>
    <row r="7089" ht="24" customHeight="1" spans="2:14">
      <c r="B7089" s="33"/>
      <c r="C7089" s="60"/>
      <c r="D7089" s="60"/>
      <c r="E7089" s="60"/>
      <c r="F7089" s="60"/>
      <c r="G7089" s="60"/>
      <c r="H7089" s="60"/>
      <c r="I7089" s="60"/>
      <c r="J7089" s="60"/>
      <c r="K7089" s="60"/>
      <c r="L7089" s="60"/>
      <c r="M7089" s="64"/>
      <c r="N7089" s="33"/>
    </row>
    <row r="7090" ht="24" customHeight="1" spans="2:14">
      <c r="B7090" s="33"/>
      <c r="C7090" s="60"/>
      <c r="D7090" s="60"/>
      <c r="E7090" s="60"/>
      <c r="F7090" s="60"/>
      <c r="G7090" s="60"/>
      <c r="H7090" s="60"/>
      <c r="I7090" s="60"/>
      <c r="J7090" s="60"/>
      <c r="K7090" s="60"/>
      <c r="L7090" s="60"/>
      <c r="M7090" s="64"/>
      <c r="N7090" s="33"/>
    </row>
    <row r="7091" ht="24" customHeight="1" spans="2:14">
      <c r="B7091" s="33"/>
      <c r="C7091" s="60"/>
      <c r="D7091" s="60"/>
      <c r="E7091" s="60"/>
      <c r="F7091" s="60"/>
      <c r="G7091" s="60"/>
      <c r="H7091" s="60"/>
      <c r="I7091" s="60"/>
      <c r="J7091" s="60"/>
      <c r="K7091" s="60"/>
      <c r="L7091" s="60"/>
      <c r="M7091" s="64"/>
      <c r="N7091" s="33"/>
    </row>
    <row r="7092" ht="24" customHeight="1" spans="2:14">
      <c r="B7092" s="33"/>
      <c r="C7092" s="60"/>
      <c r="D7092" s="60"/>
      <c r="E7092" s="60"/>
      <c r="F7092" s="60"/>
      <c r="G7092" s="60"/>
      <c r="H7092" s="60"/>
      <c r="I7092" s="60"/>
      <c r="J7092" s="60"/>
      <c r="K7092" s="60"/>
      <c r="L7092" s="60"/>
      <c r="M7092" s="64"/>
      <c r="N7092" s="33"/>
    </row>
    <row r="7093" ht="24" customHeight="1" spans="2:14">
      <c r="B7093" s="33"/>
      <c r="C7093" s="60"/>
      <c r="D7093" s="60"/>
      <c r="E7093" s="60"/>
      <c r="F7093" s="60"/>
      <c r="G7093" s="60"/>
      <c r="H7093" s="60"/>
      <c r="I7093" s="60"/>
      <c r="J7093" s="60"/>
      <c r="K7093" s="60"/>
      <c r="L7093" s="60"/>
      <c r="M7093" s="64"/>
      <c r="N7093" s="33"/>
    </row>
    <row r="7094" ht="24" customHeight="1" spans="2:14">
      <c r="B7094" s="33"/>
      <c r="C7094" s="60"/>
      <c r="D7094" s="60"/>
      <c r="E7094" s="60"/>
      <c r="F7094" s="60"/>
      <c r="G7094" s="60"/>
      <c r="H7094" s="60"/>
      <c r="I7094" s="60"/>
      <c r="J7094" s="60"/>
      <c r="K7094" s="60"/>
      <c r="L7094" s="60"/>
      <c r="M7094" s="64"/>
      <c r="N7094" s="33"/>
    </row>
    <row r="7095" ht="24" customHeight="1" spans="2:14">
      <c r="B7095" s="33"/>
      <c r="C7095" s="60"/>
      <c r="D7095" s="60"/>
      <c r="E7095" s="60"/>
      <c r="F7095" s="60"/>
      <c r="G7095" s="60"/>
      <c r="H7095" s="60"/>
      <c r="I7095" s="60"/>
      <c r="J7095" s="60"/>
      <c r="K7095" s="60"/>
      <c r="L7095" s="60"/>
      <c r="M7095" s="64"/>
      <c r="N7095" s="33"/>
    </row>
    <row r="7096" ht="24" customHeight="1" spans="2:14">
      <c r="B7096" s="33"/>
      <c r="C7096" s="60"/>
      <c r="D7096" s="60"/>
      <c r="E7096" s="60"/>
      <c r="F7096" s="60"/>
      <c r="G7096" s="60"/>
      <c r="H7096" s="60"/>
      <c r="I7096" s="60"/>
      <c r="J7096" s="60"/>
      <c r="K7096" s="60"/>
      <c r="L7096" s="60"/>
      <c r="M7096" s="64"/>
      <c r="N7096" s="33"/>
    </row>
    <row r="7097" ht="24" customHeight="1" spans="2:14">
      <c r="B7097" s="33"/>
      <c r="C7097" s="60"/>
      <c r="D7097" s="60"/>
      <c r="E7097" s="60"/>
      <c r="F7097" s="60"/>
      <c r="G7097" s="60"/>
      <c r="H7097" s="60"/>
      <c r="I7097" s="60"/>
      <c r="J7097" s="60"/>
      <c r="K7097" s="60"/>
      <c r="L7097" s="60"/>
      <c r="M7097" s="64"/>
      <c r="N7097" s="33"/>
    </row>
    <row r="7098" ht="24" customHeight="1" spans="2:14">
      <c r="B7098" s="33"/>
      <c r="C7098" s="60"/>
      <c r="D7098" s="60"/>
      <c r="E7098" s="60"/>
      <c r="F7098" s="60"/>
      <c r="G7098" s="60"/>
      <c r="H7098" s="60"/>
      <c r="I7098" s="60"/>
      <c r="J7098" s="60"/>
      <c r="K7098" s="60"/>
      <c r="L7098" s="60"/>
      <c r="M7098" s="64"/>
      <c r="N7098" s="33"/>
    </row>
    <row r="7099" ht="24" customHeight="1" spans="2:14">
      <c r="B7099" s="33"/>
      <c r="C7099" s="60"/>
      <c r="D7099" s="60"/>
      <c r="E7099" s="60"/>
      <c r="F7099" s="60"/>
      <c r="G7099" s="60"/>
      <c r="H7099" s="60"/>
      <c r="I7099" s="60"/>
      <c r="J7099" s="60"/>
      <c r="K7099" s="60"/>
      <c r="L7099" s="60"/>
      <c r="M7099" s="64"/>
      <c r="N7099" s="33"/>
    </row>
    <row r="7100" ht="24" customHeight="1" spans="2:14">
      <c r="B7100" s="33"/>
      <c r="C7100" s="60"/>
      <c r="D7100" s="60"/>
      <c r="E7100" s="60"/>
      <c r="F7100" s="60"/>
      <c r="G7100" s="60"/>
      <c r="H7100" s="60"/>
      <c r="I7100" s="60"/>
      <c r="J7100" s="60"/>
      <c r="K7100" s="60"/>
      <c r="L7100" s="60"/>
      <c r="M7100" s="64"/>
      <c r="N7100" s="33"/>
    </row>
    <row r="7101" ht="24" customHeight="1" spans="2:14">
      <c r="B7101" s="33"/>
      <c r="C7101" s="60"/>
      <c r="D7101" s="60"/>
      <c r="E7101" s="60"/>
      <c r="F7101" s="60"/>
      <c r="G7101" s="60"/>
      <c r="H7101" s="60"/>
      <c r="I7101" s="60"/>
      <c r="J7101" s="60"/>
      <c r="K7101" s="60"/>
      <c r="L7101" s="60"/>
      <c r="M7101" s="64"/>
      <c r="N7101" s="33"/>
    </row>
    <row r="7102" ht="24" customHeight="1" spans="2:14">
      <c r="B7102" s="33"/>
      <c r="C7102" s="60"/>
      <c r="D7102" s="60"/>
      <c r="E7102" s="60"/>
      <c r="F7102" s="60"/>
      <c r="G7102" s="60"/>
      <c r="H7102" s="60"/>
      <c r="I7102" s="60"/>
      <c r="J7102" s="60"/>
      <c r="K7102" s="60"/>
      <c r="L7102" s="60"/>
      <c r="M7102" s="64"/>
      <c r="N7102" s="33"/>
    </row>
    <row r="7103" ht="24" customHeight="1" spans="2:14">
      <c r="B7103" s="33"/>
      <c r="C7103" s="60"/>
      <c r="D7103" s="60"/>
      <c r="E7103" s="60"/>
      <c r="F7103" s="60"/>
      <c r="G7103" s="60"/>
      <c r="H7103" s="60"/>
      <c r="I7103" s="60"/>
      <c r="J7103" s="60"/>
      <c r="K7103" s="60"/>
      <c r="L7103" s="60"/>
      <c r="M7103" s="64"/>
      <c r="N7103" s="33"/>
    </row>
    <row r="7104" ht="24" customHeight="1" spans="2:14">
      <c r="B7104" s="33"/>
      <c r="C7104" s="60"/>
      <c r="D7104" s="60"/>
      <c r="E7104" s="60"/>
      <c r="F7104" s="60"/>
      <c r="G7104" s="60"/>
      <c r="H7104" s="60"/>
      <c r="I7104" s="60"/>
      <c r="J7104" s="60"/>
      <c r="K7104" s="60"/>
      <c r="L7104" s="60"/>
      <c r="M7104" s="64"/>
      <c r="N7104" s="33"/>
    </row>
    <row r="7105" ht="24" customHeight="1" spans="2:14">
      <c r="B7105" s="33"/>
      <c r="C7105" s="60"/>
      <c r="D7105" s="60"/>
      <c r="E7105" s="60"/>
      <c r="F7105" s="60"/>
      <c r="G7105" s="60"/>
      <c r="H7105" s="60"/>
      <c r="I7105" s="60"/>
      <c r="J7105" s="60"/>
      <c r="K7105" s="60"/>
      <c r="L7105" s="60"/>
      <c r="M7105" s="64"/>
      <c r="N7105" s="33"/>
    </row>
    <row r="7106" ht="24" customHeight="1" spans="2:14">
      <c r="B7106" s="33"/>
      <c r="C7106" s="60"/>
      <c r="D7106" s="60"/>
      <c r="E7106" s="60"/>
      <c r="F7106" s="60"/>
      <c r="G7106" s="60"/>
      <c r="H7106" s="60"/>
      <c r="I7106" s="60"/>
      <c r="J7106" s="60"/>
      <c r="K7106" s="60"/>
      <c r="L7106" s="60"/>
      <c r="M7106" s="64"/>
      <c r="N7106" s="33"/>
    </row>
    <row r="7107" ht="24" customHeight="1" spans="2:14">
      <c r="B7107" s="33"/>
      <c r="C7107" s="60"/>
      <c r="D7107" s="60"/>
      <c r="E7107" s="60"/>
      <c r="F7107" s="60"/>
      <c r="G7107" s="60"/>
      <c r="H7107" s="60"/>
      <c r="I7107" s="60"/>
      <c r="J7107" s="60"/>
      <c r="K7107" s="60"/>
      <c r="L7107" s="60"/>
      <c r="M7107" s="64"/>
      <c r="N7107" s="33"/>
    </row>
    <row r="7108" ht="24" customHeight="1" spans="2:14">
      <c r="B7108" s="33"/>
      <c r="C7108" s="60"/>
      <c r="D7108" s="60"/>
      <c r="E7108" s="60"/>
      <c r="F7108" s="60"/>
      <c r="G7108" s="60"/>
      <c r="H7108" s="60"/>
      <c r="I7108" s="60"/>
      <c r="J7108" s="60"/>
      <c r="K7108" s="60"/>
      <c r="L7108" s="60"/>
      <c r="M7108" s="64"/>
      <c r="N7108" s="33"/>
    </row>
    <row r="7109" ht="24" customHeight="1" spans="2:14">
      <c r="B7109" s="33"/>
      <c r="C7109" s="60"/>
      <c r="D7109" s="60"/>
      <c r="E7109" s="60"/>
      <c r="F7109" s="60"/>
      <c r="G7109" s="60"/>
      <c r="H7109" s="60"/>
      <c r="I7109" s="60"/>
      <c r="J7109" s="60"/>
      <c r="K7109" s="60"/>
      <c r="L7109" s="60"/>
      <c r="M7109" s="64"/>
      <c r="N7109" s="33"/>
    </row>
    <row r="7110" ht="24" customHeight="1" spans="2:14">
      <c r="B7110" s="33"/>
      <c r="C7110" s="60"/>
      <c r="D7110" s="60"/>
      <c r="E7110" s="60"/>
      <c r="F7110" s="60"/>
      <c r="G7110" s="60"/>
      <c r="H7110" s="60"/>
      <c r="I7110" s="60"/>
      <c r="J7110" s="60"/>
      <c r="K7110" s="60"/>
      <c r="L7110" s="60"/>
      <c r="M7110" s="64"/>
      <c r="N7110" s="33"/>
    </row>
    <row r="7111" ht="24" customHeight="1" spans="2:14">
      <c r="B7111" s="33"/>
      <c r="C7111" s="60"/>
      <c r="D7111" s="60"/>
      <c r="E7111" s="60"/>
      <c r="F7111" s="60"/>
      <c r="G7111" s="60"/>
      <c r="H7111" s="60"/>
      <c r="I7111" s="60"/>
      <c r="J7111" s="60"/>
      <c r="K7111" s="60"/>
      <c r="L7111" s="60"/>
      <c r="M7111" s="64"/>
      <c r="N7111" s="33"/>
    </row>
    <row r="7112" ht="24" customHeight="1" spans="2:14">
      <c r="B7112" s="33"/>
      <c r="C7112" s="60"/>
      <c r="D7112" s="60"/>
      <c r="E7112" s="60"/>
      <c r="F7112" s="60"/>
      <c r="G7112" s="60"/>
      <c r="H7112" s="60"/>
      <c r="I7112" s="60"/>
      <c r="J7112" s="60"/>
      <c r="K7112" s="60"/>
      <c r="L7112" s="60"/>
      <c r="M7112" s="64"/>
      <c r="N7112" s="33"/>
    </row>
    <row r="7113" ht="24" customHeight="1" spans="2:14">
      <c r="B7113" s="33"/>
      <c r="C7113" s="60"/>
      <c r="D7113" s="60"/>
      <c r="E7113" s="60"/>
      <c r="F7113" s="60"/>
      <c r="G7113" s="60"/>
      <c r="H7113" s="60"/>
      <c r="I7113" s="60"/>
      <c r="J7113" s="60"/>
      <c r="K7113" s="60"/>
      <c r="L7113" s="60"/>
      <c r="M7113" s="64"/>
      <c r="N7113" s="33"/>
    </row>
    <row r="7114" ht="24" customHeight="1" spans="2:14">
      <c r="B7114" s="33"/>
      <c r="C7114" s="60"/>
      <c r="D7114" s="60"/>
      <c r="E7114" s="60"/>
      <c r="F7114" s="60"/>
      <c r="G7114" s="60"/>
      <c r="H7114" s="60"/>
      <c r="I7114" s="60"/>
      <c r="J7114" s="60"/>
      <c r="K7114" s="60"/>
      <c r="L7114" s="60"/>
      <c r="M7114" s="64"/>
      <c r="N7114" s="33"/>
    </row>
    <row r="7115" ht="24" customHeight="1" spans="2:14">
      <c r="B7115" s="33"/>
      <c r="C7115" s="60"/>
      <c r="D7115" s="60"/>
      <c r="E7115" s="60"/>
      <c r="F7115" s="60"/>
      <c r="G7115" s="60"/>
      <c r="H7115" s="60"/>
      <c r="I7115" s="60"/>
      <c r="J7115" s="60"/>
      <c r="K7115" s="60"/>
      <c r="L7115" s="60"/>
      <c r="M7115" s="64"/>
      <c r="N7115" s="33"/>
    </row>
    <row r="7116" ht="24" customHeight="1" spans="2:14">
      <c r="B7116" s="33"/>
      <c r="C7116" s="60"/>
      <c r="D7116" s="60"/>
      <c r="E7116" s="60"/>
      <c r="F7116" s="60"/>
      <c r="G7116" s="60"/>
      <c r="H7116" s="60"/>
      <c r="I7116" s="60"/>
      <c r="J7116" s="60"/>
      <c r="K7116" s="60"/>
      <c r="L7116" s="60"/>
      <c r="M7116" s="64"/>
      <c r="N7116" s="33"/>
    </row>
    <row r="7117" ht="24" customHeight="1" spans="2:14">
      <c r="B7117" s="33"/>
      <c r="C7117" s="60"/>
      <c r="D7117" s="60"/>
      <c r="E7117" s="60"/>
      <c r="F7117" s="60"/>
      <c r="G7117" s="60"/>
      <c r="H7117" s="60"/>
      <c r="I7117" s="60"/>
      <c r="J7117" s="60"/>
      <c r="K7117" s="60"/>
      <c r="L7117" s="60"/>
      <c r="M7117" s="64"/>
      <c r="N7117" s="33"/>
    </row>
    <row r="7118" ht="24" customHeight="1" spans="2:14">
      <c r="B7118" s="33"/>
      <c r="C7118" s="60"/>
      <c r="D7118" s="60"/>
      <c r="E7118" s="60"/>
      <c r="F7118" s="60"/>
      <c r="G7118" s="60"/>
      <c r="H7118" s="60"/>
      <c r="I7118" s="60"/>
      <c r="J7118" s="60"/>
      <c r="K7118" s="60"/>
      <c r="L7118" s="60"/>
      <c r="M7118" s="64"/>
      <c r="N7118" s="33"/>
    </row>
    <row r="7119" ht="24" customHeight="1" spans="2:14">
      <c r="B7119" s="33"/>
      <c r="C7119" s="60"/>
      <c r="D7119" s="60"/>
      <c r="E7119" s="60"/>
      <c r="F7119" s="60"/>
      <c r="G7119" s="60"/>
      <c r="H7119" s="60"/>
      <c r="I7119" s="60"/>
      <c r="J7119" s="60"/>
      <c r="K7119" s="60"/>
      <c r="L7119" s="60"/>
      <c r="M7119" s="64"/>
      <c r="N7119" s="33"/>
    </row>
    <row r="7120" ht="24" customHeight="1" spans="2:14">
      <c r="B7120" s="33"/>
      <c r="C7120" s="60"/>
      <c r="D7120" s="60"/>
      <c r="E7120" s="60"/>
      <c r="F7120" s="60"/>
      <c r="G7120" s="60"/>
      <c r="H7120" s="60"/>
      <c r="I7120" s="60"/>
      <c r="J7120" s="60"/>
      <c r="K7120" s="60"/>
      <c r="L7120" s="60"/>
      <c r="M7120" s="64"/>
      <c r="N7120" s="33"/>
    </row>
    <row r="7121" ht="24" customHeight="1" spans="2:14">
      <c r="B7121" s="33"/>
      <c r="C7121" s="60"/>
      <c r="D7121" s="60"/>
      <c r="E7121" s="60"/>
      <c r="F7121" s="60"/>
      <c r="G7121" s="60"/>
      <c r="H7121" s="60"/>
      <c r="I7121" s="60"/>
      <c r="J7121" s="60"/>
      <c r="K7121" s="60"/>
      <c r="L7121" s="60"/>
      <c r="M7121" s="64"/>
      <c r="N7121" s="33"/>
    </row>
    <row r="7122" ht="24" customHeight="1" spans="2:14">
      <c r="B7122" s="33"/>
      <c r="C7122" s="60"/>
      <c r="D7122" s="60"/>
      <c r="E7122" s="60"/>
      <c r="F7122" s="60"/>
      <c r="G7122" s="60"/>
      <c r="H7122" s="60"/>
      <c r="I7122" s="60"/>
      <c r="J7122" s="60"/>
      <c r="K7122" s="60"/>
      <c r="L7122" s="60"/>
      <c r="M7122" s="64"/>
      <c r="N7122" s="33"/>
    </row>
    <row r="7123" ht="24" customHeight="1" spans="2:14">
      <c r="B7123" s="33"/>
      <c r="C7123" s="60"/>
      <c r="D7123" s="60"/>
      <c r="E7123" s="60"/>
      <c r="F7123" s="60"/>
      <c r="G7123" s="60"/>
      <c r="H7123" s="60"/>
      <c r="I7123" s="60"/>
      <c r="J7123" s="60"/>
      <c r="K7123" s="60"/>
      <c r="L7123" s="60"/>
      <c r="M7123" s="64"/>
      <c r="N7123" s="33"/>
    </row>
    <row r="7124" ht="24" customHeight="1" spans="2:14">
      <c r="B7124" s="33"/>
      <c r="C7124" s="60"/>
      <c r="D7124" s="60"/>
      <c r="E7124" s="60"/>
      <c r="F7124" s="60"/>
      <c r="G7124" s="60"/>
      <c r="H7124" s="60"/>
      <c r="I7124" s="60"/>
      <c r="J7124" s="60"/>
      <c r="K7124" s="60"/>
      <c r="L7124" s="60"/>
      <c r="M7124" s="64"/>
      <c r="N7124" s="33"/>
    </row>
    <row r="7125" ht="24" customHeight="1" spans="2:14">
      <c r="B7125" s="33"/>
      <c r="C7125" s="60"/>
      <c r="D7125" s="60"/>
      <c r="E7125" s="60"/>
      <c r="F7125" s="60"/>
      <c r="G7125" s="60"/>
      <c r="H7125" s="60"/>
      <c r="I7125" s="60"/>
      <c r="J7125" s="60"/>
      <c r="K7125" s="60"/>
      <c r="L7125" s="60"/>
      <c r="M7125" s="64"/>
      <c r="N7125" s="33"/>
    </row>
    <row r="7126" ht="24" customHeight="1" spans="2:14">
      <c r="B7126" s="33"/>
      <c r="C7126" s="60"/>
      <c r="D7126" s="60"/>
      <c r="E7126" s="60"/>
      <c r="F7126" s="60"/>
      <c r="G7126" s="60"/>
      <c r="H7126" s="60"/>
      <c r="I7126" s="60"/>
      <c r="J7126" s="60"/>
      <c r="K7126" s="60"/>
      <c r="L7126" s="60"/>
      <c r="M7126" s="64"/>
      <c r="N7126" s="33"/>
    </row>
    <row r="7127" ht="24" customHeight="1" spans="2:14">
      <c r="B7127" s="33"/>
      <c r="C7127" s="60"/>
      <c r="D7127" s="60"/>
      <c r="E7127" s="60"/>
      <c r="F7127" s="60"/>
      <c r="G7127" s="60"/>
      <c r="H7127" s="60"/>
      <c r="I7127" s="60"/>
      <c r="J7127" s="60"/>
      <c r="K7127" s="60"/>
      <c r="L7127" s="60"/>
      <c r="M7127" s="64"/>
      <c r="N7127" s="33"/>
    </row>
    <row r="7128" ht="24" customHeight="1" spans="2:14">
      <c r="B7128" s="33"/>
      <c r="C7128" s="60"/>
      <c r="D7128" s="60"/>
      <c r="E7128" s="60"/>
      <c r="F7128" s="60"/>
      <c r="G7128" s="60"/>
      <c r="H7128" s="60"/>
      <c r="I7128" s="60"/>
      <c r="J7128" s="60"/>
      <c r="K7128" s="60"/>
      <c r="L7128" s="60"/>
      <c r="M7128" s="64"/>
      <c r="N7128" s="33"/>
    </row>
    <row r="7129" ht="24" customHeight="1" spans="2:14">
      <c r="B7129" s="33"/>
      <c r="C7129" s="60"/>
      <c r="D7129" s="60"/>
      <c r="E7129" s="60"/>
      <c r="F7129" s="60"/>
      <c r="G7129" s="60"/>
      <c r="H7129" s="60"/>
      <c r="I7129" s="60"/>
      <c r="J7129" s="60"/>
      <c r="K7129" s="60"/>
      <c r="L7129" s="60"/>
      <c r="M7129" s="64"/>
      <c r="N7129" s="33"/>
    </row>
    <row r="7130" ht="24" customHeight="1" spans="2:14">
      <c r="B7130" s="33"/>
      <c r="C7130" s="60"/>
      <c r="D7130" s="60"/>
      <c r="E7130" s="60"/>
      <c r="F7130" s="60"/>
      <c r="G7130" s="60"/>
      <c r="H7130" s="60"/>
      <c r="I7130" s="60"/>
      <c r="J7130" s="60"/>
      <c r="K7130" s="60"/>
      <c r="L7130" s="60"/>
      <c r="M7130" s="64"/>
      <c r="N7130" s="33"/>
    </row>
    <row r="7131" ht="24" customHeight="1" spans="2:14">
      <c r="B7131" s="33"/>
      <c r="C7131" s="60"/>
      <c r="D7131" s="60"/>
      <c r="E7131" s="60"/>
      <c r="F7131" s="60"/>
      <c r="G7131" s="60"/>
      <c r="H7131" s="60"/>
      <c r="I7131" s="60"/>
      <c r="J7131" s="60"/>
      <c r="K7131" s="60"/>
      <c r="L7131" s="60"/>
      <c r="M7131" s="64"/>
      <c r="N7131" s="33"/>
    </row>
    <row r="7132" ht="24" customHeight="1" spans="2:14">
      <c r="B7132" s="33"/>
      <c r="C7132" s="60"/>
      <c r="D7132" s="60"/>
      <c r="E7132" s="60"/>
      <c r="F7132" s="60"/>
      <c r="G7132" s="60"/>
      <c r="H7132" s="60"/>
      <c r="I7132" s="60"/>
      <c r="J7132" s="60"/>
      <c r="K7132" s="60"/>
      <c r="L7132" s="60"/>
      <c r="M7132" s="64"/>
      <c r="N7132" s="33"/>
    </row>
    <row r="7133" ht="24" customHeight="1" spans="2:14">
      <c r="B7133" s="33"/>
      <c r="C7133" s="60"/>
      <c r="D7133" s="60"/>
      <c r="E7133" s="60"/>
      <c r="F7133" s="60"/>
      <c r="G7133" s="60"/>
      <c r="H7133" s="60"/>
      <c r="I7133" s="60"/>
      <c r="J7133" s="60"/>
      <c r="K7133" s="60"/>
      <c r="L7133" s="60"/>
      <c r="M7133" s="64"/>
      <c r="N7133" s="33"/>
    </row>
    <row r="7134" ht="24" customHeight="1" spans="2:14">
      <c r="B7134" s="33"/>
      <c r="C7134" s="60"/>
      <c r="D7134" s="60"/>
      <c r="E7134" s="60"/>
      <c r="F7134" s="60"/>
      <c r="G7134" s="60"/>
      <c r="H7134" s="60"/>
      <c r="I7134" s="60"/>
      <c r="J7134" s="60"/>
      <c r="K7134" s="60"/>
      <c r="L7134" s="60"/>
      <c r="M7134" s="64"/>
      <c r="N7134" s="33"/>
    </row>
    <row r="7135" ht="24" customHeight="1" spans="2:14">
      <c r="B7135" s="33"/>
      <c r="C7135" s="60"/>
      <c r="D7135" s="60"/>
      <c r="E7135" s="60"/>
      <c r="F7135" s="60"/>
      <c r="G7135" s="60"/>
      <c r="H7135" s="60"/>
      <c r="I7135" s="60"/>
      <c r="J7135" s="60"/>
      <c r="K7135" s="60"/>
      <c r="L7135" s="60"/>
      <c r="M7135" s="64"/>
      <c r="N7135" s="33"/>
    </row>
    <row r="7136" ht="24" customHeight="1" spans="2:14">
      <c r="B7136" s="33"/>
      <c r="C7136" s="60"/>
      <c r="D7136" s="60"/>
      <c r="E7136" s="60"/>
      <c r="F7136" s="60"/>
      <c r="G7136" s="60"/>
      <c r="H7136" s="60"/>
      <c r="I7136" s="60"/>
      <c r="J7136" s="60"/>
      <c r="K7136" s="60"/>
      <c r="L7136" s="60"/>
      <c r="M7136" s="64"/>
      <c r="N7136" s="33"/>
    </row>
    <row r="7137" ht="24" customHeight="1" spans="2:14">
      <c r="B7137" s="33"/>
      <c r="C7137" s="60"/>
      <c r="D7137" s="60"/>
      <c r="E7137" s="60"/>
      <c r="F7137" s="60"/>
      <c r="G7137" s="60"/>
      <c r="H7137" s="60"/>
      <c r="I7137" s="60"/>
      <c r="J7137" s="60"/>
      <c r="K7137" s="60"/>
      <c r="L7137" s="60"/>
      <c r="M7137" s="64"/>
      <c r="N7137" s="33"/>
    </row>
    <row r="7138" ht="24" customHeight="1" spans="2:14">
      <c r="B7138" s="33"/>
      <c r="C7138" s="60"/>
      <c r="D7138" s="60"/>
      <c r="E7138" s="60"/>
      <c r="F7138" s="60"/>
      <c r="G7138" s="60"/>
      <c r="H7138" s="60"/>
      <c r="I7138" s="60"/>
      <c r="J7138" s="60"/>
      <c r="K7138" s="60"/>
      <c r="L7138" s="60"/>
      <c r="M7138" s="64"/>
      <c r="N7138" s="33"/>
    </row>
    <row r="7139" ht="24" customHeight="1" spans="2:14">
      <c r="B7139" s="33"/>
      <c r="C7139" s="60"/>
      <c r="D7139" s="60"/>
      <c r="E7139" s="60"/>
      <c r="F7139" s="60"/>
      <c r="G7139" s="60"/>
      <c r="H7139" s="60"/>
      <c r="I7139" s="60"/>
      <c r="J7139" s="60"/>
      <c r="K7139" s="60"/>
      <c r="L7139" s="60"/>
      <c r="M7139" s="64"/>
      <c r="N7139" s="33"/>
    </row>
    <row r="7140" ht="24" customHeight="1" spans="2:14">
      <c r="B7140" s="33"/>
      <c r="C7140" s="60"/>
      <c r="D7140" s="60"/>
      <c r="E7140" s="60"/>
      <c r="F7140" s="60"/>
      <c r="G7140" s="60"/>
      <c r="H7140" s="60"/>
      <c r="I7140" s="60"/>
      <c r="J7140" s="60"/>
      <c r="K7140" s="60"/>
      <c r="L7140" s="60"/>
      <c r="M7140" s="64"/>
      <c r="N7140" s="33"/>
    </row>
    <row r="7141" ht="24" customHeight="1" spans="2:14">
      <c r="B7141" s="33"/>
      <c r="C7141" s="60"/>
      <c r="D7141" s="60"/>
      <c r="E7141" s="60"/>
      <c r="F7141" s="60"/>
      <c r="G7141" s="60"/>
      <c r="H7141" s="60"/>
      <c r="I7141" s="60"/>
      <c r="J7141" s="60"/>
      <c r="K7141" s="60"/>
      <c r="L7141" s="60"/>
      <c r="M7141" s="64"/>
      <c r="N7141" s="33"/>
    </row>
    <row r="7142" ht="24" customHeight="1" spans="2:14">
      <c r="B7142" s="33"/>
      <c r="C7142" s="60"/>
      <c r="D7142" s="60"/>
      <c r="E7142" s="60"/>
      <c r="F7142" s="60"/>
      <c r="G7142" s="60"/>
      <c r="H7142" s="60"/>
      <c r="I7142" s="60"/>
      <c r="J7142" s="60"/>
      <c r="K7142" s="60"/>
      <c r="L7142" s="60"/>
      <c r="M7142" s="64"/>
      <c r="N7142" s="33"/>
    </row>
    <row r="7143" ht="24" customHeight="1" spans="2:14">
      <c r="B7143" s="33"/>
      <c r="C7143" s="60"/>
      <c r="D7143" s="60"/>
      <c r="E7143" s="60"/>
      <c r="F7143" s="60"/>
      <c r="G7143" s="60"/>
      <c r="H7143" s="60"/>
      <c r="I7143" s="60"/>
      <c r="J7143" s="60"/>
      <c r="K7143" s="60"/>
      <c r="L7143" s="60"/>
      <c r="M7143" s="64"/>
      <c r="N7143" s="33"/>
    </row>
    <row r="7144" ht="24" customHeight="1" spans="2:14">
      <c r="B7144" s="33"/>
      <c r="C7144" s="60"/>
      <c r="D7144" s="60"/>
      <c r="E7144" s="60"/>
      <c r="F7144" s="60"/>
      <c r="G7144" s="60"/>
      <c r="H7144" s="60"/>
      <c r="I7144" s="60"/>
      <c r="J7144" s="60"/>
      <c r="K7144" s="60"/>
      <c r="L7144" s="60"/>
      <c r="M7144" s="64"/>
      <c r="N7144" s="33"/>
    </row>
    <row r="7145" ht="24" customHeight="1" spans="2:14">
      <c r="B7145" s="33"/>
      <c r="C7145" s="60"/>
      <c r="D7145" s="60"/>
      <c r="E7145" s="60"/>
      <c r="F7145" s="60"/>
      <c r="G7145" s="60"/>
      <c r="H7145" s="60"/>
      <c r="I7145" s="60"/>
      <c r="J7145" s="60"/>
      <c r="K7145" s="60"/>
      <c r="L7145" s="60"/>
      <c r="M7145" s="64"/>
      <c r="N7145" s="33"/>
    </row>
    <row r="7146" ht="24" customHeight="1" spans="2:14">
      <c r="B7146" s="33"/>
      <c r="C7146" s="60"/>
      <c r="D7146" s="60"/>
      <c r="E7146" s="60"/>
      <c r="F7146" s="60"/>
      <c r="G7146" s="60"/>
      <c r="H7146" s="60"/>
      <c r="I7146" s="60"/>
      <c r="J7146" s="60"/>
      <c r="K7146" s="60"/>
      <c r="L7146" s="60"/>
      <c r="M7146" s="64"/>
      <c r="N7146" s="33"/>
    </row>
    <row r="7147" ht="24" customHeight="1" spans="2:14">
      <c r="B7147" s="33"/>
      <c r="C7147" s="60"/>
      <c r="D7147" s="60"/>
      <c r="E7147" s="60"/>
      <c r="F7147" s="60"/>
      <c r="G7147" s="60"/>
      <c r="H7147" s="60"/>
      <c r="I7147" s="60"/>
      <c r="J7147" s="60"/>
      <c r="K7147" s="60"/>
      <c r="L7147" s="60"/>
      <c r="M7147" s="64"/>
      <c r="N7147" s="33"/>
    </row>
    <row r="7148" ht="24" customHeight="1" spans="2:14">
      <c r="B7148" s="33"/>
      <c r="C7148" s="60"/>
      <c r="D7148" s="60"/>
      <c r="E7148" s="60"/>
      <c r="F7148" s="60"/>
      <c r="G7148" s="60"/>
      <c r="H7148" s="60"/>
      <c r="I7148" s="60"/>
      <c r="J7148" s="60"/>
      <c r="K7148" s="60"/>
      <c r="L7148" s="60"/>
      <c r="M7148" s="64"/>
      <c r="N7148" s="33"/>
    </row>
    <row r="7149" ht="24" customHeight="1" spans="2:14">
      <c r="B7149" s="33"/>
      <c r="C7149" s="60"/>
      <c r="D7149" s="60"/>
      <c r="E7149" s="60"/>
      <c r="F7149" s="60"/>
      <c r="G7149" s="60"/>
      <c r="H7149" s="60"/>
      <c r="I7149" s="60"/>
      <c r="J7149" s="60"/>
      <c r="K7149" s="60"/>
      <c r="L7149" s="60"/>
      <c r="M7149" s="64"/>
      <c r="N7149" s="33"/>
    </row>
    <row r="7150" ht="24" customHeight="1" spans="2:14">
      <c r="B7150" s="33"/>
      <c r="C7150" s="60"/>
      <c r="D7150" s="60"/>
      <c r="E7150" s="60"/>
      <c r="F7150" s="60"/>
      <c r="G7150" s="60"/>
      <c r="H7150" s="60"/>
      <c r="I7150" s="60"/>
      <c r="J7150" s="60"/>
      <c r="K7150" s="60"/>
      <c r="L7150" s="60"/>
      <c r="M7150" s="64"/>
      <c r="N7150" s="33"/>
    </row>
    <row r="7151" ht="24" customHeight="1" spans="2:14">
      <c r="B7151" s="33"/>
      <c r="C7151" s="60"/>
      <c r="D7151" s="60"/>
      <c r="E7151" s="60"/>
      <c r="F7151" s="60"/>
      <c r="G7151" s="60"/>
      <c r="H7151" s="60"/>
      <c r="I7151" s="60"/>
      <c r="J7151" s="60"/>
      <c r="K7151" s="60"/>
      <c r="L7151" s="60"/>
      <c r="M7151" s="64"/>
      <c r="N7151" s="33"/>
    </row>
    <row r="7152" ht="24" customHeight="1" spans="2:14">
      <c r="B7152" s="33"/>
      <c r="C7152" s="60"/>
      <c r="D7152" s="60"/>
      <c r="E7152" s="60"/>
      <c r="F7152" s="60"/>
      <c r="G7152" s="60"/>
      <c r="H7152" s="60"/>
      <c r="I7152" s="60"/>
      <c r="J7152" s="60"/>
      <c r="K7152" s="60"/>
      <c r="L7152" s="60"/>
      <c r="M7152" s="64"/>
      <c r="N7152" s="33"/>
    </row>
    <row r="7153" ht="24" customHeight="1" spans="2:14">
      <c r="B7153" s="33"/>
      <c r="C7153" s="60"/>
      <c r="D7153" s="60"/>
      <c r="E7153" s="60"/>
      <c r="F7153" s="60"/>
      <c r="G7153" s="60"/>
      <c r="H7153" s="60"/>
      <c r="I7153" s="60"/>
      <c r="J7153" s="60"/>
      <c r="K7153" s="60"/>
      <c r="L7153" s="60"/>
      <c r="M7153" s="64"/>
      <c r="N7153" s="33"/>
    </row>
    <row r="7154" ht="24" customHeight="1" spans="2:14">
      <c r="B7154" s="33"/>
      <c r="C7154" s="60"/>
      <c r="D7154" s="60"/>
      <c r="E7154" s="60"/>
      <c r="F7154" s="60"/>
      <c r="G7154" s="60"/>
      <c r="H7154" s="60"/>
      <c r="I7154" s="60"/>
      <c r="J7154" s="60"/>
      <c r="K7154" s="60"/>
      <c r="L7154" s="60"/>
      <c r="M7154" s="64"/>
      <c r="N7154" s="33"/>
    </row>
    <row r="7155" ht="24" customHeight="1" spans="2:14">
      <c r="B7155" s="33"/>
      <c r="C7155" s="60"/>
      <c r="D7155" s="60"/>
      <c r="E7155" s="60"/>
      <c r="F7155" s="60"/>
      <c r="G7155" s="60"/>
      <c r="H7155" s="60"/>
      <c r="I7155" s="60"/>
      <c r="J7155" s="60"/>
      <c r="K7155" s="60"/>
      <c r="L7155" s="60"/>
      <c r="M7155" s="64"/>
      <c r="N7155" s="33"/>
    </row>
    <row r="7156" ht="24" customHeight="1" spans="2:14">
      <c r="B7156" s="33"/>
      <c r="C7156" s="60"/>
      <c r="D7156" s="60"/>
      <c r="E7156" s="60"/>
      <c r="F7156" s="60"/>
      <c r="G7156" s="60"/>
      <c r="H7156" s="60"/>
      <c r="I7156" s="60"/>
      <c r="J7156" s="60"/>
      <c r="K7156" s="60"/>
      <c r="L7156" s="60"/>
      <c r="M7156" s="64"/>
      <c r="N7156" s="33"/>
    </row>
    <row r="7157" ht="24" customHeight="1" spans="2:14">
      <c r="B7157" s="33"/>
      <c r="C7157" s="60"/>
      <c r="D7157" s="60"/>
      <c r="E7157" s="60"/>
      <c r="F7157" s="60"/>
      <c r="G7157" s="60"/>
      <c r="H7157" s="60"/>
      <c r="I7157" s="60"/>
      <c r="J7157" s="60"/>
      <c r="K7157" s="60"/>
      <c r="L7157" s="60"/>
      <c r="M7157" s="64"/>
      <c r="N7157" s="33"/>
    </row>
    <row r="7158" ht="24" customHeight="1" spans="2:14">
      <c r="B7158" s="33"/>
      <c r="C7158" s="60"/>
      <c r="D7158" s="60"/>
      <c r="E7158" s="60"/>
      <c r="F7158" s="60"/>
      <c r="G7158" s="60"/>
      <c r="H7158" s="60"/>
      <c r="I7158" s="60"/>
      <c r="J7158" s="60"/>
      <c r="K7158" s="60"/>
      <c r="L7158" s="60"/>
      <c r="M7158" s="64"/>
      <c r="N7158" s="33"/>
    </row>
    <row r="7159" ht="24" customHeight="1" spans="2:14">
      <c r="B7159" s="33"/>
      <c r="C7159" s="60"/>
      <c r="D7159" s="60"/>
      <c r="E7159" s="60"/>
      <c r="F7159" s="60"/>
      <c r="G7159" s="60"/>
      <c r="H7159" s="60"/>
      <c r="I7159" s="60"/>
      <c r="J7159" s="60"/>
      <c r="K7159" s="60"/>
      <c r="L7159" s="60"/>
      <c r="M7159" s="64"/>
      <c r="N7159" s="33"/>
    </row>
    <row r="7160" ht="24" customHeight="1" spans="2:14">
      <c r="B7160" s="33"/>
      <c r="C7160" s="60"/>
      <c r="D7160" s="60"/>
      <c r="E7160" s="60"/>
      <c r="F7160" s="60"/>
      <c r="G7160" s="60"/>
      <c r="H7160" s="60"/>
      <c r="I7160" s="60"/>
      <c r="J7160" s="60"/>
      <c r="K7160" s="60"/>
      <c r="L7160" s="60"/>
      <c r="M7160" s="64"/>
      <c r="N7160" s="33"/>
    </row>
    <row r="7161" ht="24" customHeight="1" spans="2:14">
      <c r="B7161" s="33"/>
      <c r="C7161" s="60"/>
      <c r="D7161" s="60"/>
      <c r="E7161" s="60"/>
      <c r="F7161" s="60"/>
      <c r="G7161" s="60"/>
      <c r="H7161" s="60"/>
      <c r="I7161" s="60"/>
      <c r="J7161" s="60"/>
      <c r="K7161" s="60"/>
      <c r="L7161" s="60"/>
      <c r="M7161" s="64"/>
      <c r="N7161" s="33"/>
    </row>
    <row r="7162" ht="24" customHeight="1" spans="2:14">
      <c r="B7162" s="33"/>
      <c r="C7162" s="60"/>
      <c r="D7162" s="60"/>
      <c r="E7162" s="60"/>
      <c r="F7162" s="60"/>
      <c r="G7162" s="60"/>
      <c r="H7162" s="60"/>
      <c r="I7162" s="60"/>
      <c r="J7162" s="60"/>
      <c r="K7162" s="60"/>
      <c r="L7162" s="60"/>
      <c r="M7162" s="64"/>
      <c r="N7162" s="33"/>
    </row>
    <row r="7163" ht="24" customHeight="1" spans="2:14">
      <c r="B7163" s="33"/>
      <c r="C7163" s="60"/>
      <c r="D7163" s="60"/>
      <c r="E7163" s="60"/>
      <c r="F7163" s="60"/>
      <c r="G7163" s="60"/>
      <c r="H7163" s="60"/>
      <c r="I7163" s="60"/>
      <c r="J7163" s="60"/>
      <c r="K7163" s="60"/>
      <c r="L7163" s="60"/>
      <c r="M7163" s="64"/>
      <c r="N7163" s="33"/>
    </row>
    <row r="7164" ht="24" customHeight="1" spans="2:14">
      <c r="B7164" s="33"/>
      <c r="C7164" s="60"/>
      <c r="D7164" s="60"/>
      <c r="E7164" s="60"/>
      <c r="F7164" s="60"/>
      <c r="G7164" s="60"/>
      <c r="H7164" s="60"/>
      <c r="I7164" s="60"/>
      <c r="J7164" s="60"/>
      <c r="K7164" s="60"/>
      <c r="L7164" s="60"/>
      <c r="M7164" s="64"/>
      <c r="N7164" s="33"/>
    </row>
    <row r="7165" ht="24" customHeight="1" spans="2:14">
      <c r="B7165" s="33"/>
      <c r="C7165" s="60"/>
      <c r="D7165" s="60"/>
      <c r="E7165" s="60"/>
      <c r="F7165" s="60"/>
      <c r="G7165" s="60"/>
      <c r="H7165" s="60"/>
      <c r="I7165" s="60"/>
      <c r="J7165" s="60"/>
      <c r="K7165" s="60"/>
      <c r="L7165" s="60"/>
      <c r="M7165" s="64"/>
      <c r="N7165" s="33"/>
    </row>
    <row r="7166" ht="24" customHeight="1" spans="2:14">
      <c r="B7166" s="33"/>
      <c r="C7166" s="60"/>
      <c r="D7166" s="60"/>
      <c r="E7166" s="60"/>
      <c r="F7166" s="60"/>
      <c r="G7166" s="60"/>
      <c r="H7166" s="60"/>
      <c r="I7166" s="60"/>
      <c r="J7166" s="60"/>
      <c r="K7166" s="60"/>
      <c r="L7166" s="60"/>
      <c r="M7166" s="64"/>
      <c r="N7166" s="33"/>
    </row>
    <row r="7167" ht="24" customHeight="1" spans="2:14">
      <c r="B7167" s="33"/>
      <c r="C7167" s="60"/>
      <c r="D7167" s="60"/>
      <c r="E7167" s="60"/>
      <c r="F7167" s="60"/>
      <c r="G7167" s="60"/>
      <c r="H7167" s="60"/>
      <c r="I7167" s="60"/>
      <c r="J7167" s="60"/>
      <c r="K7167" s="60"/>
      <c r="L7167" s="60"/>
      <c r="M7167" s="64"/>
      <c r="N7167" s="33"/>
    </row>
    <row r="7168" ht="24" customHeight="1" spans="2:14">
      <c r="B7168" s="33"/>
      <c r="C7168" s="60"/>
      <c r="D7168" s="60"/>
      <c r="E7168" s="60"/>
      <c r="F7168" s="60"/>
      <c r="G7168" s="60"/>
      <c r="H7168" s="60"/>
      <c r="I7168" s="60"/>
      <c r="J7168" s="60"/>
      <c r="K7168" s="60"/>
      <c r="L7168" s="60"/>
      <c r="M7168" s="64"/>
      <c r="N7168" s="33"/>
    </row>
    <row r="7169" ht="24" customHeight="1" spans="2:14">
      <c r="B7169" s="33"/>
      <c r="C7169" s="60"/>
      <c r="D7169" s="60"/>
      <c r="E7169" s="60"/>
      <c r="F7169" s="60"/>
      <c r="G7169" s="60"/>
      <c r="H7169" s="60"/>
      <c r="I7169" s="60"/>
      <c r="J7169" s="60"/>
      <c r="K7169" s="60"/>
      <c r="L7169" s="60"/>
      <c r="M7169" s="64"/>
      <c r="N7169" s="33"/>
    </row>
    <row r="7170" ht="24" customHeight="1" spans="2:14">
      <c r="B7170" s="33"/>
      <c r="C7170" s="60"/>
      <c r="D7170" s="60"/>
      <c r="E7170" s="60"/>
      <c r="F7170" s="60"/>
      <c r="G7170" s="60"/>
      <c r="H7170" s="60"/>
      <c r="I7170" s="60"/>
      <c r="J7170" s="60"/>
      <c r="K7170" s="60"/>
      <c r="L7170" s="60"/>
      <c r="M7170" s="64"/>
      <c r="N7170" s="33"/>
    </row>
    <row r="7171" ht="24" customHeight="1" spans="2:14">
      <c r="B7171" s="33"/>
      <c r="C7171" s="60"/>
      <c r="D7171" s="60"/>
      <c r="E7171" s="60"/>
      <c r="F7171" s="60"/>
      <c r="G7171" s="60"/>
      <c r="H7171" s="60"/>
      <c r="I7171" s="60"/>
      <c r="J7171" s="60"/>
      <c r="K7171" s="60"/>
      <c r="L7171" s="60"/>
      <c r="M7171" s="64"/>
      <c r="N7171" s="33"/>
    </row>
    <row r="7172" ht="24" customHeight="1" spans="2:14">
      <c r="B7172" s="33"/>
      <c r="C7172" s="60"/>
      <c r="D7172" s="60"/>
      <c r="E7172" s="60"/>
      <c r="F7172" s="60"/>
      <c r="G7172" s="60"/>
      <c r="H7172" s="60"/>
      <c r="I7172" s="60"/>
      <c r="J7172" s="60"/>
      <c r="K7172" s="60"/>
      <c r="L7172" s="60"/>
      <c r="M7172" s="64"/>
      <c r="N7172" s="33"/>
    </row>
    <row r="7173" ht="24" customHeight="1" spans="2:14">
      <c r="B7173" s="33"/>
      <c r="C7173" s="60"/>
      <c r="D7173" s="60"/>
      <c r="E7173" s="60"/>
      <c r="F7173" s="60"/>
      <c r="G7173" s="60"/>
      <c r="H7173" s="60"/>
      <c r="I7173" s="60"/>
      <c r="J7173" s="60"/>
      <c r="K7173" s="60"/>
      <c r="L7173" s="60"/>
      <c r="M7173" s="64"/>
      <c r="N7173" s="33"/>
    </row>
    <row r="7174" ht="24" customHeight="1" spans="2:14">
      <c r="B7174" s="33"/>
      <c r="C7174" s="60"/>
      <c r="D7174" s="60"/>
      <c r="E7174" s="60"/>
      <c r="F7174" s="60"/>
      <c r="G7174" s="60"/>
      <c r="H7174" s="60"/>
      <c r="I7174" s="60"/>
      <c r="J7174" s="60"/>
      <c r="K7174" s="60"/>
      <c r="L7174" s="60"/>
      <c r="M7174" s="64"/>
      <c r="N7174" s="33"/>
    </row>
    <row r="7175" ht="24" customHeight="1" spans="2:14">
      <c r="B7175" s="33"/>
      <c r="C7175" s="60"/>
      <c r="D7175" s="60"/>
      <c r="E7175" s="60"/>
      <c r="F7175" s="60"/>
      <c r="G7175" s="60"/>
      <c r="H7175" s="60"/>
      <c r="I7175" s="60"/>
      <c r="J7175" s="60"/>
      <c r="K7175" s="60"/>
      <c r="L7175" s="60"/>
      <c r="M7175" s="64"/>
      <c r="N7175" s="33"/>
    </row>
    <row r="7176" ht="24" customHeight="1" spans="2:14">
      <c r="B7176" s="33"/>
      <c r="C7176" s="60"/>
      <c r="D7176" s="60"/>
      <c r="E7176" s="60"/>
      <c r="F7176" s="60"/>
      <c r="G7176" s="60"/>
      <c r="H7176" s="60"/>
      <c r="I7176" s="60"/>
      <c r="J7176" s="60"/>
      <c r="K7176" s="60"/>
      <c r="L7176" s="60"/>
      <c r="M7176" s="64"/>
      <c r="N7176" s="33"/>
    </row>
    <row r="7177" ht="24" customHeight="1" spans="2:14">
      <c r="B7177" s="33"/>
      <c r="C7177" s="60"/>
      <c r="D7177" s="60"/>
      <c r="E7177" s="60"/>
      <c r="F7177" s="60"/>
      <c r="G7177" s="60"/>
      <c r="H7177" s="60"/>
      <c r="I7177" s="60"/>
      <c r="J7177" s="60"/>
      <c r="K7177" s="60"/>
      <c r="L7177" s="60"/>
      <c r="M7177" s="64"/>
      <c r="N7177" s="33"/>
    </row>
    <row r="7178" ht="24" customHeight="1" spans="2:14">
      <c r="B7178" s="33"/>
      <c r="C7178" s="60"/>
      <c r="D7178" s="60"/>
      <c r="E7178" s="60"/>
      <c r="F7178" s="60"/>
      <c r="G7178" s="60"/>
      <c r="H7178" s="60"/>
      <c r="I7178" s="60"/>
      <c r="J7178" s="60"/>
      <c r="K7178" s="60"/>
      <c r="L7178" s="60"/>
      <c r="M7178" s="64"/>
      <c r="N7178" s="33"/>
    </row>
    <row r="7179" ht="24" customHeight="1" spans="2:14">
      <c r="B7179" s="33"/>
      <c r="C7179" s="60"/>
      <c r="D7179" s="60"/>
      <c r="E7179" s="60"/>
      <c r="F7179" s="60"/>
      <c r="G7179" s="60"/>
      <c r="H7179" s="60"/>
      <c r="I7179" s="60"/>
      <c r="J7179" s="60"/>
      <c r="K7179" s="60"/>
      <c r="L7179" s="60"/>
      <c r="M7179" s="64"/>
      <c r="N7179" s="33"/>
    </row>
    <row r="7180" ht="24" customHeight="1" spans="2:14">
      <c r="B7180" s="33"/>
      <c r="C7180" s="60"/>
      <c r="D7180" s="60"/>
      <c r="E7180" s="60"/>
      <c r="F7180" s="60"/>
      <c r="G7180" s="60"/>
      <c r="H7180" s="60"/>
      <c r="I7180" s="60"/>
      <c r="J7180" s="60"/>
      <c r="K7180" s="60"/>
      <c r="L7180" s="60"/>
      <c r="M7180" s="64"/>
      <c r="N7180" s="33"/>
    </row>
    <row r="7181" ht="24" customHeight="1" spans="2:14">
      <c r="B7181" s="33"/>
      <c r="C7181" s="60"/>
      <c r="D7181" s="60"/>
      <c r="E7181" s="60"/>
      <c r="F7181" s="60"/>
      <c r="G7181" s="60"/>
      <c r="H7181" s="60"/>
      <c r="I7181" s="60"/>
      <c r="J7181" s="60"/>
      <c r="K7181" s="60"/>
      <c r="L7181" s="60"/>
      <c r="M7181" s="64"/>
      <c r="N7181" s="33"/>
    </row>
    <row r="7182" ht="24" customHeight="1" spans="2:14">
      <c r="B7182" s="33"/>
      <c r="C7182" s="60"/>
      <c r="D7182" s="60"/>
      <c r="E7182" s="60"/>
      <c r="F7182" s="60"/>
      <c r="G7182" s="60"/>
      <c r="H7182" s="60"/>
      <c r="I7182" s="60"/>
      <c r="J7182" s="60"/>
      <c r="K7182" s="60"/>
      <c r="L7182" s="60"/>
      <c r="M7182" s="64"/>
      <c r="N7182" s="33"/>
    </row>
    <row r="7183" ht="24" customHeight="1" spans="2:14">
      <c r="B7183" s="33"/>
      <c r="C7183" s="60"/>
      <c r="D7183" s="60"/>
      <c r="E7183" s="60"/>
      <c r="F7183" s="60"/>
      <c r="G7183" s="60"/>
      <c r="H7183" s="60"/>
      <c r="I7183" s="60"/>
      <c r="J7183" s="60"/>
      <c r="K7183" s="60"/>
      <c r="L7183" s="60"/>
      <c r="M7183" s="64"/>
      <c r="N7183" s="33"/>
    </row>
    <row r="7184" ht="24" customHeight="1" spans="2:14">
      <c r="B7184" s="33"/>
      <c r="C7184" s="60"/>
      <c r="D7184" s="60"/>
      <c r="E7184" s="60"/>
      <c r="F7184" s="60"/>
      <c r="G7184" s="60"/>
      <c r="H7184" s="60"/>
      <c r="I7184" s="60"/>
      <c r="J7184" s="60"/>
      <c r="K7184" s="60"/>
      <c r="L7184" s="60"/>
      <c r="M7184" s="64"/>
      <c r="N7184" s="33"/>
    </row>
    <row r="7185" ht="24" customHeight="1" spans="2:14">
      <c r="B7185" s="33"/>
      <c r="C7185" s="60"/>
      <c r="D7185" s="60"/>
      <c r="E7185" s="60"/>
      <c r="F7185" s="60"/>
      <c r="G7185" s="60"/>
      <c r="H7185" s="60"/>
      <c r="I7185" s="60"/>
      <c r="J7185" s="60"/>
      <c r="K7185" s="60"/>
      <c r="L7185" s="60"/>
      <c r="M7185" s="64"/>
      <c r="N7185" s="33"/>
    </row>
    <row r="7186" ht="24" customHeight="1" spans="2:14">
      <c r="B7186" s="33"/>
      <c r="C7186" s="60"/>
      <c r="D7186" s="60"/>
      <c r="E7186" s="60"/>
      <c r="F7186" s="60"/>
      <c r="G7186" s="60"/>
      <c r="H7186" s="60"/>
      <c r="I7186" s="60"/>
      <c r="J7186" s="60"/>
      <c r="K7186" s="60"/>
      <c r="L7186" s="60"/>
      <c r="M7186" s="64"/>
      <c r="N7186" s="33"/>
    </row>
    <row r="7187" ht="24" customHeight="1" spans="2:14">
      <c r="B7187" s="33"/>
      <c r="C7187" s="60"/>
      <c r="D7187" s="60"/>
      <c r="E7187" s="60"/>
      <c r="F7187" s="60"/>
      <c r="G7187" s="60"/>
      <c r="H7187" s="60"/>
      <c r="I7187" s="60"/>
      <c r="J7187" s="60"/>
      <c r="K7187" s="60"/>
      <c r="L7187" s="60"/>
      <c r="M7187" s="64"/>
      <c r="N7187" s="33"/>
    </row>
    <row r="7188" ht="24" customHeight="1" spans="2:14">
      <c r="B7188" s="33"/>
      <c r="C7188" s="60"/>
      <c r="D7188" s="60"/>
      <c r="E7188" s="60"/>
      <c r="F7188" s="60"/>
      <c r="G7188" s="60"/>
      <c r="H7188" s="60"/>
      <c r="I7188" s="60"/>
      <c r="J7188" s="60"/>
      <c r="K7188" s="60"/>
      <c r="L7188" s="60"/>
      <c r="M7188" s="64"/>
      <c r="N7188" s="33"/>
    </row>
    <row r="7189" ht="24" customHeight="1" spans="2:14">
      <c r="B7189" s="33"/>
      <c r="C7189" s="60"/>
      <c r="D7189" s="60"/>
      <c r="E7189" s="60"/>
      <c r="F7189" s="60"/>
      <c r="G7189" s="60"/>
      <c r="H7189" s="60"/>
      <c r="I7189" s="60"/>
      <c r="J7189" s="60"/>
      <c r="K7189" s="60"/>
      <c r="L7189" s="60"/>
      <c r="M7189" s="64"/>
      <c r="N7189" s="33"/>
    </row>
    <row r="7190" ht="24" customHeight="1" spans="2:14">
      <c r="B7190" s="33"/>
      <c r="C7190" s="60"/>
      <c r="D7190" s="60"/>
      <c r="E7190" s="60"/>
      <c r="F7190" s="60"/>
      <c r="G7190" s="60"/>
      <c r="H7190" s="60"/>
      <c r="I7190" s="60"/>
      <c r="J7190" s="60"/>
      <c r="K7190" s="60"/>
      <c r="L7190" s="60"/>
      <c r="M7190" s="64"/>
      <c r="N7190" s="33"/>
    </row>
    <row r="7191" ht="24" customHeight="1" spans="2:14">
      <c r="B7191" s="33"/>
      <c r="C7191" s="60"/>
      <c r="D7191" s="60"/>
      <c r="E7191" s="60"/>
      <c r="F7191" s="60"/>
      <c r="G7191" s="60"/>
      <c r="H7191" s="60"/>
      <c r="I7191" s="60"/>
      <c r="J7191" s="60"/>
      <c r="K7191" s="60"/>
      <c r="L7191" s="60"/>
      <c r="M7191" s="64"/>
      <c r="N7191" s="33"/>
    </row>
    <row r="7192" ht="24" customHeight="1" spans="2:14">
      <c r="B7192" s="33"/>
      <c r="C7192" s="60"/>
      <c r="D7192" s="60"/>
      <c r="E7192" s="60"/>
      <c r="F7192" s="60"/>
      <c r="G7192" s="60"/>
      <c r="H7192" s="60"/>
      <c r="I7192" s="60"/>
      <c r="J7192" s="60"/>
      <c r="K7192" s="60"/>
      <c r="L7192" s="60"/>
      <c r="M7192" s="64"/>
      <c r="N7192" s="33"/>
    </row>
    <row r="7193" ht="24" customHeight="1" spans="2:14">
      <c r="B7193" s="33"/>
      <c r="C7193" s="60"/>
      <c r="D7193" s="60"/>
      <c r="E7193" s="60"/>
      <c r="F7193" s="60"/>
      <c r="G7193" s="60"/>
      <c r="H7193" s="60"/>
      <c r="I7193" s="60"/>
      <c r="J7193" s="60"/>
      <c r="K7193" s="60"/>
      <c r="L7193" s="60"/>
      <c r="M7193" s="64"/>
      <c r="N7193" s="33"/>
    </row>
    <row r="7194" ht="24" customHeight="1" spans="2:14">
      <c r="B7194" s="33"/>
      <c r="C7194" s="60"/>
      <c r="D7194" s="60"/>
      <c r="E7194" s="60"/>
      <c r="F7194" s="60"/>
      <c r="G7194" s="60"/>
      <c r="H7194" s="60"/>
      <c r="I7194" s="60"/>
      <c r="J7194" s="60"/>
      <c r="K7194" s="60"/>
      <c r="L7194" s="60"/>
      <c r="M7194" s="64"/>
      <c r="N7194" s="33"/>
    </row>
    <row r="7195" ht="24" customHeight="1" spans="2:14">
      <c r="B7195" s="33"/>
      <c r="C7195" s="60"/>
      <c r="D7195" s="60"/>
      <c r="E7195" s="60"/>
      <c r="F7195" s="60"/>
      <c r="G7195" s="60"/>
      <c r="H7195" s="60"/>
      <c r="I7195" s="60"/>
      <c r="J7195" s="60"/>
      <c r="K7195" s="60"/>
      <c r="L7195" s="60"/>
      <c r="M7195" s="64"/>
      <c r="N7195" s="33"/>
    </row>
    <row r="7196" ht="24" customHeight="1" spans="2:14">
      <c r="B7196" s="33"/>
      <c r="C7196" s="60"/>
      <c r="D7196" s="60"/>
      <c r="E7196" s="60"/>
      <c r="F7196" s="60"/>
      <c r="G7196" s="60"/>
      <c r="H7196" s="60"/>
      <c r="I7196" s="60"/>
      <c r="J7196" s="60"/>
      <c r="K7196" s="60"/>
      <c r="L7196" s="60"/>
      <c r="M7196" s="64"/>
      <c r="N7196" s="33"/>
    </row>
    <row r="7197" ht="24" customHeight="1" spans="2:14">
      <c r="B7197" s="33"/>
      <c r="C7197" s="60"/>
      <c r="D7197" s="60"/>
      <c r="E7197" s="60"/>
      <c r="F7197" s="60"/>
      <c r="G7197" s="60"/>
      <c r="H7197" s="60"/>
      <c r="I7197" s="60"/>
      <c r="J7197" s="60"/>
      <c r="K7197" s="60"/>
      <c r="L7197" s="60"/>
      <c r="M7197" s="64"/>
      <c r="N7197" s="33"/>
    </row>
    <row r="7198" ht="24" customHeight="1" spans="2:14">
      <c r="B7198" s="33"/>
      <c r="C7198" s="60"/>
      <c r="D7198" s="60"/>
      <c r="E7198" s="60"/>
      <c r="F7198" s="60"/>
      <c r="G7198" s="60"/>
      <c r="H7198" s="60"/>
      <c r="I7198" s="60"/>
      <c r="J7198" s="60"/>
      <c r="K7198" s="60"/>
      <c r="L7198" s="60"/>
      <c r="M7198" s="64"/>
      <c r="N7198" s="33"/>
    </row>
    <row r="7199" ht="24" customHeight="1" spans="2:14">
      <c r="B7199" s="33"/>
      <c r="C7199" s="60"/>
      <c r="D7199" s="60"/>
      <c r="E7199" s="60"/>
      <c r="F7199" s="60"/>
      <c r="G7199" s="60"/>
      <c r="H7199" s="60"/>
      <c r="I7199" s="60"/>
      <c r="J7199" s="60"/>
      <c r="K7199" s="60"/>
      <c r="L7199" s="60"/>
      <c r="M7199" s="64"/>
      <c r="N7199" s="33"/>
    </row>
    <row r="7200" ht="24" customHeight="1" spans="2:14">
      <c r="B7200" s="33"/>
      <c r="C7200" s="60"/>
      <c r="D7200" s="60"/>
      <c r="E7200" s="60"/>
      <c r="F7200" s="60"/>
      <c r="G7200" s="60"/>
      <c r="H7200" s="60"/>
      <c r="I7200" s="60"/>
      <c r="J7200" s="60"/>
      <c r="K7200" s="60"/>
      <c r="L7200" s="60"/>
      <c r="M7200" s="64"/>
      <c r="N7200" s="33"/>
    </row>
    <row r="7201" ht="24" customHeight="1" spans="2:14">
      <c r="B7201" s="33"/>
      <c r="C7201" s="60"/>
      <c r="D7201" s="60"/>
      <c r="E7201" s="60"/>
      <c r="F7201" s="60"/>
      <c r="G7201" s="60"/>
      <c r="H7201" s="60"/>
      <c r="I7201" s="60"/>
      <c r="J7201" s="60"/>
      <c r="K7201" s="60"/>
      <c r="L7201" s="60"/>
      <c r="M7201" s="64"/>
      <c r="N7201" s="33"/>
    </row>
    <row r="7202" ht="24" customHeight="1" spans="2:14">
      <c r="B7202" s="33"/>
      <c r="C7202" s="60"/>
      <c r="D7202" s="60"/>
      <c r="E7202" s="60"/>
      <c r="F7202" s="60"/>
      <c r="G7202" s="60"/>
      <c r="H7202" s="60"/>
      <c r="I7202" s="60"/>
      <c r="J7202" s="60"/>
      <c r="K7202" s="60"/>
      <c r="L7202" s="60"/>
      <c r="M7202" s="64"/>
      <c r="N7202" s="33"/>
    </row>
    <row r="7203" ht="24" customHeight="1" spans="2:14">
      <c r="B7203" s="33"/>
      <c r="C7203" s="60"/>
      <c r="D7203" s="60"/>
      <c r="E7203" s="60"/>
      <c r="F7203" s="60"/>
      <c r="G7203" s="60"/>
      <c r="H7203" s="60"/>
      <c r="I7203" s="60"/>
      <c r="J7203" s="60"/>
      <c r="K7203" s="60"/>
      <c r="L7203" s="60"/>
      <c r="M7203" s="64"/>
      <c r="N7203" s="33"/>
    </row>
    <row r="7204" ht="24" customHeight="1" spans="2:14">
      <c r="B7204" s="33"/>
      <c r="C7204" s="60"/>
      <c r="D7204" s="60"/>
      <c r="E7204" s="60"/>
      <c r="F7204" s="60"/>
      <c r="G7204" s="60"/>
      <c r="H7204" s="60"/>
      <c r="I7204" s="60"/>
      <c r="J7204" s="60"/>
      <c r="K7204" s="60"/>
      <c r="L7204" s="60"/>
      <c r="M7204" s="64"/>
      <c r="N7204" s="33"/>
    </row>
    <row r="7205" ht="24" customHeight="1" spans="2:14">
      <c r="B7205" s="33"/>
      <c r="C7205" s="60"/>
      <c r="D7205" s="60"/>
      <c r="E7205" s="60"/>
      <c r="F7205" s="60"/>
      <c r="G7205" s="60"/>
      <c r="H7205" s="60"/>
      <c r="I7205" s="60"/>
      <c r="J7205" s="60"/>
      <c r="K7205" s="60"/>
      <c r="L7205" s="60"/>
      <c r="M7205" s="64"/>
      <c r="N7205" s="33"/>
    </row>
    <row r="7206" ht="24" customHeight="1" spans="2:14">
      <c r="B7206" s="33"/>
      <c r="C7206" s="60"/>
      <c r="D7206" s="60"/>
      <c r="E7206" s="60"/>
      <c r="F7206" s="60"/>
      <c r="G7206" s="60"/>
      <c r="H7206" s="60"/>
      <c r="I7206" s="60"/>
      <c r="J7206" s="60"/>
      <c r="K7206" s="60"/>
      <c r="L7206" s="60"/>
      <c r="M7206" s="64"/>
      <c r="N7206" s="33"/>
    </row>
    <row r="7207" ht="24" customHeight="1" spans="2:14">
      <c r="B7207" s="33"/>
      <c r="C7207" s="60"/>
      <c r="D7207" s="60"/>
      <c r="E7207" s="60"/>
      <c r="F7207" s="60"/>
      <c r="G7207" s="60"/>
      <c r="H7207" s="60"/>
      <c r="I7207" s="60"/>
      <c r="J7207" s="60"/>
      <c r="K7207" s="60"/>
      <c r="L7207" s="60"/>
      <c r="M7207" s="64"/>
      <c r="N7207" s="33"/>
    </row>
    <row r="7208" ht="24" customHeight="1" spans="2:14">
      <c r="B7208" s="33"/>
      <c r="C7208" s="60"/>
      <c r="D7208" s="60"/>
      <c r="E7208" s="60"/>
      <c r="F7208" s="60"/>
      <c r="G7208" s="60"/>
      <c r="H7208" s="60"/>
      <c r="I7208" s="60"/>
      <c r="J7208" s="60"/>
      <c r="K7208" s="60"/>
      <c r="L7208" s="60"/>
      <c r="M7208" s="64"/>
      <c r="N7208" s="33"/>
    </row>
    <row r="7209" ht="24" customHeight="1" spans="2:14">
      <c r="B7209" s="33"/>
      <c r="C7209" s="60"/>
      <c r="D7209" s="60"/>
      <c r="E7209" s="60"/>
      <c r="F7209" s="60"/>
      <c r="G7209" s="60"/>
      <c r="H7209" s="60"/>
      <c r="I7209" s="60"/>
      <c r="J7209" s="60"/>
      <c r="K7209" s="60"/>
      <c r="L7209" s="60"/>
      <c r="M7209" s="64"/>
      <c r="N7209" s="33"/>
    </row>
    <row r="7210" ht="24" customHeight="1" spans="2:14">
      <c r="B7210" s="33"/>
      <c r="C7210" s="60"/>
      <c r="D7210" s="60"/>
      <c r="E7210" s="60"/>
      <c r="F7210" s="60"/>
      <c r="G7210" s="60"/>
      <c r="H7210" s="60"/>
      <c r="I7210" s="60"/>
      <c r="J7210" s="60"/>
      <c r="K7210" s="60"/>
      <c r="L7210" s="60"/>
      <c r="M7210" s="64"/>
      <c r="N7210" s="33"/>
    </row>
    <row r="7211" ht="24" customHeight="1" spans="2:14">
      <c r="B7211" s="33"/>
      <c r="C7211" s="60"/>
      <c r="D7211" s="60"/>
      <c r="E7211" s="60"/>
      <c r="F7211" s="60"/>
      <c r="G7211" s="60"/>
      <c r="H7211" s="60"/>
      <c r="I7211" s="60"/>
      <c r="J7211" s="60"/>
      <c r="K7211" s="60"/>
      <c r="L7211" s="60"/>
      <c r="M7211" s="64"/>
      <c r="N7211" s="33"/>
    </row>
    <row r="7212" ht="24" customHeight="1" spans="2:14">
      <c r="B7212" s="33"/>
      <c r="C7212" s="60"/>
      <c r="D7212" s="60"/>
      <c r="E7212" s="60"/>
      <c r="F7212" s="60"/>
      <c r="G7212" s="60"/>
      <c r="H7212" s="60"/>
      <c r="I7212" s="60"/>
      <c r="J7212" s="60"/>
      <c r="K7212" s="60"/>
      <c r="L7212" s="60"/>
      <c r="M7212" s="64"/>
      <c r="N7212" s="33"/>
    </row>
    <row r="7213" ht="24" customHeight="1" spans="2:14">
      <c r="B7213" s="33"/>
      <c r="C7213" s="60"/>
      <c r="D7213" s="60"/>
      <c r="E7213" s="60"/>
      <c r="F7213" s="60"/>
      <c r="G7213" s="60"/>
      <c r="H7213" s="60"/>
      <c r="I7213" s="60"/>
      <c r="J7213" s="60"/>
      <c r="K7213" s="60"/>
      <c r="L7213" s="60"/>
      <c r="M7213" s="64"/>
      <c r="N7213" s="33"/>
    </row>
    <row r="7214" ht="24" customHeight="1" spans="2:14">
      <c r="B7214" s="33"/>
      <c r="C7214" s="60"/>
      <c r="D7214" s="60"/>
      <c r="E7214" s="60"/>
      <c r="F7214" s="60"/>
      <c r="G7214" s="60"/>
      <c r="H7214" s="60"/>
      <c r="I7214" s="60"/>
      <c r="J7214" s="60"/>
      <c r="K7214" s="60"/>
      <c r="L7214" s="60"/>
      <c r="M7214" s="64"/>
      <c r="N7214" s="33"/>
    </row>
    <row r="7215" ht="24" customHeight="1" spans="2:14">
      <c r="B7215" s="33"/>
      <c r="C7215" s="60"/>
      <c r="D7215" s="60"/>
      <c r="E7215" s="60"/>
      <c r="F7215" s="60"/>
      <c r="G7215" s="60"/>
      <c r="H7215" s="60"/>
      <c r="I7215" s="60"/>
      <c r="J7215" s="60"/>
      <c r="K7215" s="60"/>
      <c r="L7215" s="60"/>
      <c r="M7215" s="64"/>
      <c r="N7215" s="33"/>
    </row>
    <row r="7216" ht="24" customHeight="1" spans="2:14">
      <c r="B7216" s="33"/>
      <c r="C7216" s="60"/>
      <c r="D7216" s="60"/>
      <c r="E7216" s="60"/>
      <c r="F7216" s="60"/>
      <c r="G7216" s="60"/>
      <c r="H7216" s="60"/>
      <c r="I7216" s="60"/>
      <c r="J7216" s="60"/>
      <c r="K7216" s="60"/>
      <c r="L7216" s="60"/>
      <c r="M7216" s="64"/>
      <c r="N7216" s="33"/>
    </row>
    <row r="7217" ht="24" customHeight="1" spans="2:14">
      <c r="B7217" s="33"/>
      <c r="C7217" s="60"/>
      <c r="D7217" s="60"/>
      <c r="E7217" s="60"/>
      <c r="F7217" s="60"/>
      <c r="G7217" s="60"/>
      <c r="H7217" s="60"/>
      <c r="I7217" s="60"/>
      <c r="J7217" s="60"/>
      <c r="K7217" s="60"/>
      <c r="L7217" s="60"/>
      <c r="M7217" s="64"/>
      <c r="N7217" s="33"/>
    </row>
    <row r="7218" ht="24" customHeight="1" spans="2:14">
      <c r="B7218" s="33"/>
      <c r="C7218" s="60"/>
      <c r="D7218" s="60"/>
      <c r="E7218" s="60"/>
      <c r="F7218" s="60"/>
      <c r="G7218" s="60"/>
      <c r="H7218" s="60"/>
      <c r="I7218" s="60"/>
      <c r="J7218" s="60"/>
      <c r="K7218" s="60"/>
      <c r="L7218" s="60"/>
      <c r="M7218" s="64"/>
      <c r="N7218" s="33"/>
    </row>
    <row r="7219" ht="24" customHeight="1" spans="2:14">
      <c r="B7219" s="33"/>
      <c r="C7219" s="60"/>
      <c r="D7219" s="60"/>
      <c r="E7219" s="60"/>
      <c r="F7219" s="60"/>
      <c r="G7219" s="60"/>
      <c r="H7219" s="60"/>
      <c r="I7219" s="60"/>
      <c r="J7219" s="60"/>
      <c r="K7219" s="60"/>
      <c r="L7219" s="60"/>
      <c r="M7219" s="64"/>
      <c r="N7219" s="33"/>
    </row>
    <row r="7220" ht="24" customHeight="1" spans="2:14">
      <c r="B7220" s="33"/>
      <c r="C7220" s="60"/>
      <c r="D7220" s="60"/>
      <c r="E7220" s="60"/>
      <c r="F7220" s="60"/>
      <c r="G7220" s="60"/>
      <c r="H7220" s="60"/>
      <c r="I7220" s="60"/>
      <c r="J7220" s="60"/>
      <c r="K7220" s="60"/>
      <c r="L7220" s="60"/>
      <c r="M7220" s="64"/>
      <c r="N7220" s="33"/>
    </row>
    <row r="7221" ht="24" customHeight="1" spans="2:14">
      <c r="B7221" s="33"/>
      <c r="C7221" s="60"/>
      <c r="D7221" s="60"/>
      <c r="E7221" s="60"/>
      <c r="F7221" s="60"/>
      <c r="G7221" s="60"/>
      <c r="H7221" s="60"/>
      <c r="I7221" s="60"/>
      <c r="J7221" s="60"/>
      <c r="K7221" s="60"/>
      <c r="L7221" s="60"/>
      <c r="M7221" s="64"/>
      <c r="N7221" s="33"/>
    </row>
    <row r="7222" ht="24" customHeight="1" spans="2:14">
      <c r="B7222" s="33"/>
      <c r="C7222" s="60"/>
      <c r="D7222" s="60"/>
      <c r="E7222" s="60"/>
      <c r="F7222" s="60"/>
      <c r="G7222" s="60"/>
      <c r="H7222" s="60"/>
      <c r="I7222" s="60"/>
      <c r="J7222" s="60"/>
      <c r="K7222" s="60"/>
      <c r="L7222" s="60"/>
      <c r="M7222" s="64"/>
      <c r="N7222" s="33"/>
    </row>
    <row r="7223" ht="24" customHeight="1" spans="2:14">
      <c r="B7223" s="33"/>
      <c r="C7223" s="60"/>
      <c r="D7223" s="60"/>
      <c r="E7223" s="60"/>
      <c r="F7223" s="60"/>
      <c r="G7223" s="60"/>
      <c r="H7223" s="60"/>
      <c r="I7223" s="60"/>
      <c r="J7223" s="60"/>
      <c r="K7223" s="60"/>
      <c r="L7223" s="60"/>
      <c r="M7223" s="64"/>
      <c r="N7223" s="33"/>
    </row>
    <row r="7224" ht="24" customHeight="1" spans="2:14">
      <c r="B7224" s="33"/>
      <c r="C7224" s="60"/>
      <c r="D7224" s="60"/>
      <c r="E7224" s="60"/>
      <c r="F7224" s="60"/>
      <c r="G7224" s="60"/>
      <c r="H7224" s="60"/>
      <c r="I7224" s="60"/>
      <c r="J7224" s="60"/>
      <c r="K7224" s="60"/>
      <c r="L7224" s="60"/>
      <c r="M7224" s="64"/>
      <c r="N7224" s="33"/>
    </row>
    <row r="7225" ht="24" customHeight="1" spans="2:14">
      <c r="B7225" s="33"/>
      <c r="C7225" s="60"/>
      <c r="D7225" s="60"/>
      <c r="E7225" s="60"/>
      <c r="F7225" s="60"/>
      <c r="G7225" s="60"/>
      <c r="H7225" s="60"/>
      <c r="I7225" s="60"/>
      <c r="J7225" s="60"/>
      <c r="K7225" s="60"/>
      <c r="L7225" s="60"/>
      <c r="M7225" s="64"/>
      <c r="N7225" s="33"/>
    </row>
    <row r="7226" ht="24" customHeight="1" spans="2:14">
      <c r="B7226" s="33"/>
      <c r="C7226" s="60"/>
      <c r="D7226" s="60"/>
      <c r="E7226" s="60"/>
      <c r="F7226" s="60"/>
      <c r="G7226" s="60"/>
      <c r="H7226" s="60"/>
      <c r="I7226" s="60"/>
      <c r="J7226" s="60"/>
      <c r="K7226" s="60"/>
      <c r="L7226" s="60"/>
      <c r="M7226" s="64"/>
      <c r="N7226" s="33"/>
    </row>
    <row r="7227" ht="24" customHeight="1" spans="2:14">
      <c r="B7227" s="33"/>
      <c r="C7227" s="60"/>
      <c r="D7227" s="60"/>
      <c r="E7227" s="60"/>
      <c r="F7227" s="60"/>
      <c r="G7227" s="60"/>
      <c r="H7227" s="60"/>
      <c r="I7227" s="60"/>
      <c r="J7227" s="60"/>
      <c r="K7227" s="60"/>
      <c r="L7227" s="60"/>
      <c r="M7227" s="64"/>
      <c r="N7227" s="33"/>
    </row>
    <row r="7228" ht="24" customHeight="1" spans="2:14">
      <c r="B7228" s="33"/>
      <c r="C7228" s="60"/>
      <c r="D7228" s="60"/>
      <c r="E7228" s="60"/>
      <c r="F7228" s="60"/>
      <c r="G7228" s="60"/>
      <c r="H7228" s="60"/>
      <c r="I7228" s="60"/>
      <c r="J7228" s="60"/>
      <c r="K7228" s="60"/>
      <c r="L7228" s="60"/>
      <c r="M7228" s="64"/>
      <c r="N7228" s="33"/>
    </row>
    <row r="7229" ht="24" customHeight="1" spans="2:14">
      <c r="B7229" s="33"/>
      <c r="C7229" s="60"/>
      <c r="D7229" s="60"/>
      <c r="E7229" s="60"/>
      <c r="F7229" s="60"/>
      <c r="G7229" s="60"/>
      <c r="H7229" s="60"/>
      <c r="I7229" s="60"/>
      <c r="J7229" s="60"/>
      <c r="K7229" s="60"/>
      <c r="L7229" s="60"/>
      <c r="M7229" s="64"/>
      <c r="N7229" s="33"/>
    </row>
    <row r="7230" ht="24" customHeight="1" spans="2:14">
      <c r="B7230" s="33"/>
      <c r="C7230" s="60"/>
      <c r="D7230" s="60"/>
      <c r="E7230" s="60"/>
      <c r="F7230" s="60"/>
      <c r="G7230" s="60"/>
      <c r="H7230" s="60"/>
      <c r="I7230" s="60"/>
      <c r="J7230" s="60"/>
      <c r="K7230" s="60"/>
      <c r="L7230" s="60"/>
      <c r="M7230" s="64"/>
      <c r="N7230" s="33"/>
    </row>
    <row r="7231" ht="24" customHeight="1" spans="2:14">
      <c r="B7231" s="33"/>
      <c r="C7231" s="60"/>
      <c r="D7231" s="60"/>
      <c r="E7231" s="60"/>
      <c r="F7231" s="60"/>
      <c r="G7231" s="60"/>
      <c r="H7231" s="60"/>
      <c r="I7231" s="60"/>
      <c r="J7231" s="60"/>
      <c r="K7231" s="60"/>
      <c r="L7231" s="60"/>
      <c r="M7231" s="64"/>
      <c r="N7231" s="33"/>
    </row>
    <row r="7232" ht="24" customHeight="1" spans="2:14">
      <c r="B7232" s="33"/>
      <c r="C7232" s="60"/>
      <c r="D7232" s="60"/>
      <c r="E7232" s="60"/>
      <c r="F7232" s="60"/>
      <c r="G7232" s="60"/>
      <c r="H7232" s="60"/>
      <c r="I7232" s="60"/>
      <c r="J7232" s="60"/>
      <c r="K7232" s="60"/>
      <c r="L7232" s="60"/>
      <c r="M7232" s="64"/>
      <c r="N7232" s="33"/>
    </row>
    <row r="7233" ht="24" customHeight="1" spans="2:14">
      <c r="B7233" s="33"/>
      <c r="C7233" s="60"/>
      <c r="D7233" s="60"/>
      <c r="E7233" s="60"/>
      <c r="F7233" s="60"/>
      <c r="G7233" s="60"/>
      <c r="H7233" s="60"/>
      <c r="I7233" s="60"/>
      <c r="J7233" s="60"/>
      <c r="K7233" s="60"/>
      <c r="L7233" s="60"/>
      <c r="M7233" s="64"/>
      <c r="N7233" s="33"/>
    </row>
    <row r="7234" ht="24" customHeight="1" spans="2:14">
      <c r="B7234" s="33"/>
      <c r="C7234" s="60"/>
      <c r="D7234" s="60"/>
      <c r="E7234" s="60"/>
      <c r="F7234" s="60"/>
      <c r="G7234" s="60"/>
      <c r="H7234" s="60"/>
      <c r="I7234" s="60"/>
      <c r="J7234" s="60"/>
      <c r="K7234" s="60"/>
      <c r="L7234" s="60"/>
      <c r="M7234" s="64"/>
      <c r="N7234" s="33"/>
    </row>
    <row r="7235" ht="24" customHeight="1" spans="2:14">
      <c r="B7235" s="33"/>
      <c r="C7235" s="60"/>
      <c r="D7235" s="60"/>
      <c r="E7235" s="60"/>
      <c r="F7235" s="60"/>
      <c r="G7235" s="60"/>
      <c r="H7235" s="60"/>
      <c r="I7235" s="60"/>
      <c r="J7235" s="60"/>
      <c r="K7235" s="60"/>
      <c r="L7235" s="60"/>
      <c r="M7235" s="64"/>
      <c r="N7235" s="33"/>
    </row>
    <row r="7236" ht="24" customHeight="1" spans="2:14">
      <c r="B7236" s="33"/>
      <c r="C7236" s="60"/>
      <c r="D7236" s="60"/>
      <c r="E7236" s="60"/>
      <c r="F7236" s="60"/>
      <c r="G7236" s="60"/>
      <c r="H7236" s="60"/>
      <c r="I7236" s="60"/>
      <c r="J7236" s="60"/>
      <c r="K7236" s="60"/>
      <c r="L7236" s="60"/>
      <c r="M7236" s="64"/>
      <c r="N7236" s="33"/>
    </row>
    <row r="7237" ht="24" customHeight="1" spans="2:14">
      <c r="B7237" s="33"/>
      <c r="C7237" s="60"/>
      <c r="D7237" s="60"/>
      <c r="E7237" s="60"/>
      <c r="F7237" s="60"/>
      <c r="G7237" s="60"/>
      <c r="H7237" s="60"/>
      <c r="I7237" s="60"/>
      <c r="J7237" s="60"/>
      <c r="K7237" s="60"/>
      <c r="L7237" s="60"/>
      <c r="M7237" s="64"/>
      <c r="N7237" s="33"/>
    </row>
    <row r="7238" ht="24" customHeight="1" spans="2:14">
      <c r="B7238" s="33"/>
      <c r="C7238" s="60"/>
      <c r="D7238" s="60"/>
      <c r="E7238" s="60"/>
      <c r="F7238" s="60"/>
      <c r="G7238" s="60"/>
      <c r="H7238" s="60"/>
      <c r="I7238" s="60"/>
      <c r="J7238" s="60"/>
      <c r="K7238" s="60"/>
      <c r="L7238" s="60"/>
      <c r="M7238" s="64"/>
      <c r="N7238" s="33"/>
    </row>
    <row r="7239" ht="24" customHeight="1" spans="2:14">
      <c r="B7239" s="33"/>
      <c r="C7239" s="60"/>
      <c r="D7239" s="60"/>
      <c r="E7239" s="60"/>
      <c r="F7239" s="60"/>
      <c r="G7239" s="60"/>
      <c r="H7239" s="60"/>
      <c r="I7239" s="60"/>
      <c r="J7239" s="60"/>
      <c r="K7239" s="60"/>
      <c r="L7239" s="60"/>
      <c r="M7239" s="64"/>
      <c r="N7239" s="33"/>
    </row>
    <row r="7240" ht="24" customHeight="1" spans="2:14">
      <c r="B7240" s="33"/>
      <c r="C7240" s="60"/>
      <c r="D7240" s="60"/>
      <c r="E7240" s="60"/>
      <c r="F7240" s="60"/>
      <c r="G7240" s="60"/>
      <c r="H7240" s="60"/>
      <c r="I7240" s="60"/>
      <c r="J7240" s="60"/>
      <c r="K7240" s="60"/>
      <c r="L7240" s="60"/>
      <c r="M7240" s="64"/>
      <c r="N7240" s="33"/>
    </row>
    <row r="7241" ht="24" customHeight="1" spans="2:14">
      <c r="B7241" s="33"/>
      <c r="C7241" s="60"/>
      <c r="D7241" s="60"/>
      <c r="E7241" s="60"/>
      <c r="F7241" s="60"/>
      <c r="G7241" s="60"/>
      <c r="H7241" s="60"/>
      <c r="I7241" s="60"/>
      <c r="J7241" s="60"/>
      <c r="K7241" s="60"/>
      <c r="L7241" s="60"/>
      <c r="M7241" s="64"/>
      <c r="N7241" s="33"/>
    </row>
    <row r="7242" ht="24" customHeight="1" spans="2:14">
      <c r="B7242" s="33"/>
      <c r="C7242" s="60"/>
      <c r="D7242" s="60"/>
      <c r="E7242" s="60"/>
      <c r="F7242" s="60"/>
      <c r="G7242" s="60"/>
      <c r="H7242" s="60"/>
      <c r="I7242" s="60"/>
      <c r="J7242" s="60"/>
      <c r="K7242" s="60"/>
      <c r="L7242" s="60"/>
      <c r="M7242" s="64"/>
      <c r="N7242" s="33"/>
    </row>
    <row r="7243" ht="24" customHeight="1" spans="2:14">
      <c r="B7243" s="33"/>
      <c r="C7243" s="60"/>
      <c r="D7243" s="60"/>
      <c r="E7243" s="60"/>
      <c r="F7243" s="60"/>
      <c r="G7243" s="60"/>
      <c r="H7243" s="60"/>
      <c r="I7243" s="60"/>
      <c r="J7243" s="60"/>
      <c r="K7243" s="60"/>
      <c r="L7243" s="60"/>
      <c r="M7243" s="64"/>
      <c r="N7243" s="33"/>
    </row>
    <row r="7244" ht="24" customHeight="1" spans="2:14">
      <c r="B7244" s="33"/>
      <c r="C7244" s="60"/>
      <c r="D7244" s="60"/>
      <c r="E7244" s="60"/>
      <c r="F7244" s="60"/>
      <c r="G7244" s="60"/>
      <c r="H7244" s="60"/>
      <c r="I7244" s="60"/>
      <c r="J7244" s="60"/>
      <c r="K7244" s="60"/>
      <c r="L7244" s="60"/>
      <c r="M7244" s="64"/>
      <c r="N7244" s="33"/>
    </row>
    <row r="7245" ht="24" customHeight="1" spans="2:14">
      <c r="B7245" s="33"/>
      <c r="C7245" s="60"/>
      <c r="D7245" s="60"/>
      <c r="E7245" s="60"/>
      <c r="F7245" s="60"/>
      <c r="G7245" s="60"/>
      <c r="H7245" s="60"/>
      <c r="I7245" s="60"/>
      <c r="J7245" s="60"/>
      <c r="K7245" s="60"/>
      <c r="L7245" s="60"/>
      <c r="M7245" s="64"/>
      <c r="N7245" s="33"/>
    </row>
    <row r="7246" ht="24" customHeight="1" spans="2:14">
      <c r="B7246" s="33"/>
      <c r="C7246" s="60"/>
      <c r="D7246" s="60"/>
      <c r="E7246" s="60"/>
      <c r="F7246" s="60"/>
      <c r="G7246" s="60"/>
      <c r="H7246" s="60"/>
      <c r="I7246" s="60"/>
      <c r="J7246" s="60"/>
      <c r="K7246" s="60"/>
      <c r="L7246" s="60"/>
      <c r="M7246" s="64"/>
      <c r="N7246" s="33"/>
    </row>
    <row r="7247" ht="24" customHeight="1" spans="2:14">
      <c r="B7247" s="33"/>
      <c r="C7247" s="60"/>
      <c r="D7247" s="60"/>
      <c r="E7247" s="60"/>
      <c r="F7247" s="60"/>
      <c r="G7247" s="60"/>
      <c r="H7247" s="60"/>
      <c r="I7247" s="60"/>
      <c r="J7247" s="60"/>
      <c r="K7247" s="60"/>
      <c r="L7247" s="60"/>
      <c r="M7247" s="64"/>
      <c r="N7247" s="33"/>
    </row>
    <row r="7248" ht="24" customHeight="1" spans="2:14">
      <c r="B7248" s="33"/>
      <c r="C7248" s="60"/>
      <c r="D7248" s="60"/>
      <c r="E7248" s="60"/>
      <c r="F7248" s="60"/>
      <c r="G7248" s="60"/>
      <c r="H7248" s="60"/>
      <c r="I7248" s="60"/>
      <c r="J7248" s="60"/>
      <c r="K7248" s="60"/>
      <c r="L7248" s="60"/>
      <c r="M7248" s="64"/>
      <c r="N7248" s="33"/>
    </row>
    <row r="7249" ht="24" customHeight="1" spans="2:14">
      <c r="B7249" s="33"/>
      <c r="C7249" s="60"/>
      <c r="D7249" s="60"/>
      <c r="E7249" s="60"/>
      <c r="F7249" s="60"/>
      <c r="G7249" s="60"/>
      <c r="H7249" s="60"/>
      <c r="I7249" s="60"/>
      <c r="J7249" s="60"/>
      <c r="K7249" s="60"/>
      <c r="L7249" s="60"/>
      <c r="M7249" s="64"/>
      <c r="N7249" s="33"/>
    </row>
    <row r="7250" ht="24" customHeight="1" spans="2:14">
      <c r="B7250" s="33"/>
      <c r="C7250" s="60"/>
      <c r="D7250" s="60"/>
      <c r="E7250" s="60"/>
      <c r="F7250" s="60"/>
      <c r="G7250" s="60"/>
      <c r="H7250" s="60"/>
      <c r="I7250" s="60"/>
      <c r="J7250" s="60"/>
      <c r="K7250" s="60"/>
      <c r="L7250" s="60"/>
      <c r="M7250" s="64"/>
      <c r="N7250" s="33"/>
    </row>
    <row r="7251" ht="24" customHeight="1" spans="2:14">
      <c r="B7251" s="33"/>
      <c r="C7251" s="60"/>
      <c r="D7251" s="60"/>
      <c r="E7251" s="60"/>
      <c r="F7251" s="60"/>
      <c r="G7251" s="60"/>
      <c r="H7251" s="60"/>
      <c r="I7251" s="60"/>
      <c r="J7251" s="60"/>
      <c r="K7251" s="60"/>
      <c r="L7251" s="60"/>
      <c r="M7251" s="64"/>
      <c r="N7251" s="33"/>
    </row>
    <row r="7252" ht="24" customHeight="1" spans="2:14">
      <c r="B7252" s="33"/>
      <c r="C7252" s="60"/>
      <c r="D7252" s="60"/>
      <c r="E7252" s="60"/>
      <c r="F7252" s="60"/>
      <c r="G7252" s="60"/>
      <c r="H7252" s="60"/>
      <c r="I7252" s="60"/>
      <c r="J7252" s="60"/>
      <c r="K7252" s="60"/>
      <c r="L7252" s="60"/>
      <c r="M7252" s="64"/>
      <c r="N7252" s="33"/>
    </row>
    <row r="7253" ht="24" customHeight="1" spans="2:14">
      <c r="B7253" s="33"/>
      <c r="C7253" s="60"/>
      <c r="D7253" s="60"/>
      <c r="E7253" s="60"/>
      <c r="F7253" s="60"/>
      <c r="G7253" s="60"/>
      <c r="H7253" s="60"/>
      <c r="I7253" s="60"/>
      <c r="J7253" s="60"/>
      <c r="K7253" s="60"/>
      <c r="L7253" s="60"/>
      <c r="M7253" s="64"/>
      <c r="N7253" s="33"/>
    </row>
    <row r="7254" ht="24" customHeight="1" spans="2:14">
      <c r="B7254" s="33"/>
      <c r="C7254" s="60"/>
      <c r="D7254" s="60"/>
      <c r="E7254" s="60"/>
      <c r="F7254" s="60"/>
      <c r="G7254" s="60"/>
      <c r="H7254" s="60"/>
      <c r="I7254" s="60"/>
      <c r="J7254" s="60"/>
      <c r="K7254" s="60"/>
      <c r="L7254" s="60"/>
      <c r="M7254" s="64"/>
      <c r="N7254" s="33"/>
    </row>
    <row r="7255" ht="24" customHeight="1" spans="2:14">
      <c r="B7255" s="33"/>
      <c r="C7255" s="60"/>
      <c r="D7255" s="60"/>
      <c r="E7255" s="60"/>
      <c r="F7255" s="60"/>
      <c r="G7255" s="60"/>
      <c r="H7255" s="60"/>
      <c r="I7255" s="60"/>
      <c r="J7255" s="60"/>
      <c r="K7255" s="60"/>
      <c r="L7255" s="60"/>
      <c r="M7255" s="64"/>
      <c r="N7255" s="33"/>
    </row>
    <row r="7256" ht="24" customHeight="1" spans="2:14">
      <c r="B7256" s="33"/>
      <c r="C7256" s="60"/>
      <c r="D7256" s="60"/>
      <c r="E7256" s="60"/>
      <c r="F7256" s="60"/>
      <c r="G7256" s="60"/>
      <c r="H7256" s="60"/>
      <c r="I7256" s="60"/>
      <c r="J7256" s="60"/>
      <c r="K7256" s="60"/>
      <c r="L7256" s="60"/>
      <c r="M7256" s="64"/>
      <c r="N7256" s="33"/>
    </row>
    <row r="7257" ht="24" customHeight="1" spans="2:14">
      <c r="B7257" s="33"/>
      <c r="C7257" s="60"/>
      <c r="D7257" s="60"/>
      <c r="E7257" s="60"/>
      <c r="F7257" s="60"/>
      <c r="G7257" s="60"/>
      <c r="H7257" s="60"/>
      <c r="I7257" s="60"/>
      <c r="J7257" s="60"/>
      <c r="K7257" s="60"/>
      <c r="L7257" s="60"/>
      <c r="M7257" s="64"/>
      <c r="N7257" s="33"/>
    </row>
    <row r="7258" ht="24" customHeight="1" spans="2:14">
      <c r="B7258" s="33"/>
      <c r="C7258" s="60"/>
      <c r="D7258" s="60"/>
      <c r="E7258" s="60"/>
      <c r="F7258" s="60"/>
      <c r="G7258" s="60"/>
      <c r="H7258" s="60"/>
      <c r="I7258" s="60"/>
      <c r="J7258" s="60"/>
      <c r="K7258" s="60"/>
      <c r="L7258" s="60"/>
      <c r="M7258" s="64"/>
      <c r="N7258" s="33"/>
    </row>
    <row r="7259" ht="24" customHeight="1" spans="2:14">
      <c r="B7259" s="33"/>
      <c r="C7259" s="60"/>
      <c r="D7259" s="60"/>
      <c r="E7259" s="60"/>
      <c r="F7259" s="60"/>
      <c r="G7259" s="60"/>
      <c r="H7259" s="60"/>
      <c r="I7259" s="60"/>
      <c r="J7259" s="60"/>
      <c r="K7259" s="60"/>
      <c r="L7259" s="60"/>
      <c r="M7259" s="64"/>
      <c r="N7259" s="33"/>
    </row>
    <row r="7260" ht="24" customHeight="1" spans="2:14">
      <c r="B7260" s="33"/>
      <c r="C7260" s="60"/>
      <c r="D7260" s="60"/>
      <c r="E7260" s="60"/>
      <c r="F7260" s="60"/>
      <c r="G7260" s="60"/>
      <c r="H7260" s="60"/>
      <c r="I7260" s="60"/>
      <c r="J7260" s="60"/>
      <c r="K7260" s="60"/>
      <c r="L7260" s="60"/>
      <c r="M7260" s="64"/>
      <c r="N7260" s="33"/>
    </row>
    <row r="7261" ht="24" customHeight="1" spans="2:14">
      <c r="B7261" s="33"/>
      <c r="C7261" s="60"/>
      <c r="D7261" s="60"/>
      <c r="E7261" s="60"/>
      <c r="F7261" s="60"/>
      <c r="G7261" s="60"/>
      <c r="H7261" s="60"/>
      <c r="I7261" s="60"/>
      <c r="J7261" s="60"/>
      <c r="K7261" s="60"/>
      <c r="L7261" s="60"/>
      <c r="M7261" s="64"/>
      <c r="N7261" s="33"/>
    </row>
    <row r="7262" ht="24" customHeight="1" spans="2:14">
      <c r="B7262" s="33"/>
      <c r="C7262" s="60"/>
      <c r="D7262" s="60"/>
      <c r="E7262" s="60"/>
      <c r="F7262" s="60"/>
      <c r="G7262" s="60"/>
      <c r="H7262" s="60"/>
      <c r="I7262" s="60"/>
      <c r="J7262" s="60"/>
      <c r="K7262" s="60"/>
      <c r="L7262" s="60"/>
      <c r="M7262" s="64"/>
      <c r="N7262" s="33"/>
    </row>
    <row r="7263" ht="24" customHeight="1" spans="2:14">
      <c r="B7263" s="33"/>
      <c r="C7263" s="60"/>
      <c r="D7263" s="60"/>
      <c r="E7263" s="60"/>
      <c r="F7263" s="60"/>
      <c r="G7263" s="60"/>
      <c r="H7263" s="60"/>
      <c r="I7263" s="60"/>
      <c r="J7263" s="60"/>
      <c r="K7263" s="60"/>
      <c r="L7263" s="60"/>
      <c r="M7263" s="64"/>
      <c r="N7263" s="33"/>
    </row>
    <row r="7264" ht="24" customHeight="1" spans="2:14">
      <c r="B7264" s="33"/>
      <c r="C7264" s="60"/>
      <c r="D7264" s="60"/>
      <c r="E7264" s="60"/>
      <c r="F7264" s="60"/>
      <c r="G7264" s="60"/>
      <c r="H7264" s="60"/>
      <c r="I7264" s="60"/>
      <c r="J7264" s="60"/>
      <c r="K7264" s="60"/>
      <c r="L7264" s="60"/>
      <c r="M7264" s="64"/>
      <c r="N7264" s="33"/>
    </row>
    <row r="7265" ht="24" customHeight="1" spans="2:14">
      <c r="B7265" s="33"/>
      <c r="C7265" s="60"/>
      <c r="D7265" s="60"/>
      <c r="E7265" s="60"/>
      <c r="F7265" s="60"/>
      <c r="G7265" s="60"/>
      <c r="H7265" s="60"/>
      <c r="I7265" s="60"/>
      <c r="J7265" s="60"/>
      <c r="K7265" s="60"/>
      <c r="L7265" s="60"/>
      <c r="M7265" s="64"/>
      <c r="N7265" s="33"/>
    </row>
    <row r="7266" ht="24" customHeight="1" spans="2:14">
      <c r="B7266" s="33"/>
      <c r="C7266" s="60"/>
      <c r="D7266" s="60"/>
      <c r="E7266" s="60"/>
      <c r="F7266" s="60"/>
      <c r="G7266" s="60"/>
      <c r="H7266" s="60"/>
      <c r="I7266" s="60"/>
      <c r="J7266" s="60"/>
      <c r="K7266" s="60"/>
      <c r="L7266" s="60"/>
      <c r="M7266" s="64"/>
      <c r="N7266" s="33"/>
    </row>
    <row r="7267" ht="24" customHeight="1" spans="2:14">
      <c r="B7267" s="33"/>
      <c r="C7267" s="60"/>
      <c r="D7267" s="60"/>
      <c r="E7267" s="60"/>
      <c r="F7267" s="60"/>
      <c r="G7267" s="60"/>
      <c r="H7267" s="60"/>
      <c r="I7267" s="60"/>
      <c r="J7267" s="60"/>
      <c r="K7267" s="60"/>
      <c r="L7267" s="60"/>
      <c r="M7267" s="64"/>
      <c r="N7267" s="33"/>
    </row>
    <row r="7268" ht="24" customHeight="1" spans="2:14">
      <c r="B7268" s="33"/>
      <c r="C7268" s="60"/>
      <c r="D7268" s="60"/>
      <c r="E7268" s="60"/>
      <c r="F7268" s="60"/>
      <c r="G7268" s="60"/>
      <c r="H7268" s="60"/>
      <c r="I7268" s="60"/>
      <c r="J7268" s="60"/>
      <c r="K7268" s="60"/>
      <c r="L7268" s="60"/>
      <c r="M7268" s="64"/>
      <c r="N7268" s="33"/>
    </row>
    <row r="7269" ht="24" customHeight="1" spans="2:14">
      <c r="B7269" s="33"/>
      <c r="C7269" s="60"/>
      <c r="D7269" s="60"/>
      <c r="E7269" s="60"/>
      <c r="F7269" s="60"/>
      <c r="G7269" s="60"/>
      <c r="H7269" s="60"/>
      <c r="I7269" s="60"/>
      <c r="J7269" s="60"/>
      <c r="K7269" s="60"/>
      <c r="L7269" s="60"/>
      <c r="M7269" s="64"/>
      <c r="N7269" s="33"/>
    </row>
    <row r="7270" ht="24" customHeight="1" spans="2:14">
      <c r="B7270" s="33"/>
      <c r="C7270" s="60"/>
      <c r="D7270" s="60"/>
      <c r="E7270" s="60"/>
      <c r="F7270" s="60"/>
      <c r="G7270" s="60"/>
      <c r="H7270" s="60"/>
      <c r="I7270" s="60"/>
      <c r="J7270" s="60"/>
      <c r="K7270" s="60"/>
      <c r="L7270" s="60"/>
      <c r="M7270" s="64"/>
      <c r="N7270" s="33"/>
    </row>
    <row r="7271" ht="24" customHeight="1" spans="2:14">
      <c r="B7271" s="33"/>
      <c r="C7271" s="60"/>
      <c r="D7271" s="60"/>
      <c r="E7271" s="60"/>
      <c r="F7271" s="60"/>
      <c r="G7271" s="60"/>
      <c r="H7271" s="60"/>
      <c r="I7271" s="60"/>
      <c r="J7271" s="60"/>
      <c r="K7271" s="60"/>
      <c r="L7271" s="60"/>
      <c r="M7271" s="64"/>
      <c r="N7271" s="33"/>
    </row>
    <row r="7272" ht="24" customHeight="1" spans="2:14">
      <c r="B7272" s="33"/>
      <c r="C7272" s="60"/>
      <c r="D7272" s="60"/>
      <c r="E7272" s="60"/>
      <c r="F7272" s="60"/>
      <c r="G7272" s="60"/>
      <c r="H7272" s="60"/>
      <c r="I7272" s="60"/>
      <c r="J7272" s="60"/>
      <c r="K7272" s="60"/>
      <c r="L7272" s="60"/>
      <c r="M7272" s="64"/>
      <c r="N7272" s="33"/>
    </row>
    <row r="7273" ht="24" customHeight="1" spans="2:14">
      <c r="B7273" s="33"/>
      <c r="C7273" s="60"/>
      <c r="D7273" s="60"/>
      <c r="E7273" s="60"/>
      <c r="F7273" s="60"/>
      <c r="G7273" s="60"/>
      <c r="H7273" s="60"/>
      <c r="I7273" s="60"/>
      <c r="J7273" s="60"/>
      <c r="K7273" s="60"/>
      <c r="L7273" s="60"/>
      <c r="M7273" s="64"/>
      <c r="N7273" s="33"/>
    </row>
    <row r="7274" ht="24" customHeight="1" spans="2:14">
      <c r="B7274" s="33"/>
      <c r="C7274" s="60"/>
      <c r="D7274" s="60"/>
      <c r="E7274" s="60"/>
      <c r="F7274" s="60"/>
      <c r="G7274" s="60"/>
      <c r="H7274" s="60"/>
      <c r="I7274" s="60"/>
      <c r="J7274" s="60"/>
      <c r="K7274" s="60"/>
      <c r="L7274" s="60"/>
      <c r="M7274" s="64"/>
      <c r="N7274" s="33"/>
    </row>
    <row r="7275" ht="24" customHeight="1" spans="2:14">
      <c r="B7275" s="33"/>
      <c r="C7275" s="60"/>
      <c r="D7275" s="60"/>
      <c r="E7275" s="60"/>
      <c r="F7275" s="60"/>
      <c r="G7275" s="60"/>
      <c r="H7275" s="60"/>
      <c r="I7275" s="60"/>
      <c r="J7275" s="60"/>
      <c r="K7275" s="60"/>
      <c r="L7275" s="60"/>
      <c r="M7275" s="64"/>
      <c r="N7275" s="33"/>
    </row>
    <row r="7276" ht="24" customHeight="1" spans="2:14">
      <c r="B7276" s="33"/>
      <c r="C7276" s="60"/>
      <c r="D7276" s="60"/>
      <c r="E7276" s="60"/>
      <c r="F7276" s="60"/>
      <c r="G7276" s="60"/>
      <c r="H7276" s="60"/>
      <c r="I7276" s="60"/>
      <c r="J7276" s="60"/>
      <c r="K7276" s="60"/>
      <c r="L7276" s="60"/>
      <c r="M7276" s="64"/>
      <c r="N7276" s="33"/>
    </row>
    <row r="7277" ht="24" customHeight="1" spans="2:14">
      <c r="B7277" s="33"/>
      <c r="C7277" s="60"/>
      <c r="D7277" s="60"/>
      <c r="E7277" s="60"/>
      <c r="F7277" s="60"/>
      <c r="G7277" s="60"/>
      <c r="H7277" s="60"/>
      <c r="I7277" s="60"/>
      <c r="J7277" s="60"/>
      <c r="K7277" s="60"/>
      <c r="L7277" s="60"/>
      <c r="M7277" s="64"/>
      <c r="N7277" s="33"/>
    </row>
    <row r="7278" ht="24" customHeight="1" spans="2:14">
      <c r="B7278" s="33"/>
      <c r="C7278" s="60"/>
      <c r="D7278" s="60"/>
      <c r="E7278" s="60"/>
      <c r="F7278" s="60"/>
      <c r="G7278" s="60"/>
      <c r="H7278" s="60"/>
      <c r="I7278" s="60"/>
      <c r="J7278" s="60"/>
      <c r="K7278" s="60"/>
      <c r="L7278" s="60"/>
      <c r="M7278" s="64"/>
      <c r="N7278" s="33"/>
    </row>
    <row r="7279" ht="24" customHeight="1" spans="2:14">
      <c r="B7279" s="33"/>
      <c r="C7279" s="60"/>
      <c r="D7279" s="60"/>
      <c r="E7279" s="60"/>
      <c r="F7279" s="60"/>
      <c r="G7279" s="60"/>
      <c r="H7279" s="60"/>
      <c r="I7279" s="60"/>
      <c r="J7279" s="60"/>
      <c r="K7279" s="60"/>
      <c r="L7279" s="60"/>
      <c r="M7279" s="64"/>
      <c r="N7279" s="33"/>
    </row>
    <row r="7280" ht="24" customHeight="1" spans="2:14">
      <c r="B7280" s="33"/>
      <c r="C7280" s="60"/>
      <c r="D7280" s="60"/>
      <c r="E7280" s="60"/>
      <c r="F7280" s="60"/>
      <c r="G7280" s="60"/>
      <c r="H7280" s="60"/>
      <c r="I7280" s="60"/>
      <c r="J7280" s="60"/>
      <c r="K7280" s="60"/>
      <c r="L7280" s="60"/>
      <c r="M7280" s="64"/>
      <c r="N7280" s="33"/>
    </row>
    <row r="7281" ht="24" customHeight="1" spans="2:14">
      <c r="B7281" s="33"/>
      <c r="C7281" s="60"/>
      <c r="D7281" s="60"/>
      <c r="E7281" s="60"/>
      <c r="F7281" s="60"/>
      <c r="G7281" s="60"/>
      <c r="H7281" s="60"/>
      <c r="I7281" s="60"/>
      <c r="J7281" s="60"/>
      <c r="K7281" s="60"/>
      <c r="L7281" s="60"/>
      <c r="M7281" s="64"/>
      <c r="N7281" s="33"/>
    </row>
    <row r="7282" ht="24" customHeight="1" spans="2:14">
      <c r="B7282" s="33"/>
      <c r="C7282" s="60"/>
      <c r="D7282" s="60"/>
      <c r="E7282" s="60"/>
      <c r="F7282" s="60"/>
      <c r="G7282" s="60"/>
      <c r="H7282" s="60"/>
      <c r="I7282" s="60"/>
      <c r="J7282" s="60"/>
      <c r="K7282" s="60"/>
      <c r="L7282" s="60"/>
      <c r="M7282" s="64"/>
      <c r="N7282" s="33"/>
    </row>
    <row r="7283" ht="24" customHeight="1" spans="2:14">
      <c r="B7283" s="33"/>
      <c r="C7283" s="60"/>
      <c r="D7283" s="60"/>
      <c r="E7283" s="60"/>
      <c r="F7283" s="60"/>
      <c r="G7283" s="60"/>
      <c r="H7283" s="60"/>
      <c r="I7283" s="60"/>
      <c r="J7283" s="60"/>
      <c r="K7283" s="60"/>
      <c r="L7283" s="60"/>
      <c r="M7283" s="64"/>
      <c r="N7283" s="33"/>
    </row>
    <row r="7284" ht="24" customHeight="1" spans="2:14">
      <c r="B7284" s="33"/>
      <c r="C7284" s="60"/>
      <c r="D7284" s="60"/>
      <c r="E7284" s="60"/>
      <c r="F7284" s="60"/>
      <c r="G7284" s="60"/>
      <c r="H7284" s="60"/>
      <c r="I7284" s="60"/>
      <c r="J7284" s="60"/>
      <c r="K7284" s="60"/>
      <c r="L7284" s="60"/>
      <c r="M7284" s="64"/>
      <c r="N7284" s="33"/>
    </row>
    <row r="7285" ht="24" customHeight="1" spans="2:14">
      <c r="B7285" s="33"/>
      <c r="C7285" s="60"/>
      <c r="D7285" s="60"/>
      <c r="E7285" s="60"/>
      <c r="F7285" s="60"/>
      <c r="G7285" s="60"/>
      <c r="H7285" s="60"/>
      <c r="I7285" s="60"/>
      <c r="J7285" s="60"/>
      <c r="K7285" s="60"/>
      <c r="L7285" s="60"/>
      <c r="M7285" s="64"/>
      <c r="N7285" s="33"/>
    </row>
    <row r="7286" ht="24" customHeight="1" spans="2:14">
      <c r="B7286" s="33"/>
      <c r="C7286" s="60"/>
      <c r="D7286" s="60"/>
      <c r="E7286" s="60"/>
      <c r="F7286" s="60"/>
      <c r="G7286" s="60"/>
      <c r="H7286" s="60"/>
      <c r="I7286" s="60"/>
      <c r="J7286" s="60"/>
      <c r="K7286" s="60"/>
      <c r="L7286" s="60"/>
      <c r="M7286" s="64"/>
      <c r="N7286" s="33"/>
    </row>
    <row r="7287" ht="24" customHeight="1" spans="2:14">
      <c r="B7287" s="33"/>
      <c r="C7287" s="60"/>
      <c r="D7287" s="60"/>
      <c r="E7287" s="60"/>
      <c r="F7287" s="60"/>
      <c r="G7287" s="60"/>
      <c r="H7287" s="60"/>
      <c r="I7287" s="60"/>
      <c r="J7287" s="60"/>
      <c r="K7287" s="60"/>
      <c r="L7287" s="60"/>
      <c r="M7287" s="64"/>
      <c r="N7287" s="33"/>
    </row>
    <row r="7288" ht="24" customHeight="1" spans="2:14">
      <c r="B7288" s="33"/>
      <c r="C7288" s="60"/>
      <c r="D7288" s="60"/>
      <c r="E7288" s="60"/>
      <c r="F7288" s="60"/>
      <c r="G7288" s="60"/>
      <c r="H7288" s="60"/>
      <c r="I7288" s="60"/>
      <c r="J7288" s="60"/>
      <c r="K7288" s="60"/>
      <c r="L7288" s="60"/>
      <c r="M7288" s="64"/>
      <c r="N7288" s="33"/>
    </row>
    <row r="7289" ht="24" customHeight="1" spans="2:14">
      <c r="B7289" s="33"/>
      <c r="C7289" s="60"/>
      <c r="D7289" s="60"/>
      <c r="E7289" s="60"/>
      <c r="F7289" s="60"/>
      <c r="G7289" s="60"/>
      <c r="H7289" s="60"/>
      <c r="I7289" s="60"/>
      <c r="J7289" s="60"/>
      <c r="K7289" s="60"/>
      <c r="L7289" s="60"/>
      <c r="M7289" s="64"/>
      <c r="N7289" s="33"/>
    </row>
    <row r="7290" ht="24" customHeight="1" spans="2:14">
      <c r="B7290" s="33"/>
      <c r="C7290" s="60"/>
      <c r="D7290" s="60"/>
      <c r="E7290" s="60"/>
      <c r="F7290" s="60"/>
      <c r="G7290" s="60"/>
      <c r="H7290" s="60"/>
      <c r="I7290" s="60"/>
      <c r="J7290" s="60"/>
      <c r="K7290" s="60"/>
      <c r="L7290" s="60"/>
      <c r="M7290" s="64"/>
      <c r="N7290" s="33"/>
    </row>
    <row r="7291" ht="24" customHeight="1" spans="2:14">
      <c r="B7291" s="33"/>
      <c r="C7291" s="60"/>
      <c r="D7291" s="60"/>
      <c r="E7291" s="60"/>
      <c r="F7291" s="60"/>
      <c r="G7291" s="60"/>
      <c r="H7291" s="60"/>
      <c r="I7291" s="60"/>
      <c r="J7291" s="60"/>
      <c r="K7291" s="60"/>
      <c r="L7291" s="60"/>
      <c r="M7291" s="64"/>
      <c r="N7291" s="33"/>
    </row>
    <row r="7292" ht="24" customHeight="1" spans="2:14">
      <c r="B7292" s="33"/>
      <c r="C7292" s="60"/>
      <c r="D7292" s="60"/>
      <c r="E7292" s="60"/>
      <c r="F7292" s="60"/>
      <c r="G7292" s="60"/>
      <c r="H7292" s="60"/>
      <c r="I7292" s="60"/>
      <c r="J7292" s="60"/>
      <c r="K7292" s="60"/>
      <c r="L7292" s="60"/>
      <c r="M7292" s="64"/>
      <c r="N7292" s="33"/>
    </row>
    <row r="7293" ht="24" customHeight="1" spans="2:14">
      <c r="B7293" s="33"/>
      <c r="C7293" s="60"/>
      <c r="D7293" s="60"/>
      <c r="E7293" s="60"/>
      <c r="F7293" s="60"/>
      <c r="G7293" s="60"/>
      <c r="H7293" s="60"/>
      <c r="I7293" s="60"/>
      <c r="J7293" s="60"/>
      <c r="K7293" s="60"/>
      <c r="L7293" s="60"/>
      <c r="M7293" s="64"/>
      <c r="N7293" s="33"/>
    </row>
    <row r="7294" ht="24" customHeight="1" spans="2:14">
      <c r="B7294" s="33"/>
      <c r="C7294" s="60"/>
      <c r="D7294" s="60"/>
      <c r="E7294" s="60"/>
      <c r="F7294" s="60"/>
      <c r="G7294" s="60"/>
      <c r="H7294" s="60"/>
      <c r="I7294" s="60"/>
      <c r="J7294" s="60"/>
      <c r="K7294" s="60"/>
      <c r="L7294" s="60"/>
      <c r="M7294" s="64"/>
      <c r="N7294" s="33"/>
    </row>
    <row r="7295" ht="24" customHeight="1" spans="2:14">
      <c r="B7295" s="33"/>
      <c r="C7295" s="60"/>
      <c r="D7295" s="60"/>
      <c r="E7295" s="60"/>
      <c r="F7295" s="60"/>
      <c r="G7295" s="60"/>
      <c r="H7295" s="60"/>
      <c r="I7295" s="60"/>
      <c r="J7295" s="60"/>
      <c r="K7295" s="60"/>
      <c r="L7295" s="60"/>
      <c r="M7295" s="64"/>
      <c r="N7295" s="33"/>
    </row>
    <row r="7296" ht="24" customHeight="1" spans="2:14">
      <c r="B7296" s="33"/>
      <c r="C7296" s="60"/>
      <c r="D7296" s="60"/>
      <c r="E7296" s="60"/>
      <c r="F7296" s="60"/>
      <c r="G7296" s="60"/>
      <c r="H7296" s="60"/>
      <c r="I7296" s="60"/>
      <c r="J7296" s="60"/>
      <c r="K7296" s="60"/>
      <c r="L7296" s="60"/>
      <c r="M7296" s="64"/>
      <c r="N7296" s="33"/>
    </row>
    <row r="7297" ht="24" customHeight="1" spans="2:14">
      <c r="B7297" s="33"/>
      <c r="C7297" s="60"/>
      <c r="D7297" s="60"/>
      <c r="E7297" s="60"/>
      <c r="F7297" s="60"/>
      <c r="G7297" s="60"/>
      <c r="H7297" s="60"/>
      <c r="I7297" s="60"/>
      <c r="J7297" s="60"/>
      <c r="K7297" s="60"/>
      <c r="L7297" s="60"/>
      <c r="M7297" s="64"/>
      <c r="N7297" s="33"/>
    </row>
    <row r="7298" ht="24" customHeight="1" spans="2:14">
      <c r="B7298" s="33"/>
      <c r="C7298" s="60"/>
      <c r="D7298" s="60"/>
      <c r="E7298" s="60"/>
      <c r="F7298" s="60"/>
      <c r="G7298" s="60"/>
      <c r="H7298" s="60"/>
      <c r="I7298" s="60"/>
      <c r="J7298" s="60"/>
      <c r="K7298" s="60"/>
      <c r="L7298" s="60"/>
      <c r="M7298" s="64"/>
      <c r="N7298" s="33"/>
    </row>
    <row r="7299" ht="24" customHeight="1" spans="2:14">
      <c r="B7299" s="33"/>
      <c r="C7299" s="60"/>
      <c r="D7299" s="60"/>
      <c r="E7299" s="60"/>
      <c r="F7299" s="60"/>
      <c r="G7299" s="60"/>
      <c r="H7299" s="60"/>
      <c r="I7299" s="60"/>
      <c r="J7299" s="60"/>
      <c r="K7299" s="60"/>
      <c r="L7299" s="60"/>
      <c r="M7299" s="64"/>
      <c r="N7299" s="33"/>
    </row>
    <row r="7300" ht="24" customHeight="1" spans="2:14">
      <c r="B7300" s="33"/>
      <c r="C7300" s="60"/>
      <c r="D7300" s="60"/>
      <c r="E7300" s="60"/>
      <c r="F7300" s="60"/>
      <c r="G7300" s="60"/>
      <c r="H7300" s="60"/>
      <c r="I7300" s="60"/>
      <c r="J7300" s="60"/>
      <c r="K7300" s="60"/>
      <c r="L7300" s="60"/>
      <c r="M7300" s="64"/>
      <c r="N7300" s="33"/>
    </row>
    <row r="7301" ht="24" customHeight="1" spans="2:14">
      <c r="B7301" s="33"/>
      <c r="C7301" s="60"/>
      <c r="D7301" s="60"/>
      <c r="E7301" s="60"/>
      <c r="F7301" s="60"/>
      <c r="G7301" s="60"/>
      <c r="H7301" s="60"/>
      <c r="I7301" s="60"/>
      <c r="J7301" s="60"/>
      <c r="K7301" s="60"/>
      <c r="L7301" s="60"/>
      <c r="M7301" s="64"/>
      <c r="N7301" s="33"/>
    </row>
    <row r="7302" ht="24" customHeight="1" spans="2:14">
      <c r="B7302" s="33"/>
      <c r="C7302" s="60"/>
      <c r="D7302" s="60"/>
      <c r="E7302" s="60"/>
      <c r="F7302" s="60"/>
      <c r="G7302" s="60"/>
      <c r="H7302" s="60"/>
      <c r="I7302" s="60"/>
      <c r="J7302" s="60"/>
      <c r="K7302" s="60"/>
      <c r="L7302" s="60"/>
      <c r="M7302" s="64"/>
      <c r="N7302" s="33"/>
    </row>
    <row r="7303" ht="24" customHeight="1" spans="2:14">
      <c r="B7303" s="33"/>
      <c r="C7303" s="60"/>
      <c r="D7303" s="60"/>
      <c r="E7303" s="60"/>
      <c r="F7303" s="60"/>
      <c r="G7303" s="60"/>
      <c r="H7303" s="60"/>
      <c r="I7303" s="60"/>
      <c r="J7303" s="60"/>
      <c r="K7303" s="60"/>
      <c r="L7303" s="60"/>
      <c r="M7303" s="64"/>
      <c r="N7303" s="33"/>
    </row>
    <row r="7304" ht="24" customHeight="1" spans="2:14">
      <c r="B7304" s="33"/>
      <c r="C7304" s="60"/>
      <c r="D7304" s="60"/>
      <c r="E7304" s="60"/>
      <c r="F7304" s="60"/>
      <c r="G7304" s="60"/>
      <c r="H7304" s="60"/>
      <c r="I7304" s="60"/>
      <c r="J7304" s="60"/>
      <c r="K7304" s="60"/>
      <c r="L7304" s="60"/>
      <c r="M7304" s="64"/>
      <c r="N7304" s="33"/>
    </row>
    <row r="7305" ht="24" customHeight="1" spans="2:14">
      <c r="B7305" s="33"/>
      <c r="C7305" s="60"/>
      <c r="D7305" s="60"/>
      <c r="E7305" s="60"/>
      <c r="F7305" s="60"/>
      <c r="G7305" s="60"/>
      <c r="H7305" s="60"/>
      <c r="I7305" s="60"/>
      <c r="J7305" s="60"/>
      <c r="K7305" s="60"/>
      <c r="L7305" s="60"/>
      <c r="M7305" s="64"/>
      <c r="N7305" s="33"/>
    </row>
    <row r="7306" ht="24" customHeight="1" spans="2:14">
      <c r="B7306" s="33"/>
      <c r="C7306" s="60"/>
      <c r="D7306" s="60"/>
      <c r="E7306" s="60"/>
      <c r="F7306" s="60"/>
      <c r="G7306" s="60"/>
      <c r="H7306" s="60"/>
      <c r="I7306" s="60"/>
      <c r="J7306" s="60"/>
      <c r="K7306" s="60"/>
      <c r="L7306" s="60"/>
      <c r="M7306" s="64"/>
      <c r="N7306" s="33"/>
    </row>
    <row r="7307" ht="24" customHeight="1" spans="2:14">
      <c r="B7307" s="33"/>
      <c r="C7307" s="60"/>
      <c r="D7307" s="60"/>
      <c r="E7307" s="60"/>
      <c r="F7307" s="60"/>
      <c r="G7307" s="60"/>
      <c r="H7307" s="60"/>
      <c r="I7307" s="60"/>
      <c r="J7307" s="60"/>
      <c r="K7307" s="60"/>
      <c r="L7307" s="60"/>
      <c r="M7307" s="64"/>
      <c r="N7307" s="33"/>
    </row>
    <row r="7308" ht="24" customHeight="1" spans="2:14">
      <c r="B7308" s="33"/>
      <c r="C7308" s="60"/>
      <c r="D7308" s="60"/>
      <c r="E7308" s="60"/>
      <c r="F7308" s="60"/>
      <c r="G7308" s="60"/>
      <c r="H7308" s="60"/>
      <c r="I7308" s="60"/>
      <c r="J7308" s="60"/>
      <c r="K7308" s="60"/>
      <c r="L7308" s="60"/>
      <c r="M7308" s="64"/>
      <c r="N7308" s="33"/>
    </row>
    <row r="7309" ht="24" customHeight="1" spans="2:14">
      <c r="B7309" s="33"/>
      <c r="C7309" s="60"/>
      <c r="D7309" s="60"/>
      <c r="E7309" s="60"/>
      <c r="F7309" s="60"/>
      <c r="G7309" s="60"/>
      <c r="H7309" s="60"/>
      <c r="I7309" s="60"/>
      <c r="J7309" s="60"/>
      <c r="K7309" s="60"/>
      <c r="L7309" s="60"/>
      <c r="M7309" s="64"/>
      <c r="N7309" s="33"/>
    </row>
    <row r="7310" ht="24" customHeight="1" spans="2:14">
      <c r="B7310" s="33"/>
      <c r="C7310" s="60"/>
      <c r="D7310" s="60"/>
      <c r="E7310" s="60"/>
      <c r="F7310" s="60"/>
      <c r="G7310" s="60"/>
      <c r="H7310" s="60"/>
      <c r="I7310" s="60"/>
      <c r="J7310" s="60"/>
      <c r="K7310" s="60"/>
      <c r="L7310" s="60"/>
      <c r="M7310" s="64"/>
      <c r="N7310" s="33"/>
    </row>
    <row r="7311" ht="24" customHeight="1" spans="2:14">
      <c r="B7311" s="33"/>
      <c r="C7311" s="60"/>
      <c r="D7311" s="60"/>
      <c r="E7311" s="60"/>
      <c r="F7311" s="60"/>
      <c r="G7311" s="60"/>
      <c r="H7311" s="60"/>
      <c r="I7311" s="60"/>
      <c r="J7311" s="60"/>
      <c r="K7311" s="60"/>
      <c r="L7311" s="60"/>
      <c r="M7311" s="64"/>
      <c r="N7311" s="33"/>
    </row>
    <row r="7312" ht="24" customHeight="1" spans="2:14">
      <c r="B7312" s="33"/>
      <c r="C7312" s="60"/>
      <c r="D7312" s="60"/>
      <c r="E7312" s="60"/>
      <c r="F7312" s="60"/>
      <c r="G7312" s="60"/>
      <c r="H7312" s="60"/>
      <c r="I7312" s="60"/>
      <c r="J7312" s="60"/>
      <c r="K7312" s="60"/>
      <c r="L7312" s="60"/>
      <c r="M7312" s="64"/>
      <c r="N7312" s="33"/>
    </row>
    <row r="7313" ht="24" customHeight="1" spans="2:14">
      <c r="B7313" s="33"/>
      <c r="C7313" s="60"/>
      <c r="D7313" s="60"/>
      <c r="E7313" s="60"/>
      <c r="F7313" s="60"/>
      <c r="G7313" s="60"/>
      <c r="H7313" s="60"/>
      <c r="I7313" s="60"/>
      <c r="J7313" s="60"/>
      <c r="K7313" s="60"/>
      <c r="L7313" s="60"/>
      <c r="M7313" s="64"/>
      <c r="N7313" s="33"/>
    </row>
    <row r="7314" ht="24" customHeight="1" spans="2:14">
      <c r="B7314" s="33"/>
      <c r="C7314" s="60"/>
      <c r="D7314" s="60"/>
      <c r="E7314" s="60"/>
      <c r="F7314" s="60"/>
      <c r="G7314" s="60"/>
      <c r="H7314" s="60"/>
      <c r="I7314" s="60"/>
      <c r="J7314" s="60"/>
      <c r="K7314" s="60"/>
      <c r="L7314" s="60"/>
      <c r="M7314" s="64"/>
      <c r="N7314" s="33"/>
    </row>
    <row r="7315" ht="24" customHeight="1" spans="2:14">
      <c r="B7315" s="33"/>
      <c r="C7315" s="60"/>
      <c r="D7315" s="60"/>
      <c r="E7315" s="60"/>
      <c r="F7315" s="60"/>
      <c r="G7315" s="60"/>
      <c r="H7315" s="60"/>
      <c r="I7315" s="60"/>
      <c r="J7315" s="60"/>
      <c r="K7315" s="60"/>
      <c r="L7315" s="60"/>
      <c r="M7315" s="64"/>
      <c r="N7315" s="33"/>
    </row>
    <row r="7316" ht="24" customHeight="1" spans="2:14">
      <c r="B7316" s="33"/>
      <c r="C7316" s="60"/>
      <c r="D7316" s="60"/>
      <c r="E7316" s="60"/>
      <c r="F7316" s="60"/>
      <c r="G7316" s="60"/>
      <c r="H7316" s="60"/>
      <c r="I7316" s="60"/>
      <c r="J7316" s="60"/>
      <c r="K7316" s="60"/>
      <c r="L7316" s="60"/>
      <c r="M7316" s="64"/>
      <c r="N7316" s="33"/>
    </row>
    <row r="7317" ht="24" customHeight="1" spans="2:14">
      <c r="B7317" s="33"/>
      <c r="C7317" s="60"/>
      <c r="D7317" s="60"/>
      <c r="E7317" s="60"/>
      <c r="F7317" s="60"/>
      <c r="G7317" s="60"/>
      <c r="H7317" s="60"/>
      <c r="I7317" s="60"/>
      <c r="J7317" s="60"/>
      <c r="K7317" s="60"/>
      <c r="L7317" s="60"/>
      <c r="M7317" s="64"/>
      <c r="N7317" s="33"/>
    </row>
    <row r="7318" ht="24" customHeight="1" spans="2:14">
      <c r="B7318" s="33"/>
      <c r="C7318" s="60"/>
      <c r="D7318" s="60"/>
      <c r="E7318" s="60"/>
      <c r="F7318" s="60"/>
      <c r="G7318" s="60"/>
      <c r="H7318" s="60"/>
      <c r="I7318" s="60"/>
      <c r="J7318" s="60"/>
      <c r="K7318" s="60"/>
      <c r="L7318" s="60"/>
      <c r="M7318" s="64"/>
      <c r="N7318" s="33"/>
    </row>
    <row r="7319" ht="24" customHeight="1" spans="2:14">
      <c r="B7319" s="33"/>
      <c r="C7319" s="60"/>
      <c r="D7319" s="60"/>
      <c r="E7319" s="60"/>
      <c r="F7319" s="60"/>
      <c r="G7319" s="60"/>
      <c r="H7319" s="60"/>
      <c r="I7319" s="60"/>
      <c r="J7319" s="60"/>
      <c r="K7319" s="60"/>
      <c r="L7319" s="60"/>
      <c r="M7319" s="64"/>
      <c r="N7319" s="33"/>
    </row>
    <row r="7320" ht="24" customHeight="1" spans="2:14">
      <c r="B7320" s="33"/>
      <c r="C7320" s="60"/>
      <c r="D7320" s="60"/>
      <c r="E7320" s="60"/>
      <c r="F7320" s="60"/>
      <c r="G7320" s="60"/>
      <c r="H7320" s="60"/>
      <c r="I7320" s="60"/>
      <c r="J7320" s="60"/>
      <c r="K7320" s="60"/>
      <c r="L7320" s="60"/>
      <c r="M7320" s="64"/>
      <c r="N7320" s="33"/>
    </row>
    <row r="7321" ht="24" customHeight="1" spans="2:14">
      <c r="B7321" s="33"/>
      <c r="C7321" s="60"/>
      <c r="D7321" s="60"/>
      <c r="E7321" s="60"/>
      <c r="F7321" s="60"/>
      <c r="G7321" s="60"/>
      <c r="H7321" s="60"/>
      <c r="I7321" s="60"/>
      <c r="J7321" s="60"/>
      <c r="K7321" s="60"/>
      <c r="L7321" s="60"/>
      <c r="M7321" s="64"/>
      <c r="N7321" s="33"/>
    </row>
    <row r="7322" ht="24" customHeight="1" spans="2:14">
      <c r="B7322" s="33"/>
      <c r="C7322" s="60"/>
      <c r="D7322" s="60"/>
      <c r="E7322" s="60"/>
      <c r="F7322" s="60"/>
      <c r="G7322" s="60"/>
      <c r="H7322" s="60"/>
      <c r="I7322" s="60"/>
      <c r="J7322" s="60"/>
      <c r="K7322" s="60"/>
      <c r="L7322" s="60"/>
      <c r="M7322" s="64"/>
      <c r="N7322" s="33"/>
    </row>
    <row r="7323" ht="24" customHeight="1" spans="2:14">
      <c r="B7323" s="33"/>
      <c r="C7323" s="60"/>
      <c r="D7323" s="60"/>
      <c r="E7323" s="60"/>
      <c r="F7323" s="60"/>
      <c r="G7323" s="60"/>
      <c r="H7323" s="60"/>
      <c r="I7323" s="60"/>
      <c r="J7323" s="60"/>
      <c r="K7323" s="60"/>
      <c r="L7323" s="60"/>
      <c r="M7323" s="64"/>
      <c r="N7323" s="33"/>
    </row>
    <row r="7324" ht="24" customHeight="1" spans="2:14">
      <c r="B7324" s="33"/>
      <c r="C7324" s="60"/>
      <c r="D7324" s="60"/>
      <c r="E7324" s="60"/>
      <c r="F7324" s="60"/>
      <c r="G7324" s="60"/>
      <c r="H7324" s="60"/>
      <c r="I7324" s="60"/>
      <c r="J7324" s="60"/>
      <c r="K7324" s="60"/>
      <c r="L7324" s="60"/>
      <c r="M7324" s="64"/>
      <c r="N7324" s="33"/>
    </row>
    <row r="7325" ht="24" customHeight="1" spans="2:14">
      <c r="B7325" s="33"/>
      <c r="C7325" s="60"/>
      <c r="D7325" s="60"/>
      <c r="E7325" s="60"/>
      <c r="F7325" s="60"/>
      <c r="G7325" s="60"/>
      <c r="H7325" s="60"/>
      <c r="I7325" s="60"/>
      <c r="J7325" s="60"/>
      <c r="K7325" s="60"/>
      <c r="L7325" s="60"/>
      <c r="M7325" s="64"/>
      <c r="N7325" s="33"/>
    </row>
    <row r="7326" ht="24" customHeight="1" spans="2:14">
      <c r="B7326" s="33"/>
      <c r="C7326" s="60"/>
      <c r="D7326" s="60"/>
      <c r="E7326" s="60"/>
      <c r="F7326" s="60"/>
      <c r="G7326" s="60"/>
      <c r="H7326" s="60"/>
      <c r="I7326" s="60"/>
      <c r="J7326" s="60"/>
      <c r="K7326" s="60"/>
      <c r="L7326" s="60"/>
      <c r="M7326" s="64"/>
      <c r="N7326" s="33"/>
    </row>
    <row r="7327" ht="24" customHeight="1" spans="2:14">
      <c r="B7327" s="33"/>
      <c r="C7327" s="60"/>
      <c r="D7327" s="60"/>
      <c r="E7327" s="60"/>
      <c r="F7327" s="60"/>
      <c r="G7327" s="60"/>
      <c r="H7327" s="60"/>
      <c r="I7327" s="60"/>
      <c r="J7327" s="60"/>
      <c r="K7327" s="60"/>
      <c r="L7327" s="60"/>
      <c r="M7327" s="64"/>
      <c r="N7327" s="33"/>
    </row>
    <row r="7328" ht="24" customHeight="1" spans="2:14">
      <c r="B7328" s="33"/>
      <c r="C7328" s="60"/>
      <c r="D7328" s="60"/>
      <c r="E7328" s="60"/>
      <c r="F7328" s="60"/>
      <c r="G7328" s="60"/>
      <c r="H7328" s="60"/>
      <c r="I7328" s="60"/>
      <c r="J7328" s="60"/>
      <c r="K7328" s="60"/>
      <c r="L7328" s="60"/>
      <c r="M7328" s="64"/>
      <c r="N7328" s="33"/>
    </row>
    <row r="7329" ht="24" customHeight="1" spans="2:14">
      <c r="B7329" s="33"/>
      <c r="C7329" s="60"/>
      <c r="D7329" s="60"/>
      <c r="E7329" s="60"/>
      <c r="F7329" s="60"/>
      <c r="G7329" s="60"/>
      <c r="H7329" s="60"/>
      <c r="I7329" s="60"/>
      <c r="J7329" s="60"/>
      <c r="K7329" s="60"/>
      <c r="L7329" s="60"/>
      <c r="M7329" s="64"/>
      <c r="N7329" s="33"/>
    </row>
    <row r="7330" ht="24" customHeight="1" spans="2:14">
      <c r="B7330" s="33"/>
      <c r="C7330" s="60"/>
      <c r="D7330" s="60"/>
      <c r="E7330" s="60"/>
      <c r="F7330" s="60"/>
      <c r="G7330" s="60"/>
      <c r="H7330" s="60"/>
      <c r="I7330" s="60"/>
      <c r="J7330" s="60"/>
      <c r="K7330" s="60"/>
      <c r="L7330" s="60"/>
      <c r="M7330" s="64"/>
      <c r="N7330" s="33"/>
    </row>
    <row r="7331" ht="24" customHeight="1" spans="2:14">
      <c r="B7331" s="33"/>
      <c r="C7331" s="60"/>
      <c r="D7331" s="60"/>
      <c r="E7331" s="60"/>
      <c r="F7331" s="60"/>
      <c r="G7331" s="60"/>
      <c r="H7331" s="60"/>
      <c r="I7331" s="60"/>
      <c r="J7331" s="60"/>
      <c r="K7331" s="60"/>
      <c r="L7331" s="60"/>
      <c r="M7331" s="64"/>
      <c r="N7331" s="33"/>
    </row>
    <row r="7332" ht="24" customHeight="1" spans="2:14">
      <c r="B7332" s="33"/>
      <c r="C7332" s="60"/>
      <c r="D7332" s="60"/>
      <c r="E7332" s="60"/>
      <c r="F7332" s="60"/>
      <c r="G7332" s="60"/>
      <c r="H7332" s="60"/>
      <c r="I7332" s="60"/>
      <c r="J7332" s="60"/>
      <c r="K7332" s="60"/>
      <c r="L7332" s="60"/>
      <c r="M7332" s="64"/>
      <c r="N7332" s="33"/>
    </row>
    <row r="7333" ht="24" customHeight="1" spans="2:14">
      <c r="B7333" s="33"/>
      <c r="C7333" s="60"/>
      <c r="D7333" s="60"/>
      <c r="E7333" s="60"/>
      <c r="F7333" s="60"/>
      <c r="G7333" s="60"/>
      <c r="H7333" s="60"/>
      <c r="I7333" s="60"/>
      <c r="J7333" s="60"/>
      <c r="K7333" s="60"/>
      <c r="L7333" s="60"/>
      <c r="M7333" s="64"/>
      <c r="N7333" s="33"/>
    </row>
    <row r="7334" ht="24" customHeight="1" spans="2:14">
      <c r="B7334" s="33"/>
      <c r="C7334" s="60"/>
      <c r="D7334" s="60"/>
      <c r="E7334" s="60"/>
      <c r="F7334" s="60"/>
      <c r="G7334" s="60"/>
      <c r="H7334" s="60"/>
      <c r="I7334" s="60"/>
      <c r="J7334" s="60"/>
      <c r="K7334" s="60"/>
      <c r="L7334" s="60"/>
      <c r="M7334" s="64"/>
      <c r="N7334" s="33"/>
    </row>
    <row r="7335" ht="24" customHeight="1" spans="2:14">
      <c r="B7335" s="33"/>
      <c r="C7335" s="60"/>
      <c r="D7335" s="60"/>
      <c r="E7335" s="60"/>
      <c r="F7335" s="60"/>
      <c r="G7335" s="60"/>
      <c r="H7335" s="60"/>
      <c r="I7335" s="60"/>
      <c r="J7335" s="60"/>
      <c r="K7335" s="60"/>
      <c r="L7335" s="60"/>
      <c r="M7335" s="64"/>
      <c r="N7335" s="33"/>
    </row>
    <row r="7336" ht="24" customHeight="1" spans="2:14">
      <c r="B7336" s="33"/>
      <c r="C7336" s="60"/>
      <c r="D7336" s="60"/>
      <c r="E7336" s="60"/>
      <c r="F7336" s="60"/>
      <c r="G7336" s="60"/>
      <c r="H7336" s="60"/>
      <c r="I7336" s="60"/>
      <c r="J7336" s="60"/>
      <c r="K7336" s="60"/>
      <c r="L7336" s="60"/>
      <c r="M7336" s="64"/>
      <c r="N7336" s="33"/>
    </row>
    <row r="7337" ht="24" customHeight="1" spans="2:14">
      <c r="B7337" s="33"/>
      <c r="C7337" s="60"/>
      <c r="D7337" s="60"/>
      <c r="E7337" s="60"/>
      <c r="F7337" s="60"/>
      <c r="G7337" s="60"/>
      <c r="H7337" s="60"/>
      <c r="I7337" s="60"/>
      <c r="J7337" s="60"/>
      <c r="K7337" s="60"/>
      <c r="L7337" s="60"/>
      <c r="M7337" s="64"/>
      <c r="N7337" s="33"/>
    </row>
    <row r="7338" ht="24" customHeight="1" spans="2:14">
      <c r="B7338" s="33"/>
      <c r="C7338" s="60"/>
      <c r="D7338" s="60"/>
      <c r="E7338" s="60"/>
      <c r="F7338" s="60"/>
      <c r="G7338" s="60"/>
      <c r="H7338" s="60"/>
      <c r="I7338" s="60"/>
      <c r="J7338" s="60"/>
      <c r="K7338" s="60"/>
      <c r="L7338" s="60"/>
      <c r="M7338" s="64"/>
      <c r="N7338" s="33"/>
    </row>
    <row r="7339" ht="24" customHeight="1" spans="2:14">
      <c r="B7339" s="33"/>
      <c r="C7339" s="60"/>
      <c r="D7339" s="60"/>
      <c r="E7339" s="60"/>
      <c r="F7339" s="60"/>
      <c r="G7339" s="60"/>
      <c r="H7339" s="60"/>
      <c r="I7339" s="60"/>
      <c r="J7339" s="60"/>
      <c r="K7339" s="60"/>
      <c r="L7339" s="60"/>
      <c r="M7339" s="64"/>
      <c r="N7339" s="33"/>
    </row>
    <row r="7340" ht="24" customHeight="1" spans="2:14">
      <c r="B7340" s="33"/>
      <c r="C7340" s="60"/>
      <c r="D7340" s="60"/>
      <c r="E7340" s="60"/>
      <c r="F7340" s="60"/>
      <c r="G7340" s="60"/>
      <c r="H7340" s="60"/>
      <c r="I7340" s="60"/>
      <c r="J7340" s="60"/>
      <c r="K7340" s="60"/>
      <c r="L7340" s="60"/>
      <c r="M7340" s="64"/>
      <c r="N7340" s="33"/>
    </row>
    <row r="7341" ht="24" customHeight="1" spans="2:14">
      <c r="B7341" s="33"/>
      <c r="C7341" s="60"/>
      <c r="D7341" s="60"/>
      <c r="E7341" s="60"/>
      <c r="F7341" s="60"/>
      <c r="G7341" s="60"/>
      <c r="H7341" s="60"/>
      <c r="I7341" s="60"/>
      <c r="J7341" s="60"/>
      <c r="K7341" s="60"/>
      <c r="L7341" s="60"/>
      <c r="M7341" s="64"/>
      <c r="N7341" s="33"/>
    </row>
    <row r="7342" ht="24" customHeight="1" spans="2:14">
      <c r="B7342" s="33"/>
      <c r="C7342" s="60"/>
      <c r="D7342" s="60"/>
      <c r="E7342" s="60"/>
      <c r="F7342" s="60"/>
      <c r="G7342" s="60"/>
      <c r="H7342" s="60"/>
      <c r="I7342" s="60"/>
      <c r="J7342" s="60"/>
      <c r="K7342" s="60"/>
      <c r="L7342" s="60"/>
      <c r="M7342" s="64"/>
      <c r="N7342" s="33"/>
    </row>
    <row r="7343" ht="24" customHeight="1" spans="2:14">
      <c r="B7343" s="33"/>
      <c r="C7343" s="60"/>
      <c r="D7343" s="60"/>
      <c r="E7343" s="60"/>
      <c r="F7343" s="60"/>
      <c r="G7343" s="60"/>
      <c r="H7343" s="60"/>
      <c r="I7343" s="60"/>
      <c r="J7343" s="60"/>
      <c r="K7343" s="60"/>
      <c r="L7343" s="60"/>
      <c r="M7343" s="64"/>
      <c r="N7343" s="33"/>
    </row>
    <row r="7344" ht="24" customHeight="1" spans="2:14">
      <c r="B7344" s="33"/>
      <c r="C7344" s="60"/>
      <c r="D7344" s="60"/>
      <c r="E7344" s="60"/>
      <c r="F7344" s="60"/>
      <c r="G7344" s="60"/>
      <c r="H7344" s="60"/>
      <c r="I7344" s="60"/>
      <c r="J7344" s="60"/>
      <c r="K7344" s="60"/>
      <c r="L7344" s="60"/>
      <c r="M7344" s="64"/>
      <c r="N7344" s="33"/>
    </row>
    <row r="7345" ht="24" customHeight="1" spans="2:14">
      <c r="B7345" s="33"/>
      <c r="C7345" s="60"/>
      <c r="D7345" s="60"/>
      <c r="E7345" s="60"/>
      <c r="F7345" s="60"/>
      <c r="G7345" s="60"/>
      <c r="H7345" s="60"/>
      <c r="I7345" s="60"/>
      <c r="J7345" s="60"/>
      <c r="K7345" s="60"/>
      <c r="L7345" s="60"/>
      <c r="M7345" s="64"/>
      <c r="N7345" s="33"/>
    </row>
    <row r="7346" ht="24" customHeight="1" spans="2:14">
      <c r="B7346" s="33"/>
      <c r="C7346" s="60"/>
      <c r="D7346" s="60"/>
      <c r="E7346" s="60"/>
      <c r="F7346" s="60"/>
      <c r="G7346" s="60"/>
      <c r="H7346" s="60"/>
      <c r="I7346" s="60"/>
      <c r="J7346" s="60"/>
      <c r="K7346" s="60"/>
      <c r="L7346" s="60"/>
      <c r="M7346" s="64"/>
      <c r="N7346" s="33"/>
    </row>
    <row r="7347" ht="24" customHeight="1" spans="2:14">
      <c r="B7347" s="33"/>
      <c r="C7347" s="60"/>
      <c r="D7347" s="60"/>
      <c r="E7347" s="60"/>
      <c r="F7347" s="60"/>
      <c r="G7347" s="60"/>
      <c r="H7347" s="60"/>
      <c r="I7347" s="60"/>
      <c r="J7347" s="60"/>
      <c r="K7347" s="60"/>
      <c r="L7347" s="60"/>
      <c r="M7347" s="64"/>
      <c r="N7347" s="33"/>
    </row>
    <row r="7348" ht="24" customHeight="1" spans="2:14">
      <c r="B7348" s="33"/>
      <c r="C7348" s="60"/>
      <c r="D7348" s="60"/>
      <c r="E7348" s="60"/>
      <c r="F7348" s="60"/>
      <c r="G7348" s="60"/>
      <c r="H7348" s="60"/>
      <c r="I7348" s="60"/>
      <c r="J7348" s="60"/>
      <c r="K7348" s="60"/>
      <c r="L7348" s="60"/>
      <c r="M7348" s="64"/>
      <c r="N7348" s="33"/>
    </row>
    <row r="7349" ht="24" customHeight="1" spans="2:14">
      <c r="B7349" s="33"/>
      <c r="C7349" s="60"/>
      <c r="D7349" s="60"/>
      <c r="E7349" s="60"/>
      <c r="F7349" s="60"/>
      <c r="G7349" s="60"/>
      <c r="H7349" s="60"/>
      <c r="I7349" s="60"/>
      <c r="J7349" s="60"/>
      <c r="K7349" s="60"/>
      <c r="L7349" s="60"/>
      <c r="M7349" s="64"/>
      <c r="N7349" s="33"/>
    </row>
    <row r="7350" ht="24" customHeight="1" spans="2:14">
      <c r="B7350" s="33"/>
      <c r="C7350" s="60"/>
      <c r="D7350" s="60"/>
      <c r="E7350" s="60"/>
      <c r="F7350" s="60"/>
      <c r="G7350" s="60"/>
      <c r="H7350" s="60"/>
      <c r="I7350" s="60"/>
      <c r="J7350" s="60"/>
      <c r="K7350" s="60"/>
      <c r="L7350" s="60"/>
      <c r="M7350" s="64"/>
      <c r="N7350" s="33"/>
    </row>
    <row r="7351" ht="24" customHeight="1" spans="2:14">
      <c r="B7351" s="33"/>
      <c r="C7351" s="60"/>
      <c r="D7351" s="60"/>
      <c r="E7351" s="60"/>
      <c r="F7351" s="60"/>
      <c r="G7351" s="60"/>
      <c r="H7351" s="60"/>
      <c r="I7351" s="60"/>
      <c r="J7351" s="60"/>
      <c r="K7351" s="60"/>
      <c r="L7351" s="60"/>
      <c r="M7351" s="64"/>
      <c r="N7351" s="33"/>
    </row>
    <row r="7352" ht="24" customHeight="1" spans="2:14">
      <c r="B7352" s="33"/>
      <c r="C7352" s="60"/>
      <c r="D7352" s="60"/>
      <c r="E7352" s="60"/>
      <c r="F7352" s="60"/>
      <c r="G7352" s="60"/>
      <c r="H7352" s="60"/>
      <c r="I7352" s="60"/>
      <c r="J7352" s="60"/>
      <c r="K7352" s="60"/>
      <c r="L7352" s="60"/>
      <c r="M7352" s="64"/>
      <c r="N7352" s="33"/>
    </row>
    <row r="7353" ht="24" customHeight="1" spans="2:14">
      <c r="B7353" s="33"/>
      <c r="C7353" s="60"/>
      <c r="D7353" s="60"/>
      <c r="E7353" s="60"/>
      <c r="F7353" s="60"/>
      <c r="G7353" s="60"/>
      <c r="H7353" s="60"/>
      <c r="I7353" s="60"/>
      <c r="J7353" s="60"/>
      <c r="K7353" s="60"/>
      <c r="L7353" s="60"/>
      <c r="M7353" s="64"/>
      <c r="N7353" s="33"/>
    </row>
    <row r="7354" ht="24" customHeight="1" spans="2:14">
      <c r="B7354" s="33"/>
      <c r="C7354" s="60"/>
      <c r="D7354" s="60"/>
      <c r="E7354" s="60"/>
      <c r="F7354" s="60"/>
      <c r="G7354" s="60"/>
      <c r="H7354" s="60"/>
      <c r="I7354" s="60"/>
      <c r="J7354" s="60"/>
      <c r="K7354" s="60"/>
      <c r="L7354" s="60"/>
      <c r="M7354" s="64"/>
      <c r="N7354" s="33"/>
    </row>
    <row r="7355" ht="24" customHeight="1" spans="2:14">
      <c r="B7355" s="33"/>
      <c r="C7355" s="60"/>
      <c r="D7355" s="60"/>
      <c r="E7355" s="60"/>
      <c r="F7355" s="60"/>
      <c r="G7355" s="60"/>
      <c r="H7355" s="60"/>
      <c r="I7355" s="60"/>
      <c r="J7355" s="60"/>
      <c r="K7355" s="60"/>
      <c r="L7355" s="60"/>
      <c r="M7355" s="64"/>
      <c r="N7355" s="33"/>
    </row>
    <row r="7356" ht="24" customHeight="1" spans="2:14">
      <c r="B7356" s="33"/>
      <c r="C7356" s="60"/>
      <c r="D7356" s="60"/>
      <c r="E7356" s="60"/>
      <c r="F7356" s="60"/>
      <c r="G7356" s="60"/>
      <c r="H7356" s="60"/>
      <c r="I7356" s="60"/>
      <c r="J7356" s="60"/>
      <c r="K7356" s="60"/>
      <c r="L7356" s="60"/>
      <c r="M7356" s="64"/>
      <c r="N7356" s="33"/>
    </row>
    <row r="7357" ht="24" customHeight="1" spans="2:14">
      <c r="B7357" s="33"/>
      <c r="C7357" s="60"/>
      <c r="D7357" s="60"/>
      <c r="E7357" s="60"/>
      <c r="F7357" s="60"/>
      <c r="G7357" s="60"/>
      <c r="H7357" s="60"/>
      <c r="I7357" s="60"/>
      <c r="J7357" s="60"/>
      <c r="K7357" s="60"/>
      <c r="L7357" s="60"/>
      <c r="M7357" s="64"/>
      <c r="N7357" s="33"/>
    </row>
    <row r="7358" ht="24" customHeight="1" spans="2:14">
      <c r="B7358" s="33"/>
      <c r="C7358" s="60"/>
      <c r="D7358" s="60"/>
      <c r="E7358" s="60"/>
      <c r="F7358" s="60"/>
      <c r="G7358" s="60"/>
      <c r="H7358" s="60"/>
      <c r="I7358" s="60"/>
      <c r="J7358" s="60"/>
      <c r="K7358" s="60"/>
      <c r="L7358" s="60"/>
      <c r="M7358" s="64"/>
      <c r="N7358" s="33"/>
    </row>
    <row r="7359" ht="24" customHeight="1" spans="2:14">
      <c r="B7359" s="33"/>
      <c r="C7359" s="60"/>
      <c r="D7359" s="60"/>
      <c r="E7359" s="60"/>
      <c r="F7359" s="60"/>
      <c r="G7359" s="60"/>
      <c r="H7359" s="60"/>
      <c r="I7359" s="60"/>
      <c r="J7359" s="60"/>
      <c r="K7359" s="60"/>
      <c r="L7359" s="60"/>
      <c r="M7359" s="64"/>
      <c r="N7359" s="33"/>
    </row>
    <row r="7360" ht="24" customHeight="1" spans="2:14">
      <c r="B7360" s="33"/>
      <c r="C7360" s="60"/>
      <c r="D7360" s="60"/>
      <c r="E7360" s="60"/>
      <c r="F7360" s="60"/>
      <c r="G7360" s="60"/>
      <c r="H7360" s="60"/>
      <c r="I7360" s="60"/>
      <c r="J7360" s="60"/>
      <c r="K7360" s="60"/>
      <c r="L7360" s="60"/>
      <c r="M7360" s="64"/>
      <c r="N7360" s="33"/>
    </row>
    <row r="7361" ht="24" customHeight="1" spans="2:14">
      <c r="B7361" s="33"/>
      <c r="C7361" s="60"/>
      <c r="D7361" s="60"/>
      <c r="E7361" s="60"/>
      <c r="F7361" s="60"/>
      <c r="G7361" s="60"/>
      <c r="H7361" s="60"/>
      <c r="I7361" s="60"/>
      <c r="J7361" s="60"/>
      <c r="K7361" s="60"/>
      <c r="L7361" s="60"/>
      <c r="M7361" s="64"/>
      <c r="N7361" s="33"/>
    </row>
    <row r="7362" ht="24" customHeight="1" spans="2:14">
      <c r="B7362" s="33"/>
      <c r="C7362" s="60"/>
      <c r="D7362" s="60"/>
      <c r="E7362" s="60"/>
      <c r="F7362" s="60"/>
      <c r="G7362" s="60"/>
      <c r="H7362" s="60"/>
      <c r="I7362" s="60"/>
      <c r="J7362" s="60"/>
      <c r="K7362" s="60"/>
      <c r="L7362" s="60"/>
      <c r="M7362" s="64"/>
      <c r="N7362" s="33"/>
    </row>
    <row r="7363" ht="24" customHeight="1" spans="2:14">
      <c r="B7363" s="33"/>
      <c r="C7363" s="60"/>
      <c r="D7363" s="60"/>
      <c r="E7363" s="60"/>
      <c r="F7363" s="60"/>
      <c r="G7363" s="60"/>
      <c r="H7363" s="60"/>
      <c r="I7363" s="60"/>
      <c r="J7363" s="60"/>
      <c r="K7363" s="60"/>
      <c r="L7363" s="60"/>
      <c r="M7363" s="64"/>
      <c r="N7363" s="33"/>
    </row>
    <row r="7364" ht="24" customHeight="1" spans="2:14">
      <c r="B7364" s="33"/>
      <c r="C7364" s="60"/>
      <c r="D7364" s="60"/>
      <c r="E7364" s="60"/>
      <c r="F7364" s="60"/>
      <c r="G7364" s="60"/>
      <c r="H7364" s="60"/>
      <c r="I7364" s="60"/>
      <c r="J7364" s="60"/>
      <c r="K7364" s="60"/>
      <c r="L7364" s="60"/>
      <c r="M7364" s="64"/>
      <c r="N7364" s="33"/>
    </row>
    <row r="7365" ht="24" customHeight="1" spans="2:14">
      <c r="B7365" s="33"/>
      <c r="C7365" s="60"/>
      <c r="D7365" s="60"/>
      <c r="E7365" s="60"/>
      <c r="F7365" s="60"/>
      <c r="G7365" s="60"/>
      <c r="H7365" s="60"/>
      <c r="I7365" s="60"/>
      <c r="J7365" s="60"/>
      <c r="K7365" s="60"/>
      <c r="L7365" s="60"/>
      <c r="M7365" s="64"/>
      <c r="N7365" s="33"/>
    </row>
    <row r="7366" ht="24" customHeight="1" spans="2:14">
      <c r="B7366" s="33"/>
      <c r="C7366" s="60"/>
      <c r="D7366" s="60"/>
      <c r="E7366" s="60"/>
      <c r="F7366" s="60"/>
      <c r="G7366" s="60"/>
      <c r="H7366" s="60"/>
      <c r="I7366" s="60"/>
      <c r="J7366" s="60"/>
      <c r="K7366" s="60"/>
      <c r="L7366" s="60"/>
      <c r="M7366" s="64"/>
      <c r="N7366" s="33"/>
    </row>
    <row r="7367" ht="24" customHeight="1" spans="2:14">
      <c r="B7367" s="33"/>
      <c r="C7367" s="60"/>
      <c r="D7367" s="60"/>
      <c r="E7367" s="60"/>
      <c r="F7367" s="60"/>
      <c r="G7367" s="60"/>
      <c r="H7367" s="60"/>
      <c r="I7367" s="60"/>
      <c r="J7367" s="60"/>
      <c r="K7367" s="60"/>
      <c r="L7367" s="60"/>
      <c r="M7367" s="64"/>
      <c r="N7367" s="33"/>
    </row>
    <row r="7368" ht="24" customHeight="1" spans="2:14">
      <c r="B7368" s="33"/>
      <c r="C7368" s="60"/>
      <c r="D7368" s="60"/>
      <c r="E7368" s="60"/>
      <c r="F7368" s="60"/>
      <c r="G7368" s="60"/>
      <c r="H7368" s="60"/>
      <c r="I7368" s="60"/>
      <c r="J7368" s="60"/>
      <c r="K7368" s="60"/>
      <c r="L7368" s="60"/>
      <c r="M7368" s="64"/>
      <c r="N7368" s="33"/>
    </row>
    <row r="7369" ht="24" customHeight="1" spans="2:14">
      <c r="B7369" s="33"/>
      <c r="C7369" s="60"/>
      <c r="D7369" s="60"/>
      <c r="E7369" s="60"/>
      <c r="F7369" s="60"/>
      <c r="G7369" s="60"/>
      <c r="H7369" s="60"/>
      <c r="I7369" s="60"/>
      <c r="J7369" s="60"/>
      <c r="K7369" s="60"/>
      <c r="L7369" s="60"/>
      <c r="M7369" s="64"/>
      <c r="N7369" s="33"/>
    </row>
    <row r="7370" ht="24" customHeight="1" spans="2:14">
      <c r="B7370" s="33"/>
      <c r="C7370" s="60"/>
      <c r="D7370" s="60"/>
      <c r="E7370" s="60"/>
      <c r="F7370" s="60"/>
      <c r="G7370" s="60"/>
      <c r="H7370" s="60"/>
      <c r="I7370" s="60"/>
      <c r="J7370" s="60"/>
      <c r="K7370" s="60"/>
      <c r="L7370" s="60"/>
      <c r="M7370" s="64"/>
      <c r="N7370" s="33"/>
    </row>
    <row r="7371" ht="24" customHeight="1" spans="2:14">
      <c r="B7371" s="33"/>
      <c r="C7371" s="60"/>
      <c r="D7371" s="60"/>
      <c r="E7371" s="60"/>
      <c r="F7371" s="60"/>
      <c r="G7371" s="60"/>
      <c r="H7371" s="60"/>
      <c r="I7371" s="60"/>
      <c r="J7371" s="60"/>
      <c r="K7371" s="60"/>
      <c r="L7371" s="60"/>
      <c r="M7371" s="64"/>
      <c r="N7371" s="33"/>
    </row>
    <row r="7372" ht="24" customHeight="1" spans="2:14">
      <c r="B7372" s="33"/>
      <c r="C7372" s="60"/>
      <c r="D7372" s="60"/>
      <c r="E7372" s="60"/>
      <c r="F7372" s="60"/>
      <c r="G7372" s="60"/>
      <c r="H7372" s="60"/>
      <c r="I7372" s="60"/>
      <c r="J7372" s="60"/>
      <c r="K7372" s="60"/>
      <c r="L7372" s="60"/>
      <c r="M7372" s="64"/>
      <c r="N7372" s="33"/>
    </row>
    <row r="7373" ht="24" customHeight="1" spans="2:14">
      <c r="B7373" s="33"/>
      <c r="C7373" s="60"/>
      <c r="D7373" s="60"/>
      <c r="E7373" s="60"/>
      <c r="F7373" s="60"/>
      <c r="G7373" s="60"/>
      <c r="H7373" s="60"/>
      <c r="I7373" s="60"/>
      <c r="J7373" s="60"/>
      <c r="K7373" s="60"/>
      <c r="L7373" s="60"/>
      <c r="M7373" s="64"/>
      <c r="N7373" s="33"/>
    </row>
    <row r="7374" ht="24" customHeight="1" spans="2:14">
      <c r="B7374" s="33"/>
      <c r="C7374" s="60"/>
      <c r="D7374" s="60"/>
      <c r="E7374" s="60"/>
      <c r="F7374" s="60"/>
      <c r="G7374" s="60"/>
      <c r="H7374" s="60"/>
      <c r="I7374" s="60"/>
      <c r="J7374" s="60"/>
      <c r="K7374" s="60"/>
      <c r="L7374" s="60"/>
      <c r="M7374" s="64"/>
      <c r="N7374" s="33"/>
    </row>
    <row r="7375" ht="24" customHeight="1" spans="2:14">
      <c r="B7375" s="33"/>
      <c r="C7375" s="60"/>
      <c r="D7375" s="60"/>
      <c r="E7375" s="60"/>
      <c r="F7375" s="60"/>
      <c r="G7375" s="60"/>
      <c r="H7375" s="60"/>
      <c r="I7375" s="60"/>
      <c r="J7375" s="60"/>
      <c r="K7375" s="60"/>
      <c r="L7375" s="60"/>
      <c r="M7375" s="64"/>
      <c r="N7375" s="33"/>
    </row>
    <row r="7376" ht="24" customHeight="1" spans="2:14">
      <c r="B7376" s="33"/>
      <c r="C7376" s="60"/>
      <c r="D7376" s="60"/>
      <c r="E7376" s="60"/>
      <c r="F7376" s="60"/>
      <c r="G7376" s="60"/>
      <c r="H7376" s="60"/>
      <c r="I7376" s="60"/>
      <c r="J7376" s="60"/>
      <c r="K7376" s="60"/>
      <c r="L7376" s="60"/>
      <c r="M7376" s="64"/>
      <c r="N7376" s="33"/>
    </row>
    <row r="7377" ht="24" customHeight="1" spans="2:14">
      <c r="B7377" s="33"/>
      <c r="C7377" s="60"/>
      <c r="D7377" s="60"/>
      <c r="E7377" s="60"/>
      <c r="F7377" s="60"/>
      <c r="G7377" s="60"/>
      <c r="H7377" s="60"/>
      <c r="I7377" s="60"/>
      <c r="J7377" s="60"/>
      <c r="K7377" s="60"/>
      <c r="L7377" s="60"/>
      <c r="M7377" s="64"/>
      <c r="N7377" s="33"/>
    </row>
    <row r="7378" ht="24" customHeight="1" spans="2:14">
      <c r="B7378" s="33"/>
      <c r="C7378" s="60"/>
      <c r="D7378" s="60"/>
      <c r="E7378" s="60"/>
      <c r="F7378" s="60"/>
      <c r="G7378" s="60"/>
      <c r="H7378" s="60"/>
      <c r="I7378" s="60"/>
      <c r="J7378" s="60"/>
      <c r="K7378" s="60"/>
      <c r="L7378" s="60"/>
      <c r="M7378" s="64"/>
      <c r="N7378" s="33"/>
    </row>
    <row r="7379" ht="24" customHeight="1" spans="2:14">
      <c r="B7379" s="33"/>
      <c r="C7379" s="60"/>
      <c r="D7379" s="60"/>
      <c r="E7379" s="60"/>
      <c r="F7379" s="60"/>
      <c r="G7379" s="60"/>
      <c r="H7379" s="60"/>
      <c r="I7379" s="60"/>
      <c r="J7379" s="60"/>
      <c r="K7379" s="60"/>
      <c r="L7379" s="60"/>
      <c r="M7379" s="64"/>
      <c r="N7379" s="33"/>
    </row>
    <row r="7380" ht="24" customHeight="1" spans="2:14">
      <c r="B7380" s="33"/>
      <c r="C7380" s="60"/>
      <c r="D7380" s="60"/>
      <c r="E7380" s="60"/>
      <c r="F7380" s="60"/>
      <c r="G7380" s="60"/>
      <c r="H7380" s="60"/>
      <c r="I7380" s="60"/>
      <c r="J7380" s="60"/>
      <c r="K7380" s="60"/>
      <c r="L7380" s="60"/>
      <c r="M7380" s="64"/>
      <c r="N7380" s="33"/>
    </row>
    <row r="7381" ht="24" customHeight="1" spans="2:14">
      <c r="B7381" s="33"/>
      <c r="C7381" s="60"/>
      <c r="D7381" s="60"/>
      <c r="E7381" s="60"/>
      <c r="F7381" s="60"/>
      <c r="G7381" s="60"/>
      <c r="H7381" s="60"/>
      <c r="I7381" s="60"/>
      <c r="J7381" s="60"/>
      <c r="K7381" s="60"/>
      <c r="L7381" s="60"/>
      <c r="M7381" s="64"/>
      <c r="N7381" s="33"/>
    </row>
    <row r="7382" ht="24" customHeight="1" spans="2:14">
      <c r="B7382" s="33"/>
      <c r="C7382" s="60"/>
      <c r="D7382" s="60"/>
      <c r="E7382" s="60"/>
      <c r="F7382" s="60"/>
      <c r="G7382" s="60"/>
      <c r="H7382" s="60"/>
      <c r="I7382" s="60"/>
      <c r="J7382" s="60"/>
      <c r="K7382" s="60"/>
      <c r="L7382" s="60"/>
      <c r="M7382" s="64"/>
      <c r="N7382" s="33"/>
    </row>
    <row r="7383" ht="24" customHeight="1" spans="2:14">
      <c r="B7383" s="33"/>
      <c r="C7383" s="60"/>
      <c r="D7383" s="60"/>
      <c r="E7383" s="60"/>
      <c r="F7383" s="60"/>
      <c r="G7383" s="60"/>
      <c r="H7383" s="60"/>
      <c r="I7383" s="60"/>
      <c r="J7383" s="60"/>
      <c r="K7383" s="60"/>
      <c r="L7383" s="60"/>
      <c r="M7383" s="64"/>
      <c r="N7383" s="33"/>
    </row>
    <row r="7384" ht="24" customHeight="1" spans="2:14">
      <c r="B7384" s="33"/>
      <c r="C7384" s="60"/>
      <c r="D7384" s="60"/>
      <c r="E7384" s="60"/>
      <c r="F7384" s="60"/>
      <c r="G7384" s="60"/>
      <c r="H7384" s="60"/>
      <c r="I7384" s="60"/>
      <c r="J7384" s="60"/>
      <c r="K7384" s="60"/>
      <c r="L7384" s="60"/>
      <c r="M7384" s="64"/>
      <c r="N7384" s="33"/>
    </row>
    <row r="7385" ht="24" customHeight="1" spans="2:14">
      <c r="B7385" s="33"/>
      <c r="C7385" s="60"/>
      <c r="D7385" s="60"/>
      <c r="E7385" s="60"/>
      <c r="F7385" s="60"/>
      <c r="G7385" s="60"/>
      <c r="H7385" s="60"/>
      <c r="I7385" s="60"/>
      <c r="J7385" s="60"/>
      <c r="K7385" s="60"/>
      <c r="L7385" s="60"/>
      <c r="M7385" s="64"/>
      <c r="N7385" s="33"/>
    </row>
    <row r="7386" ht="24" customHeight="1" spans="2:14">
      <c r="B7386" s="33"/>
      <c r="C7386" s="60"/>
      <c r="D7386" s="60"/>
      <c r="E7386" s="60"/>
      <c r="F7386" s="60"/>
      <c r="G7386" s="60"/>
      <c r="H7386" s="60"/>
      <c r="I7386" s="60"/>
      <c r="J7386" s="60"/>
      <c r="K7386" s="60"/>
      <c r="L7386" s="60"/>
      <c r="M7386" s="64"/>
      <c r="N7386" s="33"/>
    </row>
    <row r="7387" ht="24" customHeight="1" spans="2:14">
      <c r="B7387" s="33"/>
      <c r="C7387" s="60"/>
      <c r="D7387" s="60"/>
      <c r="E7387" s="60"/>
      <c r="F7387" s="60"/>
      <c r="G7387" s="60"/>
      <c r="H7387" s="60"/>
      <c r="I7387" s="60"/>
      <c r="J7387" s="60"/>
      <c r="K7387" s="60"/>
      <c r="L7387" s="60"/>
      <c r="M7387" s="64"/>
      <c r="N7387" s="33"/>
    </row>
    <row r="7388" ht="24" customHeight="1" spans="2:14">
      <c r="B7388" s="33"/>
      <c r="C7388" s="60"/>
      <c r="D7388" s="60"/>
      <c r="E7388" s="60"/>
      <c r="F7388" s="60"/>
      <c r="G7388" s="60"/>
      <c r="H7388" s="60"/>
      <c r="I7388" s="60"/>
      <c r="J7388" s="60"/>
      <c r="K7388" s="60"/>
      <c r="L7388" s="60"/>
      <c r="M7388" s="64"/>
      <c r="N7388" s="33"/>
    </row>
    <row r="7389" ht="24" customHeight="1" spans="2:14">
      <c r="B7389" s="33"/>
      <c r="C7389" s="60"/>
      <c r="D7389" s="60"/>
      <c r="E7389" s="60"/>
      <c r="F7389" s="60"/>
      <c r="G7389" s="60"/>
      <c r="H7389" s="60"/>
      <c r="I7389" s="60"/>
      <c r="J7389" s="60"/>
      <c r="K7389" s="60"/>
      <c r="L7389" s="60"/>
      <c r="M7389" s="64"/>
      <c r="N7389" s="33"/>
    </row>
    <row r="7390" ht="24" customHeight="1" spans="2:14">
      <c r="B7390" s="33"/>
      <c r="C7390" s="60"/>
      <c r="D7390" s="60"/>
      <c r="E7390" s="60"/>
      <c r="F7390" s="60"/>
      <c r="G7390" s="60"/>
      <c r="H7390" s="60"/>
      <c r="I7390" s="60"/>
      <c r="J7390" s="60"/>
      <c r="K7390" s="60"/>
      <c r="L7390" s="60"/>
      <c r="M7390" s="64"/>
      <c r="N7390" s="33"/>
    </row>
    <row r="7391" ht="24" customHeight="1" spans="2:14">
      <c r="B7391" s="33"/>
      <c r="C7391" s="60"/>
      <c r="D7391" s="60"/>
      <c r="E7391" s="60"/>
      <c r="F7391" s="60"/>
      <c r="G7391" s="60"/>
      <c r="H7391" s="60"/>
      <c r="I7391" s="60"/>
      <c r="J7391" s="60"/>
      <c r="K7391" s="60"/>
      <c r="L7391" s="60"/>
      <c r="M7391" s="64"/>
      <c r="N7391" s="33"/>
    </row>
    <row r="7392" ht="24" customHeight="1" spans="2:14">
      <c r="B7392" s="33"/>
      <c r="C7392" s="60"/>
      <c r="D7392" s="60"/>
      <c r="E7392" s="60"/>
      <c r="F7392" s="60"/>
      <c r="G7392" s="60"/>
      <c r="H7392" s="60"/>
      <c r="I7392" s="60"/>
      <c r="J7392" s="60"/>
      <c r="K7392" s="60"/>
      <c r="L7392" s="60"/>
      <c r="M7392" s="64"/>
      <c r="N7392" s="33"/>
    </row>
    <row r="7393" ht="24" customHeight="1" spans="2:14">
      <c r="B7393" s="33"/>
      <c r="C7393" s="60"/>
      <c r="D7393" s="60"/>
      <c r="E7393" s="60"/>
      <c r="F7393" s="60"/>
      <c r="G7393" s="60"/>
      <c r="H7393" s="60"/>
      <c r="I7393" s="60"/>
      <c r="J7393" s="60"/>
      <c r="K7393" s="60"/>
      <c r="L7393" s="60"/>
      <c r="M7393" s="64"/>
      <c r="N7393" s="33"/>
    </row>
    <row r="7394" ht="24" customHeight="1" spans="2:14">
      <c r="B7394" s="33"/>
      <c r="C7394" s="60"/>
      <c r="D7394" s="60"/>
      <c r="E7394" s="60"/>
      <c r="F7394" s="60"/>
      <c r="G7394" s="60"/>
      <c r="H7394" s="60"/>
      <c r="I7394" s="60"/>
      <c r="J7394" s="60"/>
      <c r="K7394" s="60"/>
      <c r="L7394" s="60"/>
      <c r="M7394" s="64"/>
      <c r="N7394" s="33"/>
    </row>
    <row r="7395" ht="24" customHeight="1" spans="2:14">
      <c r="B7395" s="33"/>
      <c r="C7395" s="60"/>
      <c r="D7395" s="60"/>
      <c r="E7395" s="60"/>
      <c r="F7395" s="60"/>
      <c r="G7395" s="60"/>
      <c r="H7395" s="60"/>
      <c r="I7395" s="60"/>
      <c r="J7395" s="60"/>
      <c r="K7395" s="60"/>
      <c r="L7395" s="60"/>
      <c r="M7395" s="64"/>
      <c r="N7395" s="33"/>
    </row>
    <row r="7396" ht="24" customHeight="1" spans="2:14">
      <c r="B7396" s="33"/>
      <c r="C7396" s="60"/>
      <c r="D7396" s="60"/>
      <c r="E7396" s="60"/>
      <c r="F7396" s="60"/>
      <c r="G7396" s="60"/>
      <c r="H7396" s="60"/>
      <c r="I7396" s="60"/>
      <c r="J7396" s="60"/>
      <c r="K7396" s="60"/>
      <c r="L7396" s="60"/>
      <c r="M7396" s="64"/>
      <c r="N7396" s="33"/>
    </row>
    <row r="7397" ht="24" customHeight="1" spans="2:14">
      <c r="B7397" s="33"/>
      <c r="C7397" s="60"/>
      <c r="D7397" s="60"/>
      <c r="E7397" s="60"/>
      <c r="F7397" s="60"/>
      <c r="G7397" s="60"/>
      <c r="H7397" s="60"/>
      <c r="I7397" s="60"/>
      <c r="J7397" s="60"/>
      <c r="K7397" s="60"/>
      <c r="L7397" s="60"/>
      <c r="M7397" s="64"/>
      <c r="N7397" s="33"/>
    </row>
    <row r="7398" ht="24" customHeight="1" spans="2:14">
      <c r="B7398" s="33"/>
      <c r="C7398" s="60"/>
      <c r="D7398" s="60"/>
      <c r="E7398" s="60"/>
      <c r="F7398" s="60"/>
      <c r="G7398" s="60"/>
      <c r="H7398" s="60"/>
      <c r="I7398" s="60"/>
      <c r="J7398" s="60"/>
      <c r="K7398" s="60"/>
      <c r="L7398" s="60"/>
      <c r="M7398" s="64"/>
      <c r="N7398" s="33"/>
    </row>
    <row r="7399" ht="24" customHeight="1" spans="2:14">
      <c r="B7399" s="33"/>
      <c r="C7399" s="60"/>
      <c r="D7399" s="60"/>
      <c r="E7399" s="60"/>
      <c r="F7399" s="60"/>
      <c r="G7399" s="60"/>
      <c r="H7399" s="60"/>
      <c r="I7399" s="60"/>
      <c r="J7399" s="60"/>
      <c r="K7399" s="60"/>
      <c r="L7399" s="60"/>
      <c r="M7399" s="64"/>
      <c r="N7399" s="33"/>
    </row>
    <row r="7400" ht="24" customHeight="1" spans="2:14">
      <c r="B7400" s="33"/>
      <c r="C7400" s="60"/>
      <c r="D7400" s="60"/>
      <c r="E7400" s="60"/>
      <c r="F7400" s="60"/>
      <c r="G7400" s="60"/>
      <c r="H7400" s="60"/>
      <c r="I7400" s="60"/>
      <c r="J7400" s="60"/>
      <c r="K7400" s="60"/>
      <c r="L7400" s="60"/>
      <c r="M7400" s="64"/>
      <c r="N7400" s="33"/>
    </row>
    <row r="7401" ht="24" customHeight="1" spans="2:14">
      <c r="B7401" s="33"/>
      <c r="C7401" s="60"/>
      <c r="D7401" s="60"/>
      <c r="E7401" s="60"/>
      <c r="F7401" s="60"/>
      <c r="G7401" s="60"/>
      <c r="H7401" s="60"/>
      <c r="I7401" s="60"/>
      <c r="J7401" s="60"/>
      <c r="K7401" s="60"/>
      <c r="L7401" s="60"/>
      <c r="M7401" s="64"/>
      <c r="N7401" s="33"/>
    </row>
    <row r="7402" ht="24" customHeight="1" spans="2:14">
      <c r="B7402" s="33"/>
      <c r="C7402" s="60"/>
      <c r="D7402" s="60"/>
      <c r="E7402" s="60"/>
      <c r="F7402" s="60"/>
      <c r="G7402" s="60"/>
      <c r="H7402" s="60"/>
      <c r="I7402" s="60"/>
      <c r="J7402" s="60"/>
      <c r="K7402" s="60"/>
      <c r="L7402" s="60"/>
      <c r="M7402" s="64"/>
      <c r="N7402" s="33"/>
    </row>
    <row r="7403" ht="24" customHeight="1" spans="2:14">
      <c r="B7403" s="33"/>
      <c r="C7403" s="60"/>
      <c r="D7403" s="60"/>
      <c r="E7403" s="60"/>
      <c r="F7403" s="60"/>
      <c r="G7403" s="60"/>
      <c r="H7403" s="60"/>
      <c r="I7403" s="60"/>
      <c r="J7403" s="60"/>
      <c r="K7403" s="60"/>
      <c r="L7403" s="60"/>
      <c r="M7403" s="64"/>
      <c r="N7403" s="33"/>
    </row>
    <row r="7404" ht="24" customHeight="1" spans="2:14">
      <c r="B7404" s="33"/>
      <c r="C7404" s="60"/>
      <c r="D7404" s="60"/>
      <c r="E7404" s="60"/>
      <c r="F7404" s="60"/>
      <c r="G7404" s="60"/>
      <c r="H7404" s="60"/>
      <c r="I7404" s="60"/>
      <c r="J7404" s="60"/>
      <c r="K7404" s="60"/>
      <c r="L7404" s="60"/>
      <c r="M7404" s="64"/>
      <c r="N7404" s="33"/>
    </row>
    <row r="7405" ht="24" customHeight="1" spans="2:14">
      <c r="B7405" s="33"/>
      <c r="C7405" s="60"/>
      <c r="D7405" s="60"/>
      <c r="E7405" s="60"/>
      <c r="F7405" s="60"/>
      <c r="G7405" s="60"/>
      <c r="H7405" s="60"/>
      <c r="I7405" s="60"/>
      <c r="J7405" s="60"/>
      <c r="K7405" s="60"/>
      <c r="L7405" s="60"/>
      <c r="M7405" s="64"/>
      <c r="N7405" s="33"/>
    </row>
    <row r="7406" ht="24" customHeight="1" spans="2:14">
      <c r="B7406" s="33"/>
      <c r="C7406" s="60"/>
      <c r="D7406" s="60"/>
      <c r="E7406" s="60"/>
      <c r="F7406" s="60"/>
      <c r="G7406" s="60"/>
      <c r="H7406" s="60"/>
      <c r="I7406" s="60"/>
      <c r="J7406" s="60"/>
      <c r="K7406" s="60"/>
      <c r="L7406" s="60"/>
      <c r="M7406" s="64"/>
      <c r="N7406" s="33"/>
    </row>
    <row r="7407" ht="24" customHeight="1" spans="2:14">
      <c r="B7407" s="33"/>
      <c r="C7407" s="60"/>
      <c r="D7407" s="60"/>
      <c r="E7407" s="60"/>
      <c r="F7407" s="60"/>
      <c r="G7407" s="60"/>
      <c r="H7407" s="60"/>
      <c r="I7407" s="60"/>
      <c r="J7407" s="60"/>
      <c r="K7407" s="60"/>
      <c r="L7407" s="60"/>
      <c r="M7407" s="64"/>
      <c r="N7407" s="33"/>
    </row>
    <row r="7408" ht="24" customHeight="1" spans="2:14">
      <c r="B7408" s="33"/>
      <c r="C7408" s="60"/>
      <c r="D7408" s="60"/>
      <c r="E7408" s="60"/>
      <c r="F7408" s="60"/>
      <c r="G7408" s="60"/>
      <c r="H7408" s="60"/>
      <c r="I7408" s="60"/>
      <c r="J7408" s="60"/>
      <c r="K7408" s="60"/>
      <c r="L7408" s="60"/>
      <c r="M7408" s="64"/>
      <c r="N7408" s="33"/>
    </row>
    <row r="7409" ht="24" customHeight="1" spans="2:14">
      <c r="B7409" s="33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4"/>
      <c r="N7409" s="33"/>
    </row>
    <row r="7410" ht="24" customHeight="1" spans="2:14">
      <c r="B7410" s="33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4"/>
      <c r="N7410" s="33"/>
    </row>
    <row r="7411" ht="24" customHeight="1" spans="2:14">
      <c r="B7411" s="33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4"/>
      <c r="N7411" s="33"/>
    </row>
    <row r="7412" ht="24" customHeight="1" spans="2:14">
      <c r="B7412" s="33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4"/>
      <c r="N7412" s="33"/>
    </row>
    <row r="7413" ht="24" customHeight="1" spans="2:14">
      <c r="B7413" s="33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4"/>
      <c r="N7413" s="33"/>
    </row>
    <row r="7414" ht="24" customHeight="1" spans="2:14">
      <c r="B7414" s="33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4"/>
      <c r="N7414" s="33"/>
    </row>
    <row r="7415" ht="24" customHeight="1" spans="2:14">
      <c r="B7415" s="33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4"/>
      <c r="N7415" s="33"/>
    </row>
    <row r="7416" ht="24" customHeight="1" spans="2:14">
      <c r="B7416" s="33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4"/>
      <c r="N7416" s="33"/>
    </row>
    <row r="7417" ht="24" customHeight="1" spans="2:14">
      <c r="B7417" s="33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4"/>
      <c r="N7417" s="33"/>
    </row>
    <row r="7418" ht="24" customHeight="1" spans="2:14">
      <c r="B7418" s="33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4"/>
      <c r="N7418" s="33"/>
    </row>
    <row r="7419" ht="24" customHeight="1" spans="2:14">
      <c r="B7419" s="33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4"/>
      <c r="N7419" s="33"/>
    </row>
    <row r="7420" ht="24" customHeight="1" spans="2:14">
      <c r="B7420" s="33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4"/>
      <c r="N7420" s="33"/>
    </row>
    <row r="7421" ht="24" customHeight="1" spans="2:14">
      <c r="B7421" s="33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4"/>
      <c r="N7421" s="33"/>
    </row>
    <row r="7422" ht="24" customHeight="1" spans="2:14">
      <c r="B7422" s="33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4"/>
      <c r="N7422" s="33"/>
    </row>
    <row r="7423" ht="24" customHeight="1" spans="2:14">
      <c r="B7423" s="33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4"/>
      <c r="N7423" s="33"/>
    </row>
    <row r="7424" ht="24" customHeight="1" spans="2:14">
      <c r="B7424" s="33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4"/>
      <c r="N7424" s="33"/>
    </row>
    <row r="7425" ht="24" customHeight="1" spans="2:14">
      <c r="B7425" s="33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4"/>
      <c r="N7425" s="33"/>
    </row>
    <row r="7426" ht="24" customHeight="1" spans="2:14">
      <c r="B7426" s="33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4"/>
      <c r="N7426" s="33"/>
    </row>
    <row r="7427" ht="24" customHeight="1" spans="2:14">
      <c r="B7427" s="33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4"/>
      <c r="N7427" s="33"/>
    </row>
    <row r="7428" ht="24" customHeight="1" spans="2:14">
      <c r="B7428" s="33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4"/>
      <c r="N7428" s="33"/>
    </row>
    <row r="7429" ht="24" customHeight="1" spans="2:14">
      <c r="B7429" s="33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4"/>
      <c r="N7429" s="33"/>
    </row>
    <row r="7430" ht="24" customHeight="1" spans="2:14">
      <c r="B7430" s="33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4"/>
      <c r="N7430" s="33"/>
    </row>
    <row r="7431" ht="24" customHeight="1" spans="2:14">
      <c r="B7431" s="33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4"/>
      <c r="N7431" s="33"/>
    </row>
    <row r="7432" ht="24" customHeight="1" spans="2:14">
      <c r="B7432" s="33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4"/>
      <c r="N7432" s="33"/>
    </row>
    <row r="7433" ht="24" customHeight="1" spans="2:14">
      <c r="B7433" s="33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4"/>
      <c r="N7433" s="33"/>
    </row>
    <row r="7434" ht="24" customHeight="1" spans="2:14">
      <c r="B7434" s="33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4"/>
      <c r="N7434" s="33"/>
    </row>
    <row r="7435" ht="24" customHeight="1" spans="2:14">
      <c r="B7435" s="33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4"/>
      <c r="N7435" s="33"/>
    </row>
    <row r="7436" ht="24" customHeight="1" spans="2:14">
      <c r="B7436" s="33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4"/>
      <c r="N7436" s="33"/>
    </row>
    <row r="7437" ht="24" customHeight="1" spans="2:14">
      <c r="B7437" s="33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4"/>
      <c r="N7437" s="33"/>
    </row>
    <row r="7438" ht="24" customHeight="1" spans="2:14">
      <c r="B7438" s="33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4"/>
      <c r="N7438" s="33"/>
    </row>
    <row r="7439" ht="24" customHeight="1" spans="2:14">
      <c r="B7439" s="33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4"/>
      <c r="N7439" s="33"/>
    </row>
    <row r="7440" ht="24" customHeight="1" spans="2:14">
      <c r="B7440" s="33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4"/>
      <c r="N7440" s="33"/>
    </row>
    <row r="7441" ht="24" customHeight="1" spans="2:14">
      <c r="B7441" s="33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4"/>
      <c r="N7441" s="33"/>
    </row>
    <row r="7442" ht="24" customHeight="1" spans="2:14">
      <c r="B7442" s="33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4"/>
      <c r="N7442" s="33"/>
    </row>
    <row r="7443" ht="24" customHeight="1" spans="2:14">
      <c r="B7443" s="33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4"/>
      <c r="N7443" s="33"/>
    </row>
    <row r="7444" ht="24" customHeight="1" spans="2:14">
      <c r="B7444" s="33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4"/>
      <c r="N7444" s="33"/>
    </row>
    <row r="7445" ht="24" customHeight="1" spans="2:14">
      <c r="B7445" s="33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4"/>
      <c r="N7445" s="33"/>
    </row>
    <row r="7446" ht="24" customHeight="1" spans="2:14">
      <c r="B7446" s="33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4"/>
      <c r="N7446" s="33"/>
    </row>
    <row r="7447" ht="24" customHeight="1" spans="2:14">
      <c r="B7447" s="33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4"/>
      <c r="N7447" s="33"/>
    </row>
    <row r="7448" ht="24" customHeight="1" spans="2:14">
      <c r="B7448" s="33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4"/>
      <c r="N7448" s="33"/>
    </row>
    <row r="7449" ht="24" customHeight="1" spans="2:14">
      <c r="B7449" s="33"/>
      <c r="C7449" s="60"/>
      <c r="D7449" s="60"/>
      <c r="E7449" s="60"/>
      <c r="F7449" s="60"/>
      <c r="G7449" s="60"/>
      <c r="H7449" s="60"/>
      <c r="I7449" s="60"/>
      <c r="J7449" s="60"/>
      <c r="K7449" s="60"/>
      <c r="L7449" s="60"/>
      <c r="M7449" s="64"/>
      <c r="N7449" s="33"/>
    </row>
    <row r="7450" ht="24" customHeight="1" spans="2:14">
      <c r="B7450" s="33"/>
      <c r="C7450" s="60"/>
      <c r="D7450" s="60"/>
      <c r="E7450" s="60"/>
      <c r="F7450" s="60"/>
      <c r="G7450" s="60"/>
      <c r="H7450" s="60"/>
      <c r="I7450" s="60"/>
      <c r="J7450" s="60"/>
      <c r="K7450" s="60"/>
      <c r="L7450" s="60"/>
      <c r="M7450" s="64"/>
      <c r="N7450" s="33"/>
    </row>
    <row r="7451" ht="24" customHeight="1" spans="2:14">
      <c r="B7451" s="33"/>
      <c r="C7451" s="60"/>
      <c r="D7451" s="60"/>
      <c r="E7451" s="60"/>
      <c r="F7451" s="60"/>
      <c r="G7451" s="60"/>
      <c r="H7451" s="60"/>
      <c r="I7451" s="60"/>
      <c r="J7451" s="60"/>
      <c r="K7451" s="60"/>
      <c r="L7451" s="60"/>
      <c r="M7451" s="64"/>
      <c r="N7451" s="33"/>
    </row>
    <row r="7452" ht="24" customHeight="1" spans="2:14">
      <c r="B7452" s="33"/>
      <c r="C7452" s="60"/>
      <c r="D7452" s="60"/>
      <c r="E7452" s="60"/>
      <c r="F7452" s="60"/>
      <c r="G7452" s="60"/>
      <c r="H7452" s="60"/>
      <c r="I7452" s="60"/>
      <c r="J7452" s="60"/>
      <c r="K7452" s="60"/>
      <c r="L7452" s="60"/>
      <c r="M7452" s="64"/>
      <c r="N7452" s="33"/>
    </row>
    <row r="7453" ht="24" customHeight="1" spans="2:14">
      <c r="B7453" s="33"/>
      <c r="C7453" s="60"/>
      <c r="D7453" s="60"/>
      <c r="E7453" s="60"/>
      <c r="F7453" s="60"/>
      <c r="G7453" s="60"/>
      <c r="H7453" s="60"/>
      <c r="I7453" s="60"/>
      <c r="J7453" s="60"/>
      <c r="K7453" s="60"/>
      <c r="L7453" s="60"/>
      <c r="M7453" s="64"/>
      <c r="N7453" s="33"/>
    </row>
    <row r="7454" ht="24" customHeight="1" spans="2:14">
      <c r="B7454" s="33"/>
      <c r="C7454" s="60"/>
      <c r="D7454" s="60"/>
      <c r="E7454" s="60"/>
      <c r="F7454" s="60"/>
      <c r="G7454" s="60"/>
      <c r="H7454" s="60"/>
      <c r="I7454" s="60"/>
      <c r="J7454" s="60"/>
      <c r="K7454" s="60"/>
      <c r="L7454" s="60"/>
      <c r="M7454" s="64"/>
      <c r="N7454" s="33"/>
    </row>
    <row r="7455" ht="24" customHeight="1" spans="2:14">
      <c r="B7455" s="33"/>
      <c r="C7455" s="60"/>
      <c r="D7455" s="60"/>
      <c r="E7455" s="60"/>
      <c r="F7455" s="60"/>
      <c r="G7455" s="60"/>
      <c r="H7455" s="60"/>
      <c r="I7455" s="60"/>
      <c r="J7455" s="60"/>
      <c r="K7455" s="60"/>
      <c r="L7455" s="60"/>
      <c r="M7455" s="64"/>
      <c r="N7455" s="33"/>
    </row>
    <row r="7456" ht="24" customHeight="1" spans="2:14">
      <c r="B7456" s="33"/>
      <c r="C7456" s="60"/>
      <c r="D7456" s="60"/>
      <c r="E7456" s="60"/>
      <c r="F7456" s="60"/>
      <c r="G7456" s="60"/>
      <c r="H7456" s="60"/>
      <c r="I7456" s="60"/>
      <c r="J7456" s="60"/>
      <c r="K7456" s="60"/>
      <c r="L7456" s="60"/>
      <c r="M7456" s="64"/>
      <c r="N7456" s="33"/>
    </row>
    <row r="7457" ht="24" customHeight="1" spans="2:14">
      <c r="B7457" s="33"/>
      <c r="C7457" s="60"/>
      <c r="D7457" s="60"/>
      <c r="E7457" s="60"/>
      <c r="F7457" s="60"/>
      <c r="G7457" s="60"/>
      <c r="H7457" s="60"/>
      <c r="I7457" s="60"/>
      <c r="J7457" s="60"/>
      <c r="K7457" s="60"/>
      <c r="L7457" s="60"/>
      <c r="M7457" s="64"/>
      <c r="N7457" s="33"/>
    </row>
    <row r="7458" ht="24" customHeight="1" spans="2:14">
      <c r="B7458" s="33"/>
      <c r="C7458" s="60"/>
      <c r="D7458" s="60"/>
      <c r="E7458" s="60"/>
      <c r="F7458" s="60"/>
      <c r="G7458" s="60"/>
      <c r="H7458" s="60"/>
      <c r="I7458" s="60"/>
      <c r="J7458" s="60"/>
      <c r="K7458" s="60"/>
      <c r="L7458" s="60"/>
      <c r="M7458" s="64"/>
      <c r="N7458" s="33"/>
    </row>
    <row r="7459" ht="24" customHeight="1" spans="2:14">
      <c r="B7459" s="33"/>
      <c r="C7459" s="60"/>
      <c r="D7459" s="60"/>
      <c r="E7459" s="60"/>
      <c r="F7459" s="60"/>
      <c r="G7459" s="60"/>
      <c r="H7459" s="60"/>
      <c r="I7459" s="60"/>
      <c r="J7459" s="60"/>
      <c r="K7459" s="60"/>
      <c r="L7459" s="60"/>
      <c r="M7459" s="64"/>
      <c r="N7459" s="33"/>
    </row>
    <row r="7460" ht="24" customHeight="1" spans="2:14">
      <c r="B7460" s="33"/>
      <c r="C7460" s="60"/>
      <c r="D7460" s="60"/>
      <c r="E7460" s="60"/>
      <c r="F7460" s="60"/>
      <c r="G7460" s="60"/>
      <c r="H7460" s="60"/>
      <c r="I7460" s="60"/>
      <c r="J7460" s="60"/>
      <c r="K7460" s="60"/>
      <c r="L7460" s="60"/>
      <c r="M7460" s="64"/>
      <c r="N7460" s="33"/>
    </row>
    <row r="7461" ht="24" customHeight="1" spans="2:14">
      <c r="B7461" s="33"/>
      <c r="C7461" s="60"/>
      <c r="D7461" s="60"/>
      <c r="E7461" s="60"/>
      <c r="F7461" s="60"/>
      <c r="G7461" s="60"/>
      <c r="H7461" s="60"/>
      <c r="I7461" s="60"/>
      <c r="J7461" s="60"/>
      <c r="K7461" s="60"/>
      <c r="L7461" s="60"/>
      <c r="M7461" s="64"/>
      <c r="N7461" s="33"/>
    </row>
    <row r="7462" ht="24" customHeight="1" spans="2:14">
      <c r="B7462" s="33"/>
      <c r="C7462" s="60"/>
      <c r="D7462" s="60"/>
      <c r="E7462" s="60"/>
      <c r="F7462" s="60"/>
      <c r="G7462" s="60"/>
      <c r="H7462" s="60"/>
      <c r="I7462" s="60"/>
      <c r="J7462" s="60"/>
      <c r="K7462" s="60"/>
      <c r="L7462" s="60"/>
      <c r="M7462" s="64"/>
      <c r="N7462" s="33"/>
    </row>
    <row r="7463" ht="24" customHeight="1" spans="2:14">
      <c r="B7463" s="33"/>
      <c r="C7463" s="60"/>
      <c r="D7463" s="60"/>
      <c r="E7463" s="60"/>
      <c r="F7463" s="60"/>
      <c r="G7463" s="60"/>
      <c r="H7463" s="60"/>
      <c r="I7463" s="60"/>
      <c r="J7463" s="60"/>
      <c r="K7463" s="60"/>
      <c r="L7463" s="60"/>
      <c r="M7463" s="64"/>
      <c r="N7463" s="33"/>
    </row>
    <row r="7464" ht="24" customHeight="1" spans="2:14">
      <c r="B7464" s="33"/>
      <c r="C7464" s="60"/>
      <c r="D7464" s="60"/>
      <c r="E7464" s="60"/>
      <c r="F7464" s="60"/>
      <c r="G7464" s="60"/>
      <c r="H7464" s="60"/>
      <c r="I7464" s="60"/>
      <c r="J7464" s="60"/>
      <c r="K7464" s="60"/>
      <c r="L7464" s="60"/>
      <c r="M7464" s="64"/>
      <c r="N7464" s="33"/>
    </row>
    <row r="7465" ht="24" customHeight="1" spans="2:14">
      <c r="B7465" s="33"/>
      <c r="C7465" s="60"/>
      <c r="D7465" s="60"/>
      <c r="E7465" s="60"/>
      <c r="F7465" s="60"/>
      <c r="G7465" s="60"/>
      <c r="H7465" s="60"/>
      <c r="I7465" s="60"/>
      <c r="J7465" s="60"/>
      <c r="K7465" s="60"/>
      <c r="L7465" s="60"/>
      <c r="M7465" s="64"/>
      <c r="N7465" s="33"/>
    </row>
    <row r="7466" ht="24" customHeight="1" spans="2:14">
      <c r="B7466" s="33"/>
      <c r="C7466" s="60"/>
      <c r="D7466" s="60"/>
      <c r="E7466" s="60"/>
      <c r="F7466" s="60"/>
      <c r="G7466" s="60"/>
      <c r="H7466" s="60"/>
      <c r="I7466" s="60"/>
      <c r="J7466" s="60"/>
      <c r="K7466" s="60"/>
      <c r="L7466" s="60"/>
      <c r="M7466" s="64"/>
      <c r="N7466" s="33"/>
    </row>
    <row r="7467" ht="24" customHeight="1" spans="2:14">
      <c r="B7467" s="33"/>
      <c r="C7467" s="60"/>
      <c r="D7467" s="60"/>
      <c r="E7467" s="60"/>
      <c r="F7467" s="60"/>
      <c r="G7467" s="60"/>
      <c r="H7467" s="60"/>
      <c r="I7467" s="60"/>
      <c r="J7467" s="60"/>
      <c r="K7467" s="60"/>
      <c r="L7467" s="60"/>
      <c r="M7467" s="64"/>
      <c r="N7467" s="33"/>
    </row>
    <row r="7468" ht="24" customHeight="1" spans="2:14">
      <c r="B7468" s="33"/>
      <c r="C7468" s="60"/>
      <c r="D7468" s="60"/>
      <c r="E7468" s="60"/>
      <c r="F7468" s="60"/>
      <c r="G7468" s="60"/>
      <c r="H7468" s="60"/>
      <c r="I7468" s="60"/>
      <c r="J7468" s="60"/>
      <c r="K7468" s="60"/>
      <c r="L7468" s="60"/>
      <c r="M7468" s="64"/>
      <c r="N7468" s="33"/>
    </row>
    <row r="7469" ht="24" customHeight="1" spans="2:14">
      <c r="B7469" s="33"/>
      <c r="C7469" s="60"/>
      <c r="D7469" s="60"/>
      <c r="E7469" s="60"/>
      <c r="F7469" s="60"/>
      <c r="G7469" s="60"/>
      <c r="H7469" s="60"/>
      <c r="I7469" s="60"/>
      <c r="J7469" s="60"/>
      <c r="K7469" s="60"/>
      <c r="L7469" s="60"/>
      <c r="M7469" s="64"/>
      <c r="N7469" s="33"/>
    </row>
    <row r="7470" ht="24" customHeight="1" spans="2:14">
      <c r="B7470" s="33"/>
      <c r="C7470" s="60"/>
      <c r="D7470" s="60"/>
      <c r="E7470" s="60"/>
      <c r="F7470" s="60"/>
      <c r="G7470" s="60"/>
      <c r="H7470" s="60"/>
      <c r="I7470" s="60"/>
      <c r="J7470" s="60"/>
      <c r="K7470" s="60"/>
      <c r="L7470" s="60"/>
      <c r="M7470" s="64"/>
      <c r="N7470" s="33"/>
    </row>
    <row r="7471" ht="24" customHeight="1" spans="2:14">
      <c r="B7471" s="33"/>
      <c r="C7471" s="60"/>
      <c r="D7471" s="60"/>
      <c r="E7471" s="60"/>
      <c r="F7471" s="60"/>
      <c r="G7471" s="60"/>
      <c r="H7471" s="60"/>
      <c r="I7471" s="60"/>
      <c r="J7471" s="60"/>
      <c r="K7471" s="60"/>
      <c r="L7471" s="60"/>
      <c r="M7471" s="64"/>
      <c r="N7471" s="33"/>
    </row>
    <row r="7472" ht="24" customHeight="1" spans="2:14">
      <c r="B7472" s="33"/>
      <c r="C7472" s="60"/>
      <c r="D7472" s="60"/>
      <c r="E7472" s="60"/>
      <c r="F7472" s="60"/>
      <c r="G7472" s="60"/>
      <c r="H7472" s="60"/>
      <c r="I7472" s="60"/>
      <c r="J7472" s="60"/>
      <c r="K7472" s="60"/>
      <c r="L7472" s="60"/>
      <c r="M7472" s="64"/>
      <c r="N7472" s="33"/>
    </row>
    <row r="7473" ht="24" customHeight="1" spans="2:14">
      <c r="B7473" s="33"/>
      <c r="C7473" s="60"/>
      <c r="D7473" s="60"/>
      <c r="E7473" s="60"/>
      <c r="F7473" s="60"/>
      <c r="G7473" s="60"/>
      <c r="H7473" s="60"/>
      <c r="I7473" s="60"/>
      <c r="J7473" s="60"/>
      <c r="K7473" s="60"/>
      <c r="L7473" s="60"/>
      <c r="M7473" s="64"/>
      <c r="N7473" s="33"/>
    </row>
    <row r="7474" ht="24" customHeight="1" spans="2:14">
      <c r="B7474" s="33"/>
      <c r="C7474" s="60"/>
      <c r="D7474" s="60"/>
      <c r="E7474" s="60"/>
      <c r="F7474" s="60"/>
      <c r="G7474" s="60"/>
      <c r="H7474" s="60"/>
      <c r="I7474" s="60"/>
      <c r="J7474" s="60"/>
      <c r="K7474" s="60"/>
      <c r="L7474" s="60"/>
      <c r="M7474" s="64"/>
      <c r="N7474" s="33"/>
    </row>
    <row r="7475" ht="24" customHeight="1" spans="2:14">
      <c r="B7475" s="33"/>
      <c r="C7475" s="60"/>
      <c r="D7475" s="60"/>
      <c r="E7475" s="60"/>
      <c r="F7475" s="60"/>
      <c r="G7475" s="60"/>
      <c r="H7475" s="60"/>
      <c r="I7475" s="60"/>
      <c r="J7475" s="60"/>
      <c r="K7475" s="60"/>
      <c r="L7475" s="60"/>
      <c r="M7475" s="64"/>
      <c r="N7475" s="33"/>
    </row>
    <row r="7476" ht="24" customHeight="1" spans="2:14">
      <c r="B7476" s="33"/>
      <c r="C7476" s="60"/>
      <c r="D7476" s="60"/>
      <c r="E7476" s="60"/>
      <c r="F7476" s="60"/>
      <c r="G7476" s="60"/>
      <c r="H7476" s="60"/>
      <c r="I7476" s="60"/>
      <c r="J7476" s="60"/>
      <c r="K7476" s="60"/>
      <c r="L7476" s="60"/>
      <c r="M7476" s="64"/>
      <c r="N7476" s="33"/>
    </row>
    <row r="7477" ht="24" customHeight="1" spans="2:14">
      <c r="B7477" s="33"/>
      <c r="C7477" s="60"/>
      <c r="D7477" s="60"/>
      <c r="E7477" s="60"/>
      <c r="F7477" s="60"/>
      <c r="G7477" s="60"/>
      <c r="H7477" s="60"/>
      <c r="I7477" s="60"/>
      <c r="J7477" s="60"/>
      <c r="K7477" s="60"/>
      <c r="L7477" s="60"/>
      <c r="M7477" s="64"/>
      <c r="N7477" s="33"/>
    </row>
    <row r="7478" ht="24" customHeight="1" spans="2:14">
      <c r="B7478" s="33"/>
      <c r="C7478" s="60"/>
      <c r="D7478" s="60"/>
      <c r="E7478" s="60"/>
      <c r="F7478" s="60"/>
      <c r="G7478" s="60"/>
      <c r="H7478" s="60"/>
      <c r="I7478" s="60"/>
      <c r="J7478" s="60"/>
      <c r="K7478" s="60"/>
      <c r="L7478" s="60"/>
      <c r="M7478" s="64"/>
      <c r="N7478" s="33"/>
    </row>
    <row r="7479" ht="24" customHeight="1" spans="2:14">
      <c r="B7479" s="33"/>
      <c r="C7479" s="60"/>
      <c r="D7479" s="60"/>
      <c r="E7479" s="60"/>
      <c r="F7479" s="60"/>
      <c r="G7479" s="60"/>
      <c r="H7479" s="60"/>
      <c r="I7479" s="60"/>
      <c r="J7479" s="60"/>
      <c r="K7479" s="60"/>
      <c r="L7479" s="60"/>
      <c r="M7479" s="64"/>
      <c r="N7479" s="33"/>
    </row>
    <row r="7480" ht="24" customHeight="1" spans="2:14">
      <c r="B7480" s="33"/>
      <c r="C7480" s="60"/>
      <c r="D7480" s="60"/>
      <c r="E7480" s="60"/>
      <c r="F7480" s="60"/>
      <c r="G7480" s="60"/>
      <c r="H7480" s="60"/>
      <c r="I7480" s="60"/>
      <c r="J7480" s="60"/>
      <c r="K7480" s="60"/>
      <c r="L7480" s="60"/>
      <c r="M7480" s="64"/>
      <c r="N7480" s="33"/>
    </row>
    <row r="7481" ht="24" customHeight="1" spans="2:14">
      <c r="B7481" s="33"/>
      <c r="C7481" s="60"/>
      <c r="D7481" s="60"/>
      <c r="E7481" s="60"/>
      <c r="F7481" s="60"/>
      <c r="G7481" s="60"/>
      <c r="H7481" s="60"/>
      <c r="I7481" s="60"/>
      <c r="J7481" s="60"/>
      <c r="K7481" s="60"/>
      <c r="L7481" s="60"/>
      <c r="M7481" s="64"/>
      <c r="N7481" s="33"/>
    </row>
    <row r="7482" ht="24" customHeight="1" spans="2:14">
      <c r="B7482" s="33"/>
      <c r="C7482" s="60"/>
      <c r="D7482" s="60"/>
      <c r="E7482" s="60"/>
      <c r="F7482" s="60"/>
      <c r="G7482" s="60"/>
      <c r="H7482" s="60"/>
      <c r="I7482" s="60"/>
      <c r="J7482" s="60"/>
      <c r="K7482" s="60"/>
      <c r="L7482" s="60"/>
      <c r="M7482" s="64"/>
      <c r="N7482" s="33"/>
    </row>
    <row r="7483" ht="24" customHeight="1" spans="2:14">
      <c r="B7483" s="33"/>
      <c r="C7483" s="60"/>
      <c r="D7483" s="60"/>
      <c r="E7483" s="60"/>
      <c r="F7483" s="60"/>
      <c r="G7483" s="60"/>
      <c r="H7483" s="60"/>
      <c r="I7483" s="60"/>
      <c r="J7483" s="60"/>
      <c r="K7483" s="60"/>
      <c r="L7483" s="60"/>
      <c r="M7483" s="64"/>
      <c r="N7483" s="33"/>
    </row>
    <row r="7484" ht="24" customHeight="1" spans="2:14">
      <c r="B7484" s="33"/>
      <c r="C7484" s="60"/>
      <c r="D7484" s="60"/>
      <c r="E7484" s="60"/>
      <c r="F7484" s="60"/>
      <c r="G7484" s="60"/>
      <c r="H7484" s="60"/>
      <c r="I7484" s="60"/>
      <c r="J7484" s="60"/>
      <c r="K7484" s="60"/>
      <c r="L7484" s="60"/>
      <c r="M7484" s="64"/>
      <c r="N7484" s="33"/>
    </row>
    <row r="7485" ht="24" customHeight="1" spans="2:14">
      <c r="B7485" s="33"/>
      <c r="C7485" s="60"/>
      <c r="D7485" s="60"/>
      <c r="E7485" s="60"/>
      <c r="F7485" s="60"/>
      <c r="G7485" s="60"/>
      <c r="H7485" s="60"/>
      <c r="I7485" s="60"/>
      <c r="J7485" s="60"/>
      <c r="K7485" s="60"/>
      <c r="L7485" s="60"/>
      <c r="M7485" s="64"/>
      <c r="N7485" s="33"/>
    </row>
    <row r="7486" ht="24" customHeight="1" spans="2:14">
      <c r="B7486" s="33"/>
      <c r="C7486" s="60"/>
      <c r="D7486" s="60"/>
      <c r="E7486" s="60"/>
      <c r="F7486" s="60"/>
      <c r="G7486" s="60"/>
      <c r="H7486" s="60"/>
      <c r="I7486" s="60"/>
      <c r="J7486" s="60"/>
      <c r="K7486" s="60"/>
      <c r="L7486" s="60"/>
      <c r="M7486" s="64"/>
      <c r="N7486" s="33"/>
    </row>
    <row r="7487" ht="24" customHeight="1" spans="2:14">
      <c r="B7487" s="33"/>
      <c r="C7487" s="60"/>
      <c r="D7487" s="60"/>
      <c r="E7487" s="60"/>
      <c r="F7487" s="60"/>
      <c r="G7487" s="60"/>
      <c r="H7487" s="60"/>
      <c r="I7487" s="60"/>
      <c r="J7487" s="60"/>
      <c r="K7487" s="60"/>
      <c r="L7487" s="60"/>
      <c r="M7487" s="64"/>
      <c r="N7487" s="33"/>
    </row>
    <row r="7488" ht="24" customHeight="1" spans="2:14">
      <c r="B7488" s="33"/>
      <c r="C7488" s="60"/>
      <c r="D7488" s="60"/>
      <c r="E7488" s="60"/>
      <c r="F7488" s="60"/>
      <c r="G7488" s="60"/>
      <c r="H7488" s="60"/>
      <c r="I7488" s="60"/>
      <c r="J7488" s="60"/>
      <c r="K7488" s="60"/>
      <c r="L7488" s="60"/>
      <c r="M7488" s="64"/>
      <c r="N7488" s="33"/>
    </row>
    <row r="7489" ht="24" customHeight="1" spans="2:14">
      <c r="B7489" s="33"/>
      <c r="C7489" s="60"/>
      <c r="D7489" s="60"/>
      <c r="E7489" s="60"/>
      <c r="F7489" s="60"/>
      <c r="G7489" s="60"/>
      <c r="H7489" s="60"/>
      <c r="I7489" s="60"/>
      <c r="J7489" s="60"/>
      <c r="K7489" s="60"/>
      <c r="L7489" s="60"/>
      <c r="M7489" s="64"/>
      <c r="N7489" s="33"/>
    </row>
    <row r="7490" ht="24" customHeight="1" spans="2:14">
      <c r="B7490" s="33"/>
      <c r="C7490" s="60"/>
      <c r="D7490" s="60"/>
      <c r="E7490" s="60"/>
      <c r="F7490" s="60"/>
      <c r="G7490" s="60"/>
      <c r="H7490" s="60"/>
      <c r="I7490" s="60"/>
      <c r="J7490" s="60"/>
      <c r="K7490" s="60"/>
      <c r="L7490" s="60"/>
      <c r="M7490" s="64"/>
      <c r="N7490" s="33"/>
    </row>
    <row r="7491" ht="24" customHeight="1" spans="2:14">
      <c r="B7491" s="33"/>
      <c r="C7491" s="60"/>
      <c r="D7491" s="60"/>
      <c r="E7491" s="60"/>
      <c r="F7491" s="60"/>
      <c r="G7491" s="60"/>
      <c r="H7491" s="60"/>
      <c r="I7491" s="60"/>
      <c r="J7491" s="60"/>
      <c r="K7491" s="60"/>
      <c r="L7491" s="60"/>
      <c r="M7491" s="64"/>
      <c r="N7491" s="33"/>
    </row>
    <row r="7492" ht="24" customHeight="1" spans="2:14">
      <c r="B7492" s="33"/>
      <c r="C7492" s="60"/>
      <c r="D7492" s="60"/>
      <c r="E7492" s="60"/>
      <c r="F7492" s="60"/>
      <c r="G7492" s="60"/>
      <c r="H7492" s="60"/>
      <c r="I7492" s="60"/>
      <c r="J7492" s="60"/>
      <c r="K7492" s="60"/>
      <c r="L7492" s="60"/>
      <c r="M7492" s="64"/>
      <c r="N7492" s="33"/>
    </row>
    <row r="7493" ht="24" customHeight="1" spans="2:14">
      <c r="B7493" s="33"/>
      <c r="C7493" s="60"/>
      <c r="D7493" s="60"/>
      <c r="E7493" s="60"/>
      <c r="F7493" s="60"/>
      <c r="G7493" s="60"/>
      <c r="H7493" s="60"/>
      <c r="I7493" s="60"/>
      <c r="J7493" s="60"/>
      <c r="K7493" s="60"/>
      <c r="L7493" s="60"/>
      <c r="M7493" s="64"/>
      <c r="N7493" s="33"/>
    </row>
    <row r="7494" ht="24" customHeight="1" spans="2:14">
      <c r="B7494" s="33"/>
      <c r="C7494" s="60"/>
      <c r="D7494" s="60"/>
      <c r="E7494" s="60"/>
      <c r="F7494" s="60"/>
      <c r="G7494" s="60"/>
      <c r="H7494" s="60"/>
      <c r="I7494" s="60"/>
      <c r="J7494" s="60"/>
      <c r="K7494" s="60"/>
      <c r="L7494" s="60"/>
      <c r="M7494" s="64"/>
      <c r="N7494" s="33"/>
    </row>
    <row r="7495" ht="24" customHeight="1" spans="2:14">
      <c r="B7495" s="33"/>
      <c r="C7495" s="60"/>
      <c r="D7495" s="60"/>
      <c r="E7495" s="60"/>
      <c r="F7495" s="60"/>
      <c r="G7495" s="60"/>
      <c r="H7495" s="60"/>
      <c r="I7495" s="60"/>
      <c r="J7495" s="60"/>
      <c r="K7495" s="60"/>
      <c r="L7495" s="60"/>
      <c r="M7495" s="64"/>
      <c r="N7495" s="33"/>
    </row>
    <row r="7496" ht="24" customHeight="1" spans="2:14">
      <c r="B7496" s="33"/>
      <c r="C7496" s="60"/>
      <c r="D7496" s="60"/>
      <c r="E7496" s="60"/>
      <c r="F7496" s="60"/>
      <c r="G7496" s="60"/>
      <c r="H7496" s="60"/>
      <c r="I7496" s="60"/>
      <c r="J7496" s="60"/>
      <c r="K7496" s="60"/>
      <c r="L7496" s="60"/>
      <c r="M7496" s="64"/>
      <c r="N7496" s="33"/>
    </row>
    <row r="7497" ht="24" customHeight="1" spans="2:14">
      <c r="B7497" s="33"/>
      <c r="C7497" s="60"/>
      <c r="D7497" s="60"/>
      <c r="E7497" s="60"/>
      <c r="F7497" s="60"/>
      <c r="G7497" s="60"/>
      <c r="H7497" s="60"/>
      <c r="I7497" s="60"/>
      <c r="J7497" s="60"/>
      <c r="K7497" s="60"/>
      <c r="L7497" s="60"/>
      <c r="M7497" s="64"/>
      <c r="N7497" s="33"/>
    </row>
    <row r="7498" ht="24" customHeight="1" spans="2:14">
      <c r="B7498" s="33"/>
      <c r="C7498" s="60"/>
      <c r="D7498" s="60"/>
      <c r="E7498" s="60"/>
      <c r="F7498" s="60"/>
      <c r="G7498" s="60"/>
      <c r="H7498" s="60"/>
      <c r="I7498" s="60"/>
      <c r="J7498" s="60"/>
      <c r="K7498" s="60"/>
      <c r="L7498" s="60"/>
      <c r="M7498" s="64"/>
      <c r="N7498" s="33"/>
    </row>
    <row r="7499" ht="24" customHeight="1" spans="2:14">
      <c r="B7499" s="33"/>
      <c r="C7499" s="60"/>
      <c r="D7499" s="60"/>
      <c r="E7499" s="60"/>
      <c r="F7499" s="60"/>
      <c r="G7499" s="60"/>
      <c r="H7499" s="60"/>
      <c r="I7499" s="60"/>
      <c r="J7499" s="60"/>
      <c r="K7499" s="60"/>
      <c r="L7499" s="60"/>
      <c r="M7499" s="64"/>
      <c r="N7499" s="33"/>
    </row>
    <row r="7500" ht="24" customHeight="1" spans="2:14">
      <c r="B7500" s="33"/>
      <c r="C7500" s="60"/>
      <c r="D7500" s="60"/>
      <c r="E7500" s="60"/>
      <c r="F7500" s="60"/>
      <c r="G7500" s="60"/>
      <c r="H7500" s="60"/>
      <c r="I7500" s="60"/>
      <c r="J7500" s="60"/>
      <c r="K7500" s="60"/>
      <c r="L7500" s="60"/>
      <c r="M7500" s="64"/>
      <c r="N7500" s="33"/>
    </row>
    <row r="7501" ht="24" customHeight="1" spans="2:14">
      <c r="B7501" s="33"/>
      <c r="C7501" s="60"/>
      <c r="D7501" s="60"/>
      <c r="E7501" s="60"/>
      <c r="F7501" s="60"/>
      <c r="G7501" s="60"/>
      <c r="H7501" s="60"/>
      <c r="I7501" s="60"/>
      <c r="J7501" s="60"/>
      <c r="K7501" s="60"/>
      <c r="L7501" s="60"/>
      <c r="M7501" s="64"/>
      <c r="N7501" s="33"/>
    </row>
    <row r="7502" ht="24" customHeight="1" spans="2:14">
      <c r="B7502" s="33"/>
      <c r="C7502" s="60"/>
      <c r="D7502" s="60"/>
      <c r="E7502" s="60"/>
      <c r="F7502" s="60"/>
      <c r="G7502" s="60"/>
      <c r="H7502" s="60"/>
      <c r="I7502" s="60"/>
      <c r="J7502" s="60"/>
      <c r="K7502" s="60"/>
      <c r="L7502" s="60"/>
      <c r="M7502" s="64"/>
      <c r="N7502" s="33"/>
    </row>
    <row r="7503" ht="24" customHeight="1" spans="2:14">
      <c r="B7503" s="33"/>
      <c r="C7503" s="60"/>
      <c r="D7503" s="60"/>
      <c r="E7503" s="60"/>
      <c r="F7503" s="60"/>
      <c r="G7503" s="60"/>
      <c r="H7503" s="60"/>
      <c r="I7503" s="60"/>
      <c r="J7503" s="60"/>
      <c r="K7503" s="60"/>
      <c r="L7503" s="60"/>
      <c r="M7503" s="64"/>
      <c r="N7503" s="33"/>
    </row>
    <row r="7504" ht="24" customHeight="1" spans="2:14">
      <c r="B7504" s="33"/>
      <c r="C7504" s="60"/>
      <c r="D7504" s="60"/>
      <c r="E7504" s="60"/>
      <c r="F7504" s="60"/>
      <c r="G7504" s="60"/>
      <c r="H7504" s="60"/>
      <c r="I7504" s="60"/>
      <c r="J7504" s="60"/>
      <c r="K7504" s="60"/>
      <c r="L7504" s="60"/>
      <c r="M7504" s="64"/>
      <c r="N7504" s="33"/>
    </row>
    <row r="7505" ht="24" customHeight="1" spans="2:14">
      <c r="B7505" s="33"/>
      <c r="C7505" s="60"/>
      <c r="D7505" s="60"/>
      <c r="E7505" s="60"/>
      <c r="F7505" s="60"/>
      <c r="G7505" s="60"/>
      <c r="H7505" s="60"/>
      <c r="I7505" s="60"/>
      <c r="J7505" s="60"/>
      <c r="K7505" s="60"/>
      <c r="L7505" s="60"/>
      <c r="M7505" s="64"/>
      <c r="N7505" s="33"/>
    </row>
    <row r="7506" ht="24" customHeight="1" spans="2:14">
      <c r="B7506" s="33"/>
      <c r="C7506" s="60"/>
      <c r="D7506" s="60"/>
      <c r="E7506" s="60"/>
      <c r="F7506" s="60"/>
      <c r="G7506" s="60"/>
      <c r="H7506" s="60"/>
      <c r="I7506" s="60"/>
      <c r="J7506" s="60"/>
      <c r="K7506" s="60"/>
      <c r="L7506" s="60"/>
      <c r="M7506" s="64"/>
      <c r="N7506" s="33"/>
    </row>
    <row r="7507" ht="24" customHeight="1" spans="2:14">
      <c r="B7507" s="33"/>
      <c r="C7507" s="60"/>
      <c r="D7507" s="60"/>
      <c r="E7507" s="60"/>
      <c r="F7507" s="60"/>
      <c r="G7507" s="60"/>
      <c r="H7507" s="60"/>
      <c r="I7507" s="60"/>
      <c r="J7507" s="60"/>
      <c r="K7507" s="60"/>
      <c r="L7507" s="60"/>
      <c r="M7507" s="64"/>
      <c r="N7507" s="33"/>
    </row>
    <row r="7508" ht="24" customHeight="1" spans="2:14">
      <c r="B7508" s="33"/>
      <c r="C7508" s="60"/>
      <c r="D7508" s="60"/>
      <c r="E7508" s="60"/>
      <c r="F7508" s="60"/>
      <c r="G7508" s="60"/>
      <c r="H7508" s="60"/>
      <c r="I7508" s="60"/>
      <c r="J7508" s="60"/>
      <c r="K7508" s="60"/>
      <c r="L7508" s="60"/>
      <c r="M7508" s="64"/>
      <c r="N7508" s="33"/>
    </row>
    <row r="7509" ht="24" customHeight="1" spans="2:14">
      <c r="B7509" s="33"/>
      <c r="C7509" s="60"/>
      <c r="D7509" s="60"/>
      <c r="E7509" s="60"/>
      <c r="F7509" s="60"/>
      <c r="G7509" s="60"/>
      <c r="H7509" s="60"/>
      <c r="I7509" s="60"/>
      <c r="J7509" s="60"/>
      <c r="K7509" s="60"/>
      <c r="L7509" s="60"/>
      <c r="M7509" s="64"/>
      <c r="N7509" s="33"/>
    </row>
    <row r="7510" ht="24" customHeight="1" spans="2:14">
      <c r="B7510" s="33"/>
      <c r="C7510" s="60"/>
      <c r="D7510" s="60"/>
      <c r="E7510" s="60"/>
      <c r="F7510" s="60"/>
      <c r="G7510" s="60"/>
      <c r="H7510" s="60"/>
      <c r="I7510" s="60"/>
      <c r="J7510" s="60"/>
      <c r="K7510" s="60"/>
      <c r="L7510" s="60"/>
      <c r="M7510" s="64"/>
      <c r="N7510" s="33"/>
    </row>
    <row r="7511" ht="24" customHeight="1" spans="2:14">
      <c r="B7511" s="33"/>
      <c r="C7511" s="60"/>
      <c r="D7511" s="60"/>
      <c r="E7511" s="60"/>
      <c r="F7511" s="60"/>
      <c r="G7511" s="60"/>
      <c r="H7511" s="60"/>
      <c r="I7511" s="60"/>
      <c r="J7511" s="60"/>
      <c r="K7511" s="60"/>
      <c r="L7511" s="60"/>
      <c r="M7511" s="64"/>
      <c r="N7511" s="33"/>
    </row>
    <row r="7512" ht="24" customHeight="1" spans="2:14">
      <c r="B7512" s="33"/>
      <c r="C7512" s="60"/>
      <c r="D7512" s="60"/>
      <c r="E7512" s="60"/>
      <c r="F7512" s="60"/>
      <c r="G7512" s="60"/>
      <c r="H7512" s="60"/>
      <c r="I7512" s="60"/>
      <c r="J7512" s="60"/>
      <c r="K7512" s="60"/>
      <c r="L7512" s="60"/>
      <c r="M7512" s="64"/>
      <c r="N7512" s="33"/>
    </row>
    <row r="7513" ht="24" customHeight="1" spans="2:14">
      <c r="B7513" s="33"/>
      <c r="C7513" s="60"/>
      <c r="D7513" s="60"/>
      <c r="E7513" s="60"/>
      <c r="F7513" s="60"/>
      <c r="G7513" s="60"/>
      <c r="H7513" s="60"/>
      <c r="I7513" s="60"/>
      <c r="J7513" s="60"/>
      <c r="K7513" s="60"/>
      <c r="L7513" s="60"/>
      <c r="M7513" s="64"/>
      <c r="N7513" s="33"/>
    </row>
    <row r="7514" ht="24" customHeight="1" spans="2:14">
      <c r="B7514" s="33"/>
      <c r="C7514" s="60"/>
      <c r="D7514" s="60"/>
      <c r="E7514" s="60"/>
      <c r="F7514" s="60"/>
      <c r="G7514" s="60"/>
      <c r="H7514" s="60"/>
      <c r="I7514" s="60"/>
      <c r="J7514" s="60"/>
      <c r="K7514" s="60"/>
      <c r="L7514" s="60"/>
      <c r="M7514" s="64"/>
      <c r="N7514" s="33"/>
    </row>
    <row r="7515" ht="24" customHeight="1" spans="2:14">
      <c r="B7515" s="33"/>
      <c r="C7515" s="60"/>
      <c r="D7515" s="60"/>
      <c r="E7515" s="60"/>
      <c r="F7515" s="60"/>
      <c r="G7515" s="60"/>
      <c r="H7515" s="60"/>
      <c r="I7515" s="60"/>
      <c r="J7515" s="60"/>
      <c r="K7515" s="60"/>
      <c r="L7515" s="60"/>
      <c r="M7515" s="64"/>
      <c r="N7515" s="33"/>
    </row>
    <row r="7516" ht="24" customHeight="1" spans="2:14">
      <c r="B7516" s="33"/>
      <c r="C7516" s="60"/>
      <c r="D7516" s="60"/>
      <c r="E7516" s="60"/>
      <c r="F7516" s="60"/>
      <c r="G7516" s="60"/>
      <c r="H7516" s="60"/>
      <c r="I7516" s="60"/>
      <c r="J7516" s="60"/>
      <c r="K7516" s="60"/>
      <c r="L7516" s="60"/>
      <c r="M7516" s="64"/>
      <c r="N7516" s="33"/>
    </row>
    <row r="7517" ht="24" customHeight="1" spans="2:14">
      <c r="B7517" s="33"/>
      <c r="C7517" s="60"/>
      <c r="D7517" s="60"/>
      <c r="E7517" s="60"/>
      <c r="F7517" s="60"/>
      <c r="G7517" s="60"/>
      <c r="H7517" s="60"/>
      <c r="I7517" s="60"/>
      <c r="J7517" s="60"/>
      <c r="K7517" s="60"/>
      <c r="L7517" s="60"/>
      <c r="M7517" s="64"/>
      <c r="N7517" s="33"/>
    </row>
    <row r="7518" ht="24" customHeight="1" spans="2:14">
      <c r="B7518" s="33"/>
      <c r="C7518" s="60"/>
      <c r="D7518" s="60"/>
      <c r="E7518" s="60"/>
      <c r="F7518" s="60"/>
      <c r="G7518" s="60"/>
      <c r="H7518" s="60"/>
      <c r="I7518" s="60"/>
      <c r="J7518" s="60"/>
      <c r="K7518" s="60"/>
      <c r="L7518" s="60"/>
      <c r="M7518" s="64"/>
      <c r="N7518" s="33"/>
    </row>
    <row r="7519" ht="24" customHeight="1" spans="2:14">
      <c r="B7519" s="33"/>
      <c r="C7519" s="60"/>
      <c r="D7519" s="60"/>
      <c r="E7519" s="60"/>
      <c r="F7519" s="60"/>
      <c r="G7519" s="60"/>
      <c r="H7519" s="60"/>
      <c r="I7519" s="60"/>
      <c r="J7519" s="60"/>
      <c r="K7519" s="60"/>
      <c r="L7519" s="60"/>
      <c r="M7519" s="64"/>
      <c r="N7519" s="33"/>
    </row>
    <row r="7520" ht="24" customHeight="1" spans="2:14">
      <c r="B7520" s="33"/>
      <c r="C7520" s="60"/>
      <c r="D7520" s="60"/>
      <c r="E7520" s="60"/>
      <c r="F7520" s="60"/>
      <c r="G7520" s="60"/>
      <c r="H7520" s="60"/>
      <c r="I7520" s="60"/>
      <c r="J7520" s="60"/>
      <c r="K7520" s="60"/>
      <c r="L7520" s="60"/>
      <c r="M7520" s="64"/>
      <c r="N7520" s="33"/>
    </row>
    <row r="7521" ht="24" customHeight="1" spans="2:14">
      <c r="B7521" s="33"/>
      <c r="C7521" s="60"/>
      <c r="D7521" s="60"/>
      <c r="E7521" s="60"/>
      <c r="F7521" s="60"/>
      <c r="G7521" s="60"/>
      <c r="H7521" s="60"/>
      <c r="I7521" s="60"/>
      <c r="J7521" s="60"/>
      <c r="K7521" s="60"/>
      <c r="L7521" s="60"/>
      <c r="M7521" s="64"/>
      <c r="N7521" s="33"/>
    </row>
    <row r="7522" ht="24" customHeight="1" spans="2:14">
      <c r="B7522" s="33"/>
      <c r="C7522" s="60"/>
      <c r="D7522" s="60"/>
      <c r="E7522" s="60"/>
      <c r="F7522" s="60"/>
      <c r="G7522" s="60"/>
      <c r="H7522" s="60"/>
      <c r="I7522" s="60"/>
      <c r="J7522" s="60"/>
      <c r="K7522" s="60"/>
      <c r="L7522" s="60"/>
      <c r="M7522" s="64"/>
      <c r="N7522" s="33"/>
    </row>
    <row r="7523" ht="24" customHeight="1" spans="2:14">
      <c r="B7523" s="33"/>
      <c r="C7523" s="60"/>
      <c r="D7523" s="60"/>
      <c r="E7523" s="60"/>
      <c r="F7523" s="60"/>
      <c r="G7523" s="60"/>
      <c r="H7523" s="60"/>
      <c r="I7523" s="60"/>
      <c r="J7523" s="60"/>
      <c r="K7523" s="60"/>
      <c r="L7523" s="60"/>
      <c r="M7523" s="64"/>
      <c r="N7523" s="33"/>
    </row>
    <row r="7524" ht="24" customHeight="1" spans="2:14">
      <c r="B7524" s="33"/>
      <c r="C7524" s="60"/>
      <c r="D7524" s="60"/>
      <c r="E7524" s="60"/>
      <c r="F7524" s="60"/>
      <c r="G7524" s="60"/>
      <c r="H7524" s="60"/>
      <c r="I7524" s="60"/>
      <c r="J7524" s="60"/>
      <c r="K7524" s="60"/>
      <c r="L7524" s="60"/>
      <c r="M7524" s="64"/>
      <c r="N7524" s="33"/>
    </row>
    <row r="7525" ht="24" customHeight="1" spans="2:14">
      <c r="B7525" s="33"/>
      <c r="C7525" s="60"/>
      <c r="D7525" s="60"/>
      <c r="E7525" s="60"/>
      <c r="F7525" s="60"/>
      <c r="G7525" s="60"/>
      <c r="H7525" s="60"/>
      <c r="I7525" s="60"/>
      <c r="J7525" s="60"/>
      <c r="K7525" s="60"/>
      <c r="L7525" s="60"/>
      <c r="M7525" s="64"/>
      <c r="N7525" s="33"/>
    </row>
    <row r="7526" ht="24" customHeight="1" spans="2:14">
      <c r="B7526" s="33"/>
      <c r="C7526" s="60"/>
      <c r="D7526" s="60"/>
      <c r="E7526" s="60"/>
      <c r="F7526" s="60"/>
      <c r="G7526" s="60"/>
      <c r="H7526" s="60"/>
      <c r="I7526" s="60"/>
      <c r="J7526" s="60"/>
      <c r="K7526" s="60"/>
      <c r="L7526" s="60"/>
      <c r="M7526" s="64"/>
      <c r="N7526" s="33"/>
    </row>
    <row r="7527" ht="24" customHeight="1" spans="2:14">
      <c r="B7527" s="33"/>
      <c r="C7527" s="60"/>
      <c r="D7527" s="60"/>
      <c r="E7527" s="60"/>
      <c r="F7527" s="60"/>
      <c r="G7527" s="60"/>
      <c r="H7527" s="60"/>
      <c r="I7527" s="60"/>
      <c r="J7527" s="60"/>
      <c r="K7527" s="60"/>
      <c r="L7527" s="60"/>
      <c r="M7527" s="64"/>
      <c r="N7527" s="33"/>
    </row>
    <row r="7528" ht="24" customHeight="1" spans="2:14">
      <c r="B7528" s="33"/>
      <c r="C7528" s="60"/>
      <c r="D7528" s="60"/>
      <c r="E7528" s="60"/>
      <c r="F7528" s="60"/>
      <c r="G7528" s="60"/>
      <c r="H7528" s="60"/>
      <c r="I7528" s="60"/>
      <c r="J7528" s="60"/>
      <c r="K7528" s="60"/>
      <c r="L7528" s="60"/>
      <c r="M7528" s="64"/>
      <c r="N7528" s="33"/>
    </row>
    <row r="7529" ht="24" customHeight="1" spans="2:14">
      <c r="B7529" s="33"/>
      <c r="C7529" s="60"/>
      <c r="D7529" s="60"/>
      <c r="E7529" s="60"/>
      <c r="F7529" s="60"/>
      <c r="G7529" s="60"/>
      <c r="H7529" s="60"/>
      <c r="I7529" s="60"/>
      <c r="J7529" s="60"/>
      <c r="K7529" s="60"/>
      <c r="L7529" s="60"/>
      <c r="M7529" s="64"/>
      <c r="N7529" s="33"/>
    </row>
    <row r="7530" ht="24" customHeight="1" spans="2:14">
      <c r="B7530" s="33"/>
      <c r="C7530" s="60"/>
      <c r="D7530" s="60"/>
      <c r="E7530" s="60"/>
      <c r="F7530" s="60"/>
      <c r="G7530" s="60"/>
      <c r="H7530" s="60"/>
      <c r="I7530" s="60"/>
      <c r="J7530" s="60"/>
      <c r="K7530" s="60"/>
      <c r="L7530" s="60"/>
      <c r="M7530" s="64"/>
      <c r="N7530" s="33"/>
    </row>
    <row r="7531" ht="24" customHeight="1" spans="2:14">
      <c r="B7531" s="33"/>
      <c r="C7531" s="60"/>
      <c r="D7531" s="60"/>
      <c r="E7531" s="60"/>
      <c r="F7531" s="60"/>
      <c r="G7531" s="60"/>
      <c r="H7531" s="60"/>
      <c r="I7531" s="60"/>
      <c r="J7531" s="60"/>
      <c r="K7531" s="60"/>
      <c r="L7531" s="60"/>
      <c r="M7531" s="64"/>
      <c r="N7531" s="33"/>
    </row>
    <row r="7532" ht="24" customHeight="1" spans="2:14">
      <c r="B7532" s="33"/>
      <c r="C7532" s="60"/>
      <c r="D7532" s="60"/>
      <c r="E7532" s="60"/>
      <c r="F7532" s="60"/>
      <c r="G7532" s="60"/>
      <c r="H7532" s="60"/>
      <c r="I7532" s="60"/>
      <c r="J7532" s="60"/>
      <c r="K7532" s="60"/>
      <c r="L7532" s="60"/>
      <c r="M7532" s="64"/>
      <c r="N7532" s="33"/>
    </row>
    <row r="7533" ht="24" customHeight="1" spans="2:14">
      <c r="B7533" s="33"/>
      <c r="C7533" s="60"/>
      <c r="D7533" s="60"/>
      <c r="E7533" s="60"/>
      <c r="F7533" s="60"/>
      <c r="G7533" s="60"/>
      <c r="H7533" s="60"/>
      <c r="I7533" s="60"/>
      <c r="J7533" s="60"/>
      <c r="K7533" s="60"/>
      <c r="L7533" s="60"/>
      <c r="M7533" s="64"/>
      <c r="N7533" s="33"/>
    </row>
    <row r="7534" ht="24" customHeight="1" spans="2:14">
      <c r="B7534" s="33"/>
      <c r="C7534" s="60"/>
      <c r="D7534" s="60"/>
      <c r="E7534" s="60"/>
      <c r="F7534" s="60"/>
      <c r="G7534" s="60"/>
      <c r="H7534" s="60"/>
      <c r="I7534" s="60"/>
      <c r="J7534" s="60"/>
      <c r="K7534" s="60"/>
      <c r="L7534" s="60"/>
      <c r="M7534" s="64"/>
      <c r="N7534" s="33"/>
    </row>
    <row r="7535" ht="24" customHeight="1" spans="2:14">
      <c r="B7535" s="33"/>
      <c r="C7535" s="60"/>
      <c r="D7535" s="60"/>
      <c r="E7535" s="60"/>
      <c r="F7535" s="60"/>
      <c r="G7535" s="60"/>
      <c r="H7535" s="60"/>
      <c r="I7535" s="60"/>
      <c r="J7535" s="60"/>
      <c r="K7535" s="60"/>
      <c r="L7535" s="60"/>
      <c r="M7535" s="64"/>
      <c r="N7535" s="33"/>
    </row>
    <row r="7536" ht="24" customHeight="1" spans="2:14">
      <c r="B7536" s="33"/>
      <c r="C7536" s="60"/>
      <c r="D7536" s="60"/>
      <c r="E7536" s="60"/>
      <c r="F7536" s="60"/>
      <c r="G7536" s="60"/>
      <c r="H7536" s="60"/>
      <c r="I7536" s="60"/>
      <c r="J7536" s="60"/>
      <c r="K7536" s="60"/>
      <c r="L7536" s="60"/>
      <c r="M7536" s="64"/>
      <c r="N7536" s="33"/>
    </row>
    <row r="7537" ht="24" customHeight="1" spans="2:14">
      <c r="B7537" s="33"/>
      <c r="C7537" s="60"/>
      <c r="D7537" s="60"/>
      <c r="E7537" s="60"/>
      <c r="F7537" s="60"/>
      <c r="G7537" s="60"/>
      <c r="H7537" s="60"/>
      <c r="I7537" s="60"/>
      <c r="J7537" s="60"/>
      <c r="K7537" s="60"/>
      <c r="L7537" s="60"/>
      <c r="M7537" s="64"/>
      <c r="N7537" s="33"/>
    </row>
    <row r="7538" ht="24" customHeight="1" spans="2:14">
      <c r="B7538" s="33"/>
      <c r="C7538" s="60"/>
      <c r="D7538" s="60"/>
      <c r="E7538" s="60"/>
      <c r="F7538" s="60"/>
      <c r="G7538" s="60"/>
      <c r="H7538" s="60"/>
      <c r="I7538" s="60"/>
      <c r="J7538" s="60"/>
      <c r="K7538" s="60"/>
      <c r="L7538" s="60"/>
      <c r="M7538" s="64"/>
      <c r="N7538" s="33"/>
    </row>
    <row r="7539" ht="24" customHeight="1" spans="2:14">
      <c r="B7539" s="33"/>
      <c r="C7539" s="60"/>
      <c r="D7539" s="60"/>
      <c r="E7539" s="60"/>
      <c r="F7539" s="60"/>
      <c r="G7539" s="60"/>
      <c r="H7539" s="60"/>
      <c r="I7539" s="60"/>
      <c r="J7539" s="60"/>
      <c r="K7539" s="60"/>
      <c r="L7539" s="60"/>
      <c r="M7539" s="64"/>
      <c r="N7539" s="33"/>
    </row>
    <row r="7540" ht="24" customHeight="1" spans="2:14">
      <c r="B7540" s="33"/>
      <c r="C7540" s="60"/>
      <c r="D7540" s="60"/>
      <c r="E7540" s="60"/>
      <c r="F7540" s="60"/>
      <c r="G7540" s="60"/>
      <c r="H7540" s="60"/>
      <c r="I7540" s="60"/>
      <c r="J7540" s="60"/>
      <c r="K7540" s="60"/>
      <c r="L7540" s="60"/>
      <c r="M7540" s="64"/>
      <c r="N7540" s="33"/>
    </row>
    <row r="7541" ht="24" customHeight="1" spans="2:14">
      <c r="B7541" s="33"/>
      <c r="C7541" s="60"/>
      <c r="D7541" s="60"/>
      <c r="E7541" s="60"/>
      <c r="F7541" s="60"/>
      <c r="G7541" s="60"/>
      <c r="H7541" s="60"/>
      <c r="I7541" s="60"/>
      <c r="J7541" s="60"/>
      <c r="K7541" s="60"/>
      <c r="L7541" s="60"/>
      <c r="M7541" s="64"/>
      <c r="N7541" s="33"/>
    </row>
    <row r="7542" ht="24" customHeight="1" spans="2:14">
      <c r="B7542" s="33"/>
      <c r="C7542" s="60"/>
      <c r="D7542" s="60"/>
      <c r="E7542" s="60"/>
      <c r="F7542" s="60"/>
      <c r="G7542" s="60"/>
      <c r="H7542" s="60"/>
      <c r="I7542" s="60"/>
      <c r="J7542" s="60"/>
      <c r="K7542" s="60"/>
      <c r="L7542" s="60"/>
      <c r="M7542" s="64"/>
      <c r="N7542" s="33"/>
    </row>
    <row r="7543" ht="24" customHeight="1" spans="2:14">
      <c r="B7543" s="33"/>
      <c r="C7543" s="60"/>
      <c r="D7543" s="60"/>
      <c r="E7543" s="60"/>
      <c r="F7543" s="60"/>
      <c r="G7543" s="60"/>
      <c r="H7543" s="60"/>
      <c r="I7543" s="60"/>
      <c r="J7543" s="60"/>
      <c r="K7543" s="60"/>
      <c r="L7543" s="60"/>
      <c r="M7543" s="64"/>
      <c r="N7543" s="33"/>
    </row>
    <row r="7544" ht="24" customHeight="1" spans="2:14">
      <c r="B7544" s="33"/>
      <c r="C7544" s="60"/>
      <c r="D7544" s="60"/>
      <c r="E7544" s="60"/>
      <c r="F7544" s="60"/>
      <c r="G7544" s="60"/>
      <c r="H7544" s="60"/>
      <c r="I7544" s="60"/>
      <c r="J7544" s="60"/>
      <c r="K7544" s="60"/>
      <c r="L7544" s="60"/>
      <c r="M7544" s="64"/>
      <c r="N7544" s="33"/>
    </row>
    <row r="7545" ht="24" customHeight="1" spans="2:14">
      <c r="B7545" s="33"/>
      <c r="C7545" s="60"/>
      <c r="D7545" s="60"/>
      <c r="E7545" s="60"/>
      <c r="F7545" s="60"/>
      <c r="G7545" s="60"/>
      <c r="H7545" s="60"/>
      <c r="I7545" s="60"/>
      <c r="J7545" s="60"/>
      <c r="K7545" s="60"/>
      <c r="L7545" s="60"/>
      <c r="M7545" s="64"/>
      <c r="N7545" s="33"/>
    </row>
    <row r="7546" ht="24" customHeight="1" spans="2:14">
      <c r="B7546" s="33"/>
      <c r="C7546" s="60"/>
      <c r="D7546" s="60"/>
      <c r="E7546" s="60"/>
      <c r="F7546" s="60"/>
      <c r="G7546" s="60"/>
      <c r="H7546" s="60"/>
      <c r="I7546" s="60"/>
      <c r="J7546" s="60"/>
      <c r="K7546" s="60"/>
      <c r="L7546" s="60"/>
      <c r="M7546" s="64"/>
      <c r="N7546" s="33"/>
    </row>
    <row r="7547" ht="24" customHeight="1" spans="2:14">
      <c r="B7547" s="33"/>
      <c r="C7547" s="60"/>
      <c r="D7547" s="60"/>
      <c r="E7547" s="60"/>
      <c r="F7547" s="60"/>
      <c r="G7547" s="60"/>
      <c r="H7547" s="60"/>
      <c r="I7547" s="60"/>
      <c r="J7547" s="60"/>
      <c r="K7547" s="60"/>
      <c r="L7547" s="60"/>
      <c r="M7547" s="64"/>
      <c r="N7547" s="33"/>
    </row>
    <row r="7548" ht="24" customHeight="1" spans="2:14">
      <c r="B7548" s="33"/>
      <c r="C7548" s="60"/>
      <c r="D7548" s="60"/>
      <c r="E7548" s="60"/>
      <c r="F7548" s="60"/>
      <c r="G7548" s="60"/>
      <c r="H7548" s="60"/>
      <c r="I7548" s="60"/>
      <c r="J7548" s="60"/>
      <c r="K7548" s="60"/>
      <c r="L7548" s="60"/>
      <c r="M7548" s="64"/>
      <c r="N7548" s="33"/>
    </row>
    <row r="7549" ht="24" customHeight="1" spans="2:14">
      <c r="B7549" s="33"/>
      <c r="C7549" s="60"/>
      <c r="D7549" s="60"/>
      <c r="E7549" s="60"/>
      <c r="F7549" s="60"/>
      <c r="G7549" s="60"/>
      <c r="H7549" s="60"/>
      <c r="I7549" s="60"/>
      <c r="J7549" s="60"/>
      <c r="K7549" s="60"/>
      <c r="L7549" s="60"/>
      <c r="M7549" s="64"/>
      <c r="N7549" s="33"/>
    </row>
    <row r="7550" ht="24" customHeight="1" spans="2:14">
      <c r="B7550" s="33"/>
      <c r="C7550" s="60"/>
      <c r="D7550" s="60"/>
      <c r="E7550" s="60"/>
      <c r="F7550" s="60"/>
      <c r="G7550" s="60"/>
      <c r="H7550" s="60"/>
      <c r="I7550" s="60"/>
      <c r="J7550" s="60"/>
      <c r="K7550" s="60"/>
      <c r="L7550" s="60"/>
      <c r="M7550" s="64"/>
      <c r="N7550" s="33"/>
    </row>
    <row r="7551" ht="24" customHeight="1" spans="2:14">
      <c r="B7551" s="33"/>
      <c r="C7551" s="60"/>
      <c r="D7551" s="60"/>
      <c r="E7551" s="60"/>
      <c r="F7551" s="60"/>
      <c r="G7551" s="60"/>
      <c r="H7551" s="60"/>
      <c r="I7551" s="60"/>
      <c r="J7551" s="60"/>
      <c r="K7551" s="60"/>
      <c r="L7551" s="60"/>
      <c r="M7551" s="64"/>
      <c r="N7551" s="33"/>
    </row>
    <row r="7552" ht="24" customHeight="1" spans="2:14">
      <c r="B7552" s="33"/>
      <c r="C7552" s="60"/>
      <c r="D7552" s="60"/>
      <c r="E7552" s="60"/>
      <c r="F7552" s="60"/>
      <c r="G7552" s="60"/>
      <c r="H7552" s="60"/>
      <c r="I7552" s="60"/>
      <c r="J7552" s="60"/>
      <c r="K7552" s="60"/>
      <c r="L7552" s="60"/>
      <c r="M7552" s="64"/>
      <c r="N7552" s="33"/>
    </row>
    <row r="7553" ht="24" customHeight="1" spans="2:14">
      <c r="B7553" s="33"/>
      <c r="C7553" s="60"/>
      <c r="D7553" s="60"/>
      <c r="E7553" s="60"/>
      <c r="F7553" s="60"/>
      <c r="G7553" s="60"/>
      <c r="H7553" s="60"/>
      <c r="I7553" s="60"/>
      <c r="J7553" s="60"/>
      <c r="K7553" s="60"/>
      <c r="L7553" s="60"/>
      <c r="M7553" s="64"/>
      <c r="N7553" s="33"/>
    </row>
    <row r="7554" ht="24" customHeight="1" spans="2:14">
      <c r="B7554" s="33"/>
      <c r="C7554" s="60"/>
      <c r="D7554" s="60"/>
      <c r="E7554" s="60"/>
      <c r="F7554" s="60"/>
      <c r="G7554" s="60"/>
      <c r="H7554" s="60"/>
      <c r="I7554" s="60"/>
      <c r="J7554" s="60"/>
      <c r="K7554" s="60"/>
      <c r="L7554" s="60"/>
      <c r="M7554" s="64"/>
      <c r="N7554" s="33"/>
    </row>
    <row r="7555" ht="24" customHeight="1" spans="2:14">
      <c r="B7555" s="33"/>
      <c r="C7555" s="60"/>
      <c r="D7555" s="60"/>
      <c r="E7555" s="60"/>
      <c r="F7555" s="60"/>
      <c r="G7555" s="60"/>
      <c r="H7555" s="60"/>
      <c r="I7555" s="60"/>
      <c r="J7555" s="60"/>
      <c r="K7555" s="60"/>
      <c r="L7555" s="60"/>
      <c r="M7555" s="64"/>
      <c r="N7555" s="33"/>
    </row>
    <row r="7556" ht="24" customHeight="1" spans="2:14">
      <c r="B7556" s="33"/>
      <c r="C7556" s="60"/>
      <c r="D7556" s="60"/>
      <c r="E7556" s="60"/>
      <c r="F7556" s="60"/>
      <c r="G7556" s="60"/>
      <c r="H7556" s="60"/>
      <c r="I7556" s="60"/>
      <c r="J7556" s="60"/>
      <c r="K7556" s="60"/>
      <c r="L7556" s="60"/>
      <c r="M7556" s="64"/>
      <c r="N7556" s="33"/>
    </row>
    <row r="7557" ht="24" customHeight="1" spans="2:14">
      <c r="B7557" s="33"/>
      <c r="C7557" s="60"/>
      <c r="D7557" s="60"/>
      <c r="E7557" s="60"/>
      <c r="F7557" s="60"/>
      <c r="G7557" s="60"/>
      <c r="H7557" s="60"/>
      <c r="I7557" s="60"/>
      <c r="J7557" s="60"/>
      <c r="K7557" s="60"/>
      <c r="L7557" s="60"/>
      <c r="M7557" s="64"/>
      <c r="N7557" s="33"/>
    </row>
    <row r="7558" ht="24" customHeight="1" spans="2:14">
      <c r="B7558" s="33"/>
      <c r="C7558" s="60"/>
      <c r="D7558" s="60"/>
      <c r="E7558" s="60"/>
      <c r="F7558" s="60"/>
      <c r="G7558" s="60"/>
      <c r="H7558" s="60"/>
      <c r="I7558" s="60"/>
      <c r="J7558" s="60"/>
      <c r="K7558" s="60"/>
      <c r="L7558" s="60"/>
      <c r="M7558" s="64"/>
      <c r="N7558" s="33"/>
    </row>
    <row r="7559" ht="24" customHeight="1" spans="2:14">
      <c r="B7559" s="33"/>
      <c r="C7559" s="60"/>
      <c r="D7559" s="60"/>
      <c r="E7559" s="60"/>
      <c r="F7559" s="60"/>
      <c r="G7559" s="60"/>
      <c r="H7559" s="60"/>
      <c r="I7559" s="60"/>
      <c r="J7559" s="60"/>
      <c r="K7559" s="60"/>
      <c r="L7559" s="60"/>
      <c r="M7559" s="64"/>
      <c r="N7559" s="33"/>
    </row>
    <row r="7560" ht="24" customHeight="1" spans="2:14">
      <c r="B7560" s="33"/>
      <c r="C7560" s="60"/>
      <c r="D7560" s="60"/>
      <c r="E7560" s="60"/>
      <c r="F7560" s="60"/>
      <c r="G7560" s="60"/>
      <c r="H7560" s="60"/>
      <c r="I7560" s="60"/>
      <c r="J7560" s="60"/>
      <c r="K7560" s="60"/>
      <c r="L7560" s="60"/>
      <c r="M7560" s="64"/>
      <c r="N7560" s="33"/>
    </row>
    <row r="7561" ht="24" customHeight="1" spans="2:14">
      <c r="B7561" s="33"/>
      <c r="C7561" s="60"/>
      <c r="D7561" s="60"/>
      <c r="E7561" s="60"/>
      <c r="F7561" s="60"/>
      <c r="G7561" s="60"/>
      <c r="H7561" s="60"/>
      <c r="I7561" s="60"/>
      <c r="J7561" s="60"/>
      <c r="K7561" s="60"/>
      <c r="L7561" s="60"/>
      <c r="M7561" s="64"/>
      <c r="N7561" s="33"/>
    </row>
    <row r="7562" ht="24" customHeight="1" spans="2:14">
      <c r="B7562" s="33"/>
      <c r="C7562" s="60"/>
      <c r="D7562" s="60"/>
      <c r="E7562" s="60"/>
      <c r="F7562" s="60"/>
      <c r="G7562" s="60"/>
      <c r="H7562" s="60"/>
      <c r="I7562" s="60"/>
      <c r="J7562" s="60"/>
      <c r="K7562" s="60"/>
      <c r="L7562" s="60"/>
      <c r="M7562" s="64"/>
      <c r="N7562" s="33"/>
    </row>
    <row r="7563" ht="24" customHeight="1" spans="2:14">
      <c r="B7563" s="33"/>
      <c r="C7563" s="60"/>
      <c r="D7563" s="60"/>
      <c r="E7563" s="60"/>
      <c r="F7563" s="60"/>
      <c r="G7563" s="60"/>
      <c r="H7563" s="60"/>
      <c r="I7563" s="60"/>
      <c r="J7563" s="60"/>
      <c r="K7563" s="60"/>
      <c r="L7563" s="60"/>
      <c r="M7563" s="64"/>
      <c r="N7563" s="33"/>
    </row>
    <row r="7564" ht="24" customHeight="1" spans="2:14">
      <c r="B7564" s="33"/>
      <c r="C7564" s="60"/>
      <c r="D7564" s="60"/>
      <c r="E7564" s="60"/>
      <c r="F7564" s="60"/>
      <c r="G7564" s="60"/>
      <c r="H7564" s="60"/>
      <c r="I7564" s="60"/>
      <c r="J7564" s="60"/>
      <c r="K7564" s="60"/>
      <c r="L7564" s="60"/>
      <c r="M7564" s="64"/>
      <c r="N7564" s="33"/>
    </row>
    <row r="7565" ht="24" customHeight="1" spans="2:14">
      <c r="B7565" s="33"/>
      <c r="C7565" s="60"/>
      <c r="D7565" s="60"/>
      <c r="E7565" s="60"/>
      <c r="F7565" s="60"/>
      <c r="G7565" s="60"/>
      <c r="H7565" s="60"/>
      <c r="I7565" s="60"/>
      <c r="J7565" s="60"/>
      <c r="K7565" s="60"/>
      <c r="L7565" s="60"/>
      <c r="M7565" s="64"/>
      <c r="N7565" s="33"/>
    </row>
    <row r="7566" ht="24" customHeight="1" spans="2:14">
      <c r="B7566" s="33"/>
      <c r="C7566" s="60"/>
      <c r="D7566" s="60"/>
      <c r="E7566" s="60"/>
      <c r="F7566" s="60"/>
      <c r="G7566" s="60"/>
      <c r="H7566" s="60"/>
      <c r="I7566" s="60"/>
      <c r="J7566" s="60"/>
      <c r="K7566" s="60"/>
      <c r="L7566" s="60"/>
      <c r="M7566" s="64"/>
      <c r="N7566" s="33"/>
    </row>
    <row r="7567" ht="24" customHeight="1" spans="2:14">
      <c r="B7567" s="33"/>
      <c r="C7567" s="60"/>
      <c r="D7567" s="60"/>
      <c r="E7567" s="60"/>
      <c r="F7567" s="60"/>
      <c r="G7567" s="60"/>
      <c r="H7567" s="60"/>
      <c r="I7567" s="60"/>
      <c r="J7567" s="60"/>
      <c r="K7567" s="60"/>
      <c r="L7567" s="60"/>
      <c r="M7567" s="64"/>
      <c r="N7567" s="33"/>
    </row>
    <row r="7568" ht="24" customHeight="1" spans="2:14">
      <c r="B7568" s="33"/>
      <c r="C7568" s="60"/>
      <c r="D7568" s="60"/>
      <c r="E7568" s="60"/>
      <c r="F7568" s="60"/>
      <c r="G7568" s="60"/>
      <c r="H7568" s="60"/>
      <c r="I7568" s="60"/>
      <c r="J7568" s="60"/>
      <c r="K7568" s="60"/>
      <c r="L7568" s="60"/>
      <c r="M7568" s="64"/>
      <c r="N7568" s="33"/>
    </row>
    <row r="7569" ht="24" customHeight="1" spans="2:14">
      <c r="B7569" s="33"/>
      <c r="C7569" s="60"/>
      <c r="D7569" s="60"/>
      <c r="E7569" s="60"/>
      <c r="F7569" s="60"/>
      <c r="G7569" s="60"/>
      <c r="H7569" s="60"/>
      <c r="I7569" s="60"/>
      <c r="J7569" s="60"/>
      <c r="K7569" s="60"/>
      <c r="L7569" s="60"/>
      <c r="M7569" s="64"/>
      <c r="N7569" s="33"/>
    </row>
    <row r="7570" ht="24" customHeight="1" spans="2:14">
      <c r="B7570" s="33"/>
      <c r="C7570" s="60"/>
      <c r="D7570" s="60"/>
      <c r="E7570" s="60"/>
      <c r="F7570" s="60"/>
      <c r="G7570" s="60"/>
      <c r="H7570" s="60"/>
      <c r="I7570" s="60"/>
      <c r="J7570" s="60"/>
      <c r="K7570" s="60"/>
      <c r="L7570" s="60"/>
      <c r="M7570" s="64"/>
      <c r="N7570" s="33"/>
    </row>
    <row r="7571" ht="24" customHeight="1" spans="2:14">
      <c r="B7571" s="33"/>
      <c r="C7571" s="60"/>
      <c r="D7571" s="60"/>
      <c r="E7571" s="60"/>
      <c r="F7571" s="60"/>
      <c r="G7571" s="60"/>
      <c r="H7571" s="60"/>
      <c r="I7571" s="60"/>
      <c r="J7571" s="60"/>
      <c r="K7571" s="60"/>
      <c r="L7571" s="60"/>
      <c r="M7571" s="64"/>
      <c r="N7571" s="33"/>
    </row>
    <row r="7572" ht="24" customHeight="1" spans="2:14">
      <c r="B7572" s="33"/>
      <c r="C7572" s="60"/>
      <c r="D7572" s="60"/>
      <c r="E7572" s="60"/>
      <c r="F7572" s="60"/>
      <c r="G7572" s="60"/>
      <c r="H7572" s="60"/>
      <c r="I7572" s="60"/>
      <c r="J7572" s="60"/>
      <c r="K7572" s="60"/>
      <c r="L7572" s="60"/>
      <c r="M7572" s="64"/>
      <c r="N7572" s="33"/>
    </row>
    <row r="7573" ht="24" customHeight="1" spans="2:14">
      <c r="B7573" s="33"/>
      <c r="C7573" s="60"/>
      <c r="D7573" s="60"/>
      <c r="E7573" s="60"/>
      <c r="F7573" s="60"/>
      <c r="G7573" s="60"/>
      <c r="H7573" s="60"/>
      <c r="I7573" s="60"/>
      <c r="J7573" s="60"/>
      <c r="K7573" s="60"/>
      <c r="L7573" s="60"/>
      <c r="M7573" s="64"/>
      <c r="N7573" s="33"/>
    </row>
    <row r="7574" ht="24" customHeight="1" spans="2:14">
      <c r="B7574" s="33"/>
      <c r="C7574" s="60"/>
      <c r="D7574" s="60"/>
      <c r="E7574" s="60"/>
      <c r="F7574" s="60"/>
      <c r="G7574" s="60"/>
      <c r="H7574" s="60"/>
      <c r="I7574" s="60"/>
      <c r="J7574" s="60"/>
      <c r="K7574" s="60"/>
      <c r="L7574" s="60"/>
      <c r="M7574" s="64"/>
      <c r="N7574" s="33"/>
    </row>
    <row r="7575" ht="24" customHeight="1" spans="2:14">
      <c r="B7575" s="33"/>
      <c r="C7575" s="60"/>
      <c r="D7575" s="60"/>
      <c r="E7575" s="60"/>
      <c r="F7575" s="60"/>
      <c r="G7575" s="60"/>
      <c r="H7575" s="60"/>
      <c r="I7575" s="60"/>
      <c r="J7575" s="60"/>
      <c r="K7575" s="60"/>
      <c r="L7575" s="60"/>
      <c r="M7575" s="64"/>
      <c r="N7575" s="33"/>
    </row>
    <row r="7576" ht="24" customHeight="1" spans="2:14">
      <c r="B7576" s="33"/>
      <c r="C7576" s="60"/>
      <c r="D7576" s="60"/>
      <c r="E7576" s="60"/>
      <c r="F7576" s="60"/>
      <c r="G7576" s="60"/>
      <c r="H7576" s="60"/>
      <c r="I7576" s="60"/>
      <c r="J7576" s="60"/>
      <c r="K7576" s="60"/>
      <c r="L7576" s="60"/>
      <c r="M7576" s="64"/>
      <c r="N7576" s="33"/>
    </row>
    <row r="7577" ht="24" customHeight="1" spans="2:14">
      <c r="B7577" s="33"/>
      <c r="C7577" s="60"/>
      <c r="D7577" s="60"/>
      <c r="E7577" s="60"/>
      <c r="F7577" s="60"/>
      <c r="G7577" s="60"/>
      <c r="H7577" s="60"/>
      <c r="I7577" s="60"/>
      <c r="J7577" s="60"/>
      <c r="K7577" s="60"/>
      <c r="L7577" s="60"/>
      <c r="M7577" s="64"/>
      <c r="N7577" s="33"/>
    </row>
    <row r="7578" ht="24" customHeight="1" spans="2:14">
      <c r="B7578" s="33"/>
      <c r="C7578" s="60"/>
      <c r="D7578" s="60"/>
      <c r="E7578" s="60"/>
      <c r="F7578" s="60"/>
      <c r="G7578" s="60"/>
      <c r="H7578" s="60"/>
      <c r="I7578" s="60"/>
      <c r="J7578" s="60"/>
      <c r="K7578" s="60"/>
      <c r="L7578" s="60"/>
      <c r="M7578" s="64"/>
      <c r="N7578" s="33"/>
    </row>
    <row r="7579" ht="24" customHeight="1" spans="2:14">
      <c r="B7579" s="33"/>
      <c r="C7579" s="60"/>
      <c r="D7579" s="60"/>
      <c r="E7579" s="60"/>
      <c r="F7579" s="60"/>
      <c r="G7579" s="60"/>
      <c r="H7579" s="60"/>
      <c r="I7579" s="60"/>
      <c r="J7579" s="60"/>
      <c r="K7579" s="60"/>
      <c r="L7579" s="60"/>
      <c r="M7579" s="64"/>
      <c r="N7579" s="33"/>
    </row>
    <row r="7580" ht="24" customHeight="1" spans="2:14">
      <c r="B7580" s="33"/>
      <c r="C7580" s="60"/>
      <c r="D7580" s="60"/>
      <c r="E7580" s="60"/>
      <c r="F7580" s="60"/>
      <c r="G7580" s="60"/>
      <c r="H7580" s="60"/>
      <c r="I7580" s="60"/>
      <c r="J7580" s="60"/>
      <c r="K7580" s="60"/>
      <c r="L7580" s="60"/>
      <c r="M7580" s="64"/>
      <c r="N7580" s="33"/>
    </row>
    <row r="7581" ht="24" customHeight="1" spans="2:14">
      <c r="B7581" s="33"/>
      <c r="C7581" s="60"/>
      <c r="D7581" s="60"/>
      <c r="E7581" s="60"/>
      <c r="F7581" s="60"/>
      <c r="G7581" s="60"/>
      <c r="H7581" s="60"/>
      <c r="I7581" s="60"/>
      <c r="J7581" s="60"/>
      <c r="K7581" s="60"/>
      <c r="L7581" s="60"/>
      <c r="M7581" s="64"/>
      <c r="N7581" s="33"/>
    </row>
    <row r="7582" ht="24" customHeight="1" spans="2:14">
      <c r="B7582" s="33"/>
      <c r="C7582" s="60"/>
      <c r="D7582" s="60"/>
      <c r="E7582" s="60"/>
      <c r="F7582" s="60"/>
      <c r="G7582" s="60"/>
      <c r="H7582" s="60"/>
      <c r="I7582" s="60"/>
      <c r="J7582" s="60"/>
      <c r="K7582" s="60"/>
      <c r="L7582" s="60"/>
      <c r="M7582" s="64"/>
      <c r="N7582" s="33"/>
    </row>
    <row r="7583" ht="24" customHeight="1" spans="2:14">
      <c r="B7583" s="33"/>
      <c r="C7583" s="60"/>
      <c r="D7583" s="60"/>
      <c r="E7583" s="60"/>
      <c r="F7583" s="60"/>
      <c r="G7583" s="60"/>
      <c r="H7583" s="60"/>
      <c r="I7583" s="60"/>
      <c r="J7583" s="60"/>
      <c r="K7583" s="60"/>
      <c r="L7583" s="60"/>
      <c r="M7583" s="64"/>
      <c r="N7583" s="33"/>
    </row>
    <row r="7584" ht="24" customHeight="1" spans="2:14">
      <c r="B7584" s="33"/>
      <c r="C7584" s="60"/>
      <c r="D7584" s="60"/>
      <c r="E7584" s="60"/>
      <c r="F7584" s="60"/>
      <c r="G7584" s="60"/>
      <c r="H7584" s="60"/>
      <c r="I7584" s="60"/>
      <c r="J7584" s="60"/>
      <c r="K7584" s="60"/>
      <c r="L7584" s="60"/>
      <c r="M7584" s="64"/>
      <c r="N7584" s="33"/>
    </row>
    <row r="7585" ht="24" customHeight="1" spans="2:14">
      <c r="B7585" s="33"/>
      <c r="C7585" s="60"/>
      <c r="D7585" s="60"/>
      <c r="E7585" s="60"/>
      <c r="F7585" s="60"/>
      <c r="G7585" s="60"/>
      <c r="H7585" s="60"/>
      <c r="I7585" s="60"/>
      <c r="J7585" s="60"/>
      <c r="K7585" s="60"/>
      <c r="L7585" s="60"/>
      <c r="M7585" s="64"/>
      <c r="N7585" s="33"/>
    </row>
    <row r="7586" ht="24" customHeight="1" spans="2:14">
      <c r="B7586" s="33"/>
      <c r="C7586" s="60"/>
      <c r="D7586" s="60"/>
      <c r="E7586" s="60"/>
      <c r="F7586" s="60"/>
      <c r="G7586" s="60"/>
      <c r="H7586" s="60"/>
      <c r="I7586" s="60"/>
      <c r="J7586" s="60"/>
      <c r="K7586" s="60"/>
      <c r="L7586" s="60"/>
      <c r="M7586" s="64"/>
      <c r="N7586" s="33"/>
    </row>
    <row r="7587" ht="24" customHeight="1" spans="2:14">
      <c r="B7587" s="33"/>
      <c r="C7587" s="60"/>
      <c r="D7587" s="60"/>
      <c r="E7587" s="60"/>
      <c r="F7587" s="60"/>
      <c r="G7587" s="60"/>
      <c r="H7587" s="60"/>
      <c r="I7587" s="60"/>
      <c r="J7587" s="60"/>
      <c r="K7587" s="60"/>
      <c r="L7587" s="60"/>
      <c r="M7587" s="64"/>
      <c r="N7587" s="33"/>
    </row>
    <row r="7588" ht="24" customHeight="1" spans="2:14">
      <c r="B7588" s="33"/>
      <c r="C7588" s="60"/>
      <c r="D7588" s="60"/>
      <c r="E7588" s="60"/>
      <c r="F7588" s="60"/>
      <c r="G7588" s="60"/>
      <c r="H7588" s="60"/>
      <c r="I7588" s="60"/>
      <c r="J7588" s="60"/>
      <c r="K7588" s="60"/>
      <c r="L7588" s="60"/>
      <c r="M7588" s="64"/>
      <c r="N7588" s="33"/>
    </row>
    <row r="7589" ht="24" customHeight="1" spans="2:14">
      <c r="B7589" s="33"/>
      <c r="C7589" s="60"/>
      <c r="D7589" s="60"/>
      <c r="E7589" s="60"/>
      <c r="F7589" s="60"/>
      <c r="G7589" s="60"/>
      <c r="H7589" s="60"/>
      <c r="I7589" s="60"/>
      <c r="J7589" s="60"/>
      <c r="K7589" s="60"/>
      <c r="L7589" s="60"/>
      <c r="M7589" s="64"/>
      <c r="N7589" s="33"/>
    </row>
    <row r="7590" ht="24" customHeight="1" spans="2:14">
      <c r="B7590" s="33"/>
      <c r="C7590" s="60"/>
      <c r="D7590" s="60"/>
      <c r="E7590" s="60"/>
      <c r="F7590" s="60"/>
      <c r="G7590" s="60"/>
      <c r="H7590" s="60"/>
      <c r="I7590" s="60"/>
      <c r="J7590" s="60"/>
      <c r="K7590" s="60"/>
      <c r="L7590" s="60"/>
      <c r="M7590" s="64"/>
      <c r="N7590" s="33"/>
    </row>
    <row r="7591" ht="24" customHeight="1" spans="2:14">
      <c r="B7591" s="33"/>
      <c r="C7591" s="60"/>
      <c r="D7591" s="60"/>
      <c r="E7591" s="60"/>
      <c r="F7591" s="60"/>
      <c r="G7591" s="60"/>
      <c r="H7591" s="60"/>
      <c r="I7591" s="60"/>
      <c r="J7591" s="60"/>
      <c r="K7591" s="60"/>
      <c r="L7591" s="60"/>
      <c r="M7591" s="64"/>
      <c r="N7591" s="33"/>
    </row>
    <row r="7592" ht="24" customHeight="1" spans="2:14">
      <c r="B7592" s="33"/>
      <c r="C7592" s="60"/>
      <c r="D7592" s="60"/>
      <c r="E7592" s="60"/>
      <c r="F7592" s="60"/>
      <c r="G7592" s="60"/>
      <c r="H7592" s="60"/>
      <c r="I7592" s="60"/>
      <c r="J7592" s="60"/>
      <c r="K7592" s="60"/>
      <c r="L7592" s="60"/>
      <c r="M7592" s="64"/>
      <c r="N7592" s="33"/>
    </row>
    <row r="7593" ht="24" customHeight="1" spans="2:14">
      <c r="B7593" s="33"/>
      <c r="C7593" s="60"/>
      <c r="D7593" s="60"/>
      <c r="E7593" s="60"/>
      <c r="F7593" s="60"/>
      <c r="G7593" s="60"/>
      <c r="H7593" s="60"/>
      <c r="I7593" s="60"/>
      <c r="J7593" s="60"/>
      <c r="K7593" s="60"/>
      <c r="L7593" s="60"/>
      <c r="M7593" s="64"/>
      <c r="N7593" s="33"/>
    </row>
    <row r="7594" ht="24" customHeight="1" spans="2:14">
      <c r="B7594" s="33"/>
      <c r="C7594" s="60"/>
      <c r="D7594" s="60"/>
      <c r="E7594" s="60"/>
      <c r="F7594" s="60"/>
      <c r="G7594" s="60"/>
      <c r="H7594" s="60"/>
      <c r="I7594" s="60"/>
      <c r="J7594" s="60"/>
      <c r="K7594" s="60"/>
      <c r="L7594" s="60"/>
      <c r="M7594" s="64"/>
      <c r="N7594" s="33"/>
    </row>
    <row r="7595" ht="24" customHeight="1" spans="2:14">
      <c r="B7595" s="33"/>
      <c r="C7595" s="60"/>
      <c r="D7595" s="60"/>
      <c r="E7595" s="60"/>
      <c r="F7595" s="60"/>
      <c r="G7595" s="60"/>
      <c r="H7595" s="60"/>
      <c r="I7595" s="60"/>
      <c r="J7595" s="60"/>
      <c r="K7595" s="60"/>
      <c r="L7595" s="60"/>
      <c r="M7595" s="64"/>
      <c r="N7595" s="33"/>
    </row>
    <row r="7596" ht="24" customHeight="1" spans="2:14">
      <c r="B7596" s="33"/>
      <c r="C7596" s="60"/>
      <c r="D7596" s="60"/>
      <c r="E7596" s="60"/>
      <c r="F7596" s="60"/>
      <c r="G7596" s="60"/>
      <c r="H7596" s="60"/>
      <c r="I7596" s="60"/>
      <c r="J7596" s="60"/>
      <c r="K7596" s="60"/>
      <c r="L7596" s="60"/>
      <c r="M7596" s="64"/>
      <c r="N7596" s="33"/>
    </row>
    <row r="7597" ht="24" customHeight="1" spans="2:14">
      <c r="B7597" s="33"/>
      <c r="C7597" s="60"/>
      <c r="D7597" s="60"/>
      <c r="E7597" s="60"/>
      <c r="F7597" s="60"/>
      <c r="G7597" s="60"/>
      <c r="H7597" s="60"/>
      <c r="I7597" s="60"/>
      <c r="J7597" s="60"/>
      <c r="K7597" s="60"/>
      <c r="L7597" s="60"/>
      <c r="M7597" s="64"/>
      <c r="N7597" s="33"/>
    </row>
    <row r="7598" ht="24" customHeight="1" spans="2:14">
      <c r="B7598" s="33"/>
      <c r="C7598" s="60"/>
      <c r="D7598" s="60"/>
      <c r="E7598" s="60"/>
      <c r="F7598" s="60"/>
      <c r="G7598" s="60"/>
      <c r="H7598" s="60"/>
      <c r="I7598" s="60"/>
      <c r="J7598" s="60"/>
      <c r="K7598" s="60"/>
      <c r="L7598" s="60"/>
      <c r="M7598" s="64"/>
      <c r="N7598" s="33"/>
    </row>
    <row r="7599" ht="24" customHeight="1" spans="2:14">
      <c r="B7599" s="33"/>
      <c r="C7599" s="60"/>
      <c r="D7599" s="60"/>
      <c r="E7599" s="60"/>
      <c r="F7599" s="60"/>
      <c r="G7599" s="60"/>
      <c r="H7599" s="60"/>
      <c r="I7599" s="60"/>
      <c r="J7599" s="60"/>
      <c r="K7599" s="60"/>
      <c r="L7599" s="60"/>
      <c r="M7599" s="64"/>
      <c r="N7599" s="33"/>
    </row>
    <row r="7600" ht="24" customHeight="1" spans="2:14">
      <c r="B7600" s="33"/>
      <c r="C7600" s="60"/>
      <c r="D7600" s="60"/>
      <c r="E7600" s="60"/>
      <c r="F7600" s="60"/>
      <c r="G7600" s="60"/>
      <c r="H7600" s="60"/>
      <c r="I7600" s="60"/>
      <c r="J7600" s="60"/>
      <c r="K7600" s="60"/>
      <c r="L7600" s="60"/>
      <c r="M7600" s="64"/>
      <c r="N7600" s="33"/>
    </row>
    <row r="7601" ht="24" customHeight="1" spans="2:14">
      <c r="B7601" s="33"/>
      <c r="C7601" s="60"/>
      <c r="D7601" s="60"/>
      <c r="E7601" s="60"/>
      <c r="F7601" s="60"/>
      <c r="G7601" s="60"/>
      <c r="H7601" s="60"/>
      <c r="I7601" s="60"/>
      <c r="J7601" s="60"/>
      <c r="K7601" s="60"/>
      <c r="L7601" s="60"/>
      <c r="M7601" s="64"/>
      <c r="N7601" s="33"/>
    </row>
    <row r="7602" ht="24" customHeight="1" spans="2:14">
      <c r="B7602" s="33"/>
      <c r="C7602" s="60"/>
      <c r="D7602" s="60"/>
      <c r="E7602" s="60"/>
      <c r="F7602" s="60"/>
      <c r="G7602" s="60"/>
      <c r="H7602" s="60"/>
      <c r="I7602" s="60"/>
      <c r="J7602" s="60"/>
      <c r="K7602" s="60"/>
      <c r="L7602" s="60"/>
      <c r="M7602" s="64"/>
      <c r="N7602" s="33"/>
    </row>
    <row r="7603" ht="24" customHeight="1" spans="2:14">
      <c r="B7603" s="33"/>
      <c r="C7603" s="60"/>
      <c r="D7603" s="60"/>
      <c r="E7603" s="60"/>
      <c r="F7603" s="60"/>
      <c r="G7603" s="60"/>
      <c r="H7603" s="60"/>
      <c r="I7603" s="60"/>
      <c r="J7603" s="60"/>
      <c r="K7603" s="60"/>
      <c r="L7603" s="60"/>
      <c r="M7603" s="64"/>
      <c r="N7603" s="33"/>
    </row>
    <row r="7604" ht="24" customHeight="1" spans="2:14">
      <c r="B7604" s="33"/>
      <c r="C7604" s="60"/>
      <c r="D7604" s="60"/>
      <c r="E7604" s="60"/>
      <c r="F7604" s="60"/>
      <c r="G7604" s="60"/>
      <c r="H7604" s="60"/>
      <c r="I7604" s="60"/>
      <c r="J7604" s="60"/>
      <c r="K7604" s="60"/>
      <c r="L7604" s="60"/>
      <c r="M7604" s="64"/>
      <c r="N7604" s="33"/>
    </row>
    <row r="7605" ht="24" customHeight="1" spans="2:14">
      <c r="B7605" s="33"/>
      <c r="C7605" s="60"/>
      <c r="D7605" s="60"/>
      <c r="E7605" s="60"/>
      <c r="F7605" s="60"/>
      <c r="G7605" s="60"/>
      <c r="H7605" s="60"/>
      <c r="I7605" s="60"/>
      <c r="J7605" s="60"/>
      <c r="K7605" s="60"/>
      <c r="L7605" s="60"/>
      <c r="M7605" s="64"/>
      <c r="N7605" s="33"/>
    </row>
    <row r="7606" ht="24" customHeight="1" spans="2:14">
      <c r="B7606" s="33"/>
      <c r="C7606" s="60"/>
      <c r="D7606" s="60"/>
      <c r="E7606" s="60"/>
      <c r="F7606" s="60"/>
      <c r="G7606" s="60"/>
      <c r="H7606" s="60"/>
      <c r="I7606" s="60"/>
      <c r="J7606" s="60"/>
      <c r="K7606" s="60"/>
      <c r="L7606" s="60"/>
      <c r="M7606" s="64"/>
      <c r="N7606" s="33"/>
    </row>
    <row r="7607" ht="24" customHeight="1" spans="2:14">
      <c r="B7607" s="33"/>
      <c r="C7607" s="60"/>
      <c r="D7607" s="60"/>
      <c r="E7607" s="60"/>
      <c r="F7607" s="60"/>
      <c r="G7607" s="60"/>
      <c r="H7607" s="60"/>
      <c r="I7607" s="60"/>
      <c r="J7607" s="60"/>
      <c r="K7607" s="60"/>
      <c r="L7607" s="60"/>
      <c r="M7607" s="64"/>
      <c r="N7607" s="33"/>
    </row>
    <row r="7608" ht="24" customHeight="1" spans="2:14">
      <c r="B7608" s="33"/>
      <c r="C7608" s="60"/>
      <c r="D7608" s="60"/>
      <c r="E7608" s="60"/>
      <c r="F7608" s="60"/>
      <c r="G7608" s="60"/>
      <c r="H7608" s="60"/>
      <c r="I7608" s="60"/>
      <c r="J7608" s="60"/>
      <c r="K7608" s="60"/>
      <c r="L7608" s="60"/>
      <c r="M7608" s="64"/>
      <c r="N7608" s="33"/>
    </row>
    <row r="7609" ht="24" customHeight="1" spans="2:14">
      <c r="B7609" s="33"/>
      <c r="C7609" s="60"/>
      <c r="D7609" s="60"/>
      <c r="E7609" s="60"/>
      <c r="F7609" s="60"/>
      <c r="G7609" s="60"/>
      <c r="H7609" s="60"/>
      <c r="I7609" s="60"/>
      <c r="J7609" s="60"/>
      <c r="K7609" s="60"/>
      <c r="L7609" s="60"/>
      <c r="M7609" s="64"/>
      <c r="N7609" s="33"/>
    </row>
    <row r="7610" ht="24" customHeight="1" spans="2:14">
      <c r="B7610" s="33"/>
      <c r="C7610" s="60"/>
      <c r="D7610" s="60"/>
      <c r="E7610" s="60"/>
      <c r="F7610" s="60"/>
      <c r="G7610" s="60"/>
      <c r="H7610" s="60"/>
      <c r="I7610" s="60"/>
      <c r="J7610" s="60"/>
      <c r="K7610" s="60"/>
      <c r="L7610" s="60"/>
      <c r="M7610" s="64"/>
      <c r="N7610" s="33"/>
    </row>
    <row r="7611" ht="24" customHeight="1" spans="2:14">
      <c r="B7611" s="33"/>
      <c r="C7611" s="60"/>
      <c r="D7611" s="60"/>
      <c r="E7611" s="60"/>
      <c r="F7611" s="60"/>
      <c r="G7611" s="60"/>
      <c r="H7611" s="60"/>
      <c r="I7611" s="60"/>
      <c r="J7611" s="60"/>
      <c r="K7611" s="60"/>
      <c r="L7611" s="60"/>
      <c r="M7611" s="64"/>
      <c r="N7611" s="33"/>
    </row>
    <row r="7612" ht="24" customHeight="1" spans="2:14">
      <c r="B7612" s="33"/>
      <c r="C7612" s="60"/>
      <c r="D7612" s="60"/>
      <c r="E7612" s="60"/>
      <c r="F7612" s="60"/>
      <c r="G7612" s="60"/>
      <c r="H7612" s="60"/>
      <c r="I7612" s="60"/>
      <c r="J7612" s="60"/>
      <c r="K7612" s="60"/>
      <c r="L7612" s="60"/>
      <c r="M7612" s="64"/>
      <c r="N7612" s="33"/>
    </row>
    <row r="7613" ht="24" customHeight="1" spans="2:14">
      <c r="B7613" s="33"/>
      <c r="C7613" s="60"/>
      <c r="D7613" s="60"/>
      <c r="E7613" s="60"/>
      <c r="F7613" s="60"/>
      <c r="G7613" s="60"/>
      <c r="H7613" s="60"/>
      <c r="I7613" s="60"/>
      <c r="J7613" s="60"/>
      <c r="K7613" s="60"/>
      <c r="L7613" s="60"/>
      <c r="M7613" s="64"/>
      <c r="N7613" s="33"/>
    </row>
    <row r="7614" ht="24" customHeight="1" spans="2:14">
      <c r="B7614" s="33"/>
      <c r="C7614" s="60"/>
      <c r="D7614" s="60"/>
      <c r="E7614" s="60"/>
      <c r="F7614" s="60"/>
      <c r="G7614" s="60"/>
      <c r="H7614" s="60"/>
      <c r="I7614" s="60"/>
      <c r="J7614" s="60"/>
      <c r="K7614" s="60"/>
      <c r="L7614" s="60"/>
      <c r="M7614" s="64"/>
      <c r="N7614" s="33"/>
    </row>
    <row r="7615" ht="24" customHeight="1" spans="2:14">
      <c r="B7615" s="33"/>
      <c r="C7615" s="60"/>
      <c r="D7615" s="60"/>
      <c r="E7615" s="60"/>
      <c r="F7615" s="60"/>
      <c r="G7615" s="60"/>
      <c r="H7615" s="60"/>
      <c r="I7615" s="60"/>
      <c r="J7615" s="60"/>
      <c r="K7615" s="60"/>
      <c r="L7615" s="60"/>
      <c r="M7615" s="64"/>
      <c r="N7615" s="33"/>
    </row>
    <row r="7616" ht="24" customHeight="1" spans="2:14">
      <c r="B7616" s="33"/>
      <c r="C7616" s="60"/>
      <c r="D7616" s="60"/>
      <c r="E7616" s="60"/>
      <c r="F7616" s="60"/>
      <c r="G7616" s="60"/>
      <c r="H7616" s="60"/>
      <c r="I7616" s="60"/>
      <c r="J7616" s="60"/>
      <c r="K7616" s="60"/>
      <c r="L7616" s="60"/>
      <c r="M7616" s="64"/>
      <c r="N7616" s="33"/>
    </row>
    <row r="7617" ht="24" customHeight="1" spans="2:14">
      <c r="B7617" s="33"/>
      <c r="C7617" s="60"/>
      <c r="D7617" s="60"/>
      <c r="E7617" s="60"/>
      <c r="F7617" s="60"/>
      <c r="G7617" s="60"/>
      <c r="H7617" s="60"/>
      <c r="I7617" s="60"/>
      <c r="J7617" s="60"/>
      <c r="K7617" s="60"/>
      <c r="L7617" s="60"/>
      <c r="M7617" s="64"/>
      <c r="N7617" s="33"/>
    </row>
    <row r="7618" ht="24" customHeight="1" spans="2:14">
      <c r="B7618" s="33"/>
      <c r="C7618" s="60"/>
      <c r="D7618" s="60"/>
      <c r="E7618" s="60"/>
      <c r="F7618" s="60"/>
      <c r="G7618" s="60"/>
      <c r="H7618" s="60"/>
      <c r="I7618" s="60"/>
      <c r="J7618" s="60"/>
      <c r="K7618" s="60"/>
      <c r="L7618" s="60"/>
      <c r="M7618" s="64"/>
      <c r="N7618" s="33"/>
    </row>
    <row r="7619" ht="24" customHeight="1" spans="2:14">
      <c r="B7619" s="33"/>
      <c r="C7619" s="60"/>
      <c r="D7619" s="60"/>
      <c r="E7619" s="60"/>
      <c r="F7619" s="60"/>
      <c r="G7619" s="60"/>
      <c r="H7619" s="60"/>
      <c r="I7619" s="60"/>
      <c r="J7619" s="60"/>
      <c r="K7619" s="60"/>
      <c r="L7619" s="60"/>
      <c r="M7619" s="64"/>
      <c r="N7619" s="33"/>
    </row>
    <row r="7620" ht="24" customHeight="1" spans="2:14">
      <c r="B7620" s="33"/>
      <c r="C7620" s="60"/>
      <c r="D7620" s="60"/>
      <c r="E7620" s="60"/>
      <c r="F7620" s="60"/>
      <c r="G7620" s="60"/>
      <c r="H7620" s="60"/>
      <c r="I7620" s="60"/>
      <c r="J7620" s="60"/>
      <c r="K7620" s="60"/>
      <c r="L7620" s="60"/>
      <c r="M7620" s="64"/>
      <c r="N7620" s="33"/>
    </row>
    <row r="7621" ht="24" customHeight="1" spans="2:14">
      <c r="B7621" s="33"/>
      <c r="C7621" s="60"/>
      <c r="D7621" s="60"/>
      <c r="E7621" s="60"/>
      <c r="F7621" s="60"/>
      <c r="G7621" s="60"/>
      <c r="H7621" s="60"/>
      <c r="I7621" s="60"/>
      <c r="J7621" s="60"/>
      <c r="K7621" s="60"/>
      <c r="L7621" s="60"/>
      <c r="M7621" s="64"/>
      <c r="N7621" s="33"/>
    </row>
    <row r="7622" ht="24" customHeight="1" spans="2:14">
      <c r="B7622" s="33"/>
      <c r="C7622" s="60"/>
      <c r="D7622" s="60"/>
      <c r="E7622" s="60"/>
      <c r="F7622" s="60"/>
      <c r="G7622" s="60"/>
      <c r="H7622" s="60"/>
      <c r="I7622" s="60"/>
      <c r="J7622" s="60"/>
      <c r="K7622" s="60"/>
      <c r="L7622" s="60"/>
      <c r="M7622" s="64"/>
      <c r="N7622" s="33"/>
    </row>
    <row r="7623" ht="24" customHeight="1" spans="2:14">
      <c r="B7623" s="33"/>
      <c r="C7623" s="60"/>
      <c r="D7623" s="60"/>
      <c r="E7623" s="60"/>
      <c r="F7623" s="60"/>
      <c r="G7623" s="60"/>
      <c r="H7623" s="60"/>
      <c r="I7623" s="60"/>
      <c r="J7623" s="60"/>
      <c r="K7623" s="60"/>
      <c r="L7623" s="60"/>
      <c r="M7623" s="64"/>
      <c r="N7623" s="33"/>
    </row>
    <row r="7624" ht="24" customHeight="1" spans="2:14">
      <c r="B7624" s="33"/>
      <c r="C7624" s="60"/>
      <c r="D7624" s="60"/>
      <c r="E7624" s="60"/>
      <c r="F7624" s="60"/>
      <c r="G7624" s="60"/>
      <c r="H7624" s="60"/>
      <c r="I7624" s="60"/>
      <c r="J7624" s="60"/>
      <c r="K7624" s="60"/>
      <c r="L7624" s="60"/>
      <c r="M7624" s="64"/>
      <c r="N7624" s="33"/>
    </row>
    <row r="7625" ht="24" customHeight="1" spans="2:14">
      <c r="B7625" s="33"/>
      <c r="C7625" s="60"/>
      <c r="D7625" s="60"/>
      <c r="E7625" s="60"/>
      <c r="F7625" s="60"/>
      <c r="G7625" s="60"/>
      <c r="H7625" s="60"/>
      <c r="I7625" s="60"/>
      <c r="J7625" s="60"/>
      <c r="K7625" s="60"/>
      <c r="L7625" s="60"/>
      <c r="M7625" s="64"/>
      <c r="N7625" s="33"/>
    </row>
    <row r="7626" ht="24" customHeight="1" spans="2:14">
      <c r="B7626" s="33"/>
      <c r="C7626" s="60"/>
      <c r="D7626" s="60"/>
      <c r="E7626" s="60"/>
      <c r="F7626" s="60"/>
      <c r="G7626" s="60"/>
      <c r="H7626" s="60"/>
      <c r="I7626" s="60"/>
      <c r="J7626" s="60"/>
      <c r="K7626" s="60"/>
      <c r="L7626" s="60"/>
      <c r="M7626" s="64"/>
      <c r="N7626" s="33"/>
    </row>
    <row r="7627" ht="24" customHeight="1" spans="2:14">
      <c r="B7627" s="33"/>
      <c r="C7627" s="60"/>
      <c r="D7627" s="60"/>
      <c r="E7627" s="60"/>
      <c r="F7627" s="60"/>
      <c r="G7627" s="60"/>
      <c r="H7627" s="60"/>
      <c r="I7627" s="60"/>
      <c r="J7627" s="60"/>
      <c r="K7627" s="60"/>
      <c r="L7627" s="60"/>
      <c r="M7627" s="64"/>
      <c r="N7627" s="33"/>
    </row>
    <row r="7628" ht="24" customHeight="1" spans="2:14">
      <c r="B7628" s="33"/>
      <c r="C7628" s="60"/>
      <c r="D7628" s="60"/>
      <c r="E7628" s="60"/>
      <c r="F7628" s="60"/>
      <c r="G7628" s="60"/>
      <c r="H7628" s="60"/>
      <c r="I7628" s="60"/>
      <c r="J7628" s="60"/>
      <c r="K7628" s="60"/>
      <c r="L7628" s="60"/>
      <c r="M7628" s="64"/>
      <c r="N7628" s="33"/>
    </row>
    <row r="7629" ht="24" customHeight="1" spans="2:14">
      <c r="B7629" s="33"/>
      <c r="C7629" s="60"/>
      <c r="D7629" s="60"/>
      <c r="E7629" s="60"/>
      <c r="F7629" s="60"/>
      <c r="G7629" s="60"/>
      <c r="H7629" s="60"/>
      <c r="I7629" s="60"/>
      <c r="J7629" s="60"/>
      <c r="K7629" s="60"/>
      <c r="L7629" s="60"/>
      <c r="M7629" s="64"/>
      <c r="N7629" s="33"/>
    </row>
    <row r="7630" ht="24" customHeight="1" spans="2:14">
      <c r="B7630" s="33"/>
      <c r="C7630" s="60"/>
      <c r="D7630" s="60"/>
      <c r="E7630" s="60"/>
      <c r="F7630" s="60"/>
      <c r="G7630" s="60"/>
      <c r="H7630" s="60"/>
      <c r="I7630" s="60"/>
      <c r="J7630" s="60"/>
      <c r="K7630" s="60"/>
      <c r="L7630" s="60"/>
      <c r="M7630" s="64"/>
      <c r="N7630" s="33"/>
    </row>
    <row r="7631" ht="24" customHeight="1" spans="2:14">
      <c r="B7631" s="33"/>
      <c r="C7631" s="60"/>
      <c r="D7631" s="60"/>
      <c r="E7631" s="60"/>
      <c r="F7631" s="60"/>
      <c r="G7631" s="60"/>
      <c r="H7631" s="60"/>
      <c r="I7631" s="60"/>
      <c r="J7631" s="60"/>
      <c r="K7631" s="60"/>
      <c r="L7631" s="60"/>
      <c r="M7631" s="64"/>
      <c r="N7631" s="33"/>
    </row>
    <row r="7632" ht="24" customHeight="1" spans="2:14">
      <c r="B7632" s="33"/>
      <c r="C7632" s="60"/>
      <c r="D7632" s="60"/>
      <c r="E7632" s="60"/>
      <c r="F7632" s="60"/>
      <c r="G7632" s="60"/>
      <c r="H7632" s="60"/>
      <c r="I7632" s="60"/>
      <c r="J7632" s="60"/>
      <c r="K7632" s="60"/>
      <c r="L7632" s="60"/>
      <c r="M7632" s="64"/>
      <c r="N7632" s="33"/>
    </row>
    <row r="7633" ht="24" customHeight="1" spans="2:14">
      <c r="B7633" s="33"/>
      <c r="C7633" s="60"/>
      <c r="D7633" s="60"/>
      <c r="E7633" s="60"/>
      <c r="F7633" s="60"/>
      <c r="G7633" s="60"/>
      <c r="H7633" s="60"/>
      <c r="I7633" s="60"/>
      <c r="J7633" s="60"/>
      <c r="K7633" s="60"/>
      <c r="L7633" s="60"/>
      <c r="M7633" s="64"/>
      <c r="N7633" s="33"/>
    </row>
    <row r="7634" ht="24" customHeight="1" spans="2:14">
      <c r="B7634" s="33"/>
      <c r="C7634" s="60"/>
      <c r="D7634" s="60"/>
      <c r="E7634" s="60"/>
      <c r="F7634" s="60"/>
      <c r="G7634" s="60"/>
      <c r="H7634" s="60"/>
      <c r="I7634" s="60"/>
      <c r="J7634" s="60"/>
      <c r="K7634" s="60"/>
      <c r="L7634" s="60"/>
      <c r="M7634" s="64"/>
      <c r="N7634" s="33"/>
    </row>
    <row r="7635" ht="24" customHeight="1" spans="2:14">
      <c r="B7635" s="33"/>
      <c r="C7635" s="60"/>
      <c r="D7635" s="60"/>
      <c r="E7635" s="60"/>
      <c r="F7635" s="60"/>
      <c r="G7635" s="60"/>
      <c r="H7635" s="60"/>
      <c r="I7635" s="60"/>
      <c r="J7635" s="60"/>
      <c r="K7635" s="60"/>
      <c r="L7635" s="60"/>
      <c r="M7635" s="64"/>
      <c r="N7635" s="33"/>
    </row>
    <row r="7636" ht="24" customHeight="1" spans="2:14">
      <c r="B7636" s="33"/>
      <c r="C7636" s="60"/>
      <c r="D7636" s="60"/>
      <c r="E7636" s="60"/>
      <c r="F7636" s="60"/>
      <c r="G7636" s="60"/>
      <c r="H7636" s="60"/>
      <c r="I7636" s="60"/>
      <c r="J7636" s="60"/>
      <c r="K7636" s="60"/>
      <c r="L7636" s="60"/>
      <c r="M7636" s="64"/>
      <c r="N7636" s="33"/>
    </row>
    <row r="7637" ht="24" customHeight="1" spans="2:14">
      <c r="B7637" s="33"/>
      <c r="C7637" s="60"/>
      <c r="D7637" s="60"/>
      <c r="E7637" s="60"/>
      <c r="F7637" s="60"/>
      <c r="G7637" s="60"/>
      <c r="H7637" s="60"/>
      <c r="I7637" s="60"/>
      <c r="J7637" s="60"/>
      <c r="K7637" s="60"/>
      <c r="L7637" s="60"/>
      <c r="M7637" s="64"/>
      <c r="N7637" s="33"/>
    </row>
    <row r="7638" ht="24" customHeight="1" spans="2:14">
      <c r="B7638" s="33"/>
      <c r="C7638" s="60"/>
      <c r="D7638" s="60"/>
      <c r="E7638" s="60"/>
      <c r="F7638" s="60"/>
      <c r="G7638" s="60"/>
      <c r="H7638" s="60"/>
      <c r="I7638" s="60"/>
      <c r="J7638" s="60"/>
      <c r="K7638" s="60"/>
      <c r="L7638" s="60"/>
      <c r="M7638" s="64"/>
      <c r="N7638" s="33"/>
    </row>
    <row r="7639" ht="24" customHeight="1" spans="2:14">
      <c r="B7639" s="33"/>
      <c r="C7639" s="60"/>
      <c r="D7639" s="60"/>
      <c r="E7639" s="60"/>
      <c r="F7639" s="60"/>
      <c r="G7639" s="60"/>
      <c r="H7639" s="60"/>
      <c r="I7639" s="60"/>
      <c r="J7639" s="60"/>
      <c r="K7639" s="60"/>
      <c r="L7639" s="60"/>
      <c r="M7639" s="64"/>
      <c r="N7639" s="33"/>
    </row>
    <row r="7640" ht="24" customHeight="1" spans="2:14">
      <c r="B7640" s="33"/>
      <c r="C7640" s="60"/>
      <c r="D7640" s="60"/>
      <c r="E7640" s="60"/>
      <c r="F7640" s="60"/>
      <c r="G7640" s="60"/>
      <c r="H7640" s="60"/>
      <c r="I7640" s="60"/>
      <c r="J7640" s="60"/>
      <c r="K7640" s="60"/>
      <c r="L7640" s="60"/>
      <c r="M7640" s="64"/>
      <c r="N7640" s="33"/>
    </row>
    <row r="7641" ht="24" customHeight="1" spans="2:14">
      <c r="B7641" s="33"/>
      <c r="C7641" s="60"/>
      <c r="D7641" s="60"/>
      <c r="E7641" s="60"/>
      <c r="F7641" s="60"/>
      <c r="G7641" s="60"/>
      <c r="H7641" s="60"/>
      <c r="I7641" s="60"/>
      <c r="J7641" s="60"/>
      <c r="K7641" s="60"/>
      <c r="L7641" s="60"/>
      <c r="M7641" s="64"/>
      <c r="N7641" s="33"/>
    </row>
    <row r="7642" ht="24" customHeight="1" spans="2:14">
      <c r="B7642" s="33"/>
      <c r="C7642" s="60"/>
      <c r="D7642" s="60"/>
      <c r="E7642" s="60"/>
      <c r="F7642" s="60"/>
      <c r="G7642" s="60"/>
      <c r="H7642" s="60"/>
      <c r="I7642" s="60"/>
      <c r="J7642" s="60"/>
      <c r="K7642" s="60"/>
      <c r="L7642" s="60"/>
      <c r="M7642" s="64"/>
      <c r="N7642" s="33"/>
    </row>
    <row r="7643" ht="24" customHeight="1" spans="2:14">
      <c r="B7643" s="33"/>
      <c r="C7643" s="60"/>
      <c r="D7643" s="60"/>
      <c r="E7643" s="60"/>
      <c r="F7643" s="60"/>
      <c r="G7643" s="60"/>
      <c r="H7643" s="60"/>
      <c r="I7643" s="60"/>
      <c r="J7643" s="60"/>
      <c r="K7643" s="60"/>
      <c r="L7643" s="60"/>
      <c r="M7643" s="64"/>
      <c r="N7643" s="33"/>
    </row>
    <row r="7644" ht="24" customHeight="1" spans="2:14">
      <c r="B7644" s="33"/>
      <c r="C7644" s="60"/>
      <c r="D7644" s="60"/>
      <c r="E7644" s="60"/>
      <c r="F7644" s="60"/>
      <c r="G7644" s="60"/>
      <c r="H7644" s="60"/>
      <c r="I7644" s="60"/>
      <c r="J7644" s="60"/>
      <c r="K7644" s="60"/>
      <c r="L7644" s="60"/>
      <c r="M7644" s="64"/>
      <c r="N7644" s="33"/>
    </row>
    <row r="7645" ht="24" customHeight="1" spans="2:14">
      <c r="B7645" s="33"/>
      <c r="C7645" s="60"/>
      <c r="D7645" s="60"/>
      <c r="E7645" s="60"/>
      <c r="F7645" s="60"/>
      <c r="G7645" s="60"/>
      <c r="H7645" s="60"/>
      <c r="I7645" s="60"/>
      <c r="J7645" s="60"/>
      <c r="K7645" s="60"/>
      <c r="L7645" s="60"/>
      <c r="M7645" s="64"/>
      <c r="N7645" s="33"/>
    </row>
    <row r="7646" ht="24" customHeight="1" spans="2:14">
      <c r="B7646" s="33"/>
      <c r="C7646" s="60"/>
      <c r="D7646" s="60"/>
      <c r="E7646" s="60"/>
      <c r="F7646" s="60"/>
      <c r="G7646" s="60"/>
      <c r="H7646" s="60"/>
      <c r="I7646" s="60"/>
      <c r="J7646" s="60"/>
      <c r="K7646" s="60"/>
      <c r="L7646" s="60"/>
      <c r="M7646" s="64"/>
      <c r="N7646" s="33"/>
    </row>
    <row r="7647" ht="24" customHeight="1" spans="2:14">
      <c r="B7647" s="33"/>
      <c r="C7647" s="60"/>
      <c r="D7647" s="60"/>
      <c r="E7647" s="60"/>
      <c r="F7647" s="60"/>
      <c r="G7647" s="60"/>
      <c r="H7647" s="60"/>
      <c r="I7647" s="60"/>
      <c r="J7647" s="60"/>
      <c r="K7647" s="60"/>
      <c r="L7647" s="60"/>
      <c r="M7647" s="64"/>
      <c r="N7647" s="33"/>
    </row>
    <row r="7648" ht="24" customHeight="1" spans="2:14">
      <c r="B7648" s="33"/>
      <c r="C7648" s="60"/>
      <c r="D7648" s="60"/>
      <c r="E7648" s="60"/>
      <c r="F7648" s="60"/>
      <c r="G7648" s="60"/>
      <c r="H7648" s="60"/>
      <c r="I7648" s="60"/>
      <c r="J7648" s="60"/>
      <c r="K7648" s="60"/>
      <c r="L7648" s="60"/>
      <c r="M7648" s="64"/>
      <c r="N7648" s="33"/>
    </row>
    <row r="7649" ht="24" customHeight="1" spans="2:14">
      <c r="B7649" s="33"/>
      <c r="C7649" s="60"/>
      <c r="D7649" s="60"/>
      <c r="E7649" s="60"/>
      <c r="F7649" s="60"/>
      <c r="G7649" s="60"/>
      <c r="H7649" s="60"/>
      <c r="I7649" s="60"/>
      <c r="J7649" s="60"/>
      <c r="K7649" s="60"/>
      <c r="L7649" s="60"/>
      <c r="M7649" s="64"/>
      <c r="N7649" s="33"/>
    </row>
    <row r="7650" ht="24" customHeight="1" spans="2:14">
      <c r="B7650" s="33"/>
      <c r="C7650" s="60"/>
      <c r="D7650" s="60"/>
      <c r="E7650" s="60"/>
      <c r="F7650" s="60"/>
      <c r="G7650" s="60"/>
      <c r="H7650" s="60"/>
      <c r="I7650" s="60"/>
      <c r="J7650" s="60"/>
      <c r="K7650" s="60"/>
      <c r="L7650" s="60"/>
      <c r="M7650" s="64"/>
      <c r="N7650" s="33"/>
    </row>
    <row r="7651" ht="24" customHeight="1" spans="2:14">
      <c r="B7651" s="33"/>
      <c r="C7651" s="60"/>
      <c r="D7651" s="60"/>
      <c r="E7651" s="60"/>
      <c r="F7651" s="60"/>
      <c r="G7651" s="60"/>
      <c r="H7651" s="60"/>
      <c r="I7651" s="60"/>
      <c r="J7651" s="60"/>
      <c r="K7651" s="60"/>
      <c r="L7651" s="60"/>
      <c r="M7651" s="64"/>
      <c r="N7651" s="33"/>
    </row>
    <row r="7652" ht="24" customHeight="1" spans="2:14">
      <c r="B7652" s="33"/>
      <c r="C7652" s="60"/>
      <c r="D7652" s="60"/>
      <c r="E7652" s="60"/>
      <c r="F7652" s="60"/>
      <c r="G7652" s="60"/>
      <c r="H7652" s="60"/>
      <c r="I7652" s="60"/>
      <c r="J7652" s="60"/>
      <c r="K7652" s="60"/>
      <c r="L7652" s="60"/>
      <c r="M7652" s="64"/>
      <c r="N7652" s="33"/>
    </row>
    <row r="7653" ht="24" customHeight="1" spans="2:14">
      <c r="B7653" s="33"/>
      <c r="C7653" s="60"/>
      <c r="D7653" s="60"/>
      <c r="E7653" s="60"/>
      <c r="F7653" s="60"/>
      <c r="G7653" s="60"/>
      <c r="H7653" s="60"/>
      <c r="I7653" s="60"/>
      <c r="J7653" s="60"/>
      <c r="K7653" s="60"/>
      <c r="L7653" s="60"/>
      <c r="M7653" s="64"/>
      <c r="N7653" s="33"/>
    </row>
    <row r="7654" ht="24" customHeight="1" spans="2:14">
      <c r="B7654" s="33"/>
      <c r="C7654" s="60"/>
      <c r="D7654" s="60"/>
      <c r="E7654" s="60"/>
      <c r="F7654" s="60"/>
      <c r="G7654" s="60"/>
      <c r="H7654" s="60"/>
      <c r="I7654" s="60"/>
      <c r="J7654" s="60"/>
      <c r="K7654" s="60"/>
      <c r="L7654" s="60"/>
      <c r="M7654" s="64"/>
      <c r="N7654" s="33"/>
    </row>
    <row r="7655" ht="24" customHeight="1" spans="2:14">
      <c r="B7655" s="33"/>
      <c r="C7655" s="60"/>
      <c r="D7655" s="60"/>
      <c r="E7655" s="60"/>
      <c r="F7655" s="60"/>
      <c r="G7655" s="60"/>
      <c r="H7655" s="60"/>
      <c r="I7655" s="60"/>
      <c r="J7655" s="60"/>
      <c r="K7655" s="60"/>
      <c r="L7655" s="60"/>
      <c r="M7655" s="64"/>
      <c r="N7655" s="33"/>
    </row>
    <row r="7656" ht="24" customHeight="1" spans="2:14">
      <c r="B7656" s="33"/>
      <c r="C7656" s="60"/>
      <c r="D7656" s="60"/>
      <c r="E7656" s="60"/>
      <c r="F7656" s="60"/>
      <c r="G7656" s="60"/>
      <c r="H7656" s="60"/>
      <c r="I7656" s="60"/>
      <c r="J7656" s="60"/>
      <c r="K7656" s="60"/>
      <c r="L7656" s="60"/>
      <c r="M7656" s="64"/>
      <c r="N7656" s="33"/>
    </row>
    <row r="7657" ht="24" customHeight="1" spans="2:14">
      <c r="B7657" s="33"/>
      <c r="C7657" s="60"/>
      <c r="D7657" s="60"/>
      <c r="E7657" s="60"/>
      <c r="F7657" s="60"/>
      <c r="G7657" s="60"/>
      <c r="H7657" s="60"/>
      <c r="I7657" s="60"/>
      <c r="J7657" s="60"/>
      <c r="K7657" s="60"/>
      <c r="L7657" s="60"/>
      <c r="M7657" s="64"/>
      <c r="N7657" s="33"/>
    </row>
    <row r="7658" ht="24" customHeight="1" spans="2:14">
      <c r="B7658" s="33"/>
      <c r="C7658" s="60"/>
      <c r="D7658" s="60"/>
      <c r="E7658" s="60"/>
      <c r="F7658" s="60"/>
      <c r="G7658" s="60"/>
      <c r="H7658" s="60"/>
      <c r="I7658" s="60"/>
      <c r="J7658" s="60"/>
      <c r="K7658" s="60"/>
      <c r="L7658" s="60"/>
      <c r="M7658" s="64"/>
      <c r="N7658" s="33"/>
    </row>
    <row r="7659" ht="24" customHeight="1" spans="2:14">
      <c r="B7659" s="33"/>
      <c r="C7659" s="60"/>
      <c r="D7659" s="60"/>
      <c r="E7659" s="60"/>
      <c r="F7659" s="60"/>
      <c r="G7659" s="60"/>
      <c r="H7659" s="60"/>
      <c r="I7659" s="60"/>
      <c r="J7659" s="60"/>
      <c r="K7659" s="60"/>
      <c r="L7659" s="60"/>
      <c r="M7659" s="64"/>
      <c r="N7659" s="33"/>
    </row>
    <row r="7660" ht="24" customHeight="1" spans="2:14">
      <c r="B7660" s="33"/>
      <c r="C7660" s="60"/>
      <c r="D7660" s="60"/>
      <c r="E7660" s="60"/>
      <c r="F7660" s="60"/>
      <c r="G7660" s="60"/>
      <c r="H7660" s="60"/>
      <c r="I7660" s="60"/>
      <c r="J7660" s="60"/>
      <c r="K7660" s="60"/>
      <c r="L7660" s="60"/>
      <c r="M7660" s="64"/>
      <c r="N7660" s="33"/>
    </row>
    <row r="7661" ht="24" customHeight="1" spans="2:14">
      <c r="B7661" s="33"/>
      <c r="C7661" s="60"/>
      <c r="D7661" s="60"/>
      <c r="E7661" s="60"/>
      <c r="F7661" s="60"/>
      <c r="G7661" s="60"/>
      <c r="H7661" s="60"/>
      <c r="I7661" s="60"/>
      <c r="J7661" s="60"/>
      <c r="K7661" s="60"/>
      <c r="L7661" s="60"/>
      <c r="M7661" s="64"/>
      <c r="N7661" s="33"/>
    </row>
    <row r="7662" ht="24" customHeight="1" spans="2:14">
      <c r="B7662" s="33"/>
      <c r="C7662" s="60"/>
      <c r="D7662" s="60"/>
      <c r="E7662" s="60"/>
      <c r="F7662" s="60"/>
      <c r="G7662" s="60"/>
      <c r="H7662" s="60"/>
      <c r="I7662" s="60"/>
      <c r="J7662" s="60"/>
      <c r="K7662" s="60"/>
      <c r="L7662" s="60"/>
      <c r="M7662" s="64"/>
      <c r="N7662" s="33"/>
    </row>
    <row r="7663" ht="24" customHeight="1" spans="2:14">
      <c r="B7663" s="33"/>
      <c r="C7663" s="60"/>
      <c r="D7663" s="60"/>
      <c r="E7663" s="60"/>
      <c r="F7663" s="60"/>
      <c r="G7663" s="60"/>
      <c r="H7663" s="60"/>
      <c r="I7663" s="60"/>
      <c r="J7663" s="60"/>
      <c r="K7663" s="60"/>
      <c r="L7663" s="60"/>
      <c r="M7663" s="64"/>
      <c r="N7663" s="33"/>
    </row>
    <row r="7664" ht="24" customHeight="1" spans="2:14">
      <c r="B7664" s="33"/>
      <c r="C7664" s="60"/>
      <c r="D7664" s="60"/>
      <c r="E7664" s="60"/>
      <c r="F7664" s="60"/>
      <c r="G7664" s="60"/>
      <c r="H7664" s="60"/>
      <c r="I7664" s="60"/>
      <c r="J7664" s="60"/>
      <c r="K7664" s="60"/>
      <c r="L7664" s="60"/>
      <c r="M7664" s="64"/>
      <c r="N7664" s="33"/>
    </row>
    <row r="7665" ht="24" customHeight="1" spans="2:14">
      <c r="B7665" s="33"/>
      <c r="C7665" s="60"/>
      <c r="D7665" s="60"/>
      <c r="E7665" s="60"/>
      <c r="F7665" s="60"/>
      <c r="G7665" s="60"/>
      <c r="H7665" s="60"/>
      <c r="I7665" s="60"/>
      <c r="J7665" s="60"/>
      <c r="K7665" s="60"/>
      <c r="L7665" s="60"/>
      <c r="M7665" s="64"/>
      <c r="N7665" s="33"/>
    </row>
    <row r="7666" ht="24" customHeight="1" spans="2:14">
      <c r="B7666" s="33"/>
      <c r="C7666" s="60"/>
      <c r="D7666" s="60"/>
      <c r="E7666" s="60"/>
      <c r="F7666" s="60"/>
      <c r="G7666" s="60"/>
      <c r="H7666" s="60"/>
      <c r="I7666" s="60"/>
      <c r="J7666" s="60"/>
      <c r="K7666" s="60"/>
      <c r="L7666" s="60"/>
      <c r="M7666" s="64"/>
      <c r="N7666" s="33"/>
    </row>
    <row r="7667" ht="24" customHeight="1" spans="2:14">
      <c r="B7667" s="33"/>
      <c r="C7667" s="60"/>
      <c r="D7667" s="60"/>
      <c r="E7667" s="60"/>
      <c r="F7667" s="60"/>
      <c r="G7667" s="60"/>
      <c r="H7667" s="60"/>
      <c r="I7667" s="60"/>
      <c r="J7667" s="60"/>
      <c r="K7667" s="60"/>
      <c r="L7667" s="60"/>
      <c r="M7667" s="64"/>
      <c r="N7667" s="33"/>
    </row>
    <row r="7668" ht="24" customHeight="1" spans="2:14">
      <c r="B7668" s="33"/>
      <c r="C7668" s="60"/>
      <c r="D7668" s="60"/>
      <c r="E7668" s="60"/>
      <c r="F7668" s="60"/>
      <c r="G7668" s="60"/>
      <c r="H7668" s="60"/>
      <c r="I7668" s="60"/>
      <c r="J7668" s="60"/>
      <c r="K7668" s="60"/>
      <c r="L7668" s="60"/>
      <c r="M7668" s="64"/>
      <c r="N7668" s="33"/>
    </row>
    <row r="7669" ht="24" customHeight="1" spans="2:14">
      <c r="B7669" s="33"/>
      <c r="C7669" s="60"/>
      <c r="D7669" s="60"/>
      <c r="E7669" s="60"/>
      <c r="F7669" s="60"/>
      <c r="G7669" s="60"/>
      <c r="H7669" s="60"/>
      <c r="I7669" s="60"/>
      <c r="J7669" s="60"/>
      <c r="K7669" s="60"/>
      <c r="L7669" s="60"/>
      <c r="M7669" s="64"/>
      <c r="N7669" s="33"/>
    </row>
    <row r="7670" ht="24" customHeight="1" spans="2:14">
      <c r="B7670" s="33"/>
      <c r="C7670" s="60"/>
      <c r="D7670" s="60"/>
      <c r="E7670" s="60"/>
      <c r="F7670" s="60"/>
      <c r="G7670" s="60"/>
      <c r="H7670" s="60"/>
      <c r="I7670" s="60"/>
      <c r="J7670" s="60"/>
      <c r="K7670" s="60"/>
      <c r="L7670" s="60"/>
      <c r="M7670" s="64"/>
      <c r="N7670" s="33"/>
    </row>
    <row r="7671" ht="24" customHeight="1" spans="2:14">
      <c r="B7671" s="33"/>
      <c r="C7671" s="60"/>
      <c r="D7671" s="60"/>
      <c r="E7671" s="60"/>
      <c r="F7671" s="60"/>
      <c r="G7671" s="60"/>
      <c r="H7671" s="60"/>
      <c r="I7671" s="60"/>
      <c r="J7671" s="60"/>
      <c r="K7671" s="60"/>
      <c r="L7671" s="60"/>
      <c r="M7671" s="64"/>
      <c r="N7671" s="33"/>
    </row>
    <row r="7672" ht="24" customHeight="1" spans="2:14">
      <c r="B7672" s="33"/>
      <c r="C7672" s="60"/>
      <c r="D7672" s="60"/>
      <c r="E7672" s="60"/>
      <c r="F7672" s="60"/>
      <c r="G7672" s="60"/>
      <c r="H7672" s="60"/>
      <c r="I7672" s="60"/>
      <c r="J7672" s="60"/>
      <c r="K7672" s="60"/>
      <c r="L7672" s="60"/>
      <c r="M7672" s="64"/>
      <c r="N7672" s="33"/>
    </row>
    <row r="7673" ht="24" customHeight="1" spans="2:14">
      <c r="B7673" s="33"/>
      <c r="C7673" s="60"/>
      <c r="D7673" s="60"/>
      <c r="E7673" s="60"/>
      <c r="F7673" s="60"/>
      <c r="G7673" s="60"/>
      <c r="H7673" s="60"/>
      <c r="I7673" s="60"/>
      <c r="J7673" s="60"/>
      <c r="K7673" s="60"/>
      <c r="L7673" s="60"/>
      <c r="M7673" s="64"/>
      <c r="N7673" s="33"/>
    </row>
    <row r="7674" ht="24" customHeight="1" spans="2:14">
      <c r="B7674" s="33"/>
      <c r="C7674" s="60"/>
      <c r="D7674" s="60"/>
      <c r="E7674" s="60"/>
      <c r="F7674" s="60"/>
      <c r="G7674" s="60"/>
      <c r="H7674" s="60"/>
      <c r="I7674" s="60"/>
      <c r="J7674" s="60"/>
      <c r="K7674" s="60"/>
      <c r="L7674" s="60"/>
      <c r="M7674" s="64"/>
      <c r="N7674" s="33"/>
    </row>
    <row r="7675" ht="24" customHeight="1" spans="2:14">
      <c r="B7675" s="33"/>
      <c r="C7675" s="60"/>
      <c r="D7675" s="60"/>
      <c r="E7675" s="60"/>
      <c r="F7675" s="60"/>
      <c r="G7675" s="60"/>
      <c r="H7675" s="60"/>
      <c r="I7675" s="60"/>
      <c r="J7675" s="60"/>
      <c r="K7675" s="60"/>
      <c r="L7675" s="60"/>
      <c r="M7675" s="64"/>
      <c r="N7675" s="33"/>
    </row>
    <row r="7676" ht="24" customHeight="1" spans="2:14">
      <c r="B7676" s="33"/>
      <c r="C7676" s="60"/>
      <c r="D7676" s="60"/>
      <c r="E7676" s="60"/>
      <c r="F7676" s="60"/>
      <c r="G7676" s="60"/>
      <c r="H7676" s="60"/>
      <c r="I7676" s="60"/>
      <c r="J7676" s="60"/>
      <c r="K7676" s="60"/>
      <c r="L7676" s="60"/>
      <c r="M7676" s="64"/>
      <c r="N7676" s="33"/>
    </row>
    <row r="7677" ht="24" customHeight="1" spans="2:14">
      <c r="B7677" s="33"/>
      <c r="C7677" s="60"/>
      <c r="D7677" s="60"/>
      <c r="E7677" s="60"/>
      <c r="F7677" s="60"/>
      <c r="G7677" s="60"/>
      <c r="H7677" s="60"/>
      <c r="I7677" s="60"/>
      <c r="J7677" s="60"/>
      <c r="K7677" s="60"/>
      <c r="L7677" s="60"/>
      <c r="M7677" s="64"/>
      <c r="N7677" s="33"/>
    </row>
    <row r="7678" ht="24" customHeight="1" spans="2:14">
      <c r="B7678" s="33"/>
      <c r="C7678" s="60"/>
      <c r="D7678" s="60"/>
      <c r="E7678" s="60"/>
      <c r="F7678" s="60"/>
      <c r="G7678" s="60"/>
      <c r="H7678" s="60"/>
      <c r="I7678" s="60"/>
      <c r="J7678" s="60"/>
      <c r="K7678" s="60"/>
      <c r="L7678" s="60"/>
      <c r="M7678" s="64"/>
      <c r="N7678" s="33"/>
    </row>
    <row r="7679" ht="24" customHeight="1" spans="2:14">
      <c r="B7679" s="33"/>
      <c r="C7679" s="60"/>
      <c r="D7679" s="60"/>
      <c r="E7679" s="60"/>
      <c r="F7679" s="60"/>
      <c r="G7679" s="60"/>
      <c r="H7679" s="60"/>
      <c r="I7679" s="60"/>
      <c r="J7679" s="60"/>
      <c r="K7679" s="60"/>
      <c r="L7679" s="60"/>
      <c r="M7679" s="64"/>
      <c r="N7679" s="33"/>
    </row>
    <row r="7680" ht="24" customHeight="1" spans="2:14">
      <c r="B7680" s="33"/>
      <c r="C7680" s="60"/>
      <c r="D7680" s="60"/>
      <c r="E7680" s="60"/>
      <c r="F7680" s="60"/>
      <c r="G7680" s="60"/>
      <c r="H7680" s="60"/>
      <c r="I7680" s="60"/>
      <c r="J7680" s="60"/>
      <c r="K7680" s="60"/>
      <c r="L7680" s="60"/>
      <c r="M7680" s="64"/>
      <c r="N7680" s="33"/>
    </row>
    <row r="7681" ht="24" customHeight="1" spans="2:14">
      <c r="B7681" s="33"/>
      <c r="C7681" s="60"/>
      <c r="D7681" s="60"/>
      <c r="E7681" s="60"/>
      <c r="F7681" s="60"/>
      <c r="G7681" s="60"/>
      <c r="H7681" s="60"/>
      <c r="I7681" s="60"/>
      <c r="J7681" s="60"/>
      <c r="K7681" s="60"/>
      <c r="L7681" s="60"/>
      <c r="M7681" s="64"/>
      <c r="N7681" s="33"/>
    </row>
    <row r="7682" ht="24" customHeight="1" spans="2:14">
      <c r="B7682" s="33"/>
      <c r="C7682" s="60"/>
      <c r="D7682" s="60"/>
      <c r="E7682" s="60"/>
      <c r="F7682" s="60"/>
      <c r="G7682" s="60"/>
      <c r="H7682" s="60"/>
      <c r="I7682" s="60"/>
      <c r="J7682" s="60"/>
      <c r="K7682" s="60"/>
      <c r="L7682" s="60"/>
      <c r="M7682" s="64"/>
      <c r="N7682" s="33"/>
    </row>
    <row r="7683" ht="24" customHeight="1" spans="2:14">
      <c r="B7683" s="33"/>
      <c r="C7683" s="60"/>
      <c r="D7683" s="60"/>
      <c r="E7683" s="60"/>
      <c r="F7683" s="60"/>
      <c r="G7683" s="60"/>
      <c r="H7683" s="60"/>
      <c r="I7683" s="60"/>
      <c r="J7683" s="60"/>
      <c r="K7683" s="60"/>
      <c r="L7683" s="60"/>
      <c r="M7683" s="64"/>
      <c r="N7683" s="33"/>
    </row>
    <row r="7684" ht="24" customHeight="1" spans="2:14">
      <c r="B7684" s="33"/>
      <c r="C7684" s="60"/>
      <c r="D7684" s="60"/>
      <c r="E7684" s="60"/>
      <c r="F7684" s="60"/>
      <c r="G7684" s="60"/>
      <c r="H7684" s="60"/>
      <c r="I7684" s="60"/>
      <c r="J7684" s="60"/>
      <c r="K7684" s="60"/>
      <c r="L7684" s="60"/>
      <c r="M7684" s="64"/>
      <c r="N7684" s="33"/>
    </row>
    <row r="7685" ht="24" customHeight="1" spans="2:14">
      <c r="B7685" s="33"/>
      <c r="C7685" s="60"/>
      <c r="D7685" s="60"/>
      <c r="E7685" s="60"/>
      <c r="F7685" s="60"/>
      <c r="G7685" s="60"/>
      <c r="H7685" s="60"/>
      <c r="I7685" s="60"/>
      <c r="J7685" s="60"/>
      <c r="K7685" s="60"/>
      <c r="L7685" s="60"/>
      <c r="M7685" s="64"/>
      <c r="N7685" s="33"/>
    </row>
    <row r="7686" ht="24" customHeight="1" spans="2:14">
      <c r="B7686" s="33"/>
      <c r="C7686" s="60"/>
      <c r="D7686" s="60"/>
      <c r="E7686" s="60"/>
      <c r="F7686" s="60"/>
      <c r="G7686" s="60"/>
      <c r="H7686" s="60"/>
      <c r="I7686" s="60"/>
      <c r="J7686" s="60"/>
      <c r="K7686" s="60"/>
      <c r="L7686" s="60"/>
      <c r="M7686" s="64"/>
      <c r="N7686" s="33"/>
    </row>
    <row r="7687" ht="24" customHeight="1" spans="2:14">
      <c r="B7687" s="33"/>
      <c r="C7687" s="60"/>
      <c r="D7687" s="60"/>
      <c r="E7687" s="60"/>
      <c r="F7687" s="60"/>
      <c r="G7687" s="60"/>
      <c r="H7687" s="60"/>
      <c r="I7687" s="60"/>
      <c r="J7687" s="60"/>
      <c r="K7687" s="60"/>
      <c r="L7687" s="60"/>
      <c r="M7687" s="64"/>
      <c r="N7687" s="33"/>
    </row>
    <row r="7688" ht="24" customHeight="1" spans="2:14">
      <c r="B7688" s="33"/>
      <c r="C7688" s="60"/>
      <c r="D7688" s="60"/>
      <c r="E7688" s="60"/>
      <c r="F7688" s="60"/>
      <c r="G7688" s="60"/>
      <c r="H7688" s="60"/>
      <c r="I7688" s="60"/>
      <c r="J7688" s="60"/>
      <c r="K7688" s="60"/>
      <c r="L7688" s="60"/>
      <c r="M7688" s="64"/>
      <c r="N7688" s="33"/>
    </row>
    <row r="7689" ht="24" customHeight="1" spans="2:14">
      <c r="B7689" s="33"/>
      <c r="C7689" s="60"/>
      <c r="D7689" s="60"/>
      <c r="E7689" s="60"/>
      <c r="F7689" s="60"/>
      <c r="G7689" s="60"/>
      <c r="H7689" s="60"/>
      <c r="I7689" s="60"/>
      <c r="J7689" s="60"/>
      <c r="K7689" s="60"/>
      <c r="L7689" s="60"/>
      <c r="M7689" s="64"/>
      <c r="N7689" s="33"/>
    </row>
    <row r="7690" ht="24" customHeight="1" spans="2:14">
      <c r="B7690" s="33"/>
      <c r="C7690" s="60"/>
      <c r="D7690" s="60"/>
      <c r="E7690" s="60"/>
      <c r="F7690" s="60"/>
      <c r="G7690" s="60"/>
      <c r="H7690" s="60"/>
      <c r="I7690" s="60"/>
      <c r="J7690" s="60"/>
      <c r="K7690" s="60"/>
      <c r="L7690" s="60"/>
      <c r="M7690" s="64"/>
      <c r="N7690" s="33"/>
    </row>
    <row r="7691" ht="24" customHeight="1" spans="2:14">
      <c r="B7691" s="33"/>
      <c r="C7691" s="60"/>
      <c r="D7691" s="60"/>
      <c r="E7691" s="60"/>
      <c r="F7691" s="60"/>
      <c r="G7691" s="60"/>
      <c r="H7691" s="60"/>
      <c r="I7691" s="60"/>
      <c r="J7691" s="60"/>
      <c r="K7691" s="60"/>
      <c r="L7691" s="60"/>
      <c r="M7691" s="64"/>
      <c r="N7691" s="33"/>
    </row>
    <row r="7692" ht="24" customHeight="1" spans="2:14">
      <c r="B7692" s="33"/>
      <c r="C7692" s="60"/>
      <c r="D7692" s="60"/>
      <c r="E7692" s="60"/>
      <c r="F7692" s="60"/>
      <c r="G7692" s="60"/>
      <c r="H7692" s="60"/>
      <c r="I7692" s="60"/>
      <c r="J7692" s="60"/>
      <c r="K7692" s="60"/>
      <c r="L7692" s="60"/>
      <c r="M7692" s="64"/>
      <c r="N7692" s="33"/>
    </row>
    <row r="7693" ht="24" customHeight="1" spans="2:14">
      <c r="B7693" s="33"/>
      <c r="C7693" s="60"/>
      <c r="D7693" s="60"/>
      <c r="E7693" s="60"/>
      <c r="F7693" s="60"/>
      <c r="G7693" s="60"/>
      <c r="H7693" s="60"/>
      <c r="I7693" s="60"/>
      <c r="J7693" s="60"/>
      <c r="K7693" s="60"/>
      <c r="L7693" s="60"/>
      <c r="M7693" s="64"/>
      <c r="N7693" s="33"/>
    </row>
    <row r="7694" ht="24" customHeight="1" spans="2:14">
      <c r="B7694" s="33"/>
      <c r="C7694" s="60"/>
      <c r="D7694" s="60"/>
      <c r="E7694" s="60"/>
      <c r="F7694" s="60"/>
      <c r="G7694" s="60"/>
      <c r="H7694" s="60"/>
      <c r="I7694" s="60"/>
      <c r="J7694" s="60"/>
      <c r="K7694" s="60"/>
      <c r="L7694" s="60"/>
      <c r="M7694" s="64"/>
      <c r="N7694" s="33"/>
    </row>
    <row r="7695" ht="24" customHeight="1" spans="2:14">
      <c r="B7695" s="33"/>
      <c r="C7695" s="60"/>
      <c r="D7695" s="60"/>
      <c r="E7695" s="60"/>
      <c r="F7695" s="60"/>
      <c r="G7695" s="60"/>
      <c r="H7695" s="60"/>
      <c r="I7695" s="60"/>
      <c r="J7695" s="60"/>
      <c r="K7695" s="60"/>
      <c r="L7695" s="60"/>
      <c r="M7695" s="64"/>
      <c r="N7695" s="33"/>
    </row>
    <row r="7696" ht="24" customHeight="1" spans="2:14">
      <c r="B7696" s="33"/>
      <c r="C7696" s="60"/>
      <c r="D7696" s="60"/>
      <c r="E7696" s="60"/>
      <c r="F7696" s="60"/>
      <c r="G7696" s="60"/>
      <c r="H7696" s="60"/>
      <c r="I7696" s="60"/>
      <c r="J7696" s="60"/>
      <c r="K7696" s="60"/>
      <c r="L7696" s="60"/>
      <c r="M7696" s="64"/>
      <c r="N7696" s="33"/>
    </row>
    <row r="7697" ht="24" customHeight="1" spans="2:14">
      <c r="B7697" s="33"/>
      <c r="C7697" s="60"/>
      <c r="D7697" s="60"/>
      <c r="E7697" s="60"/>
      <c r="F7697" s="60"/>
      <c r="G7697" s="60"/>
      <c r="H7697" s="60"/>
      <c r="I7697" s="60"/>
      <c r="J7697" s="60"/>
      <c r="K7697" s="60"/>
      <c r="L7697" s="60"/>
      <c r="M7697" s="64"/>
      <c r="N7697" s="33"/>
    </row>
    <row r="7698" ht="24" customHeight="1" spans="2:14">
      <c r="B7698" s="33"/>
      <c r="C7698" s="60"/>
      <c r="D7698" s="60"/>
      <c r="E7698" s="60"/>
      <c r="F7698" s="60"/>
      <c r="G7698" s="60"/>
      <c r="H7698" s="60"/>
      <c r="I7698" s="60"/>
      <c r="J7698" s="60"/>
      <c r="K7698" s="60"/>
      <c r="L7698" s="60"/>
      <c r="M7698" s="64"/>
      <c r="N7698" s="33"/>
    </row>
    <row r="7699" ht="24" customHeight="1" spans="2:14">
      <c r="B7699" s="33"/>
      <c r="C7699" s="60"/>
      <c r="D7699" s="60"/>
      <c r="E7699" s="60"/>
      <c r="F7699" s="60"/>
      <c r="G7699" s="60"/>
      <c r="H7699" s="60"/>
      <c r="I7699" s="60"/>
      <c r="J7699" s="60"/>
      <c r="K7699" s="60"/>
      <c r="L7699" s="60"/>
      <c r="M7699" s="64"/>
      <c r="N7699" s="33"/>
    </row>
    <row r="7700" ht="24" customHeight="1" spans="2:14">
      <c r="B7700" s="33"/>
      <c r="C7700" s="60"/>
      <c r="D7700" s="60"/>
      <c r="E7700" s="60"/>
      <c r="F7700" s="60"/>
      <c r="G7700" s="60"/>
      <c r="H7700" s="60"/>
      <c r="I7700" s="60"/>
      <c r="J7700" s="60"/>
      <c r="K7700" s="60"/>
      <c r="L7700" s="60"/>
      <c r="M7700" s="64"/>
      <c r="N7700" s="33"/>
    </row>
    <row r="7701" ht="24" customHeight="1" spans="2:14">
      <c r="B7701" s="33"/>
      <c r="C7701" s="60"/>
      <c r="D7701" s="60"/>
      <c r="E7701" s="60"/>
      <c r="F7701" s="60"/>
      <c r="G7701" s="60"/>
      <c r="H7701" s="60"/>
      <c r="I7701" s="60"/>
      <c r="J7701" s="60"/>
      <c r="K7701" s="60"/>
      <c r="L7701" s="60"/>
      <c r="M7701" s="64"/>
      <c r="N7701" s="33"/>
    </row>
    <row r="7702" ht="24" customHeight="1" spans="2:14">
      <c r="B7702" s="33"/>
      <c r="C7702" s="60"/>
      <c r="D7702" s="60"/>
      <c r="E7702" s="60"/>
      <c r="F7702" s="60"/>
      <c r="G7702" s="60"/>
      <c r="H7702" s="60"/>
      <c r="I7702" s="60"/>
      <c r="J7702" s="60"/>
      <c r="K7702" s="60"/>
      <c r="L7702" s="60"/>
      <c r="M7702" s="64"/>
      <c r="N7702" s="33"/>
    </row>
    <row r="7703" ht="24" customHeight="1" spans="2:14">
      <c r="B7703" s="33"/>
      <c r="C7703" s="60"/>
      <c r="D7703" s="60"/>
      <c r="E7703" s="60"/>
      <c r="F7703" s="60"/>
      <c r="G7703" s="60"/>
      <c r="H7703" s="60"/>
      <c r="I7703" s="60"/>
      <c r="J7703" s="60"/>
      <c r="K7703" s="60"/>
      <c r="L7703" s="60"/>
      <c r="M7703" s="64"/>
      <c r="N7703" s="33"/>
    </row>
    <row r="7704" ht="24" customHeight="1" spans="2:14">
      <c r="B7704" s="33"/>
      <c r="C7704" s="60"/>
      <c r="D7704" s="60"/>
      <c r="E7704" s="60"/>
      <c r="F7704" s="60"/>
      <c r="G7704" s="60"/>
      <c r="H7704" s="60"/>
      <c r="I7704" s="60"/>
      <c r="J7704" s="60"/>
      <c r="K7704" s="60"/>
      <c r="L7704" s="60"/>
      <c r="M7704" s="64"/>
      <c r="N7704" s="33"/>
    </row>
    <row r="7705" ht="24" customHeight="1" spans="2:14">
      <c r="B7705" s="33"/>
      <c r="C7705" s="60"/>
      <c r="D7705" s="60"/>
      <c r="E7705" s="60"/>
      <c r="F7705" s="60"/>
      <c r="G7705" s="60"/>
      <c r="H7705" s="60"/>
      <c r="I7705" s="60"/>
      <c r="J7705" s="60"/>
      <c r="K7705" s="60"/>
      <c r="L7705" s="60"/>
      <c r="M7705" s="64"/>
      <c r="N7705" s="33"/>
    </row>
    <row r="7706" ht="24" customHeight="1" spans="2:14">
      <c r="B7706" s="33"/>
      <c r="C7706" s="60"/>
      <c r="D7706" s="60"/>
      <c r="E7706" s="60"/>
      <c r="F7706" s="60"/>
      <c r="G7706" s="60"/>
      <c r="H7706" s="60"/>
      <c r="I7706" s="60"/>
      <c r="J7706" s="60"/>
      <c r="K7706" s="60"/>
      <c r="L7706" s="60"/>
      <c r="M7706" s="64"/>
      <c r="N7706" s="33"/>
    </row>
    <row r="7707" ht="24" customHeight="1" spans="2:14">
      <c r="B7707" s="33"/>
      <c r="C7707" s="60"/>
      <c r="D7707" s="60"/>
      <c r="E7707" s="60"/>
      <c r="F7707" s="60"/>
      <c r="G7707" s="60"/>
      <c r="H7707" s="60"/>
      <c r="I7707" s="60"/>
      <c r="J7707" s="60"/>
      <c r="K7707" s="60"/>
      <c r="L7707" s="60"/>
      <c r="M7707" s="64"/>
      <c r="N7707" s="33"/>
    </row>
    <row r="7708" ht="24" customHeight="1" spans="2:14">
      <c r="B7708" s="33"/>
      <c r="C7708" s="60"/>
      <c r="D7708" s="60"/>
      <c r="E7708" s="60"/>
      <c r="F7708" s="60"/>
      <c r="G7708" s="60"/>
      <c r="H7708" s="60"/>
      <c r="I7708" s="60"/>
      <c r="J7708" s="60"/>
      <c r="K7708" s="60"/>
      <c r="L7708" s="60"/>
      <c r="M7708" s="64"/>
      <c r="N7708" s="33"/>
    </row>
    <row r="7709" ht="24" customHeight="1" spans="2:14">
      <c r="B7709" s="33"/>
      <c r="C7709" s="60"/>
      <c r="D7709" s="60"/>
      <c r="E7709" s="60"/>
      <c r="F7709" s="60"/>
      <c r="G7709" s="60"/>
      <c r="H7709" s="60"/>
      <c r="I7709" s="60"/>
      <c r="J7709" s="60"/>
      <c r="K7709" s="60"/>
      <c r="L7709" s="60"/>
      <c r="M7709" s="64"/>
      <c r="N7709" s="33"/>
    </row>
    <row r="7710" ht="24" customHeight="1" spans="2:14">
      <c r="B7710" s="33"/>
      <c r="C7710" s="60"/>
      <c r="D7710" s="60"/>
      <c r="E7710" s="60"/>
      <c r="F7710" s="60"/>
      <c r="G7710" s="60"/>
      <c r="H7710" s="60"/>
      <c r="I7710" s="60"/>
      <c r="J7710" s="60"/>
      <c r="K7710" s="60"/>
      <c r="L7710" s="60"/>
      <c r="M7710" s="64"/>
      <c r="N7710" s="33"/>
    </row>
    <row r="7711" ht="24" customHeight="1" spans="2:14">
      <c r="B7711" s="33"/>
      <c r="C7711" s="60"/>
      <c r="D7711" s="60"/>
      <c r="E7711" s="60"/>
      <c r="F7711" s="60"/>
      <c r="G7711" s="60"/>
      <c r="H7711" s="60"/>
      <c r="I7711" s="60"/>
      <c r="J7711" s="60"/>
      <c r="K7711" s="60"/>
      <c r="L7711" s="60"/>
      <c r="M7711" s="64"/>
      <c r="N7711" s="33"/>
    </row>
    <row r="7712" ht="24" customHeight="1" spans="2:14">
      <c r="B7712" s="33"/>
      <c r="C7712" s="60"/>
      <c r="D7712" s="60"/>
      <c r="E7712" s="60"/>
      <c r="F7712" s="60"/>
      <c r="G7712" s="60"/>
      <c r="H7712" s="60"/>
      <c r="I7712" s="60"/>
      <c r="J7712" s="60"/>
      <c r="K7712" s="60"/>
      <c r="L7712" s="60"/>
      <c r="M7712" s="64"/>
      <c r="N7712" s="33"/>
    </row>
    <row r="7713" ht="24" customHeight="1" spans="2:14">
      <c r="B7713" s="33"/>
      <c r="C7713" s="60"/>
      <c r="D7713" s="60"/>
      <c r="E7713" s="60"/>
      <c r="F7713" s="60"/>
      <c r="G7713" s="60"/>
      <c r="H7713" s="60"/>
      <c r="I7713" s="60"/>
      <c r="J7713" s="60"/>
      <c r="K7713" s="60"/>
      <c r="L7713" s="60"/>
      <c r="M7713" s="64"/>
      <c r="N7713" s="33"/>
    </row>
    <row r="7714" ht="24" customHeight="1" spans="2:14">
      <c r="B7714" s="33"/>
      <c r="C7714" s="60"/>
      <c r="D7714" s="60"/>
      <c r="E7714" s="60"/>
      <c r="F7714" s="60"/>
      <c r="G7714" s="60"/>
      <c r="H7714" s="60"/>
      <c r="I7714" s="60"/>
      <c r="J7714" s="60"/>
      <c r="K7714" s="60"/>
      <c r="L7714" s="60"/>
      <c r="M7714" s="64"/>
      <c r="N7714" s="33"/>
    </row>
    <row r="7715" ht="24" customHeight="1" spans="2:14">
      <c r="B7715" s="33"/>
      <c r="C7715" s="60"/>
      <c r="D7715" s="60"/>
      <c r="E7715" s="60"/>
      <c r="F7715" s="60"/>
      <c r="G7715" s="60"/>
      <c r="H7715" s="60"/>
      <c r="I7715" s="60"/>
      <c r="J7715" s="60"/>
      <c r="K7715" s="60"/>
      <c r="L7715" s="60"/>
      <c r="M7715" s="64"/>
      <c r="N7715" s="33"/>
    </row>
    <row r="7716" ht="24" customHeight="1" spans="2:14">
      <c r="B7716" s="33"/>
      <c r="C7716" s="60"/>
      <c r="D7716" s="60"/>
      <c r="E7716" s="60"/>
      <c r="F7716" s="60"/>
      <c r="G7716" s="60"/>
      <c r="H7716" s="60"/>
      <c r="I7716" s="60"/>
      <c r="J7716" s="60"/>
      <c r="K7716" s="60"/>
      <c r="L7716" s="60"/>
      <c r="M7716" s="64"/>
      <c r="N7716" s="33"/>
    </row>
    <row r="7717" ht="24" customHeight="1" spans="2:14">
      <c r="B7717" s="33"/>
      <c r="C7717" s="60"/>
      <c r="D7717" s="60"/>
      <c r="E7717" s="60"/>
      <c r="F7717" s="60"/>
      <c r="G7717" s="60"/>
      <c r="H7717" s="60"/>
      <c r="I7717" s="60"/>
      <c r="J7717" s="60"/>
      <c r="K7717" s="60"/>
      <c r="L7717" s="60"/>
      <c r="M7717" s="64"/>
      <c r="N7717" s="33"/>
    </row>
    <row r="7718" ht="24" customHeight="1" spans="2:14">
      <c r="B7718" s="33"/>
      <c r="C7718" s="60"/>
      <c r="D7718" s="60"/>
      <c r="E7718" s="60"/>
      <c r="F7718" s="60"/>
      <c r="G7718" s="60"/>
      <c r="H7718" s="60"/>
      <c r="I7718" s="60"/>
      <c r="J7718" s="60"/>
      <c r="K7718" s="60"/>
      <c r="L7718" s="60"/>
      <c r="M7718" s="64"/>
      <c r="N7718" s="33"/>
    </row>
    <row r="7719" ht="24" customHeight="1" spans="2:14">
      <c r="B7719" s="33"/>
      <c r="C7719" s="60"/>
      <c r="D7719" s="60"/>
      <c r="E7719" s="60"/>
      <c r="F7719" s="60"/>
      <c r="G7719" s="60"/>
      <c r="H7719" s="60"/>
      <c r="I7719" s="60"/>
      <c r="J7719" s="60"/>
      <c r="K7719" s="60"/>
      <c r="L7719" s="60"/>
      <c r="M7719" s="64"/>
      <c r="N7719" s="33"/>
    </row>
    <row r="7720" ht="24" customHeight="1" spans="2:14">
      <c r="B7720" s="33"/>
      <c r="C7720" s="60"/>
      <c r="D7720" s="60"/>
      <c r="E7720" s="60"/>
      <c r="F7720" s="60"/>
      <c r="G7720" s="60"/>
      <c r="H7720" s="60"/>
      <c r="I7720" s="60"/>
      <c r="J7720" s="60"/>
      <c r="K7720" s="60"/>
      <c r="L7720" s="60"/>
      <c r="M7720" s="64"/>
      <c r="N7720" s="33"/>
    </row>
    <row r="7721" ht="24" customHeight="1" spans="2:14">
      <c r="B7721" s="33"/>
      <c r="C7721" s="60"/>
      <c r="D7721" s="60"/>
      <c r="E7721" s="60"/>
      <c r="F7721" s="60"/>
      <c r="G7721" s="60"/>
      <c r="H7721" s="60"/>
      <c r="I7721" s="60"/>
      <c r="J7721" s="60"/>
      <c r="K7721" s="60"/>
      <c r="L7721" s="60"/>
      <c r="M7721" s="64"/>
      <c r="N7721" s="33"/>
    </row>
    <row r="7722" ht="24" customHeight="1" spans="2:14">
      <c r="B7722" s="33"/>
      <c r="C7722" s="60"/>
      <c r="D7722" s="60"/>
      <c r="E7722" s="60"/>
      <c r="F7722" s="60"/>
      <c r="G7722" s="60"/>
      <c r="H7722" s="60"/>
      <c r="I7722" s="60"/>
      <c r="J7722" s="60"/>
      <c r="K7722" s="60"/>
      <c r="L7722" s="60"/>
      <c r="M7722" s="64"/>
      <c r="N7722" s="33"/>
    </row>
    <row r="7723" ht="24" customHeight="1" spans="2:14">
      <c r="B7723" s="33"/>
      <c r="C7723" s="60"/>
      <c r="D7723" s="60"/>
      <c r="E7723" s="60"/>
      <c r="F7723" s="60"/>
      <c r="G7723" s="60"/>
      <c r="H7723" s="60"/>
      <c r="I7723" s="60"/>
      <c r="J7723" s="60"/>
      <c r="K7723" s="60"/>
      <c r="L7723" s="60"/>
      <c r="M7723" s="64"/>
      <c r="N7723" s="33"/>
    </row>
    <row r="7724" ht="24" customHeight="1" spans="2:14">
      <c r="B7724" s="33"/>
      <c r="C7724" s="60"/>
      <c r="D7724" s="60"/>
      <c r="E7724" s="60"/>
      <c r="F7724" s="60"/>
      <c r="G7724" s="60"/>
      <c r="H7724" s="60"/>
      <c r="I7724" s="60"/>
      <c r="J7724" s="60"/>
      <c r="K7724" s="60"/>
      <c r="L7724" s="60"/>
      <c r="M7724" s="64"/>
      <c r="N7724" s="33"/>
    </row>
    <row r="7725" ht="24" customHeight="1" spans="2:14">
      <c r="B7725" s="33"/>
      <c r="C7725" s="60"/>
      <c r="D7725" s="60"/>
      <c r="E7725" s="60"/>
      <c r="F7725" s="60"/>
      <c r="G7725" s="60"/>
      <c r="H7725" s="60"/>
      <c r="I7725" s="60"/>
      <c r="J7725" s="60"/>
      <c r="K7725" s="60"/>
      <c r="L7725" s="60"/>
      <c r="M7725" s="64"/>
      <c r="N7725" s="33"/>
    </row>
    <row r="7726" ht="24" customHeight="1" spans="2:14">
      <c r="B7726" s="33"/>
      <c r="C7726" s="60"/>
      <c r="D7726" s="60"/>
      <c r="E7726" s="60"/>
      <c r="F7726" s="60"/>
      <c r="G7726" s="60"/>
      <c r="H7726" s="60"/>
      <c r="I7726" s="60"/>
      <c r="J7726" s="60"/>
      <c r="K7726" s="60"/>
      <c r="L7726" s="60"/>
      <c r="M7726" s="64"/>
      <c r="N7726" s="33"/>
    </row>
    <row r="7727" ht="24" customHeight="1" spans="2:14">
      <c r="B7727" s="33"/>
      <c r="C7727" s="60"/>
      <c r="D7727" s="60"/>
      <c r="E7727" s="60"/>
      <c r="F7727" s="60"/>
      <c r="G7727" s="60"/>
      <c r="H7727" s="60"/>
      <c r="I7727" s="60"/>
      <c r="J7727" s="60"/>
      <c r="K7727" s="60"/>
      <c r="L7727" s="60"/>
      <c r="M7727" s="64"/>
      <c r="N7727" s="33"/>
    </row>
    <row r="7728" ht="24" customHeight="1" spans="2:14">
      <c r="B7728" s="33"/>
      <c r="C7728" s="60"/>
      <c r="D7728" s="60"/>
      <c r="E7728" s="60"/>
      <c r="F7728" s="60"/>
      <c r="G7728" s="60"/>
      <c r="H7728" s="60"/>
      <c r="I7728" s="60"/>
      <c r="J7728" s="60"/>
      <c r="K7728" s="60"/>
      <c r="L7728" s="60"/>
      <c r="M7728" s="64"/>
      <c r="N7728" s="33"/>
    </row>
    <row r="7729" ht="24" customHeight="1" spans="2:14">
      <c r="B7729" s="33"/>
      <c r="C7729" s="60"/>
      <c r="D7729" s="60"/>
      <c r="E7729" s="60"/>
      <c r="F7729" s="60"/>
      <c r="G7729" s="60"/>
      <c r="H7729" s="60"/>
      <c r="I7729" s="60"/>
      <c r="J7729" s="60"/>
      <c r="K7729" s="60"/>
      <c r="L7729" s="60"/>
      <c r="M7729" s="64"/>
      <c r="N7729" s="33"/>
    </row>
    <row r="7730" ht="24" customHeight="1" spans="2:14">
      <c r="B7730" s="33"/>
      <c r="C7730" s="60"/>
      <c r="D7730" s="60"/>
      <c r="E7730" s="60"/>
      <c r="F7730" s="60"/>
      <c r="G7730" s="60"/>
      <c r="H7730" s="60"/>
      <c r="I7730" s="60"/>
      <c r="J7730" s="60"/>
      <c r="K7730" s="60"/>
      <c r="L7730" s="60"/>
      <c r="M7730" s="64"/>
      <c r="N7730" s="33"/>
    </row>
    <row r="7731" ht="24" customHeight="1" spans="2:14">
      <c r="B7731" s="33"/>
      <c r="C7731" s="60"/>
      <c r="D7731" s="60"/>
      <c r="E7731" s="60"/>
      <c r="F7731" s="60"/>
      <c r="G7731" s="60"/>
      <c r="H7731" s="60"/>
      <c r="I7731" s="60"/>
      <c r="J7731" s="60"/>
      <c r="K7731" s="60"/>
      <c r="L7731" s="60"/>
      <c r="M7731" s="64"/>
      <c r="N7731" s="33"/>
    </row>
    <row r="7732" ht="24" customHeight="1" spans="2:14">
      <c r="B7732" s="33"/>
      <c r="C7732" s="60"/>
      <c r="D7732" s="60"/>
      <c r="E7732" s="60"/>
      <c r="F7732" s="60"/>
      <c r="G7732" s="60"/>
      <c r="H7732" s="60"/>
      <c r="I7732" s="60"/>
      <c r="J7732" s="60"/>
      <c r="K7732" s="60"/>
      <c r="L7732" s="60"/>
      <c r="M7732" s="64"/>
      <c r="N7732" s="33"/>
    </row>
    <row r="7733" ht="24" customHeight="1" spans="2:14">
      <c r="B7733" s="33"/>
      <c r="C7733" s="60"/>
      <c r="D7733" s="60"/>
      <c r="E7733" s="60"/>
      <c r="F7733" s="60"/>
      <c r="G7733" s="60"/>
      <c r="H7733" s="60"/>
      <c r="I7733" s="60"/>
      <c r="J7733" s="60"/>
      <c r="K7733" s="60"/>
      <c r="L7733" s="60"/>
      <c r="M7733" s="64"/>
      <c r="N7733" s="33"/>
    </row>
    <row r="7734" ht="24" customHeight="1" spans="2:14">
      <c r="B7734" s="33"/>
      <c r="C7734" s="60"/>
      <c r="D7734" s="60"/>
      <c r="E7734" s="60"/>
      <c r="F7734" s="60"/>
      <c r="G7734" s="60"/>
      <c r="H7734" s="60"/>
      <c r="I7734" s="60"/>
      <c r="J7734" s="60"/>
      <c r="K7734" s="60"/>
      <c r="L7734" s="60"/>
      <c r="M7734" s="64"/>
      <c r="N7734" s="33"/>
    </row>
    <row r="7735" ht="24" customHeight="1" spans="2:14">
      <c r="B7735" s="33"/>
      <c r="C7735" s="60"/>
      <c r="D7735" s="60"/>
      <c r="E7735" s="60"/>
      <c r="F7735" s="60"/>
      <c r="G7735" s="60"/>
      <c r="H7735" s="60"/>
      <c r="I7735" s="60"/>
      <c r="J7735" s="60"/>
      <c r="K7735" s="60"/>
      <c r="L7735" s="60"/>
      <c r="M7735" s="64"/>
      <c r="N7735" s="33"/>
    </row>
    <row r="7736" ht="24" customHeight="1" spans="2:14">
      <c r="B7736" s="33"/>
      <c r="C7736" s="60"/>
      <c r="D7736" s="60"/>
      <c r="E7736" s="60"/>
      <c r="F7736" s="60"/>
      <c r="G7736" s="60"/>
      <c r="H7736" s="60"/>
      <c r="I7736" s="60"/>
      <c r="J7736" s="60"/>
      <c r="K7736" s="60"/>
      <c r="L7736" s="60"/>
      <c r="M7736" s="64"/>
      <c r="N7736" s="33"/>
    </row>
    <row r="7737" ht="24" customHeight="1" spans="2:14">
      <c r="B7737" s="33"/>
      <c r="C7737" s="60"/>
      <c r="D7737" s="60"/>
      <c r="E7737" s="60"/>
      <c r="F7737" s="60"/>
      <c r="G7737" s="60"/>
      <c r="H7737" s="60"/>
      <c r="I7737" s="60"/>
      <c r="J7737" s="60"/>
      <c r="K7737" s="60"/>
      <c r="L7737" s="60"/>
      <c r="M7737" s="64"/>
      <c r="N7737" s="33"/>
    </row>
    <row r="7738" ht="24" customHeight="1" spans="2:14">
      <c r="B7738" s="33"/>
      <c r="C7738" s="60"/>
      <c r="D7738" s="60"/>
      <c r="E7738" s="60"/>
      <c r="F7738" s="60"/>
      <c r="G7738" s="60"/>
      <c r="H7738" s="60"/>
      <c r="I7738" s="60"/>
      <c r="J7738" s="60"/>
      <c r="K7738" s="60"/>
      <c r="L7738" s="60"/>
      <c r="M7738" s="64"/>
      <c r="N7738" s="33"/>
    </row>
    <row r="7739" ht="24" customHeight="1" spans="2:14">
      <c r="B7739" s="33"/>
      <c r="C7739" s="60"/>
      <c r="D7739" s="60"/>
      <c r="E7739" s="60"/>
      <c r="F7739" s="60"/>
      <c r="G7739" s="60"/>
      <c r="H7739" s="60"/>
      <c r="I7739" s="60"/>
      <c r="J7739" s="60"/>
      <c r="K7739" s="60"/>
      <c r="L7739" s="60"/>
      <c r="M7739" s="64"/>
      <c r="N7739" s="33"/>
    </row>
    <row r="7740" ht="24" customHeight="1" spans="2:14">
      <c r="B7740" s="33"/>
      <c r="C7740" s="60"/>
      <c r="D7740" s="60"/>
      <c r="E7740" s="60"/>
      <c r="F7740" s="60"/>
      <c r="G7740" s="60"/>
      <c r="H7740" s="60"/>
      <c r="I7740" s="60"/>
      <c r="J7740" s="60"/>
      <c r="K7740" s="60"/>
      <c r="L7740" s="60"/>
      <c r="M7740" s="64"/>
      <c r="N7740" s="33"/>
    </row>
    <row r="7741" ht="24" customHeight="1" spans="2:14">
      <c r="B7741" s="33"/>
      <c r="C7741" s="60"/>
      <c r="D7741" s="60"/>
      <c r="E7741" s="60"/>
      <c r="F7741" s="60"/>
      <c r="G7741" s="60"/>
      <c r="H7741" s="60"/>
      <c r="I7741" s="60"/>
      <c r="J7741" s="60"/>
      <c r="K7741" s="60"/>
      <c r="L7741" s="60"/>
      <c r="M7741" s="64"/>
      <c r="N7741" s="33"/>
    </row>
    <row r="7742" ht="24" customHeight="1" spans="2:14">
      <c r="B7742" s="33"/>
      <c r="C7742" s="60"/>
      <c r="D7742" s="60"/>
      <c r="E7742" s="60"/>
      <c r="F7742" s="60"/>
      <c r="G7742" s="60"/>
      <c r="H7742" s="60"/>
      <c r="I7742" s="60"/>
      <c r="J7742" s="60"/>
      <c r="K7742" s="60"/>
      <c r="L7742" s="60"/>
      <c r="M7742" s="64"/>
      <c r="N7742" s="33"/>
    </row>
    <row r="7743" ht="24" customHeight="1" spans="2:14">
      <c r="B7743" s="33"/>
      <c r="C7743" s="60"/>
      <c r="D7743" s="60"/>
      <c r="E7743" s="60"/>
      <c r="F7743" s="60"/>
      <c r="G7743" s="60"/>
      <c r="H7743" s="60"/>
      <c r="I7743" s="60"/>
      <c r="J7743" s="60"/>
      <c r="K7743" s="60"/>
      <c r="L7743" s="60"/>
      <c r="M7743" s="64"/>
      <c r="N7743" s="33"/>
    </row>
    <row r="7744" ht="24" customHeight="1" spans="2:14">
      <c r="B7744" s="33"/>
      <c r="C7744" s="60"/>
      <c r="D7744" s="60"/>
      <c r="E7744" s="60"/>
      <c r="F7744" s="60"/>
      <c r="G7744" s="60"/>
      <c r="H7744" s="60"/>
      <c r="I7744" s="60"/>
      <c r="J7744" s="60"/>
      <c r="K7744" s="60"/>
      <c r="L7744" s="60"/>
      <c r="M7744" s="64"/>
      <c r="N7744" s="33"/>
    </row>
    <row r="7745" ht="24" customHeight="1" spans="2:14">
      <c r="B7745" s="33"/>
      <c r="C7745" s="60"/>
      <c r="D7745" s="60"/>
      <c r="E7745" s="60"/>
      <c r="F7745" s="60"/>
      <c r="G7745" s="60"/>
      <c r="H7745" s="60"/>
      <c r="I7745" s="60"/>
      <c r="J7745" s="60"/>
      <c r="K7745" s="60"/>
      <c r="L7745" s="60"/>
      <c r="M7745" s="64"/>
      <c r="N7745" s="33"/>
    </row>
    <row r="7746" ht="24" customHeight="1" spans="2:14">
      <c r="B7746" s="33"/>
      <c r="C7746" s="60"/>
      <c r="D7746" s="60"/>
      <c r="E7746" s="60"/>
      <c r="F7746" s="60"/>
      <c r="G7746" s="60"/>
      <c r="H7746" s="60"/>
      <c r="I7746" s="60"/>
      <c r="J7746" s="60"/>
      <c r="K7746" s="60"/>
      <c r="L7746" s="60"/>
      <c r="M7746" s="64"/>
      <c r="N7746" s="33"/>
    </row>
    <row r="7747" ht="24" customHeight="1" spans="2:14">
      <c r="B7747" s="33"/>
      <c r="C7747" s="60"/>
      <c r="D7747" s="60"/>
      <c r="E7747" s="60"/>
      <c r="F7747" s="60"/>
      <c r="G7747" s="60"/>
      <c r="H7747" s="60"/>
      <c r="I7747" s="60"/>
      <c r="J7747" s="60"/>
      <c r="K7747" s="60"/>
      <c r="L7747" s="60"/>
      <c r="M7747" s="64"/>
      <c r="N7747" s="33"/>
    </row>
    <row r="7748" ht="24" customHeight="1" spans="2:14">
      <c r="B7748" s="33"/>
      <c r="C7748" s="60"/>
      <c r="D7748" s="60"/>
      <c r="E7748" s="60"/>
      <c r="F7748" s="60"/>
      <c r="G7748" s="60"/>
      <c r="H7748" s="60"/>
      <c r="I7748" s="60"/>
      <c r="J7748" s="60"/>
      <c r="K7748" s="60"/>
      <c r="L7748" s="60"/>
      <c r="M7748" s="64"/>
      <c r="N7748" s="33"/>
    </row>
    <row r="7749" ht="24" customHeight="1" spans="2:14">
      <c r="B7749" s="33"/>
      <c r="C7749" s="60"/>
      <c r="D7749" s="60"/>
      <c r="E7749" s="60"/>
      <c r="F7749" s="60"/>
      <c r="G7749" s="60"/>
      <c r="H7749" s="60"/>
      <c r="I7749" s="60"/>
      <c r="J7749" s="60"/>
      <c r="K7749" s="60"/>
      <c r="L7749" s="60"/>
      <c r="M7749" s="64"/>
      <c r="N7749" s="33"/>
    </row>
    <row r="7750" ht="24" customHeight="1" spans="2:14">
      <c r="B7750" s="33"/>
      <c r="C7750" s="60"/>
      <c r="D7750" s="60"/>
      <c r="E7750" s="60"/>
      <c r="F7750" s="60"/>
      <c r="G7750" s="60"/>
      <c r="H7750" s="60"/>
      <c r="I7750" s="60"/>
      <c r="J7750" s="60"/>
      <c r="K7750" s="60"/>
      <c r="L7750" s="60"/>
      <c r="M7750" s="64"/>
      <c r="N7750" s="33"/>
    </row>
    <row r="7751" ht="24" customHeight="1" spans="2:14">
      <c r="B7751" s="33"/>
      <c r="C7751" s="60"/>
      <c r="D7751" s="60"/>
      <c r="E7751" s="60"/>
      <c r="F7751" s="60"/>
      <c r="G7751" s="60"/>
      <c r="H7751" s="60"/>
      <c r="I7751" s="60"/>
      <c r="J7751" s="60"/>
      <c r="K7751" s="60"/>
      <c r="L7751" s="60"/>
      <c r="M7751" s="64"/>
      <c r="N7751" s="33"/>
    </row>
    <row r="7752" ht="24" customHeight="1" spans="2:14">
      <c r="B7752" s="33"/>
      <c r="C7752" s="60"/>
      <c r="D7752" s="60"/>
      <c r="E7752" s="60"/>
      <c r="F7752" s="60"/>
      <c r="G7752" s="60"/>
      <c r="H7752" s="60"/>
      <c r="I7752" s="60"/>
      <c r="J7752" s="60"/>
      <c r="K7752" s="60"/>
      <c r="L7752" s="60"/>
      <c r="M7752" s="64"/>
      <c r="N7752" s="33"/>
    </row>
    <row r="7753" ht="24" customHeight="1" spans="2:14">
      <c r="B7753" s="33"/>
      <c r="C7753" s="60"/>
      <c r="D7753" s="60"/>
      <c r="E7753" s="60"/>
      <c r="F7753" s="60"/>
      <c r="G7753" s="60"/>
      <c r="H7753" s="60"/>
      <c r="I7753" s="60"/>
      <c r="J7753" s="60"/>
      <c r="K7753" s="60"/>
      <c r="L7753" s="60"/>
      <c r="M7753" s="64"/>
      <c r="N7753" s="33"/>
    </row>
    <row r="7754" ht="24" customHeight="1" spans="2:14">
      <c r="B7754" s="33"/>
      <c r="C7754" s="60"/>
      <c r="D7754" s="60"/>
      <c r="E7754" s="60"/>
      <c r="F7754" s="60"/>
      <c r="G7754" s="60"/>
      <c r="H7754" s="60"/>
      <c r="I7754" s="60"/>
      <c r="J7754" s="60"/>
      <c r="K7754" s="60"/>
      <c r="L7754" s="60"/>
      <c r="M7754" s="64"/>
      <c r="N7754" s="33"/>
    </row>
    <row r="7755" ht="24" customHeight="1" spans="2:14">
      <c r="B7755" s="33"/>
      <c r="C7755" s="60"/>
      <c r="D7755" s="60"/>
      <c r="E7755" s="60"/>
      <c r="F7755" s="60"/>
      <c r="G7755" s="60"/>
      <c r="H7755" s="60"/>
      <c r="I7755" s="60"/>
      <c r="J7755" s="60"/>
      <c r="K7755" s="60"/>
      <c r="L7755" s="60"/>
      <c r="M7755" s="64"/>
      <c r="N7755" s="33"/>
    </row>
    <row r="7756" ht="24" customHeight="1" spans="2:14">
      <c r="B7756" s="33"/>
      <c r="C7756" s="60"/>
      <c r="D7756" s="60"/>
      <c r="E7756" s="60"/>
      <c r="F7756" s="60"/>
      <c r="G7756" s="60"/>
      <c r="H7756" s="60"/>
      <c r="I7756" s="60"/>
      <c r="J7756" s="60"/>
      <c r="K7756" s="60"/>
      <c r="L7756" s="60"/>
      <c r="M7756" s="64"/>
      <c r="N7756" s="33"/>
    </row>
    <row r="7757" ht="24" customHeight="1" spans="2:14">
      <c r="B7757" s="33"/>
      <c r="C7757" s="60"/>
      <c r="D7757" s="60"/>
      <c r="E7757" s="60"/>
      <c r="F7757" s="60"/>
      <c r="G7757" s="60"/>
      <c r="H7757" s="60"/>
      <c r="I7757" s="60"/>
      <c r="J7757" s="60"/>
      <c r="K7757" s="60"/>
      <c r="L7757" s="60"/>
      <c r="M7757" s="64"/>
      <c r="N7757" s="33"/>
    </row>
    <row r="7758" ht="24" customHeight="1" spans="2:14">
      <c r="B7758" s="33"/>
      <c r="C7758" s="60"/>
      <c r="D7758" s="60"/>
      <c r="E7758" s="60"/>
      <c r="F7758" s="60"/>
      <c r="G7758" s="60"/>
      <c r="H7758" s="60"/>
      <c r="I7758" s="60"/>
      <c r="J7758" s="60"/>
      <c r="K7758" s="60"/>
      <c r="L7758" s="60"/>
      <c r="M7758" s="64"/>
      <c r="N7758" s="33"/>
    </row>
    <row r="7759" ht="24" customHeight="1" spans="2:14">
      <c r="B7759" s="33"/>
      <c r="C7759" s="60"/>
      <c r="D7759" s="60"/>
      <c r="E7759" s="60"/>
      <c r="F7759" s="60"/>
      <c r="G7759" s="60"/>
      <c r="H7759" s="60"/>
      <c r="I7759" s="60"/>
      <c r="J7759" s="60"/>
      <c r="K7759" s="60"/>
      <c r="L7759" s="60"/>
      <c r="M7759" s="64"/>
      <c r="N7759" s="33"/>
    </row>
    <row r="7760" ht="24" customHeight="1" spans="2:14">
      <c r="B7760" s="33"/>
      <c r="C7760" s="60"/>
      <c r="D7760" s="60"/>
      <c r="E7760" s="60"/>
      <c r="F7760" s="60"/>
      <c r="G7760" s="60"/>
      <c r="H7760" s="60"/>
      <c r="I7760" s="60"/>
      <c r="J7760" s="60"/>
      <c r="K7760" s="60"/>
      <c r="L7760" s="60"/>
      <c r="M7760" s="64"/>
      <c r="N7760" s="33"/>
    </row>
    <row r="7761" ht="24" customHeight="1" spans="2:14">
      <c r="B7761" s="33"/>
      <c r="C7761" s="60"/>
      <c r="D7761" s="60"/>
      <c r="E7761" s="60"/>
      <c r="F7761" s="60"/>
      <c r="G7761" s="60"/>
      <c r="H7761" s="60"/>
      <c r="I7761" s="60"/>
      <c r="J7761" s="60"/>
      <c r="K7761" s="60"/>
      <c r="L7761" s="60"/>
      <c r="M7761" s="64"/>
      <c r="N7761" s="33"/>
    </row>
    <row r="7762" ht="24" customHeight="1" spans="2:14">
      <c r="B7762" s="33"/>
      <c r="C7762" s="60"/>
      <c r="D7762" s="60"/>
      <c r="E7762" s="60"/>
      <c r="F7762" s="60"/>
      <c r="G7762" s="60"/>
      <c r="H7762" s="60"/>
      <c r="I7762" s="60"/>
      <c r="J7762" s="60"/>
      <c r="K7762" s="60"/>
      <c r="L7762" s="60"/>
      <c r="M7762" s="64"/>
      <c r="N7762" s="33"/>
    </row>
    <row r="7763" ht="24" customHeight="1" spans="2:14">
      <c r="B7763" s="33"/>
      <c r="C7763" s="60"/>
      <c r="D7763" s="60"/>
      <c r="E7763" s="60"/>
      <c r="F7763" s="60"/>
      <c r="G7763" s="60"/>
      <c r="H7763" s="60"/>
      <c r="I7763" s="60"/>
      <c r="J7763" s="60"/>
      <c r="K7763" s="60"/>
      <c r="L7763" s="60"/>
      <c r="M7763" s="64"/>
      <c r="N7763" s="33"/>
    </row>
    <row r="7764" ht="24" customHeight="1" spans="2:14">
      <c r="B7764" s="33"/>
      <c r="C7764" s="60"/>
      <c r="D7764" s="60"/>
      <c r="E7764" s="60"/>
      <c r="F7764" s="60"/>
      <c r="G7764" s="60"/>
      <c r="H7764" s="60"/>
      <c r="I7764" s="60"/>
      <c r="J7764" s="60"/>
      <c r="K7764" s="60"/>
      <c r="L7764" s="60"/>
      <c r="M7764" s="64"/>
      <c r="N7764" s="33"/>
    </row>
    <row r="7765" ht="24" customHeight="1" spans="2:14">
      <c r="B7765" s="33"/>
      <c r="C7765" s="60"/>
      <c r="D7765" s="60"/>
      <c r="E7765" s="60"/>
      <c r="F7765" s="60"/>
      <c r="G7765" s="60"/>
      <c r="H7765" s="60"/>
      <c r="I7765" s="60"/>
      <c r="J7765" s="60"/>
      <c r="K7765" s="60"/>
      <c r="L7765" s="60"/>
      <c r="M7765" s="64"/>
      <c r="N7765" s="33"/>
    </row>
    <row r="7766" ht="24" customHeight="1" spans="2:14">
      <c r="B7766" s="33"/>
      <c r="C7766" s="60"/>
      <c r="D7766" s="60"/>
      <c r="E7766" s="60"/>
      <c r="F7766" s="60"/>
      <c r="G7766" s="60"/>
      <c r="H7766" s="60"/>
      <c r="I7766" s="60"/>
      <c r="J7766" s="60"/>
      <c r="K7766" s="60"/>
      <c r="L7766" s="60"/>
      <c r="M7766" s="64"/>
      <c r="N7766" s="33"/>
    </row>
    <row r="7767" ht="24" customHeight="1" spans="2:14">
      <c r="B7767" s="33"/>
      <c r="C7767" s="60"/>
      <c r="D7767" s="60"/>
      <c r="E7767" s="60"/>
      <c r="F7767" s="60"/>
      <c r="G7767" s="60"/>
      <c r="H7767" s="60"/>
      <c r="I7767" s="60"/>
      <c r="J7767" s="60"/>
      <c r="K7767" s="60"/>
      <c r="L7767" s="60"/>
      <c r="M7767" s="64"/>
      <c r="N7767" s="33"/>
    </row>
    <row r="7768" ht="24" customHeight="1" spans="2:14">
      <c r="B7768" s="33"/>
      <c r="C7768" s="60"/>
      <c r="D7768" s="60"/>
      <c r="E7768" s="60"/>
      <c r="F7768" s="60"/>
      <c r="G7768" s="60"/>
      <c r="H7768" s="60"/>
      <c r="I7768" s="60"/>
      <c r="J7768" s="60"/>
      <c r="K7768" s="60"/>
      <c r="L7768" s="60"/>
      <c r="M7768" s="64"/>
      <c r="N7768" s="33"/>
    </row>
    <row r="7769" ht="24" customHeight="1" spans="2:14">
      <c r="B7769" s="33"/>
      <c r="C7769" s="60"/>
      <c r="D7769" s="60"/>
      <c r="E7769" s="60"/>
      <c r="F7769" s="60"/>
      <c r="G7769" s="60"/>
      <c r="H7769" s="60"/>
      <c r="I7769" s="60"/>
      <c r="J7769" s="60"/>
      <c r="K7769" s="60"/>
      <c r="L7769" s="60"/>
      <c r="M7769" s="64"/>
      <c r="N7769" s="33"/>
    </row>
    <row r="7770" ht="24" customHeight="1" spans="2:14">
      <c r="B7770" s="33"/>
      <c r="C7770" s="60"/>
      <c r="D7770" s="60"/>
      <c r="E7770" s="60"/>
      <c r="F7770" s="60"/>
      <c r="G7770" s="60"/>
      <c r="H7770" s="60"/>
      <c r="I7770" s="60"/>
      <c r="J7770" s="60"/>
      <c r="K7770" s="60"/>
      <c r="L7770" s="60"/>
      <c r="M7770" s="64"/>
      <c r="N7770" s="33"/>
    </row>
    <row r="7771" ht="24" customHeight="1" spans="2:14">
      <c r="B7771" s="33"/>
      <c r="C7771" s="60"/>
      <c r="D7771" s="60"/>
      <c r="E7771" s="60"/>
      <c r="F7771" s="60"/>
      <c r="G7771" s="60"/>
      <c r="H7771" s="60"/>
      <c r="I7771" s="60"/>
      <c r="J7771" s="60"/>
      <c r="K7771" s="60"/>
      <c r="L7771" s="60"/>
      <c r="M7771" s="64"/>
      <c r="N7771" s="33"/>
    </row>
    <row r="7772" ht="24" customHeight="1" spans="2:14">
      <c r="B7772" s="33"/>
      <c r="C7772" s="60"/>
      <c r="D7772" s="60"/>
      <c r="E7772" s="60"/>
      <c r="F7772" s="60"/>
      <c r="G7772" s="60"/>
      <c r="H7772" s="60"/>
      <c r="I7772" s="60"/>
      <c r="J7772" s="60"/>
      <c r="K7772" s="60"/>
      <c r="L7772" s="60"/>
      <c r="M7772" s="64"/>
      <c r="N7772" s="33"/>
    </row>
    <row r="7773" ht="24" customHeight="1" spans="2:14">
      <c r="B7773" s="33"/>
      <c r="C7773" s="60"/>
      <c r="D7773" s="60"/>
      <c r="E7773" s="60"/>
      <c r="F7773" s="60"/>
      <c r="G7773" s="60"/>
      <c r="H7773" s="60"/>
      <c r="I7773" s="60"/>
      <c r="J7773" s="60"/>
      <c r="K7773" s="60"/>
      <c r="L7773" s="60"/>
      <c r="M7773" s="64"/>
      <c r="N7773" s="33"/>
    </row>
    <row r="7774" ht="24" customHeight="1" spans="2:14">
      <c r="B7774" s="33"/>
      <c r="C7774" s="60"/>
      <c r="D7774" s="60"/>
      <c r="E7774" s="60"/>
      <c r="F7774" s="60"/>
      <c r="G7774" s="60"/>
      <c r="H7774" s="60"/>
      <c r="I7774" s="60"/>
      <c r="J7774" s="60"/>
      <c r="K7774" s="60"/>
      <c r="L7774" s="60"/>
      <c r="M7774" s="64"/>
      <c r="N7774" s="33"/>
    </row>
    <row r="7775" ht="24" customHeight="1" spans="2:14">
      <c r="B7775" s="33"/>
      <c r="C7775" s="60"/>
      <c r="D7775" s="60"/>
      <c r="E7775" s="60"/>
      <c r="F7775" s="60"/>
      <c r="G7775" s="60"/>
      <c r="H7775" s="60"/>
      <c r="I7775" s="60"/>
      <c r="J7775" s="60"/>
      <c r="K7775" s="60"/>
      <c r="L7775" s="60"/>
      <c r="M7775" s="64"/>
      <c r="N7775" s="33"/>
    </row>
    <row r="7776" ht="24" customHeight="1" spans="2:14">
      <c r="B7776" s="33"/>
      <c r="C7776" s="60"/>
      <c r="D7776" s="60"/>
      <c r="E7776" s="60"/>
      <c r="F7776" s="60"/>
      <c r="G7776" s="60"/>
      <c r="H7776" s="60"/>
      <c r="I7776" s="60"/>
      <c r="J7776" s="60"/>
      <c r="K7776" s="60"/>
      <c r="L7776" s="60"/>
      <c r="M7776" s="64"/>
      <c r="N7776" s="33"/>
    </row>
    <row r="7777" ht="24" customHeight="1" spans="2:14">
      <c r="B7777" s="33"/>
      <c r="C7777" s="60"/>
      <c r="D7777" s="60"/>
      <c r="E7777" s="60"/>
      <c r="F7777" s="60"/>
      <c r="G7777" s="60"/>
      <c r="H7777" s="60"/>
      <c r="I7777" s="60"/>
      <c r="J7777" s="60"/>
      <c r="K7777" s="60"/>
      <c r="L7777" s="60"/>
      <c r="M7777" s="64"/>
      <c r="N7777" s="33"/>
    </row>
    <row r="7778" ht="24" customHeight="1" spans="2:14">
      <c r="B7778" s="33"/>
      <c r="C7778" s="60"/>
      <c r="D7778" s="60"/>
      <c r="E7778" s="60"/>
      <c r="F7778" s="60"/>
      <c r="G7778" s="60"/>
      <c r="H7778" s="60"/>
      <c r="I7778" s="60"/>
      <c r="J7778" s="60"/>
      <c r="K7778" s="60"/>
      <c r="L7778" s="60"/>
      <c r="M7778" s="64"/>
      <c r="N7778" s="33"/>
    </row>
    <row r="7779" ht="24" customHeight="1" spans="2:14">
      <c r="B7779" s="33"/>
      <c r="C7779" s="60"/>
      <c r="D7779" s="60"/>
      <c r="E7779" s="60"/>
      <c r="F7779" s="60"/>
      <c r="G7779" s="60"/>
      <c r="H7779" s="60"/>
      <c r="I7779" s="60"/>
      <c r="J7779" s="60"/>
      <c r="K7779" s="60"/>
      <c r="L7779" s="60"/>
      <c r="M7779" s="64"/>
      <c r="N7779" s="33"/>
    </row>
    <row r="7780" ht="24" customHeight="1" spans="2:14">
      <c r="B7780" s="33"/>
      <c r="C7780" s="60"/>
      <c r="D7780" s="60"/>
      <c r="E7780" s="60"/>
      <c r="F7780" s="60"/>
      <c r="G7780" s="60"/>
      <c r="H7780" s="60"/>
      <c r="I7780" s="60"/>
      <c r="J7780" s="60"/>
      <c r="K7780" s="60"/>
      <c r="L7780" s="60"/>
      <c r="M7780" s="64"/>
      <c r="N7780" s="33"/>
    </row>
    <row r="7781" ht="24" customHeight="1" spans="2:14">
      <c r="B7781" s="33"/>
      <c r="C7781" s="60"/>
      <c r="D7781" s="60"/>
      <c r="E7781" s="60"/>
      <c r="F7781" s="60"/>
      <c r="G7781" s="60"/>
      <c r="H7781" s="60"/>
      <c r="I7781" s="60"/>
      <c r="J7781" s="60"/>
      <c r="K7781" s="60"/>
      <c r="L7781" s="60"/>
      <c r="M7781" s="64"/>
      <c r="N7781" s="33"/>
    </row>
    <row r="7782" ht="24" customHeight="1" spans="2:14">
      <c r="B7782" s="33"/>
      <c r="C7782" s="60"/>
      <c r="D7782" s="60"/>
      <c r="E7782" s="60"/>
      <c r="F7782" s="60"/>
      <c r="G7782" s="60"/>
      <c r="H7782" s="60"/>
      <c r="I7782" s="60"/>
      <c r="J7782" s="60"/>
      <c r="K7782" s="60"/>
      <c r="L7782" s="60"/>
      <c r="M7782" s="64"/>
      <c r="N7782" s="33"/>
    </row>
    <row r="7783" ht="24" customHeight="1" spans="2:14">
      <c r="B7783" s="33"/>
      <c r="C7783" s="60"/>
      <c r="D7783" s="60"/>
      <c r="E7783" s="60"/>
      <c r="F7783" s="60"/>
      <c r="G7783" s="60"/>
      <c r="H7783" s="60"/>
      <c r="I7783" s="60"/>
      <c r="J7783" s="60"/>
      <c r="K7783" s="60"/>
      <c r="L7783" s="60"/>
      <c r="M7783" s="64"/>
      <c r="N7783" s="33"/>
    </row>
    <row r="7784" ht="24" customHeight="1" spans="2:14">
      <c r="B7784" s="33"/>
      <c r="C7784" s="60"/>
      <c r="D7784" s="60"/>
      <c r="E7784" s="60"/>
      <c r="F7784" s="60"/>
      <c r="G7784" s="60"/>
      <c r="H7784" s="60"/>
      <c r="I7784" s="60"/>
      <c r="J7784" s="60"/>
      <c r="K7784" s="60"/>
      <c r="L7784" s="60"/>
      <c r="M7784" s="64"/>
      <c r="N7784" s="33"/>
    </row>
    <row r="7785" ht="24" customHeight="1" spans="2:14">
      <c r="B7785" s="33"/>
      <c r="C7785" s="60"/>
      <c r="D7785" s="60"/>
      <c r="E7785" s="60"/>
      <c r="F7785" s="60"/>
      <c r="G7785" s="60"/>
      <c r="H7785" s="60"/>
      <c r="I7785" s="60"/>
      <c r="J7785" s="60"/>
      <c r="K7785" s="60"/>
      <c r="L7785" s="60"/>
      <c r="M7785" s="64"/>
      <c r="N7785" s="33"/>
    </row>
    <row r="7786" ht="24" customHeight="1" spans="2:14">
      <c r="B7786" s="33"/>
      <c r="C7786" s="60"/>
      <c r="D7786" s="60"/>
      <c r="E7786" s="60"/>
      <c r="F7786" s="60"/>
      <c r="G7786" s="60"/>
      <c r="H7786" s="60"/>
      <c r="I7786" s="60"/>
      <c r="J7786" s="60"/>
      <c r="K7786" s="60"/>
      <c r="L7786" s="60"/>
      <c r="M7786" s="64"/>
      <c r="N7786" s="33"/>
    </row>
    <row r="7787" ht="24" customHeight="1" spans="2:14">
      <c r="B7787" s="33"/>
      <c r="C7787" s="60"/>
      <c r="D7787" s="60"/>
      <c r="E7787" s="60"/>
      <c r="F7787" s="60"/>
      <c r="G7787" s="60"/>
      <c r="H7787" s="60"/>
      <c r="I7787" s="60"/>
      <c r="J7787" s="60"/>
      <c r="K7787" s="60"/>
      <c r="L7787" s="60"/>
      <c r="M7787" s="64"/>
      <c r="N7787" s="33"/>
    </row>
    <row r="7788" ht="24" customHeight="1" spans="2:14">
      <c r="B7788" s="33"/>
      <c r="C7788" s="60"/>
      <c r="D7788" s="60"/>
      <c r="E7788" s="60"/>
      <c r="F7788" s="60"/>
      <c r="G7788" s="60"/>
      <c r="H7788" s="60"/>
      <c r="I7788" s="60"/>
      <c r="J7788" s="60"/>
      <c r="K7788" s="60"/>
      <c r="L7788" s="60"/>
      <c r="M7788" s="64"/>
      <c r="N7788" s="33"/>
    </row>
    <row r="7789" ht="24" customHeight="1" spans="2:14">
      <c r="B7789" s="33"/>
      <c r="C7789" s="60"/>
      <c r="D7789" s="60"/>
      <c r="E7789" s="60"/>
      <c r="F7789" s="60"/>
      <c r="G7789" s="60"/>
      <c r="H7789" s="60"/>
      <c r="I7789" s="60"/>
      <c r="J7789" s="60"/>
      <c r="K7789" s="60"/>
      <c r="L7789" s="60"/>
      <c r="M7789" s="64"/>
      <c r="N7789" s="33"/>
    </row>
    <row r="7790" ht="24" customHeight="1" spans="2:14">
      <c r="B7790" s="33"/>
      <c r="C7790" s="60"/>
      <c r="D7790" s="60"/>
      <c r="E7790" s="60"/>
      <c r="F7790" s="60"/>
      <c r="G7790" s="60"/>
      <c r="H7790" s="60"/>
      <c r="I7790" s="60"/>
      <c r="J7790" s="60"/>
      <c r="K7790" s="60"/>
      <c r="L7790" s="60"/>
      <c r="M7790" s="64"/>
      <c r="N7790" s="33"/>
    </row>
    <row r="7791" ht="24" customHeight="1" spans="2:14">
      <c r="B7791" s="33"/>
      <c r="C7791" s="60"/>
      <c r="D7791" s="60"/>
      <c r="E7791" s="60"/>
      <c r="F7791" s="60"/>
      <c r="G7791" s="60"/>
      <c r="H7791" s="60"/>
      <c r="I7791" s="60"/>
      <c r="J7791" s="60"/>
      <c r="K7791" s="60"/>
      <c r="L7791" s="60"/>
      <c r="M7791" s="64"/>
      <c r="N7791" s="33"/>
    </row>
    <row r="7792" ht="24" customHeight="1" spans="2:14">
      <c r="B7792" s="33"/>
      <c r="C7792" s="60"/>
      <c r="D7792" s="60"/>
      <c r="E7792" s="60"/>
      <c r="F7792" s="60"/>
      <c r="G7792" s="60"/>
      <c r="H7792" s="60"/>
      <c r="I7792" s="60"/>
      <c r="J7792" s="60"/>
      <c r="K7792" s="60"/>
      <c r="L7792" s="60"/>
      <c r="M7792" s="64"/>
      <c r="N7792" s="33"/>
    </row>
    <row r="7793" ht="24" customHeight="1" spans="2:14">
      <c r="B7793" s="33"/>
      <c r="C7793" s="60"/>
      <c r="D7793" s="60"/>
      <c r="E7793" s="60"/>
      <c r="F7793" s="60"/>
      <c r="G7793" s="60"/>
      <c r="H7793" s="60"/>
      <c r="I7793" s="60"/>
      <c r="J7793" s="60"/>
      <c r="K7793" s="60"/>
      <c r="L7793" s="60"/>
      <c r="M7793" s="64"/>
      <c r="N7793" s="33"/>
    </row>
    <row r="7794" ht="24" customHeight="1" spans="2:14">
      <c r="B7794" s="33"/>
      <c r="C7794" s="60"/>
      <c r="D7794" s="60"/>
      <c r="E7794" s="60"/>
      <c r="F7794" s="60"/>
      <c r="G7794" s="60"/>
      <c r="H7794" s="60"/>
      <c r="I7794" s="60"/>
      <c r="J7794" s="60"/>
      <c r="K7794" s="60"/>
      <c r="L7794" s="60"/>
      <c r="M7794" s="64"/>
      <c r="N7794" s="33"/>
    </row>
    <row r="7795" ht="24" customHeight="1" spans="2:14">
      <c r="B7795" s="33"/>
      <c r="C7795" s="60"/>
      <c r="D7795" s="60"/>
      <c r="E7795" s="60"/>
      <c r="F7795" s="60"/>
      <c r="G7795" s="60"/>
      <c r="H7795" s="60"/>
      <c r="I7795" s="60"/>
      <c r="J7795" s="60"/>
      <c r="K7795" s="60"/>
      <c r="L7795" s="60"/>
      <c r="M7795" s="64"/>
      <c r="N7795" s="33"/>
    </row>
    <row r="7796" ht="24" customHeight="1" spans="2:14">
      <c r="B7796" s="33"/>
      <c r="C7796" s="60"/>
      <c r="D7796" s="60"/>
      <c r="E7796" s="60"/>
      <c r="F7796" s="60"/>
      <c r="G7796" s="60"/>
      <c r="H7796" s="60"/>
      <c r="I7796" s="60"/>
      <c r="J7796" s="60"/>
      <c r="K7796" s="60"/>
      <c r="L7796" s="60"/>
      <c r="M7796" s="64"/>
      <c r="N7796" s="33"/>
    </row>
    <row r="7797" ht="24" customHeight="1" spans="2:14">
      <c r="B7797" s="33"/>
      <c r="C7797" s="60"/>
      <c r="D7797" s="60"/>
      <c r="E7797" s="60"/>
      <c r="F7797" s="60"/>
      <c r="G7797" s="60"/>
      <c r="H7797" s="60"/>
      <c r="I7797" s="60"/>
      <c r="J7797" s="60"/>
      <c r="K7797" s="60"/>
      <c r="L7797" s="60"/>
      <c r="M7797" s="64"/>
      <c r="N7797" s="33"/>
    </row>
    <row r="7798" ht="24" customHeight="1" spans="2:14">
      <c r="B7798" s="33"/>
      <c r="C7798" s="60"/>
      <c r="D7798" s="60"/>
      <c r="E7798" s="60"/>
      <c r="F7798" s="60"/>
      <c r="G7798" s="60"/>
      <c r="H7798" s="60"/>
      <c r="I7798" s="60"/>
      <c r="J7798" s="60"/>
      <c r="K7798" s="60"/>
      <c r="L7798" s="60"/>
      <c r="M7798" s="64"/>
      <c r="N7798" s="33"/>
    </row>
    <row r="7799" ht="24" customHeight="1" spans="2:14">
      <c r="B7799" s="33"/>
      <c r="C7799" s="60"/>
      <c r="D7799" s="60"/>
      <c r="E7799" s="60"/>
      <c r="F7799" s="60"/>
      <c r="G7799" s="60"/>
      <c r="H7799" s="60"/>
      <c r="I7799" s="60"/>
      <c r="J7799" s="60"/>
      <c r="K7799" s="60"/>
      <c r="L7799" s="60"/>
      <c r="M7799" s="64"/>
      <c r="N7799" s="33"/>
    </row>
    <row r="7800" ht="24" customHeight="1" spans="2:14">
      <c r="B7800" s="33"/>
      <c r="C7800" s="60"/>
      <c r="D7800" s="60"/>
      <c r="E7800" s="60"/>
      <c r="F7800" s="60"/>
      <c r="G7800" s="60"/>
      <c r="H7800" s="60"/>
      <c r="I7800" s="60"/>
      <c r="J7800" s="60"/>
      <c r="K7800" s="60"/>
      <c r="L7800" s="60"/>
      <c r="M7800" s="64"/>
      <c r="N7800" s="33"/>
    </row>
    <row r="7801" ht="24" customHeight="1" spans="2:14">
      <c r="B7801" s="33"/>
      <c r="C7801" s="60"/>
      <c r="D7801" s="60"/>
      <c r="E7801" s="60"/>
      <c r="F7801" s="60"/>
      <c r="G7801" s="60"/>
      <c r="H7801" s="60"/>
      <c r="I7801" s="60"/>
      <c r="J7801" s="60"/>
      <c r="K7801" s="60"/>
      <c r="L7801" s="60"/>
      <c r="M7801" s="64"/>
      <c r="N7801" s="33"/>
    </row>
    <row r="7802" ht="24" customHeight="1" spans="2:14">
      <c r="B7802" s="33"/>
      <c r="C7802" s="60"/>
      <c r="D7802" s="60"/>
      <c r="E7802" s="60"/>
      <c r="F7802" s="60"/>
      <c r="G7802" s="60"/>
      <c r="H7802" s="60"/>
      <c r="I7802" s="60"/>
      <c r="J7802" s="60"/>
      <c r="K7802" s="60"/>
      <c r="L7802" s="60"/>
      <c r="M7802" s="64"/>
      <c r="N7802" s="33"/>
    </row>
    <row r="7803" ht="24" customHeight="1" spans="2:14">
      <c r="B7803" s="33"/>
      <c r="C7803" s="60"/>
      <c r="D7803" s="60"/>
      <c r="E7803" s="60"/>
      <c r="F7803" s="60"/>
      <c r="G7803" s="60"/>
      <c r="H7803" s="60"/>
      <c r="I7803" s="60"/>
      <c r="J7803" s="60"/>
      <c r="K7803" s="60"/>
      <c r="L7803" s="60"/>
      <c r="M7803" s="64"/>
      <c r="N7803" s="33"/>
    </row>
    <row r="7804" ht="24" customHeight="1" spans="2:14">
      <c r="B7804" s="33"/>
      <c r="C7804" s="60"/>
      <c r="D7804" s="60"/>
      <c r="E7804" s="60"/>
      <c r="F7804" s="60"/>
      <c r="G7804" s="60"/>
      <c r="H7804" s="60"/>
      <c r="I7804" s="60"/>
      <c r="J7804" s="60"/>
      <c r="K7804" s="60"/>
      <c r="L7804" s="60"/>
      <c r="M7804" s="64"/>
      <c r="N7804" s="33"/>
    </row>
    <row r="7805" ht="24" customHeight="1" spans="2:14">
      <c r="B7805" s="33"/>
      <c r="C7805" s="60"/>
      <c r="D7805" s="60"/>
      <c r="E7805" s="60"/>
      <c r="F7805" s="60"/>
      <c r="G7805" s="60"/>
      <c r="H7805" s="60"/>
      <c r="I7805" s="60"/>
      <c r="J7805" s="60"/>
      <c r="K7805" s="60"/>
      <c r="L7805" s="60"/>
      <c r="M7805" s="64"/>
      <c r="N7805" s="33"/>
    </row>
    <row r="7806" ht="24" customHeight="1" spans="2:14">
      <c r="B7806" s="33"/>
      <c r="C7806" s="60"/>
      <c r="D7806" s="60"/>
      <c r="E7806" s="60"/>
      <c r="F7806" s="60"/>
      <c r="G7806" s="60"/>
      <c r="H7806" s="60"/>
      <c r="I7806" s="60"/>
      <c r="J7806" s="60"/>
      <c r="K7806" s="60"/>
      <c r="L7806" s="60"/>
      <c r="M7806" s="64"/>
      <c r="N7806" s="33"/>
    </row>
    <row r="7807" ht="24" customHeight="1" spans="2:14">
      <c r="B7807" s="33"/>
      <c r="C7807" s="60"/>
      <c r="D7807" s="60"/>
      <c r="E7807" s="60"/>
      <c r="F7807" s="60"/>
      <c r="G7807" s="60"/>
      <c r="H7807" s="60"/>
      <c r="I7807" s="60"/>
      <c r="J7807" s="60"/>
      <c r="K7807" s="60"/>
      <c r="L7807" s="60"/>
      <c r="M7807" s="64"/>
      <c r="N7807" s="33"/>
    </row>
    <row r="7808" ht="24" customHeight="1" spans="2:14">
      <c r="B7808" s="33"/>
      <c r="C7808" s="60"/>
      <c r="D7808" s="60"/>
      <c r="E7808" s="60"/>
      <c r="F7808" s="60"/>
      <c r="G7808" s="60"/>
      <c r="H7808" s="60"/>
      <c r="I7808" s="60"/>
      <c r="J7808" s="60"/>
      <c r="K7808" s="60"/>
      <c r="L7808" s="60"/>
      <c r="M7808" s="64"/>
      <c r="N7808" s="33"/>
    </row>
    <row r="7809" ht="24" customHeight="1" spans="2:14">
      <c r="B7809" s="33"/>
      <c r="C7809" s="60"/>
      <c r="D7809" s="60"/>
      <c r="E7809" s="60"/>
      <c r="F7809" s="60"/>
      <c r="G7809" s="60"/>
      <c r="H7809" s="60"/>
      <c r="I7809" s="60"/>
      <c r="J7809" s="60"/>
      <c r="K7809" s="60"/>
      <c r="L7809" s="60"/>
      <c r="M7809" s="64"/>
      <c r="N7809" s="33"/>
    </row>
    <row r="7810" ht="24" customHeight="1" spans="2:14">
      <c r="B7810" s="33"/>
      <c r="C7810" s="60"/>
      <c r="D7810" s="60"/>
      <c r="E7810" s="60"/>
      <c r="F7810" s="60"/>
      <c r="G7810" s="60"/>
      <c r="H7810" s="60"/>
      <c r="I7810" s="60"/>
      <c r="J7810" s="60"/>
      <c r="K7810" s="60"/>
      <c r="L7810" s="60"/>
      <c r="M7810" s="64"/>
      <c r="N7810" s="33"/>
    </row>
    <row r="7811" ht="24" customHeight="1" spans="2:14">
      <c r="B7811" s="33"/>
      <c r="C7811" s="60"/>
      <c r="D7811" s="60"/>
      <c r="E7811" s="60"/>
      <c r="F7811" s="60"/>
      <c r="G7811" s="60"/>
      <c r="H7811" s="60"/>
      <c r="I7811" s="60"/>
      <c r="J7811" s="60"/>
      <c r="K7811" s="60"/>
      <c r="L7811" s="60"/>
      <c r="M7811" s="64"/>
      <c r="N7811" s="33"/>
    </row>
    <row r="7812" ht="24" customHeight="1" spans="2:14">
      <c r="B7812" s="33"/>
      <c r="C7812" s="60"/>
      <c r="D7812" s="60"/>
      <c r="E7812" s="60"/>
      <c r="F7812" s="60"/>
      <c r="G7812" s="60"/>
      <c r="H7812" s="60"/>
      <c r="I7812" s="60"/>
      <c r="J7812" s="60"/>
      <c r="K7812" s="60"/>
      <c r="L7812" s="60"/>
      <c r="M7812" s="64"/>
      <c r="N7812" s="33"/>
    </row>
    <row r="7813" ht="24" customHeight="1" spans="2:14">
      <c r="B7813" s="33"/>
      <c r="C7813" s="60"/>
      <c r="D7813" s="60"/>
      <c r="E7813" s="60"/>
      <c r="F7813" s="60"/>
      <c r="G7813" s="60"/>
      <c r="H7813" s="60"/>
      <c r="I7813" s="60"/>
      <c r="J7813" s="60"/>
      <c r="K7813" s="60"/>
      <c r="L7813" s="60"/>
      <c r="M7813" s="64"/>
      <c r="N7813" s="33"/>
    </row>
    <row r="7814" ht="24" customHeight="1" spans="2:14">
      <c r="B7814" s="33"/>
      <c r="C7814" s="60"/>
      <c r="D7814" s="60"/>
      <c r="E7814" s="60"/>
      <c r="F7814" s="60"/>
      <c r="G7814" s="60"/>
      <c r="H7814" s="60"/>
      <c r="I7814" s="60"/>
      <c r="J7814" s="60"/>
      <c r="K7814" s="60"/>
      <c r="L7814" s="60"/>
      <c r="M7814" s="64"/>
      <c r="N7814" s="33"/>
    </row>
    <row r="7815" ht="24" customHeight="1" spans="2:14">
      <c r="B7815" s="33"/>
      <c r="C7815" s="60"/>
      <c r="D7815" s="60"/>
      <c r="E7815" s="60"/>
      <c r="F7815" s="60"/>
      <c r="G7815" s="60"/>
      <c r="H7815" s="60"/>
      <c r="I7815" s="60"/>
      <c r="J7815" s="60"/>
      <c r="K7815" s="60"/>
      <c r="L7815" s="60"/>
      <c r="M7815" s="64"/>
      <c r="N7815" s="33"/>
    </row>
    <row r="7816" ht="24" customHeight="1" spans="2:14">
      <c r="B7816" s="33"/>
      <c r="C7816" s="60"/>
      <c r="D7816" s="60"/>
      <c r="E7816" s="60"/>
      <c r="F7816" s="60"/>
      <c r="G7816" s="60"/>
      <c r="H7816" s="60"/>
      <c r="I7816" s="60"/>
      <c r="J7816" s="60"/>
      <c r="K7816" s="60"/>
      <c r="L7816" s="60"/>
      <c r="M7816" s="64"/>
      <c r="N7816" s="33"/>
    </row>
    <row r="7817" ht="24" customHeight="1" spans="2:14">
      <c r="B7817" s="33"/>
      <c r="C7817" s="60"/>
      <c r="D7817" s="60"/>
      <c r="E7817" s="60"/>
      <c r="F7817" s="60"/>
      <c r="G7817" s="60"/>
      <c r="H7817" s="60"/>
      <c r="I7817" s="60"/>
      <c r="J7817" s="60"/>
      <c r="K7817" s="60"/>
      <c r="L7817" s="60"/>
      <c r="M7817" s="64"/>
      <c r="N7817" s="33"/>
    </row>
    <row r="7818" ht="24" customHeight="1" spans="2:14">
      <c r="B7818" s="33"/>
      <c r="C7818" s="60"/>
      <c r="D7818" s="60"/>
      <c r="E7818" s="60"/>
      <c r="F7818" s="60"/>
      <c r="G7818" s="60"/>
      <c r="H7818" s="60"/>
      <c r="I7818" s="60"/>
      <c r="J7818" s="60"/>
      <c r="K7818" s="60"/>
      <c r="L7818" s="60"/>
      <c r="M7818" s="64"/>
      <c r="N7818" s="33"/>
    </row>
    <row r="7819" ht="24" customHeight="1" spans="2:14">
      <c r="B7819" s="33"/>
      <c r="C7819" s="60"/>
      <c r="D7819" s="60"/>
      <c r="E7819" s="60"/>
      <c r="F7819" s="60"/>
      <c r="G7819" s="60"/>
      <c r="H7819" s="60"/>
      <c r="I7819" s="60"/>
      <c r="J7819" s="60"/>
      <c r="K7819" s="60"/>
      <c r="L7819" s="60"/>
      <c r="M7819" s="64"/>
      <c r="N7819" s="33"/>
    </row>
    <row r="7820" ht="24" customHeight="1" spans="2:14">
      <c r="B7820" s="33"/>
      <c r="C7820" s="60"/>
      <c r="D7820" s="60"/>
      <c r="E7820" s="60"/>
      <c r="F7820" s="60"/>
      <c r="G7820" s="60"/>
      <c r="H7820" s="60"/>
      <c r="I7820" s="60"/>
      <c r="J7820" s="60"/>
      <c r="K7820" s="60"/>
      <c r="L7820" s="60"/>
      <c r="M7820" s="64"/>
      <c r="N7820" s="33"/>
    </row>
    <row r="7821" ht="24" customHeight="1" spans="2:14">
      <c r="B7821" s="33"/>
      <c r="C7821" s="60"/>
      <c r="D7821" s="60"/>
      <c r="E7821" s="60"/>
      <c r="F7821" s="60"/>
      <c r="G7821" s="60"/>
      <c r="H7821" s="60"/>
      <c r="I7821" s="60"/>
      <c r="J7821" s="60"/>
      <c r="K7821" s="60"/>
      <c r="L7821" s="60"/>
      <c r="M7821" s="64"/>
      <c r="N7821" s="33"/>
    </row>
    <row r="7822" ht="24" customHeight="1" spans="2:14">
      <c r="B7822" s="33"/>
      <c r="C7822" s="60"/>
      <c r="D7822" s="60"/>
      <c r="E7822" s="60"/>
      <c r="F7822" s="60"/>
      <c r="G7822" s="60"/>
      <c r="H7822" s="60"/>
      <c r="I7822" s="60"/>
      <c r="J7822" s="60"/>
      <c r="K7822" s="60"/>
      <c r="L7822" s="60"/>
      <c r="M7822" s="64"/>
      <c r="N7822" s="33"/>
    </row>
    <row r="7823" ht="24" customHeight="1" spans="2:14">
      <c r="B7823" s="33"/>
      <c r="C7823" s="60"/>
      <c r="D7823" s="60"/>
      <c r="E7823" s="60"/>
      <c r="F7823" s="60"/>
      <c r="G7823" s="60"/>
      <c r="H7823" s="60"/>
      <c r="I7823" s="60"/>
      <c r="J7823" s="60"/>
      <c r="K7823" s="60"/>
      <c r="L7823" s="60"/>
      <c r="M7823" s="64"/>
      <c r="N7823" s="33"/>
    </row>
    <row r="7824" ht="24" customHeight="1" spans="2:14">
      <c r="B7824" s="33"/>
      <c r="C7824" s="60"/>
      <c r="D7824" s="60"/>
      <c r="E7824" s="60"/>
      <c r="F7824" s="60"/>
      <c r="G7824" s="60"/>
      <c r="H7824" s="60"/>
      <c r="I7824" s="60"/>
      <c r="J7824" s="60"/>
      <c r="K7824" s="60"/>
      <c r="L7824" s="60"/>
      <c r="M7824" s="64"/>
      <c r="N7824" s="33"/>
    </row>
    <row r="7825" ht="24" customHeight="1" spans="2:14">
      <c r="B7825" s="33"/>
      <c r="C7825" s="60"/>
      <c r="D7825" s="60"/>
      <c r="E7825" s="60"/>
      <c r="F7825" s="60"/>
      <c r="G7825" s="60"/>
      <c r="H7825" s="60"/>
      <c r="I7825" s="60"/>
      <c r="J7825" s="60"/>
      <c r="K7825" s="60"/>
      <c r="L7825" s="60"/>
      <c r="M7825" s="64"/>
      <c r="N7825" s="33"/>
    </row>
    <row r="7826" ht="24" customHeight="1" spans="2:14">
      <c r="B7826" s="33"/>
      <c r="C7826" s="60"/>
      <c r="D7826" s="60"/>
      <c r="E7826" s="60"/>
      <c r="F7826" s="60"/>
      <c r="G7826" s="60"/>
      <c r="H7826" s="60"/>
      <c r="I7826" s="60"/>
      <c r="J7826" s="60"/>
      <c r="K7826" s="60"/>
      <c r="L7826" s="60"/>
      <c r="M7826" s="64"/>
      <c r="N7826" s="33"/>
    </row>
    <row r="7827" ht="24" customHeight="1" spans="2:14">
      <c r="B7827" s="33"/>
      <c r="C7827" s="60"/>
      <c r="D7827" s="60"/>
      <c r="E7827" s="60"/>
      <c r="F7827" s="60"/>
      <c r="G7827" s="60"/>
      <c r="H7827" s="60"/>
      <c r="I7827" s="60"/>
      <c r="J7827" s="60"/>
      <c r="K7827" s="60"/>
      <c r="L7827" s="60"/>
      <c r="M7827" s="64"/>
      <c r="N7827" s="33"/>
    </row>
    <row r="7828" ht="24" customHeight="1" spans="2:14">
      <c r="B7828" s="33"/>
      <c r="C7828" s="60"/>
      <c r="D7828" s="60"/>
      <c r="E7828" s="60"/>
      <c r="F7828" s="60"/>
      <c r="G7828" s="60"/>
      <c r="H7828" s="60"/>
      <c r="I7828" s="60"/>
      <c r="J7828" s="60"/>
      <c r="K7828" s="60"/>
      <c r="L7828" s="60"/>
      <c r="M7828" s="64"/>
      <c r="N7828" s="33"/>
    </row>
    <row r="7829" ht="24" customHeight="1" spans="2:14">
      <c r="B7829" s="33"/>
      <c r="C7829" s="60"/>
      <c r="D7829" s="60"/>
      <c r="E7829" s="60"/>
      <c r="F7829" s="60"/>
      <c r="G7829" s="60"/>
      <c r="H7829" s="60"/>
      <c r="I7829" s="60"/>
      <c r="J7829" s="60"/>
      <c r="K7829" s="60"/>
      <c r="L7829" s="60"/>
      <c r="M7829" s="64"/>
      <c r="N7829" s="33"/>
    </row>
    <row r="7830" ht="24" customHeight="1" spans="2:14">
      <c r="B7830" s="33"/>
      <c r="C7830" s="60"/>
      <c r="D7830" s="60"/>
      <c r="E7830" s="60"/>
      <c r="F7830" s="60"/>
      <c r="G7830" s="60"/>
      <c r="H7830" s="60"/>
      <c r="I7830" s="60"/>
      <c r="J7830" s="60"/>
      <c r="K7830" s="60"/>
      <c r="L7830" s="60"/>
      <c r="M7830" s="64"/>
      <c r="N7830" s="33"/>
    </row>
    <row r="7831" ht="24" customHeight="1" spans="2:14">
      <c r="B7831" s="33"/>
      <c r="C7831" s="60"/>
      <c r="D7831" s="60"/>
      <c r="E7831" s="60"/>
      <c r="F7831" s="60"/>
      <c r="G7831" s="60"/>
      <c r="H7831" s="60"/>
      <c r="I7831" s="60"/>
      <c r="J7831" s="60"/>
      <c r="K7831" s="60"/>
      <c r="L7831" s="60"/>
      <c r="M7831" s="64"/>
      <c r="N7831" s="33"/>
    </row>
    <row r="7832" ht="24" customHeight="1" spans="2:14">
      <c r="B7832" s="33"/>
      <c r="C7832" s="60"/>
      <c r="D7832" s="60"/>
      <c r="E7832" s="60"/>
      <c r="F7832" s="60"/>
      <c r="G7832" s="60"/>
      <c r="H7832" s="60"/>
      <c r="I7832" s="60"/>
      <c r="J7832" s="60"/>
      <c r="K7832" s="60"/>
      <c r="L7832" s="60"/>
      <c r="M7832" s="64"/>
      <c r="N7832" s="33"/>
    </row>
    <row r="7833" ht="24" customHeight="1" spans="2:14">
      <c r="B7833" s="33"/>
      <c r="C7833" s="60"/>
      <c r="D7833" s="60"/>
      <c r="E7833" s="60"/>
      <c r="F7833" s="60"/>
      <c r="G7833" s="60"/>
      <c r="H7833" s="60"/>
      <c r="I7833" s="60"/>
      <c r="J7833" s="60"/>
      <c r="K7833" s="60"/>
      <c r="L7833" s="60"/>
      <c r="M7833" s="64"/>
      <c r="N7833" s="33"/>
    </row>
    <row r="7834" ht="24" customHeight="1" spans="2:14">
      <c r="B7834" s="33"/>
      <c r="C7834" s="60"/>
      <c r="D7834" s="60"/>
      <c r="E7834" s="60"/>
      <c r="F7834" s="60"/>
      <c r="G7834" s="60"/>
      <c r="H7834" s="60"/>
      <c r="I7834" s="60"/>
      <c r="J7834" s="60"/>
      <c r="K7834" s="60"/>
      <c r="L7834" s="60"/>
      <c r="M7834" s="64"/>
      <c r="N7834" s="33"/>
    </row>
    <row r="7835" ht="24" customHeight="1" spans="2:14">
      <c r="B7835" s="33"/>
      <c r="C7835" s="60"/>
      <c r="D7835" s="60"/>
      <c r="E7835" s="60"/>
      <c r="F7835" s="60"/>
      <c r="G7835" s="60"/>
      <c r="H7835" s="60"/>
      <c r="I7835" s="60"/>
      <c r="J7835" s="60"/>
      <c r="K7835" s="60"/>
      <c r="L7835" s="60"/>
      <c r="M7835" s="64"/>
      <c r="N7835" s="33"/>
    </row>
    <row r="7836" ht="24" customHeight="1" spans="2:14">
      <c r="B7836" s="33"/>
      <c r="C7836" s="60"/>
      <c r="D7836" s="60"/>
      <c r="E7836" s="60"/>
      <c r="F7836" s="60"/>
      <c r="G7836" s="60"/>
      <c r="H7836" s="60"/>
      <c r="I7836" s="60"/>
      <c r="J7836" s="60"/>
      <c r="K7836" s="60"/>
      <c r="L7836" s="60"/>
      <c r="M7836" s="64"/>
      <c r="N7836" s="33"/>
    </row>
    <row r="7837" ht="24" customHeight="1" spans="2:14">
      <c r="B7837" s="33"/>
      <c r="C7837" s="60"/>
      <c r="D7837" s="60"/>
      <c r="E7837" s="60"/>
      <c r="F7837" s="60"/>
      <c r="G7837" s="60"/>
      <c r="H7837" s="60"/>
      <c r="I7837" s="60"/>
      <c r="J7837" s="60"/>
      <c r="K7837" s="60"/>
      <c r="L7837" s="60"/>
      <c r="M7837" s="64"/>
      <c r="N7837" s="33"/>
    </row>
    <row r="7838" ht="24" customHeight="1" spans="2:14">
      <c r="B7838" s="33"/>
      <c r="C7838" s="60"/>
      <c r="D7838" s="60"/>
      <c r="E7838" s="60"/>
      <c r="F7838" s="60"/>
      <c r="G7838" s="60"/>
      <c r="H7838" s="60"/>
      <c r="I7838" s="60"/>
      <c r="J7838" s="60"/>
      <c r="K7838" s="60"/>
      <c r="L7838" s="60"/>
      <c r="M7838" s="64"/>
      <c r="N7838" s="33"/>
    </row>
    <row r="7839" ht="24" customHeight="1" spans="2:14">
      <c r="B7839" s="33"/>
      <c r="C7839" s="60"/>
      <c r="D7839" s="60"/>
      <c r="E7839" s="60"/>
      <c r="F7839" s="60"/>
      <c r="G7839" s="60"/>
      <c r="H7839" s="60"/>
      <c r="I7839" s="60"/>
      <c r="J7839" s="60"/>
      <c r="K7839" s="60"/>
      <c r="L7839" s="60"/>
      <c r="M7839" s="64"/>
      <c r="N7839" s="33"/>
    </row>
    <row r="7840" ht="24" customHeight="1" spans="2:14">
      <c r="B7840" s="33"/>
      <c r="C7840" s="60"/>
      <c r="D7840" s="60"/>
      <c r="E7840" s="60"/>
      <c r="F7840" s="60"/>
      <c r="G7840" s="60"/>
      <c r="H7840" s="60"/>
      <c r="I7840" s="60"/>
      <c r="J7840" s="60"/>
      <c r="K7840" s="60"/>
      <c r="L7840" s="60"/>
      <c r="M7840" s="64"/>
      <c r="N7840" s="33"/>
    </row>
    <row r="7841" ht="24" customHeight="1" spans="2:14">
      <c r="B7841" s="33"/>
      <c r="C7841" s="60"/>
      <c r="D7841" s="60"/>
      <c r="E7841" s="60"/>
      <c r="F7841" s="60"/>
      <c r="G7841" s="60"/>
      <c r="H7841" s="60"/>
      <c r="I7841" s="60"/>
      <c r="J7841" s="60"/>
      <c r="K7841" s="60"/>
      <c r="L7841" s="60"/>
      <c r="M7841" s="64"/>
      <c r="N7841" s="33"/>
    </row>
    <row r="7842" ht="24" customHeight="1" spans="2:14">
      <c r="B7842" s="33"/>
      <c r="C7842" s="60"/>
      <c r="D7842" s="60"/>
      <c r="E7842" s="60"/>
      <c r="F7842" s="60"/>
      <c r="G7842" s="60"/>
      <c r="H7842" s="60"/>
      <c r="I7842" s="60"/>
      <c r="J7842" s="60"/>
      <c r="K7842" s="60"/>
      <c r="L7842" s="60"/>
      <c r="M7842" s="64"/>
      <c r="N7842" s="33"/>
    </row>
    <row r="7843" ht="24" customHeight="1" spans="2:14">
      <c r="B7843" s="33"/>
      <c r="C7843" s="60"/>
      <c r="D7843" s="60"/>
      <c r="E7843" s="60"/>
      <c r="F7843" s="60"/>
      <c r="G7843" s="60"/>
      <c r="H7843" s="60"/>
      <c r="I7843" s="60"/>
      <c r="J7843" s="60"/>
      <c r="K7843" s="60"/>
      <c r="L7843" s="60"/>
      <c r="M7843" s="64"/>
      <c r="N7843" s="33"/>
    </row>
    <row r="7844" ht="24" customHeight="1" spans="2:14">
      <c r="B7844" s="33"/>
      <c r="C7844" s="60"/>
      <c r="D7844" s="60"/>
      <c r="E7844" s="60"/>
      <c r="F7844" s="60"/>
      <c r="G7844" s="60"/>
      <c r="H7844" s="60"/>
      <c r="I7844" s="60"/>
      <c r="J7844" s="60"/>
      <c r="K7844" s="60"/>
      <c r="L7844" s="60"/>
      <c r="M7844" s="64"/>
      <c r="N7844" s="33"/>
    </row>
    <row r="7845" ht="24" customHeight="1" spans="2:14">
      <c r="B7845" s="33"/>
      <c r="C7845" s="60"/>
      <c r="D7845" s="60"/>
      <c r="E7845" s="60"/>
      <c r="F7845" s="60"/>
      <c r="G7845" s="60"/>
      <c r="H7845" s="60"/>
      <c r="I7845" s="60"/>
      <c r="J7845" s="60"/>
      <c r="K7845" s="60"/>
      <c r="L7845" s="60"/>
      <c r="M7845" s="64"/>
      <c r="N7845" s="33"/>
    </row>
    <row r="7846" ht="24" customHeight="1" spans="2:14">
      <c r="B7846" s="33"/>
      <c r="C7846" s="60"/>
      <c r="D7846" s="60"/>
      <c r="E7846" s="60"/>
      <c r="F7846" s="60"/>
      <c r="G7846" s="60"/>
      <c r="H7846" s="60"/>
      <c r="I7846" s="60"/>
      <c r="J7846" s="60"/>
      <c r="K7846" s="60"/>
      <c r="L7846" s="60"/>
      <c r="M7846" s="64"/>
      <c r="N7846" s="33"/>
    </row>
    <row r="7847" ht="24" customHeight="1" spans="2:14">
      <c r="B7847" s="33"/>
      <c r="C7847" s="60"/>
      <c r="D7847" s="60"/>
      <c r="E7847" s="60"/>
      <c r="F7847" s="60"/>
      <c r="G7847" s="60"/>
      <c r="H7847" s="60"/>
      <c r="I7847" s="60"/>
      <c r="J7847" s="60"/>
      <c r="K7847" s="60"/>
      <c r="L7847" s="60"/>
      <c r="M7847" s="64"/>
      <c r="N7847" s="33"/>
    </row>
    <row r="7848" ht="24" customHeight="1" spans="2:14">
      <c r="B7848" s="33"/>
      <c r="C7848" s="60"/>
      <c r="D7848" s="60"/>
      <c r="E7848" s="60"/>
      <c r="F7848" s="60"/>
      <c r="G7848" s="60"/>
      <c r="H7848" s="60"/>
      <c r="I7848" s="60"/>
      <c r="J7848" s="60"/>
      <c r="K7848" s="60"/>
      <c r="L7848" s="60"/>
      <c r="M7848" s="64"/>
      <c r="N7848" s="33"/>
    </row>
    <row r="7849" ht="24" customHeight="1" spans="2:14">
      <c r="B7849" s="33"/>
      <c r="C7849" s="60"/>
      <c r="D7849" s="60"/>
      <c r="E7849" s="60"/>
      <c r="F7849" s="60"/>
      <c r="G7849" s="60"/>
      <c r="H7849" s="60"/>
      <c r="I7849" s="60"/>
      <c r="J7849" s="60"/>
      <c r="K7849" s="60"/>
      <c r="L7849" s="60"/>
      <c r="M7849" s="64"/>
      <c r="N7849" s="33"/>
    </row>
    <row r="7850" ht="24" customHeight="1" spans="2:14">
      <c r="B7850" s="33"/>
      <c r="C7850" s="60"/>
      <c r="D7850" s="60"/>
      <c r="E7850" s="60"/>
      <c r="F7850" s="60"/>
      <c r="G7850" s="60"/>
      <c r="H7850" s="60"/>
      <c r="I7850" s="60"/>
      <c r="J7850" s="60"/>
      <c r="K7850" s="60"/>
      <c r="L7850" s="60"/>
      <c r="M7850" s="64"/>
      <c r="N7850" s="33"/>
    </row>
    <row r="7851" ht="24" customHeight="1" spans="2:14">
      <c r="B7851" s="33"/>
      <c r="C7851" s="60"/>
      <c r="D7851" s="60"/>
      <c r="E7851" s="60"/>
      <c r="F7851" s="60"/>
      <c r="G7851" s="60"/>
      <c r="H7851" s="60"/>
      <c r="I7851" s="60"/>
      <c r="J7851" s="60"/>
      <c r="K7851" s="60"/>
      <c r="L7851" s="60"/>
      <c r="M7851" s="64"/>
      <c r="N7851" s="33"/>
    </row>
    <row r="7852" ht="24" customHeight="1" spans="2:14">
      <c r="B7852" s="33"/>
      <c r="C7852" s="60"/>
      <c r="D7852" s="60"/>
      <c r="E7852" s="60"/>
      <c r="F7852" s="60"/>
      <c r="G7852" s="60"/>
      <c r="H7852" s="60"/>
      <c r="I7852" s="60"/>
      <c r="J7852" s="60"/>
      <c r="K7852" s="60"/>
      <c r="L7852" s="60"/>
      <c r="M7852" s="64"/>
      <c r="N7852" s="33"/>
    </row>
    <row r="7853" ht="24" customHeight="1" spans="2:14">
      <c r="B7853" s="33"/>
      <c r="C7853" s="60"/>
      <c r="D7853" s="60"/>
      <c r="E7853" s="60"/>
      <c r="F7853" s="60"/>
      <c r="G7853" s="60"/>
      <c r="H7853" s="60"/>
      <c r="I7853" s="60"/>
      <c r="J7853" s="60"/>
      <c r="K7853" s="60"/>
      <c r="L7853" s="60"/>
      <c r="M7853" s="64"/>
      <c r="N7853" s="33"/>
    </row>
    <row r="7854" ht="24" customHeight="1" spans="2:14">
      <c r="B7854" s="33"/>
      <c r="C7854" s="60"/>
      <c r="D7854" s="60"/>
      <c r="E7854" s="60"/>
      <c r="F7854" s="60"/>
      <c r="G7854" s="60"/>
      <c r="H7854" s="60"/>
      <c r="I7854" s="60"/>
      <c r="J7854" s="60"/>
      <c r="K7854" s="60"/>
      <c r="L7854" s="60"/>
      <c r="M7854" s="64"/>
      <c r="N7854" s="33"/>
    </row>
    <row r="7855" ht="24" customHeight="1" spans="2:14">
      <c r="B7855" s="33"/>
      <c r="C7855" s="60"/>
      <c r="D7855" s="60"/>
      <c r="E7855" s="60"/>
      <c r="F7855" s="60"/>
      <c r="G7855" s="60"/>
      <c r="H7855" s="60"/>
      <c r="I7855" s="60"/>
      <c r="J7855" s="60"/>
      <c r="K7855" s="60"/>
      <c r="L7855" s="60"/>
      <c r="M7855" s="64"/>
      <c r="N7855" s="33"/>
    </row>
    <row r="7856" ht="24" customHeight="1" spans="2:14">
      <c r="B7856" s="33"/>
      <c r="C7856" s="60"/>
      <c r="D7856" s="60"/>
      <c r="E7856" s="60"/>
      <c r="F7856" s="60"/>
      <c r="G7856" s="60"/>
      <c r="H7856" s="60"/>
      <c r="I7856" s="60"/>
      <c r="J7856" s="60"/>
      <c r="K7856" s="60"/>
      <c r="L7856" s="60"/>
      <c r="M7856" s="64"/>
      <c r="N7856" s="33"/>
    </row>
    <row r="7857" ht="24" customHeight="1" spans="2:14">
      <c r="B7857" s="33"/>
      <c r="C7857" s="60"/>
      <c r="D7857" s="60"/>
      <c r="E7857" s="60"/>
      <c r="F7857" s="60"/>
      <c r="G7857" s="60"/>
      <c r="H7857" s="60"/>
      <c r="I7857" s="60"/>
      <c r="J7857" s="60"/>
      <c r="K7857" s="60"/>
      <c r="L7857" s="60"/>
      <c r="M7857" s="64"/>
      <c r="N7857" s="33"/>
    </row>
    <row r="7858" ht="24" customHeight="1" spans="2:14">
      <c r="B7858" s="33"/>
      <c r="C7858" s="60"/>
      <c r="D7858" s="60"/>
      <c r="E7858" s="60"/>
      <c r="F7858" s="60"/>
      <c r="G7858" s="60"/>
      <c r="H7858" s="60"/>
      <c r="I7858" s="60"/>
      <c r="J7858" s="60"/>
      <c r="K7858" s="60"/>
      <c r="L7858" s="60"/>
      <c r="M7858" s="64"/>
      <c r="N7858" s="33"/>
    </row>
    <row r="7859" ht="24" customHeight="1" spans="2:14">
      <c r="B7859" s="33"/>
      <c r="C7859" s="60"/>
      <c r="D7859" s="60"/>
      <c r="E7859" s="60"/>
      <c r="F7859" s="60"/>
      <c r="G7859" s="60"/>
      <c r="H7859" s="60"/>
      <c r="I7859" s="60"/>
      <c r="J7859" s="60"/>
      <c r="K7859" s="60"/>
      <c r="L7859" s="60"/>
      <c r="M7859" s="64"/>
      <c r="N7859" s="33"/>
    </row>
    <row r="7860" ht="24" customHeight="1" spans="2:14">
      <c r="B7860" s="33"/>
      <c r="C7860" s="60"/>
      <c r="D7860" s="60"/>
      <c r="E7860" s="60"/>
      <c r="F7860" s="60"/>
      <c r="G7860" s="60"/>
      <c r="H7860" s="60"/>
      <c r="I7860" s="60"/>
      <c r="J7860" s="60"/>
      <c r="K7860" s="60"/>
      <c r="L7860" s="60"/>
      <c r="M7860" s="64"/>
      <c r="N7860" s="33"/>
    </row>
    <row r="7861" ht="24" customHeight="1" spans="2:14">
      <c r="B7861" s="33"/>
      <c r="C7861" s="60"/>
      <c r="D7861" s="60"/>
      <c r="E7861" s="60"/>
      <c r="F7861" s="60"/>
      <c r="G7861" s="60"/>
      <c r="H7861" s="60"/>
      <c r="I7861" s="60"/>
      <c r="J7861" s="60"/>
      <c r="K7861" s="60"/>
      <c r="L7861" s="60"/>
      <c r="M7861" s="64"/>
      <c r="N7861" s="33"/>
    </row>
    <row r="7862" ht="24" customHeight="1" spans="2:14">
      <c r="B7862" s="33"/>
      <c r="C7862" s="60"/>
      <c r="D7862" s="60"/>
      <c r="E7862" s="60"/>
      <c r="F7862" s="60"/>
      <c r="G7862" s="60"/>
      <c r="H7862" s="60"/>
      <c r="I7862" s="60"/>
      <c r="J7862" s="60"/>
      <c r="K7862" s="60"/>
      <c r="L7862" s="60"/>
      <c r="M7862" s="64"/>
      <c r="N7862" s="33"/>
    </row>
    <row r="7863" ht="24" customHeight="1" spans="2:14">
      <c r="B7863" s="33"/>
      <c r="C7863" s="60"/>
      <c r="D7863" s="60"/>
      <c r="E7863" s="60"/>
      <c r="F7863" s="60"/>
      <c r="G7863" s="60"/>
      <c r="H7863" s="60"/>
      <c r="I7863" s="60"/>
      <c r="J7863" s="60"/>
      <c r="K7863" s="60"/>
      <c r="L7863" s="60"/>
      <c r="M7863" s="64"/>
      <c r="N7863" s="33"/>
    </row>
    <row r="7864" ht="24" customHeight="1" spans="2:14">
      <c r="B7864" s="33"/>
      <c r="C7864" s="60"/>
      <c r="D7864" s="60"/>
      <c r="E7864" s="60"/>
      <c r="F7864" s="60"/>
      <c r="G7864" s="60"/>
      <c r="H7864" s="60"/>
      <c r="I7864" s="60"/>
      <c r="J7864" s="60"/>
      <c r="K7864" s="60"/>
      <c r="L7864" s="60"/>
      <c r="M7864" s="64"/>
      <c r="N7864" s="33"/>
    </row>
    <row r="7865" ht="24" customHeight="1" spans="2:14">
      <c r="B7865" s="33"/>
      <c r="C7865" s="60"/>
      <c r="D7865" s="60"/>
      <c r="E7865" s="60"/>
      <c r="F7865" s="60"/>
      <c r="G7865" s="60"/>
      <c r="H7865" s="60"/>
      <c r="I7865" s="60"/>
      <c r="J7865" s="60"/>
      <c r="K7865" s="60"/>
      <c r="L7865" s="60"/>
      <c r="M7865" s="64"/>
      <c r="N7865" s="33"/>
    </row>
    <row r="7866" ht="24" customHeight="1" spans="2:14">
      <c r="B7866" s="33"/>
      <c r="C7866" s="60"/>
      <c r="D7866" s="60"/>
      <c r="E7866" s="60"/>
      <c r="F7866" s="60"/>
      <c r="G7866" s="60"/>
      <c r="H7866" s="60"/>
      <c r="I7866" s="60"/>
      <c r="J7866" s="60"/>
      <c r="K7866" s="60"/>
      <c r="L7866" s="60"/>
      <c r="M7866" s="64"/>
      <c r="N7866" s="33"/>
    </row>
    <row r="7867" ht="24" customHeight="1" spans="2:14">
      <c r="B7867" s="33"/>
      <c r="C7867" s="60"/>
      <c r="D7867" s="60"/>
      <c r="E7867" s="60"/>
      <c r="F7867" s="60"/>
      <c r="G7867" s="60"/>
      <c r="H7867" s="60"/>
      <c r="I7867" s="60"/>
      <c r="J7867" s="60"/>
      <c r="K7867" s="60"/>
      <c r="L7867" s="60"/>
      <c r="M7867" s="64"/>
      <c r="N7867" s="33"/>
    </row>
    <row r="7868" ht="24" customHeight="1" spans="2:14">
      <c r="B7868" s="33"/>
      <c r="C7868" s="60"/>
      <c r="D7868" s="60"/>
      <c r="E7868" s="60"/>
      <c r="F7868" s="60"/>
      <c r="G7868" s="60"/>
      <c r="H7868" s="60"/>
      <c r="I7868" s="60"/>
      <c r="J7868" s="60"/>
      <c r="K7868" s="60"/>
      <c r="L7868" s="60"/>
      <c r="M7868" s="64"/>
      <c r="N7868" s="33"/>
    </row>
    <row r="7869" ht="24" customHeight="1" spans="2:14">
      <c r="B7869" s="33"/>
      <c r="C7869" s="60"/>
      <c r="D7869" s="60"/>
      <c r="E7869" s="60"/>
      <c r="F7869" s="60"/>
      <c r="G7869" s="60"/>
      <c r="H7869" s="60"/>
      <c r="I7869" s="60"/>
      <c r="J7869" s="60"/>
      <c r="K7869" s="60"/>
      <c r="L7869" s="60"/>
      <c r="M7869" s="64"/>
      <c r="N7869" s="33"/>
    </row>
    <row r="7870" ht="24" customHeight="1" spans="2:14">
      <c r="B7870" s="33"/>
      <c r="C7870" s="60"/>
      <c r="D7870" s="60"/>
      <c r="E7870" s="60"/>
      <c r="F7870" s="60"/>
      <c r="G7870" s="60"/>
      <c r="H7870" s="60"/>
      <c r="I7870" s="60"/>
      <c r="J7870" s="60"/>
      <c r="K7870" s="60"/>
      <c r="L7870" s="60"/>
      <c r="M7870" s="64"/>
      <c r="N7870" s="33"/>
    </row>
    <row r="7871" ht="24" customHeight="1" spans="2:14">
      <c r="B7871" s="33"/>
      <c r="C7871" s="60"/>
      <c r="D7871" s="60"/>
      <c r="E7871" s="60"/>
      <c r="F7871" s="60"/>
      <c r="G7871" s="60"/>
      <c r="H7871" s="60"/>
      <c r="I7871" s="60"/>
      <c r="J7871" s="60"/>
      <c r="K7871" s="60"/>
      <c r="L7871" s="60"/>
      <c r="M7871" s="64"/>
      <c r="N7871" s="33"/>
    </row>
    <row r="7872" ht="24" customHeight="1" spans="2:14">
      <c r="B7872" s="33"/>
      <c r="C7872" s="60"/>
      <c r="D7872" s="60"/>
      <c r="E7872" s="60"/>
      <c r="F7872" s="60"/>
      <c r="G7872" s="60"/>
      <c r="H7872" s="60"/>
      <c r="I7872" s="60"/>
      <c r="J7872" s="60"/>
      <c r="K7872" s="60"/>
      <c r="L7872" s="60"/>
      <c r="M7872" s="64"/>
      <c r="N7872" s="33"/>
    </row>
    <row r="7873" ht="24" customHeight="1" spans="2:14">
      <c r="B7873" s="33"/>
      <c r="C7873" s="60"/>
      <c r="D7873" s="60"/>
      <c r="E7873" s="60"/>
      <c r="F7873" s="60"/>
      <c r="G7873" s="60"/>
      <c r="H7873" s="60"/>
      <c r="I7873" s="60"/>
      <c r="J7873" s="60"/>
      <c r="K7873" s="60"/>
      <c r="L7873" s="60"/>
      <c r="M7873" s="64"/>
      <c r="N7873" s="33"/>
    </row>
    <row r="7874" ht="24" customHeight="1" spans="2:14">
      <c r="B7874" s="33"/>
      <c r="C7874" s="60"/>
      <c r="D7874" s="60"/>
      <c r="E7874" s="60"/>
      <c r="F7874" s="60"/>
      <c r="G7874" s="60"/>
      <c r="H7874" s="60"/>
      <c r="I7874" s="60"/>
      <c r="J7874" s="60"/>
      <c r="K7874" s="60"/>
      <c r="L7874" s="60"/>
      <c r="M7874" s="64"/>
      <c r="N7874" s="33"/>
    </row>
    <row r="7875" ht="24" customHeight="1" spans="2:14">
      <c r="B7875" s="33"/>
      <c r="C7875" s="60"/>
      <c r="D7875" s="60"/>
      <c r="E7875" s="60"/>
      <c r="F7875" s="60"/>
      <c r="G7875" s="60"/>
      <c r="H7875" s="60"/>
      <c r="I7875" s="60"/>
      <c r="J7875" s="60"/>
      <c r="K7875" s="60"/>
      <c r="L7875" s="60"/>
      <c r="M7875" s="64"/>
      <c r="N7875" s="33"/>
    </row>
    <row r="7876" ht="24" customHeight="1" spans="2:14">
      <c r="B7876" s="33"/>
      <c r="C7876" s="60"/>
      <c r="D7876" s="60"/>
      <c r="E7876" s="60"/>
      <c r="F7876" s="60"/>
      <c r="G7876" s="60"/>
      <c r="H7876" s="60"/>
      <c r="I7876" s="60"/>
      <c r="J7876" s="60"/>
      <c r="K7876" s="60"/>
      <c r="L7876" s="60"/>
      <c r="M7876" s="64"/>
      <c r="N7876" s="33"/>
    </row>
    <row r="7877" ht="24" customHeight="1" spans="2:14">
      <c r="B7877" s="33"/>
      <c r="C7877" s="60"/>
      <c r="D7877" s="60"/>
      <c r="E7877" s="60"/>
      <c r="F7877" s="60"/>
      <c r="G7877" s="60"/>
      <c r="H7877" s="60"/>
      <c r="I7877" s="60"/>
      <c r="J7877" s="60"/>
      <c r="K7877" s="60"/>
      <c r="L7877" s="60"/>
      <c r="M7877" s="64"/>
      <c r="N7877" s="33"/>
    </row>
    <row r="7878" ht="24" customHeight="1" spans="2:14">
      <c r="B7878" s="33"/>
      <c r="C7878" s="60"/>
      <c r="D7878" s="60"/>
      <c r="E7878" s="60"/>
      <c r="F7878" s="60"/>
      <c r="G7878" s="60"/>
      <c r="H7878" s="60"/>
      <c r="I7878" s="60"/>
      <c r="J7878" s="60"/>
      <c r="K7878" s="60"/>
      <c r="L7878" s="60"/>
      <c r="M7878" s="64"/>
      <c r="N7878" s="33"/>
    </row>
    <row r="7879" ht="24" customHeight="1" spans="2:14">
      <c r="B7879" s="33"/>
      <c r="C7879" s="60"/>
      <c r="D7879" s="60"/>
      <c r="E7879" s="60"/>
      <c r="F7879" s="60"/>
      <c r="G7879" s="60"/>
      <c r="H7879" s="60"/>
      <c r="I7879" s="60"/>
      <c r="J7879" s="60"/>
      <c r="K7879" s="60"/>
      <c r="L7879" s="60"/>
      <c r="M7879" s="64"/>
      <c r="N7879" s="33"/>
    </row>
    <row r="7880" ht="24" customHeight="1" spans="2:14">
      <c r="B7880" s="33"/>
      <c r="C7880" s="60"/>
      <c r="D7880" s="60"/>
      <c r="E7880" s="60"/>
      <c r="F7880" s="60"/>
      <c r="G7880" s="60"/>
      <c r="H7880" s="60"/>
      <c r="I7880" s="60"/>
      <c r="J7880" s="60"/>
      <c r="K7880" s="60"/>
      <c r="L7880" s="60"/>
      <c r="M7880" s="64"/>
      <c r="N7880" s="33"/>
    </row>
    <row r="7881" ht="24" customHeight="1" spans="2:14">
      <c r="B7881" s="33"/>
      <c r="C7881" s="60"/>
      <c r="D7881" s="60"/>
      <c r="E7881" s="60"/>
      <c r="F7881" s="60"/>
      <c r="G7881" s="60"/>
      <c r="H7881" s="60"/>
      <c r="I7881" s="60"/>
      <c r="J7881" s="60"/>
      <c r="K7881" s="60"/>
      <c r="L7881" s="60"/>
      <c r="M7881" s="64"/>
      <c r="N7881" s="33"/>
    </row>
    <row r="7882" ht="24" customHeight="1" spans="2:14">
      <c r="B7882" s="33"/>
      <c r="C7882" s="60"/>
      <c r="D7882" s="60"/>
      <c r="E7882" s="60"/>
      <c r="F7882" s="60"/>
      <c r="G7882" s="60"/>
      <c r="H7882" s="60"/>
      <c r="I7882" s="60"/>
      <c r="J7882" s="60"/>
      <c r="K7882" s="60"/>
      <c r="L7882" s="60"/>
      <c r="M7882" s="64"/>
      <c r="N7882" s="33"/>
    </row>
    <row r="7883" ht="24" customHeight="1" spans="2:14">
      <c r="B7883" s="33"/>
      <c r="C7883" s="60"/>
      <c r="D7883" s="60"/>
      <c r="E7883" s="60"/>
      <c r="F7883" s="60"/>
      <c r="G7883" s="60"/>
      <c r="H7883" s="60"/>
      <c r="I7883" s="60"/>
      <c r="J7883" s="60"/>
      <c r="K7883" s="60"/>
      <c r="L7883" s="60"/>
      <c r="M7883" s="64"/>
      <c r="N7883" s="33"/>
    </row>
    <row r="7884" ht="24" customHeight="1" spans="2:14">
      <c r="B7884" s="33"/>
      <c r="C7884" s="60"/>
      <c r="D7884" s="60"/>
      <c r="E7884" s="60"/>
      <c r="F7884" s="60"/>
      <c r="G7884" s="60"/>
      <c r="H7884" s="60"/>
      <c r="I7884" s="60"/>
      <c r="J7884" s="60"/>
      <c r="K7884" s="60"/>
      <c r="L7884" s="60"/>
      <c r="M7884" s="64"/>
      <c r="N7884" s="33"/>
    </row>
    <row r="7885" ht="24" customHeight="1" spans="2:14">
      <c r="B7885" s="33"/>
      <c r="C7885" s="60"/>
      <c r="D7885" s="60"/>
      <c r="E7885" s="60"/>
      <c r="F7885" s="60"/>
      <c r="G7885" s="60"/>
      <c r="H7885" s="60"/>
      <c r="I7885" s="60"/>
      <c r="J7885" s="60"/>
      <c r="K7885" s="60"/>
      <c r="L7885" s="60"/>
      <c r="M7885" s="64"/>
      <c r="N7885" s="33"/>
    </row>
    <row r="7886" ht="24" customHeight="1" spans="2:14">
      <c r="B7886" s="33"/>
      <c r="C7886" s="60"/>
      <c r="D7886" s="60"/>
      <c r="E7886" s="60"/>
      <c r="F7886" s="60"/>
      <c r="G7886" s="60"/>
      <c r="H7886" s="60"/>
      <c r="I7886" s="60"/>
      <c r="J7886" s="60"/>
      <c r="K7886" s="60"/>
      <c r="L7886" s="60"/>
      <c r="M7886" s="64"/>
      <c r="N7886" s="33"/>
    </row>
    <row r="7887" ht="24" customHeight="1" spans="2:14">
      <c r="B7887" s="33"/>
      <c r="C7887" s="60"/>
      <c r="D7887" s="60"/>
      <c r="E7887" s="60"/>
      <c r="F7887" s="60"/>
      <c r="G7887" s="60"/>
      <c r="H7887" s="60"/>
      <c r="I7887" s="60"/>
      <c r="J7887" s="60"/>
      <c r="K7887" s="60"/>
      <c r="L7887" s="60"/>
      <c r="M7887" s="64"/>
      <c r="N7887" s="33"/>
    </row>
    <row r="7888" ht="24" customHeight="1" spans="2:14">
      <c r="B7888" s="33"/>
      <c r="C7888" s="60"/>
      <c r="D7888" s="60"/>
      <c r="E7888" s="60"/>
      <c r="F7888" s="60"/>
      <c r="G7888" s="60"/>
      <c r="H7888" s="60"/>
      <c r="I7888" s="60"/>
      <c r="J7888" s="60"/>
      <c r="K7888" s="60"/>
      <c r="L7888" s="60"/>
      <c r="M7888" s="64"/>
      <c r="N7888" s="33"/>
    </row>
    <row r="7889" ht="24" customHeight="1" spans="2:14">
      <c r="B7889" s="33"/>
      <c r="C7889" s="60"/>
      <c r="D7889" s="60"/>
      <c r="E7889" s="60"/>
      <c r="F7889" s="60"/>
      <c r="G7889" s="60"/>
      <c r="H7889" s="60"/>
      <c r="I7889" s="60"/>
      <c r="J7889" s="60"/>
      <c r="K7889" s="60"/>
      <c r="L7889" s="60"/>
      <c r="M7889" s="64"/>
      <c r="N7889" s="33"/>
    </row>
    <row r="7890" ht="24" customHeight="1" spans="2:14">
      <c r="B7890" s="33"/>
      <c r="C7890" s="60"/>
      <c r="D7890" s="60"/>
      <c r="E7890" s="60"/>
      <c r="F7890" s="60"/>
      <c r="G7890" s="60"/>
      <c r="H7890" s="60"/>
      <c r="I7890" s="60"/>
      <c r="J7890" s="60"/>
      <c r="K7890" s="60"/>
      <c r="L7890" s="60"/>
      <c r="M7890" s="64"/>
      <c r="N7890" s="33"/>
    </row>
    <row r="7891" ht="24" customHeight="1" spans="2:14">
      <c r="B7891" s="33"/>
      <c r="C7891" s="60"/>
      <c r="D7891" s="60"/>
      <c r="E7891" s="60"/>
      <c r="F7891" s="60"/>
      <c r="G7891" s="60"/>
      <c r="H7891" s="60"/>
      <c r="I7891" s="60"/>
      <c r="J7891" s="60"/>
      <c r="K7891" s="60"/>
      <c r="L7891" s="60"/>
      <c r="M7891" s="64"/>
      <c r="N7891" s="33"/>
    </row>
    <row r="7892" ht="24" customHeight="1" spans="2:14">
      <c r="B7892" s="33"/>
      <c r="C7892" s="60"/>
      <c r="D7892" s="60"/>
      <c r="E7892" s="60"/>
      <c r="F7892" s="60"/>
      <c r="G7892" s="60"/>
      <c r="H7892" s="60"/>
      <c r="I7892" s="60"/>
      <c r="J7892" s="60"/>
      <c r="K7892" s="60"/>
      <c r="L7892" s="60"/>
      <c r="M7892" s="64"/>
      <c r="N7892" s="33"/>
    </row>
    <row r="7893" ht="24" customHeight="1" spans="2:14">
      <c r="B7893" s="33"/>
      <c r="C7893" s="60"/>
      <c r="D7893" s="60"/>
      <c r="E7893" s="60"/>
      <c r="F7893" s="60"/>
      <c r="G7893" s="60"/>
      <c r="H7893" s="60"/>
      <c r="I7893" s="60"/>
      <c r="J7893" s="60"/>
      <c r="K7893" s="60"/>
      <c r="L7893" s="60"/>
      <c r="M7893" s="64"/>
      <c r="N7893" s="33"/>
    </row>
    <row r="7894" ht="24" customHeight="1" spans="2:14">
      <c r="B7894" s="33"/>
      <c r="C7894" s="60"/>
      <c r="D7894" s="60"/>
      <c r="E7894" s="60"/>
      <c r="F7894" s="60"/>
      <c r="G7894" s="60"/>
      <c r="H7894" s="60"/>
      <c r="I7894" s="60"/>
      <c r="J7894" s="60"/>
      <c r="K7894" s="60"/>
      <c r="L7894" s="60"/>
      <c r="M7894" s="64"/>
      <c r="N7894" s="33"/>
    </row>
    <row r="7895" ht="24" customHeight="1" spans="2:14">
      <c r="B7895" s="33"/>
      <c r="C7895" s="60"/>
      <c r="D7895" s="60"/>
      <c r="E7895" s="60"/>
      <c r="F7895" s="60"/>
      <c r="G7895" s="60"/>
      <c r="H7895" s="60"/>
      <c r="I7895" s="60"/>
      <c r="J7895" s="60"/>
      <c r="K7895" s="60"/>
      <c r="L7895" s="60"/>
      <c r="M7895" s="64"/>
      <c r="N7895" s="33"/>
    </row>
    <row r="7896" ht="24" customHeight="1" spans="2:14">
      <c r="B7896" s="33"/>
      <c r="C7896" s="60"/>
      <c r="D7896" s="60"/>
      <c r="E7896" s="60"/>
      <c r="F7896" s="60"/>
      <c r="G7896" s="60"/>
      <c r="H7896" s="60"/>
      <c r="I7896" s="60"/>
      <c r="J7896" s="60"/>
      <c r="K7896" s="60"/>
      <c r="L7896" s="60"/>
      <c r="M7896" s="64"/>
      <c r="N7896" s="33"/>
    </row>
    <row r="7897" ht="24" customHeight="1" spans="2:14">
      <c r="B7897" s="33"/>
      <c r="C7897" s="60"/>
      <c r="D7897" s="60"/>
      <c r="E7897" s="60"/>
      <c r="F7897" s="60"/>
      <c r="G7897" s="60"/>
      <c r="H7897" s="60"/>
      <c r="I7897" s="60"/>
      <c r="J7897" s="60"/>
      <c r="K7897" s="60"/>
      <c r="L7897" s="60"/>
      <c r="M7897" s="64"/>
      <c r="N7897" s="33"/>
    </row>
    <row r="7898" ht="24" customHeight="1" spans="2:14">
      <c r="B7898" s="33"/>
      <c r="C7898" s="60"/>
      <c r="D7898" s="60"/>
      <c r="E7898" s="60"/>
      <c r="F7898" s="60"/>
      <c r="G7898" s="60"/>
      <c r="H7898" s="60"/>
      <c r="I7898" s="60"/>
      <c r="J7898" s="60"/>
      <c r="K7898" s="60"/>
      <c r="L7898" s="60"/>
      <c r="M7898" s="64"/>
      <c r="N7898" s="33"/>
    </row>
    <row r="7899" ht="24" customHeight="1" spans="2:14">
      <c r="B7899" s="33"/>
      <c r="C7899" s="60"/>
      <c r="D7899" s="60"/>
      <c r="E7899" s="60"/>
      <c r="F7899" s="60"/>
      <c r="G7899" s="60"/>
      <c r="H7899" s="60"/>
      <c r="I7899" s="60"/>
      <c r="J7899" s="60"/>
      <c r="K7899" s="60"/>
      <c r="L7899" s="60"/>
      <c r="M7899" s="64"/>
      <c r="N7899" s="33"/>
    </row>
    <row r="7900" ht="24" customHeight="1" spans="2:14">
      <c r="B7900" s="33"/>
      <c r="C7900" s="60"/>
      <c r="D7900" s="60"/>
      <c r="E7900" s="60"/>
      <c r="F7900" s="60"/>
      <c r="G7900" s="60"/>
      <c r="H7900" s="60"/>
      <c r="I7900" s="60"/>
      <c r="J7900" s="60"/>
      <c r="K7900" s="60"/>
      <c r="L7900" s="60"/>
      <c r="M7900" s="64"/>
      <c r="N7900" s="33"/>
    </row>
    <row r="7901" ht="24" customHeight="1" spans="2:14">
      <c r="B7901" s="33"/>
      <c r="C7901" s="60"/>
      <c r="D7901" s="60"/>
      <c r="E7901" s="60"/>
      <c r="F7901" s="60"/>
      <c r="G7901" s="60"/>
      <c r="H7901" s="60"/>
      <c r="I7901" s="60"/>
      <c r="J7901" s="60"/>
      <c r="K7901" s="60"/>
      <c r="L7901" s="60"/>
      <c r="M7901" s="64"/>
      <c r="N7901" s="33"/>
    </row>
    <row r="7902" ht="24" customHeight="1" spans="2:14">
      <c r="B7902" s="33"/>
      <c r="C7902" s="60"/>
      <c r="D7902" s="60"/>
      <c r="E7902" s="60"/>
      <c r="F7902" s="60"/>
      <c r="G7902" s="60"/>
      <c r="H7902" s="60"/>
      <c r="I7902" s="60"/>
      <c r="J7902" s="60"/>
      <c r="K7902" s="60"/>
      <c r="L7902" s="60"/>
      <c r="M7902" s="64"/>
      <c r="N7902" s="33"/>
    </row>
    <row r="7903" ht="24" customHeight="1" spans="2:14">
      <c r="B7903" s="33"/>
      <c r="C7903" s="60"/>
      <c r="D7903" s="60"/>
      <c r="E7903" s="60"/>
      <c r="F7903" s="60"/>
      <c r="G7903" s="60"/>
      <c r="H7903" s="60"/>
      <c r="I7903" s="60"/>
      <c r="J7903" s="60"/>
      <c r="K7903" s="60"/>
      <c r="L7903" s="60"/>
      <c r="M7903" s="64"/>
      <c r="N7903" s="33"/>
    </row>
    <row r="7904" ht="24" customHeight="1" spans="2:14">
      <c r="B7904" s="33"/>
      <c r="C7904" s="60"/>
      <c r="D7904" s="60"/>
      <c r="E7904" s="60"/>
      <c r="F7904" s="60"/>
      <c r="G7904" s="60"/>
      <c r="H7904" s="60"/>
      <c r="I7904" s="60"/>
      <c r="J7904" s="60"/>
      <c r="K7904" s="60"/>
      <c r="L7904" s="60"/>
      <c r="M7904" s="64"/>
      <c r="N7904" s="33"/>
    </row>
    <row r="7905" ht="24" customHeight="1" spans="2:14">
      <c r="B7905" s="33"/>
      <c r="C7905" s="60"/>
      <c r="D7905" s="60"/>
      <c r="E7905" s="60"/>
      <c r="F7905" s="60"/>
      <c r="G7905" s="60"/>
      <c r="H7905" s="60"/>
      <c r="I7905" s="60"/>
      <c r="J7905" s="60"/>
      <c r="K7905" s="60"/>
      <c r="L7905" s="60"/>
      <c r="M7905" s="64"/>
      <c r="N7905" s="33"/>
    </row>
    <row r="7906" ht="24" customHeight="1" spans="2:14">
      <c r="B7906" s="33"/>
      <c r="C7906" s="60"/>
      <c r="D7906" s="60"/>
      <c r="E7906" s="60"/>
      <c r="F7906" s="60"/>
      <c r="G7906" s="60"/>
      <c r="H7906" s="60"/>
      <c r="I7906" s="60"/>
      <c r="J7906" s="60"/>
      <c r="K7906" s="60"/>
      <c r="L7906" s="60"/>
      <c r="M7906" s="64"/>
      <c r="N7906" s="33"/>
    </row>
    <row r="7907" ht="24" customHeight="1" spans="2:14">
      <c r="B7907" s="33"/>
      <c r="C7907" s="60"/>
      <c r="D7907" s="60"/>
      <c r="E7907" s="60"/>
      <c r="F7907" s="60"/>
      <c r="G7907" s="60"/>
      <c r="H7907" s="60"/>
      <c r="I7907" s="60"/>
      <c r="J7907" s="60"/>
      <c r="K7907" s="60"/>
      <c r="L7907" s="60"/>
      <c r="M7907" s="64"/>
      <c r="N7907" s="33"/>
    </row>
    <row r="7908" ht="24" customHeight="1" spans="2:14">
      <c r="B7908" s="33"/>
      <c r="C7908" s="60"/>
      <c r="D7908" s="60"/>
      <c r="E7908" s="60"/>
      <c r="F7908" s="60"/>
      <c r="G7908" s="60"/>
      <c r="H7908" s="60"/>
      <c r="I7908" s="60"/>
      <c r="J7908" s="60"/>
      <c r="K7908" s="60"/>
      <c r="L7908" s="60"/>
      <c r="M7908" s="64"/>
      <c r="N7908" s="33"/>
    </row>
    <row r="7909" ht="24" customHeight="1" spans="2:14">
      <c r="B7909" s="33"/>
      <c r="C7909" s="60"/>
      <c r="D7909" s="60"/>
      <c r="E7909" s="60"/>
      <c r="F7909" s="60"/>
      <c r="G7909" s="60"/>
      <c r="H7909" s="60"/>
      <c r="I7909" s="60"/>
      <c r="J7909" s="60"/>
      <c r="K7909" s="60"/>
      <c r="L7909" s="60"/>
      <c r="M7909" s="64"/>
      <c r="N7909" s="33"/>
    </row>
    <row r="7910" ht="24" customHeight="1" spans="2:14">
      <c r="B7910" s="33"/>
      <c r="C7910" s="60"/>
      <c r="D7910" s="60"/>
      <c r="E7910" s="60"/>
      <c r="F7910" s="60"/>
      <c r="G7910" s="60"/>
      <c r="H7910" s="60"/>
      <c r="I7910" s="60"/>
      <c r="J7910" s="60"/>
      <c r="K7910" s="60"/>
      <c r="L7910" s="60"/>
      <c r="M7910" s="64"/>
      <c r="N7910" s="33"/>
    </row>
    <row r="7911" ht="24" customHeight="1" spans="2:14">
      <c r="B7911" s="33"/>
      <c r="C7911" s="60"/>
      <c r="D7911" s="60"/>
      <c r="E7911" s="60"/>
      <c r="F7911" s="60"/>
      <c r="G7911" s="60"/>
      <c r="H7911" s="60"/>
      <c r="I7911" s="60"/>
      <c r="J7911" s="60"/>
      <c r="K7911" s="60"/>
      <c r="L7911" s="60"/>
      <c r="M7911" s="64"/>
      <c r="N7911" s="33"/>
    </row>
    <row r="7912" ht="24" customHeight="1" spans="2:14">
      <c r="B7912" s="33"/>
      <c r="C7912" s="60"/>
      <c r="D7912" s="60"/>
      <c r="E7912" s="60"/>
      <c r="F7912" s="60"/>
      <c r="G7912" s="60"/>
      <c r="H7912" s="60"/>
      <c r="I7912" s="60"/>
      <c r="J7912" s="60"/>
      <c r="K7912" s="60"/>
      <c r="L7912" s="60"/>
      <c r="M7912" s="64"/>
      <c r="N7912" s="33"/>
    </row>
    <row r="7913" ht="24" customHeight="1" spans="2:14">
      <c r="B7913" s="33"/>
      <c r="C7913" s="60"/>
      <c r="D7913" s="60"/>
      <c r="E7913" s="60"/>
      <c r="F7913" s="60"/>
      <c r="G7913" s="60"/>
      <c r="H7913" s="60"/>
      <c r="I7913" s="60"/>
      <c r="J7913" s="60"/>
      <c r="K7913" s="60"/>
      <c r="L7913" s="60"/>
      <c r="M7913" s="64"/>
      <c r="N7913" s="33"/>
    </row>
    <row r="7914" ht="24" customHeight="1" spans="2:14">
      <c r="B7914" s="33"/>
      <c r="C7914" s="60"/>
      <c r="D7914" s="60"/>
      <c r="E7914" s="60"/>
      <c r="F7914" s="60"/>
      <c r="G7914" s="60"/>
      <c r="H7914" s="60"/>
      <c r="I7914" s="60"/>
      <c r="J7914" s="60"/>
      <c r="K7914" s="60"/>
      <c r="L7914" s="60"/>
      <c r="M7914" s="64"/>
      <c r="N7914" s="33"/>
    </row>
    <row r="7915" ht="24" customHeight="1" spans="2:14">
      <c r="B7915" s="33"/>
      <c r="C7915" s="60"/>
      <c r="D7915" s="60"/>
      <c r="E7915" s="60"/>
      <c r="F7915" s="60"/>
      <c r="G7915" s="60"/>
      <c r="H7915" s="60"/>
      <c r="I7915" s="60"/>
      <c r="J7915" s="60"/>
      <c r="K7915" s="60"/>
      <c r="L7915" s="60"/>
      <c r="M7915" s="64"/>
      <c r="N7915" s="33"/>
    </row>
    <row r="7916" ht="24" customHeight="1" spans="2:14">
      <c r="B7916" s="33"/>
      <c r="C7916" s="60"/>
      <c r="D7916" s="60"/>
      <c r="E7916" s="60"/>
      <c r="F7916" s="60"/>
      <c r="G7916" s="60"/>
      <c r="H7916" s="60"/>
      <c r="I7916" s="60"/>
      <c r="J7916" s="60"/>
      <c r="K7916" s="60"/>
      <c r="L7916" s="60"/>
      <c r="M7916" s="64"/>
      <c r="N7916" s="33"/>
    </row>
    <row r="7917" ht="24" customHeight="1" spans="2:14">
      <c r="B7917" s="33"/>
      <c r="C7917" s="60"/>
      <c r="D7917" s="60"/>
      <c r="E7917" s="60"/>
      <c r="F7917" s="60"/>
      <c r="G7917" s="60"/>
      <c r="H7917" s="60"/>
      <c r="I7917" s="60"/>
      <c r="J7917" s="60"/>
      <c r="K7917" s="60"/>
      <c r="L7917" s="60"/>
      <c r="M7917" s="64"/>
      <c r="N7917" s="33"/>
    </row>
    <row r="7918" ht="24" customHeight="1" spans="2:14">
      <c r="B7918" s="33"/>
      <c r="C7918" s="60"/>
      <c r="D7918" s="60"/>
      <c r="E7918" s="60"/>
      <c r="F7918" s="60"/>
      <c r="G7918" s="60"/>
      <c r="H7918" s="60"/>
      <c r="I7918" s="60"/>
      <c r="J7918" s="60"/>
      <c r="K7918" s="60"/>
      <c r="L7918" s="60"/>
      <c r="M7918" s="64"/>
      <c r="N7918" s="33"/>
    </row>
    <row r="7919" ht="24" customHeight="1" spans="2:14">
      <c r="B7919" s="33"/>
      <c r="C7919" s="60"/>
      <c r="D7919" s="60"/>
      <c r="E7919" s="60"/>
      <c r="F7919" s="60"/>
      <c r="G7919" s="60"/>
      <c r="H7919" s="60"/>
      <c r="I7919" s="60"/>
      <c r="J7919" s="60"/>
      <c r="K7919" s="60"/>
      <c r="L7919" s="60"/>
      <c r="M7919" s="64"/>
      <c r="N7919" s="33"/>
    </row>
    <row r="7920" ht="24" customHeight="1" spans="2:14">
      <c r="B7920" s="33"/>
      <c r="C7920" s="60"/>
      <c r="D7920" s="60"/>
      <c r="E7920" s="60"/>
      <c r="F7920" s="60"/>
      <c r="G7920" s="60"/>
      <c r="H7920" s="60"/>
      <c r="I7920" s="60"/>
      <c r="J7920" s="60"/>
      <c r="K7920" s="60"/>
      <c r="L7920" s="60"/>
      <c r="M7920" s="64"/>
      <c r="N7920" s="33"/>
    </row>
    <row r="7921" ht="24" customHeight="1" spans="2:14">
      <c r="B7921" s="33"/>
      <c r="C7921" s="60"/>
      <c r="D7921" s="60"/>
      <c r="E7921" s="60"/>
      <c r="F7921" s="60"/>
      <c r="G7921" s="60"/>
      <c r="H7921" s="60"/>
      <c r="I7921" s="60"/>
      <c r="J7921" s="60"/>
      <c r="K7921" s="60"/>
      <c r="L7921" s="60"/>
      <c r="M7921" s="64"/>
      <c r="N7921" s="33"/>
    </row>
    <row r="7922" ht="24" customHeight="1" spans="2:14">
      <c r="B7922" s="33"/>
      <c r="C7922" s="60"/>
      <c r="D7922" s="60"/>
      <c r="E7922" s="60"/>
      <c r="F7922" s="60"/>
      <c r="G7922" s="60"/>
      <c r="H7922" s="60"/>
      <c r="I7922" s="60"/>
      <c r="J7922" s="60"/>
      <c r="K7922" s="60"/>
      <c r="L7922" s="60"/>
      <c r="M7922" s="64"/>
      <c r="N7922" s="33"/>
    </row>
    <row r="7923" ht="24" customHeight="1" spans="2:14">
      <c r="B7923" s="33"/>
      <c r="C7923" s="60"/>
      <c r="D7923" s="60"/>
      <c r="E7923" s="60"/>
      <c r="F7923" s="60"/>
      <c r="G7923" s="60"/>
      <c r="H7923" s="60"/>
      <c r="I7923" s="60"/>
      <c r="J7923" s="60"/>
      <c r="K7923" s="60"/>
      <c r="L7923" s="60"/>
      <c r="M7923" s="64"/>
      <c r="N7923" s="33"/>
    </row>
    <row r="7924" ht="24" customHeight="1" spans="2:14">
      <c r="B7924" s="33"/>
      <c r="C7924" s="60"/>
      <c r="D7924" s="60"/>
      <c r="E7924" s="60"/>
      <c r="F7924" s="60"/>
      <c r="G7924" s="60"/>
      <c r="H7924" s="60"/>
      <c r="I7924" s="60"/>
      <c r="J7924" s="60"/>
      <c r="K7924" s="60"/>
      <c r="L7924" s="60"/>
      <c r="M7924" s="64"/>
      <c r="N7924" s="33"/>
    </row>
    <row r="7925" ht="24" customHeight="1" spans="2:14">
      <c r="B7925" s="33"/>
      <c r="C7925" s="60"/>
      <c r="D7925" s="60"/>
      <c r="E7925" s="60"/>
      <c r="F7925" s="60"/>
      <c r="G7925" s="60"/>
      <c r="H7925" s="60"/>
      <c r="I7925" s="60"/>
      <c r="J7925" s="60"/>
      <c r="K7925" s="60"/>
      <c r="L7925" s="60"/>
      <c r="M7925" s="64"/>
      <c r="N7925" s="33"/>
    </row>
    <row r="7926" ht="24" customHeight="1" spans="2:14">
      <c r="B7926" s="33"/>
      <c r="C7926" s="60"/>
      <c r="D7926" s="60"/>
      <c r="E7926" s="60"/>
      <c r="F7926" s="60"/>
      <c r="G7926" s="60"/>
      <c r="H7926" s="60"/>
      <c r="I7926" s="60"/>
      <c r="J7926" s="60"/>
      <c r="K7926" s="60"/>
      <c r="L7926" s="60"/>
      <c r="M7926" s="64"/>
      <c r="N7926" s="33"/>
    </row>
    <row r="7927" ht="24" customHeight="1" spans="2:14">
      <c r="B7927" s="33"/>
      <c r="C7927" s="60"/>
      <c r="D7927" s="60"/>
      <c r="E7927" s="60"/>
      <c r="F7927" s="60"/>
      <c r="G7927" s="60"/>
      <c r="H7927" s="60"/>
      <c r="I7927" s="60"/>
      <c r="J7927" s="60"/>
      <c r="K7927" s="60"/>
      <c r="L7927" s="60"/>
      <c r="M7927" s="64"/>
      <c r="N7927" s="33"/>
    </row>
    <row r="7928" ht="24" customHeight="1" spans="2:14">
      <c r="B7928" s="33"/>
      <c r="C7928" s="60"/>
      <c r="D7928" s="60"/>
      <c r="E7928" s="60"/>
      <c r="F7928" s="60"/>
      <c r="G7928" s="60"/>
      <c r="H7928" s="60"/>
      <c r="I7928" s="60"/>
      <c r="J7928" s="60"/>
      <c r="K7928" s="60"/>
      <c r="L7928" s="60"/>
      <c r="M7928" s="64"/>
      <c r="N7928" s="33"/>
    </row>
    <row r="7929" ht="24" customHeight="1" spans="2:14">
      <c r="B7929" s="33"/>
      <c r="C7929" s="60"/>
      <c r="D7929" s="60"/>
      <c r="E7929" s="60"/>
      <c r="F7929" s="60"/>
      <c r="G7929" s="60"/>
      <c r="H7929" s="60"/>
      <c r="I7929" s="60"/>
      <c r="J7929" s="60"/>
      <c r="K7929" s="60"/>
      <c r="L7929" s="60"/>
      <c r="M7929" s="64"/>
      <c r="N7929" s="33"/>
    </row>
    <row r="7930" ht="24" customHeight="1" spans="2:14">
      <c r="B7930" s="33"/>
      <c r="C7930" s="60"/>
      <c r="D7930" s="60"/>
      <c r="E7930" s="60"/>
      <c r="F7930" s="60"/>
      <c r="G7930" s="60"/>
      <c r="H7930" s="60"/>
      <c r="I7930" s="60"/>
      <c r="J7930" s="60"/>
      <c r="K7930" s="60"/>
      <c r="L7930" s="60"/>
      <c r="M7930" s="64"/>
      <c r="N7930" s="33"/>
    </row>
    <row r="7931" ht="24" customHeight="1" spans="2:14">
      <c r="B7931" s="33"/>
      <c r="C7931" s="60"/>
      <c r="D7931" s="60"/>
      <c r="E7931" s="60"/>
      <c r="F7931" s="60"/>
      <c r="G7931" s="60"/>
      <c r="H7931" s="60"/>
      <c r="I7931" s="60"/>
      <c r="J7931" s="60"/>
      <c r="K7931" s="60"/>
      <c r="L7931" s="60"/>
      <c r="M7931" s="64"/>
      <c r="N7931" s="33"/>
    </row>
    <row r="7932" ht="24" customHeight="1" spans="2:14">
      <c r="B7932" s="33"/>
      <c r="C7932" s="60"/>
      <c r="D7932" s="60"/>
      <c r="E7932" s="60"/>
      <c r="F7932" s="60"/>
      <c r="G7932" s="60"/>
      <c r="H7932" s="60"/>
      <c r="I7932" s="60"/>
      <c r="J7932" s="60"/>
      <c r="K7932" s="60"/>
      <c r="L7932" s="60"/>
      <c r="M7932" s="64"/>
      <c r="N7932" s="33"/>
    </row>
    <row r="7933" ht="24" customHeight="1" spans="2:14">
      <c r="B7933" s="33"/>
      <c r="C7933" s="60"/>
      <c r="D7933" s="60"/>
      <c r="E7933" s="60"/>
      <c r="F7933" s="60"/>
      <c r="G7933" s="60"/>
      <c r="H7933" s="60"/>
      <c r="I7933" s="60"/>
      <c r="J7933" s="60"/>
      <c r="K7933" s="60"/>
      <c r="L7933" s="60"/>
      <c r="M7933" s="64"/>
      <c r="N7933" s="33"/>
    </row>
    <row r="7934" ht="24" customHeight="1" spans="2:14">
      <c r="B7934" s="33"/>
      <c r="C7934" s="60"/>
      <c r="D7934" s="60"/>
      <c r="E7934" s="60"/>
      <c r="F7934" s="60"/>
      <c r="G7934" s="60"/>
      <c r="H7934" s="60"/>
      <c r="I7934" s="60"/>
      <c r="J7934" s="60"/>
      <c r="K7934" s="60"/>
      <c r="L7934" s="60"/>
      <c r="M7934" s="64"/>
      <c r="N7934" s="33"/>
    </row>
    <row r="7935" ht="24" customHeight="1" spans="2:14">
      <c r="B7935" s="33"/>
      <c r="C7935" s="60"/>
      <c r="D7935" s="60"/>
      <c r="E7935" s="60"/>
      <c r="F7935" s="60"/>
      <c r="G7935" s="60"/>
      <c r="H7935" s="60"/>
      <c r="I7935" s="60"/>
      <c r="J7935" s="60"/>
      <c r="K7935" s="60"/>
      <c r="L7935" s="60"/>
      <c r="M7935" s="64"/>
      <c r="N7935" s="33"/>
    </row>
    <row r="7936" ht="24" customHeight="1" spans="2:14">
      <c r="B7936" s="33"/>
      <c r="C7936" s="60"/>
      <c r="D7936" s="60"/>
      <c r="E7936" s="60"/>
      <c r="F7936" s="60"/>
      <c r="G7936" s="60"/>
      <c r="H7936" s="60"/>
      <c r="I7936" s="60"/>
      <c r="J7936" s="60"/>
      <c r="K7936" s="60"/>
      <c r="L7936" s="60"/>
      <c r="M7936" s="64"/>
      <c r="N7936" s="33"/>
    </row>
    <row r="7937" ht="24" customHeight="1" spans="2:14">
      <c r="B7937" s="33"/>
      <c r="C7937" s="60"/>
      <c r="D7937" s="60"/>
      <c r="E7937" s="60"/>
      <c r="F7937" s="60"/>
      <c r="G7937" s="60"/>
      <c r="H7937" s="60"/>
      <c r="I7937" s="60"/>
      <c r="J7937" s="60"/>
      <c r="K7937" s="60"/>
      <c r="L7937" s="60"/>
      <c r="M7937" s="64"/>
      <c r="N7937" s="33"/>
    </row>
    <row r="7938" ht="24" customHeight="1" spans="2:14">
      <c r="B7938" s="33"/>
      <c r="C7938" s="60"/>
      <c r="D7938" s="60"/>
      <c r="E7938" s="60"/>
      <c r="F7938" s="60"/>
      <c r="G7938" s="60"/>
      <c r="H7938" s="60"/>
      <c r="I7938" s="60"/>
      <c r="J7938" s="60"/>
      <c r="K7938" s="60"/>
      <c r="L7938" s="60"/>
      <c r="M7938" s="64"/>
      <c r="N7938" s="33"/>
    </row>
    <row r="7939" ht="24" customHeight="1" spans="2:14">
      <c r="B7939" s="33"/>
      <c r="C7939" s="60"/>
      <c r="D7939" s="60"/>
      <c r="E7939" s="60"/>
      <c r="F7939" s="60"/>
      <c r="G7939" s="60"/>
      <c r="H7939" s="60"/>
      <c r="I7939" s="60"/>
      <c r="J7939" s="60"/>
      <c r="K7939" s="60"/>
      <c r="L7939" s="60"/>
      <c r="M7939" s="64"/>
      <c r="N7939" s="33"/>
    </row>
    <row r="7940" ht="24" customHeight="1" spans="2:14">
      <c r="B7940" s="33"/>
      <c r="C7940" s="60"/>
      <c r="D7940" s="60"/>
      <c r="E7940" s="60"/>
      <c r="F7940" s="60"/>
      <c r="G7940" s="60"/>
      <c r="H7940" s="60"/>
      <c r="I7940" s="60"/>
      <c r="J7940" s="60"/>
      <c r="K7940" s="60"/>
      <c r="L7940" s="60"/>
      <c r="M7940" s="64"/>
      <c r="N7940" s="33"/>
    </row>
    <row r="7941" ht="24" customHeight="1" spans="2:14">
      <c r="B7941" s="33"/>
      <c r="C7941" s="60"/>
      <c r="D7941" s="60"/>
      <c r="E7941" s="60"/>
      <c r="F7941" s="60"/>
      <c r="G7941" s="60"/>
      <c r="H7941" s="60"/>
      <c r="I7941" s="60"/>
      <c r="J7941" s="60"/>
      <c r="K7941" s="60"/>
      <c r="L7941" s="60"/>
      <c r="M7941" s="64"/>
      <c r="N7941" s="33"/>
    </row>
    <row r="7942" ht="24" customHeight="1" spans="2:14">
      <c r="B7942" s="33"/>
      <c r="C7942" s="60"/>
      <c r="D7942" s="60"/>
      <c r="E7942" s="60"/>
      <c r="F7942" s="60"/>
      <c r="G7942" s="60"/>
      <c r="H7942" s="60"/>
      <c r="I7942" s="60"/>
      <c r="J7942" s="60"/>
      <c r="K7942" s="60"/>
      <c r="L7942" s="60"/>
      <c r="M7942" s="64"/>
      <c r="N7942" s="33"/>
    </row>
    <row r="7943" ht="24" customHeight="1" spans="2:14">
      <c r="B7943" s="33"/>
      <c r="C7943" s="60"/>
      <c r="D7943" s="60"/>
      <c r="E7943" s="60"/>
      <c r="F7943" s="60"/>
      <c r="G7943" s="60"/>
      <c r="H7943" s="60"/>
      <c r="I7943" s="60"/>
      <c r="J7943" s="60"/>
      <c r="K7943" s="60"/>
      <c r="L7943" s="60"/>
      <c r="M7943" s="64"/>
      <c r="N7943" s="33"/>
    </row>
    <row r="7944" ht="24" customHeight="1" spans="2:14">
      <c r="B7944" s="33"/>
      <c r="C7944" s="60"/>
      <c r="D7944" s="60"/>
      <c r="E7944" s="60"/>
      <c r="F7944" s="60"/>
      <c r="G7944" s="60"/>
      <c r="H7944" s="60"/>
      <c r="I7944" s="60"/>
      <c r="J7944" s="60"/>
      <c r="K7944" s="60"/>
      <c r="L7944" s="60"/>
      <c r="M7944" s="64"/>
      <c r="N7944" s="33"/>
    </row>
    <row r="7945" ht="24" customHeight="1" spans="2:14">
      <c r="B7945" s="33"/>
      <c r="C7945" s="60"/>
      <c r="D7945" s="60"/>
      <c r="E7945" s="60"/>
      <c r="F7945" s="60"/>
      <c r="G7945" s="60"/>
      <c r="H7945" s="60"/>
      <c r="I7945" s="60"/>
      <c r="J7945" s="60"/>
      <c r="K7945" s="60"/>
      <c r="L7945" s="60"/>
      <c r="M7945" s="64"/>
      <c r="N7945" s="33"/>
    </row>
    <row r="7946" ht="24" customHeight="1" spans="2:14">
      <c r="B7946" s="33"/>
      <c r="C7946" s="60"/>
      <c r="D7946" s="60"/>
      <c r="E7946" s="60"/>
      <c r="F7946" s="60"/>
      <c r="G7946" s="60"/>
      <c r="H7946" s="60"/>
      <c r="I7946" s="60"/>
      <c r="J7946" s="60"/>
      <c r="K7946" s="60"/>
      <c r="L7946" s="60"/>
      <c r="M7946" s="64"/>
      <c r="N7946" s="33"/>
    </row>
    <row r="7947" ht="24" customHeight="1" spans="2:14">
      <c r="B7947" s="33"/>
      <c r="C7947" s="60"/>
      <c r="D7947" s="60"/>
      <c r="E7947" s="60"/>
      <c r="F7947" s="60"/>
      <c r="G7947" s="60"/>
      <c r="H7947" s="60"/>
      <c r="I7947" s="60"/>
      <c r="J7947" s="60"/>
      <c r="K7947" s="60"/>
      <c r="L7947" s="60"/>
      <c r="M7947" s="64"/>
      <c r="N7947" s="33"/>
    </row>
    <row r="7948" ht="24" customHeight="1" spans="2:14">
      <c r="B7948" s="33"/>
      <c r="C7948" s="60"/>
      <c r="D7948" s="60"/>
      <c r="E7948" s="60"/>
      <c r="F7948" s="60"/>
      <c r="G7948" s="60"/>
      <c r="H7948" s="60"/>
      <c r="I7948" s="60"/>
      <c r="J7948" s="60"/>
      <c r="K7948" s="60"/>
      <c r="L7948" s="60"/>
      <c r="M7948" s="64"/>
      <c r="N7948" s="33"/>
    </row>
    <row r="7949" ht="24" customHeight="1" spans="2:14">
      <c r="B7949" s="33"/>
      <c r="C7949" s="60"/>
      <c r="D7949" s="60"/>
      <c r="E7949" s="60"/>
      <c r="F7949" s="60"/>
      <c r="G7949" s="60"/>
      <c r="H7949" s="60"/>
      <c r="I7949" s="60"/>
      <c r="J7949" s="60"/>
      <c r="K7949" s="60"/>
      <c r="L7949" s="60"/>
      <c r="M7949" s="64"/>
      <c r="N7949" s="33"/>
    </row>
    <row r="7950" ht="24" customHeight="1" spans="2:14">
      <c r="B7950" s="33"/>
      <c r="C7950" s="60"/>
      <c r="D7950" s="60"/>
      <c r="E7950" s="60"/>
      <c r="F7950" s="60"/>
      <c r="G7950" s="60"/>
      <c r="H7950" s="60"/>
      <c r="I7950" s="60"/>
      <c r="J7950" s="60"/>
      <c r="K7950" s="60"/>
      <c r="L7950" s="60"/>
      <c r="M7950" s="64"/>
      <c r="N7950" s="33"/>
    </row>
    <row r="7951" ht="24" customHeight="1" spans="2:14">
      <c r="B7951" s="33"/>
      <c r="C7951" s="60"/>
      <c r="D7951" s="60"/>
      <c r="E7951" s="60"/>
      <c r="F7951" s="60"/>
      <c r="G7951" s="60"/>
      <c r="H7951" s="60"/>
      <c r="I7951" s="60"/>
      <c r="J7951" s="60"/>
      <c r="K7951" s="60"/>
      <c r="L7951" s="60"/>
      <c r="M7951" s="64"/>
      <c r="N7951" s="33"/>
    </row>
    <row r="7952" ht="24" customHeight="1" spans="2:14">
      <c r="B7952" s="33"/>
      <c r="C7952" s="60"/>
      <c r="D7952" s="60"/>
      <c r="E7952" s="60"/>
      <c r="F7952" s="60"/>
      <c r="G7952" s="60"/>
      <c r="H7952" s="60"/>
      <c r="I7952" s="60"/>
      <c r="J7952" s="60"/>
      <c r="K7952" s="60"/>
      <c r="L7952" s="60"/>
      <c r="M7952" s="64"/>
      <c r="N7952" s="33"/>
    </row>
    <row r="7953" ht="24" customHeight="1" spans="2:14">
      <c r="B7953" s="33"/>
      <c r="C7953" s="60"/>
      <c r="D7953" s="60"/>
      <c r="E7953" s="60"/>
      <c r="F7953" s="60"/>
      <c r="G7953" s="60"/>
      <c r="H7953" s="60"/>
      <c r="I7953" s="60"/>
      <c r="J7953" s="60"/>
      <c r="K7953" s="60"/>
      <c r="L7953" s="60"/>
      <c r="M7953" s="64"/>
      <c r="N7953" s="33"/>
    </row>
    <row r="7954" ht="24" customHeight="1" spans="2:14">
      <c r="B7954" s="33"/>
      <c r="C7954" s="60"/>
      <c r="D7954" s="60"/>
      <c r="E7954" s="60"/>
      <c r="F7954" s="60"/>
      <c r="G7954" s="60"/>
      <c r="H7954" s="60"/>
      <c r="I7954" s="60"/>
      <c r="J7954" s="60"/>
      <c r="K7954" s="60"/>
      <c r="L7954" s="60"/>
      <c r="M7954" s="64"/>
      <c r="N7954" s="33"/>
    </row>
    <row r="7955" ht="24" customHeight="1" spans="2:14">
      <c r="B7955" s="33"/>
      <c r="C7955" s="60"/>
      <c r="D7955" s="60"/>
      <c r="E7955" s="60"/>
      <c r="F7955" s="60"/>
      <c r="G7955" s="60"/>
      <c r="H7955" s="60"/>
      <c r="I7955" s="60"/>
      <c r="J7955" s="60"/>
      <c r="K7955" s="60"/>
      <c r="L7955" s="60"/>
      <c r="M7955" s="64"/>
      <c r="N7955" s="33"/>
    </row>
    <row r="7956" ht="24" customHeight="1" spans="2:14">
      <c r="B7956" s="33"/>
      <c r="C7956" s="60"/>
      <c r="D7956" s="60"/>
      <c r="E7956" s="60"/>
      <c r="F7956" s="60"/>
      <c r="G7956" s="60"/>
      <c r="H7956" s="60"/>
      <c r="I7956" s="60"/>
      <c r="J7956" s="60"/>
      <c r="K7956" s="60"/>
      <c r="L7956" s="60"/>
      <c r="M7956" s="64"/>
      <c r="N7956" s="33"/>
    </row>
    <row r="7957" ht="24" customHeight="1" spans="2:14">
      <c r="B7957" s="33"/>
      <c r="C7957" s="60"/>
      <c r="D7957" s="60"/>
      <c r="E7957" s="60"/>
      <c r="F7957" s="60"/>
      <c r="G7957" s="60"/>
      <c r="H7957" s="60"/>
      <c r="I7957" s="60"/>
      <c r="J7957" s="60"/>
      <c r="K7957" s="60"/>
      <c r="L7957" s="60"/>
      <c r="M7957" s="64"/>
      <c r="N7957" s="33"/>
    </row>
    <row r="7958" ht="24" customHeight="1" spans="2:14">
      <c r="B7958" s="33"/>
      <c r="C7958" s="60"/>
      <c r="D7958" s="60"/>
      <c r="E7958" s="60"/>
      <c r="F7958" s="60"/>
      <c r="G7958" s="60"/>
      <c r="H7958" s="60"/>
      <c r="I7958" s="60"/>
      <c r="J7958" s="60"/>
      <c r="K7958" s="60"/>
      <c r="L7958" s="60"/>
      <c r="M7958" s="64"/>
      <c r="N7958" s="33"/>
    </row>
    <row r="7959" ht="24" customHeight="1" spans="2:14">
      <c r="B7959" s="33"/>
      <c r="C7959" s="60"/>
      <c r="D7959" s="60"/>
      <c r="E7959" s="60"/>
      <c r="F7959" s="60"/>
      <c r="G7959" s="60"/>
      <c r="H7959" s="60"/>
      <c r="I7959" s="60"/>
      <c r="J7959" s="60"/>
      <c r="K7959" s="60"/>
      <c r="L7959" s="60"/>
      <c r="M7959" s="64"/>
      <c r="N7959" s="33"/>
    </row>
    <row r="7960" ht="24" customHeight="1" spans="2:14">
      <c r="B7960" s="33"/>
      <c r="C7960" s="60"/>
      <c r="D7960" s="60"/>
      <c r="E7960" s="60"/>
      <c r="F7960" s="60"/>
      <c r="G7960" s="60"/>
      <c r="H7960" s="60"/>
      <c r="I7960" s="60"/>
      <c r="J7960" s="60"/>
      <c r="K7960" s="60"/>
      <c r="L7960" s="60"/>
      <c r="M7960" s="64"/>
      <c r="N7960" s="33"/>
    </row>
    <row r="7961" ht="24" customHeight="1" spans="2:14">
      <c r="B7961" s="33"/>
      <c r="C7961" s="60"/>
      <c r="D7961" s="60"/>
      <c r="E7961" s="60"/>
      <c r="F7961" s="60"/>
      <c r="G7961" s="60"/>
      <c r="H7961" s="60"/>
      <c r="I7961" s="60"/>
      <c r="J7961" s="60"/>
      <c r="K7961" s="60"/>
      <c r="L7961" s="60"/>
      <c r="M7961" s="64"/>
      <c r="N7961" s="33"/>
    </row>
    <row r="7962" ht="24" customHeight="1" spans="2:14">
      <c r="B7962" s="33"/>
      <c r="C7962" s="60"/>
      <c r="D7962" s="60"/>
      <c r="E7962" s="60"/>
      <c r="F7962" s="60"/>
      <c r="G7962" s="60"/>
      <c r="H7962" s="60"/>
      <c r="I7962" s="60"/>
      <c r="J7962" s="60"/>
      <c r="K7962" s="60"/>
      <c r="L7962" s="60"/>
      <c r="M7962" s="64"/>
      <c r="N7962" s="33"/>
    </row>
    <row r="7963" ht="24" customHeight="1" spans="2:14">
      <c r="B7963" s="33"/>
      <c r="C7963" s="60"/>
      <c r="D7963" s="60"/>
      <c r="E7963" s="60"/>
      <c r="F7963" s="60"/>
      <c r="G7963" s="60"/>
      <c r="H7963" s="60"/>
      <c r="I7963" s="60"/>
      <c r="J7963" s="60"/>
      <c r="K7963" s="60"/>
      <c r="L7963" s="60"/>
      <c r="M7963" s="64"/>
      <c r="N7963" s="33"/>
    </row>
    <row r="7964" ht="24" customHeight="1" spans="2:14">
      <c r="B7964" s="33"/>
      <c r="C7964" s="60"/>
      <c r="D7964" s="60"/>
      <c r="E7964" s="60"/>
      <c r="F7964" s="60"/>
      <c r="G7964" s="60"/>
      <c r="H7964" s="60"/>
      <c r="I7964" s="60"/>
      <c r="J7964" s="60"/>
      <c r="K7964" s="60"/>
      <c r="L7964" s="60"/>
      <c r="M7964" s="64"/>
      <c r="N7964" s="33"/>
    </row>
    <row r="7965" ht="24" customHeight="1" spans="2:14">
      <c r="B7965" s="33"/>
      <c r="C7965" s="60"/>
      <c r="D7965" s="60"/>
      <c r="E7965" s="60"/>
      <c r="F7965" s="60"/>
      <c r="G7965" s="60"/>
      <c r="H7965" s="60"/>
      <c r="I7965" s="60"/>
      <c r="J7965" s="60"/>
      <c r="K7965" s="60"/>
      <c r="L7965" s="60"/>
      <c r="M7965" s="64"/>
      <c r="N7965" s="33"/>
    </row>
    <row r="7966" ht="24" customHeight="1" spans="2:14">
      <c r="B7966" s="33"/>
      <c r="C7966" s="60"/>
      <c r="D7966" s="60"/>
      <c r="E7966" s="60"/>
      <c r="F7966" s="60"/>
      <c r="G7966" s="60"/>
      <c r="H7966" s="60"/>
      <c r="I7966" s="60"/>
      <c r="J7966" s="60"/>
      <c r="K7966" s="60"/>
      <c r="L7966" s="60"/>
      <c r="M7966" s="64"/>
      <c r="N7966" s="33"/>
    </row>
    <row r="7967" ht="24" customHeight="1" spans="2:14">
      <c r="B7967" s="33"/>
      <c r="C7967" s="60"/>
      <c r="D7967" s="60"/>
      <c r="E7967" s="60"/>
      <c r="F7967" s="60"/>
      <c r="G7967" s="60"/>
      <c r="H7967" s="60"/>
      <c r="I7967" s="60"/>
      <c r="J7967" s="60"/>
      <c r="K7967" s="60"/>
      <c r="L7967" s="60"/>
      <c r="M7967" s="64"/>
      <c r="N7967" s="33"/>
    </row>
    <row r="7968" ht="24" customHeight="1" spans="2:14">
      <c r="B7968" s="33"/>
      <c r="C7968" s="60"/>
      <c r="D7968" s="60"/>
      <c r="E7968" s="60"/>
      <c r="F7968" s="60"/>
      <c r="G7968" s="60"/>
      <c r="H7968" s="60"/>
      <c r="I7968" s="60"/>
      <c r="J7968" s="60"/>
      <c r="K7968" s="60"/>
      <c r="L7968" s="60"/>
      <c r="M7968" s="64"/>
      <c r="N7968" s="33"/>
    </row>
    <row r="7969" ht="24" customHeight="1" spans="2:14">
      <c r="B7969" s="33"/>
      <c r="C7969" s="60"/>
      <c r="D7969" s="60"/>
      <c r="E7969" s="60"/>
      <c r="F7969" s="60"/>
      <c r="G7969" s="60"/>
      <c r="H7969" s="60"/>
      <c r="I7969" s="60"/>
      <c r="J7969" s="60"/>
      <c r="K7969" s="60"/>
      <c r="L7969" s="60"/>
      <c r="M7969" s="64"/>
      <c r="N7969" s="33"/>
    </row>
    <row r="7970" ht="24" customHeight="1" spans="2:14">
      <c r="B7970" s="33"/>
      <c r="C7970" s="60"/>
      <c r="D7970" s="60"/>
      <c r="E7970" s="60"/>
      <c r="F7970" s="60"/>
      <c r="G7970" s="60"/>
      <c r="H7970" s="60"/>
      <c r="I7970" s="60"/>
      <c r="J7970" s="60"/>
      <c r="K7970" s="60"/>
      <c r="L7970" s="60"/>
      <c r="M7970" s="64"/>
      <c r="N7970" s="33"/>
    </row>
    <row r="7971" ht="24" customHeight="1" spans="2:14">
      <c r="B7971" s="33"/>
      <c r="C7971" s="60"/>
      <c r="D7971" s="60"/>
      <c r="E7971" s="60"/>
      <c r="F7971" s="60"/>
      <c r="G7971" s="60"/>
      <c r="H7971" s="60"/>
      <c r="I7971" s="60"/>
      <c r="J7971" s="60"/>
      <c r="K7971" s="60"/>
      <c r="L7971" s="60"/>
      <c r="M7971" s="64"/>
      <c r="N7971" s="33"/>
    </row>
    <row r="7972" ht="24" customHeight="1" spans="2:14">
      <c r="B7972" s="33"/>
      <c r="C7972" s="60"/>
      <c r="D7972" s="60"/>
      <c r="E7972" s="60"/>
      <c r="F7972" s="60"/>
      <c r="G7972" s="60"/>
      <c r="H7972" s="60"/>
      <c r="I7972" s="60"/>
      <c r="J7972" s="60"/>
      <c r="K7972" s="60"/>
      <c r="L7972" s="60"/>
      <c r="M7972" s="64"/>
      <c r="N7972" s="33"/>
    </row>
    <row r="7973" ht="24" customHeight="1" spans="2:14">
      <c r="B7973" s="33"/>
      <c r="C7973" s="60"/>
      <c r="D7973" s="60"/>
      <c r="E7973" s="60"/>
      <c r="F7973" s="60"/>
      <c r="G7973" s="60"/>
      <c r="H7973" s="60"/>
      <c r="I7973" s="60"/>
      <c r="J7973" s="60"/>
      <c r="K7973" s="60"/>
      <c r="L7973" s="60"/>
      <c r="M7973" s="64"/>
      <c r="N7973" s="33"/>
    </row>
    <row r="7974" ht="24" customHeight="1" spans="2:14">
      <c r="B7974" s="33"/>
      <c r="C7974" s="60"/>
      <c r="D7974" s="60"/>
      <c r="E7974" s="60"/>
      <c r="F7974" s="60"/>
      <c r="G7974" s="60"/>
      <c r="H7974" s="60"/>
      <c r="I7974" s="60"/>
      <c r="J7974" s="60"/>
      <c r="K7974" s="60"/>
      <c r="L7974" s="60"/>
      <c r="M7974" s="64"/>
      <c r="N7974" s="33"/>
    </row>
    <row r="7975" ht="24" customHeight="1" spans="2:14">
      <c r="B7975" s="33"/>
      <c r="C7975" s="60"/>
      <c r="D7975" s="60"/>
      <c r="E7975" s="60"/>
      <c r="F7975" s="60"/>
      <c r="G7975" s="60"/>
      <c r="H7975" s="60"/>
      <c r="I7975" s="60"/>
      <c r="J7975" s="60"/>
      <c r="K7975" s="60"/>
      <c r="L7975" s="60"/>
      <c r="M7975" s="64"/>
      <c r="N7975" s="33"/>
    </row>
    <row r="7976" ht="24" customHeight="1" spans="2:14">
      <c r="B7976" s="33"/>
      <c r="C7976" s="60"/>
      <c r="D7976" s="60"/>
      <c r="E7976" s="60"/>
      <c r="F7976" s="60"/>
      <c r="G7976" s="60"/>
      <c r="H7976" s="60"/>
      <c r="I7976" s="60"/>
      <c r="J7976" s="60"/>
      <c r="K7976" s="60"/>
      <c r="L7976" s="60"/>
      <c r="M7976" s="64"/>
      <c r="N7976" s="33"/>
    </row>
    <row r="7977" ht="24" customHeight="1" spans="2:14">
      <c r="B7977" s="33"/>
      <c r="C7977" s="60"/>
      <c r="D7977" s="60"/>
      <c r="E7977" s="60"/>
      <c r="F7977" s="60"/>
      <c r="G7977" s="60"/>
      <c r="H7977" s="60"/>
      <c r="I7977" s="60"/>
      <c r="J7977" s="60"/>
      <c r="K7977" s="60"/>
      <c r="L7977" s="60"/>
      <c r="M7977" s="64"/>
      <c r="N7977" s="33"/>
    </row>
    <row r="7978" ht="24" customHeight="1" spans="2:14">
      <c r="B7978" s="33"/>
      <c r="C7978" s="60"/>
      <c r="D7978" s="60"/>
      <c r="E7978" s="60"/>
      <c r="F7978" s="60"/>
      <c r="G7978" s="60"/>
      <c r="H7978" s="60"/>
      <c r="I7978" s="60"/>
      <c r="J7978" s="60"/>
      <c r="K7978" s="60"/>
      <c r="L7978" s="60"/>
      <c r="M7978" s="64"/>
      <c r="N7978" s="33"/>
    </row>
    <row r="7979" ht="24" customHeight="1" spans="2:14">
      <c r="B7979" s="33"/>
      <c r="C7979" s="60"/>
      <c r="D7979" s="60"/>
      <c r="E7979" s="60"/>
      <c r="F7979" s="60"/>
      <c r="G7979" s="60"/>
      <c r="H7979" s="60"/>
      <c r="I7979" s="60"/>
      <c r="J7979" s="60"/>
      <c r="K7979" s="60"/>
      <c r="L7979" s="60"/>
      <c r="M7979" s="64"/>
      <c r="N7979" s="33"/>
    </row>
    <row r="7980" ht="24" customHeight="1" spans="2:14">
      <c r="B7980" s="33"/>
      <c r="C7980" s="60"/>
      <c r="D7980" s="60"/>
      <c r="E7980" s="60"/>
      <c r="F7980" s="60"/>
      <c r="G7980" s="60"/>
      <c r="H7980" s="60"/>
      <c r="I7980" s="60"/>
      <c r="J7980" s="60"/>
      <c r="K7980" s="60"/>
      <c r="L7980" s="60"/>
      <c r="M7980" s="64"/>
      <c r="N7980" s="33"/>
    </row>
    <row r="7981" ht="24" customHeight="1" spans="2:14">
      <c r="B7981" s="33"/>
      <c r="C7981" s="60"/>
      <c r="D7981" s="60"/>
      <c r="E7981" s="60"/>
      <c r="F7981" s="60"/>
      <c r="G7981" s="60"/>
      <c r="H7981" s="60"/>
      <c r="I7981" s="60"/>
      <c r="J7981" s="60"/>
      <c r="K7981" s="60"/>
      <c r="L7981" s="60"/>
      <c r="M7981" s="64"/>
      <c r="N7981" s="33"/>
    </row>
    <row r="7982" ht="24" customHeight="1" spans="2:14">
      <c r="B7982" s="33"/>
      <c r="C7982" s="60"/>
      <c r="D7982" s="60"/>
      <c r="E7982" s="60"/>
      <c r="F7982" s="60"/>
      <c r="G7982" s="60"/>
      <c r="H7982" s="60"/>
      <c r="I7982" s="60"/>
      <c r="J7982" s="60"/>
      <c r="K7982" s="60"/>
      <c r="L7982" s="60"/>
      <c r="M7982" s="64"/>
      <c r="N7982" s="33"/>
    </row>
    <row r="7983" ht="24" customHeight="1" spans="2:14">
      <c r="B7983" s="33"/>
      <c r="C7983" s="60"/>
      <c r="D7983" s="60"/>
      <c r="E7983" s="60"/>
      <c r="F7983" s="60"/>
      <c r="G7983" s="60"/>
      <c r="H7983" s="60"/>
      <c r="I7983" s="60"/>
      <c r="J7983" s="60"/>
      <c r="K7983" s="60"/>
      <c r="L7983" s="60"/>
      <c r="M7983" s="64"/>
      <c r="N7983" s="33"/>
    </row>
    <row r="7984" ht="24" customHeight="1" spans="2:14">
      <c r="B7984" s="33"/>
      <c r="C7984" s="60"/>
      <c r="D7984" s="60"/>
      <c r="E7984" s="60"/>
      <c r="F7984" s="60"/>
      <c r="G7984" s="60"/>
      <c r="H7984" s="60"/>
      <c r="I7984" s="60"/>
      <c r="J7984" s="60"/>
      <c r="K7984" s="60"/>
      <c r="L7984" s="60"/>
      <c r="M7984" s="64"/>
      <c r="N7984" s="33"/>
    </row>
    <row r="7985" ht="24" customHeight="1" spans="2:14">
      <c r="B7985" s="33"/>
      <c r="C7985" s="60"/>
      <c r="D7985" s="60"/>
      <c r="E7985" s="60"/>
      <c r="F7985" s="60"/>
      <c r="G7985" s="60"/>
      <c r="H7985" s="60"/>
      <c r="I7985" s="60"/>
      <c r="J7985" s="60"/>
      <c r="K7985" s="60"/>
      <c r="L7985" s="60"/>
      <c r="M7985" s="64"/>
      <c r="N7985" s="33"/>
    </row>
    <row r="7986" ht="24" customHeight="1" spans="2:14">
      <c r="B7986" s="33"/>
      <c r="C7986" s="60"/>
      <c r="D7986" s="60"/>
      <c r="E7986" s="60"/>
      <c r="F7986" s="60"/>
      <c r="G7986" s="60"/>
      <c r="H7986" s="60"/>
      <c r="I7986" s="60"/>
      <c r="J7986" s="60"/>
      <c r="K7986" s="60"/>
      <c r="L7986" s="60"/>
      <c r="M7986" s="64"/>
      <c r="N7986" s="33"/>
    </row>
    <row r="7987" ht="24" customHeight="1" spans="2:14">
      <c r="B7987" s="33"/>
      <c r="C7987" s="60"/>
      <c r="D7987" s="60"/>
      <c r="E7987" s="60"/>
      <c r="F7987" s="60"/>
      <c r="G7987" s="60"/>
      <c r="H7987" s="60"/>
      <c r="I7987" s="60"/>
      <c r="J7987" s="60"/>
      <c r="K7987" s="60"/>
      <c r="L7987" s="60"/>
      <c r="M7987" s="64"/>
      <c r="N7987" s="33"/>
    </row>
    <row r="7988" ht="24" customHeight="1" spans="2:14">
      <c r="B7988" s="33"/>
      <c r="C7988" s="60"/>
      <c r="D7988" s="60"/>
      <c r="E7988" s="60"/>
      <c r="F7988" s="60"/>
      <c r="G7988" s="60"/>
      <c r="H7988" s="60"/>
      <c r="I7988" s="60"/>
      <c r="J7988" s="60"/>
      <c r="K7988" s="60"/>
      <c r="L7988" s="60"/>
      <c r="M7988" s="64"/>
      <c r="N7988" s="33"/>
    </row>
    <row r="7989" ht="24" customHeight="1" spans="2:14">
      <c r="B7989" s="33"/>
      <c r="C7989" s="60"/>
      <c r="D7989" s="60"/>
      <c r="E7989" s="60"/>
      <c r="F7989" s="60"/>
      <c r="G7989" s="60"/>
      <c r="H7989" s="60"/>
      <c r="I7989" s="60"/>
      <c r="J7989" s="60"/>
      <c r="K7989" s="60"/>
      <c r="L7989" s="60"/>
      <c r="M7989" s="64"/>
      <c r="N7989" s="33"/>
    </row>
    <row r="7990" ht="24" customHeight="1" spans="2:14">
      <c r="B7990" s="33"/>
      <c r="C7990" s="60"/>
      <c r="D7990" s="60"/>
      <c r="E7990" s="60"/>
      <c r="F7990" s="60"/>
      <c r="G7990" s="60"/>
      <c r="H7990" s="60"/>
      <c r="I7990" s="60"/>
      <c r="J7990" s="60"/>
      <c r="K7990" s="60"/>
      <c r="L7990" s="60"/>
      <c r="M7990" s="64"/>
      <c r="N7990" s="33"/>
    </row>
    <row r="7991" ht="24" customHeight="1" spans="2:14">
      <c r="B7991" s="33"/>
      <c r="C7991" s="60"/>
      <c r="D7991" s="60"/>
      <c r="E7991" s="60"/>
      <c r="F7991" s="60"/>
      <c r="G7991" s="60"/>
      <c r="H7991" s="60"/>
      <c r="I7991" s="60"/>
      <c r="J7991" s="60"/>
      <c r="K7991" s="60"/>
      <c r="L7991" s="60"/>
      <c r="M7991" s="64"/>
      <c r="N7991" s="33"/>
    </row>
    <row r="7992" ht="24" customHeight="1" spans="2:14">
      <c r="B7992" s="33"/>
      <c r="C7992" s="60"/>
      <c r="D7992" s="60"/>
      <c r="E7992" s="60"/>
      <c r="F7992" s="60"/>
      <c r="G7992" s="60"/>
      <c r="H7992" s="60"/>
      <c r="I7992" s="60"/>
      <c r="J7992" s="60"/>
      <c r="K7992" s="60"/>
      <c r="L7992" s="60"/>
      <c r="M7992" s="64"/>
      <c r="N7992" s="33"/>
    </row>
    <row r="7993" ht="24" customHeight="1" spans="2:14">
      <c r="B7993" s="33"/>
      <c r="C7993" s="60"/>
      <c r="D7993" s="60"/>
      <c r="E7993" s="60"/>
      <c r="F7993" s="60"/>
      <c r="G7993" s="60"/>
      <c r="H7993" s="60"/>
      <c r="I7993" s="60"/>
      <c r="J7993" s="60"/>
      <c r="K7993" s="60"/>
      <c r="L7993" s="60"/>
      <c r="M7993" s="64"/>
      <c r="N7993" s="33"/>
    </row>
    <row r="7994" ht="24" customHeight="1" spans="2:14">
      <c r="B7994" s="33"/>
      <c r="C7994" s="60"/>
      <c r="D7994" s="60"/>
      <c r="E7994" s="60"/>
      <c r="F7994" s="60"/>
      <c r="G7994" s="60"/>
      <c r="H7994" s="60"/>
      <c r="I7994" s="60"/>
      <c r="J7994" s="60"/>
      <c r="K7994" s="60"/>
      <c r="L7994" s="60"/>
      <c r="M7994" s="64"/>
      <c r="N7994" s="33"/>
    </row>
    <row r="7995" ht="24" customHeight="1" spans="2:14">
      <c r="B7995" s="33"/>
      <c r="C7995" s="60"/>
      <c r="D7995" s="60"/>
      <c r="E7995" s="60"/>
      <c r="F7995" s="60"/>
      <c r="G7995" s="60"/>
      <c r="H7995" s="60"/>
      <c r="I7995" s="60"/>
      <c r="J7995" s="60"/>
      <c r="K7995" s="60"/>
      <c r="L7995" s="60"/>
      <c r="M7995" s="64"/>
      <c r="N7995" s="33"/>
    </row>
    <row r="7996" ht="24" customHeight="1" spans="2:14">
      <c r="B7996" s="33"/>
      <c r="C7996" s="60"/>
      <c r="D7996" s="60"/>
      <c r="E7996" s="60"/>
      <c r="F7996" s="60"/>
      <c r="G7996" s="60"/>
      <c r="H7996" s="60"/>
      <c r="I7996" s="60"/>
      <c r="J7996" s="60"/>
      <c r="K7996" s="60"/>
      <c r="L7996" s="60"/>
      <c r="M7996" s="64"/>
      <c r="N7996" s="33"/>
    </row>
    <row r="7997" ht="24" customHeight="1" spans="2:14">
      <c r="B7997" s="33"/>
      <c r="C7997" s="60"/>
      <c r="D7997" s="60"/>
      <c r="E7997" s="60"/>
      <c r="F7997" s="60"/>
      <c r="G7997" s="60"/>
      <c r="H7997" s="60"/>
      <c r="I7997" s="60"/>
      <c r="J7997" s="60"/>
      <c r="K7997" s="60"/>
      <c r="L7997" s="60"/>
      <c r="M7997" s="64"/>
      <c r="N7997" s="33"/>
    </row>
    <row r="7998" ht="24" customHeight="1" spans="2:14">
      <c r="B7998" s="33"/>
      <c r="C7998" s="60"/>
      <c r="D7998" s="60"/>
      <c r="E7998" s="60"/>
      <c r="F7998" s="60"/>
      <c r="G7998" s="60"/>
      <c r="H7998" s="60"/>
      <c r="I7998" s="60"/>
      <c r="J7998" s="60"/>
      <c r="K7998" s="60"/>
      <c r="L7998" s="60"/>
      <c r="M7998" s="64"/>
      <c r="N7998" s="33"/>
    </row>
    <row r="7999" ht="24" customHeight="1" spans="2:14">
      <c r="B7999" s="33"/>
      <c r="C7999" s="60"/>
      <c r="D7999" s="60"/>
      <c r="E7999" s="60"/>
      <c r="F7999" s="60"/>
      <c r="G7999" s="60"/>
      <c r="H7999" s="60"/>
      <c r="I7999" s="60"/>
      <c r="J7999" s="60"/>
      <c r="K7999" s="60"/>
      <c r="L7999" s="60"/>
      <c r="M7999" s="64"/>
      <c r="N7999" s="33"/>
    </row>
    <row r="8000" ht="24" customHeight="1" spans="2:14">
      <c r="B8000" s="33"/>
      <c r="C8000" s="60"/>
      <c r="D8000" s="60"/>
      <c r="E8000" s="60"/>
      <c r="F8000" s="60"/>
      <c r="G8000" s="60"/>
      <c r="H8000" s="60"/>
      <c r="I8000" s="60"/>
      <c r="J8000" s="60"/>
      <c r="K8000" s="60"/>
      <c r="L8000" s="60"/>
      <c r="M8000" s="64"/>
      <c r="N8000" s="33"/>
    </row>
    <row r="8001" ht="24" customHeight="1" spans="2:14">
      <c r="B8001" s="33"/>
      <c r="C8001" s="60"/>
      <c r="D8001" s="60"/>
      <c r="E8001" s="60"/>
      <c r="F8001" s="60"/>
      <c r="G8001" s="60"/>
      <c r="H8001" s="60"/>
      <c r="I8001" s="60"/>
      <c r="J8001" s="60"/>
      <c r="K8001" s="60"/>
      <c r="L8001" s="60"/>
      <c r="M8001" s="64"/>
      <c r="N8001" s="33"/>
    </row>
    <row r="8002" ht="24" customHeight="1" spans="2:14">
      <c r="B8002" s="33"/>
      <c r="C8002" s="60"/>
      <c r="D8002" s="60"/>
      <c r="E8002" s="60"/>
      <c r="F8002" s="60"/>
      <c r="G8002" s="60"/>
      <c r="H8002" s="60"/>
      <c r="I8002" s="60"/>
      <c r="J8002" s="60"/>
      <c r="K8002" s="60"/>
      <c r="L8002" s="60"/>
      <c r="M8002" s="64"/>
      <c r="N8002" s="33"/>
    </row>
    <row r="8003" ht="24" customHeight="1" spans="2:14">
      <c r="B8003" s="33"/>
      <c r="C8003" s="60"/>
      <c r="D8003" s="60"/>
      <c r="E8003" s="60"/>
      <c r="F8003" s="60"/>
      <c r="G8003" s="60"/>
      <c r="H8003" s="60"/>
      <c r="I8003" s="60"/>
      <c r="J8003" s="60"/>
      <c r="K8003" s="60"/>
      <c r="L8003" s="60"/>
      <c r="M8003" s="64"/>
      <c r="N8003" s="33"/>
    </row>
    <row r="8004" ht="24" customHeight="1" spans="2:14">
      <c r="B8004" s="33"/>
      <c r="C8004" s="60"/>
      <c r="D8004" s="60"/>
      <c r="E8004" s="60"/>
      <c r="F8004" s="60"/>
      <c r="G8004" s="60"/>
      <c r="H8004" s="60"/>
      <c r="I8004" s="60"/>
      <c r="J8004" s="60"/>
      <c r="K8004" s="60"/>
      <c r="L8004" s="60"/>
      <c r="M8004" s="64"/>
      <c r="N8004" s="33"/>
    </row>
    <row r="8005" ht="24" customHeight="1" spans="2:14">
      <c r="B8005" s="33"/>
      <c r="C8005" s="60"/>
      <c r="D8005" s="60"/>
      <c r="E8005" s="60"/>
      <c r="F8005" s="60"/>
      <c r="G8005" s="60"/>
      <c r="H8005" s="60"/>
      <c r="I8005" s="60"/>
      <c r="J8005" s="60"/>
      <c r="K8005" s="60"/>
      <c r="L8005" s="60"/>
      <c r="M8005" s="64"/>
      <c r="N8005" s="33"/>
    </row>
    <row r="8006" ht="24" customHeight="1" spans="2:14">
      <c r="B8006" s="33"/>
      <c r="C8006" s="60"/>
      <c r="D8006" s="60"/>
      <c r="E8006" s="60"/>
      <c r="F8006" s="60"/>
      <c r="G8006" s="60"/>
      <c r="H8006" s="60"/>
      <c r="I8006" s="60"/>
      <c r="J8006" s="60"/>
      <c r="K8006" s="60"/>
      <c r="L8006" s="60"/>
      <c r="M8006" s="64"/>
      <c r="N8006" s="33"/>
    </row>
    <row r="8007" ht="24" customHeight="1" spans="2:14">
      <c r="B8007" s="33"/>
      <c r="C8007" s="60"/>
      <c r="D8007" s="60"/>
      <c r="E8007" s="60"/>
      <c r="F8007" s="60"/>
      <c r="G8007" s="60"/>
      <c r="H8007" s="60"/>
      <c r="I8007" s="60"/>
      <c r="J8007" s="60"/>
      <c r="K8007" s="60"/>
      <c r="L8007" s="60"/>
      <c r="M8007" s="64"/>
      <c r="N8007" s="33"/>
    </row>
    <row r="8008" ht="24" customHeight="1" spans="2:14">
      <c r="B8008" s="33"/>
      <c r="C8008" s="60"/>
      <c r="D8008" s="60"/>
      <c r="E8008" s="60"/>
      <c r="F8008" s="60"/>
      <c r="G8008" s="60"/>
      <c r="H8008" s="60"/>
      <c r="I8008" s="60"/>
      <c r="J8008" s="60"/>
      <c r="K8008" s="60"/>
      <c r="L8008" s="60"/>
      <c r="M8008" s="64"/>
      <c r="N8008" s="33"/>
    </row>
    <row r="8009" ht="24" customHeight="1" spans="2:14">
      <c r="B8009" s="33"/>
      <c r="C8009" s="60"/>
      <c r="D8009" s="60"/>
      <c r="E8009" s="60"/>
      <c r="F8009" s="60"/>
      <c r="G8009" s="60"/>
      <c r="H8009" s="60"/>
      <c r="I8009" s="60"/>
      <c r="J8009" s="60"/>
      <c r="K8009" s="60"/>
      <c r="L8009" s="60"/>
      <c r="M8009" s="64"/>
      <c r="N8009" s="33"/>
    </row>
    <row r="8010" ht="24" customHeight="1" spans="2:14">
      <c r="B8010" s="33"/>
      <c r="C8010" s="60"/>
      <c r="D8010" s="60"/>
      <c r="E8010" s="60"/>
      <c r="F8010" s="60"/>
      <c r="G8010" s="60"/>
      <c r="H8010" s="60"/>
      <c r="I8010" s="60"/>
      <c r="J8010" s="60"/>
      <c r="K8010" s="60"/>
      <c r="L8010" s="60"/>
      <c r="M8010" s="64"/>
      <c r="N8010" s="33"/>
    </row>
    <row r="8011" ht="24" customHeight="1" spans="2:14">
      <c r="B8011" s="33"/>
      <c r="C8011" s="60"/>
      <c r="D8011" s="60"/>
      <c r="E8011" s="60"/>
      <c r="F8011" s="60"/>
      <c r="G8011" s="60"/>
      <c r="H8011" s="60"/>
      <c r="I8011" s="60"/>
      <c r="J8011" s="60"/>
      <c r="K8011" s="60"/>
      <c r="L8011" s="60"/>
      <c r="M8011" s="64"/>
      <c r="N8011" s="33"/>
    </row>
    <row r="8012" ht="24" customHeight="1" spans="2:14">
      <c r="B8012" s="33"/>
      <c r="C8012" s="60"/>
      <c r="D8012" s="60"/>
      <c r="E8012" s="60"/>
      <c r="F8012" s="60"/>
      <c r="G8012" s="60"/>
      <c r="H8012" s="60"/>
      <c r="I8012" s="60"/>
      <c r="J8012" s="60"/>
      <c r="K8012" s="60"/>
      <c r="L8012" s="60"/>
      <c r="M8012" s="64"/>
      <c r="N8012" s="33"/>
    </row>
    <row r="8013" ht="24" customHeight="1" spans="2:14">
      <c r="B8013" s="33"/>
      <c r="C8013" s="60"/>
      <c r="D8013" s="60"/>
      <c r="E8013" s="60"/>
      <c r="F8013" s="60"/>
      <c r="G8013" s="60"/>
      <c r="H8013" s="60"/>
      <c r="I8013" s="60"/>
      <c r="J8013" s="60"/>
      <c r="K8013" s="60"/>
      <c r="L8013" s="60"/>
      <c r="M8013" s="64"/>
      <c r="N8013" s="33"/>
    </row>
    <row r="8014" ht="24" customHeight="1" spans="2:14">
      <c r="B8014" s="33"/>
      <c r="C8014" s="60"/>
      <c r="D8014" s="60"/>
      <c r="E8014" s="60"/>
      <c r="F8014" s="60"/>
      <c r="G8014" s="60"/>
      <c r="H8014" s="60"/>
      <c r="I8014" s="60"/>
      <c r="J8014" s="60"/>
      <c r="K8014" s="60"/>
      <c r="L8014" s="60"/>
      <c r="M8014" s="64"/>
      <c r="N8014" s="33"/>
    </row>
    <row r="8015" ht="24" customHeight="1" spans="2:14">
      <c r="B8015" s="33"/>
      <c r="C8015" s="60"/>
      <c r="D8015" s="60"/>
      <c r="E8015" s="60"/>
      <c r="F8015" s="60"/>
      <c r="G8015" s="60"/>
      <c r="H8015" s="60"/>
      <c r="I8015" s="60"/>
      <c r="J8015" s="60"/>
      <c r="K8015" s="60"/>
      <c r="L8015" s="60"/>
      <c r="M8015" s="64"/>
      <c r="N8015" s="33"/>
    </row>
    <row r="8016" ht="24" customHeight="1" spans="2:14">
      <c r="B8016" s="33"/>
      <c r="C8016" s="60"/>
      <c r="D8016" s="60"/>
      <c r="E8016" s="60"/>
      <c r="F8016" s="60"/>
      <c r="G8016" s="60"/>
      <c r="H8016" s="60"/>
      <c r="I8016" s="60"/>
      <c r="J8016" s="60"/>
      <c r="K8016" s="60"/>
      <c r="L8016" s="60"/>
      <c r="M8016" s="64"/>
      <c r="N8016" s="33"/>
    </row>
    <row r="8017" ht="24" customHeight="1" spans="2:14">
      <c r="B8017" s="33"/>
      <c r="C8017" s="60"/>
      <c r="D8017" s="60"/>
      <c r="E8017" s="60"/>
      <c r="F8017" s="60"/>
      <c r="G8017" s="60"/>
      <c r="H8017" s="60"/>
      <c r="I8017" s="60"/>
      <c r="J8017" s="60"/>
      <c r="K8017" s="60"/>
      <c r="L8017" s="60"/>
      <c r="M8017" s="64"/>
      <c r="N8017" s="33"/>
    </row>
    <row r="8018" ht="24" customHeight="1" spans="2:14">
      <c r="B8018" s="33"/>
      <c r="C8018" s="60"/>
      <c r="D8018" s="60"/>
      <c r="E8018" s="60"/>
      <c r="F8018" s="60"/>
      <c r="G8018" s="60"/>
      <c r="H8018" s="60"/>
      <c r="I8018" s="60"/>
      <c r="J8018" s="60"/>
      <c r="K8018" s="60"/>
      <c r="L8018" s="60"/>
      <c r="M8018" s="64"/>
      <c r="N8018" s="33"/>
    </row>
    <row r="8019" ht="24" customHeight="1" spans="2:14">
      <c r="B8019" s="33"/>
      <c r="C8019" s="60"/>
      <c r="D8019" s="60"/>
      <c r="E8019" s="60"/>
      <c r="F8019" s="60"/>
      <c r="G8019" s="60"/>
      <c r="H8019" s="60"/>
      <c r="I8019" s="60"/>
      <c r="J8019" s="60"/>
      <c r="K8019" s="60"/>
      <c r="L8019" s="60"/>
      <c r="M8019" s="64"/>
      <c r="N8019" s="33"/>
    </row>
    <row r="8020" ht="24" customHeight="1" spans="2:14">
      <c r="B8020" s="33"/>
      <c r="C8020" s="60"/>
      <c r="D8020" s="60"/>
      <c r="E8020" s="60"/>
      <c r="F8020" s="60"/>
      <c r="G8020" s="60"/>
      <c r="H8020" s="60"/>
      <c r="I8020" s="60"/>
      <c r="J8020" s="60"/>
      <c r="K8020" s="60"/>
      <c r="L8020" s="60"/>
      <c r="M8020" s="64"/>
      <c r="N8020" s="33"/>
    </row>
    <row r="8021" ht="24" customHeight="1" spans="2:14">
      <c r="B8021" s="33"/>
      <c r="C8021" s="60"/>
      <c r="D8021" s="60"/>
      <c r="E8021" s="60"/>
      <c r="F8021" s="60"/>
      <c r="G8021" s="60"/>
      <c r="H8021" s="60"/>
      <c r="I8021" s="60"/>
      <c r="J8021" s="60"/>
      <c r="K8021" s="60"/>
      <c r="L8021" s="60"/>
      <c r="M8021" s="64"/>
      <c r="N8021" s="33"/>
    </row>
    <row r="8022" ht="24" customHeight="1" spans="2:14">
      <c r="B8022" s="33"/>
      <c r="C8022" s="60"/>
      <c r="D8022" s="60"/>
      <c r="E8022" s="60"/>
      <c r="F8022" s="60"/>
      <c r="G8022" s="60"/>
      <c r="H8022" s="60"/>
      <c r="I8022" s="60"/>
      <c r="J8022" s="60"/>
      <c r="K8022" s="60"/>
      <c r="L8022" s="60"/>
      <c r="M8022" s="64"/>
      <c r="N8022" s="33"/>
    </row>
    <row r="8023" ht="24" customHeight="1" spans="2:14">
      <c r="B8023" s="33"/>
      <c r="C8023" s="60"/>
      <c r="D8023" s="60"/>
      <c r="E8023" s="60"/>
      <c r="F8023" s="60"/>
      <c r="G8023" s="60"/>
      <c r="H8023" s="60"/>
      <c r="I8023" s="60"/>
      <c r="J8023" s="60"/>
      <c r="K8023" s="60"/>
      <c r="L8023" s="60"/>
      <c r="M8023" s="64"/>
      <c r="N8023" s="33"/>
    </row>
    <row r="8024" ht="24" customHeight="1" spans="2:14">
      <c r="B8024" s="33"/>
      <c r="C8024" s="60"/>
      <c r="D8024" s="60"/>
      <c r="E8024" s="60"/>
      <c r="F8024" s="60"/>
      <c r="G8024" s="60"/>
      <c r="H8024" s="60"/>
      <c r="I8024" s="60"/>
      <c r="J8024" s="60"/>
      <c r="K8024" s="60"/>
      <c r="L8024" s="60"/>
      <c r="M8024" s="64"/>
      <c r="N8024" s="33"/>
    </row>
    <row r="8025" ht="24" customHeight="1" spans="2:14">
      <c r="B8025" s="33"/>
      <c r="C8025" s="60"/>
      <c r="D8025" s="60"/>
      <c r="E8025" s="60"/>
      <c r="F8025" s="60"/>
      <c r="G8025" s="60"/>
      <c r="H8025" s="60"/>
      <c r="I8025" s="60"/>
      <c r="J8025" s="60"/>
      <c r="K8025" s="60"/>
      <c r="L8025" s="60"/>
      <c r="M8025" s="64"/>
      <c r="N8025" s="33"/>
    </row>
    <row r="8026" ht="24" customHeight="1" spans="2:14">
      <c r="B8026" s="33"/>
      <c r="C8026" s="60"/>
      <c r="D8026" s="60"/>
      <c r="E8026" s="60"/>
      <c r="F8026" s="60"/>
      <c r="G8026" s="60"/>
      <c r="H8026" s="60"/>
      <c r="I8026" s="60"/>
      <c r="J8026" s="60"/>
      <c r="K8026" s="60"/>
      <c r="L8026" s="60"/>
      <c r="M8026" s="64"/>
      <c r="N8026" s="33"/>
    </row>
    <row r="8027" ht="24" customHeight="1" spans="2:14">
      <c r="B8027" s="33"/>
      <c r="C8027" s="60"/>
      <c r="D8027" s="60"/>
      <c r="E8027" s="60"/>
      <c r="F8027" s="60"/>
      <c r="G8027" s="60"/>
      <c r="H8027" s="60"/>
      <c r="I8027" s="60"/>
      <c r="J8027" s="60"/>
      <c r="K8027" s="60"/>
      <c r="L8027" s="60"/>
      <c r="M8027" s="64"/>
      <c r="N8027" s="33"/>
    </row>
    <row r="8028" ht="24" customHeight="1" spans="2:14">
      <c r="B8028" s="33"/>
      <c r="C8028" s="60"/>
      <c r="D8028" s="60"/>
      <c r="E8028" s="60"/>
      <c r="F8028" s="60"/>
      <c r="G8028" s="60"/>
      <c r="H8028" s="60"/>
      <c r="I8028" s="60"/>
      <c r="J8028" s="60"/>
      <c r="K8028" s="60"/>
      <c r="L8028" s="60"/>
      <c r="M8028" s="64"/>
      <c r="N8028" s="33"/>
    </row>
    <row r="8029" ht="24" customHeight="1" spans="2:14">
      <c r="B8029" s="33"/>
      <c r="C8029" s="60"/>
      <c r="D8029" s="60"/>
      <c r="E8029" s="60"/>
      <c r="F8029" s="60"/>
      <c r="G8029" s="60"/>
      <c r="H8029" s="60"/>
      <c r="I8029" s="60"/>
      <c r="J8029" s="60"/>
      <c r="K8029" s="60"/>
      <c r="L8029" s="60"/>
      <c r="M8029" s="64"/>
      <c r="N8029" s="33"/>
    </row>
    <row r="8030" ht="24" customHeight="1" spans="2:14">
      <c r="B8030" s="33"/>
      <c r="C8030" s="60"/>
      <c r="D8030" s="60"/>
      <c r="E8030" s="60"/>
      <c r="F8030" s="60"/>
      <c r="G8030" s="60"/>
      <c r="H8030" s="60"/>
      <c r="I8030" s="60"/>
      <c r="J8030" s="60"/>
      <c r="K8030" s="60"/>
      <c r="L8030" s="60"/>
      <c r="M8030" s="64"/>
      <c r="N8030" s="33"/>
    </row>
    <row r="8031" ht="24" customHeight="1" spans="2:14">
      <c r="B8031" s="33"/>
      <c r="C8031" s="60"/>
      <c r="D8031" s="60"/>
      <c r="E8031" s="60"/>
      <c r="F8031" s="60"/>
      <c r="G8031" s="60"/>
      <c r="H8031" s="60"/>
      <c r="I8031" s="60"/>
      <c r="J8031" s="60"/>
      <c r="K8031" s="60"/>
      <c r="L8031" s="60"/>
      <c r="M8031" s="64"/>
      <c r="N8031" s="33"/>
    </row>
    <row r="8032" ht="24" customHeight="1" spans="2:14">
      <c r="B8032" s="33"/>
      <c r="C8032" s="60"/>
      <c r="D8032" s="60"/>
      <c r="E8032" s="60"/>
      <c r="F8032" s="60"/>
      <c r="G8032" s="60"/>
      <c r="H8032" s="60"/>
      <c r="I8032" s="60"/>
      <c r="J8032" s="60"/>
      <c r="K8032" s="60"/>
      <c r="L8032" s="60"/>
      <c r="M8032" s="64"/>
      <c r="N8032" s="33"/>
    </row>
    <row r="8033" ht="24" customHeight="1" spans="2:14">
      <c r="B8033" s="33"/>
      <c r="C8033" s="60"/>
      <c r="D8033" s="60"/>
      <c r="E8033" s="60"/>
      <c r="F8033" s="60"/>
      <c r="G8033" s="60"/>
      <c r="H8033" s="60"/>
      <c r="I8033" s="60"/>
      <c r="J8033" s="60"/>
      <c r="K8033" s="60"/>
      <c r="L8033" s="60"/>
      <c r="M8033" s="64"/>
      <c r="N8033" s="33"/>
    </row>
    <row r="8034" ht="24" customHeight="1" spans="2:14">
      <c r="B8034" s="33"/>
      <c r="C8034" s="60"/>
      <c r="D8034" s="60"/>
      <c r="E8034" s="60"/>
      <c r="F8034" s="60"/>
      <c r="G8034" s="60"/>
      <c r="H8034" s="60"/>
      <c r="I8034" s="60"/>
      <c r="J8034" s="60"/>
      <c r="K8034" s="60"/>
      <c r="L8034" s="60"/>
      <c r="M8034" s="64"/>
      <c r="N8034" s="33"/>
    </row>
    <row r="8035" ht="24" customHeight="1" spans="2:14">
      <c r="B8035" s="33"/>
      <c r="C8035" s="60"/>
      <c r="D8035" s="60"/>
      <c r="E8035" s="60"/>
      <c r="F8035" s="60"/>
      <c r="G8035" s="60"/>
      <c r="H8035" s="60"/>
      <c r="I8035" s="60"/>
      <c r="J8035" s="60"/>
      <c r="K8035" s="60"/>
      <c r="L8035" s="60"/>
      <c r="M8035" s="64"/>
      <c r="N8035" s="33"/>
    </row>
    <row r="8036" ht="24" customHeight="1" spans="2:14">
      <c r="B8036" s="33"/>
      <c r="C8036" s="60"/>
      <c r="D8036" s="60"/>
      <c r="E8036" s="60"/>
      <c r="F8036" s="60"/>
      <c r="G8036" s="60"/>
      <c r="H8036" s="60"/>
      <c r="I8036" s="60"/>
      <c r="J8036" s="60"/>
      <c r="K8036" s="60"/>
      <c r="L8036" s="60"/>
      <c r="M8036" s="64"/>
      <c r="N8036" s="33"/>
    </row>
    <row r="8037" ht="24" customHeight="1" spans="2:14">
      <c r="B8037" s="33"/>
      <c r="C8037" s="60"/>
      <c r="D8037" s="60"/>
      <c r="E8037" s="60"/>
      <c r="F8037" s="60"/>
      <c r="G8037" s="60"/>
      <c r="H8037" s="60"/>
      <c r="I8037" s="60"/>
      <c r="J8037" s="60"/>
      <c r="K8037" s="60"/>
      <c r="L8037" s="60"/>
      <c r="M8037" s="64"/>
      <c r="N8037" s="33"/>
    </row>
    <row r="8038" ht="24" customHeight="1" spans="2:14">
      <c r="B8038" s="33"/>
      <c r="C8038" s="60"/>
      <c r="D8038" s="60"/>
      <c r="E8038" s="60"/>
      <c r="F8038" s="60"/>
      <c r="G8038" s="60"/>
      <c r="H8038" s="60"/>
      <c r="I8038" s="60"/>
      <c r="J8038" s="60"/>
      <c r="K8038" s="60"/>
      <c r="L8038" s="60"/>
      <c r="M8038" s="64"/>
      <c r="N8038" s="33"/>
    </row>
    <row r="8039" ht="24" customHeight="1" spans="2:14">
      <c r="B8039" s="33"/>
      <c r="C8039" s="60"/>
      <c r="D8039" s="60"/>
      <c r="E8039" s="60"/>
      <c r="F8039" s="60"/>
      <c r="G8039" s="60"/>
      <c r="H8039" s="60"/>
      <c r="I8039" s="60"/>
      <c r="J8039" s="60"/>
      <c r="K8039" s="60"/>
      <c r="L8039" s="60"/>
      <c r="M8039" s="64"/>
      <c r="N8039" s="33"/>
    </row>
    <row r="8040" ht="24" customHeight="1" spans="2:14">
      <c r="B8040" s="33"/>
      <c r="C8040" s="60"/>
      <c r="D8040" s="60"/>
      <c r="E8040" s="60"/>
      <c r="F8040" s="60"/>
      <c r="G8040" s="60"/>
      <c r="H8040" s="60"/>
      <c r="I8040" s="60"/>
      <c r="J8040" s="60"/>
      <c r="K8040" s="60"/>
      <c r="L8040" s="60"/>
      <c r="M8040" s="64"/>
      <c r="N8040" s="33"/>
    </row>
    <row r="8041" ht="24" customHeight="1" spans="2:14">
      <c r="B8041" s="33"/>
      <c r="C8041" s="60"/>
      <c r="D8041" s="60"/>
      <c r="E8041" s="60"/>
      <c r="F8041" s="60"/>
      <c r="G8041" s="60"/>
      <c r="H8041" s="60"/>
      <c r="I8041" s="60"/>
      <c r="J8041" s="60"/>
      <c r="K8041" s="60"/>
      <c r="L8041" s="60"/>
      <c r="M8041" s="64"/>
      <c r="N8041" s="33"/>
    </row>
    <row r="8042" ht="24" customHeight="1" spans="2:14">
      <c r="B8042" s="33"/>
      <c r="C8042" s="60"/>
      <c r="D8042" s="60"/>
      <c r="E8042" s="60"/>
      <c r="F8042" s="60"/>
      <c r="G8042" s="60"/>
      <c r="H8042" s="60"/>
      <c r="I8042" s="60"/>
      <c r="J8042" s="60"/>
      <c r="K8042" s="60"/>
      <c r="L8042" s="60"/>
      <c r="M8042" s="64"/>
      <c r="N8042" s="33"/>
    </row>
    <row r="8043" ht="24" customHeight="1" spans="2:14">
      <c r="B8043" s="33"/>
      <c r="C8043" s="60"/>
      <c r="D8043" s="60"/>
      <c r="E8043" s="60"/>
      <c r="F8043" s="60"/>
      <c r="G8043" s="60"/>
      <c r="H8043" s="60"/>
      <c r="I8043" s="60"/>
      <c r="J8043" s="60"/>
      <c r="K8043" s="60"/>
      <c r="L8043" s="60"/>
      <c r="M8043" s="64"/>
      <c r="N8043" s="33"/>
    </row>
    <row r="8044" ht="24" customHeight="1" spans="2:14">
      <c r="B8044" s="33"/>
      <c r="C8044" s="60"/>
      <c r="D8044" s="60"/>
      <c r="E8044" s="60"/>
      <c r="F8044" s="60"/>
      <c r="G8044" s="60"/>
      <c r="H8044" s="60"/>
      <c r="I8044" s="60"/>
      <c r="J8044" s="60"/>
      <c r="K8044" s="60"/>
      <c r="L8044" s="60"/>
      <c r="M8044" s="64"/>
      <c r="N8044" s="33"/>
    </row>
    <row r="8045" ht="24" customHeight="1" spans="2:14">
      <c r="B8045" s="33"/>
      <c r="C8045" s="60"/>
      <c r="D8045" s="60"/>
      <c r="E8045" s="60"/>
      <c r="F8045" s="60"/>
      <c r="G8045" s="60"/>
      <c r="H8045" s="60"/>
      <c r="I8045" s="60"/>
      <c r="J8045" s="60"/>
      <c r="K8045" s="60"/>
      <c r="L8045" s="60"/>
      <c r="M8045" s="64"/>
      <c r="N8045" s="33"/>
    </row>
    <row r="8046" ht="24" customHeight="1" spans="2:14">
      <c r="B8046" s="33"/>
      <c r="C8046" s="60"/>
      <c r="D8046" s="60"/>
      <c r="E8046" s="60"/>
      <c r="F8046" s="60"/>
      <c r="G8046" s="60"/>
      <c r="H8046" s="60"/>
      <c r="I8046" s="60"/>
      <c r="J8046" s="60"/>
      <c r="K8046" s="60"/>
      <c r="L8046" s="60"/>
      <c r="M8046" s="64"/>
      <c r="N8046" s="33"/>
    </row>
    <row r="8047" ht="24" customHeight="1" spans="2:14">
      <c r="B8047" s="33"/>
      <c r="C8047" s="60"/>
      <c r="D8047" s="60"/>
      <c r="E8047" s="60"/>
      <c r="F8047" s="60"/>
      <c r="G8047" s="60"/>
      <c r="H8047" s="60"/>
      <c r="I8047" s="60"/>
      <c r="J8047" s="60"/>
      <c r="K8047" s="60"/>
      <c r="L8047" s="60"/>
      <c r="M8047" s="64"/>
      <c r="N8047" s="33"/>
    </row>
    <row r="8048" ht="24" customHeight="1" spans="2:14">
      <c r="B8048" s="33"/>
      <c r="C8048" s="60"/>
      <c r="D8048" s="60"/>
      <c r="E8048" s="60"/>
      <c r="F8048" s="60"/>
      <c r="G8048" s="60"/>
      <c r="H8048" s="60"/>
      <c r="I8048" s="60"/>
      <c r="J8048" s="60"/>
      <c r="K8048" s="60"/>
      <c r="L8048" s="60"/>
      <c r="M8048" s="64"/>
      <c r="N8048" s="33"/>
    </row>
    <row r="8049" ht="24" customHeight="1" spans="2:14">
      <c r="B8049" s="33"/>
      <c r="C8049" s="60"/>
      <c r="D8049" s="60"/>
      <c r="E8049" s="60"/>
      <c r="F8049" s="60"/>
      <c r="G8049" s="60"/>
      <c r="H8049" s="60"/>
      <c r="I8049" s="60"/>
      <c r="J8049" s="60"/>
      <c r="K8049" s="60"/>
      <c r="L8049" s="60"/>
      <c r="M8049" s="64"/>
      <c r="N8049" s="33"/>
    </row>
    <row r="8050" ht="24" customHeight="1" spans="2:14">
      <c r="B8050" s="33"/>
      <c r="C8050" s="60"/>
      <c r="D8050" s="60"/>
      <c r="E8050" s="60"/>
      <c r="F8050" s="60"/>
      <c r="G8050" s="60"/>
      <c r="H8050" s="60"/>
      <c r="I8050" s="60"/>
      <c r="J8050" s="60"/>
      <c r="K8050" s="60"/>
      <c r="L8050" s="60"/>
      <c r="M8050" s="64"/>
      <c r="N8050" s="33"/>
    </row>
    <row r="8051" ht="24" customHeight="1" spans="2:14">
      <c r="B8051" s="33"/>
      <c r="C8051" s="60"/>
      <c r="D8051" s="60"/>
      <c r="E8051" s="60"/>
      <c r="F8051" s="60"/>
      <c r="G8051" s="60"/>
      <c r="H8051" s="60"/>
      <c r="I8051" s="60"/>
      <c r="J8051" s="60"/>
      <c r="K8051" s="60"/>
      <c r="L8051" s="60"/>
      <c r="M8051" s="64"/>
      <c r="N8051" s="33"/>
    </row>
    <row r="8052" ht="24" customHeight="1" spans="2:14">
      <c r="B8052" s="33"/>
      <c r="C8052" s="60"/>
      <c r="D8052" s="60"/>
      <c r="E8052" s="60"/>
      <c r="F8052" s="60"/>
      <c r="G8052" s="60"/>
      <c r="H8052" s="60"/>
      <c r="I8052" s="60"/>
      <c r="J8052" s="60"/>
      <c r="K8052" s="60"/>
      <c r="L8052" s="60"/>
      <c r="M8052" s="64"/>
      <c r="N8052" s="33"/>
    </row>
    <row r="8053" ht="24" customHeight="1" spans="2:14">
      <c r="B8053" s="33"/>
      <c r="C8053" s="60"/>
      <c r="D8053" s="60"/>
      <c r="E8053" s="60"/>
      <c r="F8053" s="60"/>
      <c r="G8053" s="60"/>
      <c r="H8053" s="60"/>
      <c r="I8053" s="60"/>
      <c r="J8053" s="60"/>
      <c r="K8053" s="60"/>
      <c r="L8053" s="60"/>
      <c r="M8053" s="64"/>
      <c r="N8053" s="33"/>
    </row>
    <row r="8054" ht="24" customHeight="1" spans="2:14">
      <c r="B8054" s="33"/>
      <c r="C8054" s="60"/>
      <c r="D8054" s="60"/>
      <c r="E8054" s="60"/>
      <c r="F8054" s="60"/>
      <c r="G8054" s="60"/>
      <c r="H8054" s="60"/>
      <c r="I8054" s="60"/>
      <c r="J8054" s="60"/>
      <c r="K8054" s="60"/>
      <c r="L8054" s="60"/>
      <c r="M8054" s="64"/>
      <c r="N8054" s="33"/>
    </row>
    <row r="8055" ht="24" customHeight="1" spans="2:14">
      <c r="B8055" s="33"/>
      <c r="C8055" s="60"/>
      <c r="D8055" s="60"/>
      <c r="E8055" s="60"/>
      <c r="F8055" s="60"/>
      <c r="G8055" s="60"/>
      <c r="H8055" s="60"/>
      <c r="I8055" s="60"/>
      <c r="J8055" s="60"/>
      <c r="K8055" s="60"/>
      <c r="L8055" s="60"/>
      <c r="M8055" s="64"/>
      <c r="N8055" s="33"/>
    </row>
    <row r="8056" ht="24" customHeight="1" spans="2:14">
      <c r="B8056" s="33"/>
      <c r="C8056" s="60"/>
      <c r="D8056" s="60"/>
      <c r="E8056" s="60"/>
      <c r="F8056" s="60"/>
      <c r="G8056" s="60"/>
      <c r="H8056" s="60"/>
      <c r="I8056" s="60"/>
      <c r="J8056" s="60"/>
      <c r="K8056" s="60"/>
      <c r="L8056" s="60"/>
      <c r="M8056" s="64"/>
      <c r="N8056" s="33"/>
    </row>
    <row r="8057" ht="24" customHeight="1" spans="2:14">
      <c r="B8057" s="33"/>
      <c r="C8057" s="60"/>
      <c r="D8057" s="60"/>
      <c r="E8057" s="60"/>
      <c r="F8057" s="60"/>
      <c r="G8057" s="60"/>
      <c r="H8057" s="60"/>
      <c r="I8057" s="60"/>
      <c r="J8057" s="60"/>
      <c r="K8057" s="60"/>
      <c r="L8057" s="60"/>
      <c r="M8057" s="64"/>
      <c r="N8057" s="33"/>
    </row>
    <row r="8058" ht="24" customHeight="1" spans="2:14">
      <c r="B8058" s="33"/>
      <c r="C8058" s="60"/>
      <c r="D8058" s="60"/>
      <c r="E8058" s="60"/>
      <c r="F8058" s="60"/>
      <c r="G8058" s="60"/>
      <c r="H8058" s="60"/>
      <c r="I8058" s="60"/>
      <c r="J8058" s="60"/>
      <c r="K8058" s="60"/>
      <c r="L8058" s="60"/>
      <c r="M8058" s="64"/>
      <c r="N8058" s="33"/>
    </row>
    <row r="8059" ht="24" customHeight="1" spans="2:14">
      <c r="B8059" s="33"/>
      <c r="C8059" s="60"/>
      <c r="D8059" s="60"/>
      <c r="E8059" s="60"/>
      <c r="F8059" s="60"/>
      <c r="G8059" s="60"/>
      <c r="H8059" s="60"/>
      <c r="I8059" s="60"/>
      <c r="J8059" s="60"/>
      <c r="K8059" s="60"/>
      <c r="L8059" s="60"/>
      <c r="M8059" s="64"/>
      <c r="N8059" s="33"/>
    </row>
    <row r="8060" ht="24" customHeight="1" spans="2:14">
      <c r="B8060" s="33"/>
      <c r="C8060" s="60"/>
      <c r="D8060" s="60"/>
      <c r="E8060" s="60"/>
      <c r="F8060" s="60"/>
      <c r="G8060" s="60"/>
      <c r="H8060" s="60"/>
      <c r="I8060" s="60"/>
      <c r="J8060" s="60"/>
      <c r="K8060" s="60"/>
      <c r="L8060" s="60"/>
      <c r="M8060" s="64"/>
      <c r="N8060" s="33"/>
    </row>
    <row r="8061" ht="24" customHeight="1" spans="2:14">
      <c r="B8061" s="33"/>
      <c r="C8061" s="60"/>
      <c r="D8061" s="60"/>
      <c r="E8061" s="60"/>
      <c r="F8061" s="60"/>
      <c r="G8061" s="60"/>
      <c r="H8061" s="60"/>
      <c r="I8061" s="60"/>
      <c r="J8061" s="60"/>
      <c r="K8061" s="60"/>
      <c r="L8061" s="60"/>
      <c r="M8061" s="64"/>
      <c r="N8061" s="33"/>
    </row>
    <row r="8062" ht="24" customHeight="1" spans="2:14">
      <c r="B8062" s="33"/>
      <c r="C8062" s="60"/>
      <c r="D8062" s="60"/>
      <c r="E8062" s="60"/>
      <c r="F8062" s="60"/>
      <c r="G8062" s="60"/>
      <c r="H8062" s="60"/>
      <c r="I8062" s="60"/>
      <c r="J8062" s="60"/>
      <c r="K8062" s="60"/>
      <c r="L8062" s="60"/>
      <c r="M8062" s="64"/>
      <c r="N8062" s="33"/>
    </row>
    <row r="8063" ht="24" customHeight="1" spans="2:14">
      <c r="B8063" s="33"/>
      <c r="C8063" s="60"/>
      <c r="D8063" s="60"/>
      <c r="E8063" s="60"/>
      <c r="F8063" s="60"/>
      <c r="G8063" s="60"/>
      <c r="H8063" s="60"/>
      <c r="I8063" s="60"/>
      <c r="J8063" s="60"/>
      <c r="K8063" s="60"/>
      <c r="L8063" s="60"/>
      <c r="M8063" s="64"/>
      <c r="N8063" s="33"/>
    </row>
    <row r="8064" ht="24" customHeight="1" spans="2:14">
      <c r="B8064" s="33"/>
      <c r="C8064" s="60"/>
      <c r="D8064" s="60"/>
      <c r="E8064" s="60"/>
      <c r="F8064" s="60"/>
      <c r="G8064" s="60"/>
      <c r="H8064" s="60"/>
      <c r="I8064" s="60"/>
      <c r="J8064" s="60"/>
      <c r="K8064" s="60"/>
      <c r="L8064" s="60"/>
      <c r="M8064" s="64"/>
      <c r="N8064" s="33"/>
    </row>
    <row r="8065" ht="24" customHeight="1" spans="2:14">
      <c r="B8065" s="33"/>
      <c r="C8065" s="60"/>
      <c r="D8065" s="60"/>
      <c r="E8065" s="60"/>
      <c r="F8065" s="60"/>
      <c r="G8065" s="60"/>
      <c r="H8065" s="60"/>
      <c r="I8065" s="60"/>
      <c r="J8065" s="60"/>
      <c r="K8065" s="60"/>
      <c r="L8065" s="60"/>
      <c r="M8065" s="64"/>
      <c r="N8065" s="33"/>
    </row>
    <row r="8066" ht="24" customHeight="1" spans="2:14">
      <c r="B8066" s="33"/>
      <c r="C8066" s="60"/>
      <c r="D8066" s="60"/>
      <c r="E8066" s="60"/>
      <c r="F8066" s="60"/>
      <c r="G8066" s="60"/>
      <c r="H8066" s="60"/>
      <c r="I8066" s="60"/>
      <c r="J8066" s="60"/>
      <c r="K8066" s="60"/>
      <c r="L8066" s="60"/>
      <c r="M8066" s="64"/>
      <c r="N8066" s="33"/>
    </row>
    <row r="8067" ht="24" customHeight="1" spans="2:14">
      <c r="B8067" s="33"/>
      <c r="C8067" s="60"/>
      <c r="D8067" s="60"/>
      <c r="E8067" s="60"/>
      <c r="F8067" s="60"/>
      <c r="G8067" s="60"/>
      <c r="H8067" s="60"/>
      <c r="I8067" s="60"/>
      <c r="J8067" s="60"/>
      <c r="K8067" s="60"/>
      <c r="L8067" s="60"/>
      <c r="M8067" s="64"/>
      <c r="N8067" s="33"/>
    </row>
    <row r="8068" ht="24" customHeight="1" spans="2:14">
      <c r="B8068" s="33"/>
      <c r="C8068" s="60"/>
      <c r="D8068" s="60"/>
      <c r="E8068" s="60"/>
      <c r="F8068" s="60"/>
      <c r="G8068" s="60"/>
      <c r="H8068" s="60"/>
      <c r="I8068" s="60"/>
      <c r="J8068" s="60"/>
      <c r="K8068" s="60"/>
      <c r="L8068" s="60"/>
      <c r="M8068" s="64"/>
      <c r="N8068" s="33"/>
    </row>
    <row r="8069" ht="24" customHeight="1" spans="2:14">
      <c r="B8069" s="33"/>
      <c r="C8069" s="60"/>
      <c r="D8069" s="60"/>
      <c r="E8069" s="60"/>
      <c r="F8069" s="60"/>
      <c r="G8069" s="60"/>
      <c r="H8069" s="60"/>
      <c r="I8069" s="60"/>
      <c r="J8069" s="60"/>
      <c r="K8069" s="60"/>
      <c r="L8069" s="60"/>
      <c r="M8069" s="64"/>
      <c r="N8069" s="33"/>
    </row>
    <row r="8070" ht="24" customHeight="1" spans="2:14">
      <c r="B8070" s="33"/>
      <c r="C8070" s="60"/>
      <c r="D8070" s="60"/>
      <c r="E8070" s="60"/>
      <c r="F8070" s="60"/>
      <c r="G8070" s="60"/>
      <c r="H8070" s="60"/>
      <c r="I8070" s="60"/>
      <c r="J8070" s="60"/>
      <c r="K8070" s="60"/>
      <c r="L8070" s="60"/>
      <c r="M8070" s="64"/>
      <c r="N8070" s="33"/>
    </row>
    <row r="8071" ht="24" customHeight="1" spans="2:14">
      <c r="B8071" s="33"/>
      <c r="C8071" s="60"/>
      <c r="D8071" s="60"/>
      <c r="E8071" s="60"/>
      <c r="F8071" s="60"/>
      <c r="G8071" s="60"/>
      <c r="H8071" s="60"/>
      <c r="I8071" s="60"/>
      <c r="J8071" s="60"/>
      <c r="K8071" s="60"/>
      <c r="L8071" s="60"/>
      <c r="M8071" s="64"/>
      <c r="N8071" s="33"/>
    </row>
    <row r="8072" ht="24" customHeight="1" spans="2:14">
      <c r="B8072" s="33"/>
      <c r="C8072" s="60"/>
      <c r="D8072" s="60"/>
      <c r="E8072" s="60"/>
      <c r="F8072" s="60"/>
      <c r="G8072" s="60"/>
      <c r="H8072" s="60"/>
      <c r="I8072" s="60"/>
      <c r="J8072" s="60"/>
      <c r="K8072" s="60"/>
      <c r="L8072" s="60"/>
      <c r="M8072" s="64"/>
      <c r="N8072" s="33"/>
    </row>
    <row r="8073" ht="24" customHeight="1" spans="2:14">
      <c r="B8073" s="33"/>
      <c r="C8073" s="60"/>
      <c r="D8073" s="60"/>
      <c r="E8073" s="60"/>
      <c r="F8073" s="60"/>
      <c r="G8073" s="60"/>
      <c r="H8073" s="60"/>
      <c r="I8073" s="60"/>
      <c r="J8073" s="60"/>
      <c r="K8073" s="60"/>
      <c r="L8073" s="60"/>
      <c r="M8073" s="64"/>
      <c r="N8073" s="33"/>
    </row>
    <row r="8074" ht="24" customHeight="1" spans="2:14">
      <c r="B8074" s="33"/>
      <c r="C8074" s="60"/>
      <c r="D8074" s="60"/>
      <c r="E8074" s="60"/>
      <c r="F8074" s="60"/>
      <c r="G8074" s="60"/>
      <c r="H8074" s="60"/>
      <c r="I8074" s="60"/>
      <c r="J8074" s="60"/>
      <c r="K8074" s="60"/>
      <c r="L8074" s="60"/>
      <c r="M8074" s="64"/>
      <c r="N8074" s="33"/>
    </row>
    <row r="8075" ht="24" customHeight="1" spans="2:14">
      <c r="B8075" s="33"/>
      <c r="C8075" s="60"/>
      <c r="D8075" s="60"/>
      <c r="E8075" s="60"/>
      <c r="F8075" s="60"/>
      <c r="G8075" s="60"/>
      <c r="H8075" s="60"/>
      <c r="I8075" s="60"/>
      <c r="J8075" s="60"/>
      <c r="K8075" s="60"/>
      <c r="L8075" s="60"/>
      <c r="M8075" s="64"/>
      <c r="N8075" s="33"/>
    </row>
    <row r="8076" ht="24" customHeight="1" spans="2:14">
      <c r="B8076" s="33"/>
      <c r="C8076" s="60"/>
      <c r="D8076" s="60"/>
      <c r="E8076" s="60"/>
      <c r="F8076" s="60"/>
      <c r="G8076" s="60"/>
      <c r="H8076" s="60"/>
      <c r="I8076" s="60"/>
      <c r="J8076" s="60"/>
      <c r="K8076" s="60"/>
      <c r="L8076" s="60"/>
      <c r="M8076" s="64"/>
      <c r="N8076" s="33"/>
    </row>
    <row r="8077" ht="24" customHeight="1" spans="2:14">
      <c r="B8077" s="33"/>
      <c r="C8077" s="60"/>
      <c r="D8077" s="60"/>
      <c r="E8077" s="60"/>
      <c r="F8077" s="60"/>
      <c r="G8077" s="60"/>
      <c r="H8077" s="60"/>
      <c r="I8077" s="60"/>
      <c r="J8077" s="60"/>
      <c r="K8077" s="60"/>
      <c r="L8077" s="60"/>
      <c r="M8077" s="64"/>
      <c r="N8077" s="33"/>
    </row>
    <row r="8078" ht="24" customHeight="1" spans="2:14">
      <c r="B8078" s="33"/>
      <c r="C8078" s="60"/>
      <c r="D8078" s="60"/>
      <c r="E8078" s="60"/>
      <c r="F8078" s="60"/>
      <c r="G8078" s="60"/>
      <c r="H8078" s="60"/>
      <c r="I8078" s="60"/>
      <c r="J8078" s="60"/>
      <c r="K8078" s="60"/>
      <c r="L8078" s="60"/>
      <c r="M8078" s="64"/>
      <c r="N8078" s="33"/>
    </row>
    <row r="8079" ht="24" customHeight="1" spans="2:14">
      <c r="B8079" s="33"/>
      <c r="C8079" s="60"/>
      <c r="D8079" s="60"/>
      <c r="E8079" s="60"/>
      <c r="F8079" s="60"/>
      <c r="G8079" s="60"/>
      <c r="H8079" s="60"/>
      <c r="I8079" s="60"/>
      <c r="J8079" s="60"/>
      <c r="K8079" s="60"/>
      <c r="L8079" s="60"/>
      <c r="M8079" s="64"/>
      <c r="N8079" s="33"/>
    </row>
    <row r="8080" ht="24" customHeight="1" spans="2:14">
      <c r="B8080" s="33"/>
      <c r="C8080" s="60"/>
      <c r="D8080" s="60"/>
      <c r="E8080" s="60"/>
      <c r="F8080" s="60"/>
      <c r="G8080" s="60"/>
      <c r="H8080" s="60"/>
      <c r="I8080" s="60"/>
      <c r="J8080" s="60"/>
      <c r="K8080" s="60"/>
      <c r="L8080" s="60"/>
      <c r="M8080" s="64"/>
      <c r="N8080" s="33"/>
    </row>
    <row r="8081" ht="24" customHeight="1" spans="2:14">
      <c r="B8081" s="33"/>
      <c r="C8081" s="60"/>
      <c r="D8081" s="60"/>
      <c r="E8081" s="60"/>
      <c r="F8081" s="60"/>
      <c r="G8081" s="60"/>
      <c r="H8081" s="60"/>
      <c r="I8081" s="60"/>
      <c r="J8081" s="60"/>
      <c r="K8081" s="60"/>
      <c r="L8081" s="60"/>
      <c r="M8081" s="64"/>
      <c r="N8081" s="33"/>
    </row>
    <row r="8082" ht="24" customHeight="1" spans="2:14">
      <c r="B8082" s="33"/>
      <c r="C8082" s="60"/>
      <c r="D8082" s="60"/>
      <c r="E8082" s="60"/>
      <c r="F8082" s="60"/>
      <c r="G8082" s="60"/>
      <c r="H8082" s="60"/>
      <c r="I8082" s="60"/>
      <c r="J8082" s="60"/>
      <c r="K8082" s="60"/>
      <c r="L8082" s="60"/>
      <c r="M8082" s="64"/>
      <c r="N8082" s="33"/>
    </row>
    <row r="8083" ht="24" customHeight="1" spans="2:14">
      <c r="B8083" s="33"/>
      <c r="C8083" s="60"/>
      <c r="D8083" s="60"/>
      <c r="E8083" s="60"/>
      <c r="F8083" s="60"/>
      <c r="G8083" s="60"/>
      <c r="H8083" s="60"/>
      <c r="I8083" s="60"/>
      <c r="J8083" s="60"/>
      <c r="K8083" s="60"/>
      <c r="L8083" s="60"/>
      <c r="M8083" s="64"/>
      <c r="N8083" s="33"/>
    </row>
    <row r="8084" ht="24" customHeight="1" spans="2:14">
      <c r="B8084" s="33"/>
      <c r="C8084" s="60"/>
      <c r="D8084" s="60"/>
      <c r="E8084" s="60"/>
      <c r="F8084" s="60"/>
      <c r="G8084" s="60"/>
      <c r="H8084" s="60"/>
      <c r="I8084" s="60"/>
      <c r="J8084" s="60"/>
      <c r="K8084" s="60"/>
      <c r="L8084" s="60"/>
      <c r="M8084" s="64"/>
      <c r="N8084" s="33"/>
    </row>
    <row r="8085" ht="24" customHeight="1" spans="2:14">
      <c r="B8085" s="33"/>
      <c r="C8085" s="60"/>
      <c r="D8085" s="60"/>
      <c r="E8085" s="60"/>
      <c r="F8085" s="60"/>
      <c r="G8085" s="60"/>
      <c r="H8085" s="60"/>
      <c r="I8085" s="60"/>
      <c r="J8085" s="60"/>
      <c r="K8085" s="60"/>
      <c r="L8085" s="60"/>
      <c r="M8085" s="64"/>
      <c r="N8085" s="33"/>
    </row>
    <row r="8086" ht="24" customHeight="1" spans="2:14">
      <c r="B8086" s="33"/>
      <c r="C8086" s="60"/>
      <c r="D8086" s="60"/>
      <c r="E8086" s="60"/>
      <c r="F8086" s="60"/>
      <c r="G8086" s="60"/>
      <c r="H8086" s="60"/>
      <c r="I8086" s="60"/>
      <c r="J8086" s="60"/>
      <c r="K8086" s="60"/>
      <c r="L8086" s="60"/>
      <c r="M8086" s="64"/>
      <c r="N8086" s="33"/>
    </row>
    <row r="8087" ht="24" customHeight="1" spans="2:14">
      <c r="B8087" s="33"/>
      <c r="C8087" s="60"/>
      <c r="D8087" s="60"/>
      <c r="E8087" s="60"/>
      <c r="F8087" s="60"/>
      <c r="G8087" s="60"/>
      <c r="H8087" s="60"/>
      <c r="I8087" s="60"/>
      <c r="J8087" s="60"/>
      <c r="K8087" s="60"/>
      <c r="L8087" s="60"/>
      <c r="M8087" s="64"/>
      <c r="N8087" s="33"/>
    </row>
    <row r="8088" ht="24" customHeight="1" spans="2:14">
      <c r="B8088" s="33"/>
      <c r="C8088" s="60"/>
      <c r="D8088" s="60"/>
      <c r="E8088" s="60"/>
      <c r="F8088" s="60"/>
      <c r="G8088" s="60"/>
      <c r="H8088" s="60"/>
      <c r="I8088" s="60"/>
      <c r="J8088" s="60"/>
      <c r="K8088" s="60"/>
      <c r="L8088" s="60"/>
      <c r="M8088" s="64"/>
      <c r="N8088" s="33"/>
    </row>
    <row r="8089" ht="24" customHeight="1" spans="2:14">
      <c r="B8089" s="33"/>
      <c r="C8089" s="60"/>
      <c r="D8089" s="60"/>
      <c r="E8089" s="60"/>
      <c r="F8089" s="60"/>
      <c r="G8089" s="60"/>
      <c r="H8089" s="60"/>
      <c r="I8089" s="60"/>
      <c r="J8089" s="60"/>
      <c r="K8089" s="60"/>
      <c r="L8089" s="60"/>
      <c r="M8089" s="64"/>
      <c r="N8089" s="33"/>
    </row>
    <row r="8090" ht="24" customHeight="1" spans="2:14">
      <c r="B8090" s="33"/>
      <c r="C8090" s="60"/>
      <c r="D8090" s="60"/>
      <c r="E8090" s="60"/>
      <c r="F8090" s="60"/>
      <c r="G8090" s="60"/>
      <c r="H8090" s="60"/>
      <c r="I8090" s="60"/>
      <c r="J8090" s="60"/>
      <c r="K8090" s="60"/>
      <c r="L8090" s="60"/>
      <c r="M8090" s="64"/>
      <c r="N8090" s="33"/>
    </row>
    <row r="8091" ht="24" customHeight="1" spans="2:14">
      <c r="B8091" s="33"/>
      <c r="C8091" s="60"/>
      <c r="D8091" s="60"/>
      <c r="E8091" s="60"/>
      <c r="F8091" s="60"/>
      <c r="G8091" s="60"/>
      <c r="H8091" s="60"/>
      <c r="I8091" s="60"/>
      <c r="J8091" s="60"/>
      <c r="K8091" s="60"/>
      <c r="L8091" s="60"/>
      <c r="M8091" s="64"/>
      <c r="N8091" s="33"/>
    </row>
    <row r="8092" ht="24" customHeight="1" spans="2:14">
      <c r="B8092" s="33"/>
      <c r="C8092" s="60"/>
      <c r="D8092" s="60"/>
      <c r="E8092" s="60"/>
      <c r="F8092" s="60"/>
      <c r="G8092" s="60"/>
      <c r="H8092" s="60"/>
      <c r="I8092" s="60"/>
      <c r="J8092" s="60"/>
      <c r="K8092" s="60"/>
      <c r="L8092" s="60"/>
      <c r="M8092" s="64"/>
      <c r="N8092" s="33"/>
    </row>
    <row r="8093" ht="24" customHeight="1" spans="2:14">
      <c r="B8093" s="33"/>
      <c r="C8093" s="60"/>
      <c r="D8093" s="60"/>
      <c r="E8093" s="60"/>
      <c r="F8093" s="60"/>
      <c r="G8093" s="60"/>
      <c r="H8093" s="60"/>
      <c r="I8093" s="60"/>
      <c r="J8093" s="60"/>
      <c r="K8093" s="60"/>
      <c r="L8093" s="60"/>
      <c r="M8093" s="64"/>
      <c r="N8093" s="33"/>
    </row>
    <row r="8094" ht="24" customHeight="1" spans="2:14">
      <c r="B8094" s="33"/>
      <c r="C8094" s="60"/>
      <c r="D8094" s="60"/>
      <c r="E8094" s="60"/>
      <c r="F8094" s="60"/>
      <c r="G8094" s="60"/>
      <c r="H8094" s="60"/>
      <c r="I8094" s="60"/>
      <c r="J8094" s="60"/>
      <c r="K8094" s="60"/>
      <c r="L8094" s="60"/>
      <c r="M8094" s="64"/>
      <c r="N8094" s="33"/>
    </row>
    <row r="8095" ht="24" customHeight="1" spans="2:14">
      <c r="B8095" s="33"/>
      <c r="C8095" s="60"/>
      <c r="D8095" s="60"/>
      <c r="E8095" s="60"/>
      <c r="F8095" s="60"/>
      <c r="G8095" s="60"/>
      <c r="H8095" s="60"/>
      <c r="I8095" s="60"/>
      <c r="J8095" s="60"/>
      <c r="K8095" s="60"/>
      <c r="L8095" s="60"/>
      <c r="M8095" s="64"/>
      <c r="N8095" s="33"/>
    </row>
    <row r="8096" ht="24" customHeight="1" spans="2:14">
      <c r="B8096" s="33"/>
      <c r="C8096" s="60"/>
      <c r="D8096" s="60"/>
      <c r="E8096" s="60"/>
      <c r="F8096" s="60"/>
      <c r="G8096" s="60"/>
      <c r="H8096" s="60"/>
      <c r="I8096" s="60"/>
      <c r="J8096" s="60"/>
      <c r="K8096" s="60"/>
      <c r="L8096" s="60"/>
      <c r="M8096" s="64"/>
      <c r="N8096" s="33"/>
    </row>
    <row r="8097" ht="24" customHeight="1" spans="2:14">
      <c r="B8097" s="33"/>
      <c r="C8097" s="60"/>
      <c r="D8097" s="60"/>
      <c r="E8097" s="60"/>
      <c r="F8097" s="60"/>
      <c r="G8097" s="60"/>
      <c r="H8097" s="60"/>
      <c r="I8097" s="60"/>
      <c r="J8097" s="60"/>
      <c r="K8097" s="60"/>
      <c r="L8097" s="60"/>
      <c r="M8097" s="64"/>
      <c r="N8097" s="33"/>
    </row>
    <row r="8098" ht="24" customHeight="1" spans="2:14">
      <c r="B8098" s="33"/>
      <c r="C8098" s="60"/>
      <c r="D8098" s="60"/>
      <c r="E8098" s="60"/>
      <c r="F8098" s="60"/>
      <c r="G8098" s="60"/>
      <c r="H8098" s="60"/>
      <c r="I8098" s="60"/>
      <c r="J8098" s="60"/>
      <c r="K8098" s="60"/>
      <c r="L8098" s="60"/>
      <c r="M8098" s="64"/>
      <c r="N8098" s="33"/>
    </row>
    <row r="8099" ht="24" customHeight="1" spans="2:14">
      <c r="B8099" s="33"/>
      <c r="C8099" s="60"/>
      <c r="D8099" s="60"/>
      <c r="E8099" s="60"/>
      <c r="F8099" s="60"/>
      <c r="G8099" s="60"/>
      <c r="H8099" s="60"/>
      <c r="I8099" s="60"/>
      <c r="J8099" s="60"/>
      <c r="K8099" s="60"/>
      <c r="L8099" s="60"/>
      <c r="M8099" s="64"/>
      <c r="N8099" s="33"/>
    </row>
    <row r="8100" ht="24" customHeight="1" spans="2:14">
      <c r="B8100" s="33"/>
      <c r="C8100" s="60"/>
      <c r="D8100" s="60"/>
      <c r="E8100" s="60"/>
      <c r="F8100" s="60"/>
      <c r="G8100" s="60"/>
      <c r="H8100" s="60"/>
      <c r="I8100" s="60"/>
      <c r="J8100" s="60"/>
      <c r="K8100" s="60"/>
      <c r="L8100" s="60"/>
      <c r="M8100" s="64"/>
      <c r="N8100" s="33"/>
    </row>
    <row r="8101" ht="24" customHeight="1" spans="2:14">
      <c r="B8101" s="33"/>
      <c r="C8101" s="60"/>
      <c r="D8101" s="60"/>
      <c r="E8101" s="60"/>
      <c r="F8101" s="60"/>
      <c r="G8101" s="60"/>
      <c r="H8101" s="60"/>
      <c r="I8101" s="60"/>
      <c r="J8101" s="60"/>
      <c r="K8101" s="60"/>
      <c r="L8101" s="60"/>
      <c r="M8101" s="64"/>
      <c r="N8101" s="33"/>
    </row>
    <row r="8102" ht="24" customHeight="1" spans="2:14">
      <c r="B8102" s="33"/>
      <c r="C8102" s="60"/>
      <c r="D8102" s="60"/>
      <c r="E8102" s="60"/>
      <c r="F8102" s="60"/>
      <c r="G8102" s="60"/>
      <c r="H8102" s="60"/>
      <c r="I8102" s="60"/>
      <c r="J8102" s="60"/>
      <c r="K8102" s="60"/>
      <c r="L8102" s="60"/>
      <c r="M8102" s="64"/>
      <c r="N8102" s="33"/>
    </row>
    <row r="8103" ht="24" customHeight="1" spans="2:14">
      <c r="B8103" s="33"/>
      <c r="C8103" s="60"/>
      <c r="D8103" s="60"/>
      <c r="E8103" s="60"/>
      <c r="F8103" s="60"/>
      <c r="G8103" s="60"/>
      <c r="H8103" s="60"/>
      <c r="I8103" s="60"/>
      <c r="J8103" s="60"/>
      <c r="K8103" s="60"/>
      <c r="L8103" s="60"/>
      <c r="M8103" s="64"/>
      <c r="N8103" s="33"/>
    </row>
    <row r="8104" ht="24" customHeight="1" spans="2:14">
      <c r="B8104" s="33"/>
      <c r="C8104" s="60"/>
      <c r="D8104" s="60"/>
      <c r="E8104" s="60"/>
      <c r="F8104" s="60"/>
      <c r="G8104" s="60"/>
      <c r="H8104" s="60"/>
      <c r="I8104" s="60"/>
      <c r="J8104" s="60"/>
      <c r="K8104" s="60"/>
      <c r="L8104" s="60"/>
      <c r="M8104" s="64"/>
      <c r="N8104" s="33"/>
    </row>
    <row r="8105" ht="24" customHeight="1" spans="2:14">
      <c r="B8105" s="33"/>
      <c r="C8105" s="60"/>
      <c r="D8105" s="60"/>
      <c r="E8105" s="60"/>
      <c r="F8105" s="60"/>
      <c r="G8105" s="60"/>
      <c r="H8105" s="60"/>
      <c r="I8105" s="60"/>
      <c r="J8105" s="60"/>
      <c r="K8105" s="60"/>
      <c r="L8105" s="60"/>
      <c r="M8105" s="64"/>
      <c r="N8105" s="33"/>
    </row>
    <row r="8106" ht="24" customHeight="1" spans="2:14">
      <c r="B8106" s="33"/>
      <c r="C8106" s="60"/>
      <c r="D8106" s="60"/>
      <c r="E8106" s="60"/>
      <c r="F8106" s="60"/>
      <c r="G8106" s="60"/>
      <c r="H8106" s="60"/>
      <c r="I8106" s="60"/>
      <c r="J8106" s="60"/>
      <c r="K8106" s="60"/>
      <c r="L8106" s="60"/>
      <c r="M8106" s="64"/>
      <c r="N8106" s="33"/>
    </row>
    <row r="8107" ht="24" customHeight="1" spans="2:14">
      <c r="B8107" s="33"/>
      <c r="C8107" s="60"/>
      <c r="D8107" s="60"/>
      <c r="E8107" s="60"/>
      <c r="F8107" s="60"/>
      <c r="G8107" s="60"/>
      <c r="H8107" s="60"/>
      <c r="I8107" s="60"/>
      <c r="J8107" s="60"/>
      <c r="K8107" s="60"/>
      <c r="L8107" s="60"/>
      <c r="M8107" s="64"/>
      <c r="N8107" s="33"/>
    </row>
    <row r="8108" ht="24" customHeight="1" spans="2:14">
      <c r="B8108" s="33"/>
      <c r="C8108" s="60"/>
      <c r="D8108" s="60"/>
      <c r="E8108" s="60"/>
      <c r="F8108" s="60"/>
      <c r="G8108" s="60"/>
      <c r="H8108" s="60"/>
      <c r="I8108" s="60"/>
      <c r="J8108" s="60"/>
      <c r="K8108" s="60"/>
      <c r="L8108" s="60"/>
      <c r="M8108" s="64"/>
      <c r="N8108" s="33"/>
    </row>
    <row r="8109" ht="24" customHeight="1" spans="2:14">
      <c r="B8109" s="33"/>
      <c r="C8109" s="60"/>
      <c r="D8109" s="60"/>
      <c r="E8109" s="60"/>
      <c r="F8109" s="60"/>
      <c r="G8109" s="60"/>
      <c r="H8109" s="60"/>
      <c r="I8109" s="60"/>
      <c r="J8109" s="60"/>
      <c r="K8109" s="60"/>
      <c r="L8109" s="60"/>
      <c r="M8109" s="64"/>
      <c r="N8109" s="33"/>
    </row>
    <row r="8110" ht="24" customHeight="1" spans="2:14">
      <c r="B8110" s="33"/>
      <c r="C8110" s="60"/>
      <c r="D8110" s="60"/>
      <c r="E8110" s="60"/>
      <c r="F8110" s="60"/>
      <c r="G8110" s="60"/>
      <c r="H8110" s="60"/>
      <c r="I8110" s="60"/>
      <c r="J8110" s="60"/>
      <c r="K8110" s="60"/>
      <c r="L8110" s="60"/>
      <c r="M8110" s="64"/>
      <c r="N8110" s="33"/>
    </row>
    <row r="8111" ht="24" customHeight="1" spans="2:14">
      <c r="B8111" s="33"/>
      <c r="C8111" s="60"/>
      <c r="D8111" s="60"/>
      <c r="E8111" s="60"/>
      <c r="F8111" s="60"/>
      <c r="G8111" s="60"/>
      <c r="H8111" s="60"/>
      <c r="I8111" s="60"/>
      <c r="J8111" s="60"/>
      <c r="K8111" s="60"/>
      <c r="L8111" s="60"/>
      <c r="M8111" s="64"/>
      <c r="N8111" s="33"/>
    </row>
    <row r="8112" ht="24" customHeight="1" spans="2:14">
      <c r="B8112" s="33"/>
      <c r="C8112" s="60"/>
      <c r="D8112" s="60"/>
      <c r="E8112" s="60"/>
      <c r="F8112" s="60"/>
      <c r="G8112" s="60"/>
      <c r="H8112" s="60"/>
      <c r="I8112" s="60"/>
      <c r="J8112" s="60"/>
      <c r="K8112" s="60"/>
      <c r="L8112" s="60"/>
      <c r="M8112" s="64"/>
      <c r="N8112" s="33"/>
    </row>
    <row r="8113" ht="24" customHeight="1" spans="2:14">
      <c r="B8113" s="33"/>
      <c r="C8113" s="60"/>
      <c r="D8113" s="60"/>
      <c r="E8113" s="60"/>
      <c r="F8113" s="60"/>
      <c r="G8113" s="60"/>
      <c r="H8113" s="60"/>
      <c r="I8113" s="60"/>
      <c r="J8113" s="60"/>
      <c r="K8113" s="60"/>
      <c r="L8113" s="60"/>
      <c r="M8113" s="64"/>
      <c r="N8113" s="33"/>
    </row>
    <row r="8114" ht="24" customHeight="1" spans="2:14">
      <c r="B8114" s="33"/>
      <c r="C8114" s="60"/>
      <c r="D8114" s="60"/>
      <c r="E8114" s="60"/>
      <c r="F8114" s="60"/>
      <c r="G8114" s="60"/>
      <c r="H8114" s="60"/>
      <c r="I8114" s="60"/>
      <c r="J8114" s="60"/>
      <c r="K8114" s="60"/>
      <c r="L8114" s="60"/>
      <c r="M8114" s="64"/>
      <c r="N8114" s="33"/>
    </row>
    <row r="8115" ht="24" customHeight="1" spans="2:14">
      <c r="B8115" s="33"/>
      <c r="C8115" s="60"/>
      <c r="D8115" s="60"/>
      <c r="E8115" s="60"/>
      <c r="F8115" s="60"/>
      <c r="G8115" s="60"/>
      <c r="H8115" s="60"/>
      <c r="I8115" s="60"/>
      <c r="J8115" s="60"/>
      <c r="K8115" s="60"/>
      <c r="L8115" s="60"/>
      <c r="M8115" s="64"/>
      <c r="N8115" s="33"/>
    </row>
    <row r="8116" ht="24" customHeight="1" spans="2:14">
      <c r="B8116" s="33"/>
      <c r="C8116" s="60"/>
      <c r="D8116" s="60"/>
      <c r="E8116" s="60"/>
      <c r="F8116" s="60"/>
      <c r="G8116" s="60"/>
      <c r="H8116" s="60"/>
      <c r="I8116" s="60"/>
      <c r="J8116" s="60"/>
      <c r="K8116" s="60"/>
      <c r="L8116" s="60"/>
      <c r="M8116" s="64"/>
      <c r="N8116" s="33"/>
    </row>
    <row r="8117" ht="24" customHeight="1" spans="2:14">
      <c r="B8117" s="33"/>
      <c r="C8117" s="60"/>
      <c r="D8117" s="60"/>
      <c r="E8117" s="60"/>
      <c r="F8117" s="60"/>
      <c r="G8117" s="60"/>
      <c r="H8117" s="60"/>
      <c r="I8117" s="60"/>
      <c r="J8117" s="60"/>
      <c r="K8117" s="60"/>
      <c r="L8117" s="60"/>
      <c r="M8117" s="64"/>
      <c r="N8117" s="33"/>
    </row>
    <row r="8118" ht="24" customHeight="1" spans="2:14">
      <c r="B8118" s="33"/>
      <c r="C8118" s="60"/>
      <c r="D8118" s="60"/>
      <c r="E8118" s="60"/>
      <c r="F8118" s="60"/>
      <c r="G8118" s="60"/>
      <c r="H8118" s="60"/>
      <c r="I8118" s="60"/>
      <c r="J8118" s="60"/>
      <c r="K8118" s="60"/>
      <c r="L8118" s="60"/>
      <c r="M8118" s="64"/>
      <c r="N8118" s="33"/>
    </row>
    <row r="8119" ht="24" customHeight="1" spans="2:14">
      <c r="B8119" s="33"/>
      <c r="C8119" s="60"/>
      <c r="D8119" s="60"/>
      <c r="E8119" s="60"/>
      <c r="F8119" s="60"/>
      <c r="G8119" s="60"/>
      <c r="H8119" s="60"/>
      <c r="I8119" s="60"/>
      <c r="J8119" s="60"/>
      <c r="K8119" s="60"/>
      <c r="L8119" s="60"/>
      <c r="M8119" s="64"/>
      <c r="N8119" s="33"/>
    </row>
    <row r="8120" ht="24" customHeight="1" spans="2:14">
      <c r="B8120" s="33"/>
      <c r="C8120" s="60"/>
      <c r="D8120" s="60"/>
      <c r="E8120" s="60"/>
      <c r="F8120" s="60"/>
      <c r="G8120" s="60"/>
      <c r="H8120" s="60"/>
      <c r="I8120" s="60"/>
      <c r="J8120" s="60"/>
      <c r="K8120" s="60"/>
      <c r="L8120" s="60"/>
      <c r="M8120" s="64"/>
      <c r="N8120" s="33"/>
    </row>
    <row r="8121" ht="24" customHeight="1" spans="2:14">
      <c r="B8121" s="33"/>
      <c r="C8121" s="60"/>
      <c r="D8121" s="60"/>
      <c r="E8121" s="60"/>
      <c r="F8121" s="60"/>
      <c r="G8121" s="60"/>
      <c r="H8121" s="60"/>
      <c r="I8121" s="60"/>
      <c r="J8121" s="60"/>
      <c r="K8121" s="60"/>
      <c r="L8121" s="60"/>
      <c r="M8121" s="64"/>
      <c r="N8121" s="33"/>
    </row>
    <row r="8122" ht="24" customHeight="1" spans="2:14">
      <c r="B8122" s="33"/>
      <c r="C8122" s="60"/>
      <c r="D8122" s="60"/>
      <c r="E8122" s="60"/>
      <c r="F8122" s="60"/>
      <c r="G8122" s="60"/>
      <c r="H8122" s="60"/>
      <c r="I8122" s="60"/>
      <c r="J8122" s="60"/>
      <c r="K8122" s="60"/>
      <c r="L8122" s="60"/>
      <c r="M8122" s="64"/>
      <c r="N8122" s="33"/>
    </row>
    <row r="8123" ht="24" customHeight="1" spans="2:14">
      <c r="B8123" s="33"/>
      <c r="C8123" s="60"/>
      <c r="D8123" s="60"/>
      <c r="E8123" s="60"/>
      <c r="F8123" s="60"/>
      <c r="G8123" s="60"/>
      <c r="H8123" s="60"/>
      <c r="I8123" s="60"/>
      <c r="J8123" s="60"/>
      <c r="K8123" s="60"/>
      <c r="L8123" s="60"/>
      <c r="M8123" s="64"/>
      <c r="N8123" s="33"/>
    </row>
    <row r="8124" ht="24" customHeight="1" spans="2:14">
      <c r="B8124" s="33"/>
      <c r="C8124" s="60"/>
      <c r="D8124" s="60"/>
      <c r="E8124" s="60"/>
      <c r="F8124" s="60"/>
      <c r="G8124" s="60"/>
      <c r="H8124" s="60"/>
      <c r="I8124" s="60"/>
      <c r="J8124" s="60"/>
      <c r="K8124" s="60"/>
      <c r="L8124" s="60"/>
      <c r="M8124" s="64"/>
      <c r="N8124" s="33"/>
    </row>
    <row r="8125" ht="24" customHeight="1" spans="2:14">
      <c r="B8125" s="33"/>
      <c r="C8125" s="60"/>
      <c r="D8125" s="60"/>
      <c r="E8125" s="60"/>
      <c r="F8125" s="60"/>
      <c r="G8125" s="60"/>
      <c r="H8125" s="60"/>
      <c r="I8125" s="60"/>
      <c r="J8125" s="60"/>
      <c r="K8125" s="60"/>
      <c r="L8125" s="60"/>
      <c r="M8125" s="64"/>
      <c r="N8125" s="33"/>
    </row>
    <row r="8126" ht="24" customHeight="1" spans="2:14">
      <c r="B8126" s="33"/>
      <c r="C8126" s="60"/>
      <c r="D8126" s="60"/>
      <c r="E8126" s="60"/>
      <c r="F8126" s="60"/>
      <c r="G8126" s="60"/>
      <c r="H8126" s="60"/>
      <c r="I8126" s="60"/>
      <c r="J8126" s="60"/>
      <c r="K8126" s="60"/>
      <c r="L8126" s="60"/>
      <c r="M8126" s="64"/>
      <c r="N8126" s="33"/>
    </row>
    <row r="8127" ht="24" customHeight="1" spans="2:14">
      <c r="B8127" s="33"/>
      <c r="C8127" s="60"/>
      <c r="D8127" s="60"/>
      <c r="E8127" s="60"/>
      <c r="F8127" s="60"/>
      <c r="G8127" s="60"/>
      <c r="H8127" s="60"/>
      <c r="I8127" s="60"/>
      <c r="J8127" s="60"/>
      <c r="K8127" s="60"/>
      <c r="L8127" s="60"/>
      <c r="M8127" s="64"/>
      <c r="N8127" s="33"/>
    </row>
    <row r="8128" ht="24" customHeight="1" spans="2:14">
      <c r="B8128" s="33"/>
      <c r="C8128" s="60"/>
      <c r="D8128" s="60"/>
      <c r="E8128" s="60"/>
      <c r="F8128" s="60"/>
      <c r="G8128" s="60"/>
      <c r="H8128" s="60"/>
      <c r="I8128" s="60"/>
      <c r="J8128" s="60"/>
      <c r="K8128" s="60"/>
      <c r="L8128" s="60"/>
      <c r="M8128" s="64"/>
      <c r="N8128" s="33"/>
    </row>
    <row r="8129" ht="24" customHeight="1" spans="2:14">
      <c r="B8129" s="33"/>
      <c r="C8129" s="60"/>
      <c r="D8129" s="60"/>
      <c r="E8129" s="60"/>
      <c r="F8129" s="60"/>
      <c r="G8129" s="60"/>
      <c r="H8129" s="60"/>
      <c r="I8129" s="60"/>
      <c r="J8129" s="60"/>
      <c r="K8129" s="60"/>
      <c r="L8129" s="60"/>
      <c r="M8129" s="64"/>
      <c r="N8129" s="33"/>
    </row>
    <row r="8130" ht="24" customHeight="1" spans="2:14">
      <c r="B8130" s="33"/>
      <c r="C8130" s="60"/>
      <c r="D8130" s="60"/>
      <c r="E8130" s="60"/>
      <c r="F8130" s="60"/>
      <c r="G8130" s="60"/>
      <c r="H8130" s="60"/>
      <c r="I8130" s="60"/>
      <c r="J8130" s="60"/>
      <c r="K8130" s="60"/>
      <c r="L8130" s="60"/>
      <c r="M8130" s="64"/>
      <c r="N8130" s="33"/>
    </row>
    <row r="8131" ht="24" customHeight="1" spans="2:14">
      <c r="B8131" s="33"/>
      <c r="C8131" s="60"/>
      <c r="D8131" s="60"/>
      <c r="E8131" s="60"/>
      <c r="F8131" s="60"/>
      <c r="G8131" s="60"/>
      <c r="H8131" s="60"/>
      <c r="I8131" s="60"/>
      <c r="J8131" s="60"/>
      <c r="K8131" s="60"/>
      <c r="L8131" s="60"/>
      <c r="M8131" s="64"/>
      <c r="N8131" s="33"/>
    </row>
    <row r="8132" ht="24" customHeight="1" spans="2:14">
      <c r="B8132" s="33"/>
      <c r="C8132" s="60"/>
      <c r="D8132" s="60"/>
      <c r="E8132" s="60"/>
      <c r="F8132" s="60"/>
      <c r="G8132" s="60"/>
      <c r="H8132" s="60"/>
      <c r="I8132" s="60"/>
      <c r="J8132" s="60"/>
      <c r="K8132" s="60"/>
      <c r="L8132" s="60"/>
      <c r="M8132" s="64"/>
      <c r="N8132" s="33"/>
    </row>
    <row r="8133" ht="24" customHeight="1" spans="2:14">
      <c r="B8133" s="33"/>
      <c r="C8133" s="60"/>
      <c r="D8133" s="60"/>
      <c r="E8133" s="60"/>
      <c r="F8133" s="60"/>
      <c r="G8133" s="60"/>
      <c r="H8133" s="60"/>
      <c r="I8133" s="60"/>
      <c r="J8133" s="60"/>
      <c r="K8133" s="60"/>
      <c r="L8133" s="60"/>
      <c r="M8133" s="64"/>
      <c r="N8133" s="33"/>
    </row>
    <row r="8134" ht="24" customHeight="1" spans="2:14">
      <c r="B8134" s="33"/>
      <c r="C8134" s="60"/>
      <c r="D8134" s="60"/>
      <c r="E8134" s="60"/>
      <c r="F8134" s="60"/>
      <c r="G8134" s="60"/>
      <c r="H8134" s="60"/>
      <c r="I8134" s="60"/>
      <c r="J8134" s="60"/>
      <c r="K8134" s="60"/>
      <c r="L8134" s="60"/>
      <c r="M8134" s="64"/>
      <c r="N8134" s="33"/>
    </row>
    <row r="8135" ht="24" customHeight="1" spans="2:14">
      <c r="B8135" s="33"/>
      <c r="C8135" s="60"/>
      <c r="D8135" s="60"/>
      <c r="E8135" s="60"/>
      <c r="F8135" s="60"/>
      <c r="G8135" s="60"/>
      <c r="H8135" s="60"/>
      <c r="I8135" s="60"/>
      <c r="J8135" s="60"/>
      <c r="K8135" s="60"/>
      <c r="L8135" s="60"/>
      <c r="M8135" s="64"/>
      <c r="N8135" s="33"/>
    </row>
    <row r="8136" ht="24" customHeight="1" spans="2:14">
      <c r="B8136" s="33"/>
      <c r="C8136" s="60"/>
      <c r="D8136" s="60"/>
      <c r="E8136" s="60"/>
      <c r="F8136" s="60"/>
      <c r="G8136" s="60"/>
      <c r="H8136" s="60"/>
      <c r="I8136" s="60"/>
      <c r="J8136" s="60"/>
      <c r="K8136" s="60"/>
      <c r="L8136" s="60"/>
      <c r="M8136" s="64"/>
      <c r="N8136" s="33"/>
    </row>
    <row r="8137" ht="24" customHeight="1" spans="2:14">
      <c r="B8137" s="33"/>
      <c r="C8137" s="60"/>
      <c r="D8137" s="60"/>
      <c r="E8137" s="60"/>
      <c r="F8137" s="60"/>
      <c r="G8137" s="60"/>
      <c r="H8137" s="60"/>
      <c r="I8137" s="60"/>
      <c r="J8137" s="60"/>
      <c r="K8137" s="60"/>
      <c r="L8137" s="60"/>
      <c r="M8137" s="64"/>
      <c r="N8137" s="33"/>
    </row>
    <row r="8138" ht="24" customHeight="1" spans="2:14">
      <c r="B8138" s="33"/>
      <c r="C8138" s="60"/>
      <c r="D8138" s="60"/>
      <c r="E8138" s="60"/>
      <c r="F8138" s="60"/>
      <c r="G8138" s="60"/>
      <c r="H8138" s="60"/>
      <c r="I8138" s="60"/>
      <c r="J8138" s="60"/>
      <c r="K8138" s="60"/>
      <c r="L8138" s="60"/>
      <c r="M8138" s="64"/>
      <c r="N8138" s="33"/>
    </row>
    <row r="8139" ht="24" customHeight="1" spans="2:14">
      <c r="B8139" s="33"/>
      <c r="C8139" s="60"/>
      <c r="D8139" s="60"/>
      <c r="E8139" s="60"/>
      <c r="F8139" s="60"/>
      <c r="G8139" s="60"/>
      <c r="H8139" s="60"/>
      <c r="I8139" s="60"/>
      <c r="J8139" s="60"/>
      <c r="K8139" s="60"/>
      <c r="L8139" s="60"/>
      <c r="M8139" s="64"/>
      <c r="N8139" s="33"/>
    </row>
    <row r="8140" ht="24" customHeight="1" spans="2:14">
      <c r="B8140" s="33"/>
      <c r="C8140" s="60"/>
      <c r="D8140" s="60"/>
      <c r="E8140" s="60"/>
      <c r="F8140" s="60"/>
      <c r="G8140" s="60"/>
      <c r="H8140" s="60"/>
      <c r="I8140" s="60"/>
      <c r="J8140" s="60"/>
      <c r="K8140" s="60"/>
      <c r="L8140" s="60"/>
      <c r="M8140" s="64"/>
      <c r="N8140" s="33"/>
    </row>
    <row r="8141" ht="24" customHeight="1" spans="2:14">
      <c r="B8141" s="33"/>
      <c r="C8141" s="60"/>
      <c r="D8141" s="60"/>
      <c r="E8141" s="60"/>
      <c r="F8141" s="60"/>
      <c r="G8141" s="60"/>
      <c r="H8141" s="60"/>
      <c r="I8141" s="60"/>
      <c r="J8141" s="60"/>
      <c r="K8141" s="60"/>
      <c r="L8141" s="60"/>
      <c r="M8141" s="64"/>
      <c r="N8141" s="33"/>
    </row>
    <row r="8142" ht="24" customHeight="1" spans="2:14">
      <c r="B8142" s="33"/>
      <c r="C8142" s="60"/>
      <c r="D8142" s="60"/>
      <c r="E8142" s="60"/>
      <c r="F8142" s="60"/>
      <c r="G8142" s="60"/>
      <c r="H8142" s="60"/>
      <c r="I8142" s="60"/>
      <c r="J8142" s="60"/>
      <c r="K8142" s="60"/>
      <c r="L8142" s="60"/>
      <c r="M8142" s="64"/>
      <c r="N8142" s="33"/>
    </row>
    <row r="8143" ht="24" customHeight="1" spans="2:14">
      <c r="B8143" s="33"/>
      <c r="C8143" s="60"/>
      <c r="D8143" s="60"/>
      <c r="E8143" s="60"/>
      <c r="F8143" s="60"/>
      <c r="G8143" s="60"/>
      <c r="H8143" s="60"/>
      <c r="I8143" s="60"/>
      <c r="J8143" s="60"/>
      <c r="K8143" s="60"/>
      <c r="L8143" s="60"/>
      <c r="M8143" s="64"/>
      <c r="N8143" s="33"/>
    </row>
    <row r="8144" ht="24" customHeight="1" spans="2:14">
      <c r="B8144" s="33"/>
      <c r="C8144" s="60"/>
      <c r="D8144" s="60"/>
      <c r="E8144" s="60"/>
      <c r="F8144" s="60"/>
      <c r="G8144" s="60"/>
      <c r="H8144" s="60"/>
      <c r="I8144" s="60"/>
      <c r="J8144" s="60"/>
      <c r="K8144" s="60"/>
      <c r="L8144" s="60"/>
      <c r="M8144" s="64"/>
      <c r="N8144" s="33"/>
    </row>
    <row r="8145" ht="24" customHeight="1" spans="2:14">
      <c r="B8145" s="33"/>
      <c r="C8145" s="60"/>
      <c r="D8145" s="60"/>
      <c r="E8145" s="60"/>
      <c r="F8145" s="60"/>
      <c r="G8145" s="60"/>
      <c r="H8145" s="60"/>
      <c r="I8145" s="60"/>
      <c r="J8145" s="60"/>
      <c r="K8145" s="60"/>
      <c r="L8145" s="60"/>
      <c r="M8145" s="64"/>
      <c r="N8145" s="33"/>
    </row>
    <row r="8146" ht="24" customHeight="1" spans="2:14">
      <c r="B8146" s="33"/>
      <c r="C8146" s="60"/>
      <c r="D8146" s="60"/>
      <c r="E8146" s="60"/>
      <c r="F8146" s="60"/>
      <c r="G8146" s="60"/>
      <c r="H8146" s="60"/>
      <c r="I8146" s="60"/>
      <c r="J8146" s="60"/>
      <c r="K8146" s="60"/>
      <c r="L8146" s="60"/>
      <c r="M8146" s="64"/>
      <c r="N8146" s="33"/>
    </row>
    <row r="8147" ht="24" customHeight="1" spans="2:14">
      <c r="B8147" s="33"/>
      <c r="C8147" s="60"/>
      <c r="D8147" s="60"/>
      <c r="E8147" s="60"/>
      <c r="F8147" s="60"/>
      <c r="G8147" s="60"/>
      <c r="H8147" s="60"/>
      <c r="I8147" s="60"/>
      <c r="J8147" s="60"/>
      <c r="K8147" s="60"/>
      <c r="L8147" s="60"/>
      <c r="M8147" s="64"/>
      <c r="N8147" s="33"/>
    </row>
    <row r="8148" ht="24" customHeight="1" spans="2:14">
      <c r="B8148" s="33"/>
      <c r="C8148" s="60"/>
      <c r="D8148" s="60"/>
      <c r="E8148" s="60"/>
      <c r="F8148" s="60"/>
      <c r="G8148" s="60"/>
      <c r="H8148" s="60"/>
      <c r="I8148" s="60"/>
      <c r="J8148" s="60"/>
      <c r="K8148" s="60"/>
      <c r="L8148" s="60"/>
      <c r="M8148" s="64"/>
      <c r="N8148" s="33"/>
    </row>
    <row r="8149" ht="24" customHeight="1" spans="2:14">
      <c r="B8149" s="33"/>
      <c r="C8149" s="60"/>
      <c r="D8149" s="60"/>
      <c r="E8149" s="60"/>
      <c r="F8149" s="60"/>
      <c r="G8149" s="60"/>
      <c r="H8149" s="60"/>
      <c r="I8149" s="60"/>
      <c r="J8149" s="60"/>
      <c r="K8149" s="60"/>
      <c r="L8149" s="60"/>
      <c r="M8149" s="64"/>
      <c r="N8149" s="33"/>
    </row>
    <row r="8150" ht="24" customHeight="1" spans="2:14">
      <c r="B8150" s="33"/>
      <c r="C8150" s="60"/>
      <c r="D8150" s="60"/>
      <c r="E8150" s="60"/>
      <c r="F8150" s="60"/>
      <c r="G8150" s="60"/>
      <c r="H8150" s="60"/>
      <c r="I8150" s="60"/>
      <c r="J8150" s="60"/>
      <c r="K8150" s="60"/>
      <c r="L8150" s="60"/>
      <c r="M8150" s="64"/>
      <c r="N8150" s="33"/>
    </row>
    <row r="8151" ht="24" customHeight="1" spans="2:14">
      <c r="B8151" s="33"/>
      <c r="C8151" s="60"/>
      <c r="D8151" s="60"/>
      <c r="E8151" s="60"/>
      <c r="F8151" s="60"/>
      <c r="G8151" s="60"/>
      <c r="H8151" s="60"/>
      <c r="I8151" s="60"/>
      <c r="J8151" s="60"/>
      <c r="K8151" s="60"/>
      <c r="L8151" s="60"/>
      <c r="M8151" s="64"/>
      <c r="N8151" s="33"/>
    </row>
    <row r="8152" ht="24" customHeight="1" spans="2:14">
      <c r="B8152" s="33"/>
      <c r="C8152" s="60"/>
      <c r="D8152" s="60"/>
      <c r="E8152" s="60"/>
      <c r="F8152" s="60"/>
      <c r="G8152" s="60"/>
      <c r="H8152" s="60"/>
      <c r="I8152" s="60"/>
      <c r="J8152" s="60"/>
      <c r="K8152" s="60"/>
      <c r="L8152" s="60"/>
      <c r="M8152" s="64"/>
      <c r="N8152" s="33"/>
    </row>
    <row r="8153" ht="24" customHeight="1" spans="2:14">
      <c r="B8153" s="33"/>
      <c r="C8153" s="60"/>
      <c r="D8153" s="60"/>
      <c r="E8153" s="60"/>
      <c r="F8153" s="60"/>
      <c r="G8153" s="60"/>
      <c r="H8153" s="60"/>
      <c r="I8153" s="60"/>
      <c r="J8153" s="60"/>
      <c r="K8153" s="60"/>
      <c r="L8153" s="60"/>
      <c r="M8153" s="64"/>
      <c r="N8153" s="33"/>
    </row>
    <row r="8154" ht="24" customHeight="1" spans="2:14">
      <c r="B8154" s="33"/>
      <c r="C8154" s="60"/>
      <c r="D8154" s="60"/>
      <c r="E8154" s="60"/>
      <c r="F8154" s="60"/>
      <c r="G8154" s="60"/>
      <c r="H8154" s="60"/>
      <c r="I8154" s="60"/>
      <c r="J8154" s="60"/>
      <c r="K8154" s="60"/>
      <c r="L8154" s="60"/>
      <c r="M8154" s="64"/>
      <c r="N8154" s="33"/>
    </row>
    <row r="8155" ht="24" customHeight="1" spans="2:14">
      <c r="B8155" s="33"/>
      <c r="C8155" s="60"/>
      <c r="D8155" s="60"/>
      <c r="E8155" s="60"/>
      <c r="F8155" s="60"/>
      <c r="G8155" s="60"/>
      <c r="H8155" s="60"/>
      <c r="I8155" s="60"/>
      <c r="J8155" s="60"/>
      <c r="K8155" s="60"/>
      <c r="L8155" s="60"/>
      <c r="M8155" s="64"/>
      <c r="N8155" s="33"/>
    </row>
    <row r="8156" ht="24" customHeight="1" spans="2:14">
      <c r="B8156" s="33"/>
      <c r="C8156" s="60"/>
      <c r="D8156" s="60"/>
      <c r="E8156" s="60"/>
      <c r="F8156" s="60"/>
      <c r="G8156" s="60"/>
      <c r="H8156" s="60"/>
      <c r="I8156" s="60"/>
      <c r="J8156" s="60"/>
      <c r="K8156" s="60"/>
      <c r="L8156" s="60"/>
      <c r="M8156" s="64"/>
      <c r="N8156" s="33"/>
    </row>
    <row r="8157" ht="24" customHeight="1" spans="2:14">
      <c r="B8157" s="33"/>
      <c r="C8157" s="60"/>
      <c r="D8157" s="60"/>
      <c r="E8157" s="60"/>
      <c r="F8157" s="60"/>
      <c r="G8157" s="60"/>
      <c r="H8157" s="60"/>
      <c r="I8157" s="60"/>
      <c r="J8157" s="60"/>
      <c r="K8157" s="60"/>
      <c r="L8157" s="60"/>
      <c r="M8157" s="64"/>
      <c r="N8157" s="33"/>
    </row>
    <row r="8158" ht="24" customHeight="1" spans="2:14">
      <c r="B8158" s="33"/>
      <c r="C8158" s="60"/>
      <c r="D8158" s="60"/>
      <c r="E8158" s="60"/>
      <c r="F8158" s="60"/>
      <c r="G8158" s="60"/>
      <c r="H8158" s="60"/>
      <c r="I8158" s="60"/>
      <c r="J8158" s="60"/>
      <c r="K8158" s="60"/>
      <c r="L8158" s="60"/>
      <c r="M8158" s="64"/>
      <c r="N8158" s="33"/>
    </row>
    <row r="8159" ht="24" customHeight="1" spans="2:14">
      <c r="B8159" s="33"/>
      <c r="C8159" s="60"/>
      <c r="D8159" s="60"/>
      <c r="E8159" s="60"/>
      <c r="F8159" s="60"/>
      <c r="G8159" s="60"/>
      <c r="H8159" s="60"/>
      <c r="I8159" s="60"/>
      <c r="J8159" s="60"/>
      <c r="K8159" s="60"/>
      <c r="L8159" s="60"/>
      <c r="M8159" s="64"/>
      <c r="N8159" s="33"/>
    </row>
    <row r="8160" ht="24" customHeight="1" spans="2:14">
      <c r="B8160" s="33"/>
      <c r="C8160" s="60"/>
      <c r="D8160" s="60"/>
      <c r="E8160" s="60"/>
      <c r="F8160" s="60"/>
      <c r="G8160" s="60"/>
      <c r="H8160" s="60"/>
      <c r="I8160" s="60"/>
      <c r="J8160" s="60"/>
      <c r="K8160" s="60"/>
      <c r="L8160" s="60"/>
      <c r="M8160" s="64"/>
      <c r="N8160" s="33"/>
    </row>
    <row r="8161" ht="24" customHeight="1" spans="2:14">
      <c r="B8161" s="33"/>
      <c r="C8161" s="60"/>
      <c r="D8161" s="60"/>
      <c r="E8161" s="60"/>
      <c r="F8161" s="60"/>
      <c r="G8161" s="60"/>
      <c r="H8161" s="60"/>
      <c r="I8161" s="60"/>
      <c r="J8161" s="60"/>
      <c r="K8161" s="60"/>
      <c r="L8161" s="60"/>
      <c r="M8161" s="64"/>
      <c r="N8161" s="33"/>
    </row>
    <row r="8162" ht="24" customHeight="1" spans="2:14">
      <c r="B8162" s="33"/>
      <c r="C8162" s="60"/>
      <c r="D8162" s="60"/>
      <c r="E8162" s="60"/>
      <c r="F8162" s="60"/>
      <c r="G8162" s="60"/>
      <c r="H8162" s="60"/>
      <c r="I8162" s="60"/>
      <c r="J8162" s="60"/>
      <c r="K8162" s="60"/>
      <c r="L8162" s="60"/>
      <c r="M8162" s="64"/>
      <c r="N8162" s="33"/>
    </row>
    <row r="8163" ht="24" customHeight="1" spans="2:14">
      <c r="B8163" s="33"/>
      <c r="C8163" s="60"/>
      <c r="D8163" s="60"/>
      <c r="E8163" s="60"/>
      <c r="F8163" s="60"/>
      <c r="G8163" s="60"/>
      <c r="H8163" s="60"/>
      <c r="I8163" s="60"/>
      <c r="J8163" s="60"/>
      <c r="K8163" s="60"/>
      <c r="L8163" s="60"/>
      <c r="M8163" s="64"/>
      <c r="N8163" s="33"/>
    </row>
    <row r="8164" ht="24" customHeight="1" spans="2:14">
      <c r="B8164" s="33"/>
      <c r="C8164" s="60"/>
      <c r="D8164" s="60"/>
      <c r="E8164" s="60"/>
      <c r="F8164" s="60"/>
      <c r="G8164" s="60"/>
      <c r="H8164" s="60"/>
      <c r="I8164" s="60"/>
      <c r="J8164" s="60"/>
      <c r="K8164" s="60"/>
      <c r="L8164" s="60"/>
      <c r="M8164" s="64"/>
      <c r="N8164" s="33"/>
    </row>
    <row r="8165" ht="24" customHeight="1" spans="2:14">
      <c r="B8165" s="33"/>
      <c r="C8165" s="60"/>
      <c r="D8165" s="60"/>
      <c r="E8165" s="60"/>
      <c r="F8165" s="60"/>
      <c r="G8165" s="60"/>
      <c r="H8165" s="60"/>
      <c r="I8165" s="60"/>
      <c r="J8165" s="60"/>
      <c r="K8165" s="60"/>
      <c r="L8165" s="60"/>
      <c r="M8165" s="64"/>
      <c r="N8165" s="33"/>
    </row>
    <row r="8166" ht="24" customHeight="1" spans="2:14">
      <c r="B8166" s="33"/>
      <c r="C8166" s="60"/>
      <c r="D8166" s="60"/>
      <c r="E8166" s="60"/>
      <c r="F8166" s="60"/>
      <c r="G8166" s="60"/>
      <c r="H8166" s="60"/>
      <c r="I8166" s="60"/>
      <c r="J8166" s="60"/>
      <c r="K8166" s="60"/>
      <c r="L8166" s="60"/>
      <c r="M8166" s="64"/>
      <c r="N8166" s="33"/>
    </row>
    <row r="8167" ht="24" customHeight="1" spans="2:14">
      <c r="B8167" s="33"/>
      <c r="C8167" s="60"/>
      <c r="D8167" s="60"/>
      <c r="E8167" s="60"/>
      <c r="F8167" s="60"/>
      <c r="G8167" s="60"/>
      <c r="H8167" s="60"/>
      <c r="I8167" s="60"/>
      <c r="J8167" s="60"/>
      <c r="K8167" s="60"/>
      <c r="L8167" s="60"/>
      <c r="M8167" s="64"/>
      <c r="N8167" s="33"/>
    </row>
    <row r="8168" ht="24" customHeight="1" spans="2:14">
      <c r="B8168" s="33"/>
      <c r="C8168" s="60"/>
      <c r="D8168" s="60"/>
      <c r="E8168" s="60"/>
      <c r="F8168" s="60"/>
      <c r="G8168" s="60"/>
      <c r="H8168" s="60"/>
      <c r="I8168" s="60"/>
      <c r="J8168" s="60"/>
      <c r="K8168" s="60"/>
      <c r="L8168" s="60"/>
      <c r="M8168" s="64"/>
      <c r="N8168" s="33"/>
    </row>
    <row r="8169" ht="24" customHeight="1" spans="2:14">
      <c r="B8169" s="33"/>
      <c r="C8169" s="60"/>
      <c r="D8169" s="60"/>
      <c r="E8169" s="60"/>
      <c r="F8169" s="60"/>
      <c r="G8169" s="60"/>
      <c r="H8169" s="60"/>
      <c r="I8169" s="60"/>
      <c r="J8169" s="60"/>
      <c r="K8169" s="60"/>
      <c r="L8169" s="60"/>
      <c r="M8169" s="64"/>
      <c r="N8169" s="33"/>
    </row>
    <row r="8170" ht="24" customHeight="1" spans="2:14">
      <c r="B8170" s="33"/>
      <c r="C8170" s="60"/>
      <c r="D8170" s="60"/>
      <c r="E8170" s="60"/>
      <c r="F8170" s="60"/>
      <c r="G8170" s="60"/>
      <c r="H8170" s="60"/>
      <c r="I8170" s="60"/>
      <c r="J8170" s="60"/>
      <c r="K8170" s="60"/>
      <c r="L8170" s="60"/>
      <c r="M8170" s="64"/>
      <c r="N8170" s="33"/>
    </row>
    <row r="8171" ht="24" customHeight="1" spans="2:14">
      <c r="B8171" s="33"/>
      <c r="C8171" s="60"/>
      <c r="D8171" s="60"/>
      <c r="E8171" s="60"/>
      <c r="F8171" s="60"/>
      <c r="G8171" s="60"/>
      <c r="H8171" s="60"/>
      <c r="I8171" s="60"/>
      <c r="J8171" s="60"/>
      <c r="K8171" s="60"/>
      <c r="L8171" s="60"/>
      <c r="M8171" s="64"/>
      <c r="N8171" s="33"/>
    </row>
    <row r="8172" ht="24" customHeight="1" spans="2:14">
      <c r="B8172" s="33"/>
      <c r="C8172" s="60"/>
      <c r="D8172" s="60"/>
      <c r="E8172" s="60"/>
      <c r="F8172" s="60"/>
      <c r="G8172" s="60"/>
      <c r="H8172" s="60"/>
      <c r="I8172" s="60"/>
      <c r="J8172" s="60"/>
      <c r="K8172" s="60"/>
      <c r="L8172" s="60"/>
      <c r="M8172" s="64"/>
      <c r="N8172" s="33"/>
    </row>
    <row r="8173" ht="24" customHeight="1" spans="2:14">
      <c r="B8173" s="33"/>
      <c r="C8173" s="60"/>
      <c r="D8173" s="60"/>
      <c r="E8173" s="60"/>
      <c r="F8173" s="60"/>
      <c r="G8173" s="60"/>
      <c r="H8173" s="60"/>
      <c r="I8173" s="60"/>
      <c r="J8173" s="60"/>
      <c r="K8173" s="60"/>
      <c r="L8173" s="60"/>
      <c r="M8173" s="64"/>
      <c r="N8173" s="33"/>
    </row>
    <row r="8174" ht="24" customHeight="1" spans="2:14">
      <c r="B8174" s="33"/>
      <c r="C8174" s="60"/>
      <c r="D8174" s="60"/>
      <c r="E8174" s="60"/>
      <c r="F8174" s="60"/>
      <c r="G8174" s="60"/>
      <c r="H8174" s="60"/>
      <c r="I8174" s="60"/>
      <c r="J8174" s="60"/>
      <c r="K8174" s="60"/>
      <c r="L8174" s="60"/>
      <c r="M8174" s="64"/>
      <c r="N8174" s="33"/>
    </row>
    <row r="8175" ht="24" customHeight="1" spans="2:14">
      <c r="B8175" s="33"/>
      <c r="C8175" s="60"/>
      <c r="D8175" s="60"/>
      <c r="E8175" s="60"/>
      <c r="F8175" s="60"/>
      <c r="G8175" s="60"/>
      <c r="H8175" s="60"/>
      <c r="I8175" s="60"/>
      <c r="J8175" s="60"/>
      <c r="K8175" s="60"/>
      <c r="L8175" s="60"/>
      <c r="M8175" s="64"/>
      <c r="N8175" s="33"/>
    </row>
    <row r="8176" ht="24" customHeight="1" spans="2:14">
      <c r="B8176" s="33"/>
      <c r="C8176" s="60"/>
      <c r="D8176" s="60"/>
      <c r="E8176" s="60"/>
      <c r="F8176" s="60"/>
      <c r="G8176" s="60"/>
      <c r="H8176" s="60"/>
      <c r="I8176" s="60"/>
      <c r="J8176" s="60"/>
      <c r="K8176" s="60"/>
      <c r="L8176" s="60"/>
      <c r="M8176" s="64"/>
      <c r="N8176" s="33"/>
    </row>
    <row r="8177" ht="24" customHeight="1" spans="2:14">
      <c r="B8177" s="33"/>
      <c r="C8177" s="60"/>
      <c r="D8177" s="60"/>
      <c r="E8177" s="60"/>
      <c r="F8177" s="60"/>
      <c r="G8177" s="60"/>
      <c r="H8177" s="60"/>
      <c r="I8177" s="60"/>
      <c r="J8177" s="60"/>
      <c r="K8177" s="60"/>
      <c r="L8177" s="60"/>
      <c r="M8177" s="64"/>
      <c r="N8177" s="33"/>
    </row>
    <row r="8178" ht="24" customHeight="1" spans="2:14">
      <c r="B8178" s="33"/>
      <c r="C8178" s="60"/>
      <c r="D8178" s="60"/>
      <c r="E8178" s="60"/>
      <c r="F8178" s="60"/>
      <c r="G8178" s="60"/>
      <c r="H8178" s="60"/>
      <c r="I8178" s="60"/>
      <c r="J8178" s="60"/>
      <c r="K8178" s="60"/>
      <c r="L8178" s="60"/>
      <c r="M8178" s="64"/>
      <c r="N8178" s="33"/>
    </row>
    <row r="8179" ht="24" customHeight="1" spans="2:14">
      <c r="B8179" s="33"/>
      <c r="C8179" s="60"/>
      <c r="D8179" s="60"/>
      <c r="E8179" s="60"/>
      <c r="F8179" s="60"/>
      <c r="G8179" s="60"/>
      <c r="H8179" s="60"/>
      <c r="I8179" s="60"/>
      <c r="J8179" s="60"/>
      <c r="K8179" s="60"/>
      <c r="L8179" s="60"/>
      <c r="M8179" s="64"/>
      <c r="N8179" s="33"/>
    </row>
    <row r="8180" ht="24" customHeight="1" spans="2:14">
      <c r="B8180" s="33"/>
      <c r="C8180" s="60"/>
      <c r="D8180" s="60"/>
      <c r="E8180" s="60"/>
      <c r="F8180" s="60"/>
      <c r="G8180" s="60"/>
      <c r="H8180" s="60"/>
      <c r="I8180" s="60"/>
      <c r="J8180" s="60"/>
      <c r="K8180" s="60"/>
      <c r="L8180" s="60"/>
      <c r="M8180" s="64"/>
      <c r="N8180" s="33"/>
    </row>
    <row r="8181" ht="24" customHeight="1" spans="2:14">
      <c r="B8181" s="33"/>
      <c r="C8181" s="60"/>
      <c r="D8181" s="60"/>
      <c r="E8181" s="60"/>
      <c r="F8181" s="60"/>
      <c r="G8181" s="60"/>
      <c r="H8181" s="60"/>
      <c r="I8181" s="60"/>
      <c r="J8181" s="60"/>
      <c r="K8181" s="60"/>
      <c r="L8181" s="60"/>
      <c r="M8181" s="64"/>
      <c r="N8181" s="33"/>
    </row>
    <row r="8182" ht="24" customHeight="1" spans="2:14">
      <c r="B8182" s="33"/>
      <c r="C8182" s="60"/>
      <c r="D8182" s="60"/>
      <c r="E8182" s="60"/>
      <c r="F8182" s="60"/>
      <c r="G8182" s="60"/>
      <c r="H8182" s="60"/>
      <c r="I8182" s="60"/>
      <c r="J8182" s="60"/>
      <c r="K8182" s="60"/>
      <c r="L8182" s="60"/>
      <c r="M8182" s="64"/>
      <c r="N8182" s="33"/>
    </row>
    <row r="8183" ht="24" customHeight="1" spans="2:14">
      <c r="B8183" s="33"/>
      <c r="C8183" s="60"/>
      <c r="D8183" s="60"/>
      <c r="E8183" s="60"/>
      <c r="F8183" s="60"/>
      <c r="G8183" s="60"/>
      <c r="H8183" s="60"/>
      <c r="I8183" s="60"/>
      <c r="J8183" s="60"/>
      <c r="K8183" s="60"/>
      <c r="L8183" s="60"/>
      <c r="M8183" s="64"/>
      <c r="N8183" s="33"/>
    </row>
    <row r="8184" ht="24" customHeight="1" spans="2:14">
      <c r="B8184" s="33"/>
      <c r="C8184" s="60"/>
      <c r="D8184" s="60"/>
      <c r="E8184" s="60"/>
      <c r="F8184" s="60"/>
      <c r="G8184" s="60"/>
      <c r="H8184" s="60"/>
      <c r="I8184" s="60"/>
      <c r="J8184" s="60"/>
      <c r="K8184" s="60"/>
      <c r="L8184" s="60"/>
      <c r="M8184" s="64"/>
      <c r="N8184" s="33"/>
    </row>
    <row r="8185" ht="24" customHeight="1" spans="2:14">
      <c r="B8185" s="33"/>
      <c r="C8185" s="60"/>
      <c r="D8185" s="60"/>
      <c r="E8185" s="60"/>
      <c r="F8185" s="60"/>
      <c r="G8185" s="60"/>
      <c r="H8185" s="60"/>
      <c r="I8185" s="60"/>
      <c r="J8185" s="60"/>
      <c r="K8185" s="60"/>
      <c r="L8185" s="60"/>
      <c r="M8185" s="64"/>
      <c r="N8185" s="33"/>
    </row>
    <row r="8186" ht="24" customHeight="1" spans="2:14">
      <c r="B8186" s="33"/>
      <c r="C8186" s="60"/>
      <c r="D8186" s="60"/>
      <c r="E8186" s="60"/>
      <c r="F8186" s="60"/>
      <c r="G8186" s="60"/>
      <c r="H8186" s="60"/>
      <c r="I8186" s="60"/>
      <c r="J8186" s="60"/>
      <c r="K8186" s="60"/>
      <c r="L8186" s="60"/>
      <c r="M8186" s="64"/>
      <c r="N8186" s="33"/>
    </row>
    <row r="8187" ht="24" customHeight="1" spans="2:14">
      <c r="B8187" s="33"/>
      <c r="C8187" s="60"/>
      <c r="D8187" s="60"/>
      <c r="E8187" s="60"/>
      <c r="F8187" s="60"/>
      <c r="G8187" s="60"/>
      <c r="H8187" s="60"/>
      <c r="I8187" s="60"/>
      <c r="J8187" s="60"/>
      <c r="K8187" s="60"/>
      <c r="L8187" s="60"/>
      <c r="M8187" s="64"/>
      <c r="N8187" s="33"/>
    </row>
    <row r="8188" ht="24" customHeight="1" spans="2:14">
      <c r="B8188" s="33"/>
      <c r="C8188" s="60"/>
      <c r="D8188" s="60"/>
      <c r="E8188" s="60"/>
      <c r="F8188" s="60"/>
      <c r="G8188" s="60"/>
      <c r="H8188" s="60"/>
      <c r="I8188" s="60"/>
      <c r="J8188" s="60"/>
      <c r="K8188" s="60"/>
      <c r="L8188" s="60"/>
      <c r="M8188" s="64"/>
      <c r="N8188" s="33"/>
    </row>
    <row r="8189" ht="24" customHeight="1" spans="2:14">
      <c r="B8189" s="33"/>
      <c r="C8189" s="60"/>
      <c r="D8189" s="60"/>
      <c r="E8189" s="60"/>
      <c r="F8189" s="60"/>
      <c r="G8189" s="60"/>
      <c r="H8189" s="60"/>
      <c r="I8189" s="60"/>
      <c r="J8189" s="60"/>
      <c r="K8189" s="60"/>
      <c r="L8189" s="60"/>
      <c r="M8189" s="64"/>
      <c r="N8189" s="33"/>
    </row>
    <row r="8190" ht="24" customHeight="1" spans="2:14">
      <c r="B8190" s="33"/>
      <c r="C8190" s="60"/>
      <c r="D8190" s="60"/>
      <c r="E8190" s="60"/>
      <c r="F8190" s="60"/>
      <c r="G8190" s="60"/>
      <c r="H8190" s="60"/>
      <c r="I8190" s="60"/>
      <c r="J8190" s="60"/>
      <c r="K8190" s="60"/>
      <c r="L8190" s="60"/>
      <c r="M8190" s="64"/>
      <c r="N8190" s="33"/>
    </row>
    <row r="8191" ht="24" customHeight="1" spans="2:14">
      <c r="B8191" s="33"/>
      <c r="C8191" s="60"/>
      <c r="D8191" s="60"/>
      <c r="E8191" s="60"/>
      <c r="F8191" s="60"/>
      <c r="G8191" s="60"/>
      <c r="H8191" s="60"/>
      <c r="I8191" s="60"/>
      <c r="J8191" s="60"/>
      <c r="K8191" s="60"/>
      <c r="L8191" s="60"/>
      <c r="M8191" s="64"/>
      <c r="N8191" s="33"/>
    </row>
    <row r="8192" ht="24" customHeight="1" spans="2:14">
      <c r="B8192" s="33"/>
      <c r="C8192" s="60"/>
      <c r="D8192" s="60"/>
      <c r="E8192" s="60"/>
      <c r="F8192" s="60"/>
      <c r="G8192" s="60"/>
      <c r="H8192" s="60"/>
      <c r="I8192" s="60"/>
      <c r="J8192" s="60"/>
      <c r="K8192" s="60"/>
      <c r="L8192" s="60"/>
      <c r="M8192" s="64"/>
      <c r="N8192" s="33"/>
    </row>
    <row r="8193" ht="24" customHeight="1" spans="2:14">
      <c r="B8193" s="33"/>
      <c r="C8193" s="60"/>
      <c r="D8193" s="60"/>
      <c r="E8193" s="60"/>
      <c r="F8193" s="60"/>
      <c r="G8193" s="60"/>
      <c r="H8193" s="60"/>
      <c r="I8193" s="60"/>
      <c r="J8193" s="60"/>
      <c r="K8193" s="60"/>
      <c r="L8193" s="60"/>
      <c r="M8193" s="64"/>
      <c r="N8193" s="33"/>
    </row>
    <row r="8194" ht="24" customHeight="1" spans="2:14">
      <c r="B8194" s="33"/>
      <c r="C8194" s="60"/>
      <c r="D8194" s="60"/>
      <c r="E8194" s="60"/>
      <c r="F8194" s="60"/>
      <c r="G8194" s="60"/>
      <c r="H8194" s="60"/>
      <c r="I8194" s="60"/>
      <c r="J8194" s="60"/>
      <c r="K8194" s="60"/>
      <c r="L8194" s="60"/>
      <c r="M8194" s="64"/>
      <c r="N8194" s="33"/>
    </row>
    <row r="8195" ht="24" customHeight="1" spans="2:14">
      <c r="B8195" s="33"/>
      <c r="C8195" s="60"/>
      <c r="D8195" s="60"/>
      <c r="E8195" s="60"/>
      <c r="F8195" s="60"/>
      <c r="G8195" s="60"/>
      <c r="H8195" s="60"/>
      <c r="I8195" s="60"/>
      <c r="J8195" s="60"/>
      <c r="K8195" s="60"/>
      <c r="L8195" s="60"/>
      <c r="M8195" s="64"/>
      <c r="N8195" s="33"/>
    </row>
    <row r="8196" ht="24" customHeight="1" spans="2:14">
      <c r="B8196" s="33"/>
      <c r="C8196" s="60"/>
      <c r="D8196" s="60"/>
      <c r="E8196" s="60"/>
      <c r="F8196" s="60"/>
      <c r="G8196" s="60"/>
      <c r="H8196" s="60"/>
      <c r="I8196" s="60"/>
      <c r="J8196" s="60"/>
      <c r="K8196" s="60"/>
      <c r="L8196" s="60"/>
      <c r="M8196" s="64"/>
      <c r="N8196" s="33"/>
    </row>
    <row r="8197" ht="24" customHeight="1" spans="2:14">
      <c r="B8197" s="33"/>
      <c r="C8197" s="60"/>
      <c r="D8197" s="60"/>
      <c r="E8197" s="60"/>
      <c r="F8197" s="60"/>
      <c r="G8197" s="60"/>
      <c r="H8197" s="60"/>
      <c r="I8197" s="60"/>
      <c r="J8197" s="60"/>
      <c r="K8197" s="60"/>
      <c r="L8197" s="60"/>
      <c r="M8197" s="64"/>
      <c r="N8197" s="33"/>
    </row>
    <row r="8198" ht="24" customHeight="1" spans="2:14">
      <c r="B8198" s="33"/>
      <c r="C8198" s="60"/>
      <c r="D8198" s="60"/>
      <c r="E8198" s="60"/>
      <c r="F8198" s="60"/>
      <c r="G8198" s="60"/>
      <c r="H8198" s="60"/>
      <c r="I8198" s="60"/>
      <c r="J8198" s="60"/>
      <c r="K8198" s="60"/>
      <c r="L8198" s="60"/>
      <c r="M8198" s="64"/>
      <c r="N8198" s="33"/>
    </row>
    <row r="8199" ht="24" customHeight="1" spans="2:14">
      <c r="B8199" s="33"/>
      <c r="C8199" s="60"/>
      <c r="D8199" s="60"/>
      <c r="E8199" s="60"/>
      <c r="F8199" s="60"/>
      <c r="G8199" s="60"/>
      <c r="H8199" s="60"/>
      <c r="I8199" s="60"/>
      <c r="J8199" s="60"/>
      <c r="K8199" s="60"/>
      <c r="L8199" s="60"/>
      <c r="M8199" s="64"/>
      <c r="N8199" s="33"/>
    </row>
    <row r="8200" ht="24" customHeight="1" spans="2:14">
      <c r="B8200" s="33"/>
      <c r="C8200" s="60"/>
      <c r="D8200" s="60"/>
      <c r="E8200" s="60"/>
      <c r="F8200" s="60"/>
      <c r="G8200" s="60"/>
      <c r="H8200" s="60"/>
      <c r="I8200" s="60"/>
      <c r="J8200" s="60"/>
      <c r="K8200" s="60"/>
      <c r="L8200" s="60"/>
      <c r="M8200" s="64"/>
      <c r="N8200" s="33"/>
    </row>
    <row r="8201" ht="24" customHeight="1" spans="2:14">
      <c r="B8201" s="33"/>
      <c r="C8201" s="60"/>
      <c r="D8201" s="60"/>
      <c r="E8201" s="60"/>
      <c r="F8201" s="60"/>
      <c r="G8201" s="60"/>
      <c r="H8201" s="60"/>
      <c r="I8201" s="60"/>
      <c r="J8201" s="60"/>
      <c r="K8201" s="60"/>
      <c r="L8201" s="60"/>
      <c r="M8201" s="64"/>
      <c r="N8201" s="33"/>
    </row>
    <row r="8202" ht="24" customHeight="1" spans="2:14">
      <c r="B8202" s="33"/>
      <c r="C8202" s="60"/>
      <c r="D8202" s="60"/>
      <c r="E8202" s="60"/>
      <c r="F8202" s="60"/>
      <c r="G8202" s="60"/>
      <c r="H8202" s="60"/>
      <c r="I8202" s="60"/>
      <c r="J8202" s="60"/>
      <c r="K8202" s="60"/>
      <c r="L8202" s="60"/>
      <c r="M8202" s="64"/>
      <c r="N8202" s="33"/>
    </row>
    <row r="8203" ht="24" customHeight="1" spans="2:14">
      <c r="B8203" s="33"/>
      <c r="C8203" s="60"/>
      <c r="D8203" s="60"/>
      <c r="E8203" s="60"/>
      <c r="F8203" s="60"/>
      <c r="G8203" s="60"/>
      <c r="H8203" s="60"/>
      <c r="I8203" s="60"/>
      <c r="J8203" s="60"/>
      <c r="K8203" s="60"/>
      <c r="L8203" s="60"/>
      <c r="M8203" s="64"/>
      <c r="N8203" s="33"/>
    </row>
    <row r="8204" ht="24" customHeight="1" spans="2:14">
      <c r="B8204" s="33"/>
      <c r="C8204" s="60"/>
      <c r="D8204" s="60"/>
      <c r="E8204" s="60"/>
      <c r="F8204" s="60"/>
      <c r="G8204" s="60"/>
      <c r="H8204" s="60"/>
      <c r="I8204" s="60"/>
      <c r="J8204" s="60"/>
      <c r="K8204" s="60"/>
      <c r="L8204" s="60"/>
      <c r="M8204" s="64"/>
      <c r="N8204" s="33"/>
    </row>
    <row r="8205" ht="24" customHeight="1" spans="2:14">
      <c r="B8205" s="33"/>
      <c r="C8205" s="60"/>
      <c r="D8205" s="60"/>
      <c r="E8205" s="60"/>
      <c r="F8205" s="60"/>
      <c r="G8205" s="60"/>
      <c r="H8205" s="60"/>
      <c r="I8205" s="60"/>
      <c r="J8205" s="60"/>
      <c r="K8205" s="60"/>
      <c r="L8205" s="60"/>
      <c r="M8205" s="64"/>
      <c r="N8205" s="33"/>
    </row>
    <row r="8206" ht="24" customHeight="1" spans="2:14">
      <c r="B8206" s="33"/>
      <c r="C8206" s="60"/>
      <c r="D8206" s="60"/>
      <c r="E8206" s="60"/>
      <c r="F8206" s="60"/>
      <c r="G8206" s="60"/>
      <c r="H8206" s="60"/>
      <c r="I8206" s="60"/>
      <c r="J8206" s="60"/>
      <c r="K8206" s="60"/>
      <c r="L8206" s="60"/>
      <c r="M8206" s="64"/>
      <c r="N8206" s="33"/>
    </row>
    <row r="8207" ht="24" customHeight="1" spans="2:14">
      <c r="B8207" s="33"/>
      <c r="C8207" s="60"/>
      <c r="D8207" s="60"/>
      <c r="E8207" s="60"/>
      <c r="F8207" s="60"/>
      <c r="G8207" s="60"/>
      <c r="H8207" s="60"/>
      <c r="I8207" s="60"/>
      <c r="J8207" s="60"/>
      <c r="K8207" s="60"/>
      <c r="L8207" s="60"/>
      <c r="M8207" s="64"/>
      <c r="N8207" s="33"/>
    </row>
    <row r="8208" ht="24" customHeight="1" spans="2:14">
      <c r="B8208" s="33"/>
      <c r="C8208" s="60"/>
      <c r="D8208" s="60"/>
      <c r="E8208" s="60"/>
      <c r="F8208" s="60"/>
      <c r="G8208" s="60"/>
      <c r="H8208" s="60"/>
      <c r="I8208" s="60"/>
      <c r="J8208" s="60"/>
      <c r="K8208" s="60"/>
      <c r="L8208" s="60"/>
      <c r="M8208" s="64"/>
      <c r="N8208" s="33"/>
    </row>
    <row r="8209" ht="24" customHeight="1" spans="2:14">
      <c r="B8209" s="33"/>
      <c r="C8209" s="60"/>
      <c r="D8209" s="60"/>
      <c r="E8209" s="60"/>
      <c r="F8209" s="60"/>
      <c r="G8209" s="60"/>
      <c r="H8209" s="60"/>
      <c r="I8209" s="60"/>
      <c r="J8209" s="60"/>
      <c r="K8209" s="60"/>
      <c r="L8209" s="60"/>
      <c r="M8209" s="64"/>
      <c r="N8209" s="33"/>
    </row>
    <row r="8210" ht="24" customHeight="1" spans="2:14">
      <c r="B8210" s="33"/>
      <c r="C8210" s="60"/>
      <c r="D8210" s="60"/>
      <c r="E8210" s="60"/>
      <c r="F8210" s="60"/>
      <c r="G8210" s="60"/>
      <c r="H8210" s="60"/>
      <c r="I8210" s="60"/>
      <c r="J8210" s="60"/>
      <c r="K8210" s="60"/>
      <c r="L8210" s="60"/>
      <c r="M8210" s="64"/>
      <c r="N8210" s="33"/>
    </row>
    <row r="8211" ht="24" customHeight="1" spans="2:14">
      <c r="B8211" s="33"/>
      <c r="C8211" s="60"/>
      <c r="D8211" s="60"/>
      <c r="E8211" s="60"/>
      <c r="F8211" s="60"/>
      <c r="G8211" s="60"/>
      <c r="H8211" s="60"/>
      <c r="I8211" s="60"/>
      <c r="J8211" s="60"/>
      <c r="K8211" s="60"/>
      <c r="L8211" s="60"/>
      <c r="M8211" s="64"/>
      <c r="N8211" s="33"/>
    </row>
    <row r="8212" ht="24" customHeight="1" spans="2:14">
      <c r="B8212" s="33"/>
      <c r="C8212" s="60"/>
      <c r="D8212" s="60"/>
      <c r="E8212" s="60"/>
      <c r="F8212" s="60"/>
      <c r="G8212" s="60"/>
      <c r="H8212" s="60"/>
      <c r="I8212" s="60"/>
      <c r="J8212" s="60"/>
      <c r="K8212" s="60"/>
      <c r="L8212" s="60"/>
      <c r="M8212" s="64"/>
      <c r="N8212" s="33"/>
    </row>
    <row r="8213" ht="24" customHeight="1" spans="2:14">
      <c r="B8213" s="33"/>
      <c r="C8213" s="60"/>
      <c r="D8213" s="60"/>
      <c r="E8213" s="60"/>
      <c r="F8213" s="60"/>
      <c r="G8213" s="60"/>
      <c r="H8213" s="60"/>
      <c r="I8213" s="60"/>
      <c r="J8213" s="60"/>
      <c r="K8213" s="60"/>
      <c r="L8213" s="60"/>
      <c r="M8213" s="64"/>
      <c r="N8213" s="33"/>
    </row>
    <row r="8214" ht="24" customHeight="1" spans="2:14">
      <c r="B8214" s="33"/>
      <c r="C8214" s="60"/>
      <c r="D8214" s="60"/>
      <c r="E8214" s="60"/>
      <c r="F8214" s="60"/>
      <c r="G8214" s="60"/>
      <c r="H8214" s="60"/>
      <c r="I8214" s="60"/>
      <c r="J8214" s="60"/>
      <c r="K8214" s="60"/>
      <c r="L8214" s="60"/>
      <c r="M8214" s="64"/>
      <c r="N8214" s="33"/>
    </row>
    <row r="8215" ht="24" customHeight="1" spans="2:14">
      <c r="B8215" s="33"/>
      <c r="C8215" s="60"/>
      <c r="D8215" s="60"/>
      <c r="E8215" s="60"/>
      <c r="F8215" s="60"/>
      <c r="G8215" s="60"/>
      <c r="H8215" s="60"/>
      <c r="I8215" s="60"/>
      <c r="J8215" s="60"/>
      <c r="K8215" s="60"/>
      <c r="L8215" s="60"/>
      <c r="M8215" s="64"/>
      <c r="N8215" s="33"/>
    </row>
    <row r="8216" ht="24" customHeight="1" spans="2:14">
      <c r="B8216" s="33"/>
      <c r="C8216" s="60"/>
      <c r="D8216" s="60"/>
      <c r="E8216" s="60"/>
      <c r="F8216" s="60"/>
      <c r="G8216" s="60"/>
      <c r="H8216" s="60"/>
      <c r="I8216" s="60"/>
      <c r="J8216" s="60"/>
      <c r="K8216" s="60"/>
      <c r="L8216" s="60"/>
      <c r="M8216" s="64"/>
      <c r="N8216" s="33"/>
    </row>
    <row r="8217" ht="24" customHeight="1" spans="2:14">
      <c r="B8217" s="33"/>
      <c r="C8217" s="60"/>
      <c r="D8217" s="60"/>
      <c r="E8217" s="60"/>
      <c r="F8217" s="60"/>
      <c r="G8217" s="60"/>
      <c r="H8217" s="60"/>
      <c r="I8217" s="60"/>
      <c r="J8217" s="60"/>
      <c r="K8217" s="60"/>
      <c r="L8217" s="60"/>
      <c r="M8217" s="64"/>
      <c r="N8217" s="33"/>
    </row>
    <row r="8218" ht="24" customHeight="1" spans="2:14">
      <c r="B8218" s="33"/>
      <c r="C8218" s="60"/>
      <c r="D8218" s="60"/>
      <c r="E8218" s="60"/>
      <c r="F8218" s="60"/>
      <c r="G8218" s="60"/>
      <c r="H8218" s="60"/>
      <c r="I8218" s="60"/>
      <c r="J8218" s="60"/>
      <c r="K8218" s="60"/>
      <c r="L8218" s="60"/>
      <c r="M8218" s="64"/>
      <c r="N8218" s="33"/>
    </row>
    <row r="8219" ht="24" customHeight="1" spans="2:14">
      <c r="B8219" s="33"/>
      <c r="C8219" s="60"/>
      <c r="D8219" s="60"/>
      <c r="E8219" s="60"/>
      <c r="F8219" s="60"/>
      <c r="G8219" s="60"/>
      <c r="H8219" s="60"/>
      <c r="I8219" s="60"/>
      <c r="J8219" s="60"/>
      <c r="K8219" s="60"/>
      <c r="L8219" s="60"/>
      <c r="M8219" s="64"/>
      <c r="N8219" s="33"/>
    </row>
    <row r="8220" ht="24" customHeight="1" spans="2:14">
      <c r="B8220" s="33"/>
      <c r="C8220" s="60"/>
      <c r="D8220" s="60"/>
      <c r="E8220" s="60"/>
      <c r="F8220" s="60"/>
      <c r="G8220" s="60"/>
      <c r="H8220" s="60"/>
      <c r="I8220" s="60"/>
      <c r="J8220" s="60"/>
      <c r="K8220" s="60"/>
      <c r="L8220" s="60"/>
      <c r="M8220" s="64"/>
      <c r="N8220" s="33"/>
    </row>
    <row r="8221" ht="24" customHeight="1" spans="2:14">
      <c r="B8221" s="33"/>
      <c r="C8221" s="60"/>
      <c r="D8221" s="60"/>
      <c r="E8221" s="60"/>
      <c r="F8221" s="60"/>
      <c r="G8221" s="60"/>
      <c r="H8221" s="60"/>
      <c r="I8221" s="60"/>
      <c r="J8221" s="60"/>
      <c r="K8221" s="60"/>
      <c r="L8221" s="60"/>
      <c r="M8221" s="64"/>
      <c r="N8221" s="33"/>
    </row>
    <row r="8222" ht="24" customHeight="1" spans="2:14">
      <c r="B8222" s="33"/>
      <c r="C8222" s="60"/>
      <c r="D8222" s="60"/>
      <c r="E8222" s="60"/>
      <c r="F8222" s="60"/>
      <c r="G8222" s="60"/>
      <c r="H8222" s="60"/>
      <c r="I8222" s="60"/>
      <c r="J8222" s="60"/>
      <c r="K8222" s="60"/>
      <c r="L8222" s="60"/>
      <c r="M8222" s="64"/>
      <c r="N8222" s="33"/>
    </row>
    <row r="8223" ht="24" customHeight="1" spans="2:14">
      <c r="B8223" s="33"/>
      <c r="C8223" s="60"/>
      <c r="D8223" s="60"/>
      <c r="E8223" s="60"/>
      <c r="F8223" s="60"/>
      <c r="G8223" s="60"/>
      <c r="H8223" s="60"/>
      <c r="I8223" s="60"/>
      <c r="J8223" s="60"/>
      <c r="K8223" s="60"/>
      <c r="L8223" s="60"/>
      <c r="M8223" s="64"/>
      <c r="N8223" s="33"/>
    </row>
    <row r="8224" ht="24" customHeight="1" spans="2:14">
      <c r="B8224" s="33"/>
      <c r="C8224" s="60"/>
      <c r="D8224" s="60"/>
      <c r="E8224" s="60"/>
      <c r="F8224" s="60"/>
      <c r="G8224" s="60"/>
      <c r="H8224" s="60"/>
      <c r="I8224" s="60"/>
      <c r="J8224" s="60"/>
      <c r="K8224" s="60"/>
      <c r="L8224" s="60"/>
      <c r="M8224" s="64"/>
      <c r="N8224" s="33"/>
    </row>
    <row r="8225" ht="24" customHeight="1" spans="2:14">
      <c r="B8225" s="33"/>
      <c r="C8225" s="60"/>
      <c r="D8225" s="60"/>
      <c r="E8225" s="60"/>
      <c r="F8225" s="60"/>
      <c r="G8225" s="60"/>
      <c r="H8225" s="60"/>
      <c r="I8225" s="60"/>
      <c r="J8225" s="60"/>
      <c r="K8225" s="60"/>
      <c r="L8225" s="60"/>
      <c r="M8225" s="64"/>
      <c r="N8225" s="33"/>
    </row>
    <row r="8226" ht="24" customHeight="1" spans="2:14">
      <c r="B8226" s="33"/>
      <c r="C8226" s="60"/>
      <c r="D8226" s="60"/>
      <c r="E8226" s="60"/>
      <c r="F8226" s="60"/>
      <c r="G8226" s="60"/>
      <c r="H8226" s="60"/>
      <c r="I8226" s="60"/>
      <c r="J8226" s="60"/>
      <c r="K8226" s="60"/>
      <c r="L8226" s="60"/>
      <c r="M8226" s="64"/>
      <c r="N8226" s="33"/>
    </row>
    <row r="8227" ht="24" customHeight="1" spans="2:14">
      <c r="B8227" s="33"/>
      <c r="C8227" s="60"/>
      <c r="D8227" s="60"/>
      <c r="E8227" s="60"/>
      <c r="F8227" s="60"/>
      <c r="G8227" s="60"/>
      <c r="H8227" s="60"/>
      <c r="I8227" s="60"/>
      <c r="J8227" s="60"/>
      <c r="K8227" s="60"/>
      <c r="L8227" s="60"/>
      <c r="M8227" s="64"/>
      <c r="N8227" s="33"/>
    </row>
    <row r="8228" ht="24" customHeight="1" spans="2:14">
      <c r="B8228" s="33"/>
      <c r="C8228" s="60"/>
      <c r="D8228" s="60"/>
      <c r="E8228" s="60"/>
      <c r="F8228" s="60"/>
      <c r="G8228" s="60"/>
      <c r="H8228" s="60"/>
      <c r="I8228" s="60"/>
      <c r="J8228" s="60"/>
      <c r="K8228" s="60"/>
      <c r="L8228" s="60"/>
      <c r="M8228" s="64"/>
      <c r="N8228" s="33"/>
    </row>
    <row r="8229" ht="24" customHeight="1" spans="2:14">
      <c r="B8229" s="33"/>
      <c r="C8229" s="60"/>
      <c r="D8229" s="60"/>
      <c r="E8229" s="60"/>
      <c r="F8229" s="60"/>
      <c r="G8229" s="60"/>
      <c r="H8229" s="60"/>
      <c r="I8229" s="60"/>
      <c r="J8229" s="60"/>
      <c r="K8229" s="60"/>
      <c r="L8229" s="60"/>
      <c r="M8229" s="64"/>
      <c r="N8229" s="33"/>
    </row>
    <row r="8230" ht="24" customHeight="1" spans="2:14">
      <c r="B8230" s="33"/>
      <c r="C8230" s="60"/>
      <c r="D8230" s="60"/>
      <c r="E8230" s="60"/>
      <c r="F8230" s="60"/>
      <c r="G8230" s="60"/>
      <c r="H8230" s="60"/>
      <c r="I8230" s="60"/>
      <c r="J8230" s="60"/>
      <c r="K8230" s="60"/>
      <c r="L8230" s="60"/>
      <c r="M8230" s="64"/>
      <c r="N8230" s="33"/>
    </row>
    <row r="8231" ht="24" customHeight="1" spans="2:14">
      <c r="B8231" s="33"/>
      <c r="C8231" s="60"/>
      <c r="D8231" s="60"/>
      <c r="E8231" s="60"/>
      <c r="F8231" s="60"/>
      <c r="G8231" s="60"/>
      <c r="H8231" s="60"/>
      <c r="I8231" s="60"/>
      <c r="J8231" s="60"/>
      <c r="K8231" s="60"/>
      <c r="L8231" s="60"/>
      <c r="M8231" s="64"/>
      <c r="N8231" s="33"/>
    </row>
    <row r="8232" ht="24" customHeight="1" spans="2:14">
      <c r="B8232" s="33"/>
      <c r="C8232" s="60"/>
      <c r="D8232" s="60"/>
      <c r="E8232" s="60"/>
      <c r="F8232" s="60"/>
      <c r="G8232" s="60"/>
      <c r="H8232" s="60"/>
      <c r="I8232" s="60"/>
      <c r="J8232" s="60"/>
      <c r="K8232" s="60"/>
      <c r="L8232" s="60"/>
      <c r="M8232" s="64"/>
      <c r="N8232" s="33"/>
    </row>
    <row r="8233" ht="24" customHeight="1" spans="2:14">
      <c r="B8233" s="33"/>
      <c r="C8233" s="60"/>
      <c r="D8233" s="60"/>
      <c r="E8233" s="60"/>
      <c r="F8233" s="60"/>
      <c r="G8233" s="60"/>
      <c r="H8233" s="60"/>
      <c r="I8233" s="60"/>
      <c r="J8233" s="60"/>
      <c r="K8233" s="60"/>
      <c r="L8233" s="60"/>
      <c r="M8233" s="64"/>
      <c r="N8233" s="33"/>
    </row>
    <row r="8234" ht="24" customHeight="1" spans="2:14">
      <c r="B8234" s="33"/>
      <c r="C8234" s="60"/>
      <c r="D8234" s="60"/>
      <c r="E8234" s="60"/>
      <c r="F8234" s="60"/>
      <c r="G8234" s="60"/>
      <c r="H8234" s="60"/>
      <c r="I8234" s="60"/>
      <c r="J8234" s="60"/>
      <c r="K8234" s="60"/>
      <c r="L8234" s="60"/>
      <c r="M8234" s="64"/>
      <c r="N8234" s="33"/>
    </row>
    <row r="8235" ht="24" customHeight="1" spans="2:14">
      <c r="B8235" s="33"/>
      <c r="C8235" s="60"/>
      <c r="D8235" s="60"/>
      <c r="E8235" s="60"/>
      <c r="F8235" s="60"/>
      <c r="G8235" s="60"/>
      <c r="H8235" s="60"/>
      <c r="I8235" s="60"/>
      <c r="J8235" s="60"/>
      <c r="K8235" s="60"/>
      <c r="L8235" s="60"/>
      <c r="M8235" s="64"/>
      <c r="N8235" s="33"/>
    </row>
    <row r="8236" ht="24" customHeight="1" spans="2:14">
      <c r="B8236" s="33"/>
      <c r="C8236" s="60"/>
      <c r="D8236" s="60"/>
      <c r="E8236" s="60"/>
      <c r="F8236" s="60"/>
      <c r="G8236" s="60"/>
      <c r="H8236" s="60"/>
      <c r="I8236" s="60"/>
      <c r="J8236" s="60"/>
      <c r="K8236" s="60"/>
      <c r="L8236" s="60"/>
      <c r="M8236" s="64"/>
      <c r="N8236" s="33"/>
    </row>
    <row r="8237" ht="24" customHeight="1" spans="2:14">
      <c r="B8237" s="33"/>
      <c r="C8237" s="60"/>
      <c r="D8237" s="60"/>
      <c r="E8237" s="60"/>
      <c r="F8237" s="60"/>
      <c r="G8237" s="60"/>
      <c r="H8237" s="60"/>
      <c r="I8237" s="60"/>
      <c r="J8237" s="60"/>
      <c r="K8237" s="60"/>
      <c r="L8237" s="60"/>
      <c r="M8237" s="64"/>
      <c r="N8237" s="33"/>
    </row>
    <row r="8238" ht="24" customHeight="1" spans="2:14">
      <c r="B8238" s="33"/>
      <c r="C8238" s="60"/>
      <c r="D8238" s="60"/>
      <c r="E8238" s="60"/>
      <c r="F8238" s="60"/>
      <c r="G8238" s="60"/>
      <c r="H8238" s="60"/>
      <c r="I8238" s="60"/>
      <c r="J8238" s="60"/>
      <c r="K8238" s="60"/>
      <c r="L8238" s="60"/>
      <c r="M8238" s="64"/>
      <c r="N8238" s="33"/>
    </row>
    <row r="8239" ht="24" customHeight="1" spans="2:14">
      <c r="B8239" s="33"/>
      <c r="C8239" s="60"/>
      <c r="D8239" s="60"/>
      <c r="E8239" s="60"/>
      <c r="F8239" s="60"/>
      <c r="G8239" s="60"/>
      <c r="H8239" s="60"/>
      <c r="I8239" s="60"/>
      <c r="J8239" s="60"/>
      <c r="K8239" s="60"/>
      <c r="L8239" s="60"/>
      <c r="M8239" s="64"/>
      <c r="N8239" s="33"/>
    </row>
    <row r="8240" ht="24" customHeight="1" spans="2:14">
      <c r="B8240" s="33"/>
      <c r="C8240" s="60"/>
      <c r="D8240" s="60"/>
      <c r="E8240" s="60"/>
      <c r="F8240" s="60"/>
      <c r="G8240" s="60"/>
      <c r="H8240" s="60"/>
      <c r="I8240" s="60"/>
      <c r="J8240" s="60"/>
      <c r="K8240" s="60"/>
      <c r="L8240" s="60"/>
      <c r="M8240" s="64"/>
      <c r="N8240" s="33"/>
    </row>
    <row r="8241" ht="24" customHeight="1" spans="2:14">
      <c r="B8241" s="33"/>
      <c r="C8241" s="60"/>
      <c r="D8241" s="60"/>
      <c r="E8241" s="60"/>
      <c r="F8241" s="60"/>
      <c r="G8241" s="60"/>
      <c r="H8241" s="60"/>
      <c r="I8241" s="60"/>
      <c r="J8241" s="60"/>
      <c r="K8241" s="60"/>
      <c r="L8241" s="60"/>
      <c r="M8241" s="64"/>
      <c r="N8241" s="33"/>
    </row>
    <row r="8242" ht="24" customHeight="1" spans="2:14">
      <c r="B8242" s="33"/>
      <c r="C8242" s="60"/>
      <c r="D8242" s="60"/>
      <c r="E8242" s="60"/>
      <c r="F8242" s="60"/>
      <c r="G8242" s="60"/>
      <c r="H8242" s="60"/>
      <c r="I8242" s="60"/>
      <c r="J8242" s="60"/>
      <c r="K8242" s="60"/>
      <c r="L8242" s="60"/>
      <c r="M8242" s="64"/>
      <c r="N8242" s="33"/>
    </row>
    <row r="8243" ht="24" customHeight="1" spans="2:14">
      <c r="B8243" s="33"/>
      <c r="C8243" s="60"/>
      <c r="D8243" s="60"/>
      <c r="E8243" s="60"/>
      <c r="F8243" s="60"/>
      <c r="G8243" s="60"/>
      <c r="H8243" s="60"/>
      <c r="I8243" s="60"/>
      <c r="J8243" s="60"/>
      <c r="K8243" s="60"/>
      <c r="L8243" s="60"/>
      <c r="M8243" s="64"/>
      <c r="N8243" s="33"/>
    </row>
    <row r="8244" ht="24" customHeight="1" spans="2:14">
      <c r="B8244" s="33"/>
      <c r="C8244" s="60"/>
      <c r="D8244" s="60"/>
      <c r="E8244" s="60"/>
      <c r="F8244" s="60"/>
      <c r="G8244" s="60"/>
      <c r="H8244" s="60"/>
      <c r="I8244" s="60"/>
      <c r="J8244" s="60"/>
      <c r="K8244" s="60"/>
      <c r="L8244" s="60"/>
      <c r="M8244" s="64"/>
      <c r="N8244" s="33"/>
    </row>
    <row r="8245" ht="24" customHeight="1" spans="2:14">
      <c r="B8245" s="33"/>
      <c r="C8245" s="60"/>
      <c r="D8245" s="60"/>
      <c r="E8245" s="60"/>
      <c r="F8245" s="60"/>
      <c r="G8245" s="60"/>
      <c r="H8245" s="60"/>
      <c r="I8245" s="60"/>
      <c r="J8245" s="60"/>
      <c r="K8245" s="60"/>
      <c r="L8245" s="60"/>
      <c r="M8245" s="64"/>
      <c r="N8245" s="33"/>
    </row>
    <row r="8246" ht="24" customHeight="1" spans="2:14">
      <c r="B8246" s="33"/>
      <c r="C8246" s="60"/>
      <c r="D8246" s="60"/>
      <c r="E8246" s="60"/>
      <c r="F8246" s="60"/>
      <c r="G8246" s="60"/>
      <c r="H8246" s="60"/>
      <c r="I8246" s="60"/>
      <c r="J8246" s="60"/>
      <c r="K8246" s="60"/>
      <c r="L8246" s="60"/>
      <c r="M8246" s="64"/>
      <c r="N8246" s="33"/>
    </row>
    <row r="8247" ht="24" customHeight="1" spans="2:14">
      <c r="B8247" s="33"/>
      <c r="C8247" s="60"/>
      <c r="D8247" s="60"/>
      <c r="E8247" s="60"/>
      <c r="F8247" s="60"/>
      <c r="G8247" s="60"/>
      <c r="H8247" s="60"/>
      <c r="I8247" s="60"/>
      <c r="J8247" s="60"/>
      <c r="K8247" s="60"/>
      <c r="L8247" s="60"/>
      <c r="M8247" s="64"/>
      <c r="N8247" s="33"/>
    </row>
    <row r="8248" ht="24" customHeight="1" spans="2:14">
      <c r="B8248" s="33"/>
      <c r="C8248" s="60"/>
      <c r="D8248" s="60"/>
      <c r="E8248" s="60"/>
      <c r="F8248" s="60"/>
      <c r="G8248" s="60"/>
      <c r="H8248" s="60"/>
      <c r="I8248" s="60"/>
      <c r="J8248" s="60"/>
      <c r="K8248" s="60"/>
      <c r="L8248" s="60"/>
      <c r="M8248" s="64"/>
      <c r="N8248" s="33"/>
    </row>
    <row r="8249" ht="24" customHeight="1" spans="2:14">
      <c r="B8249" s="33"/>
      <c r="C8249" s="60"/>
      <c r="D8249" s="60"/>
      <c r="E8249" s="60"/>
      <c r="F8249" s="60"/>
      <c r="G8249" s="60"/>
      <c r="H8249" s="60"/>
      <c r="I8249" s="60"/>
      <c r="J8249" s="60"/>
      <c r="K8249" s="60"/>
      <c r="L8249" s="60"/>
      <c r="M8249" s="64"/>
      <c r="N8249" s="33"/>
    </row>
    <row r="8250" ht="24" customHeight="1" spans="2:14">
      <c r="B8250" s="33"/>
      <c r="C8250" s="60"/>
      <c r="D8250" s="60"/>
      <c r="E8250" s="60"/>
      <c r="F8250" s="60"/>
      <c r="G8250" s="60"/>
      <c r="H8250" s="60"/>
      <c r="I8250" s="60"/>
      <c r="J8250" s="60"/>
      <c r="K8250" s="60"/>
      <c r="L8250" s="60"/>
      <c r="M8250" s="64"/>
      <c r="N8250" s="33"/>
    </row>
    <row r="8251" ht="24" customHeight="1" spans="2:14">
      <c r="B8251" s="33"/>
      <c r="C8251" s="60"/>
      <c r="D8251" s="60"/>
      <c r="E8251" s="60"/>
      <c r="F8251" s="60"/>
      <c r="G8251" s="60"/>
      <c r="H8251" s="60"/>
      <c r="I8251" s="60"/>
      <c r="J8251" s="60"/>
      <c r="K8251" s="60"/>
      <c r="L8251" s="60"/>
      <c r="M8251" s="64"/>
      <c r="N8251" s="33"/>
    </row>
    <row r="8252" ht="24" customHeight="1" spans="2:14">
      <c r="B8252" s="33"/>
      <c r="C8252" s="60"/>
      <c r="D8252" s="60"/>
      <c r="E8252" s="60"/>
      <c r="F8252" s="60"/>
      <c r="G8252" s="60"/>
      <c r="H8252" s="60"/>
      <c r="I8252" s="60"/>
      <c r="J8252" s="60"/>
      <c r="K8252" s="60"/>
      <c r="L8252" s="60"/>
      <c r="M8252" s="64"/>
      <c r="N8252" s="33"/>
    </row>
    <row r="8253" ht="24" customHeight="1" spans="2:14">
      <c r="B8253" s="33"/>
      <c r="C8253" s="60"/>
      <c r="D8253" s="60"/>
      <c r="E8253" s="60"/>
      <c r="F8253" s="60"/>
      <c r="G8253" s="60"/>
      <c r="H8253" s="60"/>
      <c r="I8253" s="60"/>
      <c r="J8253" s="60"/>
      <c r="K8253" s="60"/>
      <c r="L8253" s="60"/>
      <c r="M8253" s="64"/>
      <c r="N8253" s="33"/>
    </row>
    <row r="8254" ht="24" customHeight="1" spans="2:14">
      <c r="B8254" s="33"/>
      <c r="C8254" s="60"/>
      <c r="D8254" s="60"/>
      <c r="E8254" s="60"/>
      <c r="F8254" s="60"/>
      <c r="G8254" s="60"/>
      <c r="H8254" s="60"/>
      <c r="I8254" s="60"/>
      <c r="J8254" s="60"/>
      <c r="K8254" s="60"/>
      <c r="L8254" s="60"/>
      <c r="M8254" s="64"/>
      <c r="N8254" s="33"/>
    </row>
    <row r="8255" ht="24" customHeight="1" spans="2:14">
      <c r="B8255" s="33"/>
      <c r="C8255" s="60"/>
      <c r="D8255" s="60"/>
      <c r="E8255" s="60"/>
      <c r="F8255" s="60"/>
      <c r="G8255" s="60"/>
      <c r="H8255" s="60"/>
      <c r="I8255" s="60"/>
      <c r="J8255" s="60"/>
      <c r="K8255" s="60"/>
      <c r="L8255" s="60"/>
      <c r="M8255" s="64"/>
      <c r="N8255" s="33"/>
    </row>
    <row r="8256" ht="24" customHeight="1" spans="2:14">
      <c r="B8256" s="33"/>
      <c r="C8256" s="60"/>
      <c r="D8256" s="60"/>
      <c r="E8256" s="60"/>
      <c r="F8256" s="60"/>
      <c r="G8256" s="60"/>
      <c r="H8256" s="60"/>
      <c r="I8256" s="60"/>
      <c r="J8256" s="60"/>
      <c r="K8256" s="60"/>
      <c r="L8256" s="60"/>
      <c r="M8256" s="64"/>
      <c r="N8256" s="33"/>
    </row>
    <row r="8257" ht="24" customHeight="1" spans="2:14">
      <c r="B8257" s="33"/>
      <c r="C8257" s="60"/>
      <c r="D8257" s="60"/>
      <c r="E8257" s="60"/>
      <c r="F8257" s="60"/>
      <c r="G8257" s="60"/>
      <c r="H8257" s="60"/>
      <c r="I8257" s="60"/>
      <c r="J8257" s="60"/>
      <c r="K8257" s="60"/>
      <c r="L8257" s="60"/>
      <c r="M8257" s="64"/>
      <c r="N8257" s="33"/>
    </row>
    <row r="8258" ht="24" customHeight="1" spans="2:14">
      <c r="B8258" s="33"/>
      <c r="C8258" s="60"/>
      <c r="D8258" s="60"/>
      <c r="E8258" s="60"/>
      <c r="F8258" s="60"/>
      <c r="G8258" s="60"/>
      <c r="H8258" s="60"/>
      <c r="I8258" s="60"/>
      <c r="J8258" s="60"/>
      <c r="K8258" s="60"/>
      <c r="L8258" s="60"/>
      <c r="M8258" s="64"/>
      <c r="N8258" s="33"/>
    </row>
    <row r="8259" ht="24" customHeight="1" spans="2:14">
      <c r="B8259" s="33"/>
      <c r="C8259" s="60"/>
      <c r="D8259" s="60"/>
      <c r="E8259" s="60"/>
      <c r="F8259" s="60"/>
      <c r="G8259" s="60"/>
      <c r="H8259" s="60"/>
      <c r="I8259" s="60"/>
      <c r="J8259" s="60"/>
      <c r="K8259" s="60"/>
      <c r="L8259" s="60"/>
      <c r="M8259" s="64"/>
      <c r="N8259" s="33"/>
    </row>
    <row r="8260" ht="24" customHeight="1" spans="2:14">
      <c r="B8260" s="33"/>
      <c r="C8260" s="60"/>
      <c r="D8260" s="60"/>
      <c r="E8260" s="60"/>
      <c r="F8260" s="60"/>
      <c r="G8260" s="60"/>
      <c r="H8260" s="60"/>
      <c r="I8260" s="60"/>
      <c r="J8260" s="60"/>
      <c r="K8260" s="60"/>
      <c r="L8260" s="60"/>
      <c r="M8260" s="64"/>
      <c r="N8260" s="33"/>
    </row>
    <row r="8261" ht="24" customHeight="1" spans="2:14">
      <c r="B8261" s="33"/>
      <c r="C8261" s="60"/>
      <c r="D8261" s="60"/>
      <c r="E8261" s="60"/>
      <c r="F8261" s="60"/>
      <c r="G8261" s="60"/>
      <c r="H8261" s="60"/>
      <c r="I8261" s="60"/>
      <c r="J8261" s="60"/>
      <c r="K8261" s="60"/>
      <c r="L8261" s="60"/>
      <c r="M8261" s="64"/>
      <c r="N8261" s="33"/>
    </row>
    <row r="8262" ht="24" customHeight="1" spans="2:14">
      <c r="B8262" s="33"/>
      <c r="C8262" s="60"/>
      <c r="D8262" s="60"/>
      <c r="E8262" s="60"/>
      <c r="F8262" s="60"/>
      <c r="G8262" s="60"/>
      <c r="H8262" s="60"/>
      <c r="I8262" s="60"/>
      <c r="J8262" s="60"/>
      <c r="K8262" s="60"/>
      <c r="L8262" s="60"/>
      <c r="M8262" s="64"/>
      <c r="N8262" s="33"/>
    </row>
    <row r="8263" ht="24" customHeight="1" spans="2:14">
      <c r="B8263" s="33"/>
      <c r="C8263" s="60"/>
      <c r="D8263" s="60"/>
      <c r="E8263" s="60"/>
      <c r="F8263" s="60"/>
      <c r="G8263" s="60"/>
      <c r="H8263" s="60"/>
      <c r="I8263" s="60"/>
      <c r="J8263" s="60"/>
      <c r="K8263" s="60"/>
      <c r="L8263" s="60"/>
      <c r="M8263" s="64"/>
      <c r="N8263" s="33"/>
    </row>
    <row r="8264" ht="24" customHeight="1" spans="2:14">
      <c r="B8264" s="33"/>
      <c r="C8264" s="60"/>
      <c r="D8264" s="60"/>
      <c r="E8264" s="60"/>
      <c r="F8264" s="60"/>
      <c r="G8264" s="60"/>
      <c r="H8264" s="60"/>
      <c r="I8264" s="60"/>
      <c r="J8264" s="60"/>
      <c r="K8264" s="60"/>
      <c r="L8264" s="60"/>
      <c r="M8264" s="64"/>
      <c r="N8264" s="33"/>
    </row>
    <row r="8265" ht="24" customHeight="1" spans="2:14">
      <c r="B8265" s="33"/>
      <c r="C8265" s="60"/>
      <c r="D8265" s="60"/>
      <c r="E8265" s="60"/>
      <c r="F8265" s="60"/>
      <c r="G8265" s="60"/>
      <c r="H8265" s="60"/>
      <c r="I8265" s="60"/>
      <c r="J8265" s="60"/>
      <c r="K8265" s="60"/>
      <c r="L8265" s="60"/>
      <c r="M8265" s="64"/>
      <c r="N8265" s="33"/>
    </row>
    <row r="8266" ht="24" customHeight="1" spans="2:14">
      <c r="B8266" s="33"/>
      <c r="C8266" s="60"/>
      <c r="D8266" s="60"/>
      <c r="E8266" s="60"/>
      <c r="F8266" s="60"/>
      <c r="G8266" s="60"/>
      <c r="H8266" s="60"/>
      <c r="I8266" s="60"/>
      <c r="J8266" s="60"/>
      <c r="K8266" s="60"/>
      <c r="L8266" s="60"/>
      <c r="M8266" s="64"/>
      <c r="N8266" s="33"/>
    </row>
    <row r="8267" ht="24" customHeight="1" spans="2:14">
      <c r="B8267" s="33"/>
      <c r="C8267" s="60"/>
      <c r="D8267" s="60"/>
      <c r="E8267" s="60"/>
      <c r="F8267" s="60"/>
      <c r="G8267" s="60"/>
      <c r="H8267" s="60"/>
      <c r="I8267" s="60"/>
      <c r="J8267" s="60"/>
      <c r="K8267" s="60"/>
      <c r="L8267" s="60"/>
      <c r="M8267" s="64"/>
      <c r="N8267" s="33"/>
    </row>
    <row r="8268" ht="24" customHeight="1" spans="2:14">
      <c r="B8268" s="33"/>
      <c r="C8268" s="60"/>
      <c r="D8268" s="60"/>
      <c r="E8268" s="60"/>
      <c r="F8268" s="60"/>
      <c r="G8268" s="60"/>
      <c r="H8268" s="60"/>
      <c r="I8268" s="60"/>
      <c r="J8268" s="60"/>
      <c r="K8268" s="60"/>
      <c r="L8268" s="60"/>
      <c r="M8268" s="64"/>
      <c r="N8268" s="33"/>
    </row>
    <row r="8269" ht="24" customHeight="1" spans="2:14">
      <c r="B8269" s="33"/>
      <c r="C8269" s="60"/>
      <c r="D8269" s="60"/>
      <c r="E8269" s="60"/>
      <c r="F8269" s="60"/>
      <c r="G8269" s="60"/>
      <c r="H8269" s="60"/>
      <c r="I8269" s="60"/>
      <c r="J8269" s="60"/>
      <c r="K8269" s="60"/>
      <c r="L8269" s="60"/>
      <c r="M8269" s="64"/>
      <c r="N8269" s="33"/>
    </row>
    <row r="8270" ht="24" customHeight="1" spans="2:14">
      <c r="B8270" s="33"/>
      <c r="C8270" s="60"/>
      <c r="D8270" s="60"/>
      <c r="E8270" s="60"/>
      <c r="F8270" s="60"/>
      <c r="G8270" s="60"/>
      <c r="H8270" s="60"/>
      <c r="I8270" s="60"/>
      <c r="J8270" s="60"/>
      <c r="K8270" s="60"/>
      <c r="L8270" s="60"/>
      <c r="M8270" s="64"/>
      <c r="N8270" s="33"/>
    </row>
    <row r="8271" ht="24" customHeight="1" spans="2:14">
      <c r="B8271" s="33"/>
      <c r="C8271" s="60"/>
      <c r="D8271" s="60"/>
      <c r="E8271" s="60"/>
      <c r="F8271" s="60"/>
      <c r="G8271" s="60"/>
      <c r="H8271" s="60"/>
      <c r="I8271" s="60"/>
      <c r="J8271" s="60"/>
      <c r="K8271" s="60"/>
      <c r="L8271" s="60"/>
      <c r="M8271" s="64"/>
      <c r="N8271" s="33"/>
    </row>
    <row r="8272" ht="24" customHeight="1" spans="2:14">
      <c r="B8272" s="33"/>
      <c r="C8272" s="60"/>
      <c r="D8272" s="60"/>
      <c r="E8272" s="60"/>
      <c r="F8272" s="60"/>
      <c r="G8272" s="60"/>
      <c r="H8272" s="60"/>
      <c r="I8272" s="60"/>
      <c r="J8272" s="60"/>
      <c r="K8272" s="60"/>
      <c r="L8272" s="60"/>
      <c r="M8272" s="64"/>
      <c r="N8272" s="33"/>
    </row>
    <row r="8273" ht="24" customHeight="1" spans="2:14">
      <c r="B8273" s="33"/>
      <c r="C8273" s="60"/>
      <c r="D8273" s="60"/>
      <c r="E8273" s="60"/>
      <c r="F8273" s="60"/>
      <c r="G8273" s="60"/>
      <c r="H8273" s="60"/>
      <c r="I8273" s="60"/>
      <c r="J8273" s="60"/>
      <c r="K8273" s="60"/>
      <c r="L8273" s="60"/>
      <c r="M8273" s="64"/>
      <c r="N8273" s="33"/>
    </row>
    <row r="8274" ht="24" customHeight="1" spans="2:14">
      <c r="B8274" s="33"/>
      <c r="C8274" s="60"/>
      <c r="D8274" s="60"/>
      <c r="E8274" s="60"/>
      <c r="F8274" s="60"/>
      <c r="G8274" s="60"/>
      <c r="H8274" s="60"/>
      <c r="I8274" s="60"/>
      <c r="J8274" s="60"/>
      <c r="K8274" s="60"/>
      <c r="L8274" s="60"/>
      <c r="M8274" s="64"/>
      <c r="N8274" s="33"/>
    </row>
    <row r="8275" ht="24" customHeight="1" spans="2:14">
      <c r="B8275" s="33"/>
      <c r="C8275" s="60"/>
      <c r="D8275" s="60"/>
      <c r="E8275" s="60"/>
      <c r="F8275" s="60"/>
      <c r="G8275" s="60"/>
      <c r="H8275" s="60"/>
      <c r="I8275" s="60"/>
      <c r="J8275" s="60"/>
      <c r="K8275" s="60"/>
      <c r="L8275" s="60"/>
      <c r="M8275" s="64"/>
      <c r="N8275" s="33"/>
    </row>
    <row r="8276" ht="24" customHeight="1" spans="2:14">
      <c r="B8276" s="33"/>
      <c r="C8276" s="60"/>
      <c r="D8276" s="60"/>
      <c r="E8276" s="60"/>
      <c r="F8276" s="60"/>
      <c r="G8276" s="60"/>
      <c r="H8276" s="60"/>
      <c r="I8276" s="60"/>
      <c r="J8276" s="60"/>
      <c r="K8276" s="60"/>
      <c r="L8276" s="60"/>
      <c r="M8276" s="64"/>
      <c r="N8276" s="33"/>
    </row>
    <row r="8277" ht="24" customHeight="1" spans="2:14">
      <c r="B8277" s="33"/>
      <c r="C8277" s="60"/>
      <c r="D8277" s="60"/>
      <c r="E8277" s="60"/>
      <c r="F8277" s="60"/>
      <c r="G8277" s="60"/>
      <c r="H8277" s="60"/>
      <c r="I8277" s="60"/>
      <c r="J8277" s="60"/>
      <c r="K8277" s="60"/>
      <c r="L8277" s="60"/>
      <c r="M8277" s="64"/>
      <c r="N8277" s="33"/>
    </row>
    <row r="8278" ht="24" customHeight="1" spans="2:14">
      <c r="B8278" s="33"/>
      <c r="C8278" s="60"/>
      <c r="D8278" s="60"/>
      <c r="E8278" s="60"/>
      <c r="F8278" s="60"/>
      <c r="G8278" s="60"/>
      <c r="H8278" s="60"/>
      <c r="I8278" s="60"/>
      <c r="J8278" s="60"/>
      <c r="K8278" s="60"/>
      <c r="L8278" s="60"/>
      <c r="M8278" s="64"/>
      <c r="N8278" s="33"/>
    </row>
    <row r="8279" ht="24" customHeight="1" spans="2:14">
      <c r="B8279" s="33"/>
      <c r="C8279" s="60"/>
      <c r="D8279" s="60"/>
      <c r="E8279" s="60"/>
      <c r="F8279" s="60"/>
      <c r="G8279" s="60"/>
      <c r="H8279" s="60"/>
      <c r="I8279" s="60"/>
      <c r="J8279" s="60"/>
      <c r="K8279" s="60"/>
      <c r="L8279" s="60"/>
      <c r="M8279" s="64"/>
      <c r="N8279" s="33"/>
    </row>
    <row r="8280" ht="24" customHeight="1" spans="2:14">
      <c r="B8280" s="33"/>
      <c r="C8280" s="60"/>
      <c r="D8280" s="60"/>
      <c r="E8280" s="60"/>
      <c r="F8280" s="60"/>
      <c r="G8280" s="60"/>
      <c r="H8280" s="60"/>
      <c r="I8280" s="60"/>
      <c r="J8280" s="60"/>
      <c r="K8280" s="60"/>
      <c r="L8280" s="60"/>
      <c r="M8280" s="64"/>
      <c r="N8280" s="33"/>
    </row>
    <row r="8281" ht="24" customHeight="1" spans="2:14">
      <c r="B8281" s="33"/>
      <c r="C8281" s="60"/>
      <c r="D8281" s="60"/>
      <c r="E8281" s="60"/>
      <c r="F8281" s="60"/>
      <c r="G8281" s="60"/>
      <c r="H8281" s="60"/>
      <c r="I8281" s="60"/>
      <c r="J8281" s="60"/>
      <c r="K8281" s="60"/>
      <c r="L8281" s="60"/>
      <c r="M8281" s="64"/>
      <c r="N8281" s="33"/>
    </row>
    <row r="8282" ht="24" customHeight="1" spans="2:14">
      <c r="B8282" s="33"/>
      <c r="C8282" s="60"/>
      <c r="D8282" s="60"/>
      <c r="E8282" s="60"/>
      <c r="F8282" s="60"/>
      <c r="G8282" s="60"/>
      <c r="H8282" s="60"/>
      <c r="I8282" s="60"/>
      <c r="J8282" s="60"/>
      <c r="K8282" s="60"/>
      <c r="L8282" s="60"/>
      <c r="M8282" s="64"/>
      <c r="N8282" s="33"/>
    </row>
    <row r="8283" ht="24" customHeight="1" spans="2:14">
      <c r="B8283" s="33"/>
      <c r="C8283" s="60"/>
      <c r="D8283" s="60"/>
      <c r="E8283" s="60"/>
      <c r="F8283" s="60"/>
      <c r="G8283" s="60"/>
      <c r="H8283" s="60"/>
      <c r="I8283" s="60"/>
      <c r="J8283" s="60"/>
      <c r="K8283" s="60"/>
      <c r="L8283" s="60"/>
      <c r="M8283" s="64"/>
      <c r="N8283" s="33"/>
    </row>
    <row r="8284" ht="24" customHeight="1" spans="2:14">
      <c r="B8284" s="33"/>
      <c r="C8284" s="60"/>
      <c r="D8284" s="60"/>
      <c r="E8284" s="60"/>
      <c r="F8284" s="60"/>
      <c r="G8284" s="60"/>
      <c r="H8284" s="60"/>
      <c r="I8284" s="60"/>
      <c r="J8284" s="60"/>
      <c r="K8284" s="60"/>
      <c r="L8284" s="60"/>
      <c r="M8284" s="64"/>
      <c r="N8284" s="33"/>
    </row>
    <row r="8285" ht="24" customHeight="1" spans="2:14">
      <c r="B8285" s="33"/>
      <c r="C8285" s="60"/>
      <c r="D8285" s="60"/>
      <c r="E8285" s="60"/>
      <c r="F8285" s="60"/>
      <c r="G8285" s="60"/>
      <c r="H8285" s="60"/>
      <c r="I8285" s="60"/>
      <c r="J8285" s="60"/>
      <c r="K8285" s="60"/>
      <c r="L8285" s="60"/>
      <c r="M8285" s="64"/>
      <c r="N8285" s="33"/>
    </row>
    <row r="8286" ht="24" customHeight="1" spans="2:14">
      <c r="B8286" s="33"/>
      <c r="C8286" s="60"/>
      <c r="D8286" s="60"/>
      <c r="E8286" s="60"/>
      <c r="F8286" s="60"/>
      <c r="G8286" s="60"/>
      <c r="H8286" s="60"/>
      <c r="I8286" s="60"/>
      <c r="J8286" s="60"/>
      <c r="K8286" s="60"/>
      <c r="L8286" s="60"/>
      <c r="M8286" s="64"/>
      <c r="N8286" s="33"/>
    </row>
    <row r="8287" ht="24" customHeight="1" spans="2:14">
      <c r="B8287" s="33"/>
      <c r="C8287" s="60"/>
      <c r="D8287" s="60"/>
      <c r="E8287" s="60"/>
      <c r="F8287" s="60"/>
      <c r="G8287" s="60"/>
      <c r="H8287" s="60"/>
      <c r="I8287" s="60"/>
      <c r="J8287" s="60"/>
      <c r="K8287" s="60"/>
      <c r="L8287" s="60"/>
      <c r="M8287" s="64"/>
      <c r="N8287" s="33"/>
    </row>
    <row r="8288" ht="24" customHeight="1" spans="2:14">
      <c r="B8288" s="33"/>
      <c r="C8288" s="60"/>
      <c r="D8288" s="60"/>
      <c r="E8288" s="60"/>
      <c r="F8288" s="60"/>
      <c r="G8288" s="60"/>
      <c r="H8288" s="60"/>
      <c r="I8288" s="60"/>
      <c r="J8288" s="60"/>
      <c r="K8288" s="60"/>
      <c r="L8288" s="60"/>
      <c r="M8288" s="64"/>
      <c r="N8288" s="33"/>
    </row>
    <row r="8289" ht="24" customHeight="1" spans="2:14">
      <c r="B8289" s="33"/>
      <c r="C8289" s="60"/>
      <c r="D8289" s="60"/>
      <c r="E8289" s="60"/>
      <c r="F8289" s="60"/>
      <c r="G8289" s="60"/>
      <c r="H8289" s="60"/>
      <c r="I8289" s="60"/>
      <c r="J8289" s="60"/>
      <c r="K8289" s="60"/>
      <c r="L8289" s="60"/>
      <c r="M8289" s="64"/>
      <c r="N8289" s="33"/>
    </row>
    <row r="8290" ht="24" customHeight="1" spans="2:14">
      <c r="B8290" s="33"/>
      <c r="C8290" s="60"/>
      <c r="D8290" s="60"/>
      <c r="E8290" s="60"/>
      <c r="F8290" s="60"/>
      <c r="G8290" s="60"/>
      <c r="H8290" s="60"/>
      <c r="I8290" s="60"/>
      <c r="J8290" s="60"/>
      <c r="K8290" s="60"/>
      <c r="L8290" s="60"/>
      <c r="M8290" s="64"/>
      <c r="N8290" s="33"/>
    </row>
    <row r="8291" ht="24" customHeight="1" spans="2:14">
      <c r="B8291" s="33"/>
      <c r="C8291" s="60"/>
      <c r="D8291" s="60"/>
      <c r="E8291" s="60"/>
      <c r="F8291" s="60"/>
      <c r="G8291" s="60"/>
      <c r="H8291" s="60"/>
      <c r="I8291" s="60"/>
      <c r="J8291" s="60"/>
      <c r="K8291" s="60"/>
      <c r="L8291" s="60"/>
      <c r="M8291" s="64"/>
      <c r="N8291" s="33"/>
    </row>
    <row r="8292" ht="24" customHeight="1" spans="2:14">
      <c r="B8292" s="33"/>
      <c r="C8292" s="60"/>
      <c r="D8292" s="60"/>
      <c r="E8292" s="60"/>
      <c r="F8292" s="60"/>
      <c r="G8292" s="60"/>
      <c r="H8292" s="60"/>
      <c r="I8292" s="60"/>
      <c r="J8292" s="60"/>
      <c r="K8292" s="60"/>
      <c r="L8292" s="60"/>
      <c r="M8292" s="64"/>
      <c r="N8292" s="33"/>
    </row>
    <row r="8293" ht="24" customHeight="1" spans="2:14">
      <c r="B8293" s="33"/>
      <c r="C8293" s="60"/>
      <c r="D8293" s="60"/>
      <c r="E8293" s="60"/>
      <c r="F8293" s="60"/>
      <c r="G8293" s="60"/>
      <c r="H8293" s="60"/>
      <c r="I8293" s="60"/>
      <c r="J8293" s="60"/>
      <c r="K8293" s="60"/>
      <c r="L8293" s="60"/>
      <c r="M8293" s="64"/>
      <c r="N8293" s="33"/>
    </row>
    <row r="8294" ht="24" customHeight="1" spans="2:14">
      <c r="B8294" s="33"/>
      <c r="C8294" s="60"/>
      <c r="D8294" s="60"/>
      <c r="E8294" s="60"/>
      <c r="F8294" s="60"/>
      <c r="G8294" s="60"/>
      <c r="H8294" s="60"/>
      <c r="I8294" s="60"/>
      <c r="J8294" s="60"/>
      <c r="K8294" s="60"/>
      <c r="L8294" s="60"/>
      <c r="M8294" s="64"/>
      <c r="N8294" s="33"/>
    </row>
    <row r="8295" ht="24" customHeight="1" spans="2:14">
      <c r="B8295" s="33"/>
      <c r="C8295" s="60"/>
      <c r="D8295" s="60"/>
      <c r="E8295" s="60"/>
      <c r="F8295" s="60"/>
      <c r="G8295" s="60"/>
      <c r="H8295" s="60"/>
      <c r="I8295" s="60"/>
      <c r="J8295" s="60"/>
      <c r="K8295" s="60"/>
      <c r="L8295" s="60"/>
      <c r="M8295" s="64"/>
      <c r="N8295" s="33"/>
    </row>
    <row r="8296" ht="24" customHeight="1" spans="2:14">
      <c r="B8296" s="33"/>
      <c r="C8296" s="60"/>
      <c r="D8296" s="60"/>
      <c r="E8296" s="60"/>
      <c r="F8296" s="60"/>
      <c r="G8296" s="60"/>
      <c r="H8296" s="60"/>
      <c r="I8296" s="60"/>
      <c r="J8296" s="60"/>
      <c r="K8296" s="60"/>
      <c r="L8296" s="60"/>
      <c r="M8296" s="64"/>
      <c r="N8296" s="33"/>
    </row>
    <row r="8297" ht="24" customHeight="1" spans="2:14">
      <c r="B8297" s="33"/>
      <c r="C8297" s="60"/>
      <c r="D8297" s="60"/>
      <c r="E8297" s="60"/>
      <c r="F8297" s="60"/>
      <c r="G8297" s="60"/>
      <c r="H8297" s="60"/>
      <c r="I8297" s="60"/>
      <c r="J8297" s="60"/>
      <c r="K8297" s="60"/>
      <c r="L8297" s="60"/>
      <c r="M8297" s="64"/>
      <c r="N8297" s="33"/>
    </row>
    <row r="8298" ht="24" customHeight="1" spans="2:14">
      <c r="B8298" s="33"/>
      <c r="C8298" s="60"/>
      <c r="D8298" s="60"/>
      <c r="E8298" s="60"/>
      <c r="F8298" s="60"/>
      <c r="G8298" s="60"/>
      <c r="H8298" s="60"/>
      <c r="I8298" s="60"/>
      <c r="J8298" s="60"/>
      <c r="K8298" s="60"/>
      <c r="L8298" s="60"/>
      <c r="M8298" s="64"/>
      <c r="N8298" s="33"/>
    </row>
    <row r="8299" ht="24" customHeight="1" spans="2:14">
      <c r="B8299" s="33"/>
      <c r="C8299" s="60"/>
      <c r="D8299" s="60"/>
      <c r="E8299" s="60"/>
      <c r="F8299" s="60"/>
      <c r="G8299" s="60"/>
      <c r="H8299" s="60"/>
      <c r="I8299" s="60"/>
      <c r="J8299" s="60"/>
      <c r="K8299" s="60"/>
      <c r="L8299" s="60"/>
      <c r="M8299" s="64"/>
      <c r="N8299" s="33"/>
    </row>
    <row r="8300" ht="24" customHeight="1" spans="2:14">
      <c r="B8300" s="33"/>
      <c r="C8300" s="60"/>
      <c r="D8300" s="60"/>
      <c r="E8300" s="60"/>
      <c r="F8300" s="60"/>
      <c r="G8300" s="60"/>
      <c r="H8300" s="60"/>
      <c r="I8300" s="60"/>
      <c r="J8300" s="60"/>
      <c r="K8300" s="60"/>
      <c r="L8300" s="60"/>
      <c r="M8300" s="64"/>
      <c r="N8300" s="33"/>
    </row>
    <row r="8301" ht="24" customHeight="1" spans="2:14">
      <c r="B8301" s="33"/>
      <c r="C8301" s="60"/>
      <c r="D8301" s="60"/>
      <c r="E8301" s="60"/>
      <c r="F8301" s="60"/>
      <c r="G8301" s="60"/>
      <c r="H8301" s="60"/>
      <c r="I8301" s="60"/>
      <c r="J8301" s="60"/>
      <c r="K8301" s="60"/>
      <c r="L8301" s="60"/>
      <c r="M8301" s="64"/>
      <c r="N8301" s="33"/>
    </row>
    <row r="8302" ht="24" customHeight="1" spans="2:14">
      <c r="B8302" s="33"/>
      <c r="C8302" s="60"/>
      <c r="D8302" s="60"/>
      <c r="E8302" s="60"/>
      <c r="F8302" s="60"/>
      <c r="G8302" s="60"/>
      <c r="H8302" s="60"/>
      <c r="I8302" s="60"/>
      <c r="J8302" s="60"/>
      <c r="K8302" s="60"/>
      <c r="L8302" s="60"/>
      <c r="M8302" s="64"/>
      <c r="N8302" s="33"/>
    </row>
    <row r="8303" ht="24" customHeight="1" spans="2:14">
      <c r="B8303" s="33"/>
      <c r="C8303" s="60"/>
      <c r="D8303" s="60"/>
      <c r="E8303" s="60"/>
      <c r="F8303" s="60"/>
      <c r="G8303" s="60"/>
      <c r="H8303" s="60"/>
      <c r="I8303" s="60"/>
      <c r="J8303" s="60"/>
      <c r="K8303" s="60"/>
      <c r="L8303" s="60"/>
      <c r="M8303" s="64"/>
      <c r="N8303" s="33"/>
    </row>
    <row r="8304" ht="24" customHeight="1" spans="2:14">
      <c r="B8304" s="33"/>
      <c r="C8304" s="60"/>
      <c r="D8304" s="60"/>
      <c r="E8304" s="60"/>
      <c r="F8304" s="60"/>
      <c r="G8304" s="60"/>
      <c r="H8304" s="60"/>
      <c r="I8304" s="60"/>
      <c r="J8304" s="60"/>
      <c r="K8304" s="60"/>
      <c r="L8304" s="60"/>
      <c r="M8304" s="64"/>
      <c r="N8304" s="33"/>
    </row>
    <row r="8305" ht="24" customHeight="1" spans="2:14">
      <c r="B8305" s="33"/>
      <c r="C8305" s="60"/>
      <c r="D8305" s="60"/>
      <c r="E8305" s="60"/>
      <c r="F8305" s="60"/>
      <c r="G8305" s="60"/>
      <c r="H8305" s="60"/>
      <c r="I8305" s="60"/>
      <c r="J8305" s="60"/>
      <c r="K8305" s="60"/>
      <c r="L8305" s="60"/>
      <c r="M8305" s="64"/>
      <c r="N8305" s="33"/>
    </row>
    <row r="8306" ht="24" customHeight="1" spans="2:14">
      <c r="B8306" s="33"/>
      <c r="C8306" s="60"/>
      <c r="D8306" s="60"/>
      <c r="E8306" s="60"/>
      <c r="F8306" s="60"/>
      <c r="G8306" s="60"/>
      <c r="H8306" s="60"/>
      <c r="I8306" s="60"/>
      <c r="J8306" s="60"/>
      <c r="K8306" s="60"/>
      <c r="L8306" s="60"/>
      <c r="M8306" s="64"/>
      <c r="N8306" s="33"/>
    </row>
    <row r="8307" ht="24" customHeight="1" spans="2:14">
      <c r="B8307" s="33"/>
      <c r="C8307" s="60"/>
      <c r="D8307" s="60"/>
      <c r="E8307" s="60"/>
      <c r="F8307" s="60"/>
      <c r="G8307" s="60"/>
      <c r="H8307" s="60"/>
      <c r="I8307" s="60"/>
      <c r="J8307" s="60"/>
      <c r="K8307" s="60"/>
      <c r="L8307" s="60"/>
      <c r="M8307" s="64"/>
      <c r="N8307" s="33"/>
    </row>
    <row r="8308" ht="24" customHeight="1" spans="2:14">
      <c r="B8308" s="33"/>
      <c r="C8308" s="60"/>
      <c r="D8308" s="60"/>
      <c r="E8308" s="60"/>
      <c r="F8308" s="60"/>
      <c r="G8308" s="60"/>
      <c r="H8308" s="60"/>
      <c r="I8308" s="60"/>
      <c r="J8308" s="60"/>
      <c r="K8308" s="60"/>
      <c r="L8308" s="60"/>
      <c r="M8308" s="64"/>
      <c r="N8308" s="33"/>
    </row>
    <row r="8309" ht="24" customHeight="1" spans="2:14">
      <c r="B8309" s="33"/>
      <c r="C8309" s="60"/>
      <c r="D8309" s="60"/>
      <c r="E8309" s="60"/>
      <c r="F8309" s="60"/>
      <c r="G8309" s="60"/>
      <c r="H8309" s="60"/>
      <c r="I8309" s="60"/>
      <c r="J8309" s="60"/>
      <c r="K8309" s="60"/>
      <c r="L8309" s="60"/>
      <c r="M8309" s="64"/>
      <c r="N8309" s="33"/>
    </row>
    <row r="8310" ht="24" customHeight="1" spans="2:14">
      <c r="B8310" s="33"/>
      <c r="C8310" s="60"/>
      <c r="D8310" s="60"/>
      <c r="E8310" s="60"/>
      <c r="F8310" s="60"/>
      <c r="G8310" s="60"/>
      <c r="H8310" s="60"/>
      <c r="I8310" s="60"/>
      <c r="J8310" s="60"/>
      <c r="K8310" s="60"/>
      <c r="L8310" s="60"/>
      <c r="M8310" s="64"/>
      <c r="N8310" s="33"/>
    </row>
    <row r="8311" ht="24" customHeight="1" spans="2:14">
      <c r="B8311" s="33"/>
      <c r="C8311" s="60"/>
      <c r="D8311" s="60"/>
      <c r="E8311" s="60"/>
      <c r="F8311" s="60"/>
      <c r="G8311" s="60"/>
      <c r="H8311" s="60"/>
      <c r="I8311" s="60"/>
      <c r="J8311" s="60"/>
      <c r="K8311" s="60"/>
      <c r="L8311" s="60"/>
      <c r="M8311" s="64"/>
      <c r="N8311" s="33"/>
    </row>
    <row r="8312" ht="24" customHeight="1" spans="2:14">
      <c r="B8312" s="33"/>
      <c r="C8312" s="60"/>
      <c r="D8312" s="60"/>
      <c r="E8312" s="60"/>
      <c r="F8312" s="60"/>
      <c r="G8312" s="60"/>
      <c r="H8312" s="60"/>
      <c r="I8312" s="60"/>
      <c r="J8312" s="60"/>
      <c r="K8312" s="60"/>
      <c r="L8312" s="60"/>
      <c r="M8312" s="64"/>
      <c r="N8312" s="33"/>
    </row>
    <row r="8313" ht="24" customHeight="1" spans="2:14">
      <c r="B8313" s="33"/>
      <c r="C8313" s="60"/>
      <c r="D8313" s="60"/>
      <c r="E8313" s="60"/>
      <c r="F8313" s="60"/>
      <c r="G8313" s="60"/>
      <c r="H8313" s="60"/>
      <c r="I8313" s="60"/>
      <c r="J8313" s="60"/>
      <c r="K8313" s="60"/>
      <c r="L8313" s="60"/>
      <c r="M8313" s="64"/>
      <c r="N8313" s="33"/>
    </row>
    <row r="8314" ht="24" customHeight="1" spans="2:14">
      <c r="B8314" s="33"/>
      <c r="C8314" s="60"/>
      <c r="D8314" s="60"/>
      <c r="E8314" s="60"/>
      <c r="F8314" s="60"/>
      <c r="G8314" s="60"/>
      <c r="H8314" s="60"/>
      <c r="I8314" s="60"/>
      <c r="J8314" s="60"/>
      <c r="K8314" s="60"/>
      <c r="L8314" s="60"/>
      <c r="M8314" s="64"/>
      <c r="N8314" s="33"/>
    </row>
    <row r="8315" ht="24" customHeight="1" spans="2:14">
      <c r="B8315" s="33"/>
      <c r="C8315" s="60"/>
      <c r="D8315" s="60"/>
      <c r="E8315" s="60"/>
      <c r="F8315" s="60"/>
      <c r="G8315" s="60"/>
      <c r="H8315" s="60"/>
      <c r="I8315" s="60"/>
      <c r="J8315" s="60"/>
      <c r="K8315" s="60"/>
      <c r="L8315" s="60"/>
      <c r="M8315" s="64"/>
      <c r="N8315" s="33"/>
    </row>
    <row r="8316" ht="24" customHeight="1" spans="2:14">
      <c r="B8316" s="33"/>
      <c r="C8316" s="60"/>
      <c r="D8316" s="60"/>
      <c r="E8316" s="60"/>
      <c r="F8316" s="60"/>
      <c r="G8316" s="60"/>
      <c r="H8316" s="60"/>
      <c r="I8316" s="60"/>
      <c r="J8316" s="60"/>
      <c r="K8316" s="60"/>
      <c r="L8316" s="60"/>
      <c r="M8316" s="64"/>
      <c r="N8316" s="33"/>
    </row>
    <row r="8317" ht="24" customHeight="1" spans="2:14">
      <c r="B8317" s="33"/>
      <c r="C8317" s="60"/>
      <c r="D8317" s="60"/>
      <c r="E8317" s="60"/>
      <c r="F8317" s="60"/>
      <c r="G8317" s="60"/>
      <c r="H8317" s="60"/>
      <c r="I8317" s="60"/>
      <c r="J8317" s="60"/>
      <c r="K8317" s="60"/>
      <c r="L8317" s="60"/>
      <c r="M8317" s="64"/>
      <c r="N8317" s="33"/>
    </row>
    <row r="8318" ht="24" customHeight="1" spans="2:14">
      <c r="B8318" s="33"/>
      <c r="C8318" s="60"/>
      <c r="D8318" s="60"/>
      <c r="E8318" s="60"/>
      <c r="F8318" s="60"/>
      <c r="G8318" s="60"/>
      <c r="H8318" s="60"/>
      <c r="I8318" s="60"/>
      <c r="J8318" s="60"/>
      <c r="K8318" s="60"/>
      <c r="L8318" s="60"/>
      <c r="M8318" s="64"/>
      <c r="N8318" s="33"/>
    </row>
    <row r="8319" ht="24" customHeight="1" spans="2:14">
      <c r="B8319" s="33"/>
      <c r="C8319" s="60"/>
      <c r="D8319" s="60"/>
      <c r="E8319" s="60"/>
      <c r="F8319" s="60"/>
      <c r="G8319" s="60"/>
      <c r="H8319" s="60"/>
      <c r="I8319" s="60"/>
      <c r="J8319" s="60"/>
      <c r="K8319" s="60"/>
      <c r="L8319" s="60"/>
      <c r="M8319" s="64"/>
      <c r="N8319" s="33"/>
    </row>
    <row r="8320" ht="24" customHeight="1" spans="2:14">
      <c r="B8320" s="33"/>
      <c r="C8320" s="60"/>
      <c r="D8320" s="60"/>
      <c r="E8320" s="60"/>
      <c r="F8320" s="60"/>
      <c r="G8320" s="60"/>
      <c r="H8320" s="60"/>
      <c r="I8320" s="60"/>
      <c r="J8320" s="60"/>
      <c r="K8320" s="60"/>
      <c r="L8320" s="60"/>
      <c r="M8320" s="64"/>
      <c r="N8320" s="33"/>
    </row>
    <row r="8321" ht="24" customHeight="1" spans="2:14">
      <c r="B8321" s="33"/>
      <c r="C8321" s="60"/>
      <c r="D8321" s="60"/>
      <c r="E8321" s="60"/>
      <c r="F8321" s="60"/>
      <c r="G8321" s="60"/>
      <c r="H8321" s="60"/>
      <c r="I8321" s="60"/>
      <c r="J8321" s="60"/>
      <c r="K8321" s="60"/>
      <c r="L8321" s="60"/>
      <c r="M8321" s="64"/>
      <c r="N8321" s="33"/>
    </row>
    <row r="8322" ht="24" customHeight="1" spans="2:14">
      <c r="B8322" s="33"/>
      <c r="C8322" s="60"/>
      <c r="D8322" s="60"/>
      <c r="E8322" s="60"/>
      <c r="F8322" s="60"/>
      <c r="G8322" s="60"/>
      <c r="H8322" s="60"/>
      <c r="I8322" s="60"/>
      <c r="J8322" s="60"/>
      <c r="K8322" s="60"/>
      <c r="L8322" s="60"/>
      <c r="M8322" s="64"/>
      <c r="N8322" s="33"/>
    </row>
    <row r="8323" ht="24" customHeight="1" spans="2:14">
      <c r="B8323" s="33"/>
      <c r="C8323" s="60"/>
      <c r="D8323" s="60"/>
      <c r="E8323" s="60"/>
      <c r="F8323" s="60"/>
      <c r="G8323" s="60"/>
      <c r="H8323" s="60"/>
      <c r="I8323" s="60"/>
      <c r="J8323" s="60"/>
      <c r="K8323" s="60"/>
      <c r="L8323" s="60"/>
      <c r="M8323" s="64"/>
      <c r="N8323" s="33"/>
    </row>
    <row r="8324" ht="24" customHeight="1" spans="2:14">
      <c r="B8324" s="33"/>
      <c r="C8324" s="60"/>
      <c r="D8324" s="60"/>
      <c r="E8324" s="60"/>
      <c r="F8324" s="60"/>
      <c r="G8324" s="60"/>
      <c r="H8324" s="60"/>
      <c r="I8324" s="60"/>
      <c r="J8324" s="60"/>
      <c r="K8324" s="60"/>
      <c r="L8324" s="60"/>
      <c r="M8324" s="64"/>
      <c r="N8324" s="33"/>
    </row>
    <row r="8325" ht="24" customHeight="1" spans="2:14">
      <c r="B8325" s="33"/>
      <c r="C8325" s="60"/>
      <c r="D8325" s="60"/>
      <c r="E8325" s="60"/>
      <c r="F8325" s="60"/>
      <c r="G8325" s="60"/>
      <c r="H8325" s="60"/>
      <c r="I8325" s="60"/>
      <c r="J8325" s="60"/>
      <c r="K8325" s="60"/>
      <c r="L8325" s="60"/>
      <c r="M8325" s="64"/>
      <c r="N8325" s="33"/>
    </row>
    <row r="8326" ht="24" customHeight="1" spans="2:14">
      <c r="B8326" s="33"/>
      <c r="C8326" s="60"/>
      <c r="D8326" s="60"/>
      <c r="E8326" s="60"/>
      <c r="F8326" s="60"/>
      <c r="G8326" s="60"/>
      <c r="H8326" s="60"/>
      <c r="I8326" s="60"/>
      <c r="J8326" s="60"/>
      <c r="K8326" s="60"/>
      <c r="L8326" s="60"/>
      <c r="M8326" s="64"/>
      <c r="N8326" s="33"/>
    </row>
    <row r="8327" ht="24" customHeight="1" spans="2:14">
      <c r="B8327" s="33"/>
      <c r="C8327" s="60"/>
      <c r="D8327" s="60"/>
      <c r="E8327" s="60"/>
      <c r="F8327" s="60"/>
      <c r="G8327" s="60"/>
      <c r="H8327" s="60"/>
      <c r="I8327" s="60"/>
      <c r="J8327" s="60"/>
      <c r="K8327" s="60"/>
      <c r="L8327" s="60"/>
      <c r="M8327" s="64"/>
      <c r="N8327" s="33"/>
    </row>
    <row r="8328" ht="24" customHeight="1" spans="2:14">
      <c r="B8328" s="33"/>
      <c r="C8328" s="60"/>
      <c r="D8328" s="60"/>
      <c r="E8328" s="60"/>
      <c r="F8328" s="60"/>
      <c r="G8328" s="60"/>
      <c r="H8328" s="60"/>
      <c r="I8328" s="60"/>
      <c r="J8328" s="60"/>
      <c r="K8328" s="60"/>
      <c r="L8328" s="60"/>
      <c r="M8328" s="64"/>
      <c r="N8328" s="33"/>
    </row>
    <row r="8329" ht="24" customHeight="1" spans="2:14">
      <c r="B8329" s="33"/>
      <c r="C8329" s="60"/>
      <c r="D8329" s="60"/>
      <c r="E8329" s="60"/>
      <c r="F8329" s="60"/>
      <c r="G8329" s="60"/>
      <c r="H8329" s="60"/>
      <c r="I8329" s="60"/>
      <c r="J8329" s="60"/>
      <c r="K8329" s="60"/>
      <c r="L8329" s="60"/>
      <c r="M8329" s="64"/>
      <c r="N8329" s="33"/>
    </row>
    <row r="8330" ht="24" customHeight="1" spans="2:14">
      <c r="B8330" s="33"/>
      <c r="C8330" s="60"/>
      <c r="D8330" s="60"/>
      <c r="E8330" s="60"/>
      <c r="F8330" s="60"/>
      <c r="G8330" s="60"/>
      <c r="H8330" s="60"/>
      <c r="I8330" s="60"/>
      <c r="J8330" s="60"/>
      <c r="K8330" s="60"/>
      <c r="L8330" s="60"/>
      <c r="M8330" s="64"/>
      <c r="N8330" s="33"/>
    </row>
    <row r="8331" ht="24" customHeight="1" spans="2:14">
      <c r="B8331" s="33"/>
      <c r="C8331" s="60"/>
      <c r="D8331" s="60"/>
      <c r="E8331" s="60"/>
      <c r="F8331" s="60"/>
      <c r="G8331" s="60"/>
      <c r="H8331" s="60"/>
      <c r="I8331" s="60"/>
      <c r="J8331" s="60"/>
      <c r="K8331" s="60"/>
      <c r="L8331" s="60"/>
      <c r="M8331" s="64"/>
      <c r="N8331" s="33"/>
    </row>
    <row r="8332" ht="24" customHeight="1" spans="2:14">
      <c r="B8332" s="33"/>
      <c r="C8332" s="60"/>
      <c r="D8332" s="60"/>
      <c r="E8332" s="60"/>
      <c r="F8332" s="60"/>
      <c r="G8332" s="60"/>
      <c r="H8332" s="60"/>
      <c r="I8332" s="60"/>
      <c r="J8332" s="60"/>
      <c r="K8332" s="60"/>
      <c r="L8332" s="60"/>
      <c r="M8332" s="64"/>
      <c r="N8332" s="33"/>
    </row>
    <row r="8333" ht="24" customHeight="1" spans="2:14">
      <c r="B8333" s="33"/>
      <c r="C8333" s="60"/>
      <c r="D8333" s="60"/>
      <c r="E8333" s="60"/>
      <c r="F8333" s="60"/>
      <c r="G8333" s="60"/>
      <c r="H8333" s="60"/>
      <c r="I8333" s="60"/>
      <c r="J8333" s="60"/>
      <c r="K8333" s="60"/>
      <c r="L8333" s="60"/>
      <c r="M8333" s="64"/>
      <c r="N8333" s="33"/>
    </row>
    <row r="8334" ht="24" customHeight="1" spans="2:14">
      <c r="B8334" s="33"/>
      <c r="C8334" s="60"/>
      <c r="D8334" s="60"/>
      <c r="E8334" s="60"/>
      <c r="F8334" s="60"/>
      <c r="G8334" s="60"/>
      <c r="H8334" s="60"/>
      <c r="I8334" s="60"/>
      <c r="J8334" s="60"/>
      <c r="K8334" s="60"/>
      <c r="L8334" s="60"/>
      <c r="M8334" s="64"/>
      <c r="N8334" s="33"/>
    </row>
    <row r="8335" ht="24" customHeight="1" spans="2:14">
      <c r="B8335" s="33"/>
      <c r="C8335" s="60"/>
      <c r="D8335" s="60"/>
      <c r="E8335" s="60"/>
      <c r="F8335" s="60"/>
      <c r="G8335" s="60"/>
      <c r="H8335" s="60"/>
      <c r="I8335" s="60"/>
      <c r="J8335" s="60"/>
      <c r="K8335" s="60"/>
      <c r="L8335" s="60"/>
      <c r="M8335" s="64"/>
      <c r="N8335" s="33"/>
    </row>
    <row r="8336" ht="24" customHeight="1" spans="2:14">
      <c r="B8336" s="33"/>
      <c r="C8336" s="60"/>
      <c r="D8336" s="60"/>
      <c r="E8336" s="60"/>
      <c r="F8336" s="60"/>
      <c r="G8336" s="60"/>
      <c r="H8336" s="60"/>
      <c r="I8336" s="60"/>
      <c r="J8336" s="60"/>
      <c r="K8336" s="60"/>
      <c r="L8336" s="60"/>
      <c r="M8336" s="64"/>
      <c r="N8336" s="33"/>
    </row>
    <row r="8337" ht="24" customHeight="1" spans="2:14">
      <c r="B8337" s="33"/>
      <c r="C8337" s="60"/>
      <c r="D8337" s="60"/>
      <c r="E8337" s="60"/>
      <c r="F8337" s="60"/>
      <c r="G8337" s="60"/>
      <c r="H8337" s="60"/>
      <c r="I8337" s="60"/>
      <c r="J8337" s="60"/>
      <c r="K8337" s="60"/>
      <c r="L8337" s="60"/>
      <c r="M8337" s="64"/>
      <c r="N8337" s="33"/>
    </row>
    <row r="8338" ht="24" customHeight="1" spans="2:14">
      <c r="B8338" s="33"/>
      <c r="C8338" s="60"/>
      <c r="D8338" s="60"/>
      <c r="E8338" s="60"/>
      <c r="F8338" s="60"/>
      <c r="G8338" s="60"/>
      <c r="H8338" s="60"/>
      <c r="I8338" s="60"/>
      <c r="J8338" s="60"/>
      <c r="K8338" s="60"/>
      <c r="L8338" s="60"/>
      <c r="M8338" s="64"/>
      <c r="N8338" s="33"/>
    </row>
    <row r="8339" ht="24" customHeight="1" spans="2:14">
      <c r="B8339" s="33"/>
      <c r="C8339" s="60"/>
      <c r="D8339" s="60"/>
      <c r="E8339" s="60"/>
      <c r="F8339" s="60"/>
      <c r="G8339" s="60"/>
      <c r="H8339" s="60"/>
      <c r="I8339" s="60"/>
      <c r="J8339" s="60"/>
      <c r="K8339" s="60"/>
      <c r="L8339" s="60"/>
      <c r="M8339" s="64"/>
      <c r="N8339" s="33"/>
    </row>
    <row r="8340" ht="24" customHeight="1" spans="2:14">
      <c r="B8340" s="33"/>
      <c r="C8340" s="60"/>
      <c r="D8340" s="60"/>
      <c r="E8340" s="60"/>
      <c r="F8340" s="60"/>
      <c r="G8340" s="60"/>
      <c r="H8340" s="60"/>
      <c r="I8340" s="60"/>
      <c r="J8340" s="60"/>
      <c r="K8340" s="60"/>
      <c r="L8340" s="60"/>
      <c r="M8340" s="64"/>
      <c r="N8340" s="33"/>
    </row>
    <row r="8341" ht="24" customHeight="1" spans="2:14">
      <c r="B8341" s="33"/>
      <c r="C8341" s="60"/>
      <c r="D8341" s="60"/>
      <c r="E8341" s="60"/>
      <c r="F8341" s="60"/>
      <c r="G8341" s="60"/>
      <c r="H8341" s="60"/>
      <c r="I8341" s="60"/>
      <c r="J8341" s="60"/>
      <c r="K8341" s="60"/>
      <c r="L8341" s="60"/>
      <c r="M8341" s="64"/>
      <c r="N8341" s="33"/>
    </row>
    <row r="8342" ht="24" customHeight="1" spans="2:14">
      <c r="B8342" s="33"/>
      <c r="C8342" s="60"/>
      <c r="D8342" s="60"/>
      <c r="E8342" s="60"/>
      <c r="F8342" s="60"/>
      <c r="G8342" s="60"/>
      <c r="H8342" s="60"/>
      <c r="I8342" s="60"/>
      <c r="J8342" s="60"/>
      <c r="K8342" s="60"/>
      <c r="L8342" s="60"/>
      <c r="M8342" s="64"/>
      <c r="N8342" s="33"/>
    </row>
    <row r="8343" ht="24" customHeight="1" spans="2:14">
      <c r="B8343" s="33"/>
      <c r="C8343" s="60"/>
      <c r="D8343" s="60"/>
      <c r="E8343" s="60"/>
      <c r="F8343" s="60"/>
      <c r="G8343" s="60"/>
      <c r="H8343" s="60"/>
      <c r="I8343" s="60"/>
      <c r="J8343" s="60"/>
      <c r="K8343" s="60"/>
      <c r="L8343" s="60"/>
      <c r="M8343" s="64"/>
      <c r="N8343" s="33"/>
    </row>
    <row r="8344" ht="24" customHeight="1" spans="2:14">
      <c r="B8344" s="33"/>
      <c r="C8344" s="60"/>
      <c r="D8344" s="60"/>
      <c r="E8344" s="60"/>
      <c r="F8344" s="60"/>
      <c r="G8344" s="60"/>
      <c r="H8344" s="60"/>
      <c r="I8344" s="60"/>
      <c r="J8344" s="60"/>
      <c r="K8344" s="60"/>
      <c r="L8344" s="60"/>
      <c r="M8344" s="64"/>
      <c r="N8344" s="33"/>
    </row>
    <row r="8345" ht="24" customHeight="1" spans="2:14">
      <c r="B8345" s="33"/>
      <c r="C8345" s="60"/>
      <c r="D8345" s="60"/>
      <c r="E8345" s="60"/>
      <c r="F8345" s="60"/>
      <c r="G8345" s="60"/>
      <c r="H8345" s="60"/>
      <c r="I8345" s="60"/>
      <c r="J8345" s="60"/>
      <c r="K8345" s="60"/>
      <c r="L8345" s="60"/>
      <c r="M8345" s="64"/>
      <c r="N8345" s="33"/>
    </row>
    <row r="8346" ht="24" customHeight="1" spans="2:14">
      <c r="B8346" s="33"/>
      <c r="C8346" s="60"/>
      <c r="D8346" s="60"/>
      <c r="E8346" s="60"/>
      <c r="F8346" s="60"/>
      <c r="G8346" s="60"/>
      <c r="H8346" s="60"/>
      <c r="I8346" s="60"/>
      <c r="J8346" s="60"/>
      <c r="K8346" s="60"/>
      <c r="L8346" s="60"/>
      <c r="M8346" s="64"/>
      <c r="N8346" s="33"/>
    </row>
    <row r="8347" ht="24" customHeight="1" spans="2:14">
      <c r="B8347" s="33"/>
      <c r="C8347" s="60"/>
      <c r="D8347" s="60"/>
      <c r="E8347" s="60"/>
      <c r="F8347" s="60"/>
      <c r="G8347" s="60"/>
      <c r="H8347" s="60"/>
      <c r="I8347" s="60"/>
      <c r="J8347" s="60"/>
      <c r="K8347" s="60"/>
      <c r="L8347" s="60"/>
      <c r="M8347" s="64"/>
      <c r="N8347" s="33"/>
    </row>
    <row r="8348" ht="24" customHeight="1" spans="2:14">
      <c r="B8348" s="33"/>
      <c r="C8348" s="60"/>
      <c r="D8348" s="60"/>
      <c r="E8348" s="60"/>
      <c r="F8348" s="60"/>
      <c r="G8348" s="60"/>
      <c r="H8348" s="60"/>
      <c r="I8348" s="60"/>
      <c r="J8348" s="60"/>
      <c r="K8348" s="60"/>
      <c r="L8348" s="60"/>
      <c r="M8348" s="64"/>
      <c r="N8348" s="33"/>
    </row>
    <row r="8349" ht="24" customHeight="1" spans="2:14">
      <c r="B8349" s="33"/>
      <c r="C8349" s="60"/>
      <c r="D8349" s="60"/>
      <c r="E8349" s="60"/>
      <c r="F8349" s="60"/>
      <c r="G8349" s="60"/>
      <c r="H8349" s="60"/>
      <c r="I8349" s="60"/>
      <c r="J8349" s="60"/>
      <c r="K8349" s="60"/>
      <c r="L8349" s="60"/>
      <c r="M8349" s="64"/>
      <c r="N8349" s="33"/>
    </row>
    <row r="8350" ht="24" customHeight="1" spans="2:14">
      <c r="B8350" s="33"/>
      <c r="C8350" s="60"/>
      <c r="D8350" s="60"/>
      <c r="E8350" s="60"/>
      <c r="F8350" s="60"/>
      <c r="G8350" s="60"/>
      <c r="H8350" s="60"/>
      <c r="I8350" s="60"/>
      <c r="J8350" s="60"/>
      <c r="K8350" s="60"/>
      <c r="L8350" s="60"/>
      <c r="M8350" s="64"/>
      <c r="N8350" s="33"/>
    </row>
    <row r="8351" ht="24" customHeight="1" spans="2:14">
      <c r="B8351" s="33"/>
      <c r="C8351" s="60"/>
      <c r="D8351" s="60"/>
      <c r="E8351" s="60"/>
      <c r="F8351" s="60"/>
      <c r="G8351" s="60"/>
      <c r="H8351" s="60"/>
      <c r="I8351" s="60"/>
      <c r="J8351" s="60"/>
      <c r="K8351" s="60"/>
      <c r="L8351" s="60"/>
      <c r="M8351" s="64"/>
      <c r="N8351" s="33"/>
    </row>
    <row r="8352" ht="24" customHeight="1" spans="2:14">
      <c r="B8352" s="33"/>
      <c r="C8352" s="60"/>
      <c r="D8352" s="60"/>
      <c r="E8352" s="60"/>
      <c r="F8352" s="60"/>
      <c r="G8352" s="60"/>
      <c r="H8352" s="60"/>
      <c r="I8352" s="60"/>
      <c r="J8352" s="60"/>
      <c r="K8352" s="60"/>
      <c r="L8352" s="60"/>
      <c r="M8352" s="64"/>
      <c r="N8352" s="33"/>
    </row>
    <row r="8353" ht="24" customHeight="1" spans="2:14">
      <c r="B8353" s="33"/>
      <c r="C8353" s="60"/>
      <c r="D8353" s="60"/>
      <c r="E8353" s="60"/>
      <c r="F8353" s="60"/>
      <c r="G8353" s="60"/>
      <c r="H8353" s="60"/>
      <c r="I8353" s="60"/>
      <c r="J8353" s="60"/>
      <c r="K8353" s="60"/>
      <c r="L8353" s="60"/>
      <c r="M8353" s="64"/>
      <c r="N8353" s="33"/>
    </row>
    <row r="8354" ht="24" customHeight="1" spans="2:14">
      <c r="B8354" s="33"/>
      <c r="C8354" s="60"/>
      <c r="D8354" s="60"/>
      <c r="E8354" s="60"/>
      <c r="F8354" s="60"/>
      <c r="G8354" s="60"/>
      <c r="H8354" s="60"/>
      <c r="I8354" s="60"/>
      <c r="J8354" s="60"/>
      <c r="K8354" s="60"/>
      <c r="L8354" s="60"/>
      <c r="M8354" s="64"/>
      <c r="N8354" s="33"/>
    </row>
    <row r="8355" ht="24" customHeight="1" spans="2:14">
      <c r="B8355" s="33"/>
      <c r="C8355" s="60"/>
      <c r="D8355" s="60"/>
      <c r="E8355" s="60"/>
      <c r="F8355" s="60"/>
      <c r="G8355" s="60"/>
      <c r="H8355" s="60"/>
      <c r="I8355" s="60"/>
      <c r="J8355" s="60"/>
      <c r="K8355" s="60"/>
      <c r="L8355" s="60"/>
      <c r="M8355" s="64"/>
      <c r="N8355" s="33"/>
    </row>
    <row r="8356" ht="24" customHeight="1" spans="2:14">
      <c r="B8356" s="33"/>
      <c r="C8356" s="60"/>
      <c r="D8356" s="60"/>
      <c r="E8356" s="60"/>
      <c r="F8356" s="60"/>
      <c r="G8356" s="60"/>
      <c r="H8356" s="60"/>
      <c r="I8356" s="60"/>
      <c r="J8356" s="60"/>
      <c r="K8356" s="60"/>
      <c r="L8356" s="60"/>
      <c r="M8356" s="64"/>
      <c r="N8356" s="33"/>
    </row>
    <row r="8357" ht="24" customHeight="1" spans="2:14">
      <c r="B8357" s="33"/>
      <c r="C8357" s="60"/>
      <c r="D8357" s="60"/>
      <c r="E8357" s="60"/>
      <c r="F8357" s="60"/>
      <c r="G8357" s="60"/>
      <c r="H8357" s="60"/>
      <c r="I8357" s="60"/>
      <c r="J8357" s="60"/>
      <c r="K8357" s="60"/>
      <c r="L8357" s="60"/>
      <c r="M8357" s="64"/>
      <c r="N8357" s="33"/>
    </row>
    <row r="8358" ht="24" customHeight="1" spans="2:14">
      <c r="B8358" s="33"/>
      <c r="C8358" s="60"/>
      <c r="D8358" s="60"/>
      <c r="E8358" s="60"/>
      <c r="F8358" s="60"/>
      <c r="G8358" s="60"/>
      <c r="H8358" s="60"/>
      <c r="I8358" s="60"/>
      <c r="J8358" s="60"/>
      <c r="K8358" s="60"/>
      <c r="L8358" s="60"/>
      <c r="M8358" s="64"/>
      <c r="N8358" s="33"/>
    </row>
    <row r="8359" ht="24" customHeight="1" spans="2:14">
      <c r="B8359" s="33"/>
      <c r="C8359" s="60"/>
      <c r="D8359" s="60"/>
      <c r="E8359" s="60"/>
      <c r="F8359" s="60"/>
      <c r="G8359" s="60"/>
      <c r="H8359" s="60"/>
      <c r="I8359" s="60"/>
      <c r="J8359" s="60"/>
      <c r="K8359" s="60"/>
      <c r="L8359" s="60"/>
      <c r="M8359" s="64"/>
      <c r="N8359" s="33"/>
    </row>
    <row r="8360" ht="24" customHeight="1" spans="2:14">
      <c r="B8360" s="33"/>
      <c r="C8360" s="60"/>
      <c r="D8360" s="60"/>
      <c r="E8360" s="60"/>
      <c r="F8360" s="60"/>
      <c r="G8360" s="60"/>
      <c r="H8360" s="60"/>
      <c r="I8360" s="60"/>
      <c r="J8360" s="60"/>
      <c r="K8360" s="60"/>
      <c r="L8360" s="60"/>
      <c r="M8360" s="64"/>
      <c r="N8360" s="33"/>
    </row>
    <row r="8361" ht="24" customHeight="1" spans="2:14">
      <c r="B8361" s="33"/>
      <c r="C8361" s="60"/>
      <c r="D8361" s="60"/>
      <c r="E8361" s="60"/>
      <c r="F8361" s="60"/>
      <c r="G8361" s="60"/>
      <c r="H8361" s="60"/>
      <c r="I8361" s="60"/>
      <c r="J8361" s="60"/>
      <c r="K8361" s="60"/>
      <c r="L8361" s="60"/>
      <c r="M8361" s="64"/>
      <c r="N8361" s="33"/>
    </row>
    <row r="8362" ht="24" customHeight="1" spans="2:14">
      <c r="B8362" s="33"/>
      <c r="C8362" s="60"/>
      <c r="D8362" s="60"/>
      <c r="E8362" s="60"/>
      <c r="F8362" s="60"/>
      <c r="G8362" s="60"/>
      <c r="H8362" s="60"/>
      <c r="I8362" s="60"/>
      <c r="J8362" s="60"/>
      <c r="K8362" s="60"/>
      <c r="L8362" s="60"/>
      <c r="M8362" s="64"/>
      <c r="N8362" s="33"/>
    </row>
    <row r="8363" ht="24" customHeight="1" spans="2:14">
      <c r="B8363" s="33"/>
      <c r="C8363" s="60"/>
      <c r="D8363" s="60"/>
      <c r="E8363" s="60"/>
      <c r="F8363" s="60"/>
      <c r="G8363" s="60"/>
      <c r="H8363" s="60"/>
      <c r="I8363" s="60"/>
      <c r="J8363" s="60"/>
      <c r="K8363" s="60"/>
      <c r="L8363" s="60"/>
      <c r="M8363" s="64"/>
      <c r="N8363" s="33"/>
    </row>
    <row r="8364" ht="24" customHeight="1" spans="2:14">
      <c r="B8364" s="33"/>
      <c r="C8364" s="60"/>
      <c r="D8364" s="60"/>
      <c r="E8364" s="60"/>
      <c r="F8364" s="60"/>
      <c r="G8364" s="60"/>
      <c r="H8364" s="60"/>
      <c r="I8364" s="60"/>
      <c r="J8364" s="60"/>
      <c r="K8364" s="60"/>
      <c r="L8364" s="60"/>
      <c r="M8364" s="64"/>
      <c r="N8364" s="33"/>
    </row>
    <row r="8365" ht="24" customHeight="1" spans="2:14">
      <c r="B8365" s="33"/>
      <c r="C8365" s="60"/>
      <c r="D8365" s="60"/>
      <c r="E8365" s="60"/>
      <c r="F8365" s="60"/>
      <c r="G8365" s="60"/>
      <c r="H8365" s="60"/>
      <c r="I8365" s="60"/>
      <c r="J8365" s="60"/>
      <c r="K8365" s="60"/>
      <c r="L8365" s="60"/>
      <c r="M8365" s="64"/>
      <c r="N8365" s="33"/>
    </row>
    <row r="8366" ht="24" customHeight="1" spans="2:14">
      <c r="B8366" s="33"/>
      <c r="C8366" s="60"/>
      <c r="D8366" s="60"/>
      <c r="E8366" s="60"/>
      <c r="F8366" s="60"/>
      <c r="G8366" s="60"/>
      <c r="H8366" s="60"/>
      <c r="I8366" s="60"/>
      <c r="J8366" s="60"/>
      <c r="K8366" s="60"/>
      <c r="L8366" s="60"/>
      <c r="M8366" s="64"/>
      <c r="N8366" s="33"/>
    </row>
    <row r="8367" ht="24" customHeight="1" spans="2:14">
      <c r="B8367" s="33"/>
      <c r="C8367" s="60"/>
      <c r="D8367" s="60"/>
      <c r="E8367" s="60"/>
      <c r="F8367" s="60"/>
      <c r="G8367" s="60"/>
      <c r="H8367" s="60"/>
      <c r="I8367" s="60"/>
      <c r="J8367" s="60"/>
      <c r="K8367" s="60"/>
      <c r="L8367" s="60"/>
      <c r="M8367" s="64"/>
      <c r="N8367" s="33"/>
    </row>
    <row r="8368" ht="24" customHeight="1" spans="2:14">
      <c r="B8368" s="33"/>
      <c r="C8368" s="60"/>
      <c r="D8368" s="60"/>
      <c r="E8368" s="60"/>
      <c r="F8368" s="60"/>
      <c r="G8368" s="60"/>
      <c r="H8368" s="60"/>
      <c r="I8368" s="60"/>
      <c r="J8368" s="60"/>
      <c r="K8368" s="60"/>
      <c r="L8368" s="60"/>
      <c r="M8368" s="64"/>
      <c r="N8368" s="33"/>
    </row>
    <row r="8369" ht="24" customHeight="1" spans="2:14">
      <c r="B8369" s="33"/>
      <c r="C8369" s="60"/>
      <c r="D8369" s="60"/>
      <c r="E8369" s="60"/>
      <c r="F8369" s="60"/>
      <c r="G8369" s="60"/>
      <c r="H8369" s="60"/>
      <c r="I8369" s="60"/>
      <c r="J8369" s="60"/>
      <c r="K8369" s="60"/>
      <c r="L8369" s="60"/>
      <c r="M8369" s="64"/>
      <c r="N8369" s="33"/>
    </row>
    <row r="8370" ht="24" customHeight="1" spans="2:14">
      <c r="B8370" s="33"/>
      <c r="C8370" s="60"/>
      <c r="D8370" s="60"/>
      <c r="E8370" s="60"/>
      <c r="F8370" s="60"/>
      <c r="G8370" s="60"/>
      <c r="H8370" s="60"/>
      <c r="I8370" s="60"/>
      <c r="J8370" s="60"/>
      <c r="K8370" s="60"/>
      <c r="L8370" s="60"/>
      <c r="M8370" s="64"/>
      <c r="N8370" s="33"/>
    </row>
    <row r="8371" ht="24" customHeight="1" spans="2:14">
      <c r="B8371" s="33"/>
      <c r="C8371" s="60"/>
      <c r="D8371" s="60"/>
      <c r="E8371" s="60"/>
      <c r="F8371" s="60"/>
      <c r="G8371" s="60"/>
      <c r="H8371" s="60"/>
      <c r="I8371" s="60"/>
      <c r="J8371" s="60"/>
      <c r="K8371" s="60"/>
      <c r="L8371" s="60"/>
      <c r="M8371" s="64"/>
      <c r="N8371" s="33"/>
    </row>
    <row r="8372" ht="24" customHeight="1" spans="2:14">
      <c r="B8372" s="33"/>
      <c r="C8372" s="60"/>
      <c r="D8372" s="60"/>
      <c r="E8372" s="60"/>
      <c r="F8372" s="60"/>
      <c r="G8372" s="60"/>
      <c r="H8372" s="60"/>
      <c r="I8372" s="60"/>
      <c r="J8372" s="60"/>
      <c r="K8372" s="60"/>
      <c r="L8372" s="60"/>
      <c r="M8372" s="64"/>
      <c r="N8372" s="33"/>
    </row>
    <row r="8373" ht="24" customHeight="1" spans="2:14">
      <c r="B8373" s="33"/>
      <c r="C8373" s="60"/>
      <c r="D8373" s="60"/>
      <c r="E8373" s="60"/>
      <c r="F8373" s="60"/>
      <c r="G8373" s="60"/>
      <c r="H8373" s="60"/>
      <c r="I8373" s="60"/>
      <c r="J8373" s="60"/>
      <c r="K8373" s="60"/>
      <c r="L8373" s="60"/>
      <c r="M8373" s="64"/>
      <c r="N8373" s="33"/>
    </row>
    <row r="8374" ht="24" customHeight="1" spans="2:14">
      <c r="B8374" s="33"/>
      <c r="C8374" s="60"/>
      <c r="D8374" s="60"/>
      <c r="E8374" s="60"/>
      <c r="F8374" s="60"/>
      <c r="G8374" s="60"/>
      <c r="H8374" s="60"/>
      <c r="I8374" s="60"/>
      <c r="J8374" s="60"/>
      <c r="K8374" s="60"/>
      <c r="L8374" s="60"/>
      <c r="M8374" s="64"/>
      <c r="N8374" s="33"/>
    </row>
    <row r="8375" ht="24" customHeight="1" spans="2:14">
      <c r="B8375" s="33"/>
      <c r="C8375" s="60"/>
      <c r="D8375" s="60"/>
      <c r="E8375" s="60"/>
      <c r="F8375" s="60"/>
      <c r="G8375" s="60"/>
      <c r="H8375" s="60"/>
      <c r="I8375" s="60"/>
      <c r="J8375" s="60"/>
      <c r="K8375" s="60"/>
      <c r="L8375" s="60"/>
      <c r="M8375" s="64"/>
      <c r="N8375" s="33"/>
    </row>
    <row r="8376" ht="24" customHeight="1" spans="2:14">
      <c r="B8376" s="33"/>
      <c r="C8376" s="60"/>
      <c r="D8376" s="60"/>
      <c r="E8376" s="60"/>
      <c r="F8376" s="60"/>
      <c r="G8376" s="60"/>
      <c r="H8376" s="60"/>
      <c r="I8376" s="60"/>
      <c r="J8376" s="60"/>
      <c r="K8376" s="60"/>
      <c r="L8376" s="60"/>
      <c r="M8376" s="64"/>
      <c r="N8376" s="33"/>
    </row>
    <row r="8377" ht="24" customHeight="1" spans="2:14">
      <c r="B8377" s="33"/>
      <c r="C8377" s="60"/>
      <c r="D8377" s="60"/>
      <c r="E8377" s="60"/>
      <c r="F8377" s="60"/>
      <c r="G8377" s="60"/>
      <c r="H8377" s="60"/>
      <c r="I8377" s="60"/>
      <c r="J8377" s="60"/>
      <c r="K8377" s="60"/>
      <c r="L8377" s="60"/>
      <c r="M8377" s="64"/>
      <c r="N8377" s="33"/>
    </row>
    <row r="8378" ht="24" customHeight="1" spans="2:14">
      <c r="B8378" s="33"/>
      <c r="C8378" s="60"/>
      <c r="D8378" s="60"/>
      <c r="E8378" s="60"/>
      <c r="F8378" s="60"/>
      <c r="G8378" s="60"/>
      <c r="H8378" s="60"/>
      <c r="I8378" s="60"/>
      <c r="J8378" s="60"/>
      <c r="K8378" s="60"/>
      <c r="L8378" s="60"/>
      <c r="M8378" s="64"/>
      <c r="N8378" s="33"/>
    </row>
    <row r="8379" ht="24" customHeight="1" spans="2:14">
      <c r="B8379" s="33"/>
      <c r="C8379" s="60"/>
      <c r="D8379" s="60"/>
      <c r="E8379" s="60"/>
      <c r="F8379" s="60"/>
      <c r="G8379" s="60"/>
      <c r="H8379" s="60"/>
      <c r="I8379" s="60"/>
      <c r="J8379" s="60"/>
      <c r="K8379" s="60"/>
      <c r="L8379" s="60"/>
      <c r="M8379" s="64"/>
      <c r="N8379" s="33"/>
    </row>
    <row r="8380" ht="24" customHeight="1" spans="2:14">
      <c r="B8380" s="33"/>
      <c r="C8380" s="60"/>
      <c r="D8380" s="60"/>
      <c r="E8380" s="60"/>
      <c r="F8380" s="60"/>
      <c r="G8380" s="60"/>
      <c r="H8380" s="60"/>
      <c r="I8380" s="60"/>
      <c r="J8380" s="60"/>
      <c r="K8380" s="60"/>
      <c r="L8380" s="60"/>
      <c r="M8380" s="64"/>
      <c r="N8380" s="33"/>
    </row>
    <row r="8381" ht="24" customHeight="1" spans="2:14">
      <c r="B8381" s="33"/>
      <c r="C8381" s="60"/>
      <c r="D8381" s="60"/>
      <c r="E8381" s="60"/>
      <c r="F8381" s="60"/>
      <c r="G8381" s="60"/>
      <c r="H8381" s="60"/>
      <c r="I8381" s="60"/>
      <c r="J8381" s="60"/>
      <c r="K8381" s="60"/>
      <c r="L8381" s="60"/>
      <c r="M8381" s="64"/>
      <c r="N8381" s="33"/>
    </row>
    <row r="8382" ht="24" customHeight="1" spans="2:14">
      <c r="B8382" s="33"/>
      <c r="C8382" s="60"/>
      <c r="D8382" s="60"/>
      <c r="E8382" s="60"/>
      <c r="F8382" s="60"/>
      <c r="G8382" s="60"/>
      <c r="H8382" s="60"/>
      <c r="I8382" s="60"/>
      <c r="J8382" s="60"/>
      <c r="K8382" s="60"/>
      <c r="L8382" s="60"/>
      <c r="M8382" s="64"/>
      <c r="N8382" s="33"/>
    </row>
    <row r="8383" ht="24" customHeight="1" spans="2:14">
      <c r="B8383" s="33"/>
      <c r="C8383" s="60"/>
      <c r="D8383" s="60"/>
      <c r="E8383" s="60"/>
      <c r="F8383" s="60"/>
      <c r="G8383" s="60"/>
      <c r="H8383" s="60"/>
      <c r="I8383" s="60"/>
      <c r="J8383" s="60"/>
      <c r="K8383" s="60"/>
      <c r="L8383" s="60"/>
      <c r="M8383" s="64"/>
      <c r="N8383" s="33"/>
    </row>
    <row r="8384" ht="24" customHeight="1" spans="2:14">
      <c r="B8384" s="33"/>
      <c r="C8384" s="60"/>
      <c r="D8384" s="60"/>
      <c r="E8384" s="60"/>
      <c r="F8384" s="60"/>
      <c r="G8384" s="60"/>
      <c r="H8384" s="60"/>
      <c r="I8384" s="60"/>
      <c r="J8384" s="60"/>
      <c r="K8384" s="60"/>
      <c r="L8384" s="60"/>
      <c r="M8384" s="64"/>
      <c r="N8384" s="33"/>
    </row>
    <row r="8385" ht="24" customHeight="1" spans="2:14">
      <c r="B8385" s="33"/>
      <c r="C8385" s="60"/>
      <c r="D8385" s="60"/>
      <c r="E8385" s="60"/>
      <c r="F8385" s="60"/>
      <c r="G8385" s="60"/>
      <c r="H8385" s="60"/>
      <c r="I8385" s="60"/>
      <c r="J8385" s="60"/>
      <c r="K8385" s="60"/>
      <c r="L8385" s="60"/>
      <c r="M8385" s="64"/>
      <c r="N8385" s="33"/>
    </row>
    <row r="8386" ht="24" customHeight="1" spans="2:14">
      <c r="B8386" s="33"/>
      <c r="C8386" s="60"/>
      <c r="D8386" s="60"/>
      <c r="E8386" s="60"/>
      <c r="F8386" s="60"/>
      <c r="G8386" s="60"/>
      <c r="H8386" s="60"/>
      <c r="I8386" s="60"/>
      <c r="J8386" s="60"/>
      <c r="K8386" s="60"/>
      <c r="L8386" s="60"/>
      <c r="M8386" s="64"/>
      <c r="N8386" s="33"/>
    </row>
    <row r="8387" ht="24" customHeight="1" spans="2:14">
      <c r="B8387" s="33"/>
      <c r="C8387" s="60"/>
      <c r="D8387" s="60"/>
      <c r="E8387" s="60"/>
      <c r="F8387" s="60"/>
      <c r="G8387" s="60"/>
      <c r="H8387" s="60"/>
      <c r="I8387" s="60"/>
      <c r="J8387" s="60"/>
      <c r="K8387" s="60"/>
      <c r="L8387" s="60"/>
      <c r="M8387" s="64"/>
      <c r="N8387" s="33"/>
    </row>
    <row r="8388" ht="24" customHeight="1" spans="2:14">
      <c r="B8388" s="33"/>
      <c r="C8388" s="60"/>
      <c r="D8388" s="60"/>
      <c r="E8388" s="60"/>
      <c r="F8388" s="60"/>
      <c r="G8388" s="60"/>
      <c r="H8388" s="60"/>
      <c r="I8388" s="60"/>
      <c r="J8388" s="60"/>
      <c r="K8388" s="60"/>
      <c r="L8388" s="60"/>
      <c r="M8388" s="64"/>
      <c r="N8388" s="33"/>
    </row>
    <row r="8389" ht="24" customHeight="1" spans="2:14">
      <c r="B8389" s="33"/>
      <c r="C8389" s="60"/>
      <c r="D8389" s="60"/>
      <c r="E8389" s="60"/>
      <c r="F8389" s="60"/>
      <c r="G8389" s="60"/>
      <c r="H8389" s="60"/>
      <c r="I8389" s="60"/>
      <c r="J8389" s="60"/>
      <c r="K8389" s="60"/>
      <c r="L8389" s="60"/>
      <c r="M8389" s="64"/>
      <c r="N8389" s="33"/>
    </row>
    <row r="8390" ht="24" customHeight="1" spans="2:14">
      <c r="B8390" s="33"/>
      <c r="C8390" s="60"/>
      <c r="D8390" s="60"/>
      <c r="E8390" s="60"/>
      <c r="F8390" s="60"/>
      <c r="G8390" s="60"/>
      <c r="H8390" s="60"/>
      <c r="I8390" s="60"/>
      <c r="J8390" s="60"/>
      <c r="K8390" s="60"/>
      <c r="L8390" s="60"/>
      <c r="M8390" s="64"/>
      <c r="N8390" s="33"/>
    </row>
    <row r="8391" ht="24" customHeight="1" spans="2:14">
      <c r="B8391" s="33"/>
      <c r="C8391" s="60"/>
      <c r="D8391" s="60"/>
      <c r="E8391" s="60"/>
      <c r="F8391" s="60"/>
      <c r="G8391" s="60"/>
      <c r="H8391" s="60"/>
      <c r="I8391" s="60"/>
      <c r="J8391" s="60"/>
      <c r="K8391" s="60"/>
      <c r="L8391" s="60"/>
      <c r="M8391" s="64"/>
      <c r="N8391" s="33"/>
    </row>
    <row r="8392" ht="24" customHeight="1" spans="2:14">
      <c r="B8392" s="33"/>
      <c r="C8392" s="60"/>
      <c r="D8392" s="60"/>
      <c r="E8392" s="60"/>
      <c r="F8392" s="60"/>
      <c r="G8392" s="60"/>
      <c r="H8392" s="60"/>
      <c r="I8392" s="60"/>
      <c r="J8392" s="60"/>
      <c r="K8392" s="60"/>
      <c r="L8392" s="60"/>
      <c r="M8392" s="64"/>
      <c r="N8392" s="33"/>
    </row>
    <row r="8393" ht="24" customHeight="1" spans="2:14">
      <c r="B8393" s="33"/>
      <c r="C8393" s="60"/>
      <c r="D8393" s="60"/>
      <c r="E8393" s="60"/>
      <c r="F8393" s="60"/>
      <c r="G8393" s="60"/>
      <c r="H8393" s="60"/>
      <c r="I8393" s="60"/>
      <c r="J8393" s="60"/>
      <c r="K8393" s="60"/>
      <c r="L8393" s="60"/>
      <c r="M8393" s="64"/>
      <c r="N8393" s="33"/>
    </row>
    <row r="8394" ht="24" customHeight="1" spans="2:14">
      <c r="B8394" s="33"/>
      <c r="C8394" s="60"/>
      <c r="D8394" s="60"/>
      <c r="E8394" s="60"/>
      <c r="F8394" s="60"/>
      <c r="G8394" s="60"/>
      <c r="H8394" s="60"/>
      <c r="I8394" s="60"/>
      <c r="J8394" s="60"/>
      <c r="K8394" s="60"/>
      <c r="L8394" s="60"/>
      <c r="M8394" s="64"/>
      <c r="N8394" s="33"/>
    </row>
    <row r="8395" ht="24" customHeight="1" spans="2:14">
      <c r="B8395" s="33"/>
      <c r="C8395" s="60"/>
      <c r="D8395" s="60"/>
      <c r="E8395" s="60"/>
      <c r="F8395" s="60"/>
      <c r="G8395" s="60"/>
      <c r="H8395" s="60"/>
      <c r="I8395" s="60"/>
      <c r="J8395" s="60"/>
      <c r="K8395" s="60"/>
      <c r="L8395" s="60"/>
      <c r="M8395" s="64"/>
      <c r="N8395" s="33"/>
    </row>
    <row r="8396" ht="24" customHeight="1" spans="2:14">
      <c r="B8396" s="33"/>
      <c r="C8396" s="60"/>
      <c r="D8396" s="60"/>
      <c r="E8396" s="60"/>
      <c r="F8396" s="60"/>
      <c r="G8396" s="60"/>
      <c r="H8396" s="60"/>
      <c r="I8396" s="60"/>
      <c r="J8396" s="60"/>
      <c r="K8396" s="60"/>
      <c r="L8396" s="60"/>
      <c r="M8396" s="64"/>
      <c r="N8396" s="33"/>
    </row>
    <row r="8397" ht="24" customHeight="1" spans="2:14">
      <c r="B8397" s="33"/>
      <c r="C8397" s="60"/>
      <c r="D8397" s="60"/>
      <c r="E8397" s="60"/>
      <c r="F8397" s="60"/>
      <c r="G8397" s="60"/>
      <c r="H8397" s="60"/>
      <c r="I8397" s="60"/>
      <c r="J8397" s="60"/>
      <c r="K8397" s="60"/>
      <c r="L8397" s="60"/>
      <c r="M8397" s="64"/>
      <c r="N8397" s="33"/>
    </row>
    <row r="8398" ht="24" customHeight="1" spans="2:14">
      <c r="B8398" s="33"/>
      <c r="C8398" s="60"/>
      <c r="D8398" s="60"/>
      <c r="E8398" s="60"/>
      <c r="F8398" s="60"/>
      <c r="G8398" s="60"/>
      <c r="H8398" s="60"/>
      <c r="I8398" s="60"/>
      <c r="J8398" s="60"/>
      <c r="K8398" s="60"/>
      <c r="L8398" s="60"/>
      <c r="M8398" s="64"/>
      <c r="N8398" s="33"/>
    </row>
    <row r="8399" ht="24" customHeight="1" spans="2:14">
      <c r="B8399" s="33"/>
      <c r="C8399" s="60"/>
      <c r="D8399" s="60"/>
      <c r="E8399" s="60"/>
      <c r="F8399" s="60"/>
      <c r="G8399" s="60"/>
      <c r="H8399" s="60"/>
      <c r="I8399" s="60"/>
      <c r="J8399" s="60"/>
      <c r="K8399" s="60"/>
      <c r="L8399" s="60"/>
      <c r="M8399" s="64"/>
      <c r="N8399" s="33"/>
    </row>
    <row r="8400" ht="24" customHeight="1" spans="2:14">
      <c r="B8400" s="33"/>
      <c r="C8400" s="60"/>
      <c r="D8400" s="60"/>
      <c r="E8400" s="60"/>
      <c r="F8400" s="60"/>
      <c r="G8400" s="60"/>
      <c r="H8400" s="60"/>
      <c r="I8400" s="60"/>
      <c r="J8400" s="60"/>
      <c r="K8400" s="60"/>
      <c r="L8400" s="60"/>
      <c r="M8400" s="64"/>
      <c r="N8400" s="33"/>
    </row>
    <row r="8401" ht="24" customHeight="1" spans="2:14">
      <c r="B8401" s="33"/>
      <c r="C8401" s="60"/>
      <c r="D8401" s="60"/>
      <c r="E8401" s="60"/>
      <c r="F8401" s="60"/>
      <c r="G8401" s="60"/>
      <c r="H8401" s="60"/>
      <c r="I8401" s="60"/>
      <c r="J8401" s="60"/>
      <c r="K8401" s="60"/>
      <c r="L8401" s="60"/>
      <c r="M8401" s="64"/>
      <c r="N8401" s="33"/>
    </row>
    <row r="8402" ht="24" customHeight="1" spans="2:14">
      <c r="B8402" s="33"/>
      <c r="C8402" s="60"/>
      <c r="D8402" s="60"/>
      <c r="E8402" s="60"/>
      <c r="F8402" s="60"/>
      <c r="G8402" s="60"/>
      <c r="H8402" s="60"/>
      <c r="I8402" s="60"/>
      <c r="J8402" s="60"/>
      <c r="K8402" s="60"/>
      <c r="L8402" s="60"/>
      <c r="M8402" s="64"/>
      <c r="N8402" s="33"/>
    </row>
    <row r="8403" ht="24" customHeight="1" spans="2:14">
      <c r="B8403" s="33"/>
      <c r="C8403" s="60"/>
      <c r="D8403" s="60"/>
      <c r="E8403" s="60"/>
      <c r="F8403" s="60"/>
      <c r="G8403" s="60"/>
      <c r="H8403" s="60"/>
      <c r="I8403" s="60"/>
      <c r="J8403" s="60"/>
      <c r="K8403" s="60"/>
      <c r="L8403" s="60"/>
      <c r="M8403" s="64"/>
      <c r="N8403" s="33"/>
    </row>
    <row r="8404" ht="24" customHeight="1" spans="2:14">
      <c r="B8404" s="33"/>
      <c r="C8404" s="60"/>
      <c r="D8404" s="60"/>
      <c r="E8404" s="60"/>
      <c r="F8404" s="60"/>
      <c r="G8404" s="60"/>
      <c r="H8404" s="60"/>
      <c r="I8404" s="60"/>
      <c r="J8404" s="60"/>
      <c r="K8404" s="60"/>
      <c r="L8404" s="60"/>
      <c r="M8404" s="64"/>
      <c r="N8404" s="33"/>
    </row>
    <row r="8405" ht="24" customHeight="1" spans="2:14">
      <c r="B8405" s="33"/>
      <c r="C8405" s="60"/>
      <c r="D8405" s="60"/>
      <c r="E8405" s="60"/>
      <c r="F8405" s="60"/>
      <c r="G8405" s="60"/>
      <c r="H8405" s="60"/>
      <c r="I8405" s="60"/>
      <c r="J8405" s="60"/>
      <c r="K8405" s="60"/>
      <c r="L8405" s="60"/>
      <c r="M8405" s="64"/>
      <c r="N8405" s="33"/>
    </row>
    <row r="8406" ht="24" customHeight="1" spans="2:14">
      <c r="B8406" s="33"/>
      <c r="C8406" s="60"/>
      <c r="D8406" s="60"/>
      <c r="E8406" s="60"/>
      <c r="F8406" s="60"/>
      <c r="G8406" s="60"/>
      <c r="H8406" s="60"/>
      <c r="I8406" s="60"/>
      <c r="J8406" s="60"/>
      <c r="K8406" s="60"/>
      <c r="L8406" s="60"/>
      <c r="M8406" s="64"/>
      <c r="N8406" s="33"/>
    </row>
    <row r="8407" ht="24" customHeight="1" spans="2:14">
      <c r="B8407" s="33"/>
      <c r="C8407" s="60"/>
      <c r="D8407" s="60"/>
      <c r="E8407" s="60"/>
      <c r="F8407" s="60"/>
      <c r="G8407" s="60"/>
      <c r="H8407" s="60"/>
      <c r="I8407" s="60"/>
      <c r="J8407" s="60"/>
      <c r="K8407" s="60"/>
      <c r="L8407" s="60"/>
      <c r="M8407" s="64"/>
      <c r="N8407" s="33"/>
    </row>
    <row r="8408" ht="24" customHeight="1" spans="2:14">
      <c r="B8408" s="33"/>
      <c r="C8408" s="60"/>
      <c r="D8408" s="60"/>
      <c r="E8408" s="60"/>
      <c r="F8408" s="60"/>
      <c r="G8408" s="60"/>
      <c r="H8408" s="60"/>
      <c r="I8408" s="60"/>
      <c r="J8408" s="60"/>
      <c r="K8408" s="60"/>
      <c r="L8408" s="60"/>
      <c r="M8408" s="64"/>
      <c r="N8408" s="33"/>
    </row>
    <row r="8409" ht="24" customHeight="1" spans="2:14">
      <c r="B8409" s="33"/>
      <c r="C8409" s="60"/>
      <c r="D8409" s="60"/>
      <c r="E8409" s="60"/>
      <c r="F8409" s="60"/>
      <c r="G8409" s="60"/>
      <c r="H8409" s="60"/>
      <c r="I8409" s="60"/>
      <c r="J8409" s="60"/>
      <c r="K8409" s="60"/>
      <c r="L8409" s="60"/>
      <c r="M8409" s="64"/>
      <c r="N8409" s="33"/>
    </row>
    <row r="8410" ht="24" customHeight="1" spans="2:14">
      <c r="B8410" s="33"/>
      <c r="C8410" s="60"/>
      <c r="D8410" s="60"/>
      <c r="E8410" s="60"/>
      <c r="F8410" s="60"/>
      <c r="G8410" s="60"/>
      <c r="H8410" s="60"/>
      <c r="I8410" s="60"/>
      <c r="J8410" s="60"/>
      <c r="K8410" s="60"/>
      <c r="L8410" s="60"/>
      <c r="M8410" s="64"/>
      <c r="N8410" s="33"/>
    </row>
    <row r="8411" ht="24" customHeight="1" spans="2:14">
      <c r="B8411" s="33"/>
      <c r="C8411" s="60"/>
      <c r="D8411" s="60"/>
      <c r="E8411" s="60"/>
      <c r="F8411" s="60"/>
      <c r="G8411" s="60"/>
      <c r="H8411" s="60"/>
      <c r="I8411" s="60"/>
      <c r="J8411" s="60"/>
      <c r="K8411" s="60"/>
      <c r="L8411" s="60"/>
      <c r="M8411" s="64"/>
      <c r="N8411" s="33"/>
    </row>
    <row r="8412" ht="24" customHeight="1" spans="2:14">
      <c r="B8412" s="33"/>
      <c r="C8412" s="60"/>
      <c r="D8412" s="60"/>
      <c r="E8412" s="60"/>
      <c r="F8412" s="60"/>
      <c r="G8412" s="60"/>
      <c r="H8412" s="60"/>
      <c r="I8412" s="60"/>
      <c r="J8412" s="60"/>
      <c r="K8412" s="60"/>
      <c r="L8412" s="60"/>
      <c r="M8412" s="64"/>
      <c r="N8412" s="33"/>
    </row>
    <row r="8413" ht="24" customHeight="1" spans="2:14">
      <c r="B8413" s="33"/>
      <c r="C8413" s="60"/>
      <c r="D8413" s="60"/>
      <c r="E8413" s="60"/>
      <c r="F8413" s="60"/>
      <c r="G8413" s="60"/>
      <c r="H8413" s="60"/>
      <c r="I8413" s="60"/>
      <c r="J8413" s="60"/>
      <c r="K8413" s="60"/>
      <c r="L8413" s="60"/>
      <c r="M8413" s="64"/>
      <c r="N8413" s="33"/>
    </row>
    <row r="8414" ht="24" customHeight="1" spans="2:14">
      <c r="B8414" s="33"/>
      <c r="C8414" s="60"/>
      <c r="D8414" s="60"/>
      <c r="E8414" s="60"/>
      <c r="F8414" s="60"/>
      <c r="G8414" s="60"/>
      <c r="H8414" s="60"/>
      <c r="I8414" s="60"/>
      <c r="J8414" s="60"/>
      <c r="K8414" s="60"/>
      <c r="L8414" s="60"/>
      <c r="M8414" s="64"/>
      <c r="N8414" s="33"/>
    </row>
    <row r="8415" ht="24" customHeight="1" spans="2:14">
      <c r="B8415" s="33"/>
      <c r="C8415" s="60"/>
      <c r="D8415" s="60"/>
      <c r="E8415" s="60"/>
      <c r="F8415" s="60"/>
      <c r="G8415" s="60"/>
      <c r="H8415" s="60"/>
      <c r="I8415" s="60"/>
      <c r="J8415" s="60"/>
      <c r="K8415" s="60"/>
      <c r="L8415" s="60"/>
      <c r="M8415" s="64"/>
      <c r="N8415" s="33"/>
    </row>
    <row r="8416" ht="24" customHeight="1" spans="2:14">
      <c r="B8416" s="33"/>
      <c r="C8416" s="60"/>
      <c r="D8416" s="60"/>
      <c r="E8416" s="60"/>
      <c r="F8416" s="60"/>
      <c r="G8416" s="60"/>
      <c r="H8416" s="60"/>
      <c r="I8416" s="60"/>
      <c r="J8416" s="60"/>
      <c r="K8416" s="60"/>
      <c r="L8416" s="60"/>
      <c r="M8416" s="64"/>
      <c r="N8416" s="33"/>
    </row>
    <row r="8417" ht="24" customHeight="1" spans="2:14">
      <c r="B8417" s="33"/>
      <c r="C8417" s="60"/>
      <c r="D8417" s="60"/>
      <c r="E8417" s="60"/>
      <c r="F8417" s="60"/>
      <c r="G8417" s="60"/>
      <c r="H8417" s="60"/>
      <c r="I8417" s="60"/>
      <c r="J8417" s="60"/>
      <c r="K8417" s="60"/>
      <c r="L8417" s="60"/>
      <c r="M8417" s="64"/>
      <c r="N8417" s="33"/>
    </row>
    <row r="8418" ht="24" customHeight="1" spans="2:14">
      <c r="B8418" s="33"/>
      <c r="C8418" s="60"/>
      <c r="D8418" s="60"/>
      <c r="E8418" s="60"/>
      <c r="F8418" s="60"/>
      <c r="G8418" s="60"/>
      <c r="H8418" s="60"/>
      <c r="I8418" s="60"/>
      <c r="J8418" s="60"/>
      <c r="K8418" s="60"/>
      <c r="L8418" s="60"/>
      <c r="M8418" s="64"/>
      <c r="N8418" s="33"/>
    </row>
    <row r="8419" ht="24" customHeight="1" spans="2:14">
      <c r="B8419" s="33"/>
      <c r="C8419" s="60"/>
      <c r="D8419" s="60"/>
      <c r="E8419" s="60"/>
      <c r="F8419" s="60"/>
      <c r="G8419" s="60"/>
      <c r="H8419" s="60"/>
      <c r="I8419" s="60"/>
      <c r="J8419" s="60"/>
      <c r="K8419" s="60"/>
      <c r="L8419" s="60"/>
      <c r="M8419" s="64"/>
      <c r="N8419" s="33"/>
    </row>
    <row r="8420" ht="24" customHeight="1" spans="2:14">
      <c r="B8420" s="33"/>
      <c r="C8420" s="60"/>
      <c r="D8420" s="60"/>
      <c r="E8420" s="60"/>
      <c r="F8420" s="60"/>
      <c r="G8420" s="60"/>
      <c r="H8420" s="60"/>
      <c r="I8420" s="60"/>
      <c r="J8420" s="60"/>
      <c r="K8420" s="60"/>
      <c r="L8420" s="60"/>
      <c r="M8420" s="64"/>
      <c r="N8420" s="33"/>
    </row>
    <row r="8421" ht="24" customHeight="1" spans="2:14">
      <c r="B8421" s="33"/>
      <c r="C8421" s="60"/>
      <c r="D8421" s="60"/>
      <c r="E8421" s="60"/>
      <c r="F8421" s="60"/>
      <c r="G8421" s="60"/>
      <c r="H8421" s="60"/>
      <c r="I8421" s="60"/>
      <c r="J8421" s="60"/>
      <c r="K8421" s="60"/>
      <c r="L8421" s="60"/>
      <c r="M8421" s="64"/>
      <c r="N8421" s="33"/>
    </row>
    <row r="8422" ht="24" customHeight="1" spans="2:14">
      <c r="B8422" s="33"/>
      <c r="C8422" s="60"/>
      <c r="D8422" s="60"/>
      <c r="E8422" s="60"/>
      <c r="F8422" s="60"/>
      <c r="G8422" s="60"/>
      <c r="H8422" s="60"/>
      <c r="I8422" s="60"/>
      <c r="J8422" s="60"/>
      <c r="K8422" s="60"/>
      <c r="L8422" s="60"/>
      <c r="M8422" s="64"/>
      <c r="N8422" s="33"/>
    </row>
    <row r="8423" ht="24" customHeight="1" spans="2:14">
      <c r="B8423" s="33"/>
      <c r="C8423" s="60"/>
      <c r="D8423" s="60"/>
      <c r="E8423" s="60"/>
      <c r="F8423" s="60"/>
      <c r="G8423" s="60"/>
      <c r="H8423" s="60"/>
      <c r="I8423" s="60"/>
      <c r="J8423" s="60"/>
      <c r="K8423" s="60"/>
      <c r="L8423" s="60"/>
      <c r="M8423" s="64"/>
      <c r="N8423" s="33"/>
    </row>
    <row r="8424" ht="24" customHeight="1" spans="2:14">
      <c r="B8424" s="33"/>
      <c r="C8424" s="60"/>
      <c r="D8424" s="60"/>
      <c r="E8424" s="60"/>
      <c r="F8424" s="60"/>
      <c r="G8424" s="60"/>
      <c r="H8424" s="60"/>
      <c r="I8424" s="60"/>
      <c r="J8424" s="60"/>
      <c r="K8424" s="60"/>
      <c r="L8424" s="60"/>
      <c r="M8424" s="64"/>
      <c r="N8424" s="33"/>
    </row>
    <row r="8425" ht="24" customHeight="1" spans="2:14">
      <c r="B8425" s="33"/>
      <c r="C8425" s="60"/>
      <c r="D8425" s="60"/>
      <c r="E8425" s="60"/>
      <c r="F8425" s="60"/>
      <c r="G8425" s="60"/>
      <c r="H8425" s="60"/>
      <c r="I8425" s="60"/>
      <c r="J8425" s="60"/>
      <c r="K8425" s="60"/>
      <c r="L8425" s="60"/>
      <c r="M8425" s="64"/>
      <c r="N8425" s="33"/>
    </row>
    <row r="8426" ht="24" customHeight="1" spans="2:14">
      <c r="B8426" s="33"/>
      <c r="C8426" s="60"/>
      <c r="D8426" s="60"/>
      <c r="E8426" s="60"/>
      <c r="F8426" s="60"/>
      <c r="G8426" s="60"/>
      <c r="H8426" s="60"/>
      <c r="I8426" s="60"/>
      <c r="J8426" s="60"/>
      <c r="K8426" s="60"/>
      <c r="L8426" s="60"/>
      <c r="M8426" s="64"/>
      <c r="N8426" s="33"/>
    </row>
    <row r="8427" ht="24" customHeight="1" spans="2:14">
      <c r="B8427" s="33"/>
      <c r="C8427" s="60"/>
      <c r="D8427" s="60"/>
      <c r="E8427" s="60"/>
      <c r="F8427" s="60"/>
      <c r="G8427" s="60"/>
      <c r="H8427" s="60"/>
      <c r="I8427" s="60"/>
      <c r="J8427" s="60"/>
      <c r="K8427" s="60"/>
      <c r="L8427" s="60"/>
      <c r="M8427" s="64"/>
      <c r="N8427" s="33"/>
    </row>
    <row r="8428" ht="24" customHeight="1" spans="2:14">
      <c r="B8428" s="33"/>
      <c r="C8428" s="60"/>
      <c r="D8428" s="60"/>
      <c r="E8428" s="60"/>
      <c r="F8428" s="60"/>
      <c r="G8428" s="60"/>
      <c r="H8428" s="60"/>
      <c r="I8428" s="60"/>
      <c r="J8428" s="60"/>
      <c r="K8428" s="60"/>
      <c r="L8428" s="60"/>
      <c r="M8428" s="64"/>
      <c r="N8428" s="33"/>
    </row>
    <row r="8429" ht="24" customHeight="1" spans="2:14">
      <c r="B8429" s="33"/>
      <c r="C8429" s="60"/>
      <c r="D8429" s="60"/>
      <c r="E8429" s="60"/>
      <c r="F8429" s="60"/>
      <c r="G8429" s="60"/>
      <c r="H8429" s="60"/>
      <c r="I8429" s="60"/>
      <c r="J8429" s="60"/>
      <c r="K8429" s="60"/>
      <c r="L8429" s="60"/>
      <c r="M8429" s="64"/>
      <c r="N8429" s="33"/>
    </row>
    <row r="8430" ht="24" customHeight="1" spans="2:14">
      <c r="B8430" s="33"/>
      <c r="C8430" s="60"/>
      <c r="D8430" s="60"/>
      <c r="E8430" s="60"/>
      <c r="F8430" s="60"/>
      <c r="G8430" s="60"/>
      <c r="H8430" s="60"/>
      <c r="I8430" s="60"/>
      <c r="J8430" s="60"/>
      <c r="K8430" s="60"/>
      <c r="L8430" s="60"/>
      <c r="M8430" s="64"/>
      <c r="N8430" s="33"/>
    </row>
    <row r="8431" ht="24" customHeight="1" spans="2:14">
      <c r="B8431" s="33"/>
      <c r="C8431" s="60"/>
      <c r="D8431" s="60"/>
      <c r="E8431" s="60"/>
      <c r="F8431" s="60"/>
      <c r="G8431" s="60"/>
      <c r="H8431" s="60"/>
      <c r="I8431" s="60"/>
      <c r="J8431" s="60"/>
      <c r="K8431" s="60"/>
      <c r="L8431" s="60"/>
      <c r="M8431" s="64"/>
      <c r="N8431" s="33"/>
    </row>
    <row r="8432" ht="24" customHeight="1" spans="2:14">
      <c r="B8432" s="33"/>
      <c r="C8432" s="60"/>
      <c r="D8432" s="60"/>
      <c r="E8432" s="60"/>
      <c r="F8432" s="60"/>
      <c r="G8432" s="60"/>
      <c r="H8432" s="60"/>
      <c r="I8432" s="60"/>
      <c r="J8432" s="60"/>
      <c r="K8432" s="60"/>
      <c r="L8432" s="60"/>
      <c r="M8432" s="64"/>
      <c r="N8432" s="33"/>
    </row>
    <row r="8433" ht="24" customHeight="1" spans="2:14">
      <c r="B8433" s="33"/>
      <c r="C8433" s="60"/>
      <c r="D8433" s="60"/>
      <c r="E8433" s="60"/>
      <c r="F8433" s="60"/>
      <c r="G8433" s="60"/>
      <c r="H8433" s="60"/>
      <c r="I8433" s="60"/>
      <c r="J8433" s="60"/>
      <c r="K8433" s="60"/>
      <c r="L8433" s="60"/>
      <c r="M8433" s="64"/>
      <c r="N8433" s="33"/>
    </row>
    <row r="8434" ht="24" customHeight="1" spans="2:14">
      <c r="B8434" s="33"/>
      <c r="C8434" s="60"/>
      <c r="D8434" s="60"/>
      <c r="E8434" s="60"/>
      <c r="F8434" s="60"/>
      <c r="G8434" s="60"/>
      <c r="H8434" s="60"/>
      <c r="I8434" s="60"/>
      <c r="J8434" s="60"/>
      <c r="K8434" s="60"/>
      <c r="L8434" s="60"/>
      <c r="M8434" s="64"/>
      <c r="N8434" s="33"/>
    </row>
    <row r="8435" ht="24" customHeight="1" spans="2:14">
      <c r="B8435" s="33"/>
      <c r="C8435" s="60"/>
      <c r="D8435" s="60"/>
      <c r="E8435" s="60"/>
      <c r="F8435" s="60"/>
      <c r="G8435" s="60"/>
      <c r="H8435" s="60"/>
      <c r="I8435" s="60"/>
      <c r="J8435" s="60"/>
      <c r="K8435" s="60"/>
      <c r="L8435" s="60"/>
      <c r="M8435" s="64"/>
      <c r="N8435" s="33"/>
    </row>
    <row r="8436" ht="24" customHeight="1" spans="2:14">
      <c r="B8436" s="33"/>
      <c r="C8436" s="60"/>
      <c r="D8436" s="60"/>
      <c r="E8436" s="60"/>
      <c r="F8436" s="60"/>
      <c r="G8436" s="60"/>
      <c r="H8436" s="60"/>
      <c r="I8436" s="60"/>
      <c r="J8436" s="60"/>
      <c r="K8436" s="60"/>
      <c r="L8436" s="60"/>
      <c r="M8436" s="64"/>
      <c r="N8436" s="33"/>
    </row>
    <row r="8437" ht="24" customHeight="1" spans="2:14">
      <c r="B8437" s="33"/>
      <c r="C8437" s="60"/>
      <c r="D8437" s="60"/>
      <c r="E8437" s="60"/>
      <c r="F8437" s="60"/>
      <c r="G8437" s="60"/>
      <c r="H8437" s="60"/>
      <c r="I8437" s="60"/>
      <c r="J8437" s="60"/>
      <c r="K8437" s="60"/>
      <c r="L8437" s="60"/>
      <c r="M8437" s="64"/>
      <c r="N8437" s="33"/>
    </row>
    <row r="8438" ht="24" customHeight="1" spans="2:14">
      <c r="B8438" s="33"/>
      <c r="C8438" s="60"/>
      <c r="D8438" s="60"/>
      <c r="E8438" s="60"/>
      <c r="F8438" s="60"/>
      <c r="G8438" s="60"/>
      <c r="H8438" s="60"/>
      <c r="I8438" s="60"/>
      <c r="J8438" s="60"/>
      <c r="K8438" s="60"/>
      <c r="L8438" s="60"/>
      <c r="M8438" s="64"/>
      <c r="N8438" s="33"/>
    </row>
    <row r="8439" ht="24" customHeight="1" spans="2:14">
      <c r="B8439" s="33"/>
      <c r="C8439" s="60"/>
      <c r="D8439" s="60"/>
      <c r="E8439" s="60"/>
      <c r="F8439" s="60"/>
      <c r="G8439" s="60"/>
      <c r="H8439" s="60"/>
      <c r="I8439" s="60"/>
      <c r="J8439" s="60"/>
      <c r="K8439" s="60"/>
      <c r="L8439" s="60"/>
      <c r="M8439" s="64"/>
      <c r="N8439" s="33"/>
    </row>
    <row r="8440" ht="24" customHeight="1" spans="2:14">
      <c r="B8440" s="33"/>
      <c r="C8440" s="60"/>
      <c r="D8440" s="60"/>
      <c r="E8440" s="60"/>
      <c r="F8440" s="60"/>
      <c r="G8440" s="60"/>
      <c r="H8440" s="60"/>
      <c r="I8440" s="60"/>
      <c r="J8440" s="60"/>
      <c r="K8440" s="60"/>
      <c r="L8440" s="60"/>
      <c r="M8440" s="64"/>
      <c r="N8440" s="33"/>
    </row>
    <row r="8441" ht="24" customHeight="1" spans="2:14">
      <c r="B8441" s="33"/>
      <c r="C8441" s="60"/>
      <c r="D8441" s="60"/>
      <c r="E8441" s="60"/>
      <c r="F8441" s="60"/>
      <c r="G8441" s="60"/>
      <c r="H8441" s="60"/>
      <c r="I8441" s="60"/>
      <c r="J8441" s="60"/>
      <c r="K8441" s="60"/>
      <c r="L8441" s="60"/>
      <c r="M8441" s="64"/>
      <c r="N8441" s="33"/>
    </row>
    <row r="8442" ht="24" customHeight="1" spans="2:14">
      <c r="B8442" s="33"/>
      <c r="C8442" s="60"/>
      <c r="D8442" s="60"/>
      <c r="E8442" s="60"/>
      <c r="F8442" s="60"/>
      <c r="G8442" s="60"/>
      <c r="H8442" s="60"/>
      <c r="I8442" s="60"/>
      <c r="J8442" s="60"/>
      <c r="K8442" s="60"/>
      <c r="L8442" s="60"/>
      <c r="M8442" s="64"/>
      <c r="N8442" s="33"/>
    </row>
    <row r="8443" ht="24" customHeight="1" spans="2:14">
      <c r="B8443" s="33"/>
      <c r="C8443" s="60"/>
      <c r="D8443" s="60"/>
      <c r="E8443" s="60"/>
      <c r="F8443" s="60"/>
      <c r="G8443" s="60"/>
      <c r="H8443" s="60"/>
      <c r="I8443" s="60"/>
      <c r="J8443" s="60"/>
      <c r="K8443" s="60"/>
      <c r="L8443" s="60"/>
      <c r="M8443" s="64"/>
      <c r="N8443" s="33"/>
    </row>
    <row r="8444" ht="24" customHeight="1" spans="2:14">
      <c r="B8444" s="33"/>
      <c r="C8444" s="60"/>
      <c r="D8444" s="60"/>
      <c r="E8444" s="60"/>
      <c r="F8444" s="60"/>
      <c r="G8444" s="60"/>
      <c r="H8444" s="60"/>
      <c r="I8444" s="60"/>
      <c r="J8444" s="60"/>
      <c r="K8444" s="60"/>
      <c r="L8444" s="60"/>
      <c r="M8444" s="64"/>
      <c r="N8444" s="33"/>
    </row>
    <row r="8445" ht="24" customHeight="1" spans="2:14">
      <c r="B8445" s="33"/>
      <c r="C8445" s="60"/>
      <c r="D8445" s="60"/>
      <c r="E8445" s="60"/>
      <c r="F8445" s="60"/>
      <c r="G8445" s="60"/>
      <c r="H8445" s="60"/>
      <c r="I8445" s="60"/>
      <c r="J8445" s="60"/>
      <c r="K8445" s="60"/>
      <c r="L8445" s="60"/>
      <c r="M8445" s="64"/>
      <c r="N8445" s="33"/>
    </row>
    <row r="8446" ht="24" customHeight="1" spans="2:14">
      <c r="B8446" s="33"/>
      <c r="C8446" s="60"/>
      <c r="D8446" s="60"/>
      <c r="E8446" s="60"/>
      <c r="F8446" s="60"/>
      <c r="G8446" s="60"/>
      <c r="H8446" s="60"/>
      <c r="I8446" s="60"/>
      <c r="J8446" s="60"/>
      <c r="K8446" s="60"/>
      <c r="L8446" s="60"/>
      <c r="M8446" s="64"/>
      <c r="N8446" s="33"/>
    </row>
    <row r="8447" ht="24" customHeight="1" spans="2:14">
      <c r="B8447" s="33"/>
      <c r="C8447" s="60"/>
      <c r="D8447" s="60"/>
      <c r="E8447" s="60"/>
      <c r="F8447" s="60"/>
      <c r="G8447" s="60"/>
      <c r="H8447" s="60"/>
      <c r="I8447" s="60"/>
      <c r="J8447" s="60"/>
      <c r="K8447" s="60"/>
      <c r="L8447" s="60"/>
      <c r="M8447" s="64"/>
      <c r="N8447" s="33"/>
    </row>
    <row r="8448" ht="24" customHeight="1" spans="2:14">
      <c r="B8448" s="33"/>
      <c r="C8448" s="60"/>
      <c r="D8448" s="60"/>
      <c r="E8448" s="60"/>
      <c r="F8448" s="60"/>
      <c r="G8448" s="60"/>
      <c r="H8448" s="60"/>
      <c r="I8448" s="60"/>
      <c r="J8448" s="60"/>
      <c r="K8448" s="60"/>
      <c r="L8448" s="60"/>
      <c r="M8448" s="64"/>
      <c r="N8448" s="33"/>
    </row>
    <row r="8449" ht="24" customHeight="1" spans="2:14">
      <c r="B8449" s="33"/>
      <c r="C8449" s="60"/>
      <c r="D8449" s="60"/>
      <c r="E8449" s="60"/>
      <c r="F8449" s="60"/>
      <c r="G8449" s="60"/>
      <c r="H8449" s="60"/>
      <c r="I8449" s="60"/>
      <c r="J8449" s="60"/>
      <c r="K8449" s="60"/>
      <c r="L8449" s="60"/>
      <c r="M8449" s="64"/>
      <c r="N8449" s="33"/>
    </row>
    <row r="8450" ht="24" customHeight="1" spans="2:14">
      <c r="B8450" s="33"/>
      <c r="C8450" s="60"/>
      <c r="D8450" s="60"/>
      <c r="E8450" s="60"/>
      <c r="F8450" s="60"/>
      <c r="G8450" s="60"/>
      <c r="H8450" s="60"/>
      <c r="I8450" s="60"/>
      <c r="J8450" s="60"/>
      <c r="K8450" s="60"/>
      <c r="L8450" s="60"/>
      <c r="M8450" s="64"/>
      <c r="N8450" s="33"/>
    </row>
    <row r="8451" ht="24" customHeight="1" spans="2:14">
      <c r="B8451" s="33"/>
      <c r="C8451" s="60"/>
      <c r="D8451" s="60"/>
      <c r="E8451" s="60"/>
      <c r="F8451" s="60"/>
      <c r="G8451" s="60"/>
      <c r="H8451" s="60"/>
      <c r="I8451" s="60"/>
      <c r="J8451" s="60"/>
      <c r="K8451" s="60"/>
      <c r="L8451" s="60"/>
      <c r="M8451" s="64"/>
      <c r="N8451" s="33"/>
    </row>
    <row r="8452" ht="24" customHeight="1" spans="2:14">
      <c r="B8452" s="33"/>
      <c r="C8452" s="60"/>
      <c r="D8452" s="60"/>
      <c r="E8452" s="60"/>
      <c r="F8452" s="60"/>
      <c r="G8452" s="60"/>
      <c r="H8452" s="60"/>
      <c r="I8452" s="60"/>
      <c r="J8452" s="60"/>
      <c r="K8452" s="60"/>
      <c r="L8452" s="60"/>
      <c r="M8452" s="64"/>
      <c r="N8452" s="33"/>
    </row>
    <row r="8453" ht="24" customHeight="1" spans="2:14">
      <c r="B8453" s="33"/>
      <c r="C8453" s="60"/>
      <c r="D8453" s="60"/>
      <c r="E8453" s="60"/>
      <c r="F8453" s="60"/>
      <c r="G8453" s="60"/>
      <c r="H8453" s="60"/>
      <c r="I8453" s="60"/>
      <c r="J8453" s="60"/>
      <c r="K8453" s="60"/>
      <c r="L8453" s="60"/>
      <c r="M8453" s="64"/>
      <c r="N8453" s="33"/>
    </row>
    <row r="8454" ht="24" customHeight="1" spans="2:14">
      <c r="B8454" s="33"/>
      <c r="C8454" s="60"/>
      <c r="D8454" s="60"/>
      <c r="E8454" s="60"/>
      <c r="F8454" s="60"/>
      <c r="G8454" s="60"/>
      <c r="H8454" s="60"/>
      <c r="I8454" s="60"/>
      <c r="J8454" s="60"/>
      <c r="K8454" s="60"/>
      <c r="L8454" s="60"/>
      <c r="M8454" s="64"/>
      <c r="N8454" s="33"/>
    </row>
    <row r="8455" ht="24" customHeight="1" spans="2:14">
      <c r="B8455" s="33"/>
      <c r="C8455" s="60"/>
      <c r="D8455" s="60"/>
      <c r="E8455" s="60"/>
      <c r="F8455" s="60"/>
      <c r="G8455" s="60"/>
      <c r="H8455" s="60"/>
      <c r="I8455" s="60"/>
      <c r="J8455" s="60"/>
      <c r="K8455" s="60"/>
      <c r="L8455" s="60"/>
      <c r="M8455" s="64"/>
      <c r="N8455" s="33"/>
    </row>
    <row r="8456" ht="24" customHeight="1" spans="2:14">
      <c r="B8456" s="33"/>
      <c r="C8456" s="60"/>
      <c r="D8456" s="60"/>
      <c r="E8456" s="60"/>
      <c r="F8456" s="60"/>
      <c r="G8456" s="60"/>
      <c r="H8456" s="60"/>
      <c r="I8456" s="60"/>
      <c r="J8456" s="60"/>
      <c r="K8456" s="60"/>
      <c r="L8456" s="60"/>
      <c r="M8456" s="64"/>
      <c r="N8456" s="33"/>
    </row>
    <row r="8457" ht="24" customHeight="1" spans="2:14">
      <c r="B8457" s="33"/>
      <c r="C8457" s="60"/>
      <c r="D8457" s="60"/>
      <c r="E8457" s="60"/>
      <c r="F8457" s="60"/>
      <c r="G8457" s="60"/>
      <c r="H8457" s="60"/>
      <c r="I8457" s="60"/>
      <c r="J8457" s="60"/>
      <c r="K8457" s="60"/>
      <c r="L8457" s="60"/>
      <c r="M8457" s="64"/>
      <c r="N8457" s="33"/>
    </row>
    <row r="8458" ht="24" customHeight="1" spans="2:14">
      <c r="B8458" s="33"/>
      <c r="C8458" s="60"/>
      <c r="D8458" s="60"/>
      <c r="E8458" s="60"/>
      <c r="F8458" s="60"/>
      <c r="G8458" s="60"/>
      <c r="H8458" s="60"/>
      <c r="I8458" s="60"/>
      <c r="J8458" s="60"/>
      <c r="K8458" s="60"/>
      <c r="L8458" s="60"/>
      <c r="M8458" s="64"/>
      <c r="N8458" s="33"/>
    </row>
    <row r="8459" ht="24" customHeight="1" spans="2:14">
      <c r="B8459" s="33"/>
      <c r="C8459" s="60"/>
      <c r="D8459" s="60"/>
      <c r="E8459" s="60"/>
      <c r="F8459" s="60"/>
      <c r="G8459" s="60"/>
      <c r="H8459" s="60"/>
      <c r="I8459" s="60"/>
      <c r="J8459" s="60"/>
      <c r="K8459" s="60"/>
      <c r="L8459" s="60"/>
      <c r="M8459" s="64"/>
      <c r="N8459" s="33"/>
    </row>
    <row r="8460" ht="24" customHeight="1" spans="2:14">
      <c r="B8460" s="33"/>
      <c r="C8460" s="60"/>
      <c r="D8460" s="60"/>
      <c r="E8460" s="60"/>
      <c r="F8460" s="60"/>
      <c r="G8460" s="60"/>
      <c r="H8460" s="60"/>
      <c r="I8460" s="60"/>
      <c r="J8460" s="60"/>
      <c r="K8460" s="60"/>
      <c r="L8460" s="60"/>
      <c r="M8460" s="64"/>
      <c r="N8460" s="33"/>
    </row>
    <row r="8461" ht="24" customHeight="1" spans="2:14">
      <c r="B8461" s="33"/>
      <c r="C8461" s="60"/>
      <c r="D8461" s="60"/>
      <c r="E8461" s="60"/>
      <c r="F8461" s="60"/>
      <c r="G8461" s="60"/>
      <c r="H8461" s="60"/>
      <c r="I8461" s="60"/>
      <c r="J8461" s="60"/>
      <c r="K8461" s="60"/>
      <c r="L8461" s="60"/>
      <c r="M8461" s="64"/>
      <c r="N8461" s="33"/>
    </row>
    <row r="8462" ht="24" customHeight="1" spans="2:14">
      <c r="B8462" s="33"/>
      <c r="C8462" s="60"/>
      <c r="D8462" s="60"/>
      <c r="E8462" s="60"/>
      <c r="F8462" s="60"/>
      <c r="G8462" s="60"/>
      <c r="H8462" s="60"/>
      <c r="I8462" s="60"/>
      <c r="J8462" s="60"/>
      <c r="K8462" s="60"/>
      <c r="L8462" s="60"/>
      <c r="M8462" s="64"/>
      <c r="N8462" s="33"/>
    </row>
    <row r="8463" ht="24" customHeight="1" spans="2:14">
      <c r="B8463" s="33"/>
      <c r="C8463" s="60"/>
      <c r="D8463" s="60"/>
      <c r="E8463" s="60"/>
      <c r="F8463" s="60"/>
      <c r="G8463" s="60"/>
      <c r="H8463" s="60"/>
      <c r="I8463" s="60"/>
      <c r="J8463" s="60"/>
      <c r="K8463" s="60"/>
      <c r="L8463" s="60"/>
      <c r="M8463" s="64"/>
      <c r="N8463" s="33"/>
    </row>
    <row r="8464" ht="24" customHeight="1" spans="2:14">
      <c r="B8464" s="33"/>
      <c r="C8464" s="60"/>
      <c r="D8464" s="60"/>
      <c r="E8464" s="60"/>
      <c r="F8464" s="60"/>
      <c r="G8464" s="60"/>
      <c r="H8464" s="60"/>
      <c r="I8464" s="60"/>
      <c r="J8464" s="60"/>
      <c r="K8464" s="60"/>
      <c r="L8464" s="60"/>
      <c r="M8464" s="64"/>
      <c r="N8464" s="33"/>
    </row>
    <row r="8465" ht="24" customHeight="1" spans="2:14">
      <c r="B8465" s="33"/>
      <c r="C8465" s="60"/>
      <c r="D8465" s="60"/>
      <c r="E8465" s="60"/>
      <c r="F8465" s="60"/>
      <c r="G8465" s="60"/>
      <c r="H8465" s="60"/>
      <c r="I8465" s="60"/>
      <c r="J8465" s="60"/>
      <c r="K8465" s="60"/>
      <c r="L8465" s="60"/>
      <c r="M8465" s="64"/>
      <c r="N8465" s="33"/>
    </row>
    <row r="8466" ht="24" customHeight="1" spans="2:14">
      <c r="B8466" s="33"/>
      <c r="C8466" s="60"/>
      <c r="D8466" s="60"/>
      <c r="E8466" s="60"/>
      <c r="F8466" s="60"/>
      <c r="G8466" s="60"/>
      <c r="H8466" s="60"/>
      <c r="I8466" s="60"/>
      <c r="J8466" s="60"/>
      <c r="K8466" s="60"/>
      <c r="L8466" s="60"/>
      <c r="M8466" s="64"/>
      <c r="N8466" s="33"/>
    </row>
    <row r="8467" ht="24" customHeight="1" spans="2:14">
      <c r="B8467" s="33"/>
      <c r="C8467" s="60"/>
      <c r="D8467" s="60"/>
      <c r="E8467" s="60"/>
      <c r="F8467" s="60"/>
      <c r="G8467" s="60"/>
      <c r="H8467" s="60"/>
      <c r="I8467" s="60"/>
      <c r="J8467" s="60"/>
      <c r="K8467" s="60"/>
      <c r="L8467" s="60"/>
      <c r="M8467" s="64"/>
      <c r="N8467" s="33"/>
    </row>
    <row r="8468" ht="24" customHeight="1" spans="2:14">
      <c r="B8468" s="33"/>
      <c r="C8468" s="60"/>
      <c r="D8468" s="60"/>
      <c r="E8468" s="60"/>
      <c r="F8468" s="60"/>
      <c r="G8468" s="60"/>
      <c r="H8468" s="60"/>
      <c r="I8468" s="60"/>
      <c r="J8468" s="60"/>
      <c r="K8468" s="60"/>
      <c r="L8468" s="60"/>
      <c r="M8468" s="64"/>
      <c r="N8468" s="33"/>
    </row>
    <row r="8469" ht="24" customHeight="1" spans="2:14">
      <c r="B8469" s="33"/>
      <c r="C8469" s="60"/>
      <c r="D8469" s="60"/>
      <c r="E8469" s="60"/>
      <c r="F8469" s="60"/>
      <c r="G8469" s="60"/>
      <c r="H8469" s="60"/>
      <c r="I8469" s="60"/>
      <c r="J8469" s="60"/>
      <c r="K8469" s="60"/>
      <c r="L8469" s="60"/>
      <c r="M8469" s="64"/>
      <c r="N8469" s="33"/>
    </row>
    <row r="8470" ht="24" customHeight="1" spans="2:14">
      <c r="B8470" s="33"/>
      <c r="C8470" s="60"/>
      <c r="D8470" s="60"/>
      <c r="E8470" s="60"/>
      <c r="F8470" s="60"/>
      <c r="G8470" s="60"/>
      <c r="H8470" s="60"/>
      <c r="I8470" s="60"/>
      <c r="J8470" s="60"/>
      <c r="K8470" s="60"/>
      <c r="L8470" s="60"/>
      <c r="M8470" s="64"/>
      <c r="N8470" s="33"/>
    </row>
    <row r="8471" ht="24" customHeight="1" spans="2:14">
      <c r="B8471" s="33"/>
      <c r="C8471" s="60"/>
      <c r="D8471" s="60"/>
      <c r="E8471" s="60"/>
      <c r="F8471" s="60"/>
      <c r="G8471" s="60"/>
      <c r="H8471" s="60"/>
      <c r="I8471" s="60"/>
      <c r="J8471" s="60"/>
      <c r="K8471" s="60"/>
      <c r="L8471" s="60"/>
      <c r="M8471" s="64"/>
      <c r="N8471" s="33"/>
    </row>
    <row r="8472" ht="24" customHeight="1" spans="2:14">
      <c r="B8472" s="33"/>
      <c r="C8472" s="60"/>
      <c r="D8472" s="60"/>
      <c r="E8472" s="60"/>
      <c r="F8472" s="60"/>
      <c r="G8472" s="60"/>
      <c r="H8472" s="60"/>
      <c r="I8472" s="60"/>
      <c r="J8472" s="60"/>
      <c r="K8472" s="60"/>
      <c r="L8472" s="60"/>
      <c r="M8472" s="64"/>
      <c r="N8472" s="33"/>
    </row>
    <row r="8473" ht="24" customHeight="1" spans="2:14">
      <c r="B8473" s="33"/>
      <c r="C8473" s="60"/>
      <c r="D8473" s="60"/>
      <c r="E8473" s="60"/>
      <c r="F8473" s="60"/>
      <c r="G8473" s="60"/>
      <c r="H8473" s="60"/>
      <c r="I8473" s="60"/>
      <c r="J8473" s="60"/>
      <c r="K8473" s="60"/>
      <c r="L8473" s="60"/>
      <c r="M8473" s="64"/>
      <c r="N8473" s="33"/>
    </row>
    <row r="8474" ht="24" customHeight="1" spans="2:14">
      <c r="B8474" s="33"/>
      <c r="C8474" s="60"/>
      <c r="D8474" s="60"/>
      <c r="E8474" s="60"/>
      <c r="F8474" s="60"/>
      <c r="G8474" s="60"/>
      <c r="H8474" s="60"/>
      <c r="I8474" s="60"/>
      <c r="J8474" s="60"/>
      <c r="K8474" s="60"/>
      <c r="L8474" s="60"/>
      <c r="M8474" s="64"/>
      <c r="N8474" s="33"/>
    </row>
    <row r="8475" ht="24" customHeight="1" spans="2:14">
      <c r="B8475" s="33"/>
      <c r="C8475" s="60"/>
      <c r="D8475" s="60"/>
      <c r="E8475" s="60"/>
      <c r="F8475" s="60"/>
      <c r="G8475" s="60"/>
      <c r="H8475" s="60"/>
      <c r="I8475" s="60"/>
      <c r="J8475" s="60"/>
      <c r="K8475" s="60"/>
      <c r="L8475" s="60"/>
      <c r="M8475" s="64"/>
      <c r="N8475" s="33"/>
    </row>
    <row r="8476" ht="24" customHeight="1" spans="2:14">
      <c r="B8476" s="33"/>
      <c r="C8476" s="60"/>
      <c r="D8476" s="60"/>
      <c r="E8476" s="60"/>
      <c r="F8476" s="60"/>
      <c r="G8476" s="60"/>
      <c r="H8476" s="60"/>
      <c r="I8476" s="60"/>
      <c r="J8476" s="60"/>
      <c r="K8476" s="60"/>
      <c r="L8476" s="60"/>
      <c r="M8476" s="64"/>
      <c r="N8476" s="33"/>
    </row>
    <row r="8477" ht="24" customHeight="1" spans="2:14">
      <c r="B8477" s="33"/>
      <c r="C8477" s="60"/>
      <c r="D8477" s="60"/>
      <c r="E8477" s="60"/>
      <c r="F8477" s="60"/>
      <c r="G8477" s="60"/>
      <c r="H8477" s="60"/>
      <c r="I8477" s="60"/>
      <c r="J8477" s="60"/>
      <c r="K8477" s="60"/>
      <c r="L8477" s="60"/>
      <c r="M8477" s="64"/>
      <c r="N8477" s="33"/>
    </row>
    <row r="8478" ht="24" customHeight="1" spans="2:14">
      <c r="B8478" s="33"/>
      <c r="C8478" s="60"/>
      <c r="D8478" s="60"/>
      <c r="E8478" s="60"/>
      <c r="F8478" s="60"/>
      <c r="G8478" s="60"/>
      <c r="H8478" s="60"/>
      <c r="I8478" s="60"/>
      <c r="J8478" s="60"/>
      <c r="K8478" s="60"/>
      <c r="L8478" s="60"/>
      <c r="M8478" s="64"/>
      <c r="N8478" s="33"/>
    </row>
    <row r="8479" ht="24" customHeight="1" spans="2:14">
      <c r="B8479" s="33"/>
      <c r="C8479" s="60"/>
      <c r="D8479" s="60"/>
      <c r="E8479" s="60"/>
      <c r="F8479" s="60"/>
      <c r="G8479" s="60"/>
      <c r="H8479" s="60"/>
      <c r="I8479" s="60"/>
      <c r="J8479" s="60"/>
      <c r="K8479" s="60"/>
      <c r="L8479" s="60"/>
      <c r="M8479" s="64"/>
      <c r="N8479" s="33"/>
    </row>
    <row r="8480" ht="24" customHeight="1" spans="2:14">
      <c r="B8480" s="33"/>
      <c r="C8480" s="60"/>
      <c r="D8480" s="60"/>
      <c r="E8480" s="60"/>
      <c r="F8480" s="60"/>
      <c r="G8480" s="60"/>
      <c r="H8480" s="60"/>
      <c r="I8480" s="60"/>
      <c r="J8480" s="60"/>
      <c r="K8480" s="60"/>
      <c r="L8480" s="60"/>
      <c r="M8480" s="64"/>
      <c r="N8480" s="33"/>
    </row>
    <row r="8481" ht="24" customHeight="1" spans="2:14">
      <c r="B8481" s="33"/>
      <c r="C8481" s="60"/>
      <c r="D8481" s="60"/>
      <c r="E8481" s="60"/>
      <c r="F8481" s="60"/>
      <c r="G8481" s="60"/>
      <c r="H8481" s="60"/>
      <c r="I8481" s="60"/>
      <c r="J8481" s="60"/>
      <c r="K8481" s="60"/>
      <c r="L8481" s="60"/>
      <c r="M8481" s="64"/>
      <c r="N8481" s="33"/>
    </row>
    <row r="8482" ht="24" customHeight="1" spans="2:14">
      <c r="B8482" s="33"/>
      <c r="C8482" s="60"/>
      <c r="D8482" s="60"/>
      <c r="E8482" s="60"/>
      <c r="F8482" s="60"/>
      <c r="G8482" s="60"/>
      <c r="H8482" s="60"/>
      <c r="I8482" s="60"/>
      <c r="J8482" s="60"/>
      <c r="K8482" s="60"/>
      <c r="L8482" s="60"/>
      <c r="M8482" s="64"/>
      <c r="N8482" s="33"/>
    </row>
    <row r="8483" ht="24" customHeight="1" spans="2:14">
      <c r="B8483" s="33"/>
      <c r="C8483" s="60"/>
      <c r="D8483" s="60"/>
      <c r="E8483" s="60"/>
      <c r="F8483" s="60"/>
      <c r="G8483" s="60"/>
      <c r="H8483" s="60"/>
      <c r="I8483" s="60"/>
      <c r="J8483" s="60"/>
      <c r="K8483" s="60"/>
      <c r="L8483" s="60"/>
      <c r="M8483" s="64"/>
      <c r="N8483" s="33"/>
    </row>
    <row r="8484" ht="24" customHeight="1" spans="2:14">
      <c r="B8484" s="33"/>
      <c r="C8484" s="60"/>
      <c r="D8484" s="60"/>
      <c r="E8484" s="60"/>
      <c r="F8484" s="60"/>
      <c r="G8484" s="60"/>
      <c r="H8484" s="60"/>
      <c r="I8484" s="60"/>
      <c r="J8484" s="60"/>
      <c r="K8484" s="60"/>
      <c r="L8484" s="60"/>
      <c r="M8484" s="64"/>
      <c r="N8484" s="33"/>
    </row>
    <row r="8485" ht="24" customHeight="1" spans="2:14">
      <c r="B8485" s="33"/>
      <c r="C8485" s="60"/>
      <c r="D8485" s="60"/>
      <c r="E8485" s="60"/>
      <c r="F8485" s="60"/>
      <c r="G8485" s="60"/>
      <c r="H8485" s="60"/>
      <c r="I8485" s="60"/>
      <c r="J8485" s="60"/>
      <c r="K8485" s="60"/>
      <c r="L8485" s="60"/>
      <c r="M8485" s="64"/>
      <c r="N8485" s="33"/>
    </row>
    <row r="8486" ht="24" customHeight="1" spans="2:14">
      <c r="B8486" s="33"/>
      <c r="C8486" s="60"/>
      <c r="D8486" s="60"/>
      <c r="E8486" s="60"/>
      <c r="F8486" s="60"/>
      <c r="G8486" s="60"/>
      <c r="H8486" s="60"/>
      <c r="I8486" s="60"/>
      <c r="J8486" s="60"/>
      <c r="K8486" s="60"/>
      <c r="L8486" s="60"/>
      <c r="M8486" s="64"/>
      <c r="N8486" s="33"/>
    </row>
    <row r="8487" ht="24" customHeight="1" spans="2:14">
      <c r="B8487" s="33"/>
      <c r="C8487" s="60"/>
      <c r="D8487" s="60"/>
      <c r="E8487" s="60"/>
      <c r="F8487" s="60"/>
      <c r="G8487" s="60"/>
      <c r="H8487" s="60"/>
      <c r="I8487" s="60"/>
      <c r="J8487" s="60"/>
      <c r="K8487" s="60"/>
      <c r="L8487" s="60"/>
      <c r="M8487" s="64"/>
      <c r="N8487" s="33"/>
    </row>
    <row r="8488" ht="24" customHeight="1" spans="2:14">
      <c r="B8488" s="33"/>
      <c r="C8488" s="60"/>
      <c r="D8488" s="60"/>
      <c r="E8488" s="60"/>
      <c r="F8488" s="60"/>
      <c r="G8488" s="60"/>
      <c r="H8488" s="60"/>
      <c r="I8488" s="60"/>
      <c r="J8488" s="60"/>
      <c r="K8488" s="60"/>
      <c r="L8488" s="60"/>
      <c r="M8488" s="64"/>
      <c r="N8488" s="33"/>
    </row>
    <row r="8489" ht="24" customHeight="1" spans="2:14">
      <c r="B8489" s="33"/>
      <c r="C8489" s="60"/>
      <c r="D8489" s="60"/>
      <c r="E8489" s="60"/>
      <c r="F8489" s="60"/>
      <c r="G8489" s="60"/>
      <c r="H8489" s="60"/>
      <c r="I8489" s="60"/>
      <c r="J8489" s="60"/>
      <c r="K8489" s="60"/>
      <c r="L8489" s="60"/>
      <c r="M8489" s="64"/>
      <c r="N8489" s="33"/>
    </row>
    <row r="8490" ht="24" customHeight="1" spans="2:14">
      <c r="B8490" s="33"/>
      <c r="C8490" s="60"/>
      <c r="D8490" s="60"/>
      <c r="E8490" s="60"/>
      <c r="F8490" s="60"/>
      <c r="G8490" s="60"/>
      <c r="H8490" s="60"/>
      <c r="I8490" s="60"/>
      <c r="J8490" s="60"/>
      <c r="K8490" s="60"/>
      <c r="L8490" s="60"/>
      <c r="M8490" s="64"/>
      <c r="N8490" s="33"/>
    </row>
    <row r="8491" ht="24" customHeight="1" spans="2:14">
      <c r="B8491" s="33"/>
      <c r="C8491" s="60"/>
      <c r="D8491" s="60"/>
      <c r="E8491" s="60"/>
      <c r="F8491" s="60"/>
      <c r="G8491" s="60"/>
      <c r="H8491" s="60"/>
      <c r="I8491" s="60"/>
      <c r="J8491" s="60"/>
      <c r="K8491" s="60"/>
      <c r="L8491" s="60"/>
      <c r="M8491" s="64"/>
      <c r="N8491" s="33"/>
    </row>
    <row r="8492" ht="24" customHeight="1" spans="2:14">
      <c r="B8492" s="33"/>
      <c r="C8492" s="60"/>
      <c r="D8492" s="60"/>
      <c r="E8492" s="60"/>
      <c r="F8492" s="60"/>
      <c r="G8492" s="60"/>
      <c r="H8492" s="60"/>
      <c r="I8492" s="60"/>
      <c r="J8492" s="60"/>
      <c r="K8492" s="60"/>
      <c r="L8492" s="60"/>
      <c r="M8492" s="64"/>
      <c r="N8492" s="33"/>
    </row>
    <row r="8493" ht="24" customHeight="1" spans="2:14">
      <c r="B8493" s="33"/>
      <c r="C8493" s="60"/>
      <c r="D8493" s="60"/>
      <c r="E8493" s="60"/>
      <c r="F8493" s="60"/>
      <c r="G8493" s="60"/>
      <c r="H8493" s="60"/>
      <c r="I8493" s="60"/>
      <c r="J8493" s="60"/>
      <c r="K8493" s="60"/>
      <c r="L8493" s="60"/>
      <c r="M8493" s="64"/>
      <c r="N8493" s="33"/>
    </row>
    <row r="8494" ht="24" customHeight="1" spans="2:14">
      <c r="B8494" s="33"/>
      <c r="C8494" s="60"/>
      <c r="D8494" s="60"/>
      <c r="E8494" s="60"/>
      <c r="F8494" s="60"/>
      <c r="G8494" s="60"/>
      <c r="H8494" s="60"/>
      <c r="I8494" s="60"/>
      <c r="J8494" s="60"/>
      <c r="K8494" s="60"/>
      <c r="L8494" s="60"/>
      <c r="M8494" s="64"/>
      <c r="N8494" s="33"/>
    </row>
    <row r="8495" ht="24" customHeight="1" spans="2:14">
      <c r="B8495" s="33"/>
      <c r="C8495" s="60"/>
      <c r="D8495" s="60"/>
      <c r="E8495" s="60"/>
      <c r="F8495" s="60"/>
      <c r="G8495" s="60"/>
      <c r="H8495" s="60"/>
      <c r="I8495" s="60"/>
      <c r="J8495" s="60"/>
      <c r="K8495" s="60"/>
      <c r="L8495" s="60"/>
      <c r="M8495" s="64"/>
      <c r="N8495" s="33"/>
    </row>
    <row r="8496" ht="24" customHeight="1" spans="2:14">
      <c r="B8496" s="33"/>
      <c r="C8496" s="60"/>
      <c r="D8496" s="60"/>
      <c r="E8496" s="60"/>
      <c r="F8496" s="60"/>
      <c r="G8496" s="60"/>
      <c r="H8496" s="60"/>
      <c r="I8496" s="60"/>
      <c r="J8496" s="60"/>
      <c r="K8496" s="60"/>
      <c r="L8496" s="60"/>
      <c r="M8496" s="64"/>
      <c r="N8496" s="33"/>
    </row>
    <row r="8497" ht="24" customHeight="1" spans="2:14">
      <c r="B8497" s="33"/>
      <c r="C8497" s="60"/>
      <c r="D8497" s="60"/>
      <c r="E8497" s="60"/>
      <c r="F8497" s="60"/>
      <c r="G8497" s="60"/>
      <c r="H8497" s="60"/>
      <c r="I8497" s="60"/>
      <c r="J8497" s="60"/>
      <c r="K8497" s="60"/>
      <c r="L8497" s="60"/>
      <c r="M8497" s="64"/>
      <c r="N8497" s="33"/>
    </row>
    <row r="8498" ht="24" customHeight="1" spans="2:14">
      <c r="B8498" s="33"/>
      <c r="C8498" s="60"/>
      <c r="D8498" s="60"/>
      <c r="E8498" s="60"/>
      <c r="F8498" s="60"/>
      <c r="G8498" s="60"/>
      <c r="H8498" s="60"/>
      <c r="I8498" s="60"/>
      <c r="J8498" s="60"/>
      <c r="K8498" s="60"/>
      <c r="L8498" s="60"/>
      <c r="M8498" s="64"/>
      <c r="N8498" s="33"/>
    </row>
    <row r="8499" ht="24" customHeight="1" spans="2:14">
      <c r="B8499" s="33"/>
      <c r="C8499" s="60"/>
      <c r="D8499" s="60"/>
      <c r="E8499" s="60"/>
      <c r="F8499" s="60"/>
      <c r="G8499" s="60"/>
      <c r="H8499" s="60"/>
      <c r="I8499" s="60"/>
      <c r="J8499" s="60"/>
      <c r="K8499" s="60"/>
      <c r="L8499" s="60"/>
      <c r="M8499" s="64"/>
      <c r="N8499" s="33"/>
    </row>
    <row r="8500" ht="24" customHeight="1" spans="2:14">
      <c r="B8500" s="33"/>
      <c r="C8500" s="60"/>
      <c r="D8500" s="60"/>
      <c r="E8500" s="60"/>
      <c r="F8500" s="60"/>
      <c r="G8500" s="60"/>
      <c r="H8500" s="60"/>
      <c r="I8500" s="60"/>
      <c r="J8500" s="60"/>
      <c r="K8500" s="60"/>
      <c r="L8500" s="60"/>
      <c r="M8500" s="64"/>
      <c r="N8500" s="33"/>
    </row>
    <row r="8501" ht="24" customHeight="1" spans="2:14">
      <c r="B8501" s="33"/>
      <c r="C8501" s="60"/>
      <c r="D8501" s="60"/>
      <c r="E8501" s="60"/>
      <c r="F8501" s="60"/>
      <c r="G8501" s="60"/>
      <c r="H8501" s="60"/>
      <c r="I8501" s="60"/>
      <c r="J8501" s="60"/>
      <c r="K8501" s="60"/>
      <c r="L8501" s="60"/>
      <c r="M8501" s="64"/>
      <c r="N8501" s="33"/>
    </row>
    <row r="8502" ht="24" customHeight="1" spans="2:14">
      <c r="B8502" s="33"/>
      <c r="C8502" s="60"/>
      <c r="D8502" s="60"/>
      <c r="E8502" s="60"/>
      <c r="F8502" s="60"/>
      <c r="G8502" s="60"/>
      <c r="H8502" s="60"/>
      <c r="I8502" s="60"/>
      <c r="J8502" s="60"/>
      <c r="K8502" s="60"/>
      <c r="L8502" s="60"/>
      <c r="M8502" s="64"/>
      <c r="N8502" s="33"/>
    </row>
    <row r="8503" ht="24" customHeight="1" spans="2:14">
      <c r="B8503" s="33"/>
      <c r="C8503" s="60"/>
      <c r="D8503" s="60"/>
      <c r="E8503" s="60"/>
      <c r="F8503" s="60"/>
      <c r="G8503" s="60"/>
      <c r="H8503" s="60"/>
      <c r="I8503" s="60"/>
      <c r="J8503" s="60"/>
      <c r="K8503" s="60"/>
      <c r="L8503" s="60"/>
      <c r="M8503" s="64"/>
      <c r="N8503" s="33"/>
    </row>
    <row r="8504" ht="24" customHeight="1" spans="2:14">
      <c r="B8504" s="33"/>
      <c r="C8504" s="60"/>
      <c r="D8504" s="60"/>
      <c r="E8504" s="60"/>
      <c r="F8504" s="60"/>
      <c r="G8504" s="60"/>
      <c r="H8504" s="60"/>
      <c r="I8504" s="60"/>
      <c r="J8504" s="60"/>
      <c r="K8504" s="60"/>
      <c r="L8504" s="60"/>
      <c r="M8504" s="64"/>
      <c r="N8504" s="33"/>
    </row>
    <row r="8505" ht="24" customHeight="1" spans="2:14">
      <c r="B8505" s="33"/>
      <c r="C8505" s="60"/>
      <c r="D8505" s="60"/>
      <c r="E8505" s="60"/>
      <c r="F8505" s="60"/>
      <c r="G8505" s="60"/>
      <c r="H8505" s="60"/>
      <c r="I8505" s="60"/>
      <c r="J8505" s="60"/>
      <c r="K8505" s="60"/>
      <c r="L8505" s="60"/>
      <c r="M8505" s="64"/>
      <c r="N8505" s="33"/>
    </row>
    <row r="8506" ht="24" customHeight="1" spans="2:14">
      <c r="B8506" s="33"/>
      <c r="C8506" s="60"/>
      <c r="D8506" s="60"/>
      <c r="E8506" s="60"/>
      <c r="F8506" s="60"/>
      <c r="G8506" s="60"/>
      <c r="H8506" s="60"/>
      <c r="I8506" s="60"/>
      <c r="J8506" s="60"/>
      <c r="K8506" s="60"/>
      <c r="L8506" s="60"/>
      <c r="M8506" s="64"/>
      <c r="N8506" s="33"/>
    </row>
    <row r="8507" ht="24" customHeight="1" spans="2:14">
      <c r="B8507" s="33"/>
      <c r="C8507" s="60"/>
      <c r="D8507" s="60"/>
      <c r="E8507" s="60"/>
      <c r="F8507" s="60"/>
      <c r="G8507" s="60"/>
      <c r="H8507" s="60"/>
      <c r="I8507" s="60"/>
      <c r="J8507" s="60"/>
      <c r="K8507" s="60"/>
      <c r="L8507" s="60"/>
      <c r="M8507" s="64"/>
      <c r="N8507" s="33"/>
    </row>
    <row r="8508" ht="24" customHeight="1" spans="2:14">
      <c r="B8508" s="33"/>
      <c r="C8508" s="60"/>
      <c r="D8508" s="60"/>
      <c r="E8508" s="60"/>
      <c r="F8508" s="60"/>
      <c r="G8508" s="60"/>
      <c r="H8508" s="60"/>
      <c r="I8508" s="60"/>
      <c r="J8508" s="60"/>
      <c r="K8508" s="60"/>
      <c r="L8508" s="60"/>
      <c r="M8508" s="64"/>
      <c r="N8508" s="33"/>
    </row>
    <row r="8509" ht="24" customHeight="1" spans="2:14">
      <c r="B8509" s="33"/>
      <c r="C8509" s="60"/>
      <c r="D8509" s="60"/>
      <c r="E8509" s="60"/>
      <c r="F8509" s="60"/>
      <c r="G8509" s="60"/>
      <c r="H8509" s="60"/>
      <c r="I8509" s="60"/>
      <c r="J8509" s="60"/>
      <c r="K8509" s="60"/>
      <c r="L8509" s="60"/>
      <c r="M8509" s="64"/>
      <c r="N8509" s="33"/>
    </row>
    <row r="8510" ht="24" customHeight="1" spans="2:14">
      <c r="B8510" s="33"/>
      <c r="C8510" s="60"/>
      <c r="D8510" s="60"/>
      <c r="E8510" s="60"/>
      <c r="F8510" s="60"/>
      <c r="G8510" s="60"/>
      <c r="H8510" s="60"/>
      <c r="I8510" s="60"/>
      <c r="J8510" s="60"/>
      <c r="K8510" s="60"/>
      <c r="L8510" s="60"/>
      <c r="M8510" s="64"/>
      <c r="N8510" s="33"/>
    </row>
    <row r="8511" ht="24" customHeight="1" spans="2:14">
      <c r="B8511" s="33"/>
      <c r="C8511" s="60"/>
      <c r="D8511" s="60"/>
      <c r="E8511" s="60"/>
      <c r="F8511" s="60"/>
      <c r="G8511" s="60"/>
      <c r="H8511" s="60"/>
      <c r="I8511" s="60"/>
      <c r="J8511" s="60"/>
      <c r="K8511" s="60"/>
      <c r="L8511" s="60"/>
      <c r="M8511" s="64"/>
      <c r="N8511" s="33"/>
    </row>
    <row r="8512" ht="24" customHeight="1" spans="2:14">
      <c r="B8512" s="33"/>
      <c r="C8512" s="60"/>
      <c r="D8512" s="60"/>
      <c r="E8512" s="60"/>
      <c r="F8512" s="60"/>
      <c r="G8512" s="60"/>
      <c r="H8512" s="60"/>
      <c r="I8512" s="60"/>
      <c r="J8512" s="60"/>
      <c r="K8512" s="60"/>
      <c r="L8512" s="60"/>
      <c r="M8512" s="64"/>
      <c r="N8512" s="33"/>
    </row>
    <row r="8513" ht="24" customHeight="1" spans="2:14">
      <c r="B8513" s="33"/>
      <c r="C8513" s="60"/>
      <c r="D8513" s="60"/>
      <c r="E8513" s="60"/>
      <c r="F8513" s="60"/>
      <c r="G8513" s="60"/>
      <c r="H8513" s="60"/>
      <c r="I8513" s="60"/>
      <c r="J8513" s="60"/>
      <c r="K8513" s="60"/>
      <c r="L8513" s="60"/>
      <c r="M8513" s="64"/>
      <c r="N8513" s="33"/>
    </row>
    <row r="8514" ht="24" customHeight="1" spans="2:14">
      <c r="B8514" s="33"/>
      <c r="C8514" s="60"/>
      <c r="D8514" s="60"/>
      <c r="E8514" s="60"/>
      <c r="F8514" s="60"/>
      <c r="G8514" s="60"/>
      <c r="H8514" s="60"/>
      <c r="I8514" s="60"/>
      <c r="J8514" s="60"/>
      <c r="K8514" s="60"/>
      <c r="L8514" s="60"/>
      <c r="M8514" s="64"/>
      <c r="N8514" s="33"/>
    </row>
    <row r="8515" ht="24" customHeight="1" spans="2:14">
      <c r="B8515" s="33"/>
      <c r="C8515" s="60"/>
      <c r="D8515" s="60"/>
      <c r="E8515" s="60"/>
      <c r="F8515" s="60"/>
      <c r="G8515" s="60"/>
      <c r="H8515" s="60"/>
      <c r="I8515" s="60"/>
      <c r="J8515" s="60"/>
      <c r="K8515" s="60"/>
      <c r="L8515" s="60"/>
      <c r="M8515" s="64"/>
      <c r="N8515" s="33"/>
    </row>
    <row r="8516" ht="24" customHeight="1" spans="2:14">
      <c r="B8516" s="33"/>
      <c r="C8516" s="60"/>
      <c r="D8516" s="60"/>
      <c r="E8516" s="60"/>
      <c r="F8516" s="60"/>
      <c r="G8516" s="60"/>
      <c r="H8516" s="60"/>
      <c r="I8516" s="60"/>
      <c r="J8516" s="60"/>
      <c r="K8516" s="60"/>
      <c r="L8516" s="60"/>
      <c r="M8516" s="64"/>
      <c r="N8516" s="33"/>
    </row>
    <row r="8517" ht="24" customHeight="1" spans="2:14">
      <c r="B8517" s="33"/>
      <c r="C8517" s="60"/>
      <c r="D8517" s="60"/>
      <c r="E8517" s="60"/>
      <c r="F8517" s="60"/>
      <c r="G8517" s="60"/>
      <c r="H8517" s="60"/>
      <c r="I8517" s="60"/>
      <c r="J8517" s="60"/>
      <c r="K8517" s="60"/>
      <c r="L8517" s="60"/>
      <c r="M8517" s="64"/>
      <c r="N8517" s="33"/>
    </row>
    <row r="8518" ht="24" customHeight="1" spans="2:14">
      <c r="B8518" s="33"/>
      <c r="C8518" s="60"/>
      <c r="D8518" s="60"/>
      <c r="E8518" s="60"/>
      <c r="F8518" s="60"/>
      <c r="G8518" s="60"/>
      <c r="H8518" s="60"/>
      <c r="I8518" s="60"/>
      <c r="J8518" s="60"/>
      <c r="K8518" s="60"/>
      <c r="L8518" s="60"/>
      <c r="M8518" s="64"/>
      <c r="N8518" s="33"/>
    </row>
    <row r="8519" ht="24" customHeight="1" spans="2:14">
      <c r="B8519" s="33"/>
      <c r="C8519" s="60"/>
      <c r="D8519" s="60"/>
      <c r="E8519" s="60"/>
      <c r="F8519" s="60"/>
      <c r="G8519" s="60"/>
      <c r="H8519" s="60"/>
      <c r="I8519" s="60"/>
      <c r="J8519" s="60"/>
      <c r="K8519" s="60"/>
      <c r="L8519" s="60"/>
      <c r="M8519" s="64"/>
      <c r="N8519" s="33"/>
    </row>
    <row r="8520" ht="24" customHeight="1" spans="2:14">
      <c r="B8520" s="33"/>
      <c r="C8520" s="60"/>
      <c r="D8520" s="60"/>
      <c r="E8520" s="60"/>
      <c r="F8520" s="60"/>
      <c r="G8520" s="60"/>
      <c r="H8520" s="60"/>
      <c r="I8520" s="60"/>
      <c r="J8520" s="60"/>
      <c r="K8520" s="60"/>
      <c r="L8520" s="60"/>
      <c r="M8520" s="64"/>
      <c r="N8520" s="33"/>
    </row>
    <row r="8521" ht="24" customHeight="1" spans="2:14">
      <c r="B8521" s="33"/>
      <c r="C8521" s="60"/>
      <c r="D8521" s="60"/>
      <c r="E8521" s="60"/>
      <c r="F8521" s="60"/>
      <c r="G8521" s="60"/>
      <c r="H8521" s="60"/>
      <c r="I8521" s="60"/>
      <c r="J8521" s="60"/>
      <c r="K8521" s="60"/>
      <c r="L8521" s="60"/>
      <c r="M8521" s="64"/>
      <c r="N8521" s="33"/>
    </row>
    <row r="8522" ht="24" customHeight="1" spans="2:14">
      <c r="B8522" s="33"/>
      <c r="C8522" s="60"/>
      <c r="D8522" s="60"/>
      <c r="E8522" s="60"/>
      <c r="F8522" s="60"/>
      <c r="G8522" s="60"/>
      <c r="H8522" s="60"/>
      <c r="I8522" s="60"/>
      <c r="J8522" s="60"/>
      <c r="K8522" s="60"/>
      <c r="L8522" s="60"/>
      <c r="M8522" s="64"/>
      <c r="N8522" s="33"/>
    </row>
    <row r="8523" ht="24" customHeight="1" spans="2:14">
      <c r="B8523" s="33"/>
      <c r="C8523" s="60"/>
      <c r="D8523" s="60"/>
      <c r="E8523" s="60"/>
      <c r="F8523" s="60"/>
      <c r="G8523" s="60"/>
      <c r="H8523" s="60"/>
      <c r="I8523" s="60"/>
      <c r="J8523" s="60"/>
      <c r="K8523" s="60"/>
      <c r="L8523" s="60"/>
      <c r="M8523" s="64"/>
      <c r="N8523" s="33"/>
    </row>
    <row r="8524" ht="24" customHeight="1" spans="2:14">
      <c r="B8524" s="33"/>
      <c r="C8524" s="60"/>
      <c r="D8524" s="60"/>
      <c r="E8524" s="60"/>
      <c r="F8524" s="60"/>
      <c r="G8524" s="60"/>
      <c r="H8524" s="60"/>
      <c r="I8524" s="60"/>
      <c r="J8524" s="60"/>
      <c r="K8524" s="60"/>
      <c r="L8524" s="60"/>
      <c r="M8524" s="64"/>
      <c r="N8524" s="33"/>
    </row>
    <row r="8525" ht="24" customHeight="1" spans="2:14">
      <c r="B8525" s="33"/>
      <c r="C8525" s="60"/>
      <c r="D8525" s="60"/>
      <c r="E8525" s="60"/>
      <c r="F8525" s="60"/>
      <c r="G8525" s="60"/>
      <c r="H8525" s="60"/>
      <c r="I8525" s="60"/>
      <c r="J8525" s="60"/>
      <c r="K8525" s="60"/>
      <c r="L8525" s="60"/>
      <c r="M8525" s="64"/>
      <c r="N8525" s="33"/>
    </row>
    <row r="8526" ht="24" customHeight="1" spans="2:14">
      <c r="B8526" s="33"/>
      <c r="C8526" s="60"/>
      <c r="D8526" s="60"/>
      <c r="E8526" s="60"/>
      <c r="F8526" s="60"/>
      <c r="G8526" s="60"/>
      <c r="H8526" s="60"/>
      <c r="I8526" s="60"/>
      <c r="J8526" s="60"/>
      <c r="K8526" s="60"/>
      <c r="L8526" s="60"/>
      <c r="M8526" s="64"/>
      <c r="N8526" s="33"/>
    </row>
    <row r="8527" ht="24" customHeight="1" spans="2:14">
      <c r="B8527" s="33"/>
      <c r="C8527" s="60"/>
      <c r="D8527" s="60"/>
      <c r="E8527" s="60"/>
      <c r="F8527" s="60"/>
      <c r="G8527" s="60"/>
      <c r="H8527" s="60"/>
      <c r="I8527" s="60"/>
      <c r="J8527" s="60"/>
      <c r="K8527" s="60"/>
      <c r="L8527" s="60"/>
      <c r="M8527" s="64"/>
      <c r="N8527" s="33"/>
    </row>
    <row r="8528" ht="24" customHeight="1" spans="2:14">
      <c r="B8528" s="33"/>
      <c r="C8528" s="60"/>
      <c r="D8528" s="60"/>
      <c r="E8528" s="60"/>
      <c r="F8528" s="60"/>
      <c r="G8528" s="60"/>
      <c r="H8528" s="60"/>
      <c r="I8528" s="60"/>
      <c r="J8528" s="60"/>
      <c r="K8528" s="60"/>
      <c r="L8528" s="60"/>
      <c r="M8528" s="64"/>
      <c r="N8528" s="33"/>
    </row>
    <row r="8529" ht="24" customHeight="1" spans="2:14">
      <c r="B8529" s="33"/>
      <c r="C8529" s="60"/>
      <c r="D8529" s="60"/>
      <c r="E8529" s="60"/>
      <c r="F8529" s="60"/>
      <c r="G8529" s="60"/>
      <c r="H8529" s="60"/>
      <c r="I8529" s="60"/>
      <c r="J8529" s="60"/>
      <c r="K8529" s="60"/>
      <c r="L8529" s="60"/>
      <c r="M8529" s="64"/>
      <c r="N8529" s="33"/>
    </row>
    <row r="8530" ht="24" customHeight="1" spans="2:14">
      <c r="B8530" s="33"/>
      <c r="C8530" s="60"/>
      <c r="D8530" s="60"/>
      <c r="E8530" s="60"/>
      <c r="F8530" s="60"/>
      <c r="G8530" s="60"/>
      <c r="H8530" s="60"/>
      <c r="I8530" s="60"/>
      <c r="J8530" s="60"/>
      <c r="K8530" s="60"/>
      <c r="L8530" s="60"/>
      <c r="M8530" s="64"/>
      <c r="N8530" s="33"/>
    </row>
    <row r="8531" ht="24" customHeight="1" spans="2:14">
      <c r="B8531" s="33"/>
      <c r="C8531" s="60"/>
      <c r="D8531" s="60"/>
      <c r="E8531" s="60"/>
      <c r="F8531" s="60"/>
      <c r="G8531" s="60"/>
      <c r="H8531" s="60"/>
      <c r="I8531" s="60"/>
      <c r="J8531" s="60"/>
      <c r="K8531" s="60"/>
      <c r="L8531" s="60"/>
      <c r="M8531" s="64"/>
      <c r="N8531" s="33"/>
    </row>
    <row r="8532" ht="24" customHeight="1" spans="2:14">
      <c r="B8532" s="33"/>
      <c r="C8532" s="60"/>
      <c r="D8532" s="60"/>
      <c r="E8532" s="60"/>
      <c r="F8532" s="60"/>
      <c r="G8532" s="60"/>
      <c r="H8532" s="60"/>
      <c r="I8532" s="60"/>
      <c r="J8532" s="60"/>
      <c r="K8532" s="60"/>
      <c r="L8532" s="60"/>
      <c r="M8532" s="64"/>
      <c r="N8532" s="33"/>
    </row>
    <row r="8533" ht="24" customHeight="1" spans="2:14">
      <c r="B8533" s="33"/>
      <c r="C8533" s="60"/>
      <c r="D8533" s="60"/>
      <c r="E8533" s="60"/>
      <c r="F8533" s="60"/>
      <c r="G8533" s="60"/>
      <c r="H8533" s="60"/>
      <c r="I8533" s="60"/>
      <c r="J8533" s="60"/>
      <c r="K8533" s="60"/>
      <c r="L8533" s="60"/>
      <c r="M8533" s="64"/>
      <c r="N8533" s="33"/>
    </row>
    <row r="8534" ht="24" customHeight="1" spans="2:14">
      <c r="B8534" s="33"/>
      <c r="C8534" s="60"/>
      <c r="D8534" s="60"/>
      <c r="E8534" s="60"/>
      <c r="F8534" s="60"/>
      <c r="G8534" s="60"/>
      <c r="H8534" s="60"/>
      <c r="I8534" s="60"/>
      <c r="J8534" s="60"/>
      <c r="K8534" s="60"/>
      <c r="L8534" s="60"/>
      <c r="M8534" s="64"/>
      <c r="N8534" s="33"/>
    </row>
    <row r="8535" ht="24" customHeight="1" spans="2:14">
      <c r="B8535" s="33"/>
      <c r="C8535" s="60"/>
      <c r="D8535" s="60"/>
      <c r="E8535" s="60"/>
      <c r="F8535" s="60"/>
      <c r="G8535" s="60"/>
      <c r="H8535" s="60"/>
      <c r="I8535" s="60"/>
      <c r="J8535" s="60"/>
      <c r="K8535" s="60"/>
      <c r="L8535" s="60"/>
      <c r="M8535" s="64"/>
      <c r="N8535" s="33"/>
    </row>
    <row r="8536" ht="24" customHeight="1" spans="2:14">
      <c r="B8536" s="33"/>
      <c r="C8536" s="60"/>
      <c r="D8536" s="60"/>
      <c r="E8536" s="60"/>
      <c r="F8536" s="60"/>
      <c r="G8536" s="60"/>
      <c r="H8536" s="60"/>
      <c r="I8536" s="60"/>
      <c r="J8536" s="60"/>
      <c r="K8536" s="60"/>
      <c r="L8536" s="60"/>
      <c r="M8536" s="64"/>
      <c r="N8536" s="33"/>
    </row>
    <row r="8537" ht="24" customHeight="1" spans="2:14">
      <c r="B8537" s="33"/>
      <c r="C8537" s="60"/>
      <c r="D8537" s="60"/>
      <c r="E8537" s="60"/>
      <c r="F8537" s="60"/>
      <c r="G8537" s="60"/>
      <c r="H8537" s="60"/>
      <c r="I8537" s="60"/>
      <c r="J8537" s="60"/>
      <c r="K8537" s="60"/>
      <c r="L8537" s="60"/>
      <c r="M8537" s="64"/>
      <c r="N8537" s="33"/>
    </row>
    <row r="8538" ht="24" customHeight="1" spans="2:14">
      <c r="B8538" s="33"/>
      <c r="C8538" s="60"/>
      <c r="D8538" s="60"/>
      <c r="E8538" s="60"/>
      <c r="F8538" s="60"/>
      <c r="G8538" s="60"/>
      <c r="H8538" s="60"/>
      <c r="I8538" s="60"/>
      <c r="J8538" s="60"/>
      <c r="K8538" s="60"/>
      <c r="L8538" s="60"/>
      <c r="M8538" s="64"/>
      <c r="N8538" s="33"/>
    </row>
    <row r="8539" ht="24" customHeight="1" spans="2:14">
      <c r="B8539" s="33"/>
      <c r="C8539" s="60"/>
      <c r="D8539" s="60"/>
      <c r="E8539" s="60"/>
      <c r="F8539" s="60"/>
      <c r="G8539" s="60"/>
      <c r="H8539" s="60"/>
      <c r="I8539" s="60"/>
      <c r="J8539" s="60"/>
      <c r="K8539" s="60"/>
      <c r="L8539" s="60"/>
      <c r="M8539" s="64"/>
      <c r="N8539" s="33"/>
    </row>
    <row r="8540" ht="24" customHeight="1" spans="2:14">
      <c r="B8540" s="33"/>
      <c r="C8540" s="60"/>
      <c r="D8540" s="60"/>
      <c r="E8540" s="60"/>
      <c r="F8540" s="60"/>
      <c r="G8540" s="60"/>
      <c r="H8540" s="60"/>
      <c r="I8540" s="60"/>
      <c r="J8540" s="60"/>
      <c r="K8540" s="60"/>
      <c r="L8540" s="60"/>
      <c r="M8540" s="64"/>
      <c r="N8540" s="33"/>
    </row>
    <row r="8541" ht="24" customHeight="1" spans="2:14">
      <c r="B8541" s="33"/>
      <c r="C8541" s="60"/>
      <c r="D8541" s="60"/>
      <c r="E8541" s="60"/>
      <c r="F8541" s="60"/>
      <c r="G8541" s="60"/>
      <c r="H8541" s="60"/>
      <c r="I8541" s="60"/>
      <c r="J8541" s="60"/>
      <c r="K8541" s="60"/>
      <c r="L8541" s="60"/>
      <c r="M8541" s="64"/>
      <c r="N8541" s="33"/>
    </row>
    <row r="8542" ht="24" customHeight="1" spans="2:14">
      <c r="B8542" s="33"/>
      <c r="C8542" s="60"/>
      <c r="D8542" s="60"/>
      <c r="E8542" s="60"/>
      <c r="F8542" s="60"/>
      <c r="G8542" s="60"/>
      <c r="H8542" s="60"/>
      <c r="I8542" s="60"/>
      <c r="J8542" s="60"/>
      <c r="K8542" s="60"/>
      <c r="L8542" s="60"/>
      <c r="M8542" s="64"/>
      <c r="N8542" s="33"/>
    </row>
    <row r="8543" ht="24" customHeight="1" spans="2:14">
      <c r="B8543" s="33"/>
      <c r="C8543" s="60"/>
      <c r="D8543" s="60"/>
      <c r="E8543" s="60"/>
      <c r="F8543" s="60"/>
      <c r="G8543" s="60"/>
      <c r="H8543" s="60"/>
      <c r="I8543" s="60"/>
      <c r="J8543" s="60"/>
      <c r="K8543" s="60"/>
      <c r="L8543" s="60"/>
      <c r="M8543" s="64"/>
      <c r="N8543" s="33"/>
    </row>
    <row r="8544" ht="24" customHeight="1" spans="2:14">
      <c r="B8544" s="33"/>
      <c r="C8544" s="60"/>
      <c r="D8544" s="60"/>
      <c r="E8544" s="60"/>
      <c r="F8544" s="60"/>
      <c r="G8544" s="60"/>
      <c r="H8544" s="60"/>
      <c r="I8544" s="60"/>
      <c r="J8544" s="60"/>
      <c r="K8544" s="60"/>
      <c r="L8544" s="60"/>
      <c r="M8544" s="64"/>
      <c r="N8544" s="33"/>
    </row>
    <row r="8545" ht="24" customHeight="1" spans="2:14">
      <c r="B8545" s="33"/>
      <c r="C8545" s="60"/>
      <c r="D8545" s="60"/>
      <c r="E8545" s="60"/>
      <c r="F8545" s="60"/>
      <c r="G8545" s="60"/>
      <c r="H8545" s="60"/>
      <c r="I8545" s="60"/>
      <c r="J8545" s="60"/>
      <c r="K8545" s="60"/>
      <c r="L8545" s="60"/>
      <c r="M8545" s="64"/>
      <c r="N8545" s="33"/>
    </row>
    <row r="8546" ht="24" customHeight="1" spans="2:14">
      <c r="B8546" s="33"/>
      <c r="C8546" s="60"/>
      <c r="D8546" s="60"/>
      <c r="E8546" s="60"/>
      <c r="F8546" s="60"/>
      <c r="G8546" s="60"/>
      <c r="H8546" s="60"/>
      <c r="I8546" s="60"/>
      <c r="J8546" s="60"/>
      <c r="K8546" s="60"/>
      <c r="L8546" s="60"/>
      <c r="M8546" s="64"/>
      <c r="N8546" s="33"/>
    </row>
    <row r="8547" ht="24" customHeight="1" spans="2:14">
      <c r="B8547" s="33"/>
      <c r="C8547" s="60"/>
      <c r="D8547" s="60"/>
      <c r="E8547" s="60"/>
      <c r="F8547" s="60"/>
      <c r="G8547" s="60"/>
      <c r="H8547" s="60"/>
      <c r="I8547" s="60"/>
      <c r="J8547" s="60"/>
      <c r="K8547" s="60"/>
      <c r="L8547" s="60"/>
      <c r="M8547" s="64"/>
      <c r="N8547" s="33"/>
    </row>
    <row r="8548" ht="24" customHeight="1" spans="2:14">
      <c r="B8548" s="33"/>
      <c r="C8548" s="60"/>
      <c r="D8548" s="60"/>
      <c r="E8548" s="60"/>
      <c r="F8548" s="60"/>
      <c r="G8548" s="60"/>
      <c r="H8548" s="60"/>
      <c r="I8548" s="60"/>
      <c r="J8548" s="60"/>
      <c r="K8548" s="60"/>
      <c r="L8548" s="60"/>
      <c r="M8548" s="64"/>
      <c r="N8548" s="33"/>
    </row>
    <row r="8549" ht="24" customHeight="1" spans="2:14">
      <c r="B8549" s="33"/>
      <c r="C8549" s="60"/>
      <c r="D8549" s="60"/>
      <c r="E8549" s="60"/>
      <c r="F8549" s="60"/>
      <c r="G8549" s="60"/>
      <c r="H8549" s="60"/>
      <c r="I8549" s="60"/>
      <c r="J8549" s="60"/>
      <c r="K8549" s="60"/>
      <c r="L8549" s="60"/>
      <c r="M8549" s="64"/>
      <c r="N8549" s="33"/>
    </row>
    <row r="8550" ht="24" customHeight="1" spans="2:14">
      <c r="B8550" s="33"/>
      <c r="C8550" s="60"/>
      <c r="D8550" s="60"/>
      <c r="E8550" s="60"/>
      <c r="F8550" s="60"/>
      <c r="G8550" s="60"/>
      <c r="H8550" s="60"/>
      <c r="I8550" s="60"/>
      <c r="J8550" s="60"/>
      <c r="K8550" s="60"/>
      <c r="L8550" s="60"/>
      <c r="M8550" s="64"/>
      <c r="N8550" s="33"/>
    </row>
    <row r="8551" ht="24" customHeight="1" spans="2:14">
      <c r="B8551" s="33"/>
      <c r="C8551" s="60"/>
      <c r="D8551" s="60"/>
      <c r="E8551" s="60"/>
      <c r="F8551" s="60"/>
      <c r="G8551" s="60"/>
      <c r="H8551" s="60"/>
      <c r="I8551" s="60"/>
      <c r="J8551" s="60"/>
      <c r="K8551" s="60"/>
      <c r="L8551" s="60"/>
      <c r="M8551" s="64"/>
      <c r="N8551" s="33"/>
    </row>
    <row r="8552" ht="24" customHeight="1" spans="2:14">
      <c r="B8552" s="33"/>
      <c r="C8552" s="60"/>
      <c r="D8552" s="60"/>
      <c r="E8552" s="60"/>
      <c r="F8552" s="60"/>
      <c r="G8552" s="60"/>
      <c r="H8552" s="60"/>
      <c r="I8552" s="60"/>
      <c r="J8552" s="60"/>
      <c r="K8552" s="60"/>
      <c r="L8552" s="60"/>
      <c r="M8552" s="64"/>
      <c r="N8552" s="33"/>
    </row>
    <row r="8553" ht="24" customHeight="1" spans="2:14">
      <c r="B8553" s="33"/>
      <c r="C8553" s="60"/>
      <c r="D8553" s="60"/>
      <c r="E8553" s="60"/>
      <c r="F8553" s="60"/>
      <c r="G8553" s="60"/>
      <c r="H8553" s="60"/>
      <c r="I8553" s="60"/>
      <c r="J8553" s="60"/>
      <c r="K8553" s="60"/>
      <c r="L8553" s="60"/>
      <c r="M8553" s="64"/>
      <c r="N8553" s="33"/>
    </row>
    <row r="8554" ht="24" customHeight="1" spans="2:14">
      <c r="B8554" s="33"/>
      <c r="C8554" s="60"/>
      <c r="D8554" s="60"/>
      <c r="E8554" s="60"/>
      <c r="F8554" s="60"/>
      <c r="G8554" s="60"/>
      <c r="H8554" s="60"/>
      <c r="I8554" s="60"/>
      <c r="J8554" s="60"/>
      <c r="K8554" s="60"/>
      <c r="L8554" s="60"/>
      <c r="M8554" s="64"/>
      <c r="N8554" s="33"/>
    </row>
    <row r="8555" ht="24" customHeight="1" spans="2:14">
      <c r="B8555" s="33"/>
      <c r="C8555" s="60"/>
      <c r="D8555" s="60"/>
      <c r="E8555" s="60"/>
      <c r="F8555" s="60"/>
      <c r="G8555" s="60"/>
      <c r="H8555" s="60"/>
      <c r="I8555" s="60"/>
      <c r="J8555" s="60"/>
      <c r="K8555" s="60"/>
      <c r="L8555" s="60"/>
      <c r="M8555" s="64"/>
      <c r="N8555" s="33"/>
    </row>
    <row r="8556" ht="24" customHeight="1" spans="2:14">
      <c r="B8556" s="33"/>
      <c r="C8556" s="60"/>
      <c r="D8556" s="60"/>
      <c r="E8556" s="60"/>
      <c r="F8556" s="60"/>
      <c r="G8556" s="60"/>
      <c r="H8556" s="60"/>
      <c r="I8556" s="60"/>
      <c r="J8556" s="60"/>
      <c r="K8556" s="60"/>
      <c r="L8556" s="60"/>
      <c r="M8556" s="64"/>
      <c r="N8556" s="33"/>
    </row>
    <row r="8557" ht="24" customHeight="1" spans="2:14">
      <c r="B8557" s="33"/>
      <c r="C8557" s="60"/>
      <c r="D8557" s="60"/>
      <c r="E8557" s="60"/>
      <c r="F8557" s="60"/>
      <c r="G8557" s="60"/>
      <c r="H8557" s="60"/>
      <c r="I8557" s="60"/>
      <c r="J8557" s="60"/>
      <c r="K8557" s="60"/>
      <c r="L8557" s="60"/>
      <c r="M8557" s="64"/>
      <c r="N8557" s="33"/>
    </row>
    <row r="8558" ht="24" customHeight="1" spans="2:14">
      <c r="B8558" s="33"/>
      <c r="C8558" s="60"/>
      <c r="D8558" s="60"/>
      <c r="E8558" s="60"/>
      <c r="F8558" s="60"/>
      <c r="G8558" s="60"/>
      <c r="H8558" s="60"/>
      <c r="I8558" s="60"/>
      <c r="J8558" s="60"/>
      <c r="K8558" s="60"/>
      <c r="L8558" s="60"/>
      <c r="M8558" s="64"/>
      <c r="N8558" s="33"/>
    </row>
    <row r="8559" ht="24" customHeight="1" spans="2:14">
      <c r="B8559" s="33"/>
      <c r="C8559" s="60"/>
      <c r="D8559" s="60"/>
      <c r="E8559" s="60"/>
      <c r="F8559" s="60"/>
      <c r="G8559" s="60"/>
      <c r="H8559" s="60"/>
      <c r="I8559" s="60"/>
      <c r="J8559" s="60"/>
      <c r="K8559" s="60"/>
      <c r="L8559" s="60"/>
      <c r="M8559" s="64"/>
      <c r="N8559" s="33"/>
    </row>
    <row r="8560" ht="24" customHeight="1" spans="2:14">
      <c r="B8560" s="33"/>
      <c r="C8560" s="60"/>
      <c r="D8560" s="60"/>
      <c r="E8560" s="60"/>
      <c r="F8560" s="60"/>
      <c r="G8560" s="60"/>
      <c r="H8560" s="60"/>
      <c r="I8560" s="60"/>
      <c r="J8560" s="60"/>
      <c r="K8560" s="60"/>
      <c r="L8560" s="60"/>
      <c r="M8560" s="64"/>
      <c r="N8560" s="33"/>
    </row>
    <row r="8561" ht="24" customHeight="1" spans="2:14">
      <c r="B8561" s="33"/>
      <c r="C8561" s="60"/>
      <c r="D8561" s="60"/>
      <c r="E8561" s="60"/>
      <c r="F8561" s="60"/>
      <c r="G8561" s="60"/>
      <c r="H8561" s="60"/>
      <c r="I8561" s="60"/>
      <c r="J8561" s="60"/>
      <c r="K8561" s="60"/>
      <c r="L8561" s="60"/>
      <c r="M8561" s="64"/>
      <c r="N8561" s="33"/>
    </row>
    <row r="8562" ht="24" customHeight="1" spans="2:14">
      <c r="B8562" s="33"/>
      <c r="C8562" s="60"/>
      <c r="D8562" s="60"/>
      <c r="E8562" s="60"/>
      <c r="F8562" s="60"/>
      <c r="G8562" s="60"/>
      <c r="H8562" s="60"/>
      <c r="I8562" s="60"/>
      <c r="J8562" s="60"/>
      <c r="K8562" s="60"/>
      <c r="L8562" s="60"/>
      <c r="M8562" s="64"/>
      <c r="N8562" s="33"/>
    </row>
    <row r="8563" ht="24" customHeight="1" spans="2:14">
      <c r="B8563" s="33"/>
      <c r="C8563" s="60"/>
      <c r="D8563" s="60"/>
      <c r="E8563" s="60"/>
      <c r="F8563" s="60"/>
      <c r="G8563" s="60"/>
      <c r="H8563" s="60"/>
      <c r="I8563" s="60"/>
      <c r="J8563" s="60"/>
      <c r="K8563" s="60"/>
      <c r="L8563" s="60"/>
      <c r="M8563" s="64"/>
      <c r="N8563" s="33"/>
    </row>
    <row r="8564" ht="24" customHeight="1" spans="2:14">
      <c r="B8564" s="33"/>
      <c r="C8564" s="60"/>
      <c r="D8564" s="60"/>
      <c r="E8564" s="60"/>
      <c r="F8564" s="60"/>
      <c r="G8564" s="60"/>
      <c r="H8564" s="60"/>
      <c r="I8564" s="60"/>
      <c r="J8564" s="60"/>
      <c r="K8564" s="60"/>
      <c r="L8564" s="60"/>
      <c r="M8564" s="64"/>
      <c r="N8564" s="33"/>
    </row>
    <row r="8565" ht="24" customHeight="1" spans="2:14">
      <c r="B8565" s="33"/>
      <c r="C8565" s="60"/>
      <c r="D8565" s="60"/>
      <c r="E8565" s="60"/>
      <c r="F8565" s="60"/>
      <c r="G8565" s="60"/>
      <c r="H8565" s="60"/>
      <c r="I8565" s="60"/>
      <c r="J8565" s="60"/>
      <c r="K8565" s="60"/>
      <c r="L8565" s="60"/>
      <c r="M8565" s="64"/>
      <c r="N8565" s="33"/>
    </row>
    <row r="8566" ht="24" customHeight="1" spans="2:14">
      <c r="B8566" s="33"/>
      <c r="C8566" s="60"/>
      <c r="D8566" s="60"/>
      <c r="E8566" s="60"/>
      <c r="F8566" s="60"/>
      <c r="G8566" s="60"/>
      <c r="H8566" s="60"/>
      <c r="I8566" s="60"/>
      <c r="J8566" s="60"/>
      <c r="K8566" s="60"/>
      <c r="L8566" s="60"/>
      <c r="M8566" s="64"/>
      <c r="N8566" s="33"/>
    </row>
    <row r="8567" ht="24" customHeight="1" spans="2:14">
      <c r="B8567" s="33"/>
      <c r="C8567" s="60"/>
      <c r="D8567" s="60"/>
      <c r="E8567" s="60"/>
      <c r="F8567" s="60"/>
      <c r="G8567" s="60"/>
      <c r="H8567" s="60"/>
      <c r="I8567" s="60"/>
      <c r="J8567" s="60"/>
      <c r="K8567" s="60"/>
      <c r="L8567" s="60"/>
      <c r="M8567" s="64"/>
      <c r="N8567" s="33"/>
    </row>
    <row r="8568" ht="24" customHeight="1" spans="2:14">
      <c r="B8568" s="33"/>
      <c r="C8568" s="60"/>
      <c r="D8568" s="60"/>
      <c r="E8568" s="60"/>
      <c r="F8568" s="60"/>
      <c r="G8568" s="60"/>
      <c r="H8568" s="60"/>
      <c r="I8568" s="60"/>
      <c r="J8568" s="60"/>
      <c r="K8568" s="60"/>
      <c r="L8568" s="60"/>
      <c r="M8568" s="64"/>
      <c r="N8568" s="33"/>
    </row>
    <row r="8569" ht="24" customHeight="1" spans="2:14">
      <c r="B8569" s="33"/>
      <c r="C8569" s="60"/>
      <c r="D8569" s="60"/>
      <c r="E8569" s="60"/>
      <c r="F8569" s="60"/>
      <c r="G8569" s="60"/>
      <c r="H8569" s="60"/>
      <c r="I8569" s="60"/>
      <c r="J8569" s="60"/>
      <c r="K8569" s="60"/>
      <c r="L8569" s="60"/>
      <c r="M8569" s="64"/>
      <c r="N8569" s="33"/>
    </row>
    <row r="8570" ht="24" customHeight="1" spans="2:14">
      <c r="B8570" s="33"/>
      <c r="C8570" s="60"/>
      <c r="D8570" s="60"/>
      <c r="E8570" s="60"/>
      <c r="F8570" s="60"/>
      <c r="G8570" s="60"/>
      <c r="H8570" s="60"/>
      <c r="I8570" s="60"/>
      <c r="J8570" s="60"/>
      <c r="K8570" s="60"/>
      <c r="L8570" s="60"/>
      <c r="M8570" s="64"/>
      <c r="N8570" s="33"/>
    </row>
    <row r="8571" ht="24" customHeight="1" spans="2:14">
      <c r="B8571" s="33"/>
      <c r="C8571" s="60"/>
      <c r="D8571" s="60"/>
      <c r="E8571" s="60"/>
      <c r="F8571" s="60"/>
      <c r="G8571" s="60"/>
      <c r="H8571" s="60"/>
      <c r="I8571" s="60"/>
      <c r="J8571" s="60"/>
      <c r="K8571" s="60"/>
      <c r="L8571" s="60"/>
      <c r="M8571" s="64"/>
      <c r="N8571" s="33"/>
    </row>
    <row r="8572" ht="24" customHeight="1" spans="2:14">
      <c r="B8572" s="33"/>
      <c r="C8572" s="60"/>
      <c r="D8572" s="60"/>
      <c r="E8572" s="60"/>
      <c r="F8572" s="60"/>
      <c r="G8572" s="60"/>
      <c r="H8572" s="60"/>
      <c r="I8572" s="60"/>
      <c r="J8572" s="60"/>
      <c r="K8572" s="60"/>
      <c r="L8572" s="60"/>
      <c r="M8572" s="64"/>
      <c r="N8572" s="33"/>
    </row>
    <row r="8573" ht="24" customHeight="1" spans="2:14">
      <c r="B8573" s="33"/>
      <c r="C8573" s="60"/>
      <c r="D8573" s="60"/>
      <c r="E8573" s="60"/>
      <c r="F8573" s="60"/>
      <c r="G8573" s="60"/>
      <c r="H8573" s="60"/>
      <c r="I8573" s="60"/>
      <c r="J8573" s="60"/>
      <c r="K8573" s="60"/>
      <c r="L8573" s="60"/>
      <c r="M8573" s="64"/>
      <c r="N8573" s="33"/>
    </row>
    <row r="8574" ht="24" customHeight="1" spans="2:14">
      <c r="B8574" s="33"/>
      <c r="C8574" s="60"/>
      <c r="D8574" s="60"/>
      <c r="E8574" s="60"/>
      <c r="F8574" s="60"/>
      <c r="G8574" s="60"/>
      <c r="H8574" s="60"/>
      <c r="I8574" s="60"/>
      <c r="J8574" s="60"/>
      <c r="K8574" s="60"/>
      <c r="L8574" s="60"/>
      <c r="M8574" s="64"/>
      <c r="N8574" s="33"/>
    </row>
    <row r="8575" ht="24" customHeight="1" spans="2:14">
      <c r="B8575" s="33"/>
      <c r="C8575" s="60"/>
      <c r="D8575" s="60"/>
      <c r="E8575" s="60"/>
      <c r="F8575" s="60"/>
      <c r="G8575" s="60"/>
      <c r="H8575" s="60"/>
      <c r="I8575" s="60"/>
      <c r="J8575" s="60"/>
      <c r="K8575" s="60"/>
      <c r="L8575" s="60"/>
      <c r="M8575" s="64"/>
      <c r="N8575" s="33"/>
    </row>
    <row r="8576" ht="24" customHeight="1" spans="2:14">
      <c r="B8576" s="33"/>
      <c r="C8576" s="60"/>
      <c r="D8576" s="60"/>
      <c r="E8576" s="60"/>
      <c r="F8576" s="60"/>
      <c r="G8576" s="60"/>
      <c r="H8576" s="60"/>
      <c r="I8576" s="60"/>
      <c r="J8576" s="60"/>
      <c r="K8576" s="60"/>
      <c r="L8576" s="60"/>
      <c r="M8576" s="64"/>
      <c r="N8576" s="33"/>
    </row>
    <row r="8577" ht="24" customHeight="1" spans="2:14">
      <c r="B8577" s="33"/>
      <c r="C8577" s="60"/>
      <c r="D8577" s="60"/>
      <c r="E8577" s="60"/>
      <c r="F8577" s="60"/>
      <c r="G8577" s="60"/>
      <c r="H8577" s="60"/>
      <c r="I8577" s="60"/>
      <c r="J8577" s="60"/>
      <c r="K8577" s="60"/>
      <c r="L8577" s="60"/>
      <c r="M8577" s="64"/>
      <c r="N8577" s="33"/>
    </row>
    <row r="8578" ht="24" customHeight="1" spans="2:14">
      <c r="B8578" s="33"/>
      <c r="C8578" s="60"/>
      <c r="D8578" s="60"/>
      <c r="E8578" s="60"/>
      <c r="F8578" s="60"/>
      <c r="G8578" s="60"/>
      <c r="H8578" s="60"/>
      <c r="I8578" s="60"/>
      <c r="J8578" s="60"/>
      <c r="K8578" s="60"/>
      <c r="L8578" s="60"/>
      <c r="M8578" s="64"/>
      <c r="N8578" s="33"/>
    </row>
    <row r="8579" ht="24" customHeight="1" spans="2:14">
      <c r="B8579" s="33"/>
      <c r="C8579" s="60"/>
      <c r="D8579" s="60"/>
      <c r="E8579" s="60"/>
      <c r="F8579" s="60"/>
      <c r="G8579" s="60"/>
      <c r="H8579" s="60"/>
      <c r="I8579" s="60"/>
      <c r="J8579" s="60"/>
      <c r="K8579" s="60"/>
      <c r="L8579" s="60"/>
      <c r="M8579" s="64"/>
      <c r="N8579" s="33"/>
    </row>
    <row r="8580" ht="24" customHeight="1" spans="2:14">
      <c r="B8580" s="33"/>
      <c r="C8580" s="60"/>
      <c r="D8580" s="60"/>
      <c r="E8580" s="60"/>
      <c r="F8580" s="60"/>
      <c r="G8580" s="60"/>
      <c r="H8580" s="60"/>
      <c r="I8580" s="60"/>
      <c r="J8580" s="60"/>
      <c r="K8580" s="60"/>
      <c r="L8580" s="60"/>
      <c r="M8580" s="64"/>
      <c r="N8580" s="33"/>
    </row>
    <row r="8581" ht="24" customHeight="1" spans="2:14">
      <c r="B8581" s="33"/>
      <c r="C8581" s="60"/>
      <c r="D8581" s="60"/>
      <c r="E8581" s="60"/>
      <c r="F8581" s="60"/>
      <c r="G8581" s="60"/>
      <c r="H8581" s="60"/>
      <c r="I8581" s="60"/>
      <c r="J8581" s="60"/>
      <c r="K8581" s="60"/>
      <c r="L8581" s="60"/>
      <c r="M8581" s="64"/>
      <c r="N8581" s="33"/>
    </row>
    <row r="8582" ht="24" customHeight="1" spans="2:14">
      <c r="B8582" s="33"/>
      <c r="C8582" s="60"/>
      <c r="D8582" s="60"/>
      <c r="E8582" s="60"/>
      <c r="F8582" s="60"/>
      <c r="G8582" s="60"/>
      <c r="H8582" s="60"/>
      <c r="I8582" s="60"/>
      <c r="J8582" s="60"/>
      <c r="K8582" s="60"/>
      <c r="L8582" s="60"/>
      <c r="M8582" s="64"/>
      <c r="N8582" s="33"/>
    </row>
    <row r="8583" ht="24" customHeight="1" spans="2:14">
      <c r="B8583" s="33"/>
      <c r="C8583" s="60"/>
      <c r="D8583" s="60"/>
      <c r="E8583" s="60"/>
      <c r="F8583" s="60"/>
      <c r="G8583" s="60"/>
      <c r="H8583" s="60"/>
      <c r="I8583" s="60"/>
      <c r="J8583" s="60"/>
      <c r="K8583" s="60"/>
      <c r="L8583" s="60"/>
      <c r="M8583" s="64"/>
      <c r="N8583" s="33"/>
    </row>
    <row r="8584" ht="24" customHeight="1" spans="2:14">
      <c r="B8584" s="33"/>
      <c r="C8584" s="60"/>
      <c r="D8584" s="60"/>
      <c r="E8584" s="60"/>
      <c r="F8584" s="60"/>
      <c r="G8584" s="60"/>
      <c r="H8584" s="60"/>
      <c r="I8584" s="60"/>
      <c r="J8584" s="60"/>
      <c r="K8584" s="60"/>
      <c r="L8584" s="60"/>
      <c r="M8584" s="64"/>
      <c r="N8584" s="33"/>
    </row>
    <row r="8585" ht="24" customHeight="1" spans="2:14">
      <c r="B8585" s="33"/>
      <c r="C8585" s="60"/>
      <c r="D8585" s="60"/>
      <c r="E8585" s="60"/>
      <c r="F8585" s="60"/>
      <c r="G8585" s="60"/>
      <c r="H8585" s="60"/>
      <c r="I8585" s="60"/>
      <c r="J8585" s="60"/>
      <c r="K8585" s="60"/>
      <c r="L8585" s="60"/>
      <c r="M8585" s="64"/>
      <c r="N8585" s="33"/>
    </row>
    <row r="8586" ht="24" customHeight="1" spans="2:14">
      <c r="B8586" s="33"/>
      <c r="C8586" s="60"/>
      <c r="D8586" s="60"/>
      <c r="E8586" s="60"/>
      <c r="F8586" s="60"/>
      <c r="G8586" s="60"/>
      <c r="H8586" s="60"/>
      <c r="I8586" s="60"/>
      <c r="J8586" s="60"/>
      <c r="K8586" s="60"/>
      <c r="L8586" s="60"/>
      <c r="M8586" s="64"/>
      <c r="N8586" s="33"/>
    </row>
    <row r="8587" ht="24" customHeight="1" spans="2:14">
      <c r="B8587" s="33"/>
      <c r="C8587" s="60"/>
      <c r="D8587" s="60"/>
      <c r="E8587" s="60"/>
      <c r="F8587" s="60"/>
      <c r="G8587" s="60"/>
      <c r="H8587" s="60"/>
      <c r="I8587" s="60"/>
      <c r="J8587" s="60"/>
      <c r="K8587" s="60"/>
      <c r="L8587" s="60"/>
      <c r="M8587" s="64"/>
      <c r="N8587" s="33"/>
    </row>
    <row r="8588" ht="24" customHeight="1" spans="2:14">
      <c r="B8588" s="33"/>
      <c r="C8588" s="60"/>
      <c r="D8588" s="60"/>
      <c r="E8588" s="60"/>
      <c r="F8588" s="60"/>
      <c r="G8588" s="60"/>
      <c r="H8588" s="60"/>
      <c r="I8588" s="60"/>
      <c r="J8588" s="60"/>
      <c r="K8588" s="60"/>
      <c r="L8588" s="60"/>
      <c r="M8588" s="64"/>
      <c r="N8588" s="33"/>
    </row>
    <row r="8589" ht="24" customHeight="1" spans="2:14">
      <c r="B8589" s="33"/>
      <c r="C8589" s="60"/>
      <c r="D8589" s="60"/>
      <c r="E8589" s="60"/>
      <c r="F8589" s="60"/>
      <c r="G8589" s="60"/>
      <c r="H8589" s="60"/>
      <c r="I8589" s="60"/>
      <c r="J8589" s="60"/>
      <c r="K8589" s="60"/>
      <c r="L8589" s="60"/>
      <c r="M8589" s="64"/>
      <c r="N8589" s="33"/>
    </row>
    <row r="8590" ht="24" customHeight="1" spans="2:14">
      <c r="B8590" s="33"/>
      <c r="C8590" s="60"/>
      <c r="D8590" s="60"/>
      <c r="E8590" s="60"/>
      <c r="F8590" s="60"/>
      <c r="G8590" s="60"/>
      <c r="H8590" s="60"/>
      <c r="I8590" s="60"/>
      <c r="J8590" s="60"/>
      <c r="K8590" s="60"/>
      <c r="L8590" s="60"/>
      <c r="M8590" s="64"/>
      <c r="N8590" s="33"/>
    </row>
    <row r="8591" ht="24" customHeight="1" spans="2:14">
      <c r="B8591" s="33"/>
      <c r="C8591" s="60"/>
      <c r="D8591" s="60"/>
      <c r="E8591" s="60"/>
      <c r="F8591" s="60"/>
      <c r="G8591" s="60"/>
      <c r="H8591" s="60"/>
      <c r="I8591" s="60"/>
      <c r="J8591" s="60"/>
      <c r="K8591" s="60"/>
      <c r="L8591" s="60"/>
      <c r="M8591" s="64"/>
      <c r="N8591" s="33"/>
    </row>
    <row r="8592" ht="24" customHeight="1" spans="2:14">
      <c r="B8592" s="33"/>
      <c r="C8592" s="60"/>
      <c r="D8592" s="60"/>
      <c r="E8592" s="60"/>
      <c r="F8592" s="60"/>
      <c r="G8592" s="60"/>
      <c r="H8592" s="60"/>
      <c r="I8592" s="60"/>
      <c r="J8592" s="60"/>
      <c r="K8592" s="60"/>
      <c r="L8592" s="60"/>
      <c r="M8592" s="64"/>
      <c r="N8592" s="33"/>
    </row>
    <row r="8593" ht="24" customHeight="1" spans="2:14">
      <c r="B8593" s="33"/>
      <c r="C8593" s="60"/>
      <c r="D8593" s="60"/>
      <c r="E8593" s="60"/>
      <c r="F8593" s="60"/>
      <c r="G8593" s="60"/>
      <c r="H8593" s="60"/>
      <c r="I8593" s="60"/>
      <c r="J8593" s="60"/>
      <c r="K8593" s="60"/>
      <c r="L8593" s="60"/>
      <c r="M8593" s="64"/>
      <c r="N8593" s="33"/>
    </row>
    <row r="8594" ht="24" customHeight="1" spans="2:14">
      <c r="B8594" s="33"/>
      <c r="C8594" s="60"/>
      <c r="D8594" s="60"/>
      <c r="E8594" s="60"/>
      <c r="F8594" s="60"/>
      <c r="G8594" s="60"/>
      <c r="H8594" s="60"/>
      <c r="I8594" s="60"/>
      <c r="J8594" s="60"/>
      <c r="K8594" s="60"/>
      <c r="L8594" s="60"/>
      <c r="M8594" s="64"/>
      <c r="N8594" s="33"/>
    </row>
    <row r="8595" ht="24" customHeight="1" spans="2:14">
      <c r="B8595" s="33"/>
      <c r="C8595" s="60"/>
      <c r="D8595" s="60"/>
      <c r="E8595" s="60"/>
      <c r="F8595" s="60"/>
      <c r="G8595" s="60"/>
      <c r="H8595" s="60"/>
      <c r="I8595" s="60"/>
      <c r="J8595" s="60"/>
      <c r="K8595" s="60"/>
      <c r="L8595" s="60"/>
      <c r="M8595" s="64"/>
      <c r="N8595" s="33"/>
    </row>
    <row r="8596" ht="24" customHeight="1" spans="2:14">
      <c r="B8596" s="33"/>
      <c r="C8596" s="60"/>
      <c r="D8596" s="60"/>
      <c r="E8596" s="60"/>
      <c r="F8596" s="60"/>
      <c r="G8596" s="60"/>
      <c r="H8596" s="60"/>
      <c r="I8596" s="60"/>
      <c r="J8596" s="60"/>
      <c r="K8596" s="60"/>
      <c r="L8596" s="60"/>
      <c r="M8596" s="64"/>
      <c r="N8596" s="33"/>
    </row>
    <row r="8597" ht="24" customHeight="1" spans="2:14">
      <c r="B8597" s="33"/>
      <c r="C8597" s="60"/>
      <c r="D8597" s="60"/>
      <c r="E8597" s="60"/>
      <c r="F8597" s="60"/>
      <c r="G8597" s="60"/>
      <c r="H8597" s="60"/>
      <c r="I8597" s="60"/>
      <c r="J8597" s="60"/>
      <c r="K8597" s="60"/>
      <c r="L8597" s="60"/>
      <c r="M8597" s="64"/>
      <c r="N8597" s="33"/>
    </row>
    <row r="8598" ht="24" customHeight="1" spans="2:14">
      <c r="B8598" s="33"/>
      <c r="C8598" s="60"/>
      <c r="D8598" s="60"/>
      <c r="E8598" s="60"/>
      <c r="F8598" s="60"/>
      <c r="G8598" s="60"/>
      <c r="H8598" s="60"/>
      <c r="I8598" s="60"/>
      <c r="J8598" s="60"/>
      <c r="K8598" s="60"/>
      <c r="L8598" s="60"/>
      <c r="M8598" s="64"/>
      <c r="N8598" s="33"/>
    </row>
    <row r="8599" ht="24" customHeight="1" spans="2:14">
      <c r="B8599" s="33"/>
      <c r="C8599" s="60"/>
      <c r="D8599" s="60"/>
      <c r="E8599" s="60"/>
      <c r="F8599" s="60"/>
      <c r="G8599" s="60"/>
      <c r="H8599" s="60"/>
      <c r="I8599" s="60"/>
      <c r="J8599" s="60"/>
      <c r="K8599" s="60"/>
      <c r="L8599" s="60"/>
      <c r="M8599" s="64"/>
      <c r="N8599" s="33"/>
    </row>
    <row r="8600" ht="24" customHeight="1" spans="2:14">
      <c r="B8600" s="33"/>
      <c r="C8600" s="60"/>
      <c r="D8600" s="60"/>
      <c r="E8600" s="60"/>
      <c r="F8600" s="60"/>
      <c r="G8600" s="60"/>
      <c r="H8600" s="60"/>
      <c r="I8600" s="60"/>
      <c r="J8600" s="60"/>
      <c r="K8600" s="60"/>
      <c r="L8600" s="60"/>
      <c r="M8600" s="64"/>
      <c r="N8600" s="33"/>
    </row>
    <row r="8601" ht="24" customHeight="1" spans="2:14">
      <c r="B8601" s="33"/>
      <c r="C8601" s="60"/>
      <c r="D8601" s="60"/>
      <c r="E8601" s="60"/>
      <c r="F8601" s="60"/>
      <c r="G8601" s="60"/>
      <c r="H8601" s="60"/>
      <c r="I8601" s="60"/>
      <c r="J8601" s="60"/>
      <c r="K8601" s="60"/>
      <c r="L8601" s="60"/>
      <c r="M8601" s="64"/>
      <c r="N8601" s="33"/>
    </row>
    <row r="8602" ht="24" customHeight="1" spans="2:14">
      <c r="B8602" s="33"/>
      <c r="C8602" s="60"/>
      <c r="D8602" s="60"/>
      <c r="E8602" s="60"/>
      <c r="F8602" s="60"/>
      <c r="G8602" s="60"/>
      <c r="H8602" s="60"/>
      <c r="I8602" s="60"/>
      <c r="J8602" s="60"/>
      <c r="K8602" s="60"/>
      <c r="L8602" s="60"/>
      <c r="M8602" s="64"/>
      <c r="N8602" s="33"/>
    </row>
    <row r="8603" ht="24" customHeight="1" spans="2:14">
      <c r="B8603" s="33"/>
      <c r="C8603" s="60"/>
      <c r="D8603" s="60"/>
      <c r="E8603" s="60"/>
      <c r="F8603" s="60"/>
      <c r="G8603" s="60"/>
      <c r="H8603" s="60"/>
      <c r="I8603" s="60"/>
      <c r="J8603" s="60"/>
      <c r="K8603" s="60"/>
      <c r="L8603" s="60"/>
      <c r="M8603" s="64"/>
      <c r="N8603" s="33"/>
    </row>
    <row r="8604" ht="24" customHeight="1" spans="2:14">
      <c r="B8604" s="33"/>
      <c r="C8604" s="60"/>
      <c r="D8604" s="60"/>
      <c r="E8604" s="60"/>
      <c r="F8604" s="60"/>
      <c r="G8604" s="60"/>
      <c r="H8604" s="60"/>
      <c r="I8604" s="60"/>
      <c r="J8604" s="60"/>
      <c r="K8604" s="60"/>
      <c r="L8604" s="60"/>
      <c r="M8604" s="64"/>
      <c r="N8604" s="33"/>
    </row>
    <row r="8605" ht="24" customHeight="1" spans="2:14">
      <c r="B8605" s="33"/>
      <c r="C8605" s="60"/>
      <c r="D8605" s="60"/>
      <c r="E8605" s="60"/>
      <c r="F8605" s="60"/>
      <c r="G8605" s="60"/>
      <c r="H8605" s="60"/>
      <c r="I8605" s="60"/>
      <c r="J8605" s="60"/>
      <c r="K8605" s="60"/>
      <c r="L8605" s="60"/>
      <c r="M8605" s="64"/>
      <c r="N8605" s="33"/>
    </row>
    <row r="8606" ht="24" customHeight="1" spans="2:14">
      <c r="B8606" s="33"/>
      <c r="C8606" s="60"/>
      <c r="D8606" s="60"/>
      <c r="E8606" s="60"/>
      <c r="F8606" s="60"/>
      <c r="G8606" s="60"/>
      <c r="H8606" s="60"/>
      <c r="I8606" s="60"/>
      <c r="J8606" s="60"/>
      <c r="K8606" s="60"/>
      <c r="L8606" s="60"/>
      <c r="M8606" s="64"/>
      <c r="N8606" s="33"/>
    </row>
    <row r="8607" ht="24" customHeight="1" spans="2:14">
      <c r="B8607" s="33"/>
      <c r="C8607" s="60"/>
      <c r="D8607" s="60"/>
      <c r="E8607" s="60"/>
      <c r="F8607" s="60"/>
      <c r="G8607" s="60"/>
      <c r="H8607" s="60"/>
      <c r="I8607" s="60"/>
      <c r="J8607" s="60"/>
      <c r="K8607" s="60"/>
      <c r="L8607" s="60"/>
      <c r="M8607" s="64"/>
      <c r="N8607" s="33"/>
    </row>
    <row r="8608" ht="24" customHeight="1" spans="2:14">
      <c r="B8608" s="33"/>
      <c r="C8608" s="60"/>
      <c r="D8608" s="60"/>
      <c r="E8608" s="60"/>
      <c r="F8608" s="60"/>
      <c r="G8608" s="60"/>
      <c r="H8608" s="60"/>
      <c r="I8608" s="60"/>
      <c r="J8608" s="60"/>
      <c r="K8608" s="60"/>
      <c r="L8608" s="60"/>
      <c r="M8608" s="64"/>
      <c r="N8608" s="33"/>
    </row>
    <row r="8609" ht="24" customHeight="1" spans="2:14">
      <c r="B8609" s="33"/>
      <c r="C8609" s="60"/>
      <c r="D8609" s="60"/>
      <c r="E8609" s="60"/>
      <c r="F8609" s="60"/>
      <c r="G8609" s="60"/>
      <c r="H8609" s="60"/>
      <c r="I8609" s="60"/>
      <c r="J8609" s="60"/>
      <c r="K8609" s="60"/>
      <c r="L8609" s="60"/>
      <c r="M8609" s="64"/>
      <c r="N8609" s="33"/>
    </row>
    <row r="8610" ht="24" customHeight="1" spans="2:14">
      <c r="B8610" s="33"/>
      <c r="C8610" s="60"/>
      <c r="D8610" s="60"/>
      <c r="E8610" s="60"/>
      <c r="F8610" s="60"/>
      <c r="G8610" s="60"/>
      <c r="H8610" s="60"/>
      <c r="I8610" s="60"/>
      <c r="J8610" s="60"/>
      <c r="K8610" s="60"/>
      <c r="L8610" s="60"/>
      <c r="M8610" s="64"/>
      <c r="N8610" s="33"/>
    </row>
    <row r="8611" ht="24" customHeight="1" spans="2:14">
      <c r="B8611" s="33"/>
      <c r="C8611" s="60"/>
      <c r="D8611" s="60"/>
      <c r="E8611" s="60"/>
      <c r="F8611" s="60"/>
      <c r="G8611" s="60"/>
      <c r="H8611" s="60"/>
      <c r="I8611" s="60"/>
      <c r="J8611" s="60"/>
      <c r="K8611" s="60"/>
      <c r="L8611" s="60"/>
      <c r="M8611" s="64"/>
      <c r="N8611" s="33"/>
    </row>
    <row r="8612" ht="24" customHeight="1" spans="2:14">
      <c r="B8612" s="33"/>
      <c r="C8612" s="60"/>
      <c r="D8612" s="60"/>
      <c r="E8612" s="60"/>
      <c r="F8612" s="60"/>
      <c r="G8612" s="60"/>
      <c r="H8612" s="60"/>
      <c r="I8612" s="60"/>
      <c r="J8612" s="60"/>
      <c r="K8612" s="60"/>
      <c r="L8612" s="60"/>
      <c r="M8612" s="64"/>
      <c r="N8612" s="33"/>
    </row>
    <row r="8613" ht="24" customHeight="1" spans="2:14">
      <c r="B8613" s="33"/>
      <c r="C8613" s="60"/>
      <c r="D8613" s="60"/>
      <c r="E8613" s="60"/>
      <c r="F8613" s="60"/>
      <c r="G8613" s="60"/>
      <c r="H8613" s="60"/>
      <c r="I8613" s="60"/>
      <c r="J8613" s="60"/>
      <c r="K8613" s="60"/>
      <c r="L8613" s="60"/>
      <c r="M8613" s="64"/>
      <c r="N8613" s="33"/>
    </row>
    <row r="8614" ht="24" customHeight="1" spans="2:14">
      <c r="B8614" s="33"/>
      <c r="C8614" s="60"/>
      <c r="D8614" s="60"/>
      <c r="E8614" s="60"/>
      <c r="F8614" s="60"/>
      <c r="G8614" s="60"/>
      <c r="H8614" s="60"/>
      <c r="I8614" s="60"/>
      <c r="J8614" s="60"/>
      <c r="K8614" s="60"/>
      <c r="L8614" s="60"/>
      <c r="M8614" s="64"/>
      <c r="N8614" s="33"/>
    </row>
    <row r="8615" ht="24" customHeight="1" spans="2:14">
      <c r="B8615" s="33"/>
      <c r="C8615" s="60"/>
      <c r="D8615" s="60"/>
      <c r="E8615" s="60"/>
      <c r="F8615" s="60"/>
      <c r="G8615" s="60"/>
      <c r="H8615" s="60"/>
      <c r="I8615" s="60"/>
      <c r="J8615" s="60"/>
      <c r="K8615" s="60"/>
      <c r="L8615" s="60"/>
      <c r="M8615" s="64"/>
      <c r="N8615" s="33"/>
    </row>
    <row r="8616" ht="24" customHeight="1" spans="2:14">
      <c r="B8616" s="33"/>
      <c r="C8616" s="60"/>
      <c r="D8616" s="60"/>
      <c r="E8616" s="60"/>
      <c r="F8616" s="60"/>
      <c r="G8616" s="60"/>
      <c r="H8616" s="60"/>
      <c r="I8616" s="60"/>
      <c r="J8616" s="60"/>
      <c r="K8616" s="60"/>
      <c r="L8616" s="60"/>
      <c r="M8616" s="64"/>
      <c r="N8616" s="33"/>
    </row>
    <row r="8617" ht="24" customHeight="1" spans="2:14">
      <c r="B8617" s="33"/>
      <c r="C8617" s="60"/>
      <c r="D8617" s="60"/>
      <c r="E8617" s="60"/>
      <c r="F8617" s="60"/>
      <c r="G8617" s="60"/>
      <c r="H8617" s="60"/>
      <c r="I8617" s="60"/>
      <c r="J8617" s="60"/>
      <c r="K8617" s="60"/>
      <c r="L8617" s="60"/>
      <c r="M8617" s="64"/>
      <c r="N8617" s="33"/>
    </row>
    <row r="8618" ht="24" customHeight="1" spans="2:14">
      <c r="B8618" s="33"/>
      <c r="C8618" s="60"/>
      <c r="D8618" s="60"/>
      <c r="E8618" s="60"/>
      <c r="F8618" s="60"/>
      <c r="G8618" s="60"/>
      <c r="H8618" s="60"/>
      <c r="I8618" s="60"/>
      <c r="J8618" s="60"/>
      <c r="K8618" s="60"/>
      <c r="L8618" s="60"/>
      <c r="M8618" s="64"/>
      <c r="N8618" s="33"/>
    </row>
    <row r="8619" ht="24" customHeight="1" spans="2:14">
      <c r="B8619" s="33"/>
      <c r="C8619" s="60"/>
      <c r="D8619" s="60"/>
      <c r="E8619" s="60"/>
      <c r="F8619" s="60"/>
      <c r="G8619" s="60"/>
      <c r="H8619" s="60"/>
      <c r="I8619" s="60"/>
      <c r="J8619" s="60"/>
      <c r="K8619" s="60"/>
      <c r="L8619" s="60"/>
      <c r="M8619" s="64"/>
      <c r="N8619" s="33"/>
    </row>
    <row r="8620" ht="24" customHeight="1" spans="2:14">
      <c r="B8620" s="33"/>
      <c r="C8620" s="60"/>
      <c r="D8620" s="60"/>
      <c r="E8620" s="60"/>
      <c r="F8620" s="60"/>
      <c r="G8620" s="60"/>
      <c r="H8620" s="60"/>
      <c r="I8620" s="60"/>
      <c r="J8620" s="60"/>
      <c r="K8620" s="60"/>
      <c r="L8620" s="60"/>
      <c r="M8620" s="64"/>
      <c r="N8620" s="33"/>
    </row>
    <row r="8621" ht="24" customHeight="1" spans="2:14">
      <c r="B8621" s="33"/>
      <c r="C8621" s="60"/>
      <c r="D8621" s="60"/>
      <c r="E8621" s="60"/>
      <c r="F8621" s="60"/>
      <c r="G8621" s="60"/>
      <c r="H8621" s="60"/>
      <c r="I8621" s="60"/>
      <c r="J8621" s="60"/>
      <c r="K8621" s="60"/>
      <c r="L8621" s="60"/>
      <c r="M8621" s="64"/>
      <c r="N8621" s="33"/>
    </row>
    <row r="8622" ht="24" customHeight="1" spans="2:14">
      <c r="B8622" s="33"/>
      <c r="C8622" s="60"/>
      <c r="D8622" s="60"/>
      <c r="E8622" s="60"/>
      <c r="F8622" s="60"/>
      <c r="G8622" s="60"/>
      <c r="H8622" s="60"/>
      <c r="I8622" s="60"/>
      <c r="J8622" s="60"/>
      <c r="K8622" s="60"/>
      <c r="L8622" s="60"/>
      <c r="M8622" s="64"/>
      <c r="N8622" s="33"/>
    </row>
    <row r="8623" ht="24" customHeight="1" spans="2:14">
      <c r="B8623" s="33"/>
      <c r="C8623" s="60"/>
      <c r="D8623" s="60"/>
      <c r="E8623" s="60"/>
      <c r="F8623" s="60"/>
      <c r="G8623" s="60"/>
      <c r="H8623" s="60"/>
      <c r="I8623" s="60"/>
      <c r="J8623" s="60"/>
      <c r="K8623" s="60"/>
      <c r="L8623" s="60"/>
      <c r="M8623" s="64"/>
      <c r="N8623" s="33"/>
    </row>
    <row r="8624" ht="24" customHeight="1" spans="2:14">
      <c r="B8624" s="33"/>
      <c r="C8624" s="60"/>
      <c r="D8624" s="60"/>
      <c r="E8624" s="60"/>
      <c r="F8624" s="60"/>
      <c r="G8624" s="60"/>
      <c r="H8624" s="60"/>
      <c r="I8624" s="60"/>
      <c r="J8624" s="60"/>
      <c r="K8624" s="60"/>
      <c r="L8624" s="60"/>
      <c r="M8624" s="64"/>
      <c r="N8624" s="33"/>
    </row>
    <row r="8625" ht="24" customHeight="1" spans="2:14">
      <c r="B8625" s="33"/>
      <c r="C8625" s="60"/>
      <c r="D8625" s="60"/>
      <c r="E8625" s="60"/>
      <c r="F8625" s="60"/>
      <c r="G8625" s="60"/>
      <c r="H8625" s="60"/>
      <c r="I8625" s="60"/>
      <c r="J8625" s="60"/>
      <c r="K8625" s="60"/>
      <c r="L8625" s="60"/>
      <c r="M8625" s="64"/>
      <c r="N8625" s="33"/>
    </row>
    <row r="8626" ht="24" customHeight="1" spans="2:14">
      <c r="B8626" s="33"/>
      <c r="C8626" s="60"/>
      <c r="D8626" s="60"/>
      <c r="E8626" s="60"/>
      <c r="F8626" s="60"/>
      <c r="G8626" s="60"/>
      <c r="H8626" s="60"/>
      <c r="I8626" s="60"/>
      <c r="J8626" s="60"/>
      <c r="K8626" s="60"/>
      <c r="L8626" s="60"/>
      <c r="M8626" s="64"/>
      <c r="N8626" s="33"/>
    </row>
    <row r="8627" ht="24" customHeight="1" spans="2:14">
      <c r="B8627" s="33"/>
      <c r="C8627" s="60"/>
      <c r="D8627" s="60"/>
      <c r="E8627" s="60"/>
      <c r="F8627" s="60"/>
      <c r="G8627" s="60"/>
      <c r="H8627" s="60"/>
      <c r="I8627" s="60"/>
      <c r="J8627" s="60"/>
      <c r="K8627" s="60"/>
      <c r="L8627" s="60"/>
      <c r="M8627" s="64"/>
      <c r="N8627" s="33"/>
    </row>
    <row r="8628" ht="24" customHeight="1" spans="2:14">
      <c r="B8628" s="33"/>
      <c r="C8628" s="60"/>
      <c r="D8628" s="60"/>
      <c r="E8628" s="60"/>
      <c r="F8628" s="60"/>
      <c r="G8628" s="60"/>
      <c r="H8628" s="60"/>
      <c r="I8628" s="60"/>
      <c r="J8628" s="60"/>
      <c r="K8628" s="60"/>
      <c r="L8628" s="60"/>
      <c r="M8628" s="64"/>
      <c r="N8628" s="33"/>
    </row>
    <row r="8629" ht="24" customHeight="1" spans="2:14">
      <c r="B8629" s="33"/>
      <c r="C8629" s="60"/>
      <c r="D8629" s="60"/>
      <c r="E8629" s="60"/>
      <c r="F8629" s="60"/>
      <c r="G8629" s="60"/>
      <c r="H8629" s="60"/>
      <c r="I8629" s="60"/>
      <c r="J8629" s="60"/>
      <c r="K8629" s="60"/>
      <c r="L8629" s="60"/>
      <c r="M8629" s="64"/>
      <c r="N8629" s="33"/>
    </row>
    <row r="8630" ht="24" customHeight="1" spans="2:14">
      <c r="B8630" s="33"/>
      <c r="C8630" s="60"/>
      <c r="D8630" s="60"/>
      <c r="E8630" s="60"/>
      <c r="F8630" s="60"/>
      <c r="G8630" s="60"/>
      <c r="H8630" s="60"/>
      <c r="I8630" s="60"/>
      <c r="J8630" s="60"/>
      <c r="K8630" s="60"/>
      <c r="L8630" s="60"/>
      <c r="M8630" s="64"/>
      <c r="N8630" s="33"/>
    </row>
    <row r="8631" ht="24" customHeight="1" spans="2:14">
      <c r="B8631" s="33"/>
      <c r="C8631" s="60"/>
      <c r="D8631" s="60"/>
      <c r="E8631" s="60"/>
      <c r="F8631" s="60"/>
      <c r="G8631" s="60"/>
      <c r="H8631" s="60"/>
      <c r="I8631" s="60"/>
      <c r="J8631" s="60"/>
      <c r="K8631" s="60"/>
      <c r="L8631" s="60"/>
      <c r="M8631" s="64"/>
      <c r="N8631" s="33"/>
    </row>
    <row r="8632" ht="24" customHeight="1" spans="2:14">
      <c r="B8632" s="33"/>
      <c r="C8632" s="60"/>
      <c r="D8632" s="60"/>
      <c r="E8632" s="60"/>
      <c r="F8632" s="60"/>
      <c r="G8632" s="60"/>
      <c r="H8632" s="60"/>
      <c r="I8632" s="60"/>
      <c r="J8632" s="60"/>
      <c r="K8632" s="60"/>
      <c r="L8632" s="60"/>
      <c r="M8632" s="64"/>
      <c r="N8632" s="33"/>
    </row>
    <row r="8633" ht="24" customHeight="1" spans="2:14">
      <c r="B8633" s="33"/>
      <c r="C8633" s="60"/>
      <c r="D8633" s="60"/>
      <c r="E8633" s="60"/>
      <c r="F8633" s="60"/>
      <c r="G8633" s="60"/>
      <c r="H8633" s="60"/>
      <c r="I8633" s="60"/>
      <c r="J8633" s="60"/>
      <c r="K8633" s="60"/>
      <c r="L8633" s="60"/>
      <c r="M8633" s="64"/>
      <c r="N8633" s="33"/>
    </row>
    <row r="8634" ht="24" customHeight="1" spans="2:14">
      <c r="B8634" s="33"/>
      <c r="C8634" s="60"/>
      <c r="D8634" s="60"/>
      <c r="E8634" s="60"/>
      <c r="F8634" s="60"/>
      <c r="G8634" s="60"/>
      <c r="H8634" s="60"/>
      <c r="I8634" s="60"/>
      <c r="J8634" s="60"/>
      <c r="K8634" s="60"/>
      <c r="L8634" s="60"/>
      <c r="M8634" s="64"/>
      <c r="N8634" s="33"/>
    </row>
    <row r="8635" ht="24" customHeight="1" spans="2:14">
      <c r="B8635" s="33"/>
      <c r="C8635" s="60"/>
      <c r="D8635" s="60"/>
      <c r="E8635" s="60"/>
      <c r="F8635" s="60"/>
      <c r="G8635" s="60"/>
      <c r="H8635" s="60"/>
      <c r="I8635" s="60"/>
      <c r="J8635" s="60"/>
      <c r="K8635" s="60"/>
      <c r="L8635" s="60"/>
      <c r="M8635" s="64"/>
      <c r="N8635" s="33"/>
    </row>
    <row r="8636" ht="24" customHeight="1" spans="2:14">
      <c r="B8636" s="33"/>
      <c r="C8636" s="60"/>
      <c r="D8636" s="60"/>
      <c r="E8636" s="60"/>
      <c r="F8636" s="60"/>
      <c r="G8636" s="60"/>
      <c r="H8636" s="60"/>
      <c r="I8636" s="60"/>
      <c r="J8636" s="60"/>
      <c r="K8636" s="60"/>
      <c r="L8636" s="60"/>
      <c r="M8636" s="64"/>
      <c r="N8636" s="33"/>
    </row>
    <row r="8637" ht="24" customHeight="1" spans="2:14">
      <c r="B8637" s="33"/>
      <c r="C8637" s="60"/>
      <c r="D8637" s="60"/>
      <c r="E8637" s="60"/>
      <c r="F8637" s="60"/>
      <c r="G8637" s="60"/>
      <c r="H8637" s="60"/>
      <c r="I8637" s="60"/>
      <c r="J8637" s="60"/>
      <c r="K8637" s="60"/>
      <c r="L8637" s="60"/>
      <c r="M8637" s="64"/>
      <c r="N8637" s="33"/>
    </row>
    <row r="8638" ht="24" customHeight="1" spans="2:14">
      <c r="B8638" s="33"/>
      <c r="C8638" s="60"/>
      <c r="D8638" s="60"/>
      <c r="E8638" s="60"/>
      <c r="F8638" s="60"/>
      <c r="G8638" s="60"/>
      <c r="H8638" s="60"/>
      <c r="I8638" s="60"/>
      <c r="J8638" s="60"/>
      <c r="K8638" s="60"/>
      <c r="L8638" s="60"/>
      <c r="M8638" s="64"/>
      <c r="N8638" s="33"/>
    </row>
    <row r="8639" ht="24" customHeight="1" spans="2:14">
      <c r="B8639" s="33"/>
      <c r="C8639" s="60"/>
      <c r="D8639" s="60"/>
      <c r="E8639" s="60"/>
      <c r="F8639" s="60"/>
      <c r="G8639" s="60"/>
      <c r="H8639" s="60"/>
      <c r="I8639" s="60"/>
      <c r="J8639" s="60"/>
      <c r="K8639" s="60"/>
      <c r="L8639" s="60"/>
      <c r="M8639" s="64"/>
      <c r="N8639" s="33"/>
    </row>
    <row r="8640" ht="24" customHeight="1" spans="2:14">
      <c r="B8640" s="33"/>
      <c r="C8640" s="60"/>
      <c r="D8640" s="60"/>
      <c r="E8640" s="60"/>
      <c r="F8640" s="60"/>
      <c r="G8640" s="60"/>
      <c r="H8640" s="60"/>
      <c r="I8640" s="60"/>
      <c r="J8640" s="60"/>
      <c r="K8640" s="60"/>
      <c r="L8640" s="60"/>
      <c r="M8640" s="64"/>
      <c r="N8640" s="33"/>
    </row>
    <row r="8641" ht="24" customHeight="1" spans="2:14">
      <c r="B8641" s="33"/>
      <c r="C8641" s="60"/>
      <c r="D8641" s="60"/>
      <c r="E8641" s="60"/>
      <c r="F8641" s="60"/>
      <c r="G8641" s="60"/>
      <c r="H8641" s="60"/>
      <c r="I8641" s="60"/>
      <c r="J8641" s="60"/>
      <c r="K8641" s="60"/>
      <c r="L8641" s="60"/>
      <c r="M8641" s="64"/>
      <c r="N8641" s="33"/>
    </row>
    <row r="8642" ht="24" customHeight="1" spans="2:14">
      <c r="B8642" s="33"/>
      <c r="C8642" s="60"/>
      <c r="D8642" s="60"/>
      <c r="E8642" s="60"/>
      <c r="F8642" s="60"/>
      <c r="G8642" s="60"/>
      <c r="H8642" s="60"/>
      <c r="I8642" s="60"/>
      <c r="J8642" s="60"/>
      <c r="K8642" s="60"/>
      <c r="L8642" s="60"/>
      <c r="M8642" s="64"/>
      <c r="N8642" s="33"/>
    </row>
    <row r="8643" ht="24" customHeight="1" spans="2:14">
      <c r="B8643" s="33"/>
      <c r="C8643" s="60"/>
      <c r="D8643" s="60"/>
      <c r="E8643" s="60"/>
      <c r="F8643" s="60"/>
      <c r="G8643" s="60"/>
      <c r="H8643" s="60"/>
      <c r="I8643" s="60"/>
      <c r="J8643" s="60"/>
      <c r="K8643" s="60"/>
      <c r="L8643" s="60"/>
      <c r="M8643" s="64"/>
      <c r="N8643" s="33"/>
    </row>
    <row r="8644" ht="24" customHeight="1" spans="2:14">
      <c r="B8644" s="33"/>
      <c r="C8644" s="60"/>
      <c r="D8644" s="60"/>
      <c r="E8644" s="60"/>
      <c r="F8644" s="60"/>
      <c r="G8644" s="60"/>
      <c r="H8644" s="60"/>
      <c r="I8644" s="60"/>
      <c r="J8644" s="60"/>
      <c r="K8644" s="60"/>
      <c r="L8644" s="60"/>
      <c r="M8644" s="64"/>
      <c r="N8644" s="33"/>
    </row>
    <row r="8645" ht="24" customHeight="1" spans="2:14">
      <c r="B8645" s="33"/>
      <c r="C8645" s="60"/>
      <c r="D8645" s="60"/>
      <c r="E8645" s="60"/>
      <c r="F8645" s="60"/>
      <c r="G8645" s="60"/>
      <c r="H8645" s="60"/>
      <c r="I8645" s="60"/>
      <c r="J8645" s="60"/>
      <c r="K8645" s="60"/>
      <c r="L8645" s="60"/>
      <c r="M8645" s="64"/>
      <c r="N8645" s="33"/>
    </row>
    <row r="8646" ht="24" customHeight="1" spans="2:14">
      <c r="B8646" s="33"/>
      <c r="C8646" s="60"/>
      <c r="D8646" s="60"/>
      <c r="E8646" s="60"/>
      <c r="F8646" s="60"/>
      <c r="G8646" s="60"/>
      <c r="H8646" s="60"/>
      <c r="I8646" s="60"/>
      <c r="J8646" s="60"/>
      <c r="K8646" s="60"/>
      <c r="L8646" s="60"/>
      <c r="M8646" s="64"/>
      <c r="N8646" s="33"/>
    </row>
    <row r="8647" ht="24" customHeight="1" spans="2:14">
      <c r="B8647" s="33"/>
      <c r="C8647" s="60"/>
      <c r="D8647" s="60"/>
      <c r="E8647" s="60"/>
      <c r="F8647" s="60"/>
      <c r="G8647" s="60"/>
      <c r="H8647" s="60"/>
      <c r="I8647" s="60"/>
      <c r="J8647" s="60"/>
      <c r="K8647" s="60"/>
      <c r="L8647" s="60"/>
      <c r="M8647" s="64"/>
      <c r="N8647" s="33"/>
    </row>
    <row r="8648" ht="24" customHeight="1" spans="2:14">
      <c r="B8648" s="33"/>
      <c r="C8648" s="60"/>
      <c r="D8648" s="60"/>
      <c r="E8648" s="60"/>
      <c r="F8648" s="60"/>
      <c r="G8648" s="60"/>
      <c r="H8648" s="60"/>
      <c r="I8648" s="60"/>
      <c r="J8648" s="60"/>
      <c r="K8648" s="60"/>
      <c r="L8648" s="60"/>
      <c r="M8648" s="64"/>
      <c r="N8648" s="33"/>
    </row>
    <row r="8649" ht="24" customHeight="1" spans="2:14">
      <c r="B8649" s="33"/>
      <c r="C8649" s="60"/>
      <c r="D8649" s="60"/>
      <c r="E8649" s="60"/>
      <c r="F8649" s="60"/>
      <c r="G8649" s="60"/>
      <c r="H8649" s="60"/>
      <c r="I8649" s="60"/>
      <c r="J8649" s="60"/>
      <c r="K8649" s="60"/>
      <c r="L8649" s="60"/>
      <c r="M8649" s="64"/>
      <c r="N8649" s="33"/>
    </row>
    <row r="8650" ht="24" customHeight="1" spans="2:14">
      <c r="B8650" s="33"/>
      <c r="C8650" s="60"/>
      <c r="D8650" s="60"/>
      <c r="E8650" s="60"/>
      <c r="F8650" s="60"/>
      <c r="G8650" s="60"/>
      <c r="H8650" s="60"/>
      <c r="I8650" s="60"/>
      <c r="J8650" s="60"/>
      <c r="K8650" s="60"/>
      <c r="L8650" s="60"/>
      <c r="M8650" s="64"/>
      <c r="N8650" s="33"/>
    </row>
    <row r="8651" ht="24" customHeight="1" spans="2:14">
      <c r="B8651" s="33"/>
      <c r="C8651" s="60"/>
      <c r="D8651" s="60"/>
      <c r="E8651" s="60"/>
      <c r="F8651" s="60"/>
      <c r="G8651" s="60"/>
      <c r="H8651" s="60"/>
      <c r="I8651" s="60"/>
      <c r="J8651" s="60"/>
      <c r="K8651" s="60"/>
      <c r="L8651" s="60"/>
      <c r="M8651" s="64"/>
      <c r="N8651" s="33"/>
    </row>
    <row r="8652" ht="24" customHeight="1" spans="2:14">
      <c r="B8652" s="33"/>
      <c r="C8652" s="60"/>
      <c r="D8652" s="60"/>
      <c r="E8652" s="60"/>
      <c r="F8652" s="60"/>
      <c r="G8652" s="60"/>
      <c r="H8652" s="60"/>
      <c r="I8652" s="60"/>
      <c r="J8652" s="60"/>
      <c r="K8652" s="60"/>
      <c r="L8652" s="60"/>
      <c r="M8652" s="64"/>
      <c r="N8652" s="33"/>
    </row>
    <row r="8653" ht="24" customHeight="1" spans="2:14">
      <c r="B8653" s="33"/>
      <c r="C8653" s="60"/>
      <c r="D8653" s="60"/>
      <c r="E8653" s="60"/>
      <c r="F8653" s="60"/>
      <c r="G8653" s="60"/>
      <c r="H8653" s="60"/>
      <c r="I8653" s="60"/>
      <c r="J8653" s="60"/>
      <c r="K8653" s="60"/>
      <c r="L8653" s="60"/>
      <c r="M8653" s="64"/>
      <c r="N8653" s="33"/>
    </row>
    <row r="8654" ht="24" customHeight="1" spans="2:14">
      <c r="B8654" s="33"/>
      <c r="C8654" s="60"/>
      <c r="D8654" s="60"/>
      <c r="E8654" s="60"/>
      <c r="F8654" s="60"/>
      <c r="G8654" s="60"/>
      <c r="H8654" s="60"/>
      <c r="I8654" s="60"/>
      <c r="J8654" s="60"/>
      <c r="K8654" s="60"/>
      <c r="L8654" s="60"/>
      <c r="M8654" s="64"/>
      <c r="N8654" s="33"/>
    </row>
    <row r="8655" ht="24" customHeight="1" spans="2:14">
      <c r="B8655" s="33"/>
      <c r="C8655" s="60"/>
      <c r="D8655" s="60"/>
      <c r="E8655" s="60"/>
      <c r="F8655" s="60"/>
      <c r="G8655" s="60"/>
      <c r="H8655" s="60"/>
      <c r="I8655" s="60"/>
      <c r="J8655" s="60"/>
      <c r="K8655" s="60"/>
      <c r="L8655" s="60"/>
      <c r="M8655" s="64"/>
      <c r="N8655" s="33"/>
    </row>
    <row r="8656" ht="24" customHeight="1" spans="2:14">
      <c r="B8656" s="33"/>
      <c r="C8656" s="60"/>
      <c r="D8656" s="60"/>
      <c r="E8656" s="60"/>
      <c r="F8656" s="60"/>
      <c r="G8656" s="60"/>
      <c r="H8656" s="60"/>
      <c r="I8656" s="60"/>
      <c r="J8656" s="60"/>
      <c r="K8656" s="60"/>
      <c r="L8656" s="60"/>
      <c r="M8656" s="64"/>
      <c r="N8656" s="33"/>
    </row>
    <row r="8657" ht="24" customHeight="1" spans="2:14">
      <c r="B8657" s="33"/>
      <c r="C8657" s="60"/>
      <c r="D8657" s="60"/>
      <c r="E8657" s="60"/>
      <c r="F8657" s="60"/>
      <c r="G8657" s="60"/>
      <c r="H8657" s="60"/>
      <c r="I8657" s="60"/>
      <c r="J8657" s="60"/>
      <c r="K8657" s="60"/>
      <c r="L8657" s="60"/>
      <c r="M8657" s="64"/>
      <c r="N8657" s="33"/>
    </row>
    <row r="8658" ht="24" customHeight="1" spans="2:14">
      <c r="B8658" s="33"/>
      <c r="C8658" s="60"/>
      <c r="D8658" s="60"/>
      <c r="E8658" s="60"/>
      <c r="F8658" s="60"/>
      <c r="G8658" s="60"/>
      <c r="H8658" s="60"/>
      <c r="I8658" s="60"/>
      <c r="J8658" s="60"/>
      <c r="K8658" s="60"/>
      <c r="L8658" s="60"/>
      <c r="M8658" s="64"/>
      <c r="N8658" s="33"/>
    </row>
    <row r="8659" ht="24" customHeight="1" spans="2:14">
      <c r="B8659" s="33"/>
      <c r="C8659" s="60"/>
      <c r="D8659" s="60"/>
      <c r="E8659" s="60"/>
      <c r="F8659" s="60"/>
      <c r="G8659" s="60"/>
      <c r="H8659" s="60"/>
      <c r="I8659" s="60"/>
      <c r="J8659" s="60"/>
      <c r="K8659" s="60"/>
      <c r="L8659" s="60"/>
      <c r="M8659" s="64"/>
      <c r="N8659" s="33"/>
    </row>
    <row r="8660" ht="24" customHeight="1" spans="2:14">
      <c r="B8660" s="33"/>
      <c r="C8660" s="60"/>
      <c r="D8660" s="60"/>
      <c r="E8660" s="60"/>
      <c r="F8660" s="60"/>
      <c r="G8660" s="60"/>
      <c r="H8660" s="60"/>
      <c r="I8660" s="60"/>
      <c r="J8660" s="60"/>
      <c r="K8660" s="60"/>
      <c r="L8660" s="60"/>
      <c r="M8660" s="64"/>
      <c r="N8660" s="33"/>
    </row>
    <row r="8661" ht="24" customHeight="1" spans="2:14">
      <c r="B8661" s="33"/>
      <c r="C8661" s="60"/>
      <c r="D8661" s="60"/>
      <c r="E8661" s="60"/>
      <c r="F8661" s="60"/>
      <c r="G8661" s="60"/>
      <c r="H8661" s="60"/>
      <c r="I8661" s="60"/>
      <c r="J8661" s="60"/>
      <c r="K8661" s="60"/>
      <c r="L8661" s="60"/>
      <c r="M8661" s="64"/>
      <c r="N8661" s="33"/>
    </row>
    <row r="8662" ht="24" customHeight="1" spans="2:14">
      <c r="B8662" s="33"/>
      <c r="C8662" s="60"/>
      <c r="D8662" s="60"/>
      <c r="E8662" s="60"/>
      <c r="F8662" s="60"/>
      <c r="G8662" s="60"/>
      <c r="H8662" s="60"/>
      <c r="I8662" s="60"/>
      <c r="J8662" s="60"/>
      <c r="K8662" s="60"/>
      <c r="L8662" s="60"/>
      <c r="M8662" s="64"/>
      <c r="N8662" s="33"/>
    </row>
    <row r="8663" ht="24" customHeight="1" spans="2:14">
      <c r="B8663" s="33"/>
      <c r="C8663" s="60"/>
      <c r="D8663" s="60"/>
      <c r="E8663" s="60"/>
      <c r="F8663" s="60"/>
      <c r="G8663" s="60"/>
      <c r="H8663" s="60"/>
      <c r="I8663" s="60"/>
      <c r="J8663" s="60"/>
      <c r="K8663" s="60"/>
      <c r="L8663" s="60"/>
      <c r="M8663" s="64"/>
      <c r="N8663" s="33"/>
    </row>
    <row r="8664" ht="24" customHeight="1" spans="2:14">
      <c r="B8664" s="33"/>
      <c r="C8664" s="60"/>
      <c r="D8664" s="60"/>
      <c r="E8664" s="60"/>
      <c r="F8664" s="60"/>
      <c r="G8664" s="60"/>
      <c r="H8664" s="60"/>
      <c r="I8664" s="60"/>
      <c r="J8664" s="60"/>
      <c r="K8664" s="60"/>
      <c r="L8664" s="60"/>
      <c r="M8664" s="64"/>
      <c r="N8664" s="33"/>
    </row>
    <row r="8665" ht="24" customHeight="1" spans="2:14">
      <c r="B8665" s="33"/>
      <c r="C8665" s="60"/>
      <c r="D8665" s="60"/>
      <c r="E8665" s="60"/>
      <c r="F8665" s="60"/>
      <c r="G8665" s="60"/>
      <c r="H8665" s="60"/>
      <c r="I8665" s="60"/>
      <c r="J8665" s="60"/>
      <c r="K8665" s="60"/>
      <c r="L8665" s="60"/>
      <c r="M8665" s="64"/>
      <c r="N8665" s="33"/>
    </row>
    <row r="8666" ht="24" customHeight="1" spans="2:14">
      <c r="B8666" s="33"/>
      <c r="C8666" s="60"/>
      <c r="D8666" s="60"/>
      <c r="E8666" s="60"/>
      <c r="F8666" s="60"/>
      <c r="G8666" s="60"/>
      <c r="H8666" s="60"/>
      <c r="I8666" s="60"/>
      <c r="J8666" s="60"/>
      <c r="K8666" s="60"/>
      <c r="L8666" s="60"/>
      <c r="M8666" s="64"/>
      <c r="N8666" s="33"/>
    </row>
    <row r="8667" ht="24" customHeight="1" spans="2:14">
      <c r="B8667" s="33"/>
      <c r="C8667" s="60"/>
      <c r="D8667" s="60"/>
      <c r="E8667" s="60"/>
      <c r="F8667" s="60"/>
      <c r="G8667" s="60"/>
      <c r="H8667" s="60"/>
      <c r="I8667" s="60"/>
      <c r="J8667" s="60"/>
      <c r="K8667" s="60"/>
      <c r="L8667" s="60"/>
      <c r="M8667" s="64"/>
      <c r="N8667" s="33"/>
    </row>
    <row r="8668" ht="24" customHeight="1" spans="2:14">
      <c r="B8668" s="33"/>
      <c r="C8668" s="60"/>
      <c r="D8668" s="60"/>
      <c r="E8668" s="60"/>
      <c r="F8668" s="60"/>
      <c r="G8668" s="60"/>
      <c r="H8668" s="60"/>
      <c r="I8668" s="60"/>
      <c r="J8668" s="60"/>
      <c r="K8668" s="60"/>
      <c r="L8668" s="60"/>
      <c r="M8668" s="64"/>
      <c r="N8668" s="33"/>
    </row>
    <row r="8669" ht="24" customHeight="1" spans="2:14">
      <c r="B8669" s="33"/>
      <c r="C8669" s="60"/>
      <c r="D8669" s="60"/>
      <c r="E8669" s="60"/>
      <c r="F8669" s="60"/>
      <c r="G8669" s="60"/>
      <c r="H8669" s="60"/>
      <c r="I8669" s="60"/>
      <c r="J8669" s="60"/>
      <c r="K8669" s="60"/>
      <c r="L8669" s="60"/>
      <c r="M8669" s="64"/>
      <c r="N8669" s="33"/>
    </row>
    <row r="8670" ht="24" customHeight="1" spans="2:14">
      <c r="B8670" s="33"/>
      <c r="C8670" s="60"/>
      <c r="D8670" s="60"/>
      <c r="E8670" s="60"/>
      <c r="F8670" s="60"/>
      <c r="G8670" s="60"/>
      <c r="H8670" s="60"/>
      <c r="I8670" s="60"/>
      <c r="J8670" s="60"/>
      <c r="K8670" s="60"/>
      <c r="L8670" s="60"/>
      <c r="M8670" s="64"/>
      <c r="N8670" s="33"/>
    </row>
    <row r="8671" ht="24" customHeight="1" spans="2:14">
      <c r="B8671" s="33"/>
      <c r="C8671" s="60"/>
      <c r="D8671" s="60"/>
      <c r="E8671" s="60"/>
      <c r="F8671" s="60"/>
      <c r="G8671" s="60"/>
      <c r="H8671" s="60"/>
      <c r="I8671" s="60"/>
      <c r="J8671" s="60"/>
      <c r="K8671" s="60"/>
      <c r="L8671" s="60"/>
      <c r="M8671" s="64"/>
      <c r="N8671" s="33"/>
    </row>
    <row r="8672" ht="24" customHeight="1" spans="2:14">
      <c r="B8672" s="33"/>
      <c r="C8672" s="60"/>
      <c r="D8672" s="60"/>
      <c r="E8672" s="60"/>
      <c r="F8672" s="60"/>
      <c r="G8672" s="60"/>
      <c r="H8672" s="60"/>
      <c r="I8672" s="60"/>
      <c r="J8672" s="60"/>
      <c r="K8672" s="60"/>
      <c r="L8672" s="60"/>
      <c r="M8672" s="64"/>
      <c r="N8672" s="33"/>
    </row>
    <row r="8673" ht="24" customHeight="1" spans="2:14">
      <c r="B8673" s="33"/>
      <c r="C8673" s="60"/>
      <c r="D8673" s="60"/>
      <c r="E8673" s="60"/>
      <c r="F8673" s="60"/>
      <c r="G8673" s="60"/>
      <c r="H8673" s="60"/>
      <c r="I8673" s="60"/>
      <c r="J8673" s="60"/>
      <c r="K8673" s="60"/>
      <c r="L8673" s="60"/>
      <c r="M8673" s="64"/>
      <c r="N8673" s="33"/>
    </row>
    <row r="8674" ht="24" customHeight="1" spans="2:14">
      <c r="B8674" s="33"/>
      <c r="C8674" s="60"/>
      <c r="D8674" s="60"/>
      <c r="E8674" s="60"/>
      <c r="F8674" s="60"/>
      <c r="G8674" s="60"/>
      <c r="H8674" s="60"/>
      <c r="I8674" s="60"/>
      <c r="J8674" s="60"/>
      <c r="K8674" s="60"/>
      <c r="L8674" s="60"/>
      <c r="M8674" s="64"/>
      <c r="N8674" s="33"/>
    </row>
    <row r="8675" ht="24" customHeight="1" spans="2:14">
      <c r="B8675" s="33"/>
      <c r="C8675" s="60"/>
      <c r="D8675" s="60"/>
      <c r="E8675" s="60"/>
      <c r="F8675" s="60"/>
      <c r="G8675" s="60"/>
      <c r="H8675" s="60"/>
      <c r="I8675" s="60"/>
      <c r="J8675" s="60"/>
      <c r="K8675" s="60"/>
      <c r="L8675" s="60"/>
      <c r="M8675" s="64"/>
      <c r="N8675" s="33"/>
    </row>
    <row r="8676" ht="24" customHeight="1" spans="2:14">
      <c r="B8676" s="33"/>
      <c r="C8676" s="60"/>
      <c r="D8676" s="60"/>
      <c r="E8676" s="60"/>
      <c r="F8676" s="60"/>
      <c r="G8676" s="60"/>
      <c r="H8676" s="60"/>
      <c r="I8676" s="60"/>
      <c r="J8676" s="60"/>
      <c r="K8676" s="60"/>
      <c r="L8676" s="60"/>
      <c r="M8676" s="64"/>
      <c r="N8676" s="33"/>
    </row>
    <row r="8677" ht="24" customHeight="1" spans="2:14">
      <c r="B8677" s="33"/>
      <c r="C8677" s="60"/>
      <c r="D8677" s="60"/>
      <c r="E8677" s="60"/>
      <c r="F8677" s="60"/>
      <c r="G8677" s="60"/>
      <c r="H8677" s="60"/>
      <c r="I8677" s="60"/>
      <c r="J8677" s="60"/>
      <c r="K8677" s="60"/>
      <c r="L8677" s="60"/>
      <c r="M8677" s="64"/>
      <c r="N8677" s="33"/>
    </row>
    <row r="8678" ht="24" customHeight="1" spans="2:14">
      <c r="B8678" s="33"/>
      <c r="C8678" s="60"/>
      <c r="D8678" s="60"/>
      <c r="E8678" s="60"/>
      <c r="F8678" s="60"/>
      <c r="G8678" s="60"/>
      <c r="H8678" s="60"/>
      <c r="I8678" s="60"/>
      <c r="J8678" s="60"/>
      <c r="K8678" s="60"/>
      <c r="L8678" s="60"/>
      <c r="M8678" s="64"/>
      <c r="N8678" s="33"/>
    </row>
    <row r="8679" ht="24" customHeight="1" spans="2:14">
      <c r="B8679" s="33"/>
      <c r="C8679" s="60"/>
      <c r="D8679" s="60"/>
      <c r="E8679" s="60"/>
      <c r="F8679" s="60"/>
      <c r="G8679" s="60"/>
      <c r="H8679" s="60"/>
      <c r="I8679" s="60"/>
      <c r="J8679" s="60"/>
      <c r="K8679" s="60"/>
      <c r="L8679" s="60"/>
      <c r="M8679" s="64"/>
      <c r="N8679" s="33"/>
    </row>
    <row r="8680" ht="24" customHeight="1" spans="2:14">
      <c r="B8680" s="33"/>
      <c r="C8680" s="60"/>
      <c r="D8680" s="60"/>
      <c r="E8680" s="60"/>
      <c r="F8680" s="60"/>
      <c r="G8680" s="60"/>
      <c r="H8680" s="60"/>
      <c r="I8680" s="60"/>
      <c r="J8680" s="60"/>
      <c r="K8680" s="60"/>
      <c r="L8680" s="60"/>
      <c r="M8680" s="64"/>
      <c r="N8680" s="33"/>
    </row>
    <row r="8681" ht="24" customHeight="1" spans="2:14">
      <c r="B8681" s="33"/>
      <c r="C8681" s="60"/>
      <c r="D8681" s="60"/>
      <c r="E8681" s="60"/>
      <c r="F8681" s="60"/>
      <c r="G8681" s="60"/>
      <c r="H8681" s="60"/>
      <c r="I8681" s="60"/>
      <c r="J8681" s="60"/>
      <c r="K8681" s="60"/>
      <c r="L8681" s="60"/>
      <c r="M8681" s="64"/>
      <c r="N8681" s="33"/>
    </row>
    <row r="8682" ht="24" customHeight="1" spans="2:14">
      <c r="B8682" s="33"/>
      <c r="C8682" s="60"/>
      <c r="D8682" s="60"/>
      <c r="E8682" s="60"/>
      <c r="F8682" s="60"/>
      <c r="G8682" s="60"/>
      <c r="H8682" s="60"/>
      <c r="I8682" s="60"/>
      <c r="J8682" s="60"/>
      <c r="K8682" s="60"/>
      <c r="L8682" s="60"/>
      <c r="M8682" s="64"/>
      <c r="N8682" s="33"/>
    </row>
    <row r="8683" ht="24" customHeight="1" spans="2:14">
      <c r="B8683" s="33"/>
      <c r="C8683" s="60"/>
      <c r="D8683" s="60"/>
      <c r="E8683" s="60"/>
      <c r="F8683" s="60"/>
      <c r="G8683" s="60"/>
      <c r="H8683" s="60"/>
      <c r="I8683" s="60"/>
      <c r="J8683" s="60"/>
      <c r="K8683" s="60"/>
      <c r="L8683" s="60"/>
      <c r="M8683" s="64"/>
      <c r="N8683" s="33"/>
    </row>
    <row r="8684" ht="24" customHeight="1" spans="2:14">
      <c r="B8684" s="33"/>
      <c r="C8684" s="60"/>
      <c r="D8684" s="60"/>
      <c r="E8684" s="60"/>
      <c r="F8684" s="60"/>
      <c r="G8684" s="60"/>
      <c r="H8684" s="60"/>
      <c r="I8684" s="60"/>
      <c r="J8684" s="60"/>
      <c r="K8684" s="60"/>
      <c r="L8684" s="60"/>
      <c r="M8684" s="64"/>
      <c r="N8684" s="33"/>
    </row>
    <row r="8685" ht="24" customHeight="1" spans="2:14">
      <c r="B8685" s="33"/>
      <c r="C8685" s="60"/>
      <c r="D8685" s="60"/>
      <c r="E8685" s="60"/>
      <c r="F8685" s="60"/>
      <c r="G8685" s="60"/>
      <c r="H8685" s="60"/>
      <c r="I8685" s="60"/>
      <c r="J8685" s="60"/>
      <c r="K8685" s="60"/>
      <c r="L8685" s="60"/>
      <c r="M8685" s="64"/>
      <c r="N8685" s="33"/>
    </row>
    <row r="8686" ht="24" customHeight="1" spans="2:14">
      <c r="B8686" s="33"/>
      <c r="C8686" s="60"/>
      <c r="D8686" s="60"/>
      <c r="E8686" s="60"/>
      <c r="F8686" s="60"/>
      <c r="G8686" s="60"/>
      <c r="H8686" s="60"/>
      <c r="I8686" s="60"/>
      <c r="J8686" s="60"/>
      <c r="K8686" s="60"/>
      <c r="L8686" s="60"/>
      <c r="M8686" s="64"/>
      <c r="N8686" s="33"/>
    </row>
    <row r="8687" ht="24" customHeight="1" spans="2:14">
      <c r="B8687" s="33"/>
      <c r="C8687" s="60"/>
      <c r="D8687" s="60"/>
      <c r="E8687" s="60"/>
      <c r="F8687" s="60"/>
      <c r="G8687" s="60"/>
      <c r="H8687" s="60"/>
      <c r="I8687" s="60"/>
      <c r="J8687" s="60"/>
      <c r="K8687" s="60"/>
      <c r="L8687" s="60"/>
      <c r="M8687" s="64"/>
      <c r="N8687" s="33"/>
    </row>
    <row r="8688" ht="24" customHeight="1" spans="2:14">
      <c r="B8688" s="33"/>
      <c r="C8688" s="60"/>
      <c r="D8688" s="60"/>
      <c r="E8688" s="60"/>
      <c r="F8688" s="60"/>
      <c r="G8688" s="60"/>
      <c r="H8688" s="60"/>
      <c r="I8688" s="60"/>
      <c r="J8688" s="60"/>
      <c r="K8688" s="60"/>
      <c r="L8688" s="60"/>
      <c r="M8688" s="64"/>
      <c r="N8688" s="33"/>
    </row>
    <row r="8689" ht="24" customHeight="1" spans="2:14">
      <c r="B8689" s="33"/>
      <c r="C8689" s="60"/>
      <c r="D8689" s="60"/>
      <c r="E8689" s="60"/>
      <c r="F8689" s="60"/>
      <c r="G8689" s="60"/>
      <c r="H8689" s="60"/>
      <c r="I8689" s="60"/>
      <c r="J8689" s="60"/>
      <c r="K8689" s="60"/>
      <c r="L8689" s="60"/>
      <c r="M8689" s="64"/>
      <c r="N8689" s="33"/>
    </row>
    <row r="8690" ht="24" customHeight="1" spans="2:14">
      <c r="B8690" s="33"/>
      <c r="C8690" s="60"/>
      <c r="D8690" s="60"/>
      <c r="E8690" s="60"/>
      <c r="F8690" s="60"/>
      <c r="G8690" s="60"/>
      <c r="H8690" s="60"/>
      <c r="I8690" s="60"/>
      <c r="J8690" s="60"/>
      <c r="K8690" s="60"/>
      <c r="L8690" s="60"/>
      <c r="M8690" s="64"/>
      <c r="N8690" s="33"/>
    </row>
    <row r="8691" ht="24" customHeight="1" spans="2:14">
      <c r="B8691" s="33"/>
      <c r="C8691" s="60"/>
      <c r="D8691" s="60"/>
      <c r="E8691" s="60"/>
      <c r="F8691" s="60"/>
      <c r="G8691" s="60"/>
      <c r="H8691" s="60"/>
      <c r="I8691" s="60"/>
      <c r="J8691" s="60"/>
      <c r="K8691" s="60"/>
      <c r="L8691" s="60"/>
      <c r="M8691" s="64"/>
      <c r="N8691" s="33"/>
    </row>
    <row r="8692" ht="24" customHeight="1" spans="2:14">
      <c r="B8692" s="33"/>
      <c r="C8692" s="60"/>
      <c r="D8692" s="60"/>
      <c r="E8692" s="60"/>
      <c r="F8692" s="60"/>
      <c r="G8692" s="60"/>
      <c r="H8692" s="60"/>
      <c r="I8692" s="60"/>
      <c r="J8692" s="60"/>
      <c r="K8692" s="60"/>
      <c r="L8692" s="60"/>
      <c r="M8692" s="64"/>
      <c r="N8692" s="33"/>
    </row>
    <row r="8693" ht="24" customHeight="1" spans="2:14">
      <c r="B8693" s="33"/>
      <c r="C8693" s="60"/>
      <c r="D8693" s="60"/>
      <c r="E8693" s="60"/>
      <c r="F8693" s="60"/>
      <c r="G8693" s="60"/>
      <c r="H8693" s="60"/>
      <c r="I8693" s="60"/>
      <c r="J8693" s="60"/>
      <c r="K8693" s="60"/>
      <c r="L8693" s="60"/>
      <c r="M8693" s="64"/>
      <c r="N8693" s="33"/>
    </row>
    <row r="8694" ht="24" customHeight="1" spans="2:14">
      <c r="B8694" s="33"/>
      <c r="C8694" s="60"/>
      <c r="D8694" s="60"/>
      <c r="E8694" s="60"/>
      <c r="F8694" s="60"/>
      <c r="G8694" s="60"/>
      <c r="H8694" s="60"/>
      <c r="I8694" s="60"/>
      <c r="J8694" s="60"/>
      <c r="K8694" s="60"/>
      <c r="L8694" s="60"/>
      <c r="M8694" s="64"/>
      <c r="N8694" s="33"/>
    </row>
    <row r="8695" ht="24" customHeight="1" spans="2:14">
      <c r="B8695" s="33"/>
      <c r="C8695" s="60"/>
      <c r="D8695" s="60"/>
      <c r="E8695" s="60"/>
      <c r="F8695" s="60"/>
      <c r="G8695" s="60"/>
      <c r="H8695" s="60"/>
      <c r="I8695" s="60"/>
      <c r="J8695" s="60"/>
      <c r="K8695" s="60"/>
      <c r="L8695" s="60"/>
      <c r="M8695" s="64"/>
      <c r="N8695" s="33"/>
    </row>
    <row r="8696" ht="24" customHeight="1" spans="2:14">
      <c r="B8696" s="33"/>
      <c r="C8696" s="60"/>
      <c r="D8696" s="60"/>
      <c r="E8696" s="60"/>
      <c r="F8696" s="60"/>
      <c r="G8696" s="60"/>
      <c r="H8696" s="60"/>
      <c r="I8696" s="60"/>
      <c r="J8696" s="60"/>
      <c r="K8696" s="60"/>
      <c r="L8696" s="60"/>
      <c r="M8696" s="64"/>
      <c r="N8696" s="33"/>
    </row>
    <row r="8697" ht="24" customHeight="1" spans="2:14">
      <c r="B8697" s="33"/>
      <c r="C8697" s="60"/>
      <c r="D8697" s="60"/>
      <c r="E8697" s="60"/>
      <c r="F8697" s="60"/>
      <c r="G8697" s="60"/>
      <c r="H8697" s="60"/>
      <c r="I8697" s="60"/>
      <c r="J8697" s="60"/>
      <c r="K8697" s="60"/>
      <c r="L8697" s="60"/>
      <c r="M8697" s="64"/>
      <c r="N8697" s="33"/>
    </row>
    <row r="8698" ht="24" customHeight="1" spans="2:14">
      <c r="B8698" s="33"/>
      <c r="C8698" s="60"/>
      <c r="D8698" s="60"/>
      <c r="E8698" s="60"/>
      <c r="F8698" s="60"/>
      <c r="G8698" s="60"/>
      <c r="H8698" s="60"/>
      <c r="I8698" s="60"/>
      <c r="J8698" s="60"/>
      <c r="K8698" s="60"/>
      <c r="L8698" s="60"/>
      <c r="M8698" s="64"/>
      <c r="N8698" s="33"/>
    </row>
    <row r="8699" ht="24" customHeight="1" spans="2:14">
      <c r="B8699" s="33"/>
      <c r="C8699" s="60"/>
      <c r="D8699" s="60"/>
      <c r="E8699" s="60"/>
      <c r="F8699" s="60"/>
      <c r="G8699" s="60"/>
      <c r="H8699" s="60"/>
      <c r="I8699" s="60"/>
      <c r="J8699" s="60"/>
      <c r="K8699" s="60"/>
      <c r="L8699" s="60"/>
      <c r="M8699" s="64"/>
      <c r="N8699" s="33"/>
    </row>
    <row r="8700" ht="24" customHeight="1" spans="2:14">
      <c r="B8700" s="33"/>
      <c r="C8700" s="60"/>
      <c r="D8700" s="60"/>
      <c r="E8700" s="60"/>
      <c r="F8700" s="60"/>
      <c r="G8700" s="60"/>
      <c r="H8700" s="60"/>
      <c r="I8700" s="60"/>
      <c r="J8700" s="60"/>
      <c r="K8700" s="60"/>
      <c r="L8700" s="60"/>
      <c r="M8700" s="64"/>
      <c r="N8700" s="33"/>
    </row>
    <row r="8701" ht="24" customHeight="1" spans="2:14">
      <c r="B8701" s="33"/>
      <c r="C8701" s="60"/>
      <c r="D8701" s="60"/>
      <c r="E8701" s="60"/>
      <c r="F8701" s="60"/>
      <c r="G8701" s="60"/>
      <c r="H8701" s="60"/>
      <c r="I8701" s="60"/>
      <c r="J8701" s="60"/>
      <c r="K8701" s="60"/>
      <c r="L8701" s="60"/>
      <c r="M8701" s="64"/>
      <c r="N8701" s="33"/>
    </row>
    <row r="8702" ht="24" customHeight="1" spans="2:14">
      <c r="B8702" s="33"/>
      <c r="C8702" s="60"/>
      <c r="D8702" s="60"/>
      <c r="E8702" s="60"/>
      <c r="F8702" s="60"/>
      <c r="G8702" s="60"/>
      <c r="H8702" s="60"/>
      <c r="I8702" s="60"/>
      <c r="J8702" s="60"/>
      <c r="K8702" s="60"/>
      <c r="L8702" s="60"/>
      <c r="M8702" s="64"/>
      <c r="N8702" s="33"/>
    </row>
    <row r="8703" ht="24" customHeight="1" spans="2:14">
      <c r="B8703" s="33"/>
      <c r="C8703" s="60"/>
      <c r="D8703" s="60"/>
      <c r="E8703" s="60"/>
      <c r="F8703" s="60"/>
      <c r="G8703" s="60"/>
      <c r="H8703" s="60"/>
      <c r="I8703" s="60"/>
      <c r="J8703" s="60"/>
      <c r="K8703" s="60"/>
      <c r="L8703" s="60"/>
      <c r="M8703" s="64"/>
      <c r="N8703" s="33"/>
    </row>
    <row r="8704" ht="24" customHeight="1" spans="2:14">
      <c r="B8704" s="33"/>
      <c r="C8704" s="60"/>
      <c r="D8704" s="60"/>
      <c r="E8704" s="60"/>
      <c r="F8704" s="60"/>
      <c r="G8704" s="60"/>
      <c r="H8704" s="60"/>
      <c r="I8704" s="60"/>
      <c r="J8704" s="60"/>
      <c r="K8704" s="60"/>
      <c r="L8704" s="60"/>
      <c r="M8704" s="64"/>
      <c r="N8704" s="33"/>
    </row>
    <row r="8705" ht="24" customHeight="1" spans="2:14">
      <c r="B8705" s="33"/>
      <c r="C8705" s="60"/>
      <c r="D8705" s="60"/>
      <c r="E8705" s="60"/>
      <c r="F8705" s="60"/>
      <c r="G8705" s="60"/>
      <c r="H8705" s="60"/>
      <c r="I8705" s="60"/>
      <c r="J8705" s="60"/>
      <c r="K8705" s="60"/>
      <c r="L8705" s="60"/>
      <c r="M8705" s="64"/>
      <c r="N8705" s="33"/>
    </row>
    <row r="8706" ht="24" customHeight="1" spans="2:14">
      <c r="B8706" s="33"/>
      <c r="C8706" s="60"/>
      <c r="D8706" s="60"/>
      <c r="E8706" s="60"/>
      <c r="F8706" s="60"/>
      <c r="G8706" s="60"/>
      <c r="H8706" s="60"/>
      <c r="I8706" s="60"/>
      <c r="J8706" s="60"/>
      <c r="K8706" s="60"/>
      <c r="L8706" s="60"/>
      <c r="M8706" s="64"/>
      <c r="N8706" s="33"/>
    </row>
    <row r="8707" ht="24" customHeight="1" spans="2:14">
      <c r="B8707" s="33"/>
      <c r="C8707" s="60"/>
      <c r="D8707" s="60"/>
      <c r="E8707" s="60"/>
      <c r="F8707" s="60"/>
      <c r="G8707" s="60"/>
      <c r="H8707" s="60"/>
      <c r="I8707" s="60"/>
      <c r="J8707" s="60"/>
      <c r="K8707" s="60"/>
      <c r="L8707" s="60"/>
      <c r="M8707" s="64"/>
      <c r="N8707" s="33"/>
    </row>
    <row r="8708" ht="24" customHeight="1" spans="2:14">
      <c r="B8708" s="33"/>
      <c r="C8708" s="60"/>
      <c r="D8708" s="60"/>
      <c r="E8708" s="60"/>
      <c r="F8708" s="60"/>
      <c r="G8708" s="60"/>
      <c r="H8708" s="60"/>
      <c r="I8708" s="60"/>
      <c r="J8708" s="60"/>
      <c r="K8708" s="60"/>
      <c r="L8708" s="60"/>
      <c r="M8708" s="64"/>
      <c r="N8708" s="33"/>
    </row>
    <row r="8709" ht="24" customHeight="1" spans="2:14">
      <c r="B8709" s="33"/>
      <c r="C8709" s="60"/>
      <c r="D8709" s="60"/>
      <c r="E8709" s="60"/>
      <c r="F8709" s="60"/>
      <c r="G8709" s="60"/>
      <c r="H8709" s="60"/>
      <c r="I8709" s="60"/>
      <c r="J8709" s="60"/>
      <c r="K8709" s="60"/>
      <c r="L8709" s="60"/>
      <c r="M8709" s="64"/>
      <c r="N8709" s="33"/>
    </row>
    <row r="8710" ht="24" customHeight="1" spans="2:14">
      <c r="B8710" s="33"/>
      <c r="C8710" s="60"/>
      <c r="D8710" s="60"/>
      <c r="E8710" s="60"/>
      <c r="F8710" s="60"/>
      <c r="G8710" s="60"/>
      <c r="H8710" s="60"/>
      <c r="I8710" s="60"/>
      <c r="J8710" s="60"/>
      <c r="K8710" s="60"/>
      <c r="L8710" s="60"/>
      <c r="M8710" s="64"/>
      <c r="N8710" s="33"/>
    </row>
    <row r="8711" ht="24" customHeight="1" spans="2:14">
      <c r="B8711" s="33"/>
      <c r="C8711" s="60"/>
      <c r="D8711" s="60"/>
      <c r="E8711" s="60"/>
      <c r="F8711" s="60"/>
      <c r="G8711" s="60"/>
      <c r="H8711" s="60"/>
      <c r="I8711" s="60"/>
      <c r="J8711" s="60"/>
      <c r="K8711" s="60"/>
      <c r="L8711" s="60"/>
      <c r="M8711" s="64"/>
      <c r="N8711" s="33"/>
    </row>
    <row r="8712" ht="24" customHeight="1" spans="2:14">
      <c r="B8712" s="33"/>
      <c r="C8712" s="60"/>
      <c r="D8712" s="60"/>
      <c r="E8712" s="60"/>
      <c r="F8712" s="60"/>
      <c r="G8712" s="60"/>
      <c r="H8712" s="60"/>
      <c r="I8712" s="60"/>
      <c r="J8712" s="60"/>
      <c r="K8712" s="60"/>
      <c r="L8712" s="60"/>
      <c r="M8712" s="64"/>
      <c r="N8712" s="33"/>
    </row>
    <row r="8713" ht="24" customHeight="1" spans="2:14">
      <c r="B8713" s="33"/>
      <c r="C8713" s="60"/>
      <c r="D8713" s="60"/>
      <c r="E8713" s="60"/>
      <c r="F8713" s="60"/>
      <c r="G8713" s="60"/>
      <c r="H8713" s="60"/>
      <c r="I8713" s="60"/>
      <c r="J8713" s="60"/>
      <c r="K8713" s="60"/>
      <c r="L8713" s="60"/>
      <c r="M8713" s="64"/>
      <c r="N8713" s="33"/>
    </row>
    <row r="8714" ht="24" customHeight="1" spans="2:14">
      <c r="B8714" s="33"/>
      <c r="C8714" s="60"/>
      <c r="D8714" s="60"/>
      <c r="E8714" s="60"/>
      <c r="F8714" s="60"/>
      <c r="G8714" s="60"/>
      <c r="H8714" s="60"/>
      <c r="I8714" s="60"/>
      <c r="J8714" s="60"/>
      <c r="K8714" s="60"/>
      <c r="L8714" s="60"/>
      <c r="M8714" s="64"/>
      <c r="N8714" s="33"/>
    </row>
    <row r="8715" ht="24" customHeight="1" spans="2:14">
      <c r="B8715" s="33"/>
      <c r="C8715" s="60"/>
      <c r="D8715" s="60"/>
      <c r="E8715" s="60"/>
      <c r="F8715" s="60"/>
      <c r="G8715" s="60"/>
      <c r="H8715" s="60"/>
      <c r="I8715" s="60"/>
      <c r="J8715" s="60"/>
      <c r="K8715" s="60"/>
      <c r="L8715" s="60"/>
      <c r="M8715" s="64"/>
      <c r="N8715" s="33"/>
    </row>
    <row r="8716" ht="24" customHeight="1" spans="2:14">
      <c r="B8716" s="33"/>
      <c r="C8716" s="60"/>
      <c r="D8716" s="60"/>
      <c r="E8716" s="60"/>
      <c r="F8716" s="60"/>
      <c r="G8716" s="60"/>
      <c r="H8716" s="60"/>
      <c r="I8716" s="60"/>
      <c r="J8716" s="60"/>
      <c r="K8716" s="60"/>
      <c r="L8716" s="60"/>
      <c r="M8716" s="64"/>
      <c r="N8716" s="33"/>
    </row>
    <row r="8717" ht="24" customHeight="1" spans="2:14">
      <c r="B8717" s="33"/>
      <c r="C8717" s="60"/>
      <c r="D8717" s="60"/>
      <c r="E8717" s="60"/>
      <c r="F8717" s="60"/>
      <c r="G8717" s="60"/>
      <c r="H8717" s="60"/>
      <c r="I8717" s="60"/>
      <c r="J8717" s="60"/>
      <c r="K8717" s="60"/>
      <c r="L8717" s="60"/>
      <c r="M8717" s="64"/>
      <c r="N8717" s="33"/>
    </row>
    <row r="8718" ht="24" customHeight="1" spans="2:14">
      <c r="B8718" s="33"/>
      <c r="C8718" s="60"/>
      <c r="D8718" s="60"/>
      <c r="E8718" s="60"/>
      <c r="F8718" s="60"/>
      <c r="G8718" s="60"/>
      <c r="H8718" s="60"/>
      <c r="I8718" s="60"/>
      <c r="J8718" s="60"/>
      <c r="K8718" s="60"/>
      <c r="L8718" s="60"/>
      <c r="M8718" s="64"/>
      <c r="N8718" s="33"/>
    </row>
    <row r="8719" ht="24" customHeight="1" spans="2:14">
      <c r="B8719" s="33"/>
      <c r="C8719" s="60"/>
      <c r="D8719" s="60"/>
      <c r="E8719" s="60"/>
      <c r="F8719" s="60"/>
      <c r="G8719" s="60"/>
      <c r="H8719" s="60"/>
      <c r="I8719" s="60"/>
      <c r="J8719" s="60"/>
      <c r="K8719" s="60"/>
      <c r="L8719" s="60"/>
      <c r="M8719" s="64"/>
      <c r="N8719" s="33"/>
    </row>
    <row r="8720" ht="24" customHeight="1" spans="2:14">
      <c r="B8720" s="33"/>
      <c r="C8720" s="60"/>
      <c r="D8720" s="60"/>
      <c r="E8720" s="60"/>
      <c r="F8720" s="60"/>
      <c r="G8720" s="60"/>
      <c r="H8720" s="60"/>
      <c r="I8720" s="60"/>
      <c r="J8720" s="60"/>
      <c r="K8720" s="60"/>
      <c r="L8720" s="60"/>
      <c r="M8720" s="64"/>
      <c r="N8720" s="33"/>
    </row>
    <row r="8721" ht="24" customHeight="1" spans="2:14">
      <c r="B8721" s="33"/>
      <c r="C8721" s="60"/>
      <c r="D8721" s="60"/>
      <c r="E8721" s="60"/>
      <c r="F8721" s="60"/>
      <c r="G8721" s="60"/>
      <c r="H8721" s="60"/>
      <c r="I8721" s="60"/>
      <c r="J8721" s="60"/>
      <c r="K8721" s="60"/>
      <c r="L8721" s="60"/>
      <c r="M8721" s="64"/>
      <c r="N8721" s="33"/>
    </row>
    <row r="8722" ht="24" customHeight="1" spans="2:14">
      <c r="B8722" s="33"/>
      <c r="C8722" s="60"/>
      <c r="D8722" s="60"/>
      <c r="E8722" s="60"/>
      <c r="F8722" s="60"/>
      <c r="G8722" s="60"/>
      <c r="H8722" s="60"/>
      <c r="I8722" s="60"/>
      <c r="J8722" s="60"/>
      <c r="K8722" s="60"/>
      <c r="L8722" s="60"/>
      <c r="M8722" s="64"/>
      <c r="N8722" s="33"/>
    </row>
    <row r="8723" ht="24" customHeight="1" spans="2:14">
      <c r="B8723" s="33"/>
      <c r="C8723" s="60"/>
      <c r="D8723" s="60"/>
      <c r="E8723" s="60"/>
      <c r="F8723" s="60"/>
      <c r="G8723" s="60"/>
      <c r="H8723" s="60"/>
      <c r="I8723" s="60"/>
      <c r="J8723" s="60"/>
      <c r="K8723" s="60"/>
      <c r="L8723" s="60"/>
      <c r="M8723" s="64"/>
      <c r="N8723" s="33"/>
    </row>
    <row r="8724" ht="24" customHeight="1" spans="2:14">
      <c r="B8724" s="33"/>
      <c r="C8724" s="60"/>
      <c r="D8724" s="60"/>
      <c r="E8724" s="60"/>
      <c r="F8724" s="60"/>
      <c r="G8724" s="60"/>
      <c r="H8724" s="60"/>
      <c r="I8724" s="60"/>
      <c r="J8724" s="60"/>
      <c r="K8724" s="60"/>
      <c r="L8724" s="60"/>
      <c r="M8724" s="64"/>
      <c r="N8724" s="33"/>
    </row>
    <row r="8725" ht="24" customHeight="1" spans="2:14">
      <c r="B8725" s="33"/>
      <c r="C8725" s="60"/>
      <c r="D8725" s="60"/>
      <c r="E8725" s="60"/>
      <c r="F8725" s="60"/>
      <c r="G8725" s="60"/>
      <c r="H8725" s="60"/>
      <c r="I8725" s="60"/>
      <c r="J8725" s="60"/>
      <c r="K8725" s="60"/>
      <c r="L8725" s="60"/>
      <c r="M8725" s="64"/>
      <c r="N8725" s="33"/>
    </row>
    <row r="8726" ht="24" customHeight="1" spans="2:14">
      <c r="B8726" s="33"/>
      <c r="C8726" s="60"/>
      <c r="D8726" s="60"/>
      <c r="E8726" s="60"/>
      <c r="F8726" s="60"/>
      <c r="G8726" s="60"/>
      <c r="H8726" s="60"/>
      <c r="I8726" s="60"/>
      <c r="J8726" s="60"/>
      <c r="K8726" s="60"/>
      <c r="L8726" s="60"/>
      <c r="M8726" s="64"/>
      <c r="N8726" s="33"/>
    </row>
    <row r="8727" ht="24" customHeight="1" spans="2:14">
      <c r="B8727" s="33"/>
      <c r="C8727" s="60"/>
      <c r="D8727" s="60"/>
      <c r="E8727" s="60"/>
      <c r="F8727" s="60"/>
      <c r="G8727" s="60"/>
      <c r="H8727" s="60"/>
      <c r="I8727" s="60"/>
      <c r="J8727" s="60"/>
      <c r="K8727" s="60"/>
      <c r="L8727" s="60"/>
      <c r="M8727" s="64"/>
      <c r="N8727" s="33"/>
    </row>
    <row r="8728" ht="24" customHeight="1" spans="2:14">
      <c r="B8728" s="33"/>
      <c r="C8728" s="60"/>
      <c r="D8728" s="60"/>
      <c r="E8728" s="60"/>
      <c r="F8728" s="60"/>
      <c r="G8728" s="60"/>
      <c r="H8728" s="60"/>
      <c r="I8728" s="60"/>
      <c r="J8728" s="60"/>
      <c r="K8728" s="60"/>
      <c r="L8728" s="60"/>
      <c r="M8728" s="64"/>
      <c r="N8728" s="33"/>
    </row>
    <row r="8729" ht="24" customHeight="1" spans="2:14">
      <c r="B8729" s="33"/>
      <c r="C8729" s="60"/>
      <c r="D8729" s="60"/>
      <c r="E8729" s="60"/>
      <c r="F8729" s="60"/>
      <c r="G8729" s="60"/>
      <c r="H8729" s="60"/>
      <c r="I8729" s="60"/>
      <c r="J8729" s="60"/>
      <c r="K8729" s="60"/>
      <c r="L8729" s="60"/>
      <c r="M8729" s="64"/>
      <c r="N8729" s="33"/>
    </row>
    <row r="8730" ht="24" customHeight="1" spans="2:14">
      <c r="B8730" s="33"/>
      <c r="C8730" s="60"/>
      <c r="D8730" s="60"/>
      <c r="E8730" s="60"/>
      <c r="F8730" s="60"/>
      <c r="G8730" s="60"/>
      <c r="H8730" s="60"/>
      <c r="I8730" s="60"/>
      <c r="J8730" s="60"/>
      <c r="K8730" s="60"/>
      <c r="L8730" s="60"/>
      <c r="M8730" s="64"/>
      <c r="N8730" s="33"/>
    </row>
    <row r="8731" ht="24" customHeight="1" spans="2:14">
      <c r="B8731" s="33"/>
      <c r="C8731" s="60"/>
      <c r="D8731" s="60"/>
      <c r="E8731" s="60"/>
      <c r="F8731" s="60"/>
      <c r="G8731" s="60"/>
      <c r="H8731" s="60"/>
      <c r="I8731" s="60"/>
      <c r="J8731" s="60"/>
      <c r="K8731" s="60"/>
      <c r="L8731" s="60"/>
      <c r="M8731" s="64"/>
      <c r="N8731" s="33"/>
    </row>
    <row r="8732" ht="24" customHeight="1" spans="2:14">
      <c r="B8732" s="33"/>
      <c r="C8732" s="60"/>
      <c r="D8732" s="60"/>
      <c r="E8732" s="60"/>
      <c r="F8732" s="60"/>
      <c r="G8732" s="60"/>
      <c r="H8732" s="60"/>
      <c r="I8732" s="60"/>
      <c r="J8732" s="60"/>
      <c r="K8732" s="60"/>
      <c r="L8732" s="60"/>
      <c r="M8732" s="64"/>
      <c r="N8732" s="33"/>
    </row>
    <row r="8733" ht="24" customHeight="1" spans="2:14">
      <c r="B8733" s="33"/>
      <c r="C8733" s="60"/>
      <c r="D8733" s="60"/>
      <c r="E8733" s="60"/>
      <c r="F8733" s="60"/>
      <c r="G8733" s="60"/>
      <c r="H8733" s="60"/>
      <c r="I8733" s="60"/>
      <c r="J8733" s="60"/>
      <c r="K8733" s="60"/>
      <c r="L8733" s="60"/>
      <c r="M8733" s="64"/>
      <c r="N8733" s="33"/>
    </row>
    <row r="8734" ht="24" customHeight="1" spans="2:14">
      <c r="B8734" s="33"/>
      <c r="C8734" s="60"/>
      <c r="D8734" s="60"/>
      <c r="E8734" s="60"/>
      <c r="F8734" s="60"/>
      <c r="G8734" s="60"/>
      <c r="H8734" s="60"/>
      <c r="I8734" s="60"/>
      <c r="J8734" s="60"/>
      <c r="K8734" s="60"/>
      <c r="L8734" s="60"/>
      <c r="M8734" s="64"/>
      <c r="N8734" s="33"/>
    </row>
    <row r="8735" ht="24" customHeight="1" spans="2:14">
      <c r="B8735" s="33"/>
      <c r="C8735" s="60"/>
      <c r="D8735" s="60"/>
      <c r="E8735" s="60"/>
      <c r="F8735" s="60"/>
      <c r="G8735" s="60"/>
      <c r="H8735" s="60"/>
      <c r="I8735" s="60"/>
      <c r="J8735" s="60"/>
      <c r="K8735" s="60"/>
      <c r="L8735" s="60"/>
      <c r="M8735" s="64"/>
      <c r="N8735" s="33"/>
    </row>
    <row r="8736" ht="24" customHeight="1" spans="2:14">
      <c r="B8736" s="33"/>
      <c r="C8736" s="60"/>
      <c r="D8736" s="60"/>
      <c r="E8736" s="60"/>
      <c r="F8736" s="60"/>
      <c r="G8736" s="60"/>
      <c r="H8736" s="60"/>
      <c r="I8736" s="60"/>
      <c r="J8736" s="60"/>
      <c r="K8736" s="60"/>
      <c r="L8736" s="60"/>
      <c r="M8736" s="64"/>
      <c r="N8736" s="33"/>
    </row>
    <row r="8737" ht="24" customHeight="1" spans="2:14">
      <c r="B8737" s="33"/>
      <c r="C8737" s="60"/>
      <c r="D8737" s="60"/>
      <c r="E8737" s="60"/>
      <c r="F8737" s="60"/>
      <c r="G8737" s="60"/>
      <c r="H8737" s="60"/>
      <c r="I8737" s="60"/>
      <c r="J8737" s="60"/>
      <c r="K8737" s="60"/>
      <c r="L8737" s="60"/>
      <c r="M8737" s="64"/>
      <c r="N8737" s="33"/>
    </row>
    <row r="8738" ht="24" customHeight="1" spans="2:14">
      <c r="B8738" s="33"/>
      <c r="C8738" s="60"/>
      <c r="D8738" s="60"/>
      <c r="E8738" s="60"/>
      <c r="F8738" s="60"/>
      <c r="G8738" s="60"/>
      <c r="H8738" s="60"/>
      <c r="I8738" s="60"/>
      <c r="J8738" s="60"/>
      <c r="K8738" s="60"/>
      <c r="L8738" s="60"/>
      <c r="M8738" s="64"/>
      <c r="N8738" s="33"/>
    </row>
    <row r="8739" ht="24" customHeight="1" spans="2:14">
      <c r="B8739" s="33"/>
      <c r="C8739" s="60"/>
      <c r="D8739" s="60"/>
      <c r="E8739" s="60"/>
      <c r="F8739" s="60"/>
      <c r="G8739" s="60"/>
      <c r="H8739" s="60"/>
      <c r="I8739" s="60"/>
      <c r="J8739" s="60"/>
      <c r="K8739" s="60"/>
      <c r="L8739" s="60"/>
      <c r="M8739" s="64"/>
      <c r="N8739" s="33"/>
    </row>
    <row r="8740" ht="24" customHeight="1" spans="2:14">
      <c r="B8740" s="33"/>
      <c r="C8740" s="60"/>
      <c r="D8740" s="60"/>
      <c r="E8740" s="60"/>
      <c r="F8740" s="60"/>
      <c r="G8740" s="60"/>
      <c r="H8740" s="60"/>
      <c r="I8740" s="60"/>
      <c r="J8740" s="60"/>
      <c r="K8740" s="60"/>
      <c r="L8740" s="60"/>
      <c r="M8740" s="64"/>
      <c r="N8740" s="33"/>
    </row>
    <row r="8741" ht="24" customHeight="1" spans="2:14">
      <c r="B8741" s="33"/>
      <c r="C8741" s="60"/>
      <c r="D8741" s="60"/>
      <c r="E8741" s="60"/>
      <c r="F8741" s="60"/>
      <c r="G8741" s="60"/>
      <c r="H8741" s="60"/>
      <c r="I8741" s="60"/>
      <c r="J8741" s="60"/>
      <c r="K8741" s="60"/>
      <c r="L8741" s="60"/>
      <c r="M8741" s="64"/>
      <c r="N8741" s="33"/>
    </row>
    <row r="8742" ht="24" customHeight="1" spans="2:14">
      <c r="B8742" s="33"/>
      <c r="C8742" s="60"/>
      <c r="D8742" s="60"/>
      <c r="E8742" s="60"/>
      <c r="F8742" s="60"/>
      <c r="G8742" s="60"/>
      <c r="H8742" s="60"/>
      <c r="I8742" s="60"/>
      <c r="J8742" s="60"/>
      <c r="K8742" s="60"/>
      <c r="L8742" s="60"/>
      <c r="M8742" s="64"/>
      <c r="N8742" s="33"/>
    </row>
    <row r="8743" ht="24" customHeight="1" spans="2:14">
      <c r="B8743" s="33"/>
      <c r="C8743" s="60"/>
      <c r="D8743" s="60"/>
      <c r="E8743" s="60"/>
      <c r="F8743" s="60"/>
      <c r="G8743" s="60"/>
      <c r="H8743" s="60"/>
      <c r="I8743" s="60"/>
      <c r="J8743" s="60"/>
      <c r="K8743" s="60"/>
      <c r="L8743" s="60"/>
      <c r="M8743" s="64"/>
      <c r="N8743" s="33"/>
    </row>
    <row r="8744" ht="24" customHeight="1" spans="2:14">
      <c r="B8744" s="33"/>
      <c r="C8744" s="60"/>
      <c r="D8744" s="60"/>
      <c r="E8744" s="60"/>
      <c r="F8744" s="60"/>
      <c r="G8744" s="60"/>
      <c r="H8744" s="60"/>
      <c r="I8744" s="60"/>
      <c r="J8744" s="60"/>
      <c r="K8744" s="60"/>
      <c r="L8744" s="60"/>
      <c r="M8744" s="64"/>
      <c r="N8744" s="33"/>
    </row>
    <row r="8745" ht="24" customHeight="1" spans="2:14">
      <c r="B8745" s="33"/>
      <c r="C8745" s="60"/>
      <c r="D8745" s="60"/>
      <c r="E8745" s="60"/>
      <c r="F8745" s="60"/>
      <c r="G8745" s="60"/>
      <c r="H8745" s="60"/>
      <c r="I8745" s="60"/>
      <c r="J8745" s="60"/>
      <c r="K8745" s="60"/>
      <c r="L8745" s="60"/>
      <c r="M8745" s="64"/>
      <c r="N8745" s="33"/>
    </row>
    <row r="8746" ht="24" customHeight="1" spans="2:14">
      <c r="B8746" s="33"/>
      <c r="C8746" s="60"/>
      <c r="D8746" s="60"/>
      <c r="E8746" s="60"/>
      <c r="F8746" s="60"/>
      <c r="G8746" s="60"/>
      <c r="H8746" s="60"/>
      <c r="I8746" s="60"/>
      <c r="J8746" s="60"/>
      <c r="K8746" s="60"/>
      <c r="L8746" s="60"/>
      <c r="M8746" s="64"/>
      <c r="N8746" s="33"/>
    </row>
    <row r="8747" ht="24" customHeight="1" spans="2:14">
      <c r="B8747" s="33"/>
      <c r="C8747" s="60"/>
      <c r="D8747" s="60"/>
      <c r="E8747" s="60"/>
      <c r="F8747" s="60"/>
      <c r="G8747" s="60"/>
      <c r="H8747" s="60"/>
      <c r="I8747" s="60"/>
      <c r="J8747" s="60"/>
      <c r="K8747" s="60"/>
      <c r="L8747" s="60"/>
      <c r="M8747" s="64"/>
      <c r="N8747" s="33"/>
    </row>
    <row r="8748" ht="24" customHeight="1" spans="2:14">
      <c r="B8748" s="33"/>
      <c r="C8748" s="60"/>
      <c r="D8748" s="60"/>
      <c r="E8748" s="60"/>
      <c r="F8748" s="60"/>
      <c r="G8748" s="60"/>
      <c r="H8748" s="60"/>
      <c r="I8748" s="60"/>
      <c r="J8748" s="60"/>
      <c r="K8748" s="60"/>
      <c r="L8748" s="60"/>
      <c r="M8748" s="64"/>
      <c r="N8748" s="33"/>
    </row>
    <row r="8749" ht="24" customHeight="1" spans="2:14">
      <c r="B8749" s="33"/>
      <c r="C8749" s="60"/>
      <c r="D8749" s="60"/>
      <c r="E8749" s="60"/>
      <c r="F8749" s="60"/>
      <c r="G8749" s="60"/>
      <c r="H8749" s="60"/>
      <c r="I8749" s="60"/>
      <c r="J8749" s="60"/>
      <c r="K8749" s="60"/>
      <c r="L8749" s="60"/>
      <c r="M8749" s="64"/>
      <c r="N8749" s="33"/>
    </row>
    <row r="8750" ht="24" customHeight="1" spans="2:14">
      <c r="B8750" s="33"/>
      <c r="C8750" s="60"/>
      <c r="D8750" s="60"/>
      <c r="E8750" s="60"/>
      <c r="F8750" s="60"/>
      <c r="G8750" s="60"/>
      <c r="H8750" s="60"/>
      <c r="I8750" s="60"/>
      <c r="J8750" s="60"/>
      <c r="K8750" s="60"/>
      <c r="L8750" s="60"/>
      <c r="M8750" s="64"/>
      <c r="N8750" s="33"/>
    </row>
    <row r="8751" ht="24" customHeight="1" spans="2:14">
      <c r="B8751" s="33"/>
      <c r="C8751" s="60"/>
      <c r="D8751" s="60"/>
      <c r="E8751" s="60"/>
      <c r="F8751" s="60"/>
      <c r="G8751" s="60"/>
      <c r="H8751" s="60"/>
      <c r="I8751" s="60"/>
      <c r="J8751" s="60"/>
      <c r="K8751" s="60"/>
      <c r="L8751" s="60"/>
      <c r="M8751" s="64"/>
      <c r="N8751" s="33"/>
    </row>
    <row r="8752" ht="24" customHeight="1" spans="2:14">
      <c r="B8752" s="33"/>
      <c r="C8752" s="60"/>
      <c r="D8752" s="60"/>
      <c r="E8752" s="60"/>
      <c r="F8752" s="60"/>
      <c r="G8752" s="60"/>
      <c r="H8752" s="60"/>
      <c r="I8752" s="60"/>
      <c r="J8752" s="60"/>
      <c r="K8752" s="60"/>
      <c r="L8752" s="60"/>
      <c r="M8752" s="64"/>
      <c r="N8752" s="33"/>
    </row>
    <row r="8753" ht="24" customHeight="1" spans="2:14">
      <c r="B8753" s="33"/>
      <c r="C8753" s="60"/>
      <c r="D8753" s="60"/>
      <c r="E8753" s="60"/>
      <c r="F8753" s="60"/>
      <c r="G8753" s="60"/>
      <c r="H8753" s="60"/>
      <c r="I8753" s="60"/>
      <c r="J8753" s="60"/>
      <c r="K8753" s="60"/>
      <c r="L8753" s="60"/>
      <c r="M8753" s="64"/>
      <c r="N8753" s="33"/>
    </row>
    <row r="8754" ht="24" customHeight="1" spans="2:14">
      <c r="B8754" s="33"/>
      <c r="C8754" s="60"/>
      <c r="D8754" s="60"/>
      <c r="E8754" s="60"/>
      <c r="F8754" s="60"/>
      <c r="G8754" s="60"/>
      <c r="H8754" s="60"/>
      <c r="I8754" s="60"/>
      <c r="J8754" s="60"/>
      <c r="K8754" s="60"/>
      <c r="L8754" s="60"/>
      <c r="M8754" s="64"/>
      <c r="N8754" s="33"/>
    </row>
    <row r="8755" ht="24" customHeight="1" spans="2:14">
      <c r="B8755" s="33"/>
      <c r="C8755" s="60"/>
      <c r="D8755" s="60"/>
      <c r="E8755" s="60"/>
      <c r="F8755" s="60"/>
      <c r="G8755" s="60"/>
      <c r="H8755" s="60"/>
      <c r="I8755" s="60"/>
      <c r="J8755" s="60"/>
      <c r="K8755" s="60"/>
      <c r="L8755" s="60"/>
      <c r="M8755" s="64"/>
      <c r="N8755" s="33"/>
    </row>
    <row r="8756" ht="24" customHeight="1" spans="2:14">
      <c r="B8756" s="33"/>
      <c r="C8756" s="60"/>
      <c r="D8756" s="60"/>
      <c r="E8756" s="60"/>
      <c r="F8756" s="60"/>
      <c r="G8756" s="60"/>
      <c r="H8756" s="60"/>
      <c r="I8756" s="60"/>
      <c r="J8756" s="60"/>
      <c r="K8756" s="60"/>
      <c r="L8756" s="60"/>
      <c r="M8756" s="64"/>
      <c r="N8756" s="33"/>
    </row>
    <row r="8757" ht="24" customHeight="1" spans="2:14">
      <c r="B8757" s="33"/>
      <c r="C8757" s="60"/>
      <c r="D8757" s="60"/>
      <c r="E8757" s="60"/>
      <c r="F8757" s="60"/>
      <c r="G8757" s="60"/>
      <c r="H8757" s="60"/>
      <c r="I8757" s="60"/>
      <c r="J8757" s="60"/>
      <c r="K8757" s="60"/>
      <c r="L8757" s="60"/>
      <c r="M8757" s="64"/>
      <c r="N8757" s="33"/>
    </row>
    <row r="8758" ht="24" customHeight="1" spans="2:14">
      <c r="B8758" s="33"/>
      <c r="C8758" s="60"/>
      <c r="D8758" s="60"/>
      <c r="E8758" s="60"/>
      <c r="F8758" s="60"/>
      <c r="G8758" s="60"/>
      <c r="H8758" s="60"/>
      <c r="I8758" s="60"/>
      <c r="J8758" s="60"/>
      <c r="K8758" s="60"/>
      <c r="L8758" s="60"/>
      <c r="M8758" s="64"/>
      <c r="N8758" s="33"/>
    </row>
    <row r="8759" ht="24" customHeight="1" spans="2:14">
      <c r="B8759" s="33"/>
      <c r="C8759" s="60"/>
      <c r="D8759" s="60"/>
      <c r="E8759" s="60"/>
      <c r="F8759" s="60"/>
      <c r="G8759" s="60"/>
      <c r="H8759" s="60"/>
      <c r="I8759" s="60"/>
      <c r="J8759" s="60"/>
      <c r="K8759" s="60"/>
      <c r="L8759" s="60"/>
      <c r="M8759" s="64"/>
      <c r="N8759" s="33"/>
    </row>
    <row r="8760" ht="24" customHeight="1" spans="2:14">
      <c r="B8760" s="33"/>
      <c r="C8760" s="60"/>
      <c r="D8760" s="60"/>
      <c r="E8760" s="60"/>
      <c r="F8760" s="60"/>
      <c r="G8760" s="60"/>
      <c r="H8760" s="60"/>
      <c r="I8760" s="60"/>
      <c r="J8760" s="60"/>
      <c r="K8760" s="60"/>
      <c r="L8760" s="60"/>
      <c r="M8760" s="64"/>
      <c r="N8760" s="33"/>
    </row>
    <row r="8761" ht="24" customHeight="1" spans="2:14">
      <c r="B8761" s="33"/>
      <c r="C8761" s="60"/>
      <c r="D8761" s="60"/>
      <c r="E8761" s="60"/>
      <c r="F8761" s="60"/>
      <c r="G8761" s="60"/>
      <c r="H8761" s="60"/>
      <c r="I8761" s="60"/>
      <c r="J8761" s="60"/>
      <c r="K8761" s="60"/>
      <c r="L8761" s="60"/>
      <c r="M8761" s="64"/>
      <c r="N8761" s="33"/>
    </row>
    <row r="8762" ht="24" customHeight="1" spans="2:14">
      <c r="B8762" s="33"/>
      <c r="C8762" s="60"/>
      <c r="D8762" s="60"/>
      <c r="E8762" s="60"/>
      <c r="F8762" s="60"/>
      <c r="G8762" s="60"/>
      <c r="H8762" s="60"/>
      <c r="I8762" s="60"/>
      <c r="J8762" s="60"/>
      <c r="K8762" s="60"/>
      <c r="L8762" s="60"/>
      <c r="M8762" s="64"/>
      <c r="N8762" s="33"/>
    </row>
    <row r="8763" ht="24" customHeight="1" spans="2:14">
      <c r="B8763" s="33"/>
      <c r="C8763" s="60"/>
      <c r="D8763" s="60"/>
      <c r="E8763" s="60"/>
      <c r="F8763" s="60"/>
      <c r="G8763" s="60"/>
      <c r="H8763" s="60"/>
      <c r="I8763" s="60"/>
      <c r="J8763" s="60"/>
      <c r="K8763" s="60"/>
      <c r="L8763" s="60"/>
      <c r="M8763" s="64"/>
      <c r="N8763" s="33"/>
    </row>
    <row r="8764" ht="24" customHeight="1" spans="2:14">
      <c r="B8764" s="33"/>
      <c r="C8764" s="60"/>
      <c r="D8764" s="60"/>
      <c r="E8764" s="60"/>
      <c r="F8764" s="60"/>
      <c r="G8764" s="60"/>
      <c r="H8764" s="60"/>
      <c r="I8764" s="60"/>
      <c r="J8764" s="60"/>
      <c r="K8764" s="60"/>
      <c r="L8764" s="60"/>
      <c r="M8764" s="64"/>
      <c r="N8764" s="33"/>
    </row>
    <row r="8765" ht="24" customHeight="1" spans="2:14">
      <c r="B8765" s="33"/>
      <c r="C8765" s="60"/>
      <c r="D8765" s="60"/>
      <c r="E8765" s="60"/>
      <c r="F8765" s="60"/>
      <c r="G8765" s="60"/>
      <c r="H8765" s="60"/>
      <c r="I8765" s="60"/>
      <c r="J8765" s="60"/>
      <c r="K8765" s="60"/>
      <c r="L8765" s="60"/>
      <c r="M8765" s="64"/>
      <c r="N8765" s="33"/>
    </row>
    <row r="8766" ht="24" customHeight="1" spans="2:14">
      <c r="B8766" s="33"/>
      <c r="C8766" s="60"/>
      <c r="D8766" s="60"/>
      <c r="E8766" s="60"/>
      <c r="F8766" s="60"/>
      <c r="G8766" s="60"/>
      <c r="H8766" s="60"/>
      <c r="I8766" s="60"/>
      <c r="J8766" s="60"/>
      <c r="K8766" s="60"/>
      <c r="L8766" s="60"/>
      <c r="M8766" s="64"/>
      <c r="N8766" s="33"/>
    </row>
    <row r="8767" ht="24" customHeight="1" spans="2:14">
      <c r="B8767" s="33"/>
      <c r="C8767" s="60"/>
      <c r="D8767" s="60"/>
      <c r="E8767" s="60"/>
      <c r="F8767" s="60"/>
      <c r="G8767" s="60"/>
      <c r="H8767" s="60"/>
      <c r="I8767" s="60"/>
      <c r="J8767" s="60"/>
      <c r="K8767" s="60"/>
      <c r="L8767" s="60"/>
      <c r="M8767" s="64"/>
      <c r="N8767" s="33"/>
    </row>
    <row r="8768" ht="24" customHeight="1" spans="2:14">
      <c r="B8768" s="33"/>
      <c r="C8768" s="60"/>
      <c r="D8768" s="60"/>
      <c r="E8768" s="60"/>
      <c r="F8768" s="60"/>
      <c r="G8768" s="60"/>
      <c r="H8768" s="60"/>
      <c r="I8768" s="60"/>
      <c r="J8768" s="60"/>
      <c r="K8768" s="60"/>
      <c r="L8768" s="60"/>
      <c r="M8768" s="64"/>
      <c r="N8768" s="33"/>
    </row>
    <row r="8769" ht="24" customHeight="1" spans="2:14">
      <c r="B8769" s="33"/>
      <c r="C8769" s="60"/>
      <c r="D8769" s="60"/>
      <c r="E8769" s="60"/>
      <c r="F8769" s="60"/>
      <c r="G8769" s="60"/>
      <c r="H8769" s="60"/>
      <c r="I8769" s="60"/>
      <c r="J8769" s="60"/>
      <c r="K8769" s="60"/>
      <c r="L8769" s="60"/>
      <c r="M8769" s="64"/>
      <c r="N8769" s="33"/>
    </row>
    <row r="8770" ht="24" customHeight="1" spans="2:14">
      <c r="B8770" s="33"/>
      <c r="C8770" s="60"/>
      <c r="D8770" s="60"/>
      <c r="E8770" s="60"/>
      <c r="F8770" s="60"/>
      <c r="G8770" s="60"/>
      <c r="H8770" s="60"/>
      <c r="I8770" s="60"/>
      <c r="J8770" s="60"/>
      <c r="K8770" s="60"/>
      <c r="L8770" s="60"/>
      <c r="M8770" s="64"/>
      <c r="N8770" s="33"/>
    </row>
    <row r="8771" ht="24" customHeight="1" spans="2:14">
      <c r="B8771" s="33"/>
      <c r="C8771" s="60"/>
      <c r="D8771" s="60"/>
      <c r="E8771" s="60"/>
      <c r="F8771" s="60"/>
      <c r="G8771" s="60"/>
      <c r="H8771" s="60"/>
      <c r="I8771" s="60"/>
      <c r="J8771" s="60"/>
      <c r="K8771" s="60"/>
      <c r="L8771" s="60"/>
      <c r="M8771" s="64"/>
      <c r="N8771" s="33"/>
    </row>
    <row r="8772" ht="24" customHeight="1" spans="2:14">
      <c r="B8772" s="33"/>
      <c r="C8772" s="60"/>
      <c r="D8772" s="60"/>
      <c r="E8772" s="60"/>
      <c r="F8772" s="60"/>
      <c r="G8772" s="60"/>
      <c r="H8772" s="60"/>
      <c r="I8772" s="60"/>
      <c r="J8772" s="60"/>
      <c r="K8772" s="60"/>
      <c r="L8772" s="60"/>
      <c r="M8772" s="64"/>
      <c r="N8772" s="33"/>
    </row>
    <row r="8773" ht="24" customHeight="1" spans="2:14">
      <c r="B8773" s="33"/>
      <c r="C8773" s="60"/>
      <c r="D8773" s="60"/>
      <c r="E8773" s="60"/>
      <c r="F8773" s="60"/>
      <c r="G8773" s="60"/>
      <c r="H8773" s="60"/>
      <c r="I8773" s="60"/>
      <c r="J8773" s="60"/>
      <c r="K8773" s="60"/>
      <c r="L8773" s="60"/>
      <c r="M8773" s="64"/>
      <c r="N8773" s="33"/>
    </row>
    <row r="8774" ht="24" customHeight="1" spans="2:14">
      <c r="B8774" s="33"/>
      <c r="C8774" s="60"/>
      <c r="D8774" s="60"/>
      <c r="E8774" s="60"/>
      <c r="F8774" s="60"/>
      <c r="G8774" s="60"/>
      <c r="H8774" s="60"/>
      <c r="I8774" s="60"/>
      <c r="J8774" s="60"/>
      <c r="K8774" s="60"/>
      <c r="L8774" s="60"/>
      <c r="M8774" s="64"/>
      <c r="N8774" s="33"/>
    </row>
    <row r="8775" ht="24" customHeight="1" spans="2:14">
      <c r="B8775" s="33"/>
      <c r="C8775" s="60"/>
      <c r="D8775" s="60"/>
      <c r="E8775" s="60"/>
      <c r="F8775" s="60"/>
      <c r="G8775" s="60"/>
      <c r="H8775" s="60"/>
      <c r="I8775" s="60"/>
      <c r="J8775" s="60"/>
      <c r="K8775" s="60"/>
      <c r="L8775" s="60"/>
      <c r="M8775" s="64"/>
      <c r="N8775" s="33"/>
    </row>
    <row r="8776" ht="24" customHeight="1" spans="2:14">
      <c r="B8776" s="33"/>
      <c r="C8776" s="60"/>
      <c r="D8776" s="60"/>
      <c r="E8776" s="60"/>
      <c r="F8776" s="60"/>
      <c r="G8776" s="60"/>
      <c r="H8776" s="60"/>
      <c r="I8776" s="60"/>
      <c r="J8776" s="60"/>
      <c r="K8776" s="60"/>
      <c r="L8776" s="60"/>
      <c r="M8776" s="64"/>
      <c r="N8776" s="33"/>
    </row>
    <row r="8777" ht="24" customHeight="1" spans="2:14">
      <c r="B8777" s="33"/>
      <c r="C8777" s="60"/>
      <c r="D8777" s="60"/>
      <c r="E8777" s="60"/>
      <c r="F8777" s="60"/>
      <c r="G8777" s="60"/>
      <c r="H8777" s="60"/>
      <c r="I8777" s="60"/>
      <c r="J8777" s="60"/>
      <c r="K8777" s="60"/>
      <c r="L8777" s="60"/>
      <c r="M8777" s="64"/>
      <c r="N8777" s="33"/>
    </row>
    <row r="8778" ht="24" customHeight="1" spans="2:14">
      <c r="B8778" s="33"/>
      <c r="C8778" s="60"/>
      <c r="D8778" s="60"/>
      <c r="E8778" s="60"/>
      <c r="F8778" s="60"/>
      <c r="G8778" s="60"/>
      <c r="H8778" s="60"/>
      <c r="I8778" s="60"/>
      <c r="J8778" s="60"/>
      <c r="K8778" s="60"/>
      <c r="L8778" s="60"/>
      <c r="M8778" s="64"/>
      <c r="N8778" s="33"/>
    </row>
    <row r="8779" ht="24" customHeight="1" spans="2:14">
      <c r="B8779" s="33"/>
      <c r="C8779" s="60"/>
      <c r="D8779" s="60"/>
      <c r="E8779" s="60"/>
      <c r="F8779" s="60"/>
      <c r="G8779" s="60"/>
      <c r="H8779" s="60"/>
      <c r="I8779" s="60"/>
      <c r="J8779" s="60"/>
      <c r="K8779" s="60"/>
      <c r="L8779" s="60"/>
      <c r="M8779" s="64"/>
      <c r="N8779" s="33"/>
    </row>
    <row r="8780" ht="24" customHeight="1" spans="2:14">
      <c r="B8780" s="33"/>
      <c r="C8780" s="60"/>
      <c r="D8780" s="60"/>
      <c r="E8780" s="60"/>
      <c r="F8780" s="60"/>
      <c r="G8780" s="60"/>
      <c r="H8780" s="60"/>
      <c r="I8780" s="60"/>
      <c r="J8780" s="60"/>
      <c r="K8780" s="60"/>
      <c r="L8780" s="60"/>
      <c r="M8780" s="64"/>
      <c r="N8780" s="33"/>
    </row>
    <row r="8781" ht="24" customHeight="1" spans="2:14">
      <c r="B8781" s="33"/>
      <c r="C8781" s="60"/>
      <c r="D8781" s="60"/>
      <c r="E8781" s="60"/>
      <c r="F8781" s="60"/>
      <c r="G8781" s="60"/>
      <c r="H8781" s="60"/>
      <c r="I8781" s="60"/>
      <c r="J8781" s="60"/>
      <c r="K8781" s="60"/>
      <c r="L8781" s="60"/>
      <c r="M8781" s="64"/>
      <c r="N8781" s="33"/>
    </row>
    <row r="8782" ht="24" customHeight="1" spans="2:14">
      <c r="B8782" s="33"/>
      <c r="C8782" s="60"/>
      <c r="D8782" s="60"/>
      <c r="E8782" s="60"/>
      <c r="F8782" s="60"/>
      <c r="G8782" s="60"/>
      <c r="H8782" s="60"/>
      <c r="I8782" s="60"/>
      <c r="J8782" s="60"/>
      <c r="K8782" s="60"/>
      <c r="L8782" s="60"/>
      <c r="M8782" s="64"/>
      <c r="N8782" s="33"/>
    </row>
    <row r="8783" ht="24" customHeight="1" spans="2:14">
      <c r="B8783" s="33"/>
      <c r="C8783" s="60"/>
      <c r="D8783" s="60"/>
      <c r="E8783" s="60"/>
      <c r="F8783" s="60"/>
      <c r="G8783" s="60"/>
      <c r="H8783" s="60"/>
      <c r="I8783" s="60"/>
      <c r="J8783" s="60"/>
      <c r="K8783" s="60"/>
      <c r="L8783" s="60"/>
      <c r="M8783" s="64"/>
      <c r="N8783" s="33"/>
    </row>
    <row r="8784" ht="24" customHeight="1" spans="2:14">
      <c r="B8784" s="33"/>
      <c r="C8784" s="60"/>
      <c r="D8784" s="60"/>
      <c r="E8784" s="60"/>
      <c r="F8784" s="60"/>
      <c r="G8784" s="60"/>
      <c r="H8784" s="60"/>
      <c r="I8784" s="60"/>
      <c r="J8784" s="60"/>
      <c r="K8784" s="60"/>
      <c r="L8784" s="60"/>
      <c r="M8784" s="64"/>
      <c r="N8784" s="33"/>
    </row>
    <row r="8785" ht="24" customHeight="1" spans="2:14">
      <c r="B8785" s="33"/>
      <c r="C8785" s="60"/>
      <c r="D8785" s="60"/>
      <c r="E8785" s="60"/>
      <c r="F8785" s="60"/>
      <c r="G8785" s="60"/>
      <c r="H8785" s="60"/>
      <c r="I8785" s="60"/>
      <c r="J8785" s="60"/>
      <c r="K8785" s="60"/>
      <c r="L8785" s="60"/>
      <c r="M8785" s="64"/>
      <c r="N8785" s="33"/>
    </row>
    <row r="8786" ht="24" customHeight="1" spans="2:14">
      <c r="B8786" s="33"/>
      <c r="C8786" s="60"/>
      <c r="D8786" s="60"/>
      <c r="E8786" s="60"/>
      <c r="F8786" s="60"/>
      <c r="G8786" s="60"/>
      <c r="H8786" s="60"/>
      <c r="I8786" s="60"/>
      <c r="J8786" s="60"/>
      <c r="K8786" s="60"/>
      <c r="L8786" s="60"/>
      <c r="M8786" s="64"/>
      <c r="N8786" s="33"/>
    </row>
    <row r="8787" ht="24" customHeight="1" spans="2:14">
      <c r="B8787" s="33"/>
      <c r="C8787" s="60"/>
      <c r="D8787" s="60"/>
      <c r="E8787" s="60"/>
      <c r="F8787" s="60"/>
      <c r="G8787" s="60"/>
      <c r="H8787" s="60"/>
      <c r="I8787" s="60"/>
      <c r="J8787" s="60"/>
      <c r="K8787" s="60"/>
      <c r="L8787" s="60"/>
      <c r="M8787" s="64"/>
      <c r="N8787" s="33"/>
    </row>
    <row r="8788" ht="24" customHeight="1" spans="2:14">
      <c r="B8788" s="33"/>
      <c r="C8788" s="60"/>
      <c r="D8788" s="60"/>
      <c r="E8788" s="60"/>
      <c r="F8788" s="60"/>
      <c r="G8788" s="60"/>
      <c r="H8788" s="60"/>
      <c r="I8788" s="60"/>
      <c r="J8788" s="60"/>
      <c r="K8788" s="60"/>
      <c r="L8788" s="60"/>
      <c r="M8788" s="64"/>
      <c r="N8788" s="33"/>
    </row>
    <row r="8789" ht="24" customHeight="1" spans="2:14">
      <c r="B8789" s="33"/>
      <c r="C8789" s="60"/>
      <c r="D8789" s="60"/>
      <c r="E8789" s="60"/>
      <c r="F8789" s="60"/>
      <c r="G8789" s="60"/>
      <c r="H8789" s="60"/>
      <c r="I8789" s="60"/>
      <c r="J8789" s="60"/>
      <c r="K8789" s="60"/>
      <c r="L8789" s="60"/>
      <c r="M8789" s="64"/>
      <c r="N8789" s="33"/>
    </row>
    <row r="8790" ht="24" customHeight="1" spans="2:14">
      <c r="B8790" s="33"/>
      <c r="C8790" s="60"/>
      <c r="D8790" s="60"/>
      <c r="E8790" s="60"/>
      <c r="F8790" s="60"/>
      <c r="G8790" s="60"/>
      <c r="H8790" s="60"/>
      <c r="I8790" s="60"/>
      <c r="J8790" s="60"/>
      <c r="K8790" s="60"/>
      <c r="L8790" s="60"/>
      <c r="M8790" s="64"/>
      <c r="N8790" s="33"/>
    </row>
    <row r="8791" ht="24" customHeight="1" spans="2:14">
      <c r="B8791" s="33"/>
      <c r="C8791" s="60"/>
      <c r="D8791" s="60"/>
      <c r="E8791" s="60"/>
      <c r="F8791" s="60"/>
      <c r="G8791" s="60"/>
      <c r="H8791" s="60"/>
      <c r="I8791" s="60"/>
      <c r="J8791" s="60"/>
      <c r="K8791" s="60"/>
      <c r="L8791" s="60"/>
      <c r="M8791" s="64"/>
      <c r="N8791" s="33"/>
    </row>
    <row r="8792" ht="24" customHeight="1" spans="2:14">
      <c r="B8792" s="33"/>
      <c r="C8792" s="60"/>
      <c r="D8792" s="60"/>
      <c r="E8792" s="60"/>
      <c r="F8792" s="60"/>
      <c r="G8792" s="60"/>
      <c r="H8792" s="60"/>
      <c r="I8792" s="60"/>
      <c r="J8792" s="60"/>
      <c r="K8792" s="60"/>
      <c r="L8792" s="60"/>
      <c r="M8792" s="64"/>
      <c r="N8792" s="33"/>
    </row>
    <row r="8793" ht="24" customHeight="1" spans="2:14">
      <c r="B8793" s="33"/>
      <c r="C8793" s="60"/>
      <c r="D8793" s="60"/>
      <c r="E8793" s="60"/>
      <c r="F8793" s="60"/>
      <c r="G8793" s="60"/>
      <c r="H8793" s="60"/>
      <c r="I8793" s="60"/>
      <c r="J8793" s="60"/>
      <c r="K8793" s="60"/>
      <c r="L8793" s="60"/>
      <c r="M8793" s="64"/>
      <c r="N8793" s="33"/>
    </row>
    <row r="8794" ht="24" customHeight="1" spans="2:14">
      <c r="B8794" s="33"/>
      <c r="C8794" s="60"/>
      <c r="D8794" s="60"/>
      <c r="E8794" s="60"/>
      <c r="F8794" s="60"/>
      <c r="G8794" s="60"/>
      <c r="H8794" s="60"/>
      <c r="I8794" s="60"/>
      <c r="J8794" s="60"/>
      <c r="K8794" s="60"/>
      <c r="L8794" s="60"/>
      <c r="M8794" s="64"/>
      <c r="N8794" s="33"/>
    </row>
    <row r="8795" ht="24" customHeight="1" spans="2:14">
      <c r="B8795" s="33"/>
      <c r="C8795" s="60"/>
      <c r="D8795" s="60"/>
      <c r="E8795" s="60"/>
      <c r="F8795" s="60"/>
      <c r="G8795" s="60"/>
      <c r="H8795" s="60"/>
      <c r="I8795" s="60"/>
      <c r="J8795" s="60"/>
      <c r="K8795" s="60"/>
      <c r="L8795" s="60"/>
      <c r="M8795" s="64"/>
      <c r="N8795" s="33"/>
    </row>
    <row r="8796" ht="24" customHeight="1" spans="2:14">
      <c r="B8796" s="33"/>
      <c r="C8796" s="60"/>
      <c r="D8796" s="60"/>
      <c r="E8796" s="60"/>
      <c r="F8796" s="60"/>
      <c r="G8796" s="60"/>
      <c r="H8796" s="60"/>
      <c r="I8796" s="60"/>
      <c r="J8796" s="60"/>
      <c r="K8796" s="60"/>
      <c r="L8796" s="60"/>
      <c r="M8796" s="64"/>
      <c r="N8796" s="33"/>
    </row>
    <row r="8797" ht="24" customHeight="1" spans="2:14">
      <c r="B8797" s="33"/>
      <c r="C8797" s="60"/>
      <c r="D8797" s="60"/>
      <c r="E8797" s="60"/>
      <c r="F8797" s="60"/>
      <c r="G8797" s="60"/>
      <c r="H8797" s="60"/>
      <c r="I8797" s="60"/>
      <c r="J8797" s="60"/>
      <c r="K8797" s="60"/>
      <c r="L8797" s="60"/>
      <c r="M8797" s="64"/>
      <c r="N8797" s="33"/>
    </row>
    <row r="8798" ht="24" customHeight="1" spans="2:14">
      <c r="B8798" s="33"/>
      <c r="C8798" s="60"/>
      <c r="D8798" s="60"/>
      <c r="E8798" s="60"/>
      <c r="F8798" s="60"/>
      <c r="G8798" s="60"/>
      <c r="H8798" s="60"/>
      <c r="I8798" s="60"/>
      <c r="J8798" s="60"/>
      <c r="K8798" s="60"/>
      <c r="L8798" s="60"/>
      <c r="M8798" s="64"/>
      <c r="N8798" s="33"/>
    </row>
    <row r="8799" ht="24" customHeight="1" spans="2:14">
      <c r="B8799" s="33"/>
      <c r="C8799" s="60"/>
      <c r="D8799" s="60"/>
      <c r="E8799" s="60"/>
      <c r="F8799" s="60"/>
      <c r="G8799" s="60"/>
      <c r="H8799" s="60"/>
      <c r="I8799" s="60"/>
      <c r="J8799" s="60"/>
      <c r="K8799" s="60"/>
      <c r="L8799" s="60"/>
      <c r="M8799" s="64"/>
      <c r="N8799" s="33"/>
    </row>
    <row r="8800" ht="24" customHeight="1" spans="2:14">
      <c r="B8800" s="33"/>
      <c r="C8800" s="60"/>
      <c r="D8800" s="60"/>
      <c r="E8800" s="60"/>
      <c r="F8800" s="60"/>
      <c r="G8800" s="60"/>
      <c r="H8800" s="60"/>
      <c r="I8800" s="60"/>
      <c r="J8800" s="60"/>
      <c r="K8800" s="60"/>
      <c r="L8800" s="60"/>
      <c r="M8800" s="64"/>
      <c r="N8800" s="33"/>
    </row>
    <row r="8801" ht="24" customHeight="1" spans="2:14">
      <c r="B8801" s="33"/>
      <c r="C8801" s="60"/>
      <c r="D8801" s="60"/>
      <c r="E8801" s="60"/>
      <c r="F8801" s="60"/>
      <c r="G8801" s="60"/>
      <c r="H8801" s="60"/>
      <c r="I8801" s="60"/>
      <c r="J8801" s="60"/>
      <c r="K8801" s="60"/>
      <c r="L8801" s="60"/>
      <c r="M8801" s="64"/>
      <c r="N8801" s="33"/>
    </row>
    <row r="8802" ht="24" customHeight="1" spans="2:14">
      <c r="B8802" s="33"/>
      <c r="C8802" s="60"/>
      <c r="D8802" s="60"/>
      <c r="E8802" s="60"/>
      <c r="F8802" s="60"/>
      <c r="G8802" s="60"/>
      <c r="H8802" s="60"/>
      <c r="I8802" s="60"/>
      <c r="J8802" s="60"/>
      <c r="K8802" s="60"/>
      <c r="L8802" s="60"/>
      <c r="M8802" s="64"/>
      <c r="N8802" s="33"/>
    </row>
    <row r="8803" ht="24" customHeight="1" spans="2:14">
      <c r="B8803" s="33"/>
      <c r="C8803" s="60"/>
      <c r="D8803" s="60"/>
      <c r="E8803" s="60"/>
      <c r="F8803" s="60"/>
      <c r="G8803" s="60"/>
      <c r="H8803" s="60"/>
      <c r="I8803" s="60"/>
      <c r="J8803" s="60"/>
      <c r="K8803" s="60"/>
      <c r="L8803" s="60"/>
      <c r="M8803" s="64"/>
      <c r="N8803" s="33"/>
    </row>
    <row r="8804" ht="24" customHeight="1" spans="2:14">
      <c r="B8804" s="33"/>
      <c r="C8804" s="60"/>
      <c r="D8804" s="60"/>
      <c r="E8804" s="60"/>
      <c r="F8804" s="60"/>
      <c r="G8804" s="60"/>
      <c r="H8804" s="60"/>
      <c r="I8804" s="60"/>
      <c r="J8804" s="60"/>
      <c r="K8804" s="60"/>
      <c r="L8804" s="60"/>
      <c r="M8804" s="64"/>
      <c r="N8804" s="33"/>
    </row>
    <row r="8805" ht="24" customHeight="1" spans="2:14">
      <c r="B8805" s="33"/>
      <c r="C8805" s="60"/>
      <c r="D8805" s="60"/>
      <c r="E8805" s="60"/>
      <c r="F8805" s="60"/>
      <c r="G8805" s="60"/>
      <c r="H8805" s="60"/>
      <c r="I8805" s="60"/>
      <c r="J8805" s="60"/>
      <c r="K8805" s="60"/>
      <c r="L8805" s="60"/>
      <c r="M8805" s="64"/>
      <c r="N8805" s="33"/>
    </row>
    <row r="8806" ht="24" customHeight="1" spans="2:14">
      <c r="B8806" s="33"/>
      <c r="C8806" s="60"/>
      <c r="D8806" s="60"/>
      <c r="E8806" s="60"/>
      <c r="F8806" s="60"/>
      <c r="G8806" s="60"/>
      <c r="H8806" s="60"/>
      <c r="I8806" s="60"/>
      <c r="J8806" s="60"/>
      <c r="K8806" s="60"/>
      <c r="L8806" s="60"/>
      <c r="M8806" s="64"/>
      <c r="N8806" s="33"/>
    </row>
    <row r="8807" ht="24" customHeight="1" spans="2:14">
      <c r="B8807" s="33"/>
      <c r="C8807" s="60"/>
      <c r="D8807" s="60"/>
      <c r="E8807" s="60"/>
      <c r="F8807" s="60"/>
      <c r="G8807" s="60"/>
      <c r="H8807" s="60"/>
      <c r="I8807" s="60"/>
      <c r="J8807" s="60"/>
      <c r="K8807" s="60"/>
      <c r="L8807" s="60"/>
      <c r="M8807" s="64"/>
      <c r="N8807" s="33"/>
    </row>
    <row r="8808" ht="24" customHeight="1" spans="2:14">
      <c r="B8808" s="33"/>
      <c r="C8808" s="60"/>
      <c r="D8808" s="60"/>
      <c r="E8808" s="60"/>
      <c r="F8808" s="60"/>
      <c r="G8808" s="60"/>
      <c r="H8808" s="60"/>
      <c r="I8808" s="60"/>
      <c r="J8808" s="60"/>
      <c r="K8808" s="60"/>
      <c r="L8808" s="60"/>
      <c r="M8808" s="64"/>
      <c r="N8808" s="33"/>
    </row>
    <row r="8809" ht="24" customHeight="1" spans="2:14">
      <c r="B8809" s="33"/>
      <c r="C8809" s="60"/>
      <c r="D8809" s="60"/>
      <c r="E8809" s="60"/>
      <c r="F8809" s="60"/>
      <c r="G8809" s="60"/>
      <c r="H8809" s="60"/>
      <c r="I8809" s="60"/>
      <c r="J8809" s="60"/>
      <c r="K8809" s="60"/>
      <c r="L8809" s="60"/>
      <c r="M8809" s="64"/>
      <c r="N8809" s="33"/>
    </row>
    <row r="8810" ht="24" customHeight="1" spans="2:14">
      <c r="B8810" s="33"/>
      <c r="C8810" s="60"/>
      <c r="D8810" s="60"/>
      <c r="E8810" s="60"/>
      <c r="F8810" s="60"/>
      <c r="G8810" s="60"/>
      <c r="H8810" s="60"/>
      <c r="I8810" s="60"/>
      <c r="J8810" s="60"/>
      <c r="K8810" s="60"/>
      <c r="L8810" s="60"/>
      <c r="M8810" s="64"/>
      <c r="N8810" s="33"/>
    </row>
    <row r="8811" ht="24" customHeight="1" spans="2:14">
      <c r="B8811" s="33"/>
      <c r="C8811" s="60"/>
      <c r="D8811" s="60"/>
      <c r="E8811" s="60"/>
      <c r="F8811" s="60"/>
      <c r="G8811" s="60"/>
      <c r="H8811" s="60"/>
      <c r="I8811" s="60"/>
      <c r="J8811" s="60"/>
      <c r="K8811" s="60"/>
      <c r="L8811" s="60"/>
      <c r="M8811" s="64"/>
      <c r="N8811" s="33"/>
    </row>
    <row r="8812" ht="24" customHeight="1" spans="2:14">
      <c r="B8812" s="33"/>
      <c r="C8812" s="60"/>
      <c r="D8812" s="60"/>
      <c r="E8812" s="60"/>
      <c r="F8812" s="60"/>
      <c r="G8812" s="60"/>
      <c r="H8812" s="60"/>
      <c r="I8812" s="60"/>
      <c r="J8812" s="60"/>
      <c r="K8812" s="60"/>
      <c r="L8812" s="60"/>
      <c r="M8812" s="64"/>
      <c r="N8812" s="33"/>
    </row>
    <row r="8813" ht="24" customHeight="1" spans="2:14">
      <c r="B8813" s="33"/>
      <c r="C8813" s="60"/>
      <c r="D8813" s="60"/>
      <c r="E8813" s="60"/>
      <c r="F8813" s="60"/>
      <c r="G8813" s="60"/>
      <c r="H8813" s="60"/>
      <c r="I8813" s="60"/>
      <c r="J8813" s="60"/>
      <c r="K8813" s="60"/>
      <c r="L8813" s="60"/>
      <c r="M8813" s="64"/>
      <c r="N8813" s="33"/>
    </row>
    <row r="8814" ht="24" customHeight="1" spans="2:14">
      <c r="B8814" s="33"/>
      <c r="C8814" s="60"/>
      <c r="D8814" s="60"/>
      <c r="E8814" s="60"/>
      <c r="F8814" s="60"/>
      <c r="G8814" s="60"/>
      <c r="H8814" s="60"/>
      <c r="I8814" s="60"/>
      <c r="J8814" s="60"/>
      <c r="K8814" s="60"/>
      <c r="L8814" s="60"/>
      <c r="M8814" s="64"/>
      <c r="N8814" s="33"/>
    </row>
    <row r="8815" ht="24" customHeight="1" spans="2:14">
      <c r="B8815" s="33"/>
      <c r="C8815" s="60"/>
      <c r="D8815" s="60"/>
      <c r="E8815" s="60"/>
      <c r="F8815" s="60"/>
      <c r="G8815" s="60"/>
      <c r="H8815" s="60"/>
      <c r="I8815" s="60"/>
      <c r="J8815" s="60"/>
      <c r="K8815" s="60"/>
      <c r="L8815" s="60"/>
      <c r="M8815" s="64"/>
      <c r="N8815" s="33"/>
    </row>
    <row r="8816" ht="24" customHeight="1" spans="2:14">
      <c r="B8816" s="33"/>
      <c r="C8816" s="60"/>
      <c r="D8816" s="60"/>
      <c r="E8816" s="60"/>
      <c r="F8816" s="60"/>
      <c r="G8816" s="60"/>
      <c r="H8816" s="60"/>
      <c r="I8816" s="60"/>
      <c r="J8816" s="60"/>
      <c r="K8816" s="60"/>
      <c r="L8816" s="60"/>
      <c r="M8816" s="64"/>
      <c r="N8816" s="33"/>
    </row>
    <row r="8817" ht="24" customHeight="1" spans="2:14">
      <c r="B8817" s="33"/>
      <c r="C8817" s="60"/>
      <c r="D8817" s="60"/>
      <c r="E8817" s="60"/>
      <c r="F8817" s="60"/>
      <c r="G8817" s="60"/>
      <c r="H8817" s="60"/>
      <c r="I8817" s="60"/>
      <c r="J8817" s="60"/>
      <c r="K8817" s="60"/>
      <c r="L8817" s="60"/>
      <c r="M8817" s="64"/>
      <c r="N8817" s="33"/>
    </row>
    <row r="8818" ht="24" customHeight="1" spans="2:14">
      <c r="B8818" s="33"/>
      <c r="C8818" s="60"/>
      <c r="D8818" s="60"/>
      <c r="E8818" s="60"/>
      <c r="F8818" s="60"/>
      <c r="G8818" s="60"/>
      <c r="H8818" s="60"/>
      <c r="I8818" s="60"/>
      <c r="J8818" s="60"/>
      <c r="K8818" s="60"/>
      <c r="L8818" s="60"/>
      <c r="M8818" s="64"/>
      <c r="N8818" s="33"/>
    </row>
    <row r="8819" ht="24" customHeight="1" spans="2:14">
      <c r="B8819" s="33"/>
      <c r="C8819" s="60"/>
      <c r="D8819" s="60"/>
      <c r="E8819" s="60"/>
      <c r="F8819" s="60"/>
      <c r="G8819" s="60"/>
      <c r="H8819" s="60"/>
      <c r="I8819" s="60"/>
      <c r="J8819" s="60"/>
      <c r="K8819" s="60"/>
      <c r="L8819" s="60"/>
      <c r="M8819" s="64"/>
      <c r="N8819" s="33"/>
    </row>
    <row r="8820" ht="24" customHeight="1" spans="2:14">
      <c r="B8820" s="33"/>
      <c r="C8820" s="60"/>
      <c r="D8820" s="60"/>
      <c r="E8820" s="60"/>
      <c r="F8820" s="60"/>
      <c r="G8820" s="60"/>
      <c r="H8820" s="60"/>
      <c r="I8820" s="60"/>
      <c r="J8820" s="60"/>
      <c r="K8820" s="60"/>
      <c r="L8820" s="60"/>
      <c r="M8820" s="64"/>
      <c r="N8820" s="33"/>
    </row>
    <row r="8821" ht="24" customHeight="1" spans="2:14">
      <c r="B8821" s="33"/>
      <c r="C8821" s="60"/>
      <c r="D8821" s="60"/>
      <c r="E8821" s="60"/>
      <c r="F8821" s="60"/>
      <c r="G8821" s="60"/>
      <c r="H8821" s="60"/>
      <c r="I8821" s="60"/>
      <c r="J8821" s="60"/>
      <c r="K8821" s="60"/>
      <c r="L8821" s="60"/>
      <c r="M8821" s="64"/>
      <c r="N8821" s="33"/>
    </row>
    <row r="8822" ht="24" customHeight="1" spans="2:14">
      <c r="B8822" s="33"/>
      <c r="C8822" s="60"/>
      <c r="D8822" s="60"/>
      <c r="E8822" s="60"/>
      <c r="F8822" s="60"/>
      <c r="G8822" s="60"/>
      <c r="H8822" s="60"/>
      <c r="I8822" s="60"/>
      <c r="J8822" s="60"/>
      <c r="K8822" s="60"/>
      <c r="L8822" s="60"/>
      <c r="M8822" s="64"/>
      <c r="N8822" s="33"/>
    </row>
    <row r="8823" ht="24" customHeight="1" spans="2:14">
      <c r="B8823" s="33"/>
      <c r="C8823" s="60"/>
      <c r="D8823" s="60"/>
      <c r="E8823" s="60"/>
      <c r="F8823" s="60"/>
      <c r="G8823" s="60"/>
      <c r="H8823" s="60"/>
      <c r="I8823" s="60"/>
      <c r="J8823" s="60"/>
      <c r="K8823" s="60"/>
      <c r="L8823" s="60"/>
      <c r="M8823" s="64"/>
      <c r="N8823" s="33"/>
    </row>
    <row r="8824" ht="24" customHeight="1" spans="2:14">
      <c r="B8824" s="33"/>
      <c r="C8824" s="60"/>
      <c r="D8824" s="60"/>
      <c r="E8824" s="60"/>
      <c r="F8824" s="60"/>
      <c r="G8824" s="60"/>
      <c r="H8824" s="60"/>
      <c r="I8824" s="60"/>
      <c r="J8824" s="60"/>
      <c r="K8824" s="60"/>
      <c r="L8824" s="60"/>
      <c r="M8824" s="64"/>
      <c r="N8824" s="33"/>
    </row>
    <row r="8825" ht="24" customHeight="1" spans="2:14">
      <c r="B8825" s="33"/>
      <c r="C8825" s="60"/>
      <c r="D8825" s="60"/>
      <c r="E8825" s="60"/>
      <c r="F8825" s="60"/>
      <c r="G8825" s="60"/>
      <c r="H8825" s="60"/>
      <c r="I8825" s="60"/>
      <c r="J8825" s="60"/>
      <c r="K8825" s="60"/>
      <c r="L8825" s="60"/>
      <c r="M8825" s="64"/>
      <c r="N8825" s="33"/>
    </row>
    <row r="8826" ht="24" customHeight="1" spans="2:14">
      <c r="B8826" s="33"/>
      <c r="C8826" s="60"/>
      <c r="D8826" s="60"/>
      <c r="E8826" s="60"/>
      <c r="F8826" s="60"/>
      <c r="G8826" s="60"/>
      <c r="H8826" s="60"/>
      <c r="I8826" s="60"/>
      <c r="J8826" s="60"/>
      <c r="K8826" s="60"/>
      <c r="L8826" s="60"/>
      <c r="M8826" s="64"/>
      <c r="N8826" s="33"/>
    </row>
    <row r="8827" ht="24" customHeight="1" spans="2:14">
      <c r="B8827" s="33"/>
      <c r="C8827" s="60"/>
      <c r="D8827" s="60"/>
      <c r="E8827" s="60"/>
      <c r="F8827" s="60"/>
      <c r="G8827" s="60"/>
      <c r="H8827" s="60"/>
      <c r="I8827" s="60"/>
      <c r="J8827" s="60"/>
      <c r="K8827" s="60"/>
      <c r="L8827" s="60"/>
      <c r="M8827" s="64"/>
      <c r="N8827" s="33"/>
    </row>
    <row r="8828" ht="24" customHeight="1" spans="2:14">
      <c r="B8828" s="33"/>
      <c r="C8828" s="60"/>
      <c r="D8828" s="60"/>
      <c r="E8828" s="60"/>
      <c r="F8828" s="60"/>
      <c r="G8828" s="60"/>
      <c r="H8828" s="60"/>
      <c r="I8828" s="60"/>
      <c r="J8828" s="60"/>
      <c r="K8828" s="60"/>
      <c r="L8828" s="60"/>
      <c r="M8828" s="64"/>
      <c r="N8828" s="33"/>
    </row>
    <row r="8829" ht="24" customHeight="1" spans="2:14">
      <c r="B8829" s="33"/>
      <c r="C8829" s="60"/>
      <c r="D8829" s="60"/>
      <c r="E8829" s="60"/>
      <c r="F8829" s="60"/>
      <c r="G8829" s="60"/>
      <c r="H8829" s="60"/>
      <c r="I8829" s="60"/>
      <c r="J8829" s="60"/>
      <c r="K8829" s="60"/>
      <c r="L8829" s="60"/>
      <c r="M8829" s="64"/>
      <c r="N8829" s="33"/>
    </row>
    <row r="8830" ht="24" customHeight="1" spans="2:14">
      <c r="B8830" s="33"/>
      <c r="C8830" s="60"/>
      <c r="D8830" s="60"/>
      <c r="E8830" s="60"/>
      <c r="F8830" s="60"/>
      <c r="G8830" s="60"/>
      <c r="H8830" s="60"/>
      <c r="I8830" s="60"/>
      <c r="J8830" s="60"/>
      <c r="K8830" s="60"/>
      <c r="L8830" s="60"/>
      <c r="M8830" s="64"/>
      <c r="N8830" s="33"/>
    </row>
    <row r="8831" ht="24" customHeight="1" spans="2:14">
      <c r="B8831" s="33"/>
      <c r="C8831" s="60"/>
      <c r="D8831" s="60"/>
      <c r="E8831" s="60"/>
      <c r="F8831" s="60"/>
      <c r="G8831" s="60"/>
      <c r="H8831" s="60"/>
      <c r="I8831" s="60"/>
      <c r="J8831" s="60"/>
      <c r="K8831" s="60"/>
      <c r="L8831" s="60"/>
      <c r="M8831" s="64"/>
      <c r="N8831" s="33"/>
    </row>
    <row r="8832" ht="24" customHeight="1" spans="2:14">
      <c r="B8832" s="33"/>
      <c r="C8832" s="60"/>
      <c r="D8832" s="60"/>
      <c r="E8832" s="60"/>
      <c r="F8832" s="60"/>
      <c r="G8832" s="60"/>
      <c r="H8832" s="60"/>
      <c r="I8832" s="60"/>
      <c r="J8832" s="60"/>
      <c r="K8832" s="60"/>
      <c r="L8832" s="60"/>
      <c r="M8832" s="64"/>
      <c r="N8832" s="33"/>
    </row>
    <row r="8833" ht="24" customHeight="1" spans="2:14">
      <c r="B8833" s="33"/>
      <c r="C8833" s="60"/>
      <c r="D8833" s="60"/>
      <c r="E8833" s="60"/>
      <c r="F8833" s="60"/>
      <c r="G8833" s="60"/>
      <c r="H8833" s="60"/>
      <c r="I8833" s="60"/>
      <c r="J8833" s="60"/>
      <c r="K8833" s="60"/>
      <c r="L8833" s="60"/>
      <c r="M8833" s="64"/>
      <c r="N8833" s="33"/>
    </row>
    <row r="8834" ht="24" customHeight="1" spans="2:14">
      <c r="B8834" s="33"/>
      <c r="C8834" s="60"/>
      <c r="D8834" s="60"/>
      <c r="E8834" s="60"/>
      <c r="F8834" s="60"/>
      <c r="G8834" s="60"/>
      <c r="H8834" s="60"/>
      <c r="I8834" s="60"/>
      <c r="J8834" s="60"/>
      <c r="K8834" s="60"/>
      <c r="L8834" s="60"/>
      <c r="M8834" s="64"/>
      <c r="N8834" s="33"/>
    </row>
    <row r="8835" ht="24" customHeight="1" spans="2:14">
      <c r="B8835" s="33"/>
      <c r="C8835" s="60"/>
      <c r="D8835" s="60"/>
      <c r="E8835" s="60"/>
      <c r="F8835" s="60"/>
      <c r="G8835" s="60"/>
      <c r="H8835" s="60"/>
      <c r="I8835" s="60"/>
      <c r="J8835" s="60"/>
      <c r="K8835" s="60"/>
      <c r="L8835" s="60"/>
      <c r="M8835" s="64"/>
      <c r="N8835" s="33"/>
    </row>
    <row r="8836" ht="24" customHeight="1" spans="2:14">
      <c r="B8836" s="33"/>
      <c r="C8836" s="60"/>
      <c r="D8836" s="60"/>
      <c r="E8836" s="60"/>
      <c r="F8836" s="60"/>
      <c r="G8836" s="60"/>
      <c r="H8836" s="60"/>
      <c r="I8836" s="60"/>
      <c r="J8836" s="60"/>
      <c r="K8836" s="60"/>
      <c r="L8836" s="60"/>
      <c r="M8836" s="64"/>
      <c r="N8836" s="33"/>
    </row>
    <row r="8837" ht="24" customHeight="1" spans="2:14">
      <c r="B8837" s="33"/>
      <c r="C8837" s="60"/>
      <c r="D8837" s="60"/>
      <c r="E8837" s="60"/>
      <c r="F8837" s="60"/>
      <c r="G8837" s="60"/>
      <c r="H8837" s="60"/>
      <c r="I8837" s="60"/>
      <c r="J8837" s="60"/>
      <c r="K8837" s="60"/>
      <c r="L8837" s="60"/>
      <c r="M8837" s="64"/>
      <c r="N8837" s="33"/>
    </row>
    <row r="8838" ht="24" customHeight="1" spans="2:14">
      <c r="B8838" s="33"/>
      <c r="C8838" s="60"/>
      <c r="D8838" s="60"/>
      <c r="E8838" s="60"/>
      <c r="F8838" s="60"/>
      <c r="G8838" s="60"/>
      <c r="H8838" s="60"/>
      <c r="I8838" s="60"/>
      <c r="J8838" s="60"/>
      <c r="K8838" s="60"/>
      <c r="L8838" s="60"/>
      <c r="M8838" s="64"/>
      <c r="N8838" s="33"/>
    </row>
    <row r="8839" ht="24" customHeight="1" spans="2:14">
      <c r="B8839" s="33"/>
      <c r="C8839" s="60"/>
      <c r="D8839" s="60"/>
      <c r="E8839" s="60"/>
      <c r="F8839" s="60"/>
      <c r="G8839" s="60"/>
      <c r="H8839" s="60"/>
      <c r="I8839" s="60"/>
      <c r="J8839" s="60"/>
      <c r="K8839" s="60"/>
      <c r="L8839" s="60"/>
      <c r="M8839" s="64"/>
      <c r="N8839" s="33"/>
    </row>
    <row r="8840" ht="24" customHeight="1" spans="2:14">
      <c r="B8840" s="33"/>
      <c r="C8840" s="60"/>
      <c r="D8840" s="60"/>
      <c r="E8840" s="60"/>
      <c r="F8840" s="60"/>
      <c r="G8840" s="60"/>
      <c r="H8840" s="60"/>
      <c r="I8840" s="60"/>
      <c r="J8840" s="60"/>
      <c r="K8840" s="60"/>
      <c r="L8840" s="60"/>
      <c r="M8840" s="64"/>
      <c r="N8840" s="33"/>
    </row>
    <row r="8841" ht="24" customHeight="1" spans="2:14">
      <c r="B8841" s="33"/>
      <c r="C8841" s="60"/>
      <c r="D8841" s="60"/>
      <c r="E8841" s="60"/>
      <c r="F8841" s="60"/>
      <c r="G8841" s="60"/>
      <c r="H8841" s="60"/>
      <c r="I8841" s="60"/>
      <c r="J8841" s="60"/>
      <c r="K8841" s="60"/>
      <c r="L8841" s="60"/>
      <c r="M8841" s="64"/>
      <c r="N8841" s="33"/>
    </row>
    <row r="8842" ht="24" customHeight="1" spans="2:14">
      <c r="B8842" s="33"/>
      <c r="C8842" s="60"/>
      <c r="D8842" s="60"/>
      <c r="E8842" s="60"/>
      <c r="F8842" s="60"/>
      <c r="G8842" s="60"/>
      <c r="H8842" s="60"/>
      <c r="I8842" s="60"/>
      <c r="J8842" s="60"/>
      <c r="K8842" s="60"/>
      <c r="L8842" s="60"/>
      <c r="M8842" s="64"/>
      <c r="N8842" s="33"/>
    </row>
    <row r="8843" ht="24" customHeight="1" spans="2:14">
      <c r="B8843" s="33"/>
      <c r="C8843" s="60"/>
      <c r="D8843" s="60"/>
      <c r="E8843" s="60"/>
      <c r="F8843" s="60"/>
      <c r="G8843" s="60"/>
      <c r="H8843" s="60"/>
      <c r="I8843" s="60"/>
      <c r="J8843" s="60"/>
      <c r="K8843" s="60"/>
      <c r="L8843" s="60"/>
      <c r="M8843" s="64"/>
      <c r="N8843" s="33"/>
    </row>
    <row r="8844" ht="24" customHeight="1" spans="2:14">
      <c r="B8844" s="33"/>
      <c r="C8844" s="60"/>
      <c r="D8844" s="60"/>
      <c r="E8844" s="60"/>
      <c r="F8844" s="60"/>
      <c r="G8844" s="60"/>
      <c r="H8844" s="60"/>
      <c r="I8844" s="60"/>
      <c r="J8844" s="60"/>
      <c r="K8844" s="60"/>
      <c r="L8844" s="60"/>
      <c r="M8844" s="64"/>
      <c r="N8844" s="33"/>
    </row>
    <row r="8845" ht="24" customHeight="1" spans="2:14">
      <c r="B8845" s="33"/>
      <c r="C8845" s="60"/>
      <c r="D8845" s="60"/>
      <c r="E8845" s="60"/>
      <c r="F8845" s="60"/>
      <c r="G8845" s="60"/>
      <c r="H8845" s="60"/>
      <c r="I8845" s="60"/>
      <c r="J8845" s="60"/>
      <c r="K8845" s="60"/>
      <c r="L8845" s="60"/>
      <c r="M8845" s="64"/>
      <c r="N8845" s="33"/>
    </row>
    <row r="8846" ht="24" customHeight="1" spans="2:14">
      <c r="B8846" s="33"/>
      <c r="C8846" s="60"/>
      <c r="D8846" s="60"/>
      <c r="E8846" s="60"/>
      <c r="F8846" s="60"/>
      <c r="G8846" s="60"/>
      <c r="H8846" s="60"/>
      <c r="I8846" s="60"/>
      <c r="J8846" s="60"/>
      <c r="K8846" s="60"/>
      <c r="L8846" s="60"/>
      <c r="M8846" s="64"/>
      <c r="N8846" s="33"/>
    </row>
    <row r="8847" ht="24" customHeight="1" spans="2:14">
      <c r="B8847" s="33"/>
      <c r="C8847" s="60"/>
      <c r="D8847" s="60"/>
      <c r="E8847" s="60"/>
      <c r="F8847" s="60"/>
      <c r="G8847" s="60"/>
      <c r="H8847" s="60"/>
      <c r="I8847" s="60"/>
      <c r="J8847" s="60"/>
      <c r="K8847" s="60"/>
      <c r="L8847" s="60"/>
      <c r="M8847" s="64"/>
      <c r="N8847" s="33"/>
    </row>
    <row r="8848" ht="24" customHeight="1" spans="2:14">
      <c r="B8848" s="33"/>
      <c r="C8848" s="60"/>
      <c r="D8848" s="60"/>
      <c r="E8848" s="60"/>
      <c r="F8848" s="60"/>
      <c r="G8848" s="60"/>
      <c r="H8848" s="60"/>
      <c r="I8848" s="60"/>
      <c r="J8848" s="60"/>
      <c r="K8848" s="60"/>
      <c r="L8848" s="60"/>
      <c r="M8848" s="64"/>
      <c r="N8848" s="33"/>
    </row>
    <row r="8849" ht="24" customHeight="1" spans="2:14">
      <c r="B8849" s="33"/>
      <c r="C8849" s="60"/>
      <c r="D8849" s="60"/>
      <c r="E8849" s="60"/>
      <c r="F8849" s="60"/>
      <c r="G8849" s="60"/>
      <c r="H8849" s="60"/>
      <c r="I8849" s="60"/>
      <c r="J8849" s="60"/>
      <c r="K8849" s="60"/>
      <c r="L8849" s="60"/>
      <c r="M8849" s="64"/>
      <c r="N8849" s="33"/>
    </row>
    <row r="8850" ht="24" customHeight="1" spans="2:14">
      <c r="B8850" s="33"/>
      <c r="C8850" s="60"/>
      <c r="D8850" s="60"/>
      <c r="E8850" s="60"/>
      <c r="F8850" s="60"/>
      <c r="G8850" s="60"/>
      <c r="H8850" s="60"/>
      <c r="I8850" s="60"/>
      <c r="J8850" s="60"/>
      <c r="K8850" s="60"/>
      <c r="L8850" s="60"/>
      <c r="M8850" s="64"/>
      <c r="N8850" s="33"/>
    </row>
    <row r="8851" ht="24" customHeight="1" spans="2:14">
      <c r="B8851" s="33"/>
      <c r="C8851" s="60"/>
      <c r="D8851" s="60"/>
      <c r="E8851" s="60"/>
      <c r="F8851" s="60"/>
      <c r="G8851" s="60"/>
      <c r="H8851" s="60"/>
      <c r="I8851" s="60"/>
      <c r="J8851" s="60"/>
      <c r="K8851" s="60"/>
      <c r="L8851" s="60"/>
      <c r="M8851" s="64"/>
      <c r="N8851" s="33"/>
    </row>
    <row r="8852" ht="24" customHeight="1" spans="2:14">
      <c r="B8852" s="33"/>
      <c r="C8852" s="60"/>
      <c r="D8852" s="60"/>
      <c r="E8852" s="60"/>
      <c r="F8852" s="60"/>
      <c r="G8852" s="60"/>
      <c r="H8852" s="60"/>
      <c r="I8852" s="60"/>
      <c r="J8852" s="60"/>
      <c r="K8852" s="60"/>
      <c r="L8852" s="60"/>
      <c r="M8852" s="64"/>
      <c r="N8852" s="33"/>
    </row>
    <row r="8853" ht="24" customHeight="1" spans="2:14">
      <c r="B8853" s="33"/>
      <c r="C8853" s="60"/>
      <c r="D8853" s="60"/>
      <c r="E8853" s="60"/>
      <c r="F8853" s="60"/>
      <c r="G8853" s="60"/>
      <c r="H8853" s="60"/>
      <c r="I8853" s="60"/>
      <c r="J8853" s="60"/>
      <c r="K8853" s="60"/>
      <c r="L8853" s="60"/>
      <c r="M8853" s="64"/>
      <c r="N8853" s="33"/>
    </row>
    <row r="8854" ht="24" customHeight="1" spans="2:14">
      <c r="B8854" s="33"/>
      <c r="C8854" s="60"/>
      <c r="D8854" s="60"/>
      <c r="E8854" s="60"/>
      <c r="F8854" s="60"/>
      <c r="G8854" s="60"/>
      <c r="H8854" s="60"/>
      <c r="I8854" s="60"/>
      <c r="J8854" s="60"/>
      <c r="K8854" s="60"/>
      <c r="L8854" s="60"/>
      <c r="M8854" s="64"/>
      <c r="N8854" s="33"/>
    </row>
    <row r="8855" ht="24" customHeight="1" spans="2:14">
      <c r="B8855" s="33"/>
      <c r="C8855" s="60"/>
      <c r="D8855" s="60"/>
      <c r="E8855" s="60"/>
      <c r="F8855" s="60"/>
      <c r="G8855" s="60"/>
      <c r="H8855" s="60"/>
      <c r="I8855" s="60"/>
      <c r="J8855" s="60"/>
      <c r="K8855" s="60"/>
      <c r="L8855" s="60"/>
      <c r="M8855" s="64"/>
      <c r="N8855" s="33"/>
    </row>
    <row r="8856" ht="24" customHeight="1" spans="2:14">
      <c r="B8856" s="33"/>
      <c r="C8856" s="60"/>
      <c r="D8856" s="60"/>
      <c r="E8856" s="60"/>
      <c r="F8856" s="60"/>
      <c r="G8856" s="60"/>
      <c r="H8856" s="60"/>
      <c r="I8856" s="60"/>
      <c r="J8856" s="60"/>
      <c r="K8856" s="60"/>
      <c r="L8856" s="60"/>
      <c r="M8856" s="64"/>
      <c r="N8856" s="33"/>
    </row>
    <row r="8857" ht="24" customHeight="1" spans="2:14">
      <c r="B8857" s="33"/>
      <c r="C8857" s="60"/>
      <c r="D8857" s="60"/>
      <c r="E8857" s="60"/>
      <c r="F8857" s="60"/>
      <c r="G8857" s="60"/>
      <c r="H8857" s="60"/>
      <c r="I8857" s="60"/>
      <c r="J8857" s="60"/>
      <c r="K8857" s="60"/>
      <c r="L8857" s="60"/>
      <c r="M8857" s="64"/>
      <c r="N8857" s="33"/>
    </row>
    <row r="8858" ht="24" customHeight="1" spans="2:14">
      <c r="B8858" s="33"/>
      <c r="C8858" s="60"/>
      <c r="D8858" s="60"/>
      <c r="E8858" s="60"/>
      <c r="F8858" s="60"/>
      <c r="G8858" s="60"/>
      <c r="H8858" s="60"/>
      <c r="I8858" s="60"/>
      <c r="J8858" s="60"/>
      <c r="K8858" s="60"/>
      <c r="L8858" s="60"/>
      <c r="M8858" s="64"/>
      <c r="N8858" s="33"/>
    </row>
    <row r="8859" ht="24" customHeight="1" spans="2:14">
      <c r="B8859" s="33"/>
      <c r="C8859" s="60"/>
      <c r="D8859" s="60"/>
      <c r="E8859" s="60"/>
      <c r="F8859" s="60"/>
      <c r="G8859" s="60"/>
      <c r="H8859" s="60"/>
      <c r="I8859" s="60"/>
      <c r="J8859" s="60"/>
      <c r="K8859" s="60"/>
      <c r="L8859" s="60"/>
      <c r="M8859" s="64"/>
      <c r="N8859" s="33"/>
    </row>
    <row r="8860" ht="24" customHeight="1" spans="2:14">
      <c r="B8860" s="33"/>
      <c r="C8860" s="60"/>
      <c r="D8860" s="60"/>
      <c r="E8860" s="60"/>
      <c r="F8860" s="60"/>
      <c r="G8860" s="60"/>
      <c r="H8860" s="60"/>
      <c r="I8860" s="60"/>
      <c r="J8860" s="60"/>
      <c r="K8860" s="60"/>
      <c r="L8860" s="60"/>
      <c r="M8860" s="64"/>
      <c r="N8860" s="33"/>
    </row>
    <row r="8861" ht="24" customHeight="1" spans="2:14">
      <c r="B8861" s="33"/>
      <c r="C8861" s="60"/>
      <c r="D8861" s="60"/>
      <c r="E8861" s="60"/>
      <c r="F8861" s="60"/>
      <c r="G8861" s="60"/>
      <c r="H8861" s="60"/>
      <c r="I8861" s="60"/>
      <c r="J8861" s="60"/>
      <c r="K8861" s="60"/>
      <c r="L8861" s="60"/>
      <c r="M8861" s="64"/>
      <c r="N8861" s="33"/>
    </row>
    <row r="8862" ht="24" customHeight="1" spans="2:14">
      <c r="B8862" s="33"/>
      <c r="C8862" s="60"/>
      <c r="D8862" s="60"/>
      <c r="E8862" s="60"/>
      <c r="F8862" s="60"/>
      <c r="G8862" s="60"/>
      <c r="H8862" s="60"/>
      <c r="I8862" s="60"/>
      <c r="J8862" s="60"/>
      <c r="K8862" s="60"/>
      <c r="L8862" s="60"/>
      <c r="M8862" s="64"/>
      <c r="N8862" s="33"/>
    </row>
    <row r="8863" ht="24" customHeight="1" spans="2:14">
      <c r="B8863" s="33"/>
      <c r="C8863" s="60"/>
      <c r="D8863" s="60"/>
      <c r="E8863" s="60"/>
      <c r="F8863" s="60"/>
      <c r="G8863" s="60"/>
      <c r="H8863" s="60"/>
      <c r="I8863" s="60"/>
      <c r="J8863" s="60"/>
      <c r="K8863" s="60"/>
      <c r="L8863" s="60"/>
      <c r="M8863" s="64"/>
      <c r="N8863" s="33"/>
    </row>
    <row r="8864" ht="24" customHeight="1" spans="2:14">
      <c r="B8864" s="33"/>
      <c r="C8864" s="60"/>
      <c r="D8864" s="60"/>
      <c r="E8864" s="60"/>
      <c r="F8864" s="60"/>
      <c r="G8864" s="60"/>
      <c r="H8864" s="60"/>
      <c r="I8864" s="60"/>
      <c r="J8864" s="60"/>
      <c r="K8864" s="60"/>
      <c r="L8864" s="60"/>
      <c r="M8864" s="64"/>
      <c r="N8864" s="33"/>
    </row>
    <row r="8865" ht="24" customHeight="1" spans="2:14">
      <c r="B8865" s="33"/>
      <c r="C8865" s="60"/>
      <c r="D8865" s="60"/>
      <c r="E8865" s="60"/>
      <c r="F8865" s="60"/>
      <c r="G8865" s="60"/>
      <c r="H8865" s="60"/>
      <c r="I8865" s="60"/>
      <c r="J8865" s="60"/>
      <c r="K8865" s="60"/>
      <c r="L8865" s="60"/>
      <c r="M8865" s="64"/>
      <c r="N8865" s="33"/>
    </row>
    <row r="8866" ht="24" customHeight="1" spans="2:14">
      <c r="B8866" s="33"/>
      <c r="C8866" s="60"/>
      <c r="D8866" s="60"/>
      <c r="E8866" s="60"/>
      <c r="F8866" s="60"/>
      <c r="G8866" s="60"/>
      <c r="H8866" s="60"/>
      <c r="I8866" s="60"/>
      <c r="J8866" s="60"/>
      <c r="K8866" s="60"/>
      <c r="L8866" s="60"/>
      <c r="M8866" s="64"/>
      <c r="N8866" s="33"/>
    </row>
    <row r="8867" ht="24" customHeight="1" spans="2:14">
      <c r="B8867" s="33"/>
      <c r="C8867" s="60"/>
      <c r="D8867" s="60"/>
      <c r="E8867" s="60"/>
      <c r="F8867" s="60"/>
      <c r="G8867" s="60"/>
      <c r="H8867" s="60"/>
      <c r="I8867" s="60"/>
      <c r="J8867" s="60"/>
      <c r="K8867" s="60"/>
      <c r="L8867" s="60"/>
      <c r="M8867" s="64"/>
      <c r="N8867" s="33"/>
    </row>
    <row r="8868" ht="24" customHeight="1" spans="2:14">
      <c r="B8868" s="33"/>
      <c r="C8868" s="60"/>
      <c r="D8868" s="60"/>
      <c r="E8868" s="60"/>
      <c r="F8868" s="60"/>
      <c r="G8868" s="60"/>
      <c r="H8868" s="60"/>
      <c r="I8868" s="60"/>
      <c r="J8868" s="60"/>
      <c r="K8868" s="60"/>
      <c r="L8868" s="60"/>
      <c r="M8868" s="64"/>
      <c r="N8868" s="33"/>
    </row>
    <row r="8869" ht="24" customHeight="1" spans="2:14">
      <c r="B8869" s="33"/>
      <c r="C8869" s="60"/>
      <c r="D8869" s="60"/>
      <c r="E8869" s="60"/>
      <c r="F8869" s="60"/>
      <c r="G8869" s="60"/>
      <c r="H8869" s="60"/>
      <c r="I8869" s="60"/>
      <c r="J8869" s="60"/>
      <c r="K8869" s="60"/>
      <c r="L8869" s="60"/>
      <c r="M8869" s="64"/>
      <c r="N8869" s="33"/>
    </row>
    <row r="8870" ht="24" customHeight="1" spans="2:14">
      <c r="B8870" s="33"/>
      <c r="C8870" s="60"/>
      <c r="D8870" s="60"/>
      <c r="E8870" s="60"/>
      <c r="F8870" s="60"/>
      <c r="G8870" s="60"/>
      <c r="H8870" s="60"/>
      <c r="I8870" s="60"/>
      <c r="J8870" s="60"/>
      <c r="K8870" s="60"/>
      <c r="L8870" s="60"/>
      <c r="M8870" s="64"/>
      <c r="N8870" s="33"/>
    </row>
    <row r="8871" ht="24" customHeight="1" spans="2:14">
      <c r="B8871" s="33"/>
      <c r="C8871" s="60"/>
      <c r="D8871" s="60"/>
      <c r="E8871" s="60"/>
      <c r="F8871" s="60"/>
      <c r="G8871" s="60"/>
      <c r="H8871" s="60"/>
      <c r="I8871" s="60"/>
      <c r="J8871" s="60"/>
      <c r="K8871" s="60"/>
      <c r="L8871" s="60"/>
      <c r="M8871" s="64"/>
      <c r="N8871" s="33"/>
    </row>
    <row r="8872" ht="24" customHeight="1" spans="2:14">
      <c r="B8872" s="33"/>
      <c r="C8872" s="60"/>
      <c r="D8872" s="60"/>
      <c r="E8872" s="60"/>
      <c r="F8872" s="60"/>
      <c r="G8872" s="60"/>
      <c r="H8872" s="60"/>
      <c r="I8872" s="60"/>
      <c r="J8872" s="60"/>
      <c r="K8872" s="60"/>
      <c r="L8872" s="60"/>
      <c r="M8872" s="64"/>
      <c r="N8872" s="33"/>
    </row>
    <row r="8873" ht="24" customHeight="1" spans="2:14">
      <c r="B8873" s="33"/>
      <c r="C8873" s="60"/>
      <c r="D8873" s="60"/>
      <c r="E8873" s="60"/>
      <c r="F8873" s="60"/>
      <c r="G8873" s="60"/>
      <c r="H8873" s="60"/>
      <c r="I8873" s="60"/>
      <c r="J8873" s="60"/>
      <c r="K8873" s="60"/>
      <c r="L8873" s="60"/>
      <c r="M8873" s="64"/>
      <c r="N8873" s="33"/>
    </row>
    <row r="8874" ht="24" customHeight="1" spans="2:14">
      <c r="B8874" s="33"/>
      <c r="C8874" s="60"/>
      <c r="D8874" s="60"/>
      <c r="E8874" s="60"/>
      <c r="F8874" s="60"/>
      <c r="G8874" s="60"/>
      <c r="H8874" s="60"/>
      <c r="I8874" s="60"/>
      <c r="J8874" s="60"/>
      <c r="K8874" s="60"/>
      <c r="L8874" s="60"/>
      <c r="M8874" s="64"/>
      <c r="N8874" s="33"/>
    </row>
    <row r="8875" ht="24" customHeight="1" spans="2:14">
      <c r="B8875" s="33"/>
      <c r="C8875" s="60"/>
      <c r="D8875" s="60"/>
      <c r="E8875" s="60"/>
      <c r="F8875" s="60"/>
      <c r="G8875" s="60"/>
      <c r="H8875" s="60"/>
      <c r="I8875" s="60"/>
      <c r="J8875" s="60"/>
      <c r="K8875" s="60"/>
      <c r="L8875" s="60"/>
      <c r="M8875" s="64"/>
      <c r="N8875" s="33"/>
    </row>
    <row r="8876" ht="24" customHeight="1" spans="2:14">
      <c r="B8876" s="33"/>
      <c r="C8876" s="60"/>
      <c r="D8876" s="60"/>
      <c r="E8876" s="60"/>
      <c r="F8876" s="60"/>
      <c r="G8876" s="60"/>
      <c r="H8876" s="60"/>
      <c r="I8876" s="60"/>
      <c r="J8876" s="60"/>
      <c r="K8876" s="60"/>
      <c r="L8876" s="60"/>
      <c r="M8876" s="64"/>
      <c r="N8876" s="33"/>
    </row>
    <row r="8877" ht="24" customHeight="1" spans="2:14">
      <c r="B8877" s="33"/>
      <c r="C8877" s="60"/>
      <c r="D8877" s="60"/>
      <c r="E8877" s="60"/>
      <c r="F8877" s="60"/>
      <c r="G8877" s="60"/>
      <c r="H8877" s="60"/>
      <c r="I8877" s="60"/>
      <c r="J8877" s="60"/>
      <c r="K8877" s="60"/>
      <c r="L8877" s="60"/>
      <c r="M8877" s="64"/>
      <c r="N8877" s="33"/>
    </row>
    <row r="8878" ht="24" customHeight="1" spans="2:14">
      <c r="B8878" s="33"/>
      <c r="C8878" s="60"/>
      <c r="D8878" s="60"/>
      <c r="E8878" s="60"/>
      <c r="F8878" s="60"/>
      <c r="G8878" s="60"/>
      <c r="H8878" s="60"/>
      <c r="I8878" s="60"/>
      <c r="J8878" s="60"/>
      <c r="K8878" s="60"/>
      <c r="L8878" s="60"/>
      <c r="M8878" s="64"/>
      <c r="N8878" s="33"/>
    </row>
    <row r="8879" ht="24" customHeight="1" spans="2:14">
      <c r="B8879" s="33"/>
      <c r="C8879" s="60"/>
      <c r="D8879" s="60"/>
      <c r="E8879" s="60"/>
      <c r="F8879" s="60"/>
      <c r="G8879" s="60"/>
      <c r="H8879" s="60"/>
      <c r="I8879" s="60"/>
      <c r="J8879" s="60"/>
      <c r="K8879" s="60"/>
      <c r="L8879" s="60"/>
      <c r="M8879" s="64"/>
      <c r="N8879" s="33"/>
    </row>
    <row r="8880" ht="24" customHeight="1" spans="2:14">
      <c r="B8880" s="33"/>
      <c r="C8880" s="60"/>
      <c r="D8880" s="60"/>
      <c r="E8880" s="60"/>
      <c r="F8880" s="60"/>
      <c r="G8880" s="60"/>
      <c r="H8880" s="60"/>
      <c r="I8880" s="60"/>
      <c r="J8880" s="60"/>
      <c r="K8880" s="60"/>
      <c r="L8880" s="60"/>
      <c r="M8880" s="64"/>
      <c r="N8880" s="33"/>
    </row>
    <row r="8881" ht="24" customHeight="1" spans="2:14">
      <c r="B8881" s="33"/>
      <c r="C8881" s="60"/>
      <c r="D8881" s="60"/>
      <c r="E8881" s="60"/>
      <c r="F8881" s="60"/>
      <c r="G8881" s="60"/>
      <c r="H8881" s="60"/>
      <c r="I8881" s="60"/>
      <c r="J8881" s="60"/>
      <c r="K8881" s="60"/>
      <c r="L8881" s="60"/>
      <c r="M8881" s="64"/>
      <c r="N8881" s="33"/>
    </row>
    <row r="8882" ht="24" customHeight="1" spans="2:14">
      <c r="B8882" s="33"/>
      <c r="C8882" s="60"/>
      <c r="D8882" s="60"/>
      <c r="E8882" s="60"/>
      <c r="F8882" s="60"/>
      <c r="G8882" s="60"/>
      <c r="H8882" s="60"/>
      <c r="I8882" s="60"/>
      <c r="J8882" s="60"/>
      <c r="K8882" s="60"/>
      <c r="L8882" s="60"/>
      <c r="M8882" s="64"/>
      <c r="N8882" s="33"/>
    </row>
    <row r="8883" ht="24" customHeight="1" spans="2:14">
      <c r="B8883" s="33"/>
      <c r="C8883" s="60"/>
      <c r="D8883" s="60"/>
      <c r="E8883" s="60"/>
      <c r="F8883" s="60"/>
      <c r="G8883" s="60"/>
      <c r="H8883" s="60"/>
      <c r="I8883" s="60"/>
      <c r="J8883" s="60"/>
      <c r="K8883" s="60"/>
      <c r="L8883" s="60"/>
      <c r="M8883" s="64"/>
      <c r="N8883" s="33"/>
    </row>
    <row r="8884" ht="24" customHeight="1" spans="2:14">
      <c r="B8884" s="33"/>
      <c r="C8884" s="60"/>
      <c r="D8884" s="60"/>
      <c r="E8884" s="60"/>
      <c r="F8884" s="60"/>
      <c r="G8884" s="60"/>
      <c r="H8884" s="60"/>
      <c r="I8884" s="60"/>
      <c r="J8884" s="60"/>
      <c r="K8884" s="60"/>
      <c r="L8884" s="60"/>
      <c r="M8884" s="64"/>
      <c r="N8884" s="33"/>
    </row>
    <row r="8885" ht="24" customHeight="1" spans="2:14">
      <c r="B8885" s="33"/>
      <c r="C8885" s="60"/>
      <c r="D8885" s="60"/>
      <c r="E8885" s="60"/>
      <c r="F8885" s="60"/>
      <c r="G8885" s="60"/>
      <c r="H8885" s="60"/>
      <c r="I8885" s="60"/>
      <c r="J8885" s="60"/>
      <c r="K8885" s="60"/>
      <c r="L8885" s="60"/>
      <c r="M8885" s="64"/>
      <c r="N8885" s="33"/>
    </row>
    <row r="8886" ht="24" customHeight="1" spans="2:14">
      <c r="B8886" s="33"/>
      <c r="C8886" s="60"/>
      <c r="D8886" s="60"/>
      <c r="E8886" s="60"/>
      <c r="F8886" s="60"/>
      <c r="G8886" s="60"/>
      <c r="H8886" s="60"/>
      <c r="I8886" s="60"/>
      <c r="J8886" s="60"/>
      <c r="K8886" s="60"/>
      <c r="L8886" s="60"/>
      <c r="M8886" s="64"/>
      <c r="N8886" s="33"/>
    </row>
    <row r="8887" ht="24" customHeight="1" spans="2:14">
      <c r="B8887" s="33"/>
      <c r="C8887" s="60"/>
      <c r="D8887" s="60"/>
      <c r="E8887" s="60"/>
      <c r="F8887" s="60"/>
      <c r="G8887" s="60"/>
      <c r="H8887" s="60"/>
      <c r="I8887" s="60"/>
      <c r="J8887" s="60"/>
      <c r="K8887" s="60"/>
      <c r="L8887" s="60"/>
      <c r="M8887" s="64"/>
      <c r="N8887" s="33"/>
    </row>
    <row r="8888" ht="24" customHeight="1" spans="2:14">
      <c r="B8888" s="33"/>
      <c r="C8888" s="60"/>
      <c r="D8888" s="60"/>
      <c r="E8888" s="60"/>
      <c r="F8888" s="60"/>
      <c r="G8888" s="60"/>
      <c r="H8888" s="60"/>
      <c r="I8888" s="60"/>
      <c r="J8888" s="60"/>
      <c r="K8888" s="60"/>
      <c r="L8888" s="60"/>
      <c r="M8888" s="64"/>
      <c r="N8888" s="33"/>
    </row>
    <row r="8889" ht="24" customHeight="1" spans="2:14">
      <c r="B8889" s="33"/>
      <c r="C8889" s="60"/>
      <c r="D8889" s="60"/>
      <c r="E8889" s="60"/>
      <c r="F8889" s="60"/>
      <c r="G8889" s="60"/>
      <c r="H8889" s="60"/>
      <c r="I8889" s="60"/>
      <c r="J8889" s="60"/>
      <c r="K8889" s="60"/>
      <c r="L8889" s="60"/>
      <c r="M8889" s="64"/>
      <c r="N8889" s="33"/>
    </row>
    <row r="8890" ht="24" customHeight="1" spans="2:14">
      <c r="B8890" s="33"/>
      <c r="C8890" s="60"/>
      <c r="D8890" s="60"/>
      <c r="E8890" s="60"/>
      <c r="F8890" s="60"/>
      <c r="G8890" s="60"/>
      <c r="H8890" s="60"/>
      <c r="I8890" s="60"/>
      <c r="J8890" s="60"/>
      <c r="K8890" s="60"/>
      <c r="L8890" s="60"/>
      <c r="M8890" s="64"/>
      <c r="N8890" s="33"/>
    </row>
    <row r="8891" ht="24" customHeight="1" spans="2:14">
      <c r="B8891" s="33"/>
      <c r="C8891" s="60"/>
      <c r="D8891" s="60"/>
      <c r="E8891" s="60"/>
      <c r="F8891" s="60"/>
      <c r="G8891" s="60"/>
      <c r="H8891" s="60"/>
      <c r="I8891" s="60"/>
      <c r="J8891" s="60"/>
      <c r="K8891" s="60"/>
      <c r="L8891" s="60"/>
      <c r="M8891" s="64"/>
      <c r="N8891" s="33"/>
    </row>
    <row r="8892" ht="24" customHeight="1" spans="2:14">
      <c r="B8892" s="33"/>
      <c r="C8892" s="60"/>
      <c r="D8892" s="60"/>
      <c r="E8892" s="60"/>
      <c r="F8892" s="60"/>
      <c r="G8892" s="60"/>
      <c r="H8892" s="60"/>
      <c r="I8892" s="60"/>
      <c r="J8892" s="60"/>
      <c r="K8892" s="60"/>
      <c r="L8892" s="60"/>
      <c r="M8892" s="64"/>
      <c r="N8892" s="33"/>
    </row>
    <row r="8893" ht="24" customHeight="1" spans="2:14">
      <c r="B8893" s="33"/>
      <c r="C8893" s="60"/>
      <c r="D8893" s="60"/>
      <c r="E8893" s="60"/>
      <c r="F8893" s="60"/>
      <c r="G8893" s="60"/>
      <c r="H8893" s="60"/>
      <c r="I8893" s="60"/>
      <c r="J8893" s="60"/>
      <c r="K8893" s="60"/>
      <c r="L8893" s="60"/>
      <c r="M8893" s="64"/>
      <c r="N8893" s="33"/>
    </row>
    <row r="8894" ht="24" customHeight="1" spans="2:14">
      <c r="B8894" s="33"/>
      <c r="C8894" s="60"/>
      <c r="D8894" s="60"/>
      <c r="E8894" s="60"/>
      <c r="F8894" s="60"/>
      <c r="G8894" s="60"/>
      <c r="H8894" s="60"/>
      <c r="I8894" s="60"/>
      <c r="J8894" s="60"/>
      <c r="K8894" s="60"/>
      <c r="L8894" s="60"/>
      <c r="M8894" s="64"/>
      <c r="N8894" s="33"/>
    </row>
    <row r="8895" ht="24" customHeight="1" spans="2:14">
      <c r="B8895" s="33"/>
      <c r="C8895" s="60"/>
      <c r="D8895" s="60"/>
      <c r="E8895" s="60"/>
      <c r="F8895" s="60"/>
      <c r="G8895" s="60"/>
      <c r="H8895" s="60"/>
      <c r="I8895" s="60"/>
      <c r="J8895" s="60"/>
      <c r="K8895" s="60"/>
      <c r="L8895" s="60"/>
      <c r="M8895" s="64"/>
      <c r="N8895" s="33"/>
    </row>
    <row r="8896" ht="24" customHeight="1" spans="2:14">
      <c r="B8896" s="33"/>
      <c r="C8896" s="60"/>
      <c r="D8896" s="60"/>
      <c r="E8896" s="60"/>
      <c r="F8896" s="60"/>
      <c r="G8896" s="60"/>
      <c r="H8896" s="60"/>
      <c r="I8896" s="60"/>
      <c r="J8896" s="60"/>
      <c r="K8896" s="60"/>
      <c r="L8896" s="60"/>
      <c r="M8896" s="64"/>
      <c r="N8896" s="33"/>
    </row>
    <row r="8897" ht="24" customHeight="1" spans="2:14">
      <c r="B8897" s="33"/>
      <c r="C8897" s="60"/>
      <c r="D8897" s="60"/>
      <c r="E8897" s="60"/>
      <c r="F8897" s="60"/>
      <c r="G8897" s="60"/>
      <c r="H8897" s="60"/>
      <c r="I8897" s="60"/>
      <c r="J8897" s="60"/>
      <c r="K8897" s="60"/>
      <c r="L8897" s="60"/>
      <c r="M8897" s="64"/>
      <c r="N8897" s="33"/>
    </row>
    <row r="8898" ht="24" customHeight="1" spans="2:14">
      <c r="B8898" s="33"/>
      <c r="C8898" s="60"/>
      <c r="D8898" s="60"/>
      <c r="E8898" s="60"/>
      <c r="F8898" s="60"/>
      <c r="G8898" s="60"/>
      <c r="H8898" s="60"/>
      <c r="I8898" s="60"/>
      <c r="J8898" s="60"/>
      <c r="K8898" s="60"/>
      <c r="L8898" s="60"/>
      <c r="M8898" s="64"/>
      <c r="N8898" s="33"/>
    </row>
    <row r="8899" ht="24" customHeight="1" spans="2:14">
      <c r="B8899" s="33"/>
      <c r="C8899" s="60"/>
      <c r="D8899" s="60"/>
      <c r="E8899" s="60"/>
      <c r="F8899" s="60"/>
      <c r="G8899" s="60"/>
      <c r="H8899" s="60"/>
      <c r="I8899" s="60"/>
      <c r="J8899" s="60"/>
      <c r="K8899" s="60"/>
      <c r="L8899" s="60"/>
      <c r="M8899" s="64"/>
      <c r="N8899" s="33"/>
    </row>
    <row r="8900" ht="24" customHeight="1" spans="2:14">
      <c r="B8900" s="33"/>
      <c r="C8900" s="60"/>
      <c r="D8900" s="60"/>
      <c r="E8900" s="60"/>
      <c r="F8900" s="60"/>
      <c r="G8900" s="60"/>
      <c r="H8900" s="60"/>
      <c r="I8900" s="60"/>
      <c r="J8900" s="60"/>
      <c r="K8900" s="60"/>
      <c r="L8900" s="60"/>
      <c r="M8900" s="64"/>
      <c r="N8900" s="33"/>
    </row>
    <row r="8901" ht="24" customHeight="1" spans="2:14">
      <c r="B8901" s="33"/>
      <c r="C8901" s="60"/>
      <c r="D8901" s="60"/>
      <c r="E8901" s="60"/>
      <c r="F8901" s="60"/>
      <c r="G8901" s="60"/>
      <c r="H8901" s="60"/>
      <c r="I8901" s="60"/>
      <c r="J8901" s="60"/>
      <c r="K8901" s="60"/>
      <c r="L8901" s="60"/>
      <c r="M8901" s="64"/>
      <c r="N8901" s="33"/>
    </row>
    <row r="8902" ht="24" customHeight="1" spans="2:14">
      <c r="B8902" s="33"/>
      <c r="C8902" s="60"/>
      <c r="D8902" s="60"/>
      <c r="E8902" s="60"/>
      <c r="F8902" s="60"/>
      <c r="G8902" s="60"/>
      <c r="H8902" s="60"/>
      <c r="I8902" s="60"/>
      <c r="J8902" s="60"/>
      <c r="K8902" s="60"/>
      <c r="L8902" s="60"/>
      <c r="M8902" s="64"/>
      <c r="N8902" s="33"/>
    </row>
    <row r="8903" ht="24" customHeight="1" spans="2:14">
      <c r="B8903" s="33"/>
      <c r="C8903" s="60"/>
      <c r="D8903" s="60"/>
      <c r="E8903" s="60"/>
      <c r="F8903" s="60"/>
      <c r="G8903" s="60"/>
      <c r="H8903" s="60"/>
      <c r="I8903" s="60"/>
      <c r="J8903" s="60"/>
      <c r="K8903" s="60"/>
      <c r="L8903" s="60"/>
      <c r="M8903" s="64"/>
      <c r="N8903" s="33"/>
    </row>
    <row r="8904" ht="24" customHeight="1" spans="2:14">
      <c r="B8904" s="33"/>
      <c r="C8904" s="60"/>
      <c r="D8904" s="60"/>
      <c r="E8904" s="60"/>
      <c r="F8904" s="60"/>
      <c r="G8904" s="60"/>
      <c r="H8904" s="60"/>
      <c r="I8904" s="60"/>
      <c r="J8904" s="60"/>
      <c r="K8904" s="60"/>
      <c r="L8904" s="60"/>
      <c r="M8904" s="64"/>
      <c r="N8904" s="33"/>
    </row>
    <row r="8905" ht="24" customHeight="1" spans="2:14">
      <c r="B8905" s="33"/>
      <c r="C8905" s="60"/>
      <c r="D8905" s="60"/>
      <c r="E8905" s="60"/>
      <c r="F8905" s="60"/>
      <c r="G8905" s="60"/>
      <c r="H8905" s="60"/>
      <c r="I8905" s="60"/>
      <c r="J8905" s="60"/>
      <c r="K8905" s="60"/>
      <c r="L8905" s="60"/>
      <c r="M8905" s="64"/>
      <c r="N8905" s="33"/>
    </row>
    <row r="8906" ht="24" customHeight="1" spans="2:14">
      <c r="B8906" s="33"/>
      <c r="C8906" s="60"/>
      <c r="D8906" s="60"/>
      <c r="E8906" s="60"/>
      <c r="F8906" s="60"/>
      <c r="G8906" s="60"/>
      <c r="H8906" s="60"/>
      <c r="I8906" s="60"/>
      <c r="J8906" s="60"/>
      <c r="K8906" s="60"/>
      <c r="L8906" s="60"/>
      <c r="M8906" s="64"/>
      <c r="N8906" s="33"/>
    </row>
    <row r="8907" ht="24" customHeight="1" spans="2:14">
      <c r="B8907" s="33"/>
      <c r="C8907" s="60"/>
      <c r="D8907" s="60"/>
      <c r="E8907" s="60"/>
      <c r="F8907" s="60"/>
      <c r="G8907" s="60"/>
      <c r="H8907" s="60"/>
      <c r="I8907" s="60"/>
      <c r="J8907" s="60"/>
      <c r="K8907" s="60"/>
      <c r="L8907" s="60"/>
      <c r="M8907" s="64"/>
      <c r="N8907" s="33"/>
    </row>
    <row r="8908" ht="24" customHeight="1" spans="2:14">
      <c r="B8908" s="33"/>
      <c r="C8908" s="60"/>
      <c r="D8908" s="60"/>
      <c r="E8908" s="60"/>
      <c r="F8908" s="60"/>
      <c r="G8908" s="60"/>
      <c r="H8908" s="60"/>
      <c r="I8908" s="60"/>
      <c r="J8908" s="60"/>
      <c r="K8908" s="60"/>
      <c r="L8908" s="60"/>
      <c r="M8908" s="64"/>
      <c r="N8908" s="33"/>
    </row>
    <row r="8909" ht="24" customHeight="1" spans="2:14">
      <c r="B8909" s="33"/>
      <c r="C8909" s="60"/>
      <c r="D8909" s="60"/>
      <c r="E8909" s="60"/>
      <c r="F8909" s="60"/>
      <c r="G8909" s="60"/>
      <c r="H8909" s="60"/>
      <c r="I8909" s="60"/>
      <c r="J8909" s="60"/>
      <c r="K8909" s="60"/>
      <c r="L8909" s="60"/>
      <c r="M8909" s="64"/>
      <c r="N8909" s="33"/>
    </row>
    <row r="8910" ht="24" customHeight="1" spans="2:14">
      <c r="B8910" s="33"/>
      <c r="C8910" s="60"/>
      <c r="D8910" s="60"/>
      <c r="E8910" s="60"/>
      <c r="F8910" s="60"/>
      <c r="G8910" s="60"/>
      <c r="H8910" s="60"/>
      <c r="I8910" s="60"/>
      <c r="J8910" s="60"/>
      <c r="K8910" s="60"/>
      <c r="L8910" s="60"/>
      <c r="M8910" s="64"/>
      <c r="N8910" s="33"/>
    </row>
    <row r="8911" ht="24" customHeight="1" spans="2:14">
      <c r="B8911" s="33"/>
      <c r="C8911" s="60"/>
      <c r="D8911" s="60"/>
      <c r="E8911" s="60"/>
      <c r="F8911" s="60"/>
      <c r="G8911" s="60"/>
      <c r="H8911" s="60"/>
      <c r="I8911" s="60"/>
      <c r="J8911" s="60"/>
      <c r="K8911" s="60"/>
      <c r="L8911" s="60"/>
      <c r="M8911" s="64"/>
      <c r="N8911" s="33"/>
    </row>
    <row r="8912" ht="24" customHeight="1" spans="2:14">
      <c r="B8912" s="33"/>
      <c r="C8912" s="60"/>
      <c r="D8912" s="60"/>
      <c r="E8912" s="60"/>
      <c r="F8912" s="60"/>
      <c r="G8912" s="60"/>
      <c r="H8912" s="60"/>
      <c r="I8912" s="60"/>
      <c r="J8912" s="60"/>
      <c r="K8912" s="60"/>
      <c r="L8912" s="60"/>
      <c r="M8912" s="64"/>
      <c r="N8912" s="33"/>
    </row>
    <row r="8913" ht="24" customHeight="1" spans="2:14">
      <c r="B8913" s="33"/>
      <c r="C8913" s="60"/>
      <c r="D8913" s="60"/>
      <c r="E8913" s="60"/>
      <c r="F8913" s="60"/>
      <c r="G8913" s="60"/>
      <c r="H8913" s="60"/>
      <c r="I8913" s="60"/>
      <c r="J8913" s="60"/>
      <c r="K8913" s="60"/>
      <c r="L8913" s="60"/>
      <c r="M8913" s="64"/>
      <c r="N8913" s="33"/>
    </row>
    <row r="8914" ht="24" customHeight="1" spans="2:14">
      <c r="B8914" s="33"/>
      <c r="C8914" s="60"/>
      <c r="D8914" s="60"/>
      <c r="E8914" s="60"/>
      <c r="F8914" s="60"/>
      <c r="G8914" s="60"/>
      <c r="H8914" s="60"/>
      <c r="I8914" s="60"/>
      <c r="J8914" s="60"/>
      <c r="K8914" s="60"/>
      <c r="L8914" s="60"/>
      <c r="M8914" s="64"/>
      <c r="N8914" s="33"/>
    </row>
    <row r="8915" ht="24" customHeight="1" spans="2:14">
      <c r="B8915" s="33"/>
      <c r="C8915" s="60"/>
      <c r="D8915" s="60"/>
      <c r="E8915" s="60"/>
      <c r="F8915" s="60"/>
      <c r="G8915" s="60"/>
      <c r="H8915" s="60"/>
      <c r="I8915" s="60"/>
      <c r="J8915" s="60"/>
      <c r="K8915" s="60"/>
      <c r="L8915" s="60"/>
      <c r="M8915" s="64"/>
      <c r="N8915" s="33"/>
    </row>
    <row r="8916" ht="24" customHeight="1" spans="2:14">
      <c r="B8916" s="33"/>
      <c r="C8916" s="60"/>
      <c r="D8916" s="60"/>
      <c r="E8916" s="60"/>
      <c r="F8916" s="60"/>
      <c r="G8916" s="60"/>
      <c r="H8916" s="60"/>
      <c r="I8916" s="60"/>
      <c r="J8916" s="60"/>
      <c r="K8916" s="60"/>
      <c r="L8916" s="60"/>
      <c r="M8916" s="64"/>
      <c r="N8916" s="33"/>
    </row>
    <row r="8917" ht="24" customHeight="1" spans="2:14">
      <c r="B8917" s="33"/>
      <c r="C8917" s="60"/>
      <c r="D8917" s="60"/>
      <c r="E8917" s="60"/>
      <c r="F8917" s="60"/>
      <c r="G8917" s="60"/>
      <c r="H8917" s="60"/>
      <c r="I8917" s="60"/>
      <c r="J8917" s="60"/>
      <c r="K8917" s="60"/>
      <c r="L8917" s="60"/>
      <c r="M8917" s="64"/>
      <c r="N8917" s="33"/>
    </row>
    <row r="8918" ht="24" customHeight="1" spans="2:14">
      <c r="B8918" s="33"/>
      <c r="C8918" s="60"/>
      <c r="D8918" s="60"/>
      <c r="E8918" s="60"/>
      <c r="F8918" s="60"/>
      <c r="G8918" s="60"/>
      <c r="H8918" s="60"/>
      <c r="I8918" s="60"/>
      <c r="J8918" s="60"/>
      <c r="K8918" s="60"/>
      <c r="L8918" s="60"/>
      <c r="M8918" s="64"/>
      <c r="N8918" s="33"/>
    </row>
    <row r="8919" ht="24" customHeight="1" spans="2:14">
      <c r="B8919" s="33"/>
      <c r="C8919" s="60"/>
      <c r="D8919" s="60"/>
      <c r="E8919" s="60"/>
      <c r="F8919" s="60"/>
      <c r="G8919" s="60"/>
      <c r="H8919" s="60"/>
      <c r="I8919" s="60"/>
      <c r="J8919" s="60"/>
      <c r="K8919" s="60"/>
      <c r="L8919" s="60"/>
      <c r="M8919" s="64"/>
      <c r="N8919" s="33"/>
    </row>
    <row r="8920" ht="24" customHeight="1" spans="2:14">
      <c r="B8920" s="33"/>
      <c r="C8920" s="60"/>
      <c r="D8920" s="60"/>
      <c r="E8920" s="60"/>
      <c r="F8920" s="60"/>
      <c r="G8920" s="60"/>
      <c r="H8920" s="60"/>
      <c r="I8920" s="60"/>
      <c r="J8920" s="60"/>
      <c r="K8920" s="60"/>
      <c r="L8920" s="60"/>
      <c r="M8920" s="64"/>
      <c r="N8920" s="33"/>
    </row>
    <row r="8921" ht="24" customHeight="1" spans="2:14">
      <c r="B8921" s="33"/>
      <c r="C8921" s="60"/>
      <c r="D8921" s="60"/>
      <c r="E8921" s="60"/>
      <c r="F8921" s="60"/>
      <c r="G8921" s="60"/>
      <c r="H8921" s="60"/>
      <c r="I8921" s="60"/>
      <c r="J8921" s="60"/>
      <c r="K8921" s="60"/>
      <c r="L8921" s="60"/>
      <c r="M8921" s="64"/>
      <c r="N8921" s="33"/>
    </row>
    <row r="8922" ht="24" customHeight="1" spans="2:14">
      <c r="B8922" s="33"/>
      <c r="C8922" s="60"/>
      <c r="D8922" s="60"/>
      <c r="E8922" s="60"/>
      <c r="F8922" s="60"/>
      <c r="G8922" s="60"/>
      <c r="H8922" s="60"/>
      <c r="I8922" s="60"/>
      <c r="J8922" s="60"/>
      <c r="K8922" s="60"/>
      <c r="L8922" s="60"/>
      <c r="M8922" s="64"/>
      <c r="N8922" s="33"/>
    </row>
    <row r="8923" ht="24" customHeight="1" spans="2:14">
      <c r="B8923" s="33"/>
      <c r="C8923" s="60"/>
      <c r="D8923" s="60"/>
      <c r="E8923" s="60"/>
      <c r="F8923" s="60"/>
      <c r="G8923" s="60"/>
      <c r="H8923" s="60"/>
      <c r="I8923" s="60"/>
      <c r="J8923" s="60"/>
      <c r="K8923" s="60"/>
      <c r="L8923" s="60"/>
      <c r="M8923" s="64"/>
      <c r="N8923" s="33"/>
    </row>
    <row r="8924" ht="24" customHeight="1" spans="2:14">
      <c r="B8924" s="33"/>
      <c r="C8924" s="60"/>
      <c r="D8924" s="60"/>
      <c r="E8924" s="60"/>
      <c r="F8924" s="60"/>
      <c r="G8924" s="60"/>
      <c r="H8924" s="60"/>
      <c r="I8924" s="60"/>
      <c r="J8924" s="60"/>
      <c r="K8924" s="60"/>
      <c r="L8924" s="60"/>
      <c r="M8924" s="64"/>
      <c r="N8924" s="33"/>
    </row>
    <row r="8925" ht="24" customHeight="1" spans="2:14">
      <c r="B8925" s="33"/>
      <c r="C8925" s="60"/>
      <c r="D8925" s="60"/>
      <c r="E8925" s="60"/>
      <c r="F8925" s="60"/>
      <c r="G8925" s="60"/>
      <c r="H8925" s="60"/>
      <c r="I8925" s="60"/>
      <c r="J8925" s="60"/>
      <c r="K8925" s="60"/>
      <c r="L8925" s="60"/>
      <c r="M8925" s="64"/>
      <c r="N8925" s="33"/>
    </row>
    <row r="8926" ht="24" customHeight="1" spans="2:14">
      <c r="B8926" s="33"/>
      <c r="C8926" s="60"/>
      <c r="D8926" s="60"/>
      <c r="E8926" s="60"/>
      <c r="F8926" s="60"/>
      <c r="G8926" s="60"/>
      <c r="H8926" s="60"/>
      <c r="I8926" s="60"/>
      <c r="J8926" s="60"/>
      <c r="K8926" s="60"/>
      <c r="L8926" s="60"/>
      <c r="M8926" s="64"/>
      <c r="N8926" s="33"/>
    </row>
    <row r="8927" ht="24" customHeight="1" spans="2:14">
      <c r="B8927" s="33"/>
      <c r="C8927" s="60"/>
      <c r="D8927" s="60"/>
      <c r="E8927" s="60"/>
      <c r="F8927" s="60"/>
      <c r="G8927" s="60"/>
      <c r="H8927" s="60"/>
      <c r="I8927" s="60"/>
      <c r="J8927" s="60"/>
      <c r="K8927" s="60"/>
      <c r="L8927" s="60"/>
      <c r="M8927" s="64"/>
      <c r="N8927" s="33"/>
    </row>
    <row r="8928" ht="24" customHeight="1" spans="2:14">
      <c r="B8928" s="33"/>
      <c r="C8928" s="60"/>
      <c r="D8928" s="60"/>
      <c r="E8928" s="60"/>
      <c r="F8928" s="60"/>
      <c r="G8928" s="60"/>
      <c r="H8928" s="60"/>
      <c r="I8928" s="60"/>
      <c r="J8928" s="60"/>
      <c r="K8928" s="60"/>
      <c r="L8928" s="60"/>
      <c r="M8928" s="64"/>
      <c r="N8928" s="33"/>
    </row>
    <row r="8929" ht="24" customHeight="1" spans="2:14">
      <c r="B8929" s="33"/>
      <c r="C8929" s="60"/>
      <c r="D8929" s="60"/>
      <c r="E8929" s="60"/>
      <c r="F8929" s="60"/>
      <c r="G8929" s="60"/>
      <c r="H8929" s="60"/>
      <c r="I8929" s="60"/>
      <c r="J8929" s="60"/>
      <c r="K8929" s="60"/>
      <c r="L8929" s="60"/>
      <c r="M8929" s="64"/>
      <c r="N8929" s="33"/>
    </row>
    <row r="8930" ht="24" customHeight="1" spans="2:14">
      <c r="B8930" s="33"/>
      <c r="C8930" s="60"/>
      <c r="D8930" s="60"/>
      <c r="E8930" s="60"/>
      <c r="F8930" s="60"/>
      <c r="G8930" s="60"/>
      <c r="H8930" s="60"/>
      <c r="I8930" s="60"/>
      <c r="J8930" s="60"/>
      <c r="K8930" s="60"/>
      <c r="L8930" s="60"/>
      <c r="M8930" s="64"/>
      <c r="N8930" s="33"/>
    </row>
    <row r="8931" ht="24" customHeight="1" spans="2:14">
      <c r="B8931" s="33"/>
      <c r="C8931" s="60"/>
      <c r="D8931" s="60"/>
      <c r="E8931" s="60"/>
      <c r="F8931" s="60"/>
      <c r="G8931" s="60"/>
      <c r="H8931" s="60"/>
      <c r="I8931" s="60"/>
      <c r="J8931" s="60"/>
      <c r="K8931" s="60"/>
      <c r="L8931" s="60"/>
      <c r="M8931" s="64"/>
      <c r="N8931" s="33"/>
    </row>
    <row r="8932" ht="24" customHeight="1" spans="2:14">
      <c r="B8932" s="33"/>
      <c r="C8932" s="60"/>
      <c r="D8932" s="60"/>
      <c r="E8932" s="60"/>
      <c r="F8932" s="60"/>
      <c r="G8932" s="60"/>
      <c r="H8932" s="60"/>
      <c r="I8932" s="60"/>
      <c r="J8932" s="60"/>
      <c r="K8932" s="60"/>
      <c r="L8932" s="60"/>
      <c r="M8932" s="64"/>
      <c r="N8932" s="33"/>
    </row>
    <row r="8933" ht="24" customHeight="1" spans="2:14">
      <c r="B8933" s="33"/>
      <c r="C8933" s="60"/>
      <c r="D8933" s="60"/>
      <c r="E8933" s="60"/>
      <c r="F8933" s="60"/>
      <c r="G8933" s="60"/>
      <c r="H8933" s="60"/>
      <c r="I8933" s="60"/>
      <c r="J8933" s="60"/>
      <c r="K8933" s="60"/>
      <c r="L8933" s="60"/>
      <c r="M8933" s="64"/>
      <c r="N8933" s="33"/>
    </row>
    <row r="8934" ht="24" customHeight="1" spans="2:14">
      <c r="B8934" s="33"/>
      <c r="C8934" s="60"/>
      <c r="D8934" s="60"/>
      <c r="E8934" s="60"/>
      <c r="F8934" s="60"/>
      <c r="G8934" s="60"/>
      <c r="H8934" s="60"/>
      <c r="I8934" s="60"/>
      <c r="J8934" s="60"/>
      <c r="K8934" s="60"/>
      <c r="L8934" s="60"/>
      <c r="M8934" s="64"/>
      <c r="N8934" s="33"/>
    </row>
    <row r="8935" ht="24" customHeight="1" spans="2:14">
      <c r="B8935" s="33"/>
      <c r="C8935" s="60"/>
      <c r="D8935" s="60"/>
      <c r="E8935" s="60"/>
      <c r="F8935" s="60"/>
      <c r="G8935" s="60"/>
      <c r="H8935" s="60"/>
      <c r="I8935" s="60"/>
      <c r="J8935" s="60"/>
      <c r="K8935" s="60"/>
      <c r="L8935" s="60"/>
      <c r="M8935" s="64"/>
      <c r="N8935" s="33"/>
    </row>
    <row r="8936" ht="24" customHeight="1" spans="2:14">
      <c r="B8936" s="33"/>
      <c r="C8936" s="60"/>
      <c r="D8936" s="60"/>
      <c r="E8936" s="60"/>
      <c r="F8936" s="60"/>
      <c r="G8936" s="60"/>
      <c r="H8936" s="60"/>
      <c r="I8936" s="60"/>
      <c r="J8936" s="60"/>
      <c r="K8936" s="60"/>
      <c r="L8936" s="60"/>
      <c r="M8936" s="64"/>
      <c r="N8936" s="33"/>
    </row>
    <row r="8937" ht="24" customHeight="1" spans="2:14">
      <c r="B8937" s="33"/>
      <c r="C8937" s="60"/>
      <c r="D8937" s="60"/>
      <c r="E8937" s="60"/>
      <c r="F8937" s="60"/>
      <c r="G8937" s="60"/>
      <c r="H8937" s="60"/>
      <c r="I8937" s="60"/>
      <c r="J8937" s="60"/>
      <c r="K8937" s="60"/>
      <c r="L8937" s="60"/>
      <c r="M8937" s="64"/>
      <c r="N8937" s="33"/>
    </row>
    <row r="8938" ht="24" customHeight="1" spans="2:14">
      <c r="B8938" s="33"/>
      <c r="C8938" s="60"/>
      <c r="D8938" s="60"/>
      <c r="E8938" s="60"/>
      <c r="F8938" s="60"/>
      <c r="G8938" s="60"/>
      <c r="H8938" s="60"/>
      <c r="I8938" s="60"/>
      <c r="J8938" s="60"/>
      <c r="K8938" s="60"/>
      <c r="L8938" s="60"/>
      <c r="M8938" s="64"/>
      <c r="N8938" s="33"/>
    </row>
    <row r="8939" ht="24" customHeight="1" spans="2:14">
      <c r="B8939" s="33"/>
      <c r="C8939" s="60"/>
      <c r="D8939" s="60"/>
      <c r="E8939" s="60"/>
      <c r="F8939" s="60"/>
      <c r="G8939" s="60"/>
      <c r="H8939" s="60"/>
      <c r="I8939" s="60"/>
      <c r="J8939" s="60"/>
      <c r="K8939" s="60"/>
      <c r="L8939" s="60"/>
      <c r="M8939" s="64"/>
      <c r="N8939" s="33"/>
    </row>
    <row r="8940" ht="24" customHeight="1" spans="2:14">
      <c r="B8940" s="33"/>
      <c r="C8940" s="60"/>
      <c r="D8940" s="60"/>
      <c r="E8940" s="60"/>
      <c r="F8940" s="60"/>
      <c r="G8940" s="60"/>
      <c r="H8940" s="60"/>
      <c r="I8940" s="60"/>
      <c r="J8940" s="60"/>
      <c r="K8940" s="60"/>
      <c r="L8940" s="60"/>
      <c r="M8940" s="64"/>
      <c r="N8940" s="33"/>
    </row>
    <row r="8941" ht="24" customHeight="1" spans="2:14">
      <c r="B8941" s="33"/>
      <c r="C8941" s="60"/>
      <c r="D8941" s="60"/>
      <c r="E8941" s="60"/>
      <c r="F8941" s="60"/>
      <c r="G8941" s="60"/>
      <c r="H8941" s="60"/>
      <c r="I8941" s="60"/>
      <c r="J8941" s="60"/>
      <c r="K8941" s="60"/>
      <c r="L8941" s="60"/>
      <c r="M8941" s="64"/>
      <c r="N8941" s="33"/>
    </row>
    <row r="8942" ht="24" customHeight="1" spans="2:14">
      <c r="B8942" s="33"/>
      <c r="C8942" s="60"/>
      <c r="D8942" s="60"/>
      <c r="E8942" s="60"/>
      <c r="F8942" s="60"/>
      <c r="G8942" s="60"/>
      <c r="H8942" s="60"/>
      <c r="I8942" s="60"/>
      <c r="J8942" s="60"/>
      <c r="K8942" s="60"/>
      <c r="L8942" s="60"/>
      <c r="M8942" s="64"/>
      <c r="N8942" s="33"/>
    </row>
    <row r="8943" ht="24" customHeight="1" spans="2:14">
      <c r="B8943" s="33"/>
      <c r="C8943" s="60"/>
      <c r="D8943" s="60"/>
      <c r="E8943" s="60"/>
      <c r="F8943" s="60"/>
      <c r="G8943" s="60"/>
      <c r="H8943" s="60"/>
      <c r="I8943" s="60"/>
      <c r="J8943" s="60"/>
      <c r="K8943" s="60"/>
      <c r="L8943" s="60"/>
      <c r="M8943" s="64"/>
      <c r="N8943" s="33"/>
    </row>
    <row r="8944" ht="24" customHeight="1" spans="2:14">
      <c r="B8944" s="33"/>
      <c r="C8944" s="60"/>
      <c r="D8944" s="60"/>
      <c r="E8944" s="60"/>
      <c r="F8944" s="60"/>
      <c r="G8944" s="60"/>
      <c r="H8944" s="60"/>
      <c r="I8944" s="60"/>
      <c r="J8944" s="60"/>
      <c r="K8944" s="60"/>
      <c r="L8944" s="60"/>
      <c r="M8944" s="64"/>
      <c r="N8944" s="33"/>
    </row>
    <row r="8945" ht="24" customHeight="1" spans="2:14">
      <c r="B8945" s="33"/>
      <c r="C8945" s="60"/>
      <c r="D8945" s="60"/>
      <c r="E8945" s="60"/>
      <c r="F8945" s="60"/>
      <c r="G8945" s="60"/>
      <c r="H8945" s="60"/>
      <c r="I8945" s="60"/>
      <c r="J8945" s="60"/>
      <c r="K8945" s="60"/>
      <c r="L8945" s="60"/>
      <c r="M8945" s="64"/>
      <c r="N8945" s="33"/>
    </row>
    <row r="8946" ht="24" customHeight="1" spans="2:14">
      <c r="B8946" s="33"/>
      <c r="C8946" s="60"/>
      <c r="D8946" s="60"/>
      <c r="E8946" s="60"/>
      <c r="F8946" s="60"/>
      <c r="G8946" s="60"/>
      <c r="H8946" s="60"/>
      <c r="I8946" s="60"/>
      <c r="J8946" s="60"/>
      <c r="K8946" s="60"/>
      <c r="L8946" s="60"/>
      <c r="M8946" s="64"/>
      <c r="N8946" s="33"/>
    </row>
    <row r="8947" ht="24" customHeight="1" spans="2:14">
      <c r="B8947" s="33"/>
      <c r="C8947" s="60"/>
      <c r="D8947" s="60"/>
      <c r="E8947" s="60"/>
      <c r="F8947" s="60"/>
      <c r="G8947" s="60"/>
      <c r="H8947" s="60"/>
      <c r="I8947" s="60"/>
      <c r="J8947" s="60"/>
      <c r="K8947" s="60"/>
      <c r="L8947" s="60"/>
      <c r="M8947" s="64"/>
      <c r="N8947" s="33"/>
    </row>
    <row r="8948" ht="24" customHeight="1" spans="2:14">
      <c r="B8948" s="33"/>
      <c r="C8948" s="60"/>
      <c r="D8948" s="60"/>
      <c r="E8948" s="60"/>
      <c r="F8948" s="60"/>
      <c r="G8948" s="60"/>
      <c r="H8948" s="60"/>
      <c r="I8948" s="60"/>
      <c r="J8948" s="60"/>
      <c r="K8948" s="60"/>
      <c r="L8948" s="60"/>
      <c r="M8948" s="64"/>
      <c r="N8948" s="33"/>
    </row>
    <row r="8949" ht="24" customHeight="1" spans="2:14">
      <c r="B8949" s="33"/>
      <c r="C8949" s="60"/>
      <c r="D8949" s="60"/>
      <c r="E8949" s="60"/>
      <c r="F8949" s="60"/>
      <c r="G8949" s="60"/>
      <c r="H8949" s="60"/>
      <c r="I8949" s="60"/>
      <c r="J8949" s="60"/>
      <c r="K8949" s="60"/>
      <c r="L8949" s="60"/>
      <c r="M8949" s="64"/>
      <c r="N8949" s="33"/>
    </row>
    <row r="8950" ht="24" customHeight="1" spans="2:14">
      <c r="B8950" s="33"/>
      <c r="C8950" s="60"/>
      <c r="D8950" s="60"/>
      <c r="E8950" s="60"/>
      <c r="F8950" s="60"/>
      <c r="G8950" s="60"/>
      <c r="H8950" s="60"/>
      <c r="I8950" s="60"/>
      <c r="J8950" s="60"/>
      <c r="K8950" s="60"/>
      <c r="L8950" s="60"/>
      <c r="M8950" s="64"/>
      <c r="N8950" s="33"/>
    </row>
    <row r="8951" ht="24" customHeight="1" spans="2:14">
      <c r="B8951" s="33"/>
      <c r="C8951" s="60"/>
      <c r="D8951" s="60"/>
      <c r="E8951" s="60"/>
      <c r="F8951" s="60"/>
      <c r="G8951" s="60"/>
      <c r="H8951" s="60"/>
      <c r="I8951" s="60"/>
      <c r="J8951" s="60"/>
      <c r="K8951" s="60"/>
      <c r="L8951" s="60"/>
      <c r="M8951" s="64"/>
      <c r="N8951" s="33"/>
    </row>
    <row r="8952" ht="24" customHeight="1" spans="2:14">
      <c r="B8952" s="33"/>
      <c r="C8952" s="60"/>
      <c r="D8952" s="60"/>
      <c r="E8952" s="60"/>
      <c r="F8952" s="60"/>
      <c r="G8952" s="60"/>
      <c r="H8952" s="60"/>
      <c r="I8952" s="60"/>
      <c r="J8952" s="60"/>
      <c r="K8952" s="60"/>
      <c r="L8952" s="60"/>
      <c r="M8952" s="64"/>
      <c r="N8952" s="33"/>
    </row>
    <row r="8953" ht="24" customHeight="1" spans="2:14">
      <c r="B8953" s="33"/>
      <c r="C8953" s="60"/>
      <c r="D8953" s="60"/>
      <c r="E8953" s="60"/>
      <c r="F8953" s="60"/>
      <c r="G8953" s="60"/>
      <c r="H8953" s="60"/>
      <c r="I8953" s="60"/>
      <c r="J8953" s="60"/>
      <c r="K8953" s="60"/>
      <c r="L8953" s="60"/>
      <c r="M8953" s="64"/>
      <c r="N8953" s="33"/>
    </row>
    <row r="8954" ht="24" customHeight="1" spans="2:14">
      <c r="B8954" s="33"/>
      <c r="C8954" s="60"/>
      <c r="D8954" s="60"/>
      <c r="E8954" s="60"/>
      <c r="F8954" s="60"/>
      <c r="G8954" s="60"/>
      <c r="H8954" s="60"/>
      <c r="I8954" s="60"/>
      <c r="J8954" s="60"/>
      <c r="K8954" s="60"/>
      <c r="L8954" s="60"/>
      <c r="M8954" s="64"/>
      <c r="N8954" s="33"/>
    </row>
    <row r="8955" ht="24" customHeight="1" spans="2:14">
      <c r="B8955" s="33"/>
      <c r="C8955" s="60"/>
      <c r="D8955" s="60"/>
      <c r="E8955" s="60"/>
      <c r="F8955" s="60"/>
      <c r="G8955" s="60"/>
      <c r="H8955" s="60"/>
      <c r="I8955" s="60"/>
      <c r="J8955" s="60"/>
      <c r="K8955" s="60"/>
      <c r="L8955" s="60"/>
      <c r="M8955" s="64"/>
      <c r="N8955" s="33"/>
    </row>
    <row r="8956" ht="24" customHeight="1" spans="2:14">
      <c r="B8956" s="33"/>
      <c r="C8956" s="60"/>
      <c r="D8956" s="60"/>
      <c r="E8956" s="60"/>
      <c r="F8956" s="60"/>
      <c r="G8956" s="60"/>
      <c r="H8956" s="60"/>
      <c r="I8956" s="60"/>
      <c r="J8956" s="60"/>
      <c r="K8956" s="60"/>
      <c r="L8956" s="60"/>
      <c r="M8956" s="64"/>
      <c r="N8956" s="33"/>
    </row>
    <row r="8957" ht="24" customHeight="1" spans="2:14">
      <c r="B8957" s="33"/>
      <c r="C8957" s="60"/>
      <c r="D8957" s="60"/>
      <c r="E8957" s="60"/>
      <c r="F8957" s="60"/>
      <c r="G8957" s="60"/>
      <c r="H8957" s="60"/>
      <c r="I8957" s="60"/>
      <c r="J8957" s="60"/>
      <c r="K8957" s="60"/>
      <c r="L8957" s="60"/>
      <c r="M8957" s="64"/>
      <c r="N8957" s="33"/>
    </row>
    <row r="8958" ht="24" customHeight="1" spans="2:14">
      <c r="B8958" s="33"/>
      <c r="C8958" s="60"/>
      <c r="D8958" s="60"/>
      <c r="E8958" s="60"/>
      <c r="F8958" s="60"/>
      <c r="G8958" s="60"/>
      <c r="H8958" s="60"/>
      <c r="I8958" s="60"/>
      <c r="J8958" s="60"/>
      <c r="K8958" s="60"/>
      <c r="L8958" s="60"/>
      <c r="M8958" s="64"/>
      <c r="N8958" s="33"/>
    </row>
    <row r="8959" ht="24" customHeight="1" spans="2:14">
      <c r="B8959" s="33"/>
      <c r="C8959" s="60"/>
      <c r="D8959" s="60"/>
      <c r="E8959" s="60"/>
      <c r="F8959" s="60"/>
      <c r="G8959" s="60"/>
      <c r="H8959" s="60"/>
      <c r="I8959" s="60"/>
      <c r="J8959" s="60"/>
      <c r="K8959" s="60"/>
      <c r="L8959" s="60"/>
      <c r="M8959" s="64"/>
      <c r="N8959" s="33"/>
    </row>
    <row r="8960" ht="24" customHeight="1" spans="2:14">
      <c r="B8960" s="33"/>
      <c r="C8960" s="60"/>
      <c r="D8960" s="60"/>
      <c r="E8960" s="60"/>
      <c r="F8960" s="60"/>
      <c r="G8960" s="60"/>
      <c r="H8960" s="60"/>
      <c r="I8960" s="60"/>
      <c r="J8960" s="60"/>
      <c r="K8960" s="60"/>
      <c r="L8960" s="60"/>
      <c r="M8960" s="64"/>
      <c r="N8960" s="33"/>
    </row>
    <row r="8961" ht="24" customHeight="1" spans="2:14">
      <c r="B8961" s="33"/>
      <c r="C8961" s="60"/>
      <c r="D8961" s="60"/>
      <c r="E8961" s="60"/>
      <c r="F8961" s="60"/>
      <c r="G8961" s="60"/>
      <c r="H8961" s="60"/>
      <c r="I8961" s="60"/>
      <c r="J8961" s="60"/>
      <c r="K8961" s="60"/>
      <c r="L8961" s="60"/>
      <c r="M8961" s="64"/>
      <c r="N8961" s="33"/>
    </row>
    <row r="8962" ht="24" customHeight="1" spans="2:14">
      <c r="B8962" s="33"/>
      <c r="C8962" s="60"/>
      <c r="D8962" s="60"/>
      <c r="E8962" s="60"/>
      <c r="F8962" s="60"/>
      <c r="G8962" s="60"/>
      <c r="H8962" s="60"/>
      <c r="I8962" s="60"/>
      <c r="J8962" s="60"/>
      <c r="K8962" s="60"/>
      <c r="L8962" s="60"/>
      <c r="M8962" s="64"/>
      <c r="N8962" s="33"/>
    </row>
    <row r="8963" ht="24" customHeight="1" spans="2:14">
      <c r="B8963" s="33"/>
      <c r="C8963" s="60"/>
      <c r="D8963" s="60"/>
      <c r="E8963" s="60"/>
      <c r="F8963" s="60"/>
      <c r="G8963" s="60"/>
      <c r="H8963" s="60"/>
      <c r="I8963" s="60"/>
      <c r="J8963" s="60"/>
      <c r="K8963" s="60"/>
      <c r="L8963" s="60"/>
      <c r="M8963" s="64"/>
      <c r="N8963" s="33"/>
    </row>
    <row r="8964" ht="24" customHeight="1" spans="2:14">
      <c r="B8964" s="33"/>
      <c r="C8964" s="60"/>
      <c r="D8964" s="60"/>
      <c r="E8964" s="60"/>
      <c r="F8964" s="60"/>
      <c r="G8964" s="60"/>
      <c r="H8964" s="60"/>
      <c r="I8964" s="60"/>
      <c r="J8964" s="60"/>
      <c r="K8964" s="60"/>
      <c r="L8964" s="60"/>
      <c r="M8964" s="64"/>
      <c r="N8964" s="33"/>
    </row>
    <row r="8965" ht="24" customHeight="1" spans="2:14">
      <c r="B8965" s="33"/>
      <c r="C8965" s="60"/>
      <c r="D8965" s="60"/>
      <c r="E8965" s="60"/>
      <c r="F8965" s="60"/>
      <c r="G8965" s="60"/>
      <c r="H8965" s="60"/>
      <c r="I8965" s="60"/>
      <c r="J8965" s="60"/>
      <c r="K8965" s="60"/>
      <c r="L8965" s="60"/>
      <c r="M8965" s="64"/>
      <c r="N8965" s="33"/>
    </row>
    <row r="8966" ht="24" customHeight="1" spans="2:14">
      <c r="B8966" s="33"/>
      <c r="C8966" s="60"/>
      <c r="D8966" s="60"/>
      <c r="E8966" s="60"/>
      <c r="F8966" s="60"/>
      <c r="G8966" s="60"/>
      <c r="H8966" s="60"/>
      <c r="I8966" s="60"/>
      <c r="J8966" s="60"/>
      <c r="K8966" s="60"/>
      <c r="L8966" s="60"/>
      <c r="M8966" s="64"/>
      <c r="N8966" s="33"/>
    </row>
    <row r="8967" ht="24" customHeight="1" spans="2:14">
      <c r="B8967" s="33"/>
      <c r="C8967" s="60"/>
      <c r="D8967" s="60"/>
      <c r="E8967" s="60"/>
      <c r="F8967" s="60"/>
      <c r="G8967" s="60"/>
      <c r="H8967" s="60"/>
      <c r="I8967" s="60"/>
      <c r="J8967" s="60"/>
      <c r="K8967" s="60"/>
      <c r="L8967" s="60"/>
      <c r="M8967" s="64"/>
      <c r="N8967" s="33"/>
    </row>
    <row r="8968" ht="24" customHeight="1" spans="2:14">
      <c r="B8968" s="33"/>
      <c r="C8968" s="60"/>
      <c r="D8968" s="60"/>
      <c r="E8968" s="60"/>
      <c r="F8968" s="60"/>
      <c r="G8968" s="60"/>
      <c r="H8968" s="60"/>
      <c r="I8968" s="60"/>
      <c r="J8968" s="60"/>
      <c r="K8968" s="60"/>
      <c r="L8968" s="60"/>
      <c r="M8968" s="64"/>
      <c r="N8968" s="33"/>
    </row>
    <row r="8969" ht="24" customHeight="1" spans="2:14">
      <c r="B8969" s="33"/>
      <c r="C8969" s="60"/>
      <c r="D8969" s="60"/>
      <c r="E8969" s="60"/>
      <c r="F8969" s="60"/>
      <c r="G8969" s="60"/>
      <c r="H8969" s="60"/>
      <c r="I8969" s="60"/>
      <c r="J8969" s="60"/>
      <c r="K8969" s="60"/>
      <c r="L8969" s="60"/>
      <c r="M8969" s="64"/>
      <c r="N8969" s="33"/>
    </row>
    <row r="8970" ht="24" customHeight="1" spans="2:14">
      <c r="B8970" s="33"/>
      <c r="C8970" s="60"/>
      <c r="D8970" s="60"/>
      <c r="E8970" s="60"/>
      <c r="F8970" s="60"/>
      <c r="G8970" s="60"/>
      <c r="H8970" s="60"/>
      <c r="I8970" s="60"/>
      <c r="J8970" s="60"/>
      <c r="K8970" s="60"/>
      <c r="L8970" s="60"/>
      <c r="M8970" s="64"/>
      <c r="N8970" s="33"/>
    </row>
    <row r="8971" ht="24" customHeight="1" spans="2:14">
      <c r="B8971" s="33"/>
      <c r="C8971" s="60"/>
      <c r="D8971" s="60"/>
      <c r="E8971" s="60"/>
      <c r="F8971" s="60"/>
      <c r="G8971" s="60"/>
      <c r="H8971" s="60"/>
      <c r="I8971" s="60"/>
      <c r="J8971" s="60"/>
      <c r="K8971" s="60"/>
      <c r="L8971" s="60"/>
      <c r="M8971" s="64"/>
      <c r="N8971" s="33"/>
    </row>
    <row r="8972" ht="24" customHeight="1" spans="2:14">
      <c r="B8972" s="33"/>
      <c r="C8972" s="60"/>
      <c r="D8972" s="60"/>
      <c r="E8972" s="60"/>
      <c r="F8972" s="60"/>
      <c r="G8972" s="60"/>
      <c r="H8972" s="60"/>
      <c r="I8972" s="60"/>
      <c r="J8972" s="60"/>
      <c r="K8972" s="60"/>
      <c r="L8972" s="60"/>
      <c r="M8972" s="64"/>
      <c r="N8972" s="33"/>
    </row>
    <row r="8973" ht="24" customHeight="1" spans="2:14">
      <c r="B8973" s="33"/>
      <c r="C8973" s="60"/>
      <c r="D8973" s="60"/>
      <c r="E8973" s="60"/>
      <c r="F8973" s="60"/>
      <c r="G8973" s="60"/>
      <c r="H8973" s="60"/>
      <c r="I8973" s="60"/>
      <c r="J8973" s="60"/>
      <c r="K8973" s="60"/>
      <c r="L8973" s="60"/>
      <c r="M8973" s="64"/>
      <c r="N8973" s="33"/>
    </row>
    <row r="8974" ht="24" customHeight="1" spans="2:14">
      <c r="B8974" s="33"/>
      <c r="C8974" s="60"/>
      <c r="D8974" s="60"/>
      <c r="E8974" s="60"/>
      <c r="F8974" s="60"/>
      <c r="G8974" s="60"/>
      <c r="H8974" s="60"/>
      <c r="I8974" s="60"/>
      <c r="J8974" s="60"/>
      <c r="K8974" s="60"/>
      <c r="L8974" s="60"/>
      <c r="M8974" s="64"/>
      <c r="N8974" s="33"/>
    </row>
    <row r="8975" ht="24" customHeight="1" spans="2:14">
      <c r="B8975" s="33"/>
      <c r="C8975" s="60"/>
      <c r="D8975" s="60"/>
      <c r="E8975" s="60"/>
      <c r="F8975" s="60"/>
      <c r="G8975" s="60"/>
      <c r="H8975" s="60"/>
      <c r="I8975" s="60"/>
      <c r="J8975" s="60"/>
      <c r="K8975" s="60"/>
      <c r="L8975" s="60"/>
      <c r="M8975" s="64"/>
      <c r="N8975" s="33"/>
    </row>
    <row r="8976" ht="24" customHeight="1" spans="2:14">
      <c r="B8976" s="33"/>
      <c r="C8976" s="60"/>
      <c r="D8976" s="60"/>
      <c r="E8976" s="60"/>
      <c r="F8976" s="60"/>
      <c r="G8976" s="60"/>
      <c r="H8976" s="60"/>
      <c r="I8976" s="60"/>
      <c r="J8976" s="60"/>
      <c r="K8976" s="60"/>
      <c r="L8976" s="60"/>
      <c r="M8976" s="64"/>
      <c r="N8976" s="33"/>
    </row>
    <row r="8977" ht="24" customHeight="1" spans="2:14">
      <c r="B8977" s="33"/>
      <c r="C8977" s="60"/>
      <c r="D8977" s="60"/>
      <c r="E8977" s="60"/>
      <c r="F8977" s="60"/>
      <c r="G8977" s="60"/>
      <c r="H8977" s="60"/>
      <c r="I8977" s="60"/>
      <c r="J8977" s="60"/>
      <c r="K8977" s="60"/>
      <c r="L8977" s="60"/>
      <c r="M8977" s="64"/>
      <c r="N8977" s="33"/>
    </row>
    <row r="8978" ht="24" customHeight="1" spans="2:14">
      <c r="B8978" s="33"/>
      <c r="C8978" s="60"/>
      <c r="D8978" s="60"/>
      <c r="E8978" s="60"/>
      <c r="F8978" s="60"/>
      <c r="G8978" s="60"/>
      <c r="H8978" s="60"/>
      <c r="I8978" s="60"/>
      <c r="J8978" s="60"/>
      <c r="K8978" s="60"/>
      <c r="L8978" s="60"/>
      <c r="M8978" s="64"/>
      <c r="N8978" s="33"/>
    </row>
    <row r="8979" ht="24" customHeight="1" spans="2:14">
      <c r="B8979" s="33"/>
      <c r="C8979" s="60"/>
      <c r="D8979" s="60"/>
      <c r="E8979" s="60"/>
      <c r="F8979" s="60"/>
      <c r="G8979" s="60"/>
      <c r="H8979" s="60"/>
      <c r="I8979" s="60"/>
      <c r="J8979" s="60"/>
      <c r="K8979" s="60"/>
      <c r="L8979" s="60"/>
      <c r="M8979" s="64"/>
      <c r="N8979" s="33"/>
    </row>
    <row r="8980" ht="24" customHeight="1" spans="2:14">
      <c r="B8980" s="33"/>
      <c r="C8980" s="60"/>
      <c r="D8980" s="60"/>
      <c r="E8980" s="60"/>
      <c r="F8980" s="60"/>
      <c r="G8980" s="60"/>
      <c r="H8980" s="60"/>
      <c r="I8980" s="60"/>
      <c r="J8980" s="60"/>
      <c r="K8980" s="60"/>
      <c r="L8980" s="60"/>
      <c r="M8980" s="64"/>
      <c r="N8980" s="33"/>
    </row>
    <row r="8981" ht="24" customHeight="1" spans="2:14">
      <c r="B8981" s="33"/>
      <c r="C8981" s="60"/>
      <c r="D8981" s="60"/>
      <c r="E8981" s="60"/>
      <c r="F8981" s="60"/>
      <c r="G8981" s="60"/>
      <c r="H8981" s="60"/>
      <c r="I8981" s="60"/>
      <c r="J8981" s="60"/>
      <c r="K8981" s="60"/>
      <c r="L8981" s="60"/>
      <c r="M8981" s="64"/>
      <c r="N8981" s="33"/>
    </row>
    <row r="8982" ht="24" customHeight="1" spans="2:14">
      <c r="B8982" s="33"/>
      <c r="C8982" s="60"/>
      <c r="D8982" s="60"/>
      <c r="E8982" s="60"/>
      <c r="F8982" s="60"/>
      <c r="G8982" s="60"/>
      <c r="H8982" s="60"/>
      <c r="I8982" s="60"/>
      <c r="J8982" s="60"/>
      <c r="K8982" s="60"/>
      <c r="L8982" s="60"/>
      <c r="M8982" s="64"/>
      <c r="N8982" s="33"/>
    </row>
    <row r="8983" ht="24" customHeight="1" spans="2:14">
      <c r="B8983" s="33"/>
      <c r="C8983" s="60"/>
      <c r="D8983" s="60"/>
      <c r="E8983" s="60"/>
      <c r="F8983" s="60"/>
      <c r="G8983" s="60"/>
      <c r="H8983" s="60"/>
      <c r="I8983" s="60"/>
      <c r="J8983" s="60"/>
      <c r="K8983" s="60"/>
      <c r="L8983" s="60"/>
      <c r="M8983" s="64"/>
      <c r="N8983" s="33"/>
    </row>
    <row r="8984" ht="24" customHeight="1" spans="2:14">
      <c r="B8984" s="33"/>
      <c r="C8984" s="60"/>
      <c r="D8984" s="60"/>
      <c r="E8984" s="60"/>
      <c r="F8984" s="60"/>
      <c r="G8984" s="60"/>
      <c r="H8984" s="60"/>
      <c r="I8984" s="60"/>
      <c r="J8984" s="60"/>
      <c r="K8984" s="60"/>
      <c r="L8984" s="60"/>
      <c r="M8984" s="64"/>
      <c r="N8984" s="33"/>
    </row>
    <row r="8985" ht="24" customHeight="1" spans="2:14">
      <c r="B8985" s="33"/>
      <c r="C8985" s="60"/>
      <c r="D8985" s="60"/>
      <c r="E8985" s="60"/>
      <c r="F8985" s="60"/>
      <c r="G8985" s="60"/>
      <c r="H8985" s="60"/>
      <c r="I8985" s="60"/>
      <c r="J8985" s="60"/>
      <c r="K8985" s="60"/>
      <c r="L8985" s="60"/>
      <c r="M8985" s="64"/>
      <c r="N8985" s="33"/>
    </row>
    <row r="8986" ht="24" customHeight="1" spans="2:14">
      <c r="B8986" s="33"/>
      <c r="C8986" s="60"/>
      <c r="D8986" s="60"/>
      <c r="E8986" s="60"/>
      <c r="F8986" s="60"/>
      <c r="G8986" s="60"/>
      <c r="H8986" s="60"/>
      <c r="I8986" s="60"/>
      <c r="J8986" s="60"/>
      <c r="K8986" s="60"/>
      <c r="L8986" s="60"/>
      <c r="M8986" s="64"/>
      <c r="N8986" s="33"/>
    </row>
    <row r="8987" ht="24" customHeight="1" spans="2:14">
      <c r="B8987" s="33"/>
      <c r="C8987" s="60"/>
      <c r="D8987" s="60"/>
      <c r="E8987" s="60"/>
      <c r="F8987" s="60"/>
      <c r="G8987" s="60"/>
      <c r="H8987" s="60"/>
      <c r="I8987" s="60"/>
      <c r="J8987" s="60"/>
      <c r="K8987" s="60"/>
      <c r="L8987" s="60"/>
      <c r="M8987" s="64"/>
      <c r="N8987" s="33"/>
    </row>
    <row r="8988" ht="24" customHeight="1" spans="2:14">
      <c r="B8988" s="33"/>
      <c r="C8988" s="60"/>
      <c r="D8988" s="60"/>
      <c r="E8988" s="60"/>
      <c r="F8988" s="60"/>
      <c r="G8988" s="60"/>
      <c r="H8988" s="60"/>
      <c r="I8988" s="60"/>
      <c r="J8988" s="60"/>
      <c r="K8988" s="60"/>
      <c r="L8988" s="60"/>
      <c r="M8988" s="64"/>
      <c r="N8988" s="33"/>
    </row>
    <row r="8989" ht="24" customHeight="1" spans="2:14">
      <c r="B8989" s="33"/>
      <c r="C8989" s="60"/>
      <c r="D8989" s="60"/>
      <c r="E8989" s="60"/>
      <c r="F8989" s="60"/>
      <c r="G8989" s="60"/>
      <c r="H8989" s="60"/>
      <c r="I8989" s="60"/>
      <c r="J8989" s="60"/>
      <c r="K8989" s="60"/>
      <c r="L8989" s="60"/>
      <c r="M8989" s="64"/>
      <c r="N8989" s="33"/>
    </row>
    <row r="8990" ht="24" customHeight="1" spans="2:14">
      <c r="B8990" s="33"/>
      <c r="C8990" s="60"/>
      <c r="D8990" s="60"/>
      <c r="E8990" s="60"/>
      <c r="F8990" s="60"/>
      <c r="G8990" s="60"/>
      <c r="H8990" s="60"/>
      <c r="I8990" s="60"/>
      <c r="J8990" s="60"/>
      <c r="K8990" s="60"/>
      <c r="L8990" s="60"/>
      <c r="M8990" s="64"/>
      <c r="N8990" s="33"/>
    </row>
    <row r="8991" ht="24" customHeight="1" spans="2:14">
      <c r="B8991" s="33"/>
      <c r="C8991" s="60"/>
      <c r="D8991" s="60"/>
      <c r="E8991" s="60"/>
      <c r="F8991" s="60"/>
      <c r="G8991" s="60"/>
      <c r="H8991" s="60"/>
      <c r="I8991" s="60"/>
      <c r="J8991" s="60"/>
      <c r="K8991" s="60"/>
      <c r="L8991" s="60"/>
      <c r="M8991" s="64"/>
      <c r="N8991" s="33"/>
    </row>
    <row r="8992" ht="24" customHeight="1" spans="2:14">
      <c r="B8992" s="33"/>
      <c r="C8992" s="60"/>
      <c r="D8992" s="60"/>
      <c r="E8992" s="60"/>
      <c r="F8992" s="60"/>
      <c r="G8992" s="60"/>
      <c r="H8992" s="60"/>
      <c r="I8992" s="60"/>
      <c r="J8992" s="60"/>
      <c r="K8992" s="60"/>
      <c r="L8992" s="60"/>
      <c r="M8992" s="64"/>
      <c r="N8992" s="33"/>
    </row>
    <row r="8993" ht="24" customHeight="1" spans="2:14">
      <c r="B8993" s="33"/>
      <c r="C8993" s="60"/>
      <c r="D8993" s="60"/>
      <c r="E8993" s="60"/>
      <c r="F8993" s="60"/>
      <c r="G8993" s="60"/>
      <c r="H8993" s="60"/>
      <c r="I8993" s="60"/>
      <c r="J8993" s="60"/>
      <c r="K8993" s="60"/>
      <c r="L8993" s="60"/>
      <c r="M8993" s="64"/>
      <c r="N8993" s="33"/>
    </row>
    <row r="8994" ht="24" customHeight="1" spans="2:14">
      <c r="B8994" s="33"/>
      <c r="C8994" s="60"/>
      <c r="D8994" s="60"/>
      <c r="E8994" s="60"/>
      <c r="F8994" s="60"/>
      <c r="G8994" s="60"/>
      <c r="H8994" s="60"/>
      <c r="I8994" s="60"/>
      <c r="J8994" s="60"/>
      <c r="K8994" s="60"/>
      <c r="L8994" s="60"/>
      <c r="M8994" s="64"/>
      <c r="N8994" s="33"/>
    </row>
    <row r="8995" ht="24" customHeight="1" spans="2:14">
      <c r="B8995" s="33"/>
      <c r="C8995" s="60"/>
      <c r="D8995" s="60"/>
      <c r="E8995" s="60"/>
      <c r="F8995" s="60"/>
      <c r="G8995" s="60"/>
      <c r="H8995" s="60"/>
      <c r="I8995" s="60"/>
      <c r="J8995" s="60"/>
      <c r="K8995" s="60"/>
      <c r="L8995" s="60"/>
      <c r="M8995" s="64"/>
      <c r="N8995" s="33"/>
    </row>
    <row r="8996" ht="24" customHeight="1" spans="2:14">
      <c r="B8996" s="33"/>
      <c r="C8996" s="60"/>
      <c r="D8996" s="60"/>
      <c r="E8996" s="60"/>
      <c r="F8996" s="60"/>
      <c r="G8996" s="60"/>
      <c r="H8996" s="60"/>
      <c r="I8996" s="60"/>
      <c r="J8996" s="60"/>
      <c r="K8996" s="60"/>
      <c r="L8996" s="60"/>
      <c r="M8996" s="64"/>
      <c r="N8996" s="33"/>
    </row>
    <row r="8997" ht="24" customHeight="1" spans="2:14">
      <c r="B8997" s="33"/>
      <c r="C8997" s="60"/>
      <c r="D8997" s="60"/>
      <c r="E8997" s="60"/>
      <c r="F8997" s="60"/>
      <c r="G8997" s="60"/>
      <c r="H8997" s="60"/>
      <c r="I8997" s="60"/>
      <c r="J8997" s="60"/>
      <c r="K8997" s="60"/>
      <c r="L8997" s="60"/>
      <c r="M8997" s="64"/>
      <c r="N8997" s="33"/>
    </row>
    <row r="8998" ht="24" customHeight="1" spans="2:14">
      <c r="B8998" s="33"/>
      <c r="C8998" s="60"/>
      <c r="D8998" s="60"/>
      <c r="E8998" s="60"/>
      <c r="F8998" s="60"/>
      <c r="G8998" s="60"/>
      <c r="H8998" s="60"/>
      <c r="I8998" s="60"/>
      <c r="J8998" s="60"/>
      <c r="K8998" s="60"/>
      <c r="L8998" s="60"/>
      <c r="M8998" s="64"/>
      <c r="N8998" s="33"/>
    </row>
    <row r="8999" ht="24" customHeight="1" spans="2:14">
      <c r="B8999" s="33"/>
      <c r="C8999" s="60"/>
      <c r="D8999" s="60"/>
      <c r="E8999" s="60"/>
      <c r="F8999" s="60"/>
      <c r="G8999" s="60"/>
      <c r="H8999" s="60"/>
      <c r="I8999" s="60"/>
      <c r="J8999" s="60"/>
      <c r="K8999" s="60"/>
      <c r="L8999" s="60"/>
      <c r="M8999" s="64"/>
      <c r="N8999" s="33"/>
    </row>
    <row r="9000" ht="24" customHeight="1" spans="2:14">
      <c r="B9000" s="33"/>
      <c r="C9000" s="60"/>
      <c r="D9000" s="60"/>
      <c r="E9000" s="60"/>
      <c r="F9000" s="60"/>
      <c r="G9000" s="60"/>
      <c r="H9000" s="60"/>
      <c r="I9000" s="60"/>
      <c r="J9000" s="60"/>
      <c r="K9000" s="60"/>
      <c r="L9000" s="60"/>
      <c r="M9000" s="64"/>
      <c r="N9000" s="33"/>
    </row>
    <row r="9001" ht="24" customHeight="1" spans="2:14">
      <c r="B9001" s="33"/>
      <c r="C9001" s="60"/>
      <c r="D9001" s="60"/>
      <c r="E9001" s="60"/>
      <c r="F9001" s="60"/>
      <c r="G9001" s="60"/>
      <c r="H9001" s="60"/>
      <c r="I9001" s="60"/>
      <c r="J9001" s="60"/>
      <c r="K9001" s="60"/>
      <c r="L9001" s="60"/>
      <c r="M9001" s="64"/>
      <c r="N9001" s="33"/>
    </row>
    <row r="9002" ht="24" customHeight="1" spans="2:14">
      <c r="B9002" s="33"/>
      <c r="C9002" s="60"/>
      <c r="D9002" s="60"/>
      <c r="E9002" s="60"/>
      <c r="F9002" s="60"/>
      <c r="G9002" s="60"/>
      <c r="H9002" s="60"/>
      <c r="I9002" s="60"/>
      <c r="J9002" s="60"/>
      <c r="K9002" s="60"/>
      <c r="L9002" s="60"/>
      <c r="M9002" s="64"/>
      <c r="N9002" s="33"/>
    </row>
    <row r="9003" ht="24" customHeight="1" spans="2:14">
      <c r="B9003" s="33"/>
      <c r="C9003" s="60"/>
      <c r="D9003" s="60"/>
      <c r="E9003" s="60"/>
      <c r="F9003" s="60"/>
      <c r="G9003" s="60"/>
      <c r="H9003" s="60"/>
      <c r="I9003" s="60"/>
      <c r="J9003" s="60"/>
      <c r="K9003" s="60"/>
      <c r="L9003" s="60"/>
      <c r="M9003" s="64"/>
      <c r="N9003" s="33"/>
    </row>
    <row r="9004" ht="24" customHeight="1" spans="2:14">
      <c r="B9004" s="33"/>
      <c r="C9004" s="60"/>
      <c r="D9004" s="60"/>
      <c r="E9004" s="60"/>
      <c r="F9004" s="60"/>
      <c r="G9004" s="60"/>
      <c r="H9004" s="60"/>
      <c r="I9004" s="60"/>
      <c r="J9004" s="60"/>
      <c r="K9004" s="60"/>
      <c r="L9004" s="60"/>
      <c r="M9004" s="64"/>
      <c r="N9004" s="33"/>
    </row>
    <row r="9005" ht="24" customHeight="1" spans="2:14">
      <c r="B9005" s="33"/>
      <c r="C9005" s="60"/>
      <c r="D9005" s="60"/>
      <c r="E9005" s="60"/>
      <c r="F9005" s="60"/>
      <c r="G9005" s="60"/>
      <c r="H9005" s="60"/>
      <c r="I9005" s="60"/>
      <c r="J9005" s="60"/>
      <c r="K9005" s="60"/>
      <c r="L9005" s="60"/>
      <c r="M9005" s="64"/>
      <c r="N9005" s="33"/>
    </row>
    <row r="9006" ht="24" customHeight="1" spans="2:14">
      <c r="B9006" s="33"/>
      <c r="C9006" s="60"/>
      <c r="D9006" s="60"/>
      <c r="E9006" s="60"/>
      <c r="F9006" s="60"/>
      <c r="G9006" s="60"/>
      <c r="H9006" s="60"/>
      <c r="I9006" s="60"/>
      <c r="J9006" s="60"/>
      <c r="K9006" s="60"/>
      <c r="L9006" s="60"/>
      <c r="M9006" s="64"/>
      <c r="N9006" s="33"/>
    </row>
    <row r="9007" ht="24" customHeight="1" spans="2:14">
      <c r="B9007" s="33"/>
      <c r="C9007" s="60"/>
      <c r="D9007" s="60"/>
      <c r="E9007" s="60"/>
      <c r="F9007" s="60"/>
      <c r="G9007" s="60"/>
      <c r="H9007" s="60"/>
      <c r="I9007" s="60"/>
      <c r="J9007" s="60"/>
      <c r="K9007" s="60"/>
      <c r="L9007" s="60"/>
      <c r="M9007" s="64"/>
      <c r="N9007" s="33"/>
    </row>
    <row r="9008" ht="24" customHeight="1" spans="2:14">
      <c r="B9008" s="33"/>
      <c r="C9008" s="60"/>
      <c r="D9008" s="60"/>
      <c r="E9008" s="60"/>
      <c r="F9008" s="60"/>
      <c r="G9008" s="60"/>
      <c r="H9008" s="60"/>
      <c r="I9008" s="60"/>
      <c r="J9008" s="60"/>
      <c r="K9008" s="60"/>
      <c r="L9008" s="60"/>
      <c r="M9008" s="64"/>
      <c r="N9008" s="33"/>
    </row>
    <row r="9009" ht="24" customHeight="1" spans="2:14">
      <c r="B9009" s="33"/>
      <c r="C9009" s="60"/>
      <c r="D9009" s="60"/>
      <c r="E9009" s="60"/>
      <c r="F9009" s="60"/>
      <c r="G9009" s="60"/>
      <c r="H9009" s="60"/>
      <c r="I9009" s="60"/>
      <c r="J9009" s="60"/>
      <c r="K9009" s="60"/>
      <c r="L9009" s="60"/>
      <c r="M9009" s="64"/>
      <c r="N9009" s="33"/>
    </row>
    <row r="9010" ht="24" customHeight="1" spans="2:14">
      <c r="B9010" s="33"/>
      <c r="C9010" s="60"/>
      <c r="D9010" s="60"/>
      <c r="E9010" s="60"/>
      <c r="F9010" s="60"/>
      <c r="G9010" s="60"/>
      <c r="H9010" s="60"/>
      <c r="I9010" s="60"/>
      <c r="J9010" s="60"/>
      <c r="K9010" s="60"/>
      <c r="L9010" s="60"/>
      <c r="M9010" s="64"/>
      <c r="N9010" s="33"/>
    </row>
    <row r="9011" ht="24" customHeight="1" spans="2:14">
      <c r="B9011" s="33"/>
      <c r="C9011" s="60"/>
      <c r="D9011" s="60"/>
      <c r="E9011" s="60"/>
      <c r="F9011" s="60"/>
      <c r="G9011" s="60"/>
      <c r="H9011" s="60"/>
      <c r="I9011" s="60"/>
      <c r="J9011" s="60"/>
      <c r="K9011" s="60"/>
      <c r="L9011" s="60"/>
      <c r="M9011" s="64"/>
      <c r="N9011" s="33"/>
    </row>
    <row r="9012" ht="24" customHeight="1" spans="2:14">
      <c r="B9012" s="33"/>
      <c r="C9012" s="60"/>
      <c r="D9012" s="60"/>
      <c r="E9012" s="60"/>
      <c r="F9012" s="60"/>
      <c r="G9012" s="60"/>
      <c r="H9012" s="60"/>
      <c r="I9012" s="60"/>
      <c r="J9012" s="60"/>
      <c r="K9012" s="60"/>
      <c r="L9012" s="60"/>
      <c r="M9012" s="64"/>
      <c r="N9012" s="33"/>
    </row>
    <row r="9013" ht="24" customHeight="1" spans="2:14">
      <c r="B9013" s="33"/>
      <c r="C9013" s="60"/>
      <c r="D9013" s="60"/>
      <c r="E9013" s="60"/>
      <c r="F9013" s="60"/>
      <c r="G9013" s="60"/>
      <c r="H9013" s="60"/>
      <c r="I9013" s="60"/>
      <c r="J9013" s="60"/>
      <c r="K9013" s="60"/>
      <c r="L9013" s="60"/>
      <c r="M9013" s="64"/>
      <c r="N9013" s="33"/>
    </row>
    <row r="9014" ht="24" customHeight="1" spans="2:14">
      <c r="B9014" s="33"/>
      <c r="C9014" s="60"/>
      <c r="D9014" s="60"/>
      <c r="E9014" s="60"/>
      <c r="F9014" s="60"/>
      <c r="G9014" s="60"/>
      <c r="H9014" s="60"/>
      <c r="I9014" s="60"/>
      <c r="J9014" s="60"/>
      <c r="K9014" s="60"/>
      <c r="L9014" s="60"/>
      <c r="M9014" s="64"/>
      <c r="N9014" s="33"/>
    </row>
    <row r="9015" ht="24" customHeight="1" spans="2:14">
      <c r="B9015" s="33"/>
      <c r="C9015" s="60"/>
      <c r="D9015" s="60"/>
      <c r="E9015" s="60"/>
      <c r="F9015" s="60"/>
      <c r="G9015" s="60"/>
      <c r="H9015" s="60"/>
      <c r="I9015" s="60"/>
      <c r="J9015" s="60"/>
      <c r="K9015" s="60"/>
      <c r="L9015" s="60"/>
      <c r="M9015" s="64"/>
      <c r="N9015" s="33"/>
    </row>
    <row r="9016" ht="24" customHeight="1" spans="2:14">
      <c r="B9016" s="33"/>
      <c r="C9016" s="60"/>
      <c r="D9016" s="60"/>
      <c r="E9016" s="60"/>
      <c r="F9016" s="60"/>
      <c r="G9016" s="60"/>
      <c r="H9016" s="60"/>
      <c r="I9016" s="60"/>
      <c r="J9016" s="60"/>
      <c r="K9016" s="60"/>
      <c r="L9016" s="60"/>
      <c r="M9016" s="64"/>
      <c r="N9016" s="33"/>
    </row>
    <row r="9017" ht="24" customHeight="1" spans="2:14">
      <c r="B9017" s="33"/>
      <c r="C9017" s="60"/>
      <c r="D9017" s="60"/>
      <c r="E9017" s="60"/>
      <c r="F9017" s="60"/>
      <c r="G9017" s="60"/>
      <c r="H9017" s="60"/>
      <c r="I9017" s="60"/>
      <c r="J9017" s="60"/>
      <c r="K9017" s="60"/>
      <c r="L9017" s="60"/>
      <c r="M9017" s="64"/>
      <c r="N9017" s="33"/>
    </row>
    <row r="9018" ht="24" customHeight="1" spans="2:14">
      <c r="B9018" s="33"/>
      <c r="C9018" s="60"/>
      <c r="D9018" s="60"/>
      <c r="E9018" s="60"/>
      <c r="F9018" s="60"/>
      <c r="G9018" s="60"/>
      <c r="H9018" s="60"/>
      <c r="I9018" s="60"/>
      <c r="J9018" s="60"/>
      <c r="K9018" s="60"/>
      <c r="L9018" s="60"/>
      <c r="M9018" s="64"/>
      <c r="N9018" s="33"/>
    </row>
    <row r="9019" ht="24" customHeight="1" spans="2:14">
      <c r="B9019" s="33"/>
      <c r="C9019" s="60"/>
      <c r="D9019" s="60"/>
      <c r="E9019" s="60"/>
      <c r="F9019" s="60"/>
      <c r="G9019" s="60"/>
      <c r="H9019" s="60"/>
      <c r="I9019" s="60"/>
      <c r="J9019" s="60"/>
      <c r="K9019" s="60"/>
      <c r="L9019" s="60"/>
      <c r="M9019" s="64"/>
      <c r="N9019" s="33"/>
    </row>
    <row r="9020" ht="24" customHeight="1" spans="2:14">
      <c r="B9020" s="33"/>
      <c r="C9020" s="60"/>
      <c r="D9020" s="60"/>
      <c r="E9020" s="60"/>
      <c r="F9020" s="60"/>
      <c r="G9020" s="60"/>
      <c r="H9020" s="60"/>
      <c r="I9020" s="60"/>
      <c r="J9020" s="60"/>
      <c r="K9020" s="60"/>
      <c r="L9020" s="60"/>
      <c r="M9020" s="64"/>
      <c r="N9020" s="33"/>
    </row>
    <row r="9021" ht="24" customHeight="1" spans="2:14">
      <c r="B9021" s="33"/>
      <c r="C9021" s="60"/>
      <c r="D9021" s="60"/>
      <c r="E9021" s="60"/>
      <c r="F9021" s="60"/>
      <c r="G9021" s="60"/>
      <c r="H9021" s="60"/>
      <c r="I9021" s="60"/>
      <c r="J9021" s="60"/>
      <c r="K9021" s="60"/>
      <c r="L9021" s="60"/>
      <c r="M9021" s="64"/>
      <c r="N9021" s="33"/>
    </row>
    <row r="9022" ht="24" customHeight="1" spans="2:14">
      <c r="B9022" s="33"/>
      <c r="C9022" s="60"/>
      <c r="D9022" s="60"/>
      <c r="E9022" s="60"/>
      <c r="F9022" s="60"/>
      <c r="G9022" s="60"/>
      <c r="H9022" s="60"/>
      <c r="I9022" s="60"/>
      <c r="J9022" s="60"/>
      <c r="K9022" s="60"/>
      <c r="L9022" s="60"/>
      <c r="M9022" s="64"/>
      <c r="N9022" s="33"/>
    </row>
    <row r="9023" ht="24" customHeight="1" spans="2:14">
      <c r="B9023" s="33"/>
      <c r="C9023" s="60"/>
      <c r="D9023" s="60"/>
      <c r="E9023" s="60"/>
      <c r="F9023" s="60"/>
      <c r="G9023" s="60"/>
      <c r="H9023" s="60"/>
      <c r="I9023" s="60"/>
      <c r="J9023" s="60"/>
      <c r="K9023" s="60"/>
      <c r="L9023" s="60"/>
      <c r="M9023" s="64"/>
      <c r="N9023" s="33"/>
    </row>
    <row r="9024" ht="24" customHeight="1" spans="2:14">
      <c r="B9024" s="33"/>
      <c r="C9024" s="60"/>
      <c r="D9024" s="60"/>
      <c r="E9024" s="60"/>
      <c r="F9024" s="60"/>
      <c r="G9024" s="60"/>
      <c r="H9024" s="60"/>
      <c r="I9024" s="60"/>
      <c r="J9024" s="60"/>
      <c r="K9024" s="60"/>
      <c r="L9024" s="60"/>
      <c r="M9024" s="64"/>
      <c r="N9024" s="33"/>
    </row>
    <row r="9025" ht="24" customHeight="1" spans="2:14">
      <c r="B9025" s="33"/>
      <c r="C9025" s="60"/>
      <c r="D9025" s="60"/>
      <c r="E9025" s="60"/>
      <c r="F9025" s="60"/>
      <c r="G9025" s="60"/>
      <c r="H9025" s="60"/>
      <c r="I9025" s="60"/>
      <c r="J9025" s="60"/>
      <c r="K9025" s="60"/>
      <c r="L9025" s="60"/>
      <c r="M9025" s="64"/>
      <c r="N9025" s="33"/>
    </row>
    <row r="9026" ht="24" customHeight="1" spans="2:14">
      <c r="B9026" s="33"/>
      <c r="C9026" s="60"/>
      <c r="D9026" s="60"/>
      <c r="E9026" s="60"/>
      <c r="F9026" s="60"/>
      <c r="G9026" s="60"/>
      <c r="H9026" s="60"/>
      <c r="I9026" s="60"/>
      <c r="J9026" s="60"/>
      <c r="K9026" s="60"/>
      <c r="L9026" s="60"/>
      <c r="M9026" s="64"/>
      <c r="N9026" s="33"/>
    </row>
    <row r="9027" ht="24" customHeight="1" spans="2:14">
      <c r="B9027" s="33"/>
      <c r="C9027" s="60"/>
      <c r="D9027" s="60"/>
      <c r="E9027" s="60"/>
      <c r="F9027" s="60"/>
      <c r="G9027" s="60"/>
      <c r="H9027" s="60"/>
      <c r="I9027" s="60"/>
      <c r="J9027" s="60"/>
      <c r="K9027" s="60"/>
      <c r="L9027" s="60"/>
      <c r="M9027" s="64"/>
      <c r="N9027" s="33"/>
    </row>
    <row r="9028" ht="24" customHeight="1" spans="2:14">
      <c r="B9028" s="33"/>
      <c r="C9028" s="60"/>
      <c r="D9028" s="60"/>
      <c r="E9028" s="60"/>
      <c r="F9028" s="60"/>
      <c r="G9028" s="60"/>
      <c r="H9028" s="60"/>
      <c r="I9028" s="60"/>
      <c r="J9028" s="60"/>
      <c r="K9028" s="60"/>
      <c r="L9028" s="60"/>
      <c r="M9028" s="64"/>
      <c r="N9028" s="33"/>
    </row>
    <row r="9029" ht="24" customHeight="1" spans="2:14">
      <c r="B9029" s="33"/>
      <c r="C9029" s="60"/>
      <c r="D9029" s="60"/>
      <c r="E9029" s="60"/>
      <c r="F9029" s="60"/>
      <c r="G9029" s="60"/>
      <c r="H9029" s="60"/>
      <c r="I9029" s="60"/>
      <c r="J9029" s="60"/>
      <c r="K9029" s="60"/>
      <c r="L9029" s="60"/>
      <c r="M9029" s="64"/>
      <c r="N9029" s="33"/>
    </row>
    <row r="9030" ht="24" customHeight="1" spans="2:14">
      <c r="B9030" s="33"/>
      <c r="C9030" s="60"/>
      <c r="D9030" s="60"/>
      <c r="E9030" s="60"/>
      <c r="F9030" s="60"/>
      <c r="G9030" s="60"/>
      <c r="H9030" s="60"/>
      <c r="I9030" s="60"/>
      <c r="J9030" s="60"/>
      <c r="K9030" s="60"/>
      <c r="L9030" s="60"/>
      <c r="M9030" s="64"/>
      <c r="N9030" s="33"/>
    </row>
    <row r="9031" ht="24" customHeight="1" spans="2:14">
      <c r="B9031" s="33"/>
      <c r="C9031" s="60"/>
      <c r="D9031" s="60"/>
      <c r="E9031" s="60"/>
      <c r="F9031" s="60"/>
      <c r="G9031" s="60"/>
      <c r="H9031" s="60"/>
      <c r="I9031" s="60"/>
      <c r="J9031" s="60"/>
      <c r="K9031" s="60"/>
      <c r="L9031" s="60"/>
      <c r="M9031" s="64"/>
      <c r="N9031" s="33"/>
    </row>
    <row r="9032" ht="24" customHeight="1" spans="2:14">
      <c r="B9032" s="33"/>
      <c r="C9032" s="60"/>
      <c r="D9032" s="60"/>
      <c r="E9032" s="60"/>
      <c r="F9032" s="60"/>
      <c r="G9032" s="60"/>
      <c r="H9032" s="60"/>
      <c r="I9032" s="60"/>
      <c r="J9032" s="60"/>
      <c r="K9032" s="60"/>
      <c r="L9032" s="60"/>
      <c r="M9032" s="64"/>
      <c r="N9032" s="33"/>
    </row>
    <row r="9033" ht="24" customHeight="1" spans="2:14">
      <c r="B9033" s="33"/>
      <c r="C9033" s="60"/>
      <c r="D9033" s="60"/>
      <c r="E9033" s="60"/>
      <c r="F9033" s="60"/>
      <c r="G9033" s="60"/>
      <c r="H9033" s="60"/>
      <c r="I9033" s="60"/>
      <c r="J9033" s="60"/>
      <c r="K9033" s="60"/>
      <c r="L9033" s="60"/>
      <c r="M9033" s="64"/>
      <c r="N9033" s="33"/>
    </row>
    <row r="9034" ht="24" customHeight="1" spans="2:14">
      <c r="B9034" s="33"/>
      <c r="C9034" s="60"/>
      <c r="D9034" s="60"/>
      <c r="E9034" s="60"/>
      <c r="F9034" s="60"/>
      <c r="G9034" s="60"/>
      <c r="H9034" s="60"/>
      <c r="I9034" s="60"/>
      <c r="J9034" s="60"/>
      <c r="K9034" s="60"/>
      <c r="L9034" s="60"/>
      <c r="M9034" s="64"/>
      <c r="N9034" s="33"/>
    </row>
    <row r="9035" ht="24" customHeight="1" spans="2:14">
      <c r="B9035" s="33"/>
      <c r="C9035" s="60"/>
      <c r="D9035" s="60"/>
      <c r="E9035" s="60"/>
      <c r="F9035" s="60"/>
      <c r="G9035" s="60"/>
      <c r="H9035" s="60"/>
      <c r="I9035" s="60"/>
      <c r="J9035" s="60"/>
      <c r="K9035" s="60"/>
      <c r="L9035" s="60"/>
      <c r="M9035" s="64"/>
      <c r="N9035" s="33"/>
    </row>
    <row r="9036" ht="24" customHeight="1" spans="2:14">
      <c r="B9036" s="33"/>
      <c r="C9036" s="60"/>
      <c r="D9036" s="60"/>
      <c r="E9036" s="60"/>
      <c r="F9036" s="60"/>
      <c r="G9036" s="60"/>
      <c r="H9036" s="60"/>
      <c r="I9036" s="60"/>
      <c r="J9036" s="60"/>
      <c r="K9036" s="60"/>
      <c r="L9036" s="60"/>
      <c r="M9036" s="64"/>
      <c r="N9036" s="33"/>
    </row>
    <row r="9037" ht="24" customHeight="1" spans="2:14">
      <c r="B9037" s="33"/>
      <c r="C9037" s="60"/>
      <c r="D9037" s="60"/>
      <c r="E9037" s="60"/>
      <c r="F9037" s="60"/>
      <c r="G9037" s="60"/>
      <c r="H9037" s="60"/>
      <c r="I9037" s="60"/>
      <c r="J9037" s="60"/>
      <c r="K9037" s="60"/>
      <c r="L9037" s="60"/>
      <c r="M9037" s="64"/>
      <c r="N9037" s="33"/>
    </row>
    <row r="9038" ht="24" customHeight="1" spans="2:14">
      <c r="B9038" s="33"/>
      <c r="C9038" s="60"/>
      <c r="D9038" s="60"/>
      <c r="E9038" s="60"/>
      <c r="F9038" s="60"/>
      <c r="G9038" s="60"/>
      <c r="H9038" s="60"/>
      <c r="I9038" s="60"/>
      <c r="J9038" s="60"/>
      <c r="K9038" s="60"/>
      <c r="L9038" s="60"/>
      <c r="M9038" s="64"/>
      <c r="N9038" s="33"/>
    </row>
    <row r="9039" ht="24" customHeight="1" spans="2:14">
      <c r="B9039" s="33"/>
      <c r="C9039" s="60"/>
      <c r="D9039" s="60"/>
      <c r="E9039" s="60"/>
      <c r="F9039" s="60"/>
      <c r="G9039" s="60"/>
      <c r="H9039" s="60"/>
      <c r="I9039" s="60"/>
      <c r="J9039" s="60"/>
      <c r="K9039" s="60"/>
      <c r="L9039" s="60"/>
      <c r="M9039" s="64"/>
      <c r="N9039" s="33"/>
    </row>
    <row r="9040" ht="24" customHeight="1" spans="2:14">
      <c r="B9040" s="33"/>
      <c r="C9040" s="60"/>
      <c r="D9040" s="60"/>
      <c r="E9040" s="60"/>
      <c r="F9040" s="60"/>
      <c r="G9040" s="60"/>
      <c r="H9040" s="60"/>
      <c r="I9040" s="60"/>
      <c r="J9040" s="60"/>
      <c r="K9040" s="60"/>
      <c r="L9040" s="60"/>
      <c r="M9040" s="64"/>
      <c r="N9040" s="33"/>
    </row>
    <row r="9041" ht="24" customHeight="1" spans="2:14">
      <c r="B9041" s="33"/>
      <c r="C9041" s="60"/>
      <c r="D9041" s="60"/>
      <c r="E9041" s="60"/>
      <c r="F9041" s="60"/>
      <c r="G9041" s="60"/>
      <c r="H9041" s="60"/>
      <c r="I9041" s="60"/>
      <c r="J9041" s="60"/>
      <c r="K9041" s="60"/>
      <c r="L9041" s="60"/>
      <c r="M9041" s="64"/>
      <c r="N9041" s="33"/>
    </row>
    <row r="9042" ht="24" customHeight="1" spans="2:14">
      <c r="B9042" s="33"/>
      <c r="C9042" s="60"/>
      <c r="D9042" s="60"/>
      <c r="E9042" s="60"/>
      <c r="F9042" s="60"/>
      <c r="G9042" s="60"/>
      <c r="H9042" s="60"/>
      <c r="I9042" s="60"/>
      <c r="J9042" s="60"/>
      <c r="K9042" s="60"/>
      <c r="L9042" s="60"/>
      <c r="M9042" s="64"/>
      <c r="N9042" s="33"/>
    </row>
    <row r="9043" ht="24" customHeight="1" spans="2:14">
      <c r="B9043" s="33"/>
      <c r="C9043" s="60"/>
      <c r="D9043" s="60"/>
      <c r="E9043" s="60"/>
      <c r="F9043" s="60"/>
      <c r="G9043" s="60"/>
      <c r="H9043" s="60"/>
      <c r="I9043" s="60"/>
      <c r="J9043" s="60"/>
      <c r="K9043" s="60"/>
      <c r="L9043" s="60"/>
      <c r="M9043" s="64"/>
      <c r="N9043" s="33"/>
    </row>
    <row r="9044" ht="24" customHeight="1" spans="2:14">
      <c r="B9044" s="33"/>
      <c r="C9044" s="60"/>
      <c r="D9044" s="60"/>
      <c r="E9044" s="60"/>
      <c r="F9044" s="60"/>
      <c r="G9044" s="60"/>
      <c r="H9044" s="60"/>
      <c r="I9044" s="60"/>
      <c r="J9044" s="60"/>
      <c r="K9044" s="60"/>
      <c r="L9044" s="60"/>
      <c r="M9044" s="64"/>
      <c r="N9044" s="33"/>
    </row>
    <row r="9045" ht="24" customHeight="1" spans="2:14">
      <c r="B9045" s="33"/>
      <c r="C9045" s="60"/>
      <c r="D9045" s="60"/>
      <c r="E9045" s="60"/>
      <c r="F9045" s="60"/>
      <c r="G9045" s="60"/>
      <c r="H9045" s="60"/>
      <c r="I9045" s="60"/>
      <c r="J9045" s="60"/>
      <c r="K9045" s="60"/>
      <c r="L9045" s="60"/>
      <c r="M9045" s="64"/>
      <c r="N9045" s="33"/>
    </row>
    <row r="9046" ht="24" customHeight="1" spans="2:14">
      <c r="B9046" s="33"/>
      <c r="C9046" s="60"/>
      <c r="D9046" s="60"/>
      <c r="E9046" s="60"/>
      <c r="F9046" s="60"/>
      <c r="G9046" s="60"/>
      <c r="H9046" s="60"/>
      <c r="I9046" s="60"/>
      <c r="J9046" s="60"/>
      <c r="K9046" s="60"/>
      <c r="L9046" s="60"/>
      <c r="M9046" s="64"/>
      <c r="N9046" s="33"/>
    </row>
    <row r="9047" ht="24" customHeight="1" spans="2:14">
      <c r="B9047" s="33"/>
      <c r="C9047" s="60"/>
      <c r="D9047" s="60"/>
      <c r="E9047" s="60"/>
      <c r="F9047" s="60"/>
      <c r="G9047" s="60"/>
      <c r="H9047" s="60"/>
      <c r="I9047" s="60"/>
      <c r="J9047" s="60"/>
      <c r="K9047" s="60"/>
      <c r="L9047" s="60"/>
      <c r="M9047" s="64"/>
      <c r="N9047" s="33"/>
    </row>
    <row r="9048" ht="24" customHeight="1" spans="2:14">
      <c r="B9048" s="33"/>
      <c r="C9048" s="60"/>
      <c r="D9048" s="60"/>
      <c r="E9048" s="60"/>
      <c r="F9048" s="60"/>
      <c r="G9048" s="60"/>
      <c r="H9048" s="60"/>
      <c r="I9048" s="60"/>
      <c r="J9048" s="60"/>
      <c r="K9048" s="60"/>
      <c r="L9048" s="60"/>
      <c r="M9048" s="64"/>
      <c r="N9048" s="33"/>
    </row>
    <row r="9049" ht="24" customHeight="1" spans="2:14">
      <c r="B9049" s="33"/>
      <c r="C9049" s="60"/>
      <c r="D9049" s="60"/>
      <c r="E9049" s="60"/>
      <c r="F9049" s="60"/>
      <c r="G9049" s="60"/>
      <c r="H9049" s="60"/>
      <c r="I9049" s="60"/>
      <c r="J9049" s="60"/>
      <c r="K9049" s="60"/>
      <c r="L9049" s="60"/>
      <c r="M9049" s="64"/>
      <c r="N9049" s="33"/>
    </row>
    <row r="9050" ht="24" customHeight="1" spans="2:14">
      <c r="B9050" s="33"/>
      <c r="C9050" s="60"/>
      <c r="D9050" s="60"/>
      <c r="E9050" s="60"/>
      <c r="F9050" s="60"/>
      <c r="G9050" s="60"/>
      <c r="H9050" s="60"/>
      <c r="I9050" s="60"/>
      <c r="J9050" s="60"/>
      <c r="K9050" s="60"/>
      <c r="L9050" s="60"/>
      <c r="M9050" s="64"/>
      <c r="N9050" s="33"/>
    </row>
    <row r="9051" ht="24" customHeight="1" spans="2:14">
      <c r="B9051" s="33"/>
      <c r="C9051" s="60"/>
      <c r="D9051" s="60"/>
      <c r="E9051" s="60"/>
      <c r="F9051" s="60"/>
      <c r="G9051" s="60"/>
      <c r="H9051" s="60"/>
      <c r="I9051" s="60"/>
      <c r="J9051" s="60"/>
      <c r="K9051" s="60"/>
      <c r="L9051" s="60"/>
      <c r="M9051" s="64"/>
      <c r="N9051" s="33"/>
    </row>
    <row r="9052" ht="24" customHeight="1" spans="2:14">
      <c r="B9052" s="33"/>
      <c r="C9052" s="60"/>
      <c r="D9052" s="60"/>
      <c r="E9052" s="60"/>
      <c r="F9052" s="60"/>
      <c r="G9052" s="60"/>
      <c r="H9052" s="60"/>
      <c r="I9052" s="60"/>
      <c r="J9052" s="60"/>
      <c r="K9052" s="60"/>
      <c r="L9052" s="60"/>
      <c r="M9052" s="64"/>
      <c r="N9052" s="33"/>
    </row>
    <row r="9053" ht="24" customHeight="1" spans="2:14">
      <c r="B9053" s="33"/>
      <c r="C9053" s="60"/>
      <c r="D9053" s="60"/>
      <c r="E9053" s="60"/>
      <c r="F9053" s="60"/>
      <c r="G9053" s="60"/>
      <c r="H9053" s="60"/>
      <c r="I9053" s="60"/>
      <c r="J9053" s="60"/>
      <c r="K9053" s="60"/>
      <c r="L9053" s="60"/>
      <c r="M9053" s="64"/>
      <c r="N9053" s="33"/>
    </row>
    <row r="9054" ht="24" customHeight="1" spans="2:14">
      <c r="B9054" s="33"/>
      <c r="C9054" s="60"/>
      <c r="D9054" s="60"/>
      <c r="E9054" s="60"/>
      <c r="F9054" s="60"/>
      <c r="G9054" s="60"/>
      <c r="H9054" s="60"/>
      <c r="I9054" s="60"/>
      <c r="J9054" s="60"/>
      <c r="K9054" s="60"/>
      <c r="L9054" s="60"/>
      <c r="M9054" s="64"/>
      <c r="N9054" s="33"/>
    </row>
    <row r="9055" ht="24" customHeight="1" spans="2:14">
      <c r="B9055" s="33"/>
      <c r="C9055" s="60"/>
      <c r="D9055" s="60"/>
      <c r="E9055" s="60"/>
      <c r="F9055" s="60"/>
      <c r="G9055" s="60"/>
      <c r="H9055" s="60"/>
      <c r="I9055" s="60"/>
      <c r="J9055" s="60"/>
      <c r="K9055" s="60"/>
      <c r="L9055" s="60"/>
      <c r="M9055" s="64"/>
      <c r="N9055" s="33"/>
    </row>
    <row r="9056" ht="24" customHeight="1" spans="2:14">
      <c r="B9056" s="33"/>
      <c r="C9056" s="60"/>
      <c r="D9056" s="60"/>
      <c r="E9056" s="60"/>
      <c r="F9056" s="60"/>
      <c r="G9056" s="60"/>
      <c r="H9056" s="60"/>
      <c r="I9056" s="60"/>
      <c r="J9056" s="60"/>
      <c r="K9056" s="60"/>
      <c r="L9056" s="60"/>
      <c r="M9056" s="64"/>
      <c r="N9056" s="33"/>
    </row>
    <row r="9057" ht="24" customHeight="1" spans="2:14">
      <c r="B9057" s="33"/>
      <c r="C9057" s="60"/>
      <c r="D9057" s="60"/>
      <c r="E9057" s="60"/>
      <c r="F9057" s="60"/>
      <c r="G9057" s="60"/>
      <c r="H9057" s="60"/>
      <c r="I9057" s="60"/>
      <c r="J9057" s="60"/>
      <c r="K9057" s="60"/>
      <c r="L9057" s="60"/>
      <c r="M9057" s="64"/>
      <c r="N9057" s="33"/>
    </row>
    <row r="9058" ht="24" customHeight="1" spans="2:14">
      <c r="B9058" s="33"/>
      <c r="C9058" s="60"/>
      <c r="D9058" s="60"/>
      <c r="E9058" s="60"/>
      <c r="F9058" s="60"/>
      <c r="G9058" s="60"/>
      <c r="H9058" s="60"/>
      <c r="I9058" s="60"/>
      <c r="J9058" s="60"/>
      <c r="K9058" s="60"/>
      <c r="L9058" s="60"/>
      <c r="M9058" s="64"/>
      <c r="N9058" s="33"/>
    </row>
    <row r="9059" ht="24" customHeight="1" spans="2:14">
      <c r="B9059" s="33"/>
      <c r="C9059" s="60"/>
      <c r="D9059" s="60"/>
      <c r="E9059" s="60"/>
      <c r="F9059" s="60"/>
      <c r="G9059" s="60"/>
      <c r="H9059" s="60"/>
      <c r="I9059" s="60"/>
      <c r="J9059" s="60"/>
      <c r="K9059" s="60"/>
      <c r="L9059" s="60"/>
      <c r="M9059" s="64"/>
      <c r="N9059" s="33"/>
    </row>
    <row r="9060" ht="24" customHeight="1" spans="2:14">
      <c r="B9060" s="33"/>
      <c r="C9060" s="60"/>
      <c r="D9060" s="60"/>
      <c r="E9060" s="60"/>
      <c r="F9060" s="60"/>
      <c r="G9060" s="60"/>
      <c r="H9060" s="60"/>
      <c r="I9060" s="60"/>
      <c r="J9060" s="60"/>
      <c r="K9060" s="60"/>
      <c r="L9060" s="60"/>
      <c r="M9060" s="64"/>
      <c r="N9060" s="33"/>
    </row>
    <row r="9061" ht="24" customHeight="1" spans="2:14">
      <c r="B9061" s="33"/>
      <c r="C9061" s="60"/>
      <c r="D9061" s="60"/>
      <c r="E9061" s="60"/>
      <c r="F9061" s="60"/>
      <c r="G9061" s="60"/>
      <c r="H9061" s="60"/>
      <c r="I9061" s="60"/>
      <c r="J9061" s="60"/>
      <c r="K9061" s="60"/>
      <c r="L9061" s="60"/>
      <c r="M9061" s="64"/>
      <c r="N9061" s="33"/>
    </row>
    <row r="9062" ht="24" customHeight="1" spans="2:14">
      <c r="B9062" s="33"/>
      <c r="C9062" s="60"/>
      <c r="D9062" s="60"/>
      <c r="E9062" s="60"/>
      <c r="F9062" s="60"/>
      <c r="G9062" s="60"/>
      <c r="H9062" s="60"/>
      <c r="I9062" s="60"/>
      <c r="J9062" s="60"/>
      <c r="K9062" s="60"/>
      <c r="L9062" s="60"/>
      <c r="M9062" s="64"/>
      <c r="N9062" s="33"/>
    </row>
    <row r="9063" ht="24" customHeight="1" spans="2:14">
      <c r="B9063" s="33"/>
      <c r="C9063" s="60"/>
      <c r="D9063" s="60"/>
      <c r="E9063" s="60"/>
      <c r="F9063" s="60"/>
      <c r="G9063" s="60"/>
      <c r="H9063" s="60"/>
      <c r="I9063" s="60"/>
      <c r="J9063" s="60"/>
      <c r="K9063" s="60"/>
      <c r="L9063" s="60"/>
      <c r="M9063" s="64"/>
      <c r="N9063" s="33"/>
    </row>
    <row r="9064" ht="24" customHeight="1" spans="2:14">
      <c r="B9064" s="33"/>
      <c r="C9064" s="60"/>
      <c r="D9064" s="60"/>
      <c r="E9064" s="60"/>
      <c r="F9064" s="60"/>
      <c r="G9064" s="60"/>
      <c r="H9064" s="60"/>
      <c r="I9064" s="60"/>
      <c r="J9064" s="60"/>
      <c r="K9064" s="60"/>
      <c r="L9064" s="60"/>
      <c r="M9064" s="64"/>
      <c r="N9064" s="33"/>
    </row>
    <row r="9065" ht="24" customHeight="1" spans="2:14">
      <c r="B9065" s="33"/>
      <c r="C9065" s="60"/>
      <c r="D9065" s="60"/>
      <c r="E9065" s="60"/>
      <c r="F9065" s="60"/>
      <c r="G9065" s="60"/>
      <c r="H9065" s="60"/>
      <c r="I9065" s="60"/>
      <c r="J9065" s="60"/>
      <c r="K9065" s="60"/>
      <c r="L9065" s="60"/>
      <c r="M9065" s="64"/>
      <c r="N9065" s="33"/>
    </row>
    <row r="9066" ht="24" customHeight="1" spans="2:14">
      <c r="B9066" s="33"/>
      <c r="C9066" s="60"/>
      <c r="D9066" s="60"/>
      <c r="E9066" s="60"/>
      <c r="F9066" s="60"/>
      <c r="G9066" s="60"/>
      <c r="H9066" s="60"/>
      <c r="I9066" s="60"/>
      <c r="J9066" s="60"/>
      <c r="K9066" s="60"/>
      <c r="L9066" s="60"/>
      <c r="M9066" s="64"/>
      <c r="N9066" s="33"/>
    </row>
    <row r="9067" ht="24" customHeight="1" spans="2:14">
      <c r="B9067" s="33"/>
      <c r="C9067" s="60"/>
      <c r="D9067" s="60"/>
      <c r="E9067" s="60"/>
      <c r="F9067" s="60"/>
      <c r="G9067" s="60"/>
      <c r="H9067" s="60"/>
      <c r="I9067" s="60"/>
      <c r="J9067" s="60"/>
      <c r="K9067" s="60"/>
      <c r="L9067" s="60"/>
      <c r="M9067" s="64"/>
      <c r="N9067" s="33"/>
    </row>
    <row r="9068" ht="24" customHeight="1" spans="2:14">
      <c r="B9068" s="33"/>
      <c r="C9068" s="60"/>
      <c r="D9068" s="60"/>
      <c r="E9068" s="60"/>
      <c r="F9068" s="60"/>
      <c r="G9068" s="60"/>
      <c r="H9068" s="60"/>
      <c r="I9068" s="60"/>
      <c r="J9068" s="60"/>
      <c r="K9068" s="60"/>
      <c r="L9068" s="60"/>
      <c r="M9068" s="64"/>
      <c r="N9068" s="33"/>
    </row>
    <row r="9069" ht="24" customHeight="1" spans="2:14">
      <c r="B9069" s="33"/>
      <c r="C9069" s="60"/>
      <c r="D9069" s="60"/>
      <c r="E9069" s="60"/>
      <c r="F9069" s="60"/>
      <c r="G9069" s="60"/>
      <c r="H9069" s="60"/>
      <c r="I9069" s="60"/>
      <c r="J9069" s="60"/>
      <c r="K9069" s="60"/>
      <c r="L9069" s="60"/>
      <c r="M9069" s="64"/>
      <c r="N9069" s="33"/>
    </row>
    <row r="9070" ht="24" customHeight="1" spans="2:14">
      <c r="B9070" s="33"/>
      <c r="C9070" s="60"/>
      <c r="D9070" s="60"/>
      <c r="E9070" s="60"/>
      <c r="F9070" s="60"/>
      <c r="G9070" s="60"/>
      <c r="H9070" s="60"/>
      <c r="I9070" s="60"/>
      <c r="J9070" s="60"/>
      <c r="K9070" s="60"/>
      <c r="L9070" s="60"/>
      <c r="M9070" s="64"/>
      <c r="N9070" s="33"/>
    </row>
    <row r="9071" ht="24" customHeight="1" spans="2:14">
      <c r="B9071" s="33"/>
      <c r="C9071" s="60"/>
      <c r="D9071" s="60"/>
      <c r="E9071" s="60"/>
      <c r="F9071" s="60"/>
      <c r="G9071" s="60"/>
      <c r="H9071" s="60"/>
      <c r="I9071" s="60"/>
      <c r="J9071" s="60"/>
      <c r="K9071" s="60"/>
      <c r="L9071" s="60"/>
      <c r="M9071" s="64"/>
      <c r="N9071" s="33"/>
    </row>
    <row r="9072" ht="24" customHeight="1" spans="2:14">
      <c r="B9072" s="33"/>
      <c r="C9072" s="60"/>
      <c r="D9072" s="60"/>
      <c r="E9072" s="60"/>
      <c r="F9072" s="60"/>
      <c r="G9072" s="60"/>
      <c r="H9072" s="60"/>
      <c r="I9072" s="60"/>
      <c r="J9072" s="60"/>
      <c r="K9072" s="60"/>
      <c r="L9072" s="60"/>
      <c r="M9072" s="64"/>
      <c r="N9072" s="33"/>
    </row>
    <row r="9073" ht="24" customHeight="1" spans="2:14">
      <c r="B9073" s="33"/>
      <c r="C9073" s="60"/>
      <c r="D9073" s="60"/>
      <c r="E9073" s="60"/>
      <c r="F9073" s="60"/>
      <c r="G9073" s="60"/>
      <c r="H9073" s="60"/>
      <c r="I9073" s="60"/>
      <c r="J9073" s="60"/>
      <c r="K9073" s="60"/>
      <c r="L9073" s="60"/>
      <c r="M9073" s="64"/>
      <c r="N9073" s="33"/>
    </row>
    <row r="9074" ht="24" customHeight="1" spans="2:14">
      <c r="B9074" s="33"/>
      <c r="C9074" s="60"/>
      <c r="D9074" s="60"/>
      <c r="E9074" s="60"/>
      <c r="F9074" s="60"/>
      <c r="G9074" s="60"/>
      <c r="H9074" s="60"/>
      <c r="I9074" s="60"/>
      <c r="J9074" s="60"/>
      <c r="K9074" s="60"/>
      <c r="L9074" s="60"/>
      <c r="M9074" s="64"/>
      <c r="N9074" s="33"/>
    </row>
    <row r="9075" ht="24" customHeight="1" spans="2:14">
      <c r="B9075" s="33"/>
      <c r="C9075" s="60"/>
      <c r="D9075" s="60"/>
      <c r="E9075" s="60"/>
      <c r="F9075" s="60"/>
      <c r="G9075" s="60"/>
      <c r="H9075" s="60"/>
      <c r="I9075" s="60"/>
      <c r="J9075" s="60"/>
      <c r="K9075" s="60"/>
      <c r="L9075" s="60"/>
      <c r="M9075" s="64"/>
      <c r="N9075" s="33"/>
    </row>
    <row r="9076" ht="24" customHeight="1" spans="2:14">
      <c r="B9076" s="33"/>
      <c r="C9076" s="60"/>
      <c r="D9076" s="60"/>
      <c r="E9076" s="60"/>
      <c r="F9076" s="60"/>
      <c r="G9076" s="60"/>
      <c r="H9076" s="60"/>
      <c r="I9076" s="60"/>
      <c r="J9076" s="60"/>
      <c r="K9076" s="60"/>
      <c r="L9076" s="60"/>
      <c r="M9076" s="64"/>
      <c r="N9076" s="33"/>
    </row>
    <row r="9077" ht="24" customHeight="1" spans="2:14">
      <c r="B9077" s="33"/>
      <c r="C9077" s="60"/>
      <c r="D9077" s="60"/>
      <c r="E9077" s="60"/>
      <c r="F9077" s="60"/>
      <c r="G9077" s="60"/>
      <c r="H9077" s="60"/>
      <c r="I9077" s="60"/>
      <c r="J9077" s="60"/>
      <c r="K9077" s="60"/>
      <c r="L9077" s="60"/>
      <c r="M9077" s="64"/>
      <c r="N9077" s="33"/>
    </row>
    <row r="9078" ht="24" customHeight="1" spans="2:14">
      <c r="B9078" s="33"/>
      <c r="C9078" s="60"/>
      <c r="D9078" s="60"/>
      <c r="E9078" s="60"/>
      <c r="F9078" s="60"/>
      <c r="G9078" s="60"/>
      <c r="H9078" s="60"/>
      <c r="I9078" s="60"/>
      <c r="J9078" s="60"/>
      <c r="K9078" s="60"/>
      <c r="L9078" s="60"/>
      <c r="M9078" s="64"/>
      <c r="N9078" s="33"/>
    </row>
    <row r="9079" ht="24" customHeight="1" spans="2:14">
      <c r="B9079" s="33"/>
      <c r="C9079" s="60"/>
      <c r="D9079" s="60"/>
      <c r="E9079" s="60"/>
      <c r="F9079" s="60"/>
      <c r="G9079" s="60"/>
      <c r="H9079" s="60"/>
      <c r="I9079" s="60"/>
      <c r="J9079" s="60"/>
      <c r="K9079" s="60"/>
      <c r="L9079" s="60"/>
      <c r="M9079" s="64"/>
      <c r="N9079" s="33"/>
    </row>
    <row r="9080" ht="24" customHeight="1" spans="2:14">
      <c r="B9080" s="33"/>
      <c r="C9080" s="60"/>
      <c r="D9080" s="60"/>
      <c r="E9080" s="60"/>
      <c r="F9080" s="60"/>
      <c r="G9080" s="60"/>
      <c r="H9080" s="60"/>
      <c r="I9080" s="60"/>
      <c r="J9080" s="60"/>
      <c r="K9080" s="60"/>
      <c r="L9080" s="60"/>
      <c r="M9080" s="64"/>
      <c r="N9080" s="33"/>
    </row>
    <row r="9081" ht="24" customHeight="1" spans="2:14">
      <c r="B9081" s="33"/>
      <c r="C9081" s="60"/>
      <c r="D9081" s="60"/>
      <c r="E9081" s="60"/>
      <c r="F9081" s="60"/>
      <c r="G9081" s="60"/>
      <c r="H9081" s="60"/>
      <c r="I9081" s="60"/>
      <c r="J9081" s="60"/>
      <c r="K9081" s="60"/>
      <c r="L9081" s="60"/>
      <c r="M9081" s="64"/>
      <c r="N9081" s="33"/>
    </row>
    <row r="9082" ht="24" customHeight="1" spans="2:14">
      <c r="B9082" s="33"/>
      <c r="C9082" s="60"/>
      <c r="D9082" s="60"/>
      <c r="E9082" s="60"/>
      <c r="F9082" s="60"/>
      <c r="G9082" s="60"/>
      <c r="H9082" s="60"/>
      <c r="I9082" s="60"/>
      <c r="J9082" s="60"/>
      <c r="K9082" s="60"/>
      <c r="L9082" s="60"/>
      <c r="M9082" s="64"/>
      <c r="N9082" s="33"/>
    </row>
    <row r="9083" ht="24" customHeight="1" spans="2:14">
      <c r="B9083" s="33"/>
      <c r="C9083" s="60"/>
      <c r="D9083" s="60"/>
      <c r="E9083" s="60"/>
      <c r="F9083" s="60"/>
      <c r="G9083" s="60"/>
      <c r="H9083" s="60"/>
      <c r="I9083" s="60"/>
      <c r="J9083" s="60"/>
      <c r="K9083" s="60"/>
      <c r="L9083" s="60"/>
      <c r="M9083" s="64"/>
      <c r="N9083" s="33"/>
    </row>
    <row r="9084" ht="24" customHeight="1" spans="2:14">
      <c r="B9084" s="33"/>
      <c r="C9084" s="60"/>
      <c r="D9084" s="60"/>
      <c r="E9084" s="60"/>
      <c r="F9084" s="60"/>
      <c r="G9084" s="60"/>
      <c r="H9084" s="60"/>
      <c r="I9084" s="60"/>
      <c r="J9084" s="60"/>
      <c r="K9084" s="60"/>
      <c r="L9084" s="60"/>
      <c r="M9084" s="64"/>
      <c r="N9084" s="33"/>
    </row>
    <row r="9085" ht="24" customHeight="1" spans="2:14">
      <c r="B9085" s="33"/>
      <c r="C9085" s="60"/>
      <c r="D9085" s="60"/>
      <c r="E9085" s="60"/>
      <c r="F9085" s="60"/>
      <c r="G9085" s="60"/>
      <c r="H9085" s="60"/>
      <c r="I9085" s="60"/>
      <c r="J9085" s="60"/>
      <c r="K9085" s="60"/>
      <c r="L9085" s="60"/>
      <c r="M9085" s="64"/>
      <c r="N9085" s="33"/>
    </row>
    <row r="9086" ht="24" customHeight="1" spans="2:14">
      <c r="B9086" s="33"/>
      <c r="C9086" s="60"/>
      <c r="D9086" s="60"/>
      <c r="E9086" s="60"/>
      <c r="F9086" s="60"/>
      <c r="G9086" s="60"/>
      <c r="H9086" s="60"/>
      <c r="I9086" s="60"/>
      <c r="J9086" s="60"/>
      <c r="K9086" s="60"/>
      <c r="L9086" s="60"/>
      <c r="M9086" s="64"/>
      <c r="N9086" s="33"/>
    </row>
    <row r="9087" ht="24" customHeight="1" spans="2:14">
      <c r="B9087" s="33"/>
      <c r="C9087" s="60"/>
      <c r="D9087" s="60"/>
      <c r="E9087" s="60"/>
      <c r="F9087" s="60"/>
      <c r="G9087" s="60"/>
      <c r="H9087" s="60"/>
      <c r="I9087" s="60"/>
      <c r="J9087" s="60"/>
      <c r="K9087" s="60"/>
      <c r="L9087" s="60"/>
      <c r="M9087" s="64"/>
      <c r="N9087" s="33"/>
    </row>
    <row r="9088" ht="24" customHeight="1" spans="2:14">
      <c r="B9088" s="33"/>
      <c r="C9088" s="60"/>
      <c r="D9088" s="60"/>
      <c r="E9088" s="60"/>
      <c r="F9088" s="60"/>
      <c r="G9088" s="60"/>
      <c r="H9088" s="60"/>
      <c r="I9088" s="60"/>
      <c r="J9088" s="60"/>
      <c r="K9088" s="60"/>
      <c r="L9088" s="60"/>
      <c r="M9088" s="64"/>
      <c r="N9088" s="33"/>
    </row>
    <row r="9089" ht="24" customHeight="1" spans="2:14">
      <c r="B9089" s="33"/>
      <c r="C9089" s="60"/>
      <c r="D9089" s="60"/>
      <c r="E9089" s="60"/>
      <c r="F9089" s="60"/>
      <c r="G9089" s="60"/>
      <c r="H9089" s="60"/>
      <c r="I9089" s="60"/>
      <c r="J9089" s="60"/>
      <c r="K9089" s="60"/>
      <c r="L9089" s="60"/>
      <c r="M9089" s="64"/>
      <c r="N9089" s="33"/>
    </row>
    <row r="9090" ht="24" customHeight="1" spans="2:14">
      <c r="B9090" s="33"/>
      <c r="C9090" s="60"/>
      <c r="D9090" s="60"/>
      <c r="E9090" s="60"/>
      <c r="F9090" s="60"/>
      <c r="G9090" s="60"/>
      <c r="H9090" s="60"/>
      <c r="I9090" s="60"/>
      <c r="J9090" s="60"/>
      <c r="K9090" s="60"/>
      <c r="L9090" s="60"/>
      <c r="M9090" s="64"/>
      <c r="N9090" s="33"/>
    </row>
    <row r="9091" ht="24" customHeight="1" spans="2:14">
      <c r="B9091" s="33"/>
      <c r="C9091" s="60"/>
      <c r="D9091" s="60"/>
      <c r="E9091" s="60"/>
      <c r="F9091" s="60"/>
      <c r="G9091" s="60"/>
      <c r="H9091" s="60"/>
      <c r="I9091" s="60"/>
      <c r="J9091" s="60"/>
      <c r="K9091" s="60"/>
      <c r="L9091" s="60"/>
      <c r="M9091" s="64"/>
      <c r="N9091" s="33"/>
    </row>
    <row r="9092" ht="24" customHeight="1" spans="2:14">
      <c r="B9092" s="33"/>
      <c r="C9092" s="60"/>
      <c r="D9092" s="60"/>
      <c r="E9092" s="60"/>
      <c r="F9092" s="60"/>
      <c r="G9092" s="60"/>
      <c r="H9092" s="60"/>
      <c r="I9092" s="60"/>
      <c r="J9092" s="60"/>
      <c r="K9092" s="60"/>
      <c r="L9092" s="60"/>
      <c r="M9092" s="64"/>
      <c r="N9092" s="33"/>
    </row>
    <row r="9093" ht="24" customHeight="1" spans="2:14">
      <c r="B9093" s="33"/>
      <c r="C9093" s="60"/>
      <c r="D9093" s="60"/>
      <c r="E9093" s="60"/>
      <c r="F9093" s="60"/>
      <c r="G9093" s="60"/>
      <c r="H9093" s="60"/>
      <c r="I9093" s="60"/>
      <c r="J9093" s="60"/>
      <c r="K9093" s="60"/>
      <c r="L9093" s="60"/>
      <c r="M9093" s="64"/>
      <c r="N9093" s="33"/>
    </row>
    <row r="9094" ht="24" customHeight="1" spans="2:14">
      <c r="B9094" s="33"/>
      <c r="C9094" s="60"/>
      <c r="D9094" s="60"/>
      <c r="E9094" s="60"/>
      <c r="F9094" s="60"/>
      <c r="G9094" s="60"/>
      <c r="H9094" s="60"/>
      <c r="I9094" s="60"/>
      <c r="J9094" s="60"/>
      <c r="K9094" s="60"/>
      <c r="L9094" s="60"/>
      <c r="M9094" s="64"/>
      <c r="N9094" s="33"/>
    </row>
    <row r="9095" ht="24" customHeight="1" spans="2:14">
      <c r="B9095" s="33"/>
      <c r="C9095" s="60"/>
      <c r="D9095" s="60"/>
      <c r="E9095" s="60"/>
      <c r="F9095" s="60"/>
      <c r="G9095" s="60"/>
      <c r="H9095" s="60"/>
      <c r="I9095" s="60"/>
      <c r="J9095" s="60"/>
      <c r="K9095" s="60"/>
      <c r="L9095" s="60"/>
      <c r="M9095" s="64"/>
      <c r="N9095" s="33"/>
    </row>
    <row r="9096" ht="24" customHeight="1" spans="2:14">
      <c r="B9096" s="33"/>
      <c r="C9096" s="60"/>
      <c r="D9096" s="60"/>
      <c r="E9096" s="60"/>
      <c r="F9096" s="60"/>
      <c r="G9096" s="60"/>
      <c r="H9096" s="60"/>
      <c r="I9096" s="60"/>
      <c r="J9096" s="60"/>
      <c r="K9096" s="60"/>
      <c r="L9096" s="60"/>
      <c r="M9096" s="64"/>
      <c r="N9096" s="33"/>
    </row>
    <row r="9097" ht="24" customHeight="1" spans="2:14">
      <c r="B9097" s="33"/>
      <c r="C9097" s="60"/>
      <c r="D9097" s="60"/>
      <c r="E9097" s="60"/>
      <c r="F9097" s="60"/>
      <c r="G9097" s="60"/>
      <c r="H9097" s="60"/>
      <c r="I9097" s="60"/>
      <c r="J9097" s="60"/>
      <c r="K9097" s="60"/>
      <c r="L9097" s="60"/>
      <c r="M9097" s="64"/>
      <c r="N9097" s="33"/>
    </row>
    <row r="9098" ht="24" customHeight="1" spans="2:14">
      <c r="B9098" s="33"/>
      <c r="C9098" s="60"/>
      <c r="D9098" s="60"/>
      <c r="E9098" s="60"/>
      <c r="F9098" s="60"/>
      <c r="G9098" s="60"/>
      <c r="H9098" s="60"/>
      <c r="I9098" s="60"/>
      <c r="J9098" s="60"/>
      <c r="K9098" s="60"/>
      <c r="L9098" s="60"/>
      <c r="M9098" s="64"/>
      <c r="N9098" s="33"/>
    </row>
    <row r="9099" ht="24" customHeight="1" spans="2:14">
      <c r="B9099" s="33"/>
      <c r="C9099" s="60"/>
      <c r="D9099" s="60"/>
      <c r="E9099" s="60"/>
      <c r="F9099" s="60"/>
      <c r="G9099" s="60"/>
      <c r="H9099" s="60"/>
      <c r="I9099" s="60"/>
      <c r="J9099" s="60"/>
      <c r="K9099" s="60"/>
      <c r="L9099" s="60"/>
      <c r="M9099" s="64"/>
      <c r="N9099" s="33"/>
    </row>
    <row r="9100" ht="24" customHeight="1" spans="2:14">
      <c r="B9100" s="33"/>
      <c r="C9100" s="60"/>
      <c r="D9100" s="60"/>
      <c r="E9100" s="60"/>
      <c r="F9100" s="60"/>
      <c r="G9100" s="60"/>
      <c r="H9100" s="60"/>
      <c r="I9100" s="60"/>
      <c r="J9100" s="60"/>
      <c r="K9100" s="60"/>
      <c r="L9100" s="60"/>
      <c r="M9100" s="64"/>
      <c r="N9100" s="33"/>
    </row>
    <row r="9101" ht="24" customHeight="1" spans="2:14">
      <c r="B9101" s="33"/>
      <c r="C9101" s="60"/>
      <c r="D9101" s="60"/>
      <c r="E9101" s="60"/>
      <c r="F9101" s="60"/>
      <c r="G9101" s="60"/>
      <c r="H9101" s="60"/>
      <c r="I9101" s="60"/>
      <c r="J9101" s="60"/>
      <c r="K9101" s="60"/>
      <c r="L9101" s="60"/>
      <c r="M9101" s="64"/>
      <c r="N9101" s="33"/>
    </row>
    <row r="9102" ht="24" customHeight="1" spans="2:14">
      <c r="B9102" s="33"/>
      <c r="C9102" s="60"/>
      <c r="D9102" s="60"/>
      <c r="E9102" s="60"/>
      <c r="F9102" s="60"/>
      <c r="G9102" s="60"/>
      <c r="H9102" s="60"/>
      <c r="I9102" s="60"/>
      <c r="J9102" s="60"/>
      <c r="K9102" s="60"/>
      <c r="L9102" s="60"/>
      <c r="M9102" s="64"/>
      <c r="N9102" s="33"/>
    </row>
    <row r="9103" ht="24" customHeight="1" spans="2:14">
      <c r="B9103" s="33"/>
      <c r="C9103" s="60"/>
      <c r="D9103" s="60"/>
      <c r="E9103" s="60"/>
      <c r="F9103" s="60"/>
      <c r="G9103" s="60"/>
      <c r="H9103" s="60"/>
      <c r="I9103" s="60"/>
      <c r="J9103" s="60"/>
      <c r="K9103" s="60"/>
      <c r="L9103" s="60"/>
      <c r="M9103" s="64"/>
      <c r="N9103" s="33"/>
    </row>
    <row r="9104" ht="24" customHeight="1" spans="2:14">
      <c r="B9104" s="33"/>
      <c r="C9104" s="60"/>
      <c r="D9104" s="60"/>
      <c r="E9104" s="60"/>
      <c r="F9104" s="60"/>
      <c r="G9104" s="60"/>
      <c r="H9104" s="60"/>
      <c r="I9104" s="60"/>
      <c r="J9104" s="60"/>
      <c r="K9104" s="60"/>
      <c r="L9104" s="60"/>
      <c r="M9104" s="64"/>
      <c r="N9104" s="33"/>
    </row>
    <row r="9105" ht="24" customHeight="1" spans="2:14">
      <c r="B9105" s="33"/>
      <c r="C9105" s="60"/>
      <c r="D9105" s="60"/>
      <c r="E9105" s="60"/>
      <c r="F9105" s="60"/>
      <c r="G9105" s="60"/>
      <c r="H9105" s="60"/>
      <c r="I9105" s="60"/>
      <c r="J9105" s="60"/>
      <c r="K9105" s="60"/>
      <c r="L9105" s="60"/>
      <c r="M9105" s="64"/>
      <c r="N9105" s="33"/>
    </row>
    <row r="9106" ht="24" customHeight="1" spans="2:14">
      <c r="B9106" s="33"/>
      <c r="C9106" s="60"/>
      <c r="D9106" s="60"/>
      <c r="E9106" s="60"/>
      <c r="F9106" s="60"/>
      <c r="G9106" s="60"/>
      <c r="H9106" s="60"/>
      <c r="I9106" s="60"/>
      <c r="J9106" s="60"/>
      <c r="K9106" s="60"/>
      <c r="L9106" s="60"/>
      <c r="M9106" s="64"/>
      <c r="N9106" s="33"/>
    </row>
    <row r="9107" ht="24" customHeight="1" spans="2:14">
      <c r="B9107" s="33"/>
      <c r="C9107" s="60"/>
      <c r="D9107" s="60"/>
      <c r="E9107" s="60"/>
      <c r="F9107" s="60"/>
      <c r="G9107" s="60"/>
      <c r="H9107" s="60"/>
      <c r="I9107" s="60"/>
      <c r="J9107" s="60"/>
      <c r="K9107" s="60"/>
      <c r="L9107" s="60"/>
      <c r="M9107" s="64"/>
      <c r="N9107" s="33"/>
    </row>
    <row r="9108" ht="24" customHeight="1" spans="2:14">
      <c r="B9108" s="33"/>
      <c r="C9108" s="60"/>
      <c r="D9108" s="60"/>
      <c r="E9108" s="60"/>
      <c r="F9108" s="60"/>
      <c r="G9108" s="60"/>
      <c r="H9108" s="60"/>
      <c r="I9108" s="60"/>
      <c r="J9108" s="60"/>
      <c r="K9108" s="60"/>
      <c r="L9108" s="60"/>
      <c r="M9108" s="64"/>
      <c r="N9108" s="33"/>
    </row>
    <row r="9109" ht="24" customHeight="1" spans="2:14">
      <c r="B9109" s="33"/>
      <c r="C9109" s="60"/>
      <c r="D9109" s="60"/>
      <c r="E9109" s="60"/>
      <c r="F9109" s="60"/>
      <c r="G9109" s="60"/>
      <c r="H9109" s="60"/>
      <c r="I9109" s="60"/>
      <c r="J9109" s="60"/>
      <c r="K9109" s="60"/>
      <c r="L9109" s="60"/>
      <c r="M9109" s="64"/>
      <c r="N9109" s="33"/>
    </row>
    <row r="9110" ht="24" customHeight="1" spans="2:14">
      <c r="B9110" s="33"/>
      <c r="C9110" s="60"/>
      <c r="D9110" s="60"/>
      <c r="E9110" s="60"/>
      <c r="F9110" s="60"/>
      <c r="G9110" s="60"/>
      <c r="H9110" s="60"/>
      <c r="I9110" s="60"/>
      <c r="J9110" s="60"/>
      <c r="K9110" s="60"/>
      <c r="L9110" s="60"/>
      <c r="M9110" s="64"/>
      <c r="N9110" s="33"/>
    </row>
    <row r="9111" ht="24" customHeight="1" spans="2:14">
      <c r="B9111" s="33"/>
      <c r="C9111" s="60"/>
      <c r="D9111" s="60"/>
      <c r="E9111" s="60"/>
      <c r="F9111" s="60"/>
      <c r="G9111" s="60"/>
      <c r="H9111" s="60"/>
      <c r="I9111" s="60"/>
      <c r="J9111" s="60"/>
      <c r="K9111" s="60"/>
      <c r="L9111" s="60"/>
      <c r="M9111" s="64"/>
      <c r="N9111" s="33"/>
    </row>
    <row r="9112" ht="24" customHeight="1" spans="2:14">
      <c r="B9112" s="33"/>
      <c r="C9112" s="60"/>
      <c r="D9112" s="60"/>
      <c r="E9112" s="60"/>
      <c r="F9112" s="60"/>
      <c r="G9112" s="60"/>
      <c r="H9112" s="60"/>
      <c r="I9112" s="60"/>
      <c r="J9112" s="60"/>
      <c r="K9112" s="60"/>
      <c r="L9112" s="60"/>
      <c r="M9112" s="64"/>
      <c r="N9112" s="33"/>
    </row>
    <row r="9113" ht="24" customHeight="1" spans="2:14">
      <c r="B9113" s="33"/>
      <c r="C9113" s="60"/>
      <c r="D9113" s="60"/>
      <c r="E9113" s="60"/>
      <c r="F9113" s="60"/>
      <c r="G9113" s="60"/>
      <c r="H9113" s="60"/>
      <c r="I9113" s="60"/>
      <c r="J9113" s="60"/>
      <c r="K9113" s="60"/>
      <c r="L9113" s="60"/>
      <c r="M9113" s="64"/>
      <c r="N9113" s="33"/>
    </row>
    <row r="9114" ht="24" customHeight="1" spans="2:14">
      <c r="B9114" s="33"/>
      <c r="C9114" s="60"/>
      <c r="D9114" s="60"/>
      <c r="E9114" s="60"/>
      <c r="F9114" s="60"/>
      <c r="G9114" s="60"/>
      <c r="H9114" s="60"/>
      <c r="I9114" s="60"/>
      <c r="J9114" s="60"/>
      <c r="K9114" s="60"/>
      <c r="L9114" s="60"/>
      <c r="M9114" s="64"/>
      <c r="N9114" s="33"/>
    </row>
    <row r="9115" ht="24" customHeight="1" spans="2:14">
      <c r="B9115" s="33"/>
      <c r="C9115" s="60"/>
      <c r="D9115" s="60"/>
      <c r="E9115" s="60"/>
      <c r="F9115" s="60"/>
      <c r="G9115" s="60"/>
      <c r="H9115" s="60"/>
      <c r="I9115" s="60"/>
      <c r="J9115" s="60"/>
      <c r="K9115" s="60"/>
      <c r="L9115" s="60"/>
      <c r="M9115" s="64"/>
      <c r="N9115" s="33"/>
    </row>
    <row r="9116" ht="24" customHeight="1" spans="2:14">
      <c r="B9116" s="33"/>
      <c r="C9116" s="60"/>
      <c r="D9116" s="60"/>
      <c r="E9116" s="60"/>
      <c r="F9116" s="60"/>
      <c r="G9116" s="60"/>
      <c r="H9116" s="60"/>
      <c r="I9116" s="60"/>
      <c r="J9116" s="60"/>
      <c r="K9116" s="60"/>
      <c r="L9116" s="60"/>
      <c r="M9116" s="64"/>
      <c r="N9116" s="33"/>
    </row>
    <row r="9117" ht="24" customHeight="1" spans="2:14">
      <c r="B9117" s="33"/>
      <c r="C9117" s="60"/>
      <c r="D9117" s="60"/>
      <c r="E9117" s="60"/>
      <c r="F9117" s="60"/>
      <c r="G9117" s="60"/>
      <c r="H9117" s="60"/>
      <c r="I9117" s="60"/>
      <c r="J9117" s="60"/>
      <c r="K9117" s="60"/>
      <c r="L9117" s="60"/>
      <c r="M9117" s="64"/>
      <c r="N9117" s="33"/>
    </row>
    <row r="9118" ht="24" customHeight="1" spans="2:14">
      <c r="B9118" s="33"/>
      <c r="C9118" s="60"/>
      <c r="D9118" s="60"/>
      <c r="E9118" s="60"/>
      <c r="F9118" s="60"/>
      <c r="G9118" s="60"/>
      <c r="H9118" s="60"/>
      <c r="I9118" s="60"/>
      <c r="J9118" s="60"/>
      <c r="K9118" s="60"/>
      <c r="L9118" s="60"/>
      <c r="M9118" s="64"/>
      <c r="N9118" s="33"/>
    </row>
    <row r="9119" ht="24" customHeight="1" spans="2:14">
      <c r="B9119" s="33"/>
      <c r="C9119" s="60"/>
      <c r="D9119" s="60"/>
      <c r="E9119" s="60"/>
      <c r="F9119" s="60"/>
      <c r="G9119" s="60"/>
      <c r="H9119" s="60"/>
      <c r="I9119" s="60"/>
      <c r="J9119" s="60"/>
      <c r="K9119" s="60"/>
      <c r="L9119" s="60"/>
      <c r="M9119" s="64"/>
      <c r="N9119" s="33"/>
    </row>
    <row r="9120" ht="24" customHeight="1" spans="2:14">
      <c r="B9120" s="33"/>
      <c r="C9120" s="60"/>
      <c r="D9120" s="60"/>
      <c r="E9120" s="60"/>
      <c r="F9120" s="60"/>
      <c r="G9120" s="60"/>
      <c r="H9120" s="60"/>
      <c r="I9120" s="60"/>
      <c r="J9120" s="60"/>
      <c r="K9120" s="60"/>
      <c r="L9120" s="60"/>
      <c r="M9120" s="64"/>
      <c r="N9120" s="33"/>
    </row>
    <row r="9121" ht="24" customHeight="1" spans="2:14">
      <c r="B9121" s="33"/>
      <c r="C9121" s="60"/>
      <c r="D9121" s="60"/>
      <c r="E9121" s="60"/>
      <c r="F9121" s="60"/>
      <c r="G9121" s="60"/>
      <c r="H9121" s="60"/>
      <c r="I9121" s="60"/>
      <c r="J9121" s="60"/>
      <c r="K9121" s="60"/>
      <c r="L9121" s="60"/>
      <c r="M9121" s="64"/>
      <c r="N9121" s="33"/>
    </row>
    <row r="9122" ht="24" customHeight="1" spans="2:14">
      <c r="B9122" s="33"/>
      <c r="C9122" s="60"/>
      <c r="D9122" s="60"/>
      <c r="E9122" s="60"/>
      <c r="F9122" s="60"/>
      <c r="G9122" s="60"/>
      <c r="H9122" s="60"/>
      <c r="I9122" s="60"/>
      <c r="J9122" s="60"/>
      <c r="K9122" s="60"/>
      <c r="L9122" s="60"/>
      <c r="M9122" s="64"/>
      <c r="N9122" s="33"/>
    </row>
    <row r="9123" ht="24" customHeight="1" spans="2:14">
      <c r="B9123" s="33"/>
      <c r="C9123" s="60"/>
      <c r="D9123" s="60"/>
      <c r="E9123" s="60"/>
      <c r="F9123" s="60"/>
      <c r="G9123" s="60"/>
      <c r="H9123" s="60"/>
      <c r="I9123" s="60"/>
      <c r="J9123" s="60"/>
      <c r="K9123" s="60"/>
      <c r="L9123" s="60"/>
      <c r="M9123" s="64"/>
      <c r="N9123" s="33"/>
    </row>
    <row r="9124" ht="24" customHeight="1" spans="2:14">
      <c r="B9124" s="33"/>
      <c r="C9124" s="60"/>
      <c r="D9124" s="60"/>
      <c r="E9124" s="60"/>
      <c r="F9124" s="60"/>
      <c r="G9124" s="60"/>
      <c r="H9124" s="60"/>
      <c r="I9124" s="60"/>
      <c r="J9124" s="60"/>
      <c r="K9124" s="60"/>
      <c r="L9124" s="60"/>
      <c r="M9124" s="64"/>
      <c r="N9124" s="33"/>
    </row>
    <row r="9125" ht="24" customHeight="1" spans="2:14">
      <c r="B9125" s="33"/>
      <c r="C9125" s="60"/>
      <c r="D9125" s="60"/>
      <c r="E9125" s="60"/>
      <c r="F9125" s="60"/>
      <c r="G9125" s="60"/>
      <c r="H9125" s="60"/>
      <c r="I9125" s="60"/>
      <c r="J9125" s="60"/>
      <c r="K9125" s="60"/>
      <c r="L9125" s="60"/>
      <c r="M9125" s="64"/>
      <c r="N9125" s="33"/>
    </row>
    <row r="9126" ht="24" customHeight="1" spans="2:14">
      <c r="B9126" s="33"/>
      <c r="C9126" s="60"/>
      <c r="D9126" s="60"/>
      <c r="E9126" s="60"/>
      <c r="F9126" s="60"/>
      <c r="G9126" s="60"/>
      <c r="H9126" s="60"/>
      <c r="I9126" s="60"/>
      <c r="J9126" s="60"/>
      <c r="K9126" s="60"/>
      <c r="L9126" s="60"/>
      <c r="M9126" s="64"/>
      <c r="N9126" s="33"/>
    </row>
    <row r="9127" ht="24" customHeight="1" spans="2:14">
      <c r="B9127" s="33"/>
      <c r="C9127" s="60"/>
      <c r="D9127" s="60"/>
      <c r="E9127" s="60"/>
      <c r="F9127" s="60"/>
      <c r="G9127" s="60"/>
      <c r="H9127" s="60"/>
      <c r="I9127" s="60"/>
      <c r="J9127" s="60"/>
      <c r="K9127" s="60"/>
      <c r="L9127" s="60"/>
      <c r="M9127" s="64"/>
      <c r="N9127" s="33"/>
    </row>
    <row r="9128" ht="24" customHeight="1" spans="2:14">
      <c r="B9128" s="33"/>
      <c r="C9128" s="60"/>
      <c r="D9128" s="60"/>
      <c r="E9128" s="60"/>
      <c r="F9128" s="60"/>
      <c r="G9128" s="60"/>
      <c r="H9128" s="60"/>
      <c r="I9128" s="60"/>
      <c r="J9128" s="60"/>
      <c r="K9128" s="60"/>
      <c r="L9128" s="60"/>
      <c r="M9128" s="64"/>
      <c r="N9128" s="33"/>
    </row>
    <row r="9129" ht="24" customHeight="1" spans="2:14">
      <c r="B9129" s="33"/>
      <c r="C9129" s="60"/>
      <c r="D9129" s="60"/>
      <c r="E9129" s="60"/>
      <c r="F9129" s="60"/>
      <c r="G9129" s="60"/>
      <c r="H9129" s="60"/>
      <c r="I9129" s="60"/>
      <c r="J9129" s="60"/>
      <c r="K9129" s="60"/>
      <c r="L9129" s="60"/>
      <c r="M9129" s="64"/>
      <c r="N9129" s="33"/>
    </row>
    <row r="9130" ht="24" customHeight="1" spans="2:14">
      <c r="B9130" s="33"/>
      <c r="C9130" s="60"/>
      <c r="D9130" s="60"/>
      <c r="E9130" s="60"/>
      <c r="F9130" s="60"/>
      <c r="G9130" s="60"/>
      <c r="H9130" s="60"/>
      <c r="I9130" s="60"/>
      <c r="J9130" s="60"/>
      <c r="K9130" s="60"/>
      <c r="L9130" s="60"/>
      <c r="M9130" s="64"/>
      <c r="N9130" s="33"/>
    </row>
    <row r="9131" ht="24" customHeight="1" spans="2:14">
      <c r="B9131" s="33"/>
      <c r="C9131" s="60"/>
      <c r="D9131" s="60"/>
      <c r="E9131" s="60"/>
      <c r="F9131" s="60"/>
      <c r="G9131" s="60"/>
      <c r="H9131" s="60"/>
      <c r="I9131" s="60"/>
      <c r="J9131" s="60"/>
      <c r="K9131" s="60"/>
      <c r="L9131" s="60"/>
      <c r="M9131" s="64"/>
      <c r="N9131" s="33"/>
    </row>
    <row r="9132" ht="24" customHeight="1" spans="2:14">
      <c r="B9132" s="33"/>
      <c r="C9132" s="60"/>
      <c r="D9132" s="60"/>
      <c r="E9132" s="60"/>
      <c r="F9132" s="60"/>
      <c r="G9132" s="60"/>
      <c r="H9132" s="60"/>
      <c r="I9132" s="60"/>
      <c r="J9132" s="60"/>
      <c r="K9132" s="60"/>
      <c r="L9132" s="60"/>
      <c r="M9132" s="64"/>
      <c r="N9132" s="33"/>
    </row>
    <row r="9133" ht="24" customHeight="1" spans="2:14">
      <c r="B9133" s="33"/>
      <c r="C9133" s="60"/>
      <c r="D9133" s="60"/>
      <c r="E9133" s="60"/>
      <c r="F9133" s="60"/>
      <c r="G9133" s="60"/>
      <c r="H9133" s="60"/>
      <c r="I9133" s="60"/>
      <c r="J9133" s="60"/>
      <c r="K9133" s="60"/>
      <c r="L9133" s="60"/>
      <c r="M9133" s="64"/>
      <c r="N9133" s="33"/>
    </row>
    <row r="9134" ht="24" customHeight="1" spans="2:14">
      <c r="B9134" s="33"/>
      <c r="C9134" s="60"/>
      <c r="D9134" s="60"/>
      <c r="E9134" s="60"/>
      <c r="F9134" s="60"/>
      <c r="G9134" s="60"/>
      <c r="H9134" s="60"/>
      <c r="I9134" s="60"/>
      <c r="J9134" s="60"/>
      <c r="K9134" s="60"/>
      <c r="L9134" s="60"/>
      <c r="M9134" s="64"/>
      <c r="N9134" s="33"/>
    </row>
    <row r="9135" ht="24" customHeight="1" spans="2:14">
      <c r="B9135" s="33"/>
      <c r="C9135" s="60"/>
      <c r="D9135" s="60"/>
      <c r="E9135" s="60"/>
      <c r="F9135" s="60"/>
      <c r="G9135" s="60"/>
      <c r="H9135" s="60"/>
      <c r="I9135" s="60"/>
      <c r="J9135" s="60"/>
      <c r="K9135" s="60"/>
      <c r="L9135" s="60"/>
      <c r="M9135" s="64"/>
      <c r="N9135" s="33"/>
    </row>
    <row r="9136" ht="24" customHeight="1" spans="2:14">
      <c r="B9136" s="33"/>
      <c r="C9136" s="60"/>
      <c r="D9136" s="60"/>
      <c r="E9136" s="60"/>
      <c r="F9136" s="60"/>
      <c r="G9136" s="60"/>
      <c r="H9136" s="60"/>
      <c r="I9136" s="60"/>
      <c r="J9136" s="60"/>
      <c r="K9136" s="60"/>
      <c r="L9136" s="60"/>
      <c r="M9136" s="64"/>
      <c r="N9136" s="33"/>
    </row>
    <row r="9137" ht="24" customHeight="1" spans="2:14">
      <c r="B9137" s="33"/>
      <c r="C9137" s="60"/>
      <c r="D9137" s="60"/>
      <c r="E9137" s="60"/>
      <c r="F9137" s="60"/>
      <c r="G9137" s="60"/>
      <c r="H9137" s="60"/>
      <c r="I9137" s="60"/>
      <c r="J9137" s="60"/>
      <c r="K9137" s="60"/>
      <c r="L9137" s="60"/>
      <c r="M9137" s="64"/>
      <c r="N9137" s="33"/>
    </row>
    <row r="9138" ht="24" customHeight="1" spans="2:14">
      <c r="B9138" s="33"/>
      <c r="C9138" s="60"/>
      <c r="D9138" s="60"/>
      <c r="E9138" s="60"/>
      <c r="F9138" s="60"/>
      <c r="G9138" s="60"/>
      <c r="H9138" s="60"/>
      <c r="I9138" s="60"/>
      <c r="J9138" s="60"/>
      <c r="K9138" s="60"/>
      <c r="L9138" s="60"/>
      <c r="M9138" s="64"/>
      <c r="N9138" s="33"/>
    </row>
    <row r="9139" ht="24" customHeight="1" spans="2:14">
      <c r="B9139" s="33"/>
      <c r="C9139" s="60"/>
      <c r="D9139" s="60"/>
      <c r="E9139" s="60"/>
      <c r="F9139" s="60"/>
      <c r="G9139" s="60"/>
      <c r="H9139" s="60"/>
      <c r="I9139" s="60"/>
      <c r="J9139" s="60"/>
      <c r="K9139" s="60"/>
      <c r="L9139" s="60"/>
      <c r="M9139" s="64"/>
      <c r="N9139" s="33"/>
    </row>
    <row r="9140" ht="24" customHeight="1" spans="2:14">
      <c r="B9140" s="33"/>
      <c r="C9140" s="60"/>
      <c r="D9140" s="60"/>
      <c r="E9140" s="60"/>
      <c r="F9140" s="60"/>
      <c r="G9140" s="60"/>
      <c r="H9140" s="60"/>
      <c r="I9140" s="60"/>
      <c r="J9140" s="60"/>
      <c r="K9140" s="60"/>
      <c r="L9140" s="60"/>
      <c r="M9140" s="64"/>
      <c r="N9140" s="33"/>
    </row>
    <row r="9141" ht="24" customHeight="1" spans="2:14">
      <c r="B9141" s="33"/>
      <c r="C9141" s="60"/>
      <c r="D9141" s="60"/>
      <c r="E9141" s="60"/>
      <c r="F9141" s="60"/>
      <c r="G9141" s="60"/>
      <c r="H9141" s="60"/>
      <c r="I9141" s="60"/>
      <c r="J9141" s="60"/>
      <c r="K9141" s="60"/>
      <c r="L9141" s="60"/>
      <c r="M9141" s="64"/>
      <c r="N9141" s="33"/>
    </row>
    <row r="9142" ht="24" customHeight="1" spans="2:14">
      <c r="B9142" s="33"/>
      <c r="C9142" s="60"/>
      <c r="D9142" s="60"/>
      <c r="E9142" s="60"/>
      <c r="F9142" s="60"/>
      <c r="G9142" s="60"/>
      <c r="H9142" s="60"/>
      <c r="I9142" s="60"/>
      <c r="J9142" s="60"/>
      <c r="K9142" s="60"/>
      <c r="L9142" s="60"/>
      <c r="M9142" s="64"/>
      <c r="N9142" s="33"/>
    </row>
    <row r="9143" ht="24" customHeight="1" spans="2:14">
      <c r="B9143" s="33"/>
      <c r="C9143" s="60"/>
      <c r="D9143" s="60"/>
      <c r="E9143" s="60"/>
      <c r="F9143" s="60"/>
      <c r="G9143" s="60"/>
      <c r="H9143" s="60"/>
      <c r="I9143" s="60"/>
      <c r="J9143" s="60"/>
      <c r="K9143" s="60"/>
      <c r="L9143" s="60"/>
      <c r="M9143" s="64"/>
      <c r="N9143" s="33"/>
    </row>
    <row r="9144" ht="24" customHeight="1" spans="2:14">
      <c r="B9144" s="33"/>
      <c r="C9144" s="60"/>
      <c r="D9144" s="60"/>
      <c r="E9144" s="60"/>
      <c r="F9144" s="60"/>
      <c r="G9144" s="60"/>
      <c r="H9144" s="60"/>
      <c r="I9144" s="60"/>
      <c r="J9144" s="60"/>
      <c r="K9144" s="60"/>
      <c r="L9144" s="60"/>
      <c r="M9144" s="64"/>
      <c r="N9144" s="33"/>
    </row>
    <row r="9145" ht="24" customHeight="1" spans="2:14">
      <c r="B9145" s="33"/>
      <c r="C9145" s="60"/>
      <c r="D9145" s="60"/>
      <c r="E9145" s="60"/>
      <c r="F9145" s="60"/>
      <c r="G9145" s="60"/>
      <c r="H9145" s="60"/>
      <c r="I9145" s="60"/>
      <c r="J9145" s="60"/>
      <c r="K9145" s="60"/>
      <c r="L9145" s="60"/>
      <c r="M9145" s="64"/>
      <c r="N9145" s="33"/>
    </row>
    <row r="9146" ht="24" customHeight="1" spans="2:14">
      <c r="B9146" s="33"/>
      <c r="C9146" s="60"/>
      <c r="D9146" s="60"/>
      <c r="E9146" s="60"/>
      <c r="F9146" s="60"/>
      <c r="G9146" s="60"/>
      <c r="H9146" s="60"/>
      <c r="I9146" s="60"/>
      <c r="J9146" s="60"/>
      <c r="K9146" s="60"/>
      <c r="L9146" s="60"/>
      <c r="M9146" s="64"/>
      <c r="N9146" s="33"/>
    </row>
    <row r="9147" ht="24" customHeight="1" spans="2:14">
      <c r="B9147" s="33"/>
      <c r="C9147" s="60"/>
      <c r="D9147" s="60"/>
      <c r="E9147" s="60"/>
      <c r="F9147" s="60"/>
      <c r="G9147" s="60"/>
      <c r="H9147" s="60"/>
      <c r="I9147" s="60"/>
      <c r="J9147" s="60"/>
      <c r="K9147" s="60"/>
      <c r="L9147" s="60"/>
      <c r="M9147" s="64"/>
      <c r="N9147" s="33"/>
    </row>
    <row r="9148" ht="24" customHeight="1" spans="2:14">
      <c r="B9148" s="33"/>
      <c r="C9148" s="60"/>
      <c r="D9148" s="60"/>
      <c r="E9148" s="60"/>
      <c r="F9148" s="60"/>
      <c r="G9148" s="60"/>
      <c r="H9148" s="60"/>
      <c r="I9148" s="60"/>
      <c r="J9148" s="60"/>
      <c r="K9148" s="60"/>
      <c r="L9148" s="60"/>
      <c r="M9148" s="64"/>
      <c r="N9148" s="33"/>
    </row>
    <row r="9149" ht="24" customHeight="1" spans="2:14">
      <c r="B9149" s="33"/>
      <c r="C9149" s="60"/>
      <c r="D9149" s="60"/>
      <c r="E9149" s="60"/>
      <c r="F9149" s="60"/>
      <c r="G9149" s="60"/>
      <c r="H9149" s="60"/>
      <c r="I9149" s="60"/>
      <c r="J9149" s="60"/>
      <c r="K9149" s="60"/>
      <c r="L9149" s="60"/>
      <c r="M9149" s="64"/>
      <c r="N9149" s="33"/>
    </row>
    <row r="9150" ht="24" customHeight="1" spans="2:14">
      <c r="B9150" s="33"/>
      <c r="C9150" s="60"/>
      <c r="D9150" s="60"/>
      <c r="E9150" s="60"/>
      <c r="F9150" s="60"/>
      <c r="G9150" s="60"/>
      <c r="H9150" s="60"/>
      <c r="I9150" s="60"/>
      <c r="J9150" s="60"/>
      <c r="K9150" s="60"/>
      <c r="L9150" s="60"/>
      <c r="M9150" s="64"/>
      <c r="N9150" s="33"/>
    </row>
    <row r="9151" ht="24" customHeight="1" spans="2:14">
      <c r="B9151" s="33"/>
      <c r="C9151" s="60"/>
      <c r="D9151" s="60"/>
      <c r="E9151" s="60"/>
      <c r="F9151" s="60"/>
      <c r="G9151" s="60"/>
      <c r="H9151" s="60"/>
      <c r="I9151" s="60"/>
      <c r="J9151" s="60"/>
      <c r="K9151" s="60"/>
      <c r="L9151" s="60"/>
      <c r="M9151" s="64"/>
      <c r="N9151" s="33"/>
    </row>
    <row r="9152" ht="24" customHeight="1" spans="2:14">
      <c r="B9152" s="33"/>
      <c r="C9152" s="60"/>
      <c r="D9152" s="60"/>
      <c r="E9152" s="60"/>
      <c r="F9152" s="60"/>
      <c r="G9152" s="60"/>
      <c r="H9152" s="60"/>
      <c r="I9152" s="60"/>
      <c r="J9152" s="60"/>
      <c r="K9152" s="60"/>
      <c r="L9152" s="60"/>
      <c r="M9152" s="64"/>
      <c r="N9152" s="33"/>
    </row>
    <row r="9153" ht="24" customHeight="1" spans="2:14">
      <c r="B9153" s="33"/>
      <c r="C9153" s="60"/>
      <c r="D9153" s="60"/>
      <c r="E9153" s="60"/>
      <c r="F9153" s="60"/>
      <c r="G9153" s="60"/>
      <c r="H9153" s="60"/>
      <c r="I9153" s="60"/>
      <c r="J9153" s="60"/>
      <c r="K9153" s="60"/>
      <c r="L9153" s="60"/>
      <c r="M9153" s="64"/>
      <c r="N9153" s="33"/>
    </row>
    <row r="9154" ht="24" customHeight="1" spans="2:14">
      <c r="B9154" s="33"/>
      <c r="C9154" s="60"/>
      <c r="D9154" s="60"/>
      <c r="E9154" s="60"/>
      <c r="F9154" s="60"/>
      <c r="G9154" s="60"/>
      <c r="H9154" s="60"/>
      <c r="I9154" s="60"/>
      <c r="J9154" s="60"/>
      <c r="K9154" s="60"/>
      <c r="L9154" s="60"/>
      <c r="M9154" s="64"/>
      <c r="N9154" s="33"/>
    </row>
    <row r="9155" ht="24" customHeight="1" spans="2:14">
      <c r="B9155" s="33"/>
      <c r="C9155" s="60"/>
      <c r="D9155" s="60"/>
      <c r="E9155" s="60"/>
      <c r="F9155" s="60"/>
      <c r="G9155" s="60"/>
      <c r="H9155" s="60"/>
      <c r="I9155" s="60"/>
      <c r="J9155" s="60"/>
      <c r="K9155" s="60"/>
      <c r="L9155" s="60"/>
      <c r="M9155" s="64"/>
      <c r="N9155" s="33"/>
    </row>
    <row r="9156" ht="24" customHeight="1" spans="2:14">
      <c r="B9156" s="33"/>
      <c r="C9156" s="60"/>
      <c r="D9156" s="60"/>
      <c r="E9156" s="60"/>
      <c r="F9156" s="60"/>
      <c r="G9156" s="60"/>
      <c r="H9156" s="60"/>
      <c r="I9156" s="60"/>
      <c r="J9156" s="60"/>
      <c r="K9156" s="60"/>
      <c r="L9156" s="60"/>
      <c r="M9156" s="64"/>
      <c r="N9156" s="33"/>
    </row>
    <row r="9157" ht="24" customHeight="1" spans="2:14">
      <c r="B9157" s="33"/>
      <c r="C9157" s="60"/>
      <c r="D9157" s="60"/>
      <c r="E9157" s="60"/>
      <c r="F9157" s="60"/>
      <c r="G9157" s="60"/>
      <c r="H9157" s="60"/>
      <c r="I9157" s="60"/>
      <c r="J9157" s="60"/>
      <c r="K9157" s="60"/>
      <c r="L9157" s="60"/>
      <c r="M9157" s="64"/>
      <c r="N9157" s="33"/>
    </row>
    <row r="9158" ht="24" customHeight="1" spans="2:14">
      <c r="B9158" s="33"/>
      <c r="C9158" s="60"/>
      <c r="D9158" s="60"/>
      <c r="E9158" s="60"/>
      <c r="F9158" s="60"/>
      <c r="G9158" s="60"/>
      <c r="H9158" s="60"/>
      <c r="I9158" s="60"/>
      <c r="J9158" s="60"/>
      <c r="K9158" s="60"/>
      <c r="L9158" s="60"/>
      <c r="M9158" s="64"/>
      <c r="N9158" s="33"/>
    </row>
    <row r="9159" ht="24" customHeight="1" spans="2:14">
      <c r="B9159" s="33"/>
      <c r="C9159" s="60"/>
      <c r="D9159" s="60"/>
      <c r="E9159" s="60"/>
      <c r="F9159" s="60"/>
      <c r="G9159" s="60"/>
      <c r="H9159" s="60"/>
      <c r="I9159" s="60"/>
      <c r="J9159" s="60"/>
      <c r="K9159" s="60"/>
      <c r="L9159" s="60"/>
      <c r="M9159" s="64"/>
      <c r="N9159" s="33"/>
    </row>
    <row r="9160" ht="24" customHeight="1" spans="2:14">
      <c r="B9160" s="33"/>
      <c r="C9160" s="60"/>
      <c r="D9160" s="60"/>
      <c r="E9160" s="60"/>
      <c r="F9160" s="60"/>
      <c r="G9160" s="60"/>
      <c r="H9160" s="60"/>
      <c r="I9160" s="60"/>
      <c r="J9160" s="60"/>
      <c r="K9160" s="60"/>
      <c r="L9160" s="60"/>
      <c r="M9160" s="64"/>
      <c r="N9160" s="33"/>
    </row>
    <row r="9161" ht="24" customHeight="1" spans="2:14">
      <c r="B9161" s="33"/>
      <c r="C9161" s="60"/>
      <c r="D9161" s="60"/>
      <c r="E9161" s="60"/>
      <c r="F9161" s="60"/>
      <c r="G9161" s="60"/>
      <c r="H9161" s="60"/>
      <c r="I9161" s="60"/>
      <c r="J9161" s="60"/>
      <c r="K9161" s="60"/>
      <c r="L9161" s="60"/>
      <c r="M9161" s="64"/>
      <c r="N9161" s="33"/>
    </row>
    <row r="9162" ht="24" customHeight="1" spans="2:14">
      <c r="B9162" s="33"/>
      <c r="C9162" s="60"/>
      <c r="D9162" s="60"/>
      <c r="E9162" s="60"/>
      <c r="F9162" s="60"/>
      <c r="G9162" s="60"/>
      <c r="H9162" s="60"/>
      <c r="I9162" s="60"/>
      <c r="J9162" s="60"/>
      <c r="K9162" s="60"/>
      <c r="L9162" s="60"/>
      <c r="M9162" s="64"/>
      <c r="N9162" s="33"/>
    </row>
    <row r="9163" ht="24" customHeight="1" spans="2:14">
      <c r="B9163" s="33"/>
      <c r="C9163" s="60"/>
      <c r="D9163" s="60"/>
      <c r="E9163" s="60"/>
      <c r="F9163" s="60"/>
      <c r="G9163" s="60"/>
      <c r="H9163" s="60"/>
      <c r="I9163" s="60"/>
      <c r="J9163" s="60"/>
      <c r="K9163" s="60"/>
      <c r="L9163" s="60"/>
      <c r="M9163" s="64"/>
      <c r="N9163" s="33"/>
    </row>
    <row r="9164" ht="24" customHeight="1" spans="2:14">
      <c r="B9164" s="33"/>
      <c r="C9164" s="60"/>
      <c r="D9164" s="60"/>
      <c r="E9164" s="60"/>
      <c r="F9164" s="60"/>
      <c r="G9164" s="60"/>
      <c r="H9164" s="60"/>
      <c r="I9164" s="60"/>
      <c r="J9164" s="60"/>
      <c r="K9164" s="60"/>
      <c r="L9164" s="60"/>
      <c r="M9164" s="64"/>
      <c r="N9164" s="33"/>
    </row>
    <row r="9165" ht="24" customHeight="1" spans="2:14">
      <c r="B9165" s="33"/>
      <c r="C9165" s="60"/>
      <c r="D9165" s="60"/>
      <c r="E9165" s="60"/>
      <c r="F9165" s="60"/>
      <c r="G9165" s="60"/>
      <c r="H9165" s="60"/>
      <c r="I9165" s="60"/>
      <c r="J9165" s="60"/>
      <c r="K9165" s="60"/>
      <c r="L9165" s="60"/>
      <c r="M9165" s="64"/>
      <c r="N9165" s="33"/>
    </row>
    <row r="9166" ht="24" customHeight="1" spans="2:14">
      <c r="B9166" s="33"/>
      <c r="C9166" s="60"/>
      <c r="D9166" s="60"/>
      <c r="E9166" s="60"/>
      <c r="F9166" s="60"/>
      <c r="G9166" s="60"/>
      <c r="H9166" s="60"/>
      <c r="I9166" s="60"/>
      <c r="J9166" s="60"/>
      <c r="K9166" s="60"/>
      <c r="L9166" s="60"/>
      <c r="M9166" s="64"/>
      <c r="N9166" s="33"/>
    </row>
    <row r="9167" ht="24" customHeight="1" spans="2:14">
      <c r="B9167" s="33"/>
      <c r="C9167" s="60"/>
      <c r="D9167" s="60"/>
      <c r="E9167" s="60"/>
      <c r="F9167" s="60"/>
      <c r="G9167" s="60"/>
      <c r="H9167" s="60"/>
      <c r="I9167" s="60"/>
      <c r="J9167" s="60"/>
      <c r="K9167" s="60"/>
      <c r="L9167" s="60"/>
      <c r="M9167" s="64"/>
      <c r="N9167" s="33"/>
    </row>
    <row r="9168" ht="24" customHeight="1" spans="2:14">
      <c r="B9168" s="33"/>
      <c r="C9168" s="60"/>
      <c r="D9168" s="60"/>
      <c r="E9168" s="60"/>
      <c r="F9168" s="60"/>
      <c r="G9168" s="60"/>
      <c r="H9168" s="60"/>
      <c r="I9168" s="60"/>
      <c r="J9168" s="60"/>
      <c r="K9168" s="60"/>
      <c r="L9168" s="60"/>
      <c r="M9168" s="64"/>
      <c r="N9168" s="33"/>
    </row>
    <row r="9169" ht="24" customHeight="1" spans="2:14">
      <c r="B9169" s="33"/>
      <c r="C9169" s="60"/>
      <c r="D9169" s="60"/>
      <c r="E9169" s="60"/>
      <c r="F9169" s="60"/>
      <c r="G9169" s="60"/>
      <c r="H9169" s="60"/>
      <c r="I9169" s="60"/>
      <c r="J9169" s="60"/>
      <c r="K9169" s="60"/>
      <c r="L9169" s="60"/>
      <c r="M9169" s="64"/>
      <c r="N9169" s="33"/>
    </row>
    <row r="9170" ht="24" customHeight="1" spans="2:14">
      <c r="B9170" s="33"/>
      <c r="C9170" s="60"/>
      <c r="D9170" s="60"/>
      <c r="E9170" s="60"/>
      <c r="F9170" s="60"/>
      <c r="G9170" s="60"/>
      <c r="H9170" s="60"/>
      <c r="I9170" s="60"/>
      <c r="J9170" s="60"/>
      <c r="K9170" s="60"/>
      <c r="L9170" s="60"/>
      <c r="M9170" s="64"/>
      <c r="N9170" s="33"/>
    </row>
    <row r="9171" ht="24" customHeight="1" spans="2:14">
      <c r="B9171" s="33"/>
      <c r="C9171" s="60"/>
      <c r="D9171" s="60"/>
      <c r="E9171" s="60"/>
      <c r="F9171" s="60"/>
      <c r="G9171" s="60"/>
      <c r="H9171" s="60"/>
      <c r="I9171" s="60"/>
      <c r="J9171" s="60"/>
      <c r="K9171" s="60"/>
      <c r="L9171" s="60"/>
      <c r="M9171" s="64"/>
      <c r="N9171" s="33"/>
    </row>
    <row r="9172" ht="24" customHeight="1" spans="2:14">
      <c r="B9172" s="33"/>
      <c r="C9172" s="60"/>
      <c r="D9172" s="60"/>
      <c r="E9172" s="60"/>
      <c r="F9172" s="60"/>
      <c r="G9172" s="60"/>
      <c r="H9172" s="60"/>
      <c r="I9172" s="60"/>
      <c r="J9172" s="60"/>
      <c r="K9172" s="60"/>
      <c r="L9172" s="60"/>
      <c r="M9172" s="64"/>
      <c r="N9172" s="33"/>
    </row>
    <row r="9173" ht="24" customHeight="1" spans="2:14">
      <c r="B9173" s="33"/>
      <c r="C9173" s="60"/>
      <c r="D9173" s="60"/>
      <c r="E9173" s="60"/>
      <c r="F9173" s="60"/>
      <c r="G9173" s="60"/>
      <c r="H9173" s="60"/>
      <c r="I9173" s="60"/>
      <c r="J9173" s="60"/>
      <c r="K9173" s="60"/>
      <c r="L9173" s="60"/>
      <c r="M9173" s="64"/>
      <c r="N9173" s="33"/>
    </row>
    <row r="9174" ht="24" customHeight="1" spans="2:14">
      <c r="B9174" s="33"/>
      <c r="C9174" s="60"/>
      <c r="D9174" s="60"/>
      <c r="E9174" s="60"/>
      <c r="F9174" s="60"/>
      <c r="G9174" s="60"/>
      <c r="H9174" s="60"/>
      <c r="I9174" s="60"/>
      <c r="J9174" s="60"/>
      <c r="K9174" s="60"/>
      <c r="L9174" s="60"/>
      <c r="M9174" s="64"/>
      <c r="N9174" s="33"/>
    </row>
    <row r="9175" ht="24" customHeight="1" spans="2:14">
      <c r="B9175" s="33"/>
      <c r="C9175" s="60"/>
      <c r="D9175" s="60"/>
      <c r="E9175" s="60"/>
      <c r="F9175" s="60"/>
      <c r="G9175" s="60"/>
      <c r="H9175" s="60"/>
      <c r="I9175" s="60"/>
      <c r="J9175" s="60"/>
      <c r="K9175" s="60"/>
      <c r="L9175" s="60"/>
      <c r="M9175" s="64"/>
      <c r="N9175" s="33"/>
    </row>
    <row r="9176" ht="24" customHeight="1" spans="2:14">
      <c r="B9176" s="33"/>
      <c r="C9176" s="60"/>
      <c r="D9176" s="60"/>
      <c r="E9176" s="60"/>
      <c r="F9176" s="60"/>
      <c r="G9176" s="60"/>
      <c r="H9176" s="60"/>
      <c r="I9176" s="60"/>
      <c r="J9176" s="60"/>
      <c r="K9176" s="60"/>
      <c r="L9176" s="60"/>
      <c r="M9176" s="64"/>
      <c r="N9176" s="33"/>
    </row>
    <row r="9177" ht="24" customHeight="1" spans="2:14">
      <c r="B9177" s="33"/>
      <c r="C9177" s="60"/>
      <c r="D9177" s="60"/>
      <c r="E9177" s="60"/>
      <c r="F9177" s="60"/>
      <c r="G9177" s="60"/>
      <c r="H9177" s="60"/>
      <c r="I9177" s="60"/>
      <c r="J9177" s="60"/>
      <c r="K9177" s="60"/>
      <c r="L9177" s="60"/>
      <c r="M9177" s="64"/>
      <c r="N9177" s="33"/>
    </row>
    <row r="9178" ht="24" customHeight="1" spans="2:14">
      <c r="B9178" s="33"/>
      <c r="C9178" s="60"/>
      <c r="D9178" s="60"/>
      <c r="E9178" s="60"/>
      <c r="F9178" s="60"/>
      <c r="G9178" s="60"/>
      <c r="H9178" s="60"/>
      <c r="I9178" s="60"/>
      <c r="J9178" s="60"/>
      <c r="K9178" s="60"/>
      <c r="L9178" s="60"/>
      <c r="M9178" s="64"/>
      <c r="N9178" s="33"/>
    </row>
    <row r="9179" ht="24" customHeight="1" spans="2:14">
      <c r="B9179" s="33"/>
      <c r="C9179" s="60"/>
      <c r="D9179" s="60"/>
      <c r="E9179" s="60"/>
      <c r="F9179" s="60"/>
      <c r="G9179" s="60"/>
      <c r="H9179" s="60"/>
      <c r="I9179" s="60"/>
      <c r="J9179" s="60"/>
      <c r="K9179" s="60"/>
      <c r="L9179" s="60"/>
      <c r="M9179" s="64"/>
      <c r="N9179" s="33"/>
    </row>
    <row r="9180" ht="24" customHeight="1" spans="2:14">
      <c r="B9180" s="33"/>
      <c r="C9180" s="60"/>
      <c r="D9180" s="60"/>
      <c r="E9180" s="60"/>
      <c r="F9180" s="60"/>
      <c r="G9180" s="60"/>
      <c r="H9180" s="60"/>
      <c r="I9180" s="60"/>
      <c r="J9180" s="60"/>
      <c r="K9180" s="60"/>
      <c r="L9180" s="60"/>
      <c r="M9180" s="64"/>
      <c r="N9180" s="33"/>
    </row>
    <row r="9181" ht="24" customHeight="1" spans="2:14">
      <c r="B9181" s="33"/>
      <c r="C9181" s="60"/>
      <c r="D9181" s="60"/>
      <c r="E9181" s="60"/>
      <c r="F9181" s="60"/>
      <c r="G9181" s="60"/>
      <c r="H9181" s="60"/>
      <c r="I9181" s="60"/>
      <c r="J9181" s="60"/>
      <c r="K9181" s="60"/>
      <c r="L9181" s="60"/>
      <c r="M9181" s="64"/>
      <c r="N9181" s="33"/>
    </row>
    <row r="9182" ht="24" customHeight="1" spans="2:14">
      <c r="B9182" s="33"/>
      <c r="C9182" s="60"/>
      <c r="D9182" s="60"/>
      <c r="E9182" s="60"/>
      <c r="F9182" s="60"/>
      <c r="G9182" s="60"/>
      <c r="H9182" s="60"/>
      <c r="I9182" s="60"/>
      <c r="J9182" s="60"/>
      <c r="K9182" s="60"/>
      <c r="L9182" s="60"/>
      <c r="M9182" s="64"/>
      <c r="N9182" s="33"/>
    </row>
    <row r="9183" ht="24" customHeight="1" spans="2:14">
      <c r="B9183" s="33"/>
      <c r="C9183" s="60"/>
      <c r="D9183" s="60"/>
      <c r="E9183" s="60"/>
      <c r="F9183" s="60"/>
      <c r="G9183" s="60"/>
      <c r="H9183" s="60"/>
      <c r="I9183" s="60"/>
      <c r="J9183" s="60"/>
      <c r="K9183" s="60"/>
      <c r="L9183" s="60"/>
      <c r="M9183" s="64"/>
      <c r="N9183" s="33"/>
    </row>
    <row r="9184" ht="24" customHeight="1" spans="2:14">
      <c r="B9184" s="33"/>
      <c r="C9184" s="60"/>
      <c r="D9184" s="60"/>
      <c r="E9184" s="60"/>
      <c r="F9184" s="60"/>
      <c r="G9184" s="60"/>
      <c r="H9184" s="60"/>
      <c r="I9184" s="60"/>
      <c r="J9184" s="60"/>
      <c r="K9184" s="60"/>
      <c r="L9184" s="60"/>
      <c r="M9184" s="64"/>
      <c r="N9184" s="33"/>
    </row>
    <row r="9185" ht="24" customHeight="1" spans="2:14">
      <c r="B9185" s="33"/>
      <c r="C9185" s="60"/>
      <c r="D9185" s="60"/>
      <c r="E9185" s="60"/>
      <c r="F9185" s="60"/>
      <c r="G9185" s="60"/>
      <c r="H9185" s="60"/>
      <c r="I9185" s="60"/>
      <c r="J9185" s="60"/>
      <c r="K9185" s="60"/>
      <c r="L9185" s="60"/>
      <c r="M9185" s="64"/>
      <c r="N9185" s="33"/>
    </row>
    <row r="9186" ht="24" customHeight="1" spans="2:14">
      <c r="B9186" s="33"/>
      <c r="C9186" s="60"/>
      <c r="D9186" s="60"/>
      <c r="E9186" s="60"/>
      <c r="F9186" s="60"/>
      <c r="G9186" s="60"/>
      <c r="H9186" s="60"/>
      <c r="I9186" s="60"/>
      <c r="J9186" s="60"/>
      <c r="K9186" s="60"/>
      <c r="L9186" s="60"/>
      <c r="M9186" s="64"/>
      <c r="N9186" s="33"/>
    </row>
    <row r="9187" ht="24" customHeight="1" spans="2:14">
      <c r="B9187" s="33"/>
      <c r="C9187" s="60"/>
      <c r="D9187" s="60"/>
      <c r="E9187" s="60"/>
      <c r="F9187" s="60"/>
      <c r="G9187" s="60"/>
      <c r="H9187" s="60"/>
      <c r="I9187" s="60"/>
      <c r="J9187" s="60"/>
      <c r="K9187" s="60"/>
      <c r="L9187" s="60"/>
      <c r="M9187" s="64"/>
      <c r="N9187" s="33"/>
    </row>
    <row r="9188" ht="24" customHeight="1" spans="2:14">
      <c r="B9188" s="33"/>
      <c r="C9188" s="60"/>
      <c r="D9188" s="60"/>
      <c r="E9188" s="60"/>
      <c r="F9188" s="60"/>
      <c r="G9188" s="60"/>
      <c r="H9188" s="60"/>
      <c r="I9188" s="60"/>
      <c r="J9188" s="60"/>
      <c r="K9188" s="60"/>
      <c r="L9188" s="60"/>
      <c r="M9188" s="64"/>
      <c r="N9188" s="33"/>
    </row>
    <row r="9189" ht="24" customHeight="1" spans="2:14">
      <c r="B9189" s="33"/>
      <c r="C9189" s="60"/>
      <c r="D9189" s="60"/>
      <c r="E9189" s="60"/>
      <c r="F9189" s="60"/>
      <c r="G9189" s="60"/>
      <c r="H9189" s="60"/>
      <c r="I9189" s="60"/>
      <c r="J9189" s="60"/>
      <c r="K9189" s="60"/>
      <c r="L9189" s="60"/>
      <c r="M9189" s="64"/>
      <c r="N9189" s="33"/>
    </row>
    <row r="9190" ht="24" customHeight="1" spans="2:14">
      <c r="B9190" s="33"/>
      <c r="C9190" s="60"/>
      <c r="D9190" s="60"/>
      <c r="E9190" s="60"/>
      <c r="F9190" s="60"/>
      <c r="G9190" s="60"/>
      <c r="H9190" s="60"/>
      <c r="I9190" s="60"/>
      <c r="J9190" s="60"/>
      <c r="K9190" s="60"/>
      <c r="L9190" s="60"/>
      <c r="M9190" s="64"/>
      <c r="N9190" s="33"/>
    </row>
    <row r="9191" ht="24" customHeight="1" spans="2:14">
      <c r="B9191" s="33"/>
      <c r="C9191" s="60"/>
      <c r="D9191" s="60"/>
      <c r="E9191" s="60"/>
      <c r="F9191" s="60"/>
      <c r="G9191" s="60"/>
      <c r="H9191" s="60"/>
      <c r="I9191" s="60"/>
      <c r="J9191" s="60"/>
      <c r="K9191" s="60"/>
      <c r="L9191" s="60"/>
      <c r="M9191" s="64"/>
      <c r="N9191" s="33"/>
    </row>
    <row r="9192" ht="24" customHeight="1" spans="2:14">
      <c r="B9192" s="33"/>
      <c r="C9192" s="60"/>
      <c r="D9192" s="60"/>
      <c r="E9192" s="60"/>
      <c r="F9192" s="60"/>
      <c r="G9192" s="60"/>
      <c r="H9192" s="60"/>
      <c r="I9192" s="60"/>
      <c r="J9192" s="60"/>
      <c r="K9192" s="60"/>
      <c r="L9192" s="60"/>
      <c r="M9192" s="64"/>
      <c r="N9192" s="33"/>
    </row>
    <row r="9193" ht="24" customHeight="1" spans="2:14">
      <c r="B9193" s="33"/>
      <c r="C9193" s="60"/>
      <c r="D9193" s="60"/>
      <c r="E9193" s="60"/>
      <c r="F9193" s="60"/>
      <c r="G9193" s="60"/>
      <c r="H9193" s="60"/>
      <c r="I9193" s="60"/>
      <c r="J9193" s="60"/>
      <c r="K9193" s="60"/>
      <c r="L9193" s="60"/>
      <c r="M9193" s="64"/>
      <c r="N9193" s="33"/>
    </row>
    <row r="9194" ht="24" customHeight="1" spans="2:14">
      <c r="B9194" s="33"/>
      <c r="C9194" s="60"/>
      <c r="D9194" s="60"/>
      <c r="E9194" s="60"/>
      <c r="F9194" s="60"/>
      <c r="G9194" s="60"/>
      <c r="H9194" s="60"/>
      <c r="I9194" s="60"/>
      <c r="J9194" s="60"/>
      <c r="K9194" s="60"/>
      <c r="L9194" s="60"/>
      <c r="M9194" s="64"/>
      <c r="N9194" s="33"/>
    </row>
    <row r="9195" ht="24" customHeight="1" spans="2:14">
      <c r="B9195" s="33"/>
      <c r="C9195" s="60"/>
      <c r="D9195" s="60"/>
      <c r="E9195" s="60"/>
      <c r="F9195" s="60"/>
      <c r="G9195" s="60"/>
      <c r="H9195" s="60"/>
      <c r="I9195" s="60"/>
      <c r="J9195" s="60"/>
      <c r="K9195" s="60"/>
      <c r="L9195" s="60"/>
      <c r="M9195" s="64"/>
      <c r="N9195" s="33"/>
    </row>
    <row r="9196" ht="24" customHeight="1" spans="2:14">
      <c r="B9196" s="33"/>
      <c r="C9196" s="60"/>
      <c r="D9196" s="60"/>
      <c r="E9196" s="60"/>
      <c r="F9196" s="60"/>
      <c r="G9196" s="60"/>
      <c r="H9196" s="60"/>
      <c r="I9196" s="60"/>
      <c r="J9196" s="60"/>
      <c r="K9196" s="60"/>
      <c r="L9196" s="60"/>
      <c r="M9196" s="64"/>
      <c r="N9196" s="33"/>
    </row>
    <row r="9197" ht="24" customHeight="1" spans="2:14">
      <c r="B9197" s="33"/>
      <c r="C9197" s="60"/>
      <c r="D9197" s="60"/>
      <c r="E9197" s="60"/>
      <c r="F9197" s="60"/>
      <c r="G9197" s="60"/>
      <c r="H9197" s="60"/>
      <c r="I9197" s="60"/>
      <c r="J9197" s="60"/>
      <c r="K9197" s="60"/>
      <c r="L9197" s="60"/>
      <c r="M9197" s="64"/>
      <c r="N9197" s="33"/>
    </row>
    <row r="9198" ht="24" customHeight="1" spans="2:14">
      <c r="B9198" s="33"/>
      <c r="C9198" s="60"/>
      <c r="D9198" s="60"/>
      <c r="E9198" s="60"/>
      <c r="F9198" s="60"/>
      <c r="G9198" s="60"/>
      <c r="H9198" s="60"/>
      <c r="I9198" s="60"/>
      <c r="J9198" s="60"/>
      <c r="K9198" s="60"/>
      <c r="L9198" s="60"/>
      <c r="M9198" s="64"/>
      <c r="N9198" s="33"/>
    </row>
    <row r="9199" ht="24" customHeight="1" spans="2:14">
      <c r="B9199" s="33"/>
      <c r="C9199" s="60"/>
      <c r="D9199" s="60"/>
      <c r="E9199" s="60"/>
      <c r="F9199" s="60"/>
      <c r="G9199" s="60"/>
      <c r="H9199" s="60"/>
      <c r="I9199" s="60"/>
      <c r="J9199" s="60"/>
      <c r="K9199" s="60"/>
      <c r="L9199" s="60"/>
      <c r="M9199" s="64"/>
      <c r="N9199" s="33"/>
    </row>
    <row r="9200" ht="24" customHeight="1" spans="2:14">
      <c r="B9200" s="33"/>
      <c r="C9200" s="60"/>
      <c r="D9200" s="60"/>
      <c r="E9200" s="60"/>
      <c r="F9200" s="60"/>
      <c r="G9200" s="60"/>
      <c r="H9200" s="60"/>
      <c r="I9200" s="60"/>
      <c r="J9200" s="60"/>
      <c r="K9200" s="60"/>
      <c r="L9200" s="60"/>
      <c r="M9200" s="64"/>
      <c r="N9200" s="33"/>
    </row>
    <row r="9201" ht="24" customHeight="1" spans="2:14">
      <c r="B9201" s="33"/>
      <c r="C9201" s="60"/>
      <c r="D9201" s="60"/>
      <c r="E9201" s="60"/>
      <c r="F9201" s="60"/>
      <c r="G9201" s="60"/>
      <c r="H9201" s="60"/>
      <c r="I9201" s="60"/>
      <c r="J9201" s="60"/>
      <c r="K9201" s="60"/>
      <c r="L9201" s="60"/>
      <c r="M9201" s="64"/>
      <c r="N9201" s="33"/>
    </row>
    <row r="9202" ht="24" customHeight="1" spans="2:14">
      <c r="B9202" s="33"/>
      <c r="C9202" s="60"/>
      <c r="D9202" s="60"/>
      <c r="E9202" s="60"/>
      <c r="F9202" s="60"/>
      <c r="G9202" s="60"/>
      <c r="H9202" s="60"/>
      <c r="I9202" s="60"/>
      <c r="J9202" s="60"/>
      <c r="K9202" s="60"/>
      <c r="L9202" s="60"/>
      <c r="M9202" s="64"/>
      <c r="N9202" s="33"/>
    </row>
    <row r="9203" ht="24" customHeight="1" spans="2:14">
      <c r="B9203" s="33"/>
      <c r="C9203" s="60"/>
      <c r="D9203" s="60"/>
      <c r="E9203" s="60"/>
      <c r="F9203" s="60"/>
      <c r="G9203" s="60"/>
      <c r="H9203" s="60"/>
      <c r="I9203" s="60"/>
      <c r="J9203" s="60"/>
      <c r="K9203" s="60"/>
      <c r="L9203" s="60"/>
      <c r="M9203" s="64"/>
      <c r="N9203" s="33"/>
    </row>
    <row r="9204" ht="24" customHeight="1" spans="2:14">
      <c r="B9204" s="33"/>
      <c r="C9204" s="60"/>
      <c r="D9204" s="60"/>
      <c r="E9204" s="60"/>
      <c r="F9204" s="60"/>
      <c r="G9204" s="60"/>
      <c r="H9204" s="60"/>
      <c r="I9204" s="60"/>
      <c r="J9204" s="60"/>
      <c r="K9204" s="60"/>
      <c r="L9204" s="60"/>
      <c r="M9204" s="64"/>
      <c r="N9204" s="33"/>
    </row>
    <row r="9205" ht="24" customHeight="1" spans="2:14">
      <c r="B9205" s="33"/>
      <c r="C9205" s="60"/>
      <c r="D9205" s="60"/>
      <c r="E9205" s="60"/>
      <c r="F9205" s="60"/>
      <c r="G9205" s="60"/>
      <c r="H9205" s="60"/>
      <c r="I9205" s="60"/>
      <c r="J9205" s="60"/>
      <c r="K9205" s="60"/>
      <c r="L9205" s="60"/>
      <c r="M9205" s="64"/>
      <c r="N9205" s="33"/>
    </row>
    <row r="9206" ht="24" customHeight="1" spans="2:14">
      <c r="B9206" s="33"/>
      <c r="C9206" s="60"/>
      <c r="D9206" s="60"/>
      <c r="E9206" s="60"/>
      <c r="F9206" s="60"/>
      <c r="G9206" s="60"/>
      <c r="H9206" s="60"/>
      <c r="I9206" s="60"/>
      <c r="J9206" s="60"/>
      <c r="K9206" s="60"/>
      <c r="L9206" s="60"/>
      <c r="M9206" s="64"/>
      <c r="N9206" s="33"/>
    </row>
    <row r="9207" ht="24" customHeight="1" spans="2:14">
      <c r="B9207" s="33"/>
      <c r="C9207" s="60"/>
      <c r="D9207" s="60"/>
      <c r="E9207" s="60"/>
      <c r="F9207" s="60"/>
      <c r="G9207" s="60"/>
      <c r="H9207" s="60"/>
      <c r="I9207" s="60"/>
      <c r="J9207" s="60"/>
      <c r="K9207" s="60"/>
      <c r="L9207" s="60"/>
      <c r="M9207" s="64"/>
      <c r="N9207" s="33"/>
    </row>
    <row r="9208" ht="24" customHeight="1" spans="2:14">
      <c r="B9208" s="33"/>
      <c r="C9208" s="60"/>
      <c r="D9208" s="60"/>
      <c r="E9208" s="60"/>
      <c r="F9208" s="60"/>
      <c r="G9208" s="60"/>
      <c r="H9208" s="60"/>
      <c r="I9208" s="60"/>
      <c r="J9208" s="60"/>
      <c r="K9208" s="60"/>
      <c r="L9208" s="60"/>
      <c r="M9208" s="64"/>
      <c r="N9208" s="33"/>
    </row>
    <row r="9209" ht="24" customHeight="1" spans="2:14">
      <c r="B9209" s="33"/>
      <c r="C9209" s="60"/>
      <c r="D9209" s="60"/>
      <c r="E9209" s="60"/>
      <c r="F9209" s="60"/>
      <c r="G9209" s="60"/>
      <c r="H9209" s="60"/>
      <c r="I9209" s="60"/>
      <c r="J9209" s="60"/>
      <c r="K9209" s="60"/>
      <c r="L9209" s="60"/>
      <c r="M9209" s="64"/>
      <c r="N9209" s="33"/>
    </row>
    <row r="9210" ht="24" customHeight="1" spans="2:14">
      <c r="B9210" s="33"/>
      <c r="C9210" s="60"/>
      <c r="D9210" s="60"/>
      <c r="E9210" s="60"/>
      <c r="F9210" s="60"/>
      <c r="G9210" s="60"/>
      <c r="H9210" s="60"/>
      <c r="I9210" s="60"/>
      <c r="J9210" s="60"/>
      <c r="K9210" s="60"/>
      <c r="L9210" s="60"/>
      <c r="M9210" s="64"/>
      <c r="N9210" s="33"/>
    </row>
    <row r="9211" ht="24" customHeight="1" spans="2:14">
      <c r="B9211" s="33"/>
      <c r="C9211" s="60"/>
      <c r="D9211" s="60"/>
      <c r="E9211" s="60"/>
      <c r="F9211" s="60"/>
      <c r="G9211" s="60"/>
      <c r="H9211" s="60"/>
      <c r="I9211" s="60"/>
      <c r="J9211" s="60"/>
      <c r="K9211" s="60"/>
      <c r="L9211" s="60"/>
      <c r="M9211" s="64"/>
      <c r="N9211" s="33"/>
    </row>
    <row r="9212" ht="24" customHeight="1" spans="2:14">
      <c r="B9212" s="33"/>
      <c r="C9212" s="60"/>
      <c r="D9212" s="60"/>
      <c r="E9212" s="60"/>
      <c r="F9212" s="60"/>
      <c r="G9212" s="60"/>
      <c r="H9212" s="60"/>
      <c r="I9212" s="60"/>
      <c r="J9212" s="60"/>
      <c r="K9212" s="60"/>
      <c r="L9212" s="60"/>
      <c r="M9212" s="64"/>
      <c r="N9212" s="33"/>
    </row>
    <row r="9213" ht="24" customHeight="1" spans="2:14">
      <c r="B9213" s="33"/>
      <c r="C9213" s="60"/>
      <c r="D9213" s="60"/>
      <c r="E9213" s="60"/>
      <c r="F9213" s="60"/>
      <c r="G9213" s="60"/>
      <c r="H9213" s="60"/>
      <c r="I9213" s="60"/>
      <c r="J9213" s="60"/>
      <c r="K9213" s="60"/>
      <c r="L9213" s="60"/>
      <c r="M9213" s="64"/>
      <c r="N9213" s="33"/>
    </row>
    <row r="9214" ht="24" customHeight="1" spans="2:14">
      <c r="B9214" s="33"/>
      <c r="C9214" s="60"/>
      <c r="D9214" s="60"/>
      <c r="E9214" s="60"/>
      <c r="F9214" s="60"/>
      <c r="G9214" s="60"/>
      <c r="H9214" s="60"/>
      <c r="I9214" s="60"/>
      <c r="J9214" s="60"/>
      <c r="K9214" s="60"/>
      <c r="L9214" s="60"/>
      <c r="M9214" s="64"/>
      <c r="N9214" s="33"/>
    </row>
    <row r="9215" ht="24" customHeight="1" spans="2:14">
      <c r="B9215" s="33"/>
      <c r="C9215" s="60"/>
      <c r="D9215" s="60"/>
      <c r="E9215" s="60"/>
      <c r="F9215" s="60"/>
      <c r="G9215" s="60"/>
      <c r="H9215" s="60"/>
      <c r="I9215" s="60"/>
      <c r="J9215" s="60"/>
      <c r="K9215" s="60"/>
      <c r="L9215" s="60"/>
      <c r="M9215" s="64"/>
      <c r="N9215" s="33"/>
    </row>
    <row r="9216" ht="24" customHeight="1" spans="2:14">
      <c r="B9216" s="33"/>
      <c r="C9216" s="60"/>
      <c r="D9216" s="60"/>
      <c r="E9216" s="60"/>
      <c r="F9216" s="60"/>
      <c r="G9216" s="60"/>
      <c r="H9216" s="60"/>
      <c r="I9216" s="60"/>
      <c r="J9216" s="60"/>
      <c r="K9216" s="60"/>
      <c r="L9216" s="60"/>
      <c r="M9216" s="64"/>
      <c r="N9216" s="33"/>
    </row>
    <row r="9217" ht="24" customHeight="1" spans="2:14">
      <c r="B9217" s="33"/>
      <c r="C9217" s="60"/>
      <c r="D9217" s="60"/>
      <c r="E9217" s="60"/>
      <c r="F9217" s="60"/>
      <c r="G9217" s="60"/>
      <c r="H9217" s="60"/>
      <c r="I9217" s="60"/>
      <c r="J9217" s="60"/>
      <c r="K9217" s="60"/>
      <c r="L9217" s="60"/>
      <c r="M9217" s="64"/>
      <c r="N9217" s="33"/>
    </row>
    <row r="9218" ht="24" customHeight="1" spans="2:14">
      <c r="B9218" s="33"/>
      <c r="C9218" s="60"/>
      <c r="D9218" s="60"/>
      <c r="E9218" s="60"/>
      <c r="F9218" s="60"/>
      <c r="G9218" s="60"/>
      <c r="H9218" s="60"/>
      <c r="I9218" s="60"/>
      <c r="J9218" s="60"/>
      <c r="K9218" s="60"/>
      <c r="L9218" s="60"/>
      <c r="M9218" s="64"/>
      <c r="N9218" s="33"/>
    </row>
    <row r="9219" ht="24" customHeight="1" spans="2:14">
      <c r="B9219" s="33"/>
      <c r="C9219" s="60"/>
      <c r="D9219" s="60"/>
      <c r="E9219" s="60"/>
      <c r="F9219" s="60"/>
      <c r="G9219" s="60"/>
      <c r="H9219" s="60"/>
      <c r="I9219" s="60"/>
      <c r="J9219" s="60"/>
      <c r="K9219" s="60"/>
      <c r="L9219" s="60"/>
      <c r="M9219" s="64"/>
      <c r="N9219" s="33"/>
    </row>
    <row r="9220" ht="24" customHeight="1" spans="2:14">
      <c r="B9220" s="33"/>
      <c r="C9220" s="60"/>
      <c r="D9220" s="60"/>
      <c r="E9220" s="60"/>
      <c r="F9220" s="60"/>
      <c r="G9220" s="60"/>
      <c r="H9220" s="60"/>
      <c r="I9220" s="60"/>
      <c r="J9220" s="60"/>
      <c r="K9220" s="60"/>
      <c r="L9220" s="60"/>
      <c r="M9220" s="64"/>
      <c r="N9220" s="33"/>
    </row>
    <row r="9221" ht="24" customHeight="1" spans="2:14">
      <c r="B9221" s="33"/>
      <c r="C9221" s="60"/>
      <c r="D9221" s="60"/>
      <c r="E9221" s="60"/>
      <c r="F9221" s="60"/>
      <c r="G9221" s="60"/>
      <c r="H9221" s="60"/>
      <c r="I9221" s="60"/>
      <c r="J9221" s="60"/>
      <c r="K9221" s="60"/>
      <c r="L9221" s="60"/>
      <c r="M9221" s="64"/>
      <c r="N9221" s="33"/>
    </row>
    <row r="9222" ht="24" customHeight="1" spans="2:14">
      <c r="B9222" s="33"/>
      <c r="C9222" s="60"/>
      <c r="D9222" s="60"/>
      <c r="E9222" s="60"/>
      <c r="F9222" s="60"/>
      <c r="G9222" s="60"/>
      <c r="H9222" s="60"/>
      <c r="I9222" s="60"/>
      <c r="J9222" s="60"/>
      <c r="K9222" s="60"/>
      <c r="L9222" s="60"/>
      <c r="M9222" s="64"/>
      <c r="N9222" s="33"/>
    </row>
    <row r="9223" ht="24" customHeight="1" spans="2:14">
      <c r="B9223" s="33"/>
      <c r="C9223" s="60"/>
      <c r="D9223" s="60"/>
      <c r="E9223" s="60"/>
      <c r="F9223" s="60"/>
      <c r="G9223" s="60"/>
      <c r="H9223" s="60"/>
      <c r="I9223" s="60"/>
      <c r="J9223" s="60"/>
      <c r="K9223" s="60"/>
      <c r="L9223" s="60"/>
      <c r="M9223" s="64"/>
      <c r="N9223" s="33"/>
    </row>
    <row r="9224" ht="24" customHeight="1" spans="2:14">
      <c r="B9224" s="33"/>
      <c r="C9224" s="60"/>
      <c r="D9224" s="60"/>
      <c r="E9224" s="60"/>
      <c r="F9224" s="60"/>
      <c r="G9224" s="60"/>
      <c r="H9224" s="60"/>
      <c r="I9224" s="60"/>
      <c r="J9224" s="60"/>
      <c r="K9224" s="60"/>
      <c r="L9224" s="60"/>
      <c r="M9224" s="64"/>
      <c r="N9224" s="33"/>
    </row>
    <row r="9225" ht="24" customHeight="1" spans="2:14">
      <c r="B9225" s="33"/>
      <c r="C9225" s="60"/>
      <c r="D9225" s="60"/>
      <c r="E9225" s="60"/>
      <c r="F9225" s="60"/>
      <c r="G9225" s="60"/>
      <c r="H9225" s="60"/>
      <c r="I9225" s="60"/>
      <c r="J9225" s="60"/>
      <c r="K9225" s="60"/>
      <c r="L9225" s="60"/>
      <c r="M9225" s="64"/>
      <c r="N9225" s="33"/>
    </row>
    <row r="9226" ht="24" customHeight="1" spans="2:14">
      <c r="B9226" s="33"/>
      <c r="C9226" s="60"/>
      <c r="D9226" s="60"/>
      <c r="E9226" s="60"/>
      <c r="F9226" s="60"/>
      <c r="G9226" s="60"/>
      <c r="H9226" s="60"/>
      <c r="I9226" s="60"/>
      <c r="J9226" s="60"/>
      <c r="K9226" s="60"/>
      <c r="L9226" s="60"/>
      <c r="M9226" s="64"/>
      <c r="N9226" s="33"/>
    </row>
    <row r="9227" ht="24" customHeight="1" spans="2:14">
      <c r="B9227" s="33"/>
      <c r="C9227" s="60"/>
      <c r="D9227" s="60"/>
      <c r="E9227" s="60"/>
      <c r="F9227" s="60"/>
      <c r="G9227" s="60"/>
      <c r="H9227" s="60"/>
      <c r="I9227" s="60"/>
      <c r="J9227" s="60"/>
      <c r="K9227" s="60"/>
      <c r="L9227" s="60"/>
      <c r="M9227" s="64"/>
      <c r="N9227" s="33"/>
    </row>
    <row r="9228" ht="24" customHeight="1" spans="2:14">
      <c r="B9228" s="33"/>
      <c r="C9228" s="60"/>
      <c r="D9228" s="60"/>
      <c r="E9228" s="60"/>
      <c r="F9228" s="60"/>
      <c r="G9228" s="60"/>
      <c r="H9228" s="60"/>
      <c r="I9228" s="60"/>
      <c r="J9228" s="60"/>
      <c r="K9228" s="60"/>
      <c r="L9228" s="60"/>
      <c r="M9228" s="64"/>
      <c r="N9228" s="33"/>
    </row>
    <row r="9229" ht="24" customHeight="1" spans="2:14">
      <c r="B9229" s="33"/>
      <c r="C9229" s="60"/>
      <c r="D9229" s="60"/>
      <c r="E9229" s="60"/>
      <c r="F9229" s="60"/>
      <c r="G9229" s="60"/>
      <c r="H9229" s="60"/>
      <c r="I9229" s="60"/>
      <c r="J9229" s="60"/>
      <c r="K9229" s="60"/>
      <c r="L9229" s="60"/>
      <c r="M9229" s="64"/>
      <c r="N9229" s="33"/>
    </row>
    <row r="9230" ht="24" customHeight="1" spans="2:14">
      <c r="B9230" s="33"/>
      <c r="C9230" s="60"/>
      <c r="D9230" s="60"/>
      <c r="E9230" s="60"/>
      <c r="F9230" s="60"/>
      <c r="G9230" s="60"/>
      <c r="H9230" s="60"/>
      <c r="I9230" s="60"/>
      <c r="J9230" s="60"/>
      <c r="K9230" s="60"/>
      <c r="L9230" s="60"/>
      <c r="M9230" s="64"/>
      <c r="N9230" s="33"/>
    </row>
    <row r="9231" ht="24" customHeight="1" spans="2:14">
      <c r="B9231" s="33"/>
      <c r="C9231" s="60"/>
      <c r="D9231" s="60"/>
      <c r="E9231" s="60"/>
      <c r="F9231" s="60"/>
      <c r="G9231" s="60"/>
      <c r="H9231" s="60"/>
      <c r="I9231" s="60"/>
      <c r="J9231" s="60"/>
      <c r="K9231" s="60"/>
      <c r="L9231" s="60"/>
      <c r="M9231" s="64"/>
      <c r="N9231" s="33"/>
    </row>
    <row r="9232" ht="24" customHeight="1" spans="2:14">
      <c r="B9232" s="33"/>
      <c r="C9232" s="60"/>
      <c r="D9232" s="60"/>
      <c r="E9232" s="60"/>
      <c r="F9232" s="60"/>
      <c r="G9232" s="60"/>
      <c r="H9232" s="60"/>
      <c r="I9232" s="60"/>
      <c r="J9232" s="60"/>
      <c r="K9232" s="60"/>
      <c r="L9232" s="60"/>
      <c r="M9232" s="64"/>
      <c r="N9232" s="33"/>
    </row>
    <row r="9233" ht="24" customHeight="1" spans="2:14">
      <c r="B9233" s="33"/>
      <c r="C9233" s="60"/>
      <c r="D9233" s="60"/>
      <c r="E9233" s="60"/>
      <c r="F9233" s="60"/>
      <c r="G9233" s="60"/>
      <c r="H9233" s="60"/>
      <c r="I9233" s="60"/>
      <c r="J9233" s="60"/>
      <c r="K9233" s="60"/>
      <c r="L9233" s="60"/>
      <c r="M9233" s="64"/>
      <c r="N9233" s="33"/>
    </row>
    <row r="9234" ht="24" customHeight="1" spans="2:14">
      <c r="B9234" s="33"/>
      <c r="C9234" s="60"/>
      <c r="D9234" s="60"/>
      <c r="E9234" s="60"/>
      <c r="F9234" s="60"/>
      <c r="G9234" s="60"/>
      <c r="H9234" s="60"/>
      <c r="I9234" s="60"/>
      <c r="J9234" s="60"/>
      <c r="K9234" s="60"/>
      <c r="L9234" s="60"/>
      <c r="M9234" s="64"/>
      <c r="N9234" s="33"/>
    </row>
    <row r="9235" ht="24" customHeight="1" spans="2:14">
      <c r="B9235" s="33"/>
      <c r="C9235" s="60"/>
      <c r="D9235" s="60"/>
      <c r="E9235" s="60"/>
      <c r="F9235" s="60"/>
      <c r="G9235" s="60"/>
      <c r="H9235" s="60"/>
      <c r="I9235" s="60"/>
      <c r="J9235" s="60"/>
      <c r="K9235" s="60"/>
      <c r="L9235" s="60"/>
      <c r="M9235" s="64"/>
      <c r="N9235" s="33"/>
    </row>
    <row r="9236" ht="24" customHeight="1" spans="2:14">
      <c r="B9236" s="33"/>
      <c r="C9236" s="60"/>
      <c r="D9236" s="60"/>
      <c r="E9236" s="60"/>
      <c r="F9236" s="60"/>
      <c r="G9236" s="60"/>
      <c r="H9236" s="60"/>
      <c r="I9236" s="60"/>
      <c r="J9236" s="60"/>
      <c r="K9236" s="60"/>
      <c r="L9236" s="60"/>
      <c r="M9236" s="64"/>
      <c r="N9236" s="33"/>
    </row>
    <row r="9237" ht="24" customHeight="1" spans="2:14">
      <c r="B9237" s="33"/>
      <c r="C9237" s="60"/>
      <c r="D9237" s="60"/>
      <c r="E9237" s="60"/>
      <c r="F9237" s="60"/>
      <c r="G9237" s="60"/>
      <c r="H9237" s="60"/>
      <c r="I9237" s="60"/>
      <c r="J9237" s="60"/>
      <c r="K9237" s="60"/>
      <c r="L9237" s="60"/>
      <c r="M9237" s="64"/>
      <c r="N9237" s="33"/>
    </row>
    <row r="9238" ht="24" customHeight="1" spans="2:14">
      <c r="B9238" s="33"/>
      <c r="C9238" s="60"/>
      <c r="D9238" s="60"/>
      <c r="E9238" s="60"/>
      <c r="F9238" s="60"/>
      <c r="G9238" s="60"/>
      <c r="H9238" s="60"/>
      <c r="I9238" s="60"/>
      <c r="J9238" s="60"/>
      <c r="K9238" s="60"/>
      <c r="L9238" s="60"/>
      <c r="M9238" s="64"/>
      <c r="N9238" s="33"/>
    </row>
    <row r="9239" ht="24" customHeight="1" spans="2:14">
      <c r="B9239" s="33"/>
      <c r="C9239" s="60"/>
      <c r="D9239" s="60"/>
      <c r="E9239" s="60"/>
      <c r="F9239" s="60"/>
      <c r="G9239" s="60"/>
      <c r="H9239" s="60"/>
      <c r="I9239" s="60"/>
      <c r="J9239" s="60"/>
      <c r="K9239" s="60"/>
      <c r="L9239" s="60"/>
      <c r="M9239" s="64"/>
      <c r="N9239" s="33"/>
    </row>
    <row r="9240" ht="24" customHeight="1" spans="2:14">
      <c r="B9240" s="33"/>
      <c r="C9240" s="60"/>
      <c r="D9240" s="60"/>
      <c r="E9240" s="60"/>
      <c r="F9240" s="60"/>
      <c r="G9240" s="60"/>
      <c r="H9240" s="60"/>
      <c r="I9240" s="60"/>
      <c r="J9240" s="60"/>
      <c r="K9240" s="60"/>
      <c r="L9240" s="60"/>
      <c r="M9240" s="64"/>
      <c r="N9240" s="33"/>
    </row>
    <row r="9241" ht="24" customHeight="1" spans="2:14">
      <c r="B9241" s="33"/>
      <c r="C9241" s="60"/>
      <c r="D9241" s="60"/>
      <c r="E9241" s="60"/>
      <c r="F9241" s="60"/>
      <c r="G9241" s="60"/>
      <c r="H9241" s="60"/>
      <c r="I9241" s="60"/>
      <c r="J9241" s="60"/>
      <c r="K9241" s="60"/>
      <c r="L9241" s="60"/>
      <c r="M9241" s="64"/>
      <c r="N9241" s="33"/>
    </row>
    <row r="9242" ht="24" customHeight="1" spans="2:14">
      <c r="B9242" s="33"/>
      <c r="C9242" s="60"/>
      <c r="D9242" s="60"/>
      <c r="E9242" s="60"/>
      <c r="F9242" s="60"/>
      <c r="G9242" s="60"/>
      <c r="H9242" s="60"/>
      <c r="I9242" s="60"/>
      <c r="J9242" s="60"/>
      <c r="K9242" s="60"/>
      <c r="L9242" s="60"/>
      <c r="M9242" s="64"/>
      <c r="N9242" s="33"/>
    </row>
    <row r="9243" ht="24" customHeight="1" spans="2:14">
      <c r="B9243" s="33"/>
      <c r="C9243" s="60"/>
      <c r="D9243" s="60"/>
      <c r="E9243" s="60"/>
      <c r="F9243" s="60"/>
      <c r="G9243" s="60"/>
      <c r="H9243" s="60"/>
      <c r="I9243" s="60"/>
      <c r="J9243" s="60"/>
      <c r="K9243" s="60"/>
      <c r="L9243" s="60"/>
      <c r="M9243" s="64"/>
      <c r="N9243" s="33"/>
    </row>
    <row r="9244" ht="24" customHeight="1" spans="2:14">
      <c r="B9244" s="33"/>
      <c r="C9244" s="60"/>
      <c r="D9244" s="60"/>
      <c r="E9244" s="60"/>
      <c r="F9244" s="60"/>
      <c r="G9244" s="60"/>
      <c r="H9244" s="60"/>
      <c r="I9244" s="60"/>
      <c r="J9244" s="60"/>
      <c r="K9244" s="60"/>
      <c r="L9244" s="60"/>
      <c r="M9244" s="64"/>
      <c r="N9244" s="33"/>
    </row>
    <row r="9245" ht="24" customHeight="1" spans="2:14">
      <c r="B9245" s="33"/>
      <c r="C9245" s="60"/>
      <c r="D9245" s="60"/>
      <c r="E9245" s="60"/>
      <c r="F9245" s="60"/>
      <c r="G9245" s="60"/>
      <c r="H9245" s="60"/>
      <c r="I9245" s="60"/>
      <c r="J9245" s="60"/>
      <c r="K9245" s="60"/>
      <c r="L9245" s="60"/>
      <c r="M9245" s="64"/>
      <c r="N9245" s="33"/>
    </row>
    <row r="9246" ht="24" customHeight="1" spans="2:14">
      <c r="B9246" s="33"/>
      <c r="C9246" s="60"/>
      <c r="D9246" s="60"/>
      <c r="E9246" s="60"/>
      <c r="F9246" s="60"/>
      <c r="G9246" s="60"/>
      <c r="H9246" s="60"/>
      <c r="I9246" s="60"/>
      <c r="J9246" s="60"/>
      <c r="K9246" s="60"/>
      <c r="L9246" s="60"/>
      <c r="M9246" s="64"/>
      <c r="N9246" s="33"/>
    </row>
    <row r="9247" ht="24" customHeight="1" spans="2:14">
      <c r="B9247" s="33"/>
      <c r="C9247" s="60"/>
      <c r="D9247" s="60"/>
      <c r="E9247" s="60"/>
      <c r="F9247" s="60"/>
      <c r="G9247" s="60"/>
      <c r="H9247" s="60"/>
      <c r="I9247" s="60"/>
      <c r="J9247" s="60"/>
      <c r="K9247" s="60"/>
      <c r="L9247" s="60"/>
      <c r="M9247" s="64"/>
      <c r="N9247" s="33"/>
    </row>
    <row r="9248" ht="24" customHeight="1" spans="2:14">
      <c r="B9248" s="33"/>
      <c r="C9248" s="60"/>
      <c r="D9248" s="60"/>
      <c r="E9248" s="60"/>
      <c r="F9248" s="60"/>
      <c r="G9248" s="60"/>
      <c r="H9248" s="60"/>
      <c r="I9248" s="60"/>
      <c r="J9248" s="60"/>
      <c r="K9248" s="60"/>
      <c r="L9248" s="60"/>
      <c r="M9248" s="64"/>
      <c r="N9248" s="33"/>
    </row>
    <row r="9249" ht="24" customHeight="1" spans="2:14">
      <c r="B9249" s="33"/>
      <c r="C9249" s="60"/>
      <c r="D9249" s="60"/>
      <c r="E9249" s="60"/>
      <c r="F9249" s="60"/>
      <c r="G9249" s="60"/>
      <c r="H9249" s="60"/>
      <c r="I9249" s="60"/>
      <c r="J9249" s="60"/>
      <c r="K9249" s="60"/>
      <c r="L9249" s="60"/>
      <c r="M9249" s="64"/>
      <c r="N9249" s="33"/>
    </row>
    <row r="9250" ht="24" customHeight="1" spans="2:14">
      <c r="B9250" s="33"/>
      <c r="C9250" s="60"/>
      <c r="D9250" s="60"/>
      <c r="E9250" s="60"/>
      <c r="F9250" s="60"/>
      <c r="G9250" s="60"/>
      <c r="H9250" s="60"/>
      <c r="I9250" s="60"/>
      <c r="J9250" s="60"/>
      <c r="K9250" s="60"/>
      <c r="L9250" s="60"/>
      <c r="M9250" s="64"/>
      <c r="N9250" s="33"/>
    </row>
    <row r="9251" ht="24" customHeight="1" spans="2:14">
      <c r="B9251" s="33"/>
      <c r="C9251" s="60"/>
      <c r="D9251" s="60"/>
      <c r="E9251" s="60"/>
      <c r="F9251" s="60"/>
      <c r="G9251" s="60"/>
      <c r="H9251" s="60"/>
      <c r="I9251" s="60"/>
      <c r="J9251" s="60"/>
      <c r="K9251" s="60"/>
      <c r="L9251" s="60"/>
      <c r="M9251" s="64"/>
      <c r="N9251" s="33"/>
    </row>
    <row r="9252" ht="24" customHeight="1" spans="2:14">
      <c r="B9252" s="33"/>
      <c r="C9252" s="60"/>
      <c r="D9252" s="60"/>
      <c r="E9252" s="60"/>
      <c r="F9252" s="60"/>
      <c r="G9252" s="60"/>
      <c r="H9252" s="60"/>
      <c r="I9252" s="60"/>
      <c r="J9252" s="60"/>
      <c r="K9252" s="60"/>
      <c r="L9252" s="60"/>
      <c r="M9252" s="64"/>
      <c r="N9252" s="33"/>
    </row>
    <row r="9253" ht="24" customHeight="1" spans="2:14">
      <c r="B9253" s="33"/>
      <c r="C9253" s="60"/>
      <c r="D9253" s="60"/>
      <c r="E9253" s="60"/>
      <c r="F9253" s="60"/>
      <c r="G9253" s="60"/>
      <c r="H9253" s="60"/>
      <c r="I9253" s="60"/>
      <c r="J9253" s="60"/>
      <c r="K9253" s="60"/>
      <c r="L9253" s="60"/>
      <c r="M9253" s="64"/>
      <c r="N9253" s="33"/>
    </row>
    <row r="9254" ht="24" customHeight="1" spans="2:14">
      <c r="B9254" s="33"/>
      <c r="C9254" s="60"/>
      <c r="D9254" s="60"/>
      <c r="E9254" s="60"/>
      <c r="F9254" s="60"/>
      <c r="G9254" s="60"/>
      <c r="H9254" s="60"/>
      <c r="I9254" s="60"/>
      <c r="J9254" s="60"/>
      <c r="K9254" s="60"/>
      <c r="L9254" s="60"/>
      <c r="M9254" s="64"/>
      <c r="N9254" s="33"/>
    </row>
    <row r="9255" ht="24" customHeight="1" spans="2:14">
      <c r="B9255" s="33"/>
      <c r="C9255" s="60"/>
      <c r="D9255" s="60"/>
      <c r="E9255" s="60"/>
      <c r="F9255" s="60"/>
      <c r="G9255" s="60"/>
      <c r="H9255" s="60"/>
      <c r="I9255" s="60"/>
      <c r="J9255" s="60"/>
      <c r="K9255" s="60"/>
      <c r="L9255" s="60"/>
      <c r="M9255" s="64"/>
      <c r="N9255" s="33"/>
    </row>
    <row r="9256" ht="24" customHeight="1" spans="2:14">
      <c r="B9256" s="33"/>
      <c r="C9256" s="60"/>
      <c r="D9256" s="60"/>
      <c r="E9256" s="60"/>
      <c r="F9256" s="60"/>
      <c r="G9256" s="60"/>
      <c r="H9256" s="60"/>
      <c r="I9256" s="60"/>
      <c r="J9256" s="60"/>
      <c r="K9256" s="60"/>
      <c r="L9256" s="60"/>
      <c r="M9256" s="64"/>
      <c r="N9256" s="33"/>
    </row>
    <row r="9257" ht="24" customHeight="1" spans="2:14">
      <c r="B9257" s="33"/>
      <c r="C9257" s="60"/>
      <c r="D9257" s="60"/>
      <c r="E9257" s="60"/>
      <c r="F9257" s="60"/>
      <c r="G9257" s="60"/>
      <c r="H9257" s="60"/>
      <c r="I9257" s="60"/>
      <c r="J9257" s="60"/>
      <c r="K9257" s="60"/>
      <c r="L9257" s="60"/>
      <c r="M9257" s="64"/>
      <c r="N9257" s="33"/>
    </row>
    <row r="9258" ht="24" customHeight="1" spans="2:14">
      <c r="B9258" s="33"/>
      <c r="C9258" s="60"/>
      <c r="D9258" s="60"/>
      <c r="E9258" s="60"/>
      <c r="F9258" s="60"/>
      <c r="G9258" s="60"/>
      <c r="H9258" s="60"/>
      <c r="I9258" s="60"/>
      <c r="J9258" s="60"/>
      <c r="K9258" s="60"/>
      <c r="L9258" s="60"/>
      <c r="M9258" s="64"/>
      <c r="N9258" s="33"/>
    </row>
    <row r="9259" ht="24" customHeight="1" spans="2:14">
      <c r="B9259" s="33"/>
      <c r="C9259" s="60"/>
      <c r="D9259" s="60"/>
      <c r="E9259" s="60"/>
      <c r="F9259" s="60"/>
      <c r="G9259" s="60"/>
      <c r="H9259" s="60"/>
      <c r="I9259" s="60"/>
      <c r="J9259" s="60"/>
      <c r="K9259" s="60"/>
      <c r="L9259" s="60"/>
      <c r="M9259" s="64"/>
      <c r="N9259" s="33"/>
    </row>
    <row r="9260" ht="24" customHeight="1" spans="2:14">
      <c r="B9260" s="33"/>
      <c r="C9260" s="60"/>
      <c r="D9260" s="60"/>
      <c r="E9260" s="60"/>
      <c r="F9260" s="60"/>
      <c r="G9260" s="60"/>
      <c r="H9260" s="60"/>
      <c r="I9260" s="60"/>
      <c r="J9260" s="60"/>
      <c r="K9260" s="60"/>
      <c r="L9260" s="60"/>
      <c r="M9260" s="64"/>
      <c r="N9260" s="33"/>
    </row>
    <row r="9261" ht="24" customHeight="1" spans="2:14">
      <c r="B9261" s="33"/>
      <c r="C9261" s="60"/>
      <c r="D9261" s="60"/>
      <c r="E9261" s="60"/>
      <c r="F9261" s="60"/>
      <c r="G9261" s="60"/>
      <c r="H9261" s="60"/>
      <c r="I9261" s="60"/>
      <c r="J9261" s="60"/>
      <c r="K9261" s="60"/>
      <c r="L9261" s="60"/>
      <c r="M9261" s="64"/>
      <c r="N9261" s="33"/>
    </row>
    <row r="9262" ht="24" customHeight="1" spans="2:14">
      <c r="B9262" s="33"/>
      <c r="C9262" s="60"/>
      <c r="D9262" s="60"/>
      <c r="E9262" s="60"/>
      <c r="F9262" s="60"/>
      <c r="G9262" s="60"/>
      <c r="H9262" s="60"/>
      <c r="I9262" s="60"/>
      <c r="J9262" s="60"/>
      <c r="K9262" s="60"/>
      <c r="L9262" s="60"/>
      <c r="M9262" s="64"/>
      <c r="N9262" s="33"/>
    </row>
    <row r="9263" ht="24" customHeight="1" spans="2:14">
      <c r="B9263" s="33"/>
      <c r="C9263" s="60"/>
      <c r="D9263" s="60"/>
      <c r="E9263" s="60"/>
      <c r="F9263" s="60"/>
      <c r="G9263" s="60"/>
      <c r="H9263" s="60"/>
      <c r="I9263" s="60"/>
      <c r="J9263" s="60"/>
      <c r="K9263" s="60"/>
      <c r="L9263" s="60"/>
      <c r="M9263" s="64"/>
      <c r="N9263" s="33"/>
    </row>
    <row r="9264" ht="24" customHeight="1" spans="2:14">
      <c r="B9264" s="33"/>
      <c r="C9264" s="60"/>
      <c r="D9264" s="60"/>
      <c r="E9264" s="60"/>
      <c r="F9264" s="60"/>
      <c r="G9264" s="60"/>
      <c r="H9264" s="60"/>
      <c r="I9264" s="60"/>
      <c r="J9264" s="60"/>
      <c r="K9264" s="60"/>
      <c r="L9264" s="60"/>
      <c r="M9264" s="64"/>
      <c r="N9264" s="33"/>
    </row>
    <row r="9265" ht="24" customHeight="1" spans="2:14">
      <c r="B9265" s="33"/>
      <c r="C9265" s="60"/>
      <c r="D9265" s="60"/>
      <c r="E9265" s="60"/>
      <c r="F9265" s="60"/>
      <c r="G9265" s="60"/>
      <c r="H9265" s="60"/>
      <c r="I9265" s="60"/>
      <c r="J9265" s="60"/>
      <c r="K9265" s="60"/>
      <c r="L9265" s="60"/>
      <c r="M9265" s="64"/>
      <c r="N9265" s="33"/>
    </row>
    <row r="9266" ht="24" customHeight="1" spans="2:14">
      <c r="B9266" s="33"/>
      <c r="C9266" s="60"/>
      <c r="D9266" s="60"/>
      <c r="E9266" s="60"/>
      <c r="F9266" s="60"/>
      <c r="G9266" s="60"/>
      <c r="H9266" s="60"/>
      <c r="I9266" s="60"/>
      <c r="J9266" s="60"/>
      <c r="K9266" s="60"/>
      <c r="L9266" s="60"/>
      <c r="M9266" s="64"/>
      <c r="N9266" s="33"/>
    </row>
    <row r="9267" ht="24" customHeight="1" spans="2:14">
      <c r="B9267" s="33"/>
      <c r="C9267" s="60"/>
      <c r="D9267" s="60"/>
      <c r="E9267" s="60"/>
      <c r="F9267" s="60"/>
      <c r="G9267" s="60"/>
      <c r="H9267" s="60"/>
      <c r="I9267" s="60"/>
      <c r="J9267" s="60"/>
      <c r="K9267" s="60"/>
      <c r="L9267" s="60"/>
      <c r="M9267" s="64"/>
      <c r="N9267" s="33"/>
    </row>
    <row r="9268" ht="24" customHeight="1" spans="2:14">
      <c r="B9268" s="33"/>
      <c r="C9268" s="60"/>
      <c r="D9268" s="60"/>
      <c r="E9268" s="60"/>
      <c r="F9268" s="60"/>
      <c r="G9268" s="60"/>
      <c r="H9268" s="60"/>
      <c r="I9268" s="60"/>
      <c r="J9268" s="60"/>
      <c r="K9268" s="60"/>
      <c r="L9268" s="60"/>
      <c r="M9268" s="64"/>
      <c r="N9268" s="33"/>
    </row>
    <row r="9269" ht="24" customHeight="1" spans="2:14">
      <c r="B9269" s="33"/>
      <c r="C9269" s="60"/>
      <c r="D9269" s="60"/>
      <c r="E9269" s="60"/>
      <c r="F9269" s="60"/>
      <c r="G9269" s="60"/>
      <c r="H9269" s="60"/>
      <c r="I9269" s="60"/>
      <c r="J9269" s="60"/>
      <c r="K9269" s="60"/>
      <c r="L9269" s="60"/>
      <c r="M9269" s="64"/>
      <c r="N9269" s="33"/>
    </row>
    <row r="9270" ht="24" customHeight="1" spans="2:14">
      <c r="B9270" s="33"/>
      <c r="C9270" s="60"/>
      <c r="D9270" s="60"/>
      <c r="E9270" s="60"/>
      <c r="F9270" s="60"/>
      <c r="G9270" s="60"/>
      <c r="H9270" s="60"/>
      <c r="I9270" s="60"/>
      <c r="J9270" s="60"/>
      <c r="K9270" s="60"/>
      <c r="L9270" s="60"/>
      <c r="M9270" s="64"/>
      <c r="N9270" s="33"/>
    </row>
    <row r="9271" ht="24" customHeight="1" spans="2:14">
      <c r="B9271" s="33"/>
      <c r="C9271" s="60"/>
      <c r="D9271" s="60"/>
      <c r="E9271" s="60"/>
      <c r="F9271" s="60"/>
      <c r="G9271" s="60"/>
      <c r="H9271" s="60"/>
      <c r="I9271" s="60"/>
      <c r="J9271" s="60"/>
      <c r="K9271" s="60"/>
      <c r="L9271" s="60"/>
      <c r="M9271" s="64"/>
      <c r="N9271" s="33"/>
    </row>
    <row r="9272" ht="24" customHeight="1" spans="2:14">
      <c r="B9272" s="33"/>
      <c r="C9272" s="60"/>
      <c r="D9272" s="60"/>
      <c r="E9272" s="60"/>
      <c r="F9272" s="60"/>
      <c r="G9272" s="60"/>
      <c r="H9272" s="60"/>
      <c r="I9272" s="60"/>
      <c r="J9272" s="60"/>
      <c r="K9272" s="60"/>
      <c r="L9272" s="60"/>
      <c r="M9272" s="64"/>
      <c r="N9272" s="33"/>
    </row>
    <row r="9273" ht="24" customHeight="1" spans="2:14">
      <c r="B9273" s="33"/>
      <c r="C9273" s="60"/>
      <c r="D9273" s="60"/>
      <c r="E9273" s="60"/>
      <c r="F9273" s="60"/>
      <c r="G9273" s="60"/>
      <c r="H9273" s="60"/>
      <c r="I9273" s="60"/>
      <c r="J9273" s="60"/>
      <c r="K9273" s="60"/>
      <c r="L9273" s="60"/>
      <c r="M9273" s="64"/>
      <c r="N9273" s="33"/>
    </row>
    <row r="9274" ht="24" customHeight="1" spans="2:14">
      <c r="B9274" s="33"/>
      <c r="C9274" s="60"/>
      <c r="D9274" s="60"/>
      <c r="E9274" s="60"/>
      <c r="F9274" s="60"/>
      <c r="G9274" s="60"/>
      <c r="H9274" s="60"/>
      <c r="I9274" s="60"/>
      <c r="J9274" s="60"/>
      <c r="K9274" s="60"/>
      <c r="L9274" s="60"/>
      <c r="M9274" s="64"/>
      <c r="N9274" s="33"/>
    </row>
    <row r="9275" ht="24" customHeight="1" spans="2:14">
      <c r="B9275" s="33"/>
      <c r="C9275" s="60"/>
      <c r="D9275" s="60"/>
      <c r="E9275" s="60"/>
      <c r="F9275" s="60"/>
      <c r="G9275" s="60"/>
      <c r="H9275" s="60"/>
      <c r="I9275" s="60"/>
      <c r="J9275" s="60"/>
      <c r="K9275" s="60"/>
      <c r="L9275" s="60"/>
      <c r="M9275" s="64"/>
      <c r="N9275" s="33"/>
    </row>
    <row r="9276" ht="24" customHeight="1" spans="2:14">
      <c r="B9276" s="33"/>
      <c r="C9276" s="60"/>
      <c r="D9276" s="60"/>
      <c r="E9276" s="60"/>
      <c r="F9276" s="60"/>
      <c r="G9276" s="60"/>
      <c r="H9276" s="60"/>
      <c r="I9276" s="60"/>
      <c r="J9276" s="60"/>
      <c r="K9276" s="60"/>
      <c r="L9276" s="60"/>
      <c r="M9276" s="64"/>
      <c r="N9276" s="33"/>
    </row>
    <row r="9277" ht="24" customHeight="1" spans="2:14">
      <c r="B9277" s="33"/>
      <c r="C9277" s="60"/>
      <c r="D9277" s="60"/>
      <c r="E9277" s="60"/>
      <c r="F9277" s="60"/>
      <c r="G9277" s="60"/>
      <c r="H9277" s="60"/>
      <c r="I9277" s="60"/>
      <c r="J9277" s="60"/>
      <c r="K9277" s="60"/>
      <c r="L9277" s="60"/>
      <c r="M9277" s="64"/>
      <c r="N9277" s="33"/>
    </row>
    <row r="9278" ht="24" customHeight="1" spans="2:14">
      <c r="B9278" s="33"/>
      <c r="C9278" s="60"/>
      <c r="D9278" s="60"/>
      <c r="E9278" s="60"/>
      <c r="F9278" s="60"/>
      <c r="G9278" s="60"/>
      <c r="H9278" s="60"/>
      <c r="I9278" s="60"/>
      <c r="J9278" s="60"/>
      <c r="K9278" s="60"/>
      <c r="L9278" s="60"/>
      <c r="M9278" s="64"/>
      <c r="N9278" s="33"/>
    </row>
    <row r="9279" ht="24" customHeight="1" spans="2:14">
      <c r="B9279" s="33"/>
      <c r="C9279" s="60"/>
      <c r="D9279" s="60"/>
      <c r="E9279" s="60"/>
      <c r="F9279" s="60"/>
      <c r="G9279" s="60"/>
      <c r="H9279" s="60"/>
      <c r="I9279" s="60"/>
      <c r="J9279" s="60"/>
      <c r="K9279" s="60"/>
      <c r="L9279" s="60"/>
      <c r="M9279" s="64"/>
      <c r="N9279" s="33"/>
    </row>
    <row r="9280" ht="24" customHeight="1" spans="2:14">
      <c r="B9280" s="33"/>
      <c r="C9280" s="60"/>
      <c r="D9280" s="60"/>
      <c r="E9280" s="60"/>
      <c r="F9280" s="60"/>
      <c r="G9280" s="60"/>
      <c r="H9280" s="60"/>
      <c r="I9280" s="60"/>
      <c r="J9280" s="60"/>
      <c r="K9280" s="60"/>
      <c r="L9280" s="60"/>
      <c r="M9280" s="64"/>
      <c r="N9280" s="33"/>
    </row>
    <row r="9281" ht="24" customHeight="1" spans="2:14">
      <c r="B9281" s="33"/>
      <c r="C9281" s="60"/>
      <c r="D9281" s="60"/>
      <c r="E9281" s="60"/>
      <c r="F9281" s="60"/>
      <c r="G9281" s="60"/>
      <c r="H9281" s="60"/>
      <c r="I9281" s="60"/>
      <c r="J9281" s="60"/>
      <c r="K9281" s="60"/>
      <c r="L9281" s="60"/>
      <c r="M9281" s="64"/>
      <c r="N9281" s="33"/>
    </row>
    <row r="9282" ht="24" customHeight="1" spans="2:14">
      <c r="B9282" s="33"/>
      <c r="C9282" s="60"/>
      <c r="D9282" s="60"/>
      <c r="E9282" s="60"/>
      <c r="F9282" s="60"/>
      <c r="G9282" s="60"/>
      <c r="H9282" s="60"/>
      <c r="I9282" s="60"/>
      <c r="J9282" s="60"/>
      <c r="K9282" s="60"/>
      <c r="L9282" s="60"/>
      <c r="M9282" s="64"/>
      <c r="N9282" s="33"/>
    </row>
    <row r="9283" ht="24" customHeight="1" spans="2:14">
      <c r="B9283" s="33"/>
      <c r="C9283" s="60"/>
      <c r="D9283" s="60"/>
      <c r="E9283" s="60"/>
      <c r="F9283" s="60"/>
      <c r="G9283" s="60"/>
      <c r="H9283" s="60"/>
      <c r="I9283" s="60"/>
      <c r="J9283" s="60"/>
      <c r="K9283" s="60"/>
      <c r="L9283" s="60"/>
      <c r="M9283" s="64"/>
      <c r="N9283" s="33"/>
    </row>
    <row r="9284" ht="24" customHeight="1" spans="2:14">
      <c r="B9284" s="33"/>
      <c r="C9284" s="60"/>
      <c r="D9284" s="60"/>
      <c r="E9284" s="60"/>
      <c r="F9284" s="60"/>
      <c r="G9284" s="60"/>
      <c r="H9284" s="60"/>
      <c r="I9284" s="60"/>
      <c r="J9284" s="60"/>
      <c r="K9284" s="60"/>
      <c r="L9284" s="60"/>
      <c r="M9284" s="64"/>
      <c r="N9284" s="33"/>
    </row>
    <row r="9285" ht="24" customHeight="1" spans="2:14">
      <c r="B9285" s="33"/>
      <c r="C9285" s="60"/>
      <c r="D9285" s="60"/>
      <c r="E9285" s="60"/>
      <c r="F9285" s="60"/>
      <c r="G9285" s="60"/>
      <c r="H9285" s="60"/>
      <c r="I9285" s="60"/>
      <c r="J9285" s="60"/>
      <c r="K9285" s="60"/>
      <c r="L9285" s="60"/>
      <c r="M9285" s="64"/>
      <c r="N9285" s="33"/>
    </row>
    <row r="9286" ht="24" customHeight="1" spans="2:14">
      <c r="B9286" s="33"/>
      <c r="C9286" s="60"/>
      <c r="D9286" s="60"/>
      <c r="E9286" s="60"/>
      <c r="F9286" s="60"/>
      <c r="G9286" s="60"/>
      <c r="H9286" s="60"/>
      <c r="I9286" s="60"/>
      <c r="J9286" s="60"/>
      <c r="K9286" s="60"/>
      <c r="L9286" s="60"/>
      <c r="M9286" s="64"/>
      <c r="N9286" s="33"/>
    </row>
    <row r="9287" ht="24" customHeight="1" spans="2:14">
      <c r="B9287" s="33"/>
      <c r="C9287" s="60"/>
      <c r="D9287" s="60"/>
      <c r="E9287" s="60"/>
      <c r="F9287" s="60"/>
      <c r="G9287" s="60"/>
      <c r="H9287" s="60"/>
      <c r="I9287" s="60"/>
      <c r="J9287" s="60"/>
      <c r="K9287" s="60"/>
      <c r="L9287" s="60"/>
      <c r="M9287" s="64"/>
      <c r="N9287" s="33"/>
    </row>
    <row r="9288" ht="24" customHeight="1" spans="2:14">
      <c r="B9288" s="33"/>
      <c r="C9288" s="60"/>
      <c r="D9288" s="60"/>
      <c r="E9288" s="60"/>
      <c r="F9288" s="60"/>
      <c r="G9288" s="60"/>
      <c r="H9288" s="60"/>
      <c r="I9288" s="60"/>
      <c r="J9288" s="60"/>
      <c r="K9288" s="60"/>
      <c r="L9288" s="60"/>
      <c r="M9288" s="64"/>
      <c r="N9288" s="33"/>
    </row>
    <row r="9289" ht="24" customHeight="1" spans="2:14">
      <c r="B9289" s="33"/>
      <c r="C9289" s="60"/>
      <c r="D9289" s="60"/>
      <c r="E9289" s="60"/>
      <c r="F9289" s="60"/>
      <c r="G9289" s="60"/>
      <c r="H9289" s="60"/>
      <c r="I9289" s="60"/>
      <c r="J9289" s="60"/>
      <c r="K9289" s="60"/>
      <c r="L9289" s="60"/>
      <c r="M9289" s="64"/>
      <c r="N9289" s="33"/>
    </row>
    <row r="9290" ht="24" customHeight="1" spans="2:14">
      <c r="B9290" s="33"/>
      <c r="C9290" s="60"/>
      <c r="D9290" s="60"/>
      <c r="E9290" s="60"/>
      <c r="F9290" s="60"/>
      <c r="G9290" s="60"/>
      <c r="H9290" s="60"/>
      <c r="I9290" s="60"/>
      <c r="J9290" s="60"/>
      <c r="K9290" s="60"/>
      <c r="L9290" s="60"/>
      <c r="M9290" s="64"/>
      <c r="N9290" s="33"/>
    </row>
    <row r="9291" ht="24" customHeight="1" spans="2:14">
      <c r="B9291" s="33"/>
      <c r="C9291" s="60"/>
      <c r="D9291" s="60"/>
      <c r="E9291" s="60"/>
      <c r="F9291" s="60"/>
      <c r="G9291" s="60"/>
      <c r="H9291" s="60"/>
      <c r="I9291" s="60"/>
      <c r="J9291" s="60"/>
      <c r="K9291" s="60"/>
      <c r="L9291" s="60"/>
      <c r="M9291" s="64"/>
      <c r="N9291" s="33"/>
    </row>
    <row r="9292" ht="24" customHeight="1" spans="2:14">
      <c r="B9292" s="33"/>
      <c r="C9292" s="60"/>
      <c r="D9292" s="60"/>
      <c r="E9292" s="60"/>
      <c r="F9292" s="60"/>
      <c r="G9292" s="60"/>
      <c r="H9292" s="60"/>
      <c r="I9292" s="60"/>
      <c r="J9292" s="60"/>
      <c r="K9292" s="60"/>
      <c r="L9292" s="60"/>
      <c r="M9292" s="64"/>
      <c r="N9292" s="33"/>
    </row>
    <row r="9293" ht="24" customHeight="1" spans="2:14">
      <c r="B9293" s="33"/>
      <c r="C9293" s="60"/>
      <c r="D9293" s="60"/>
      <c r="E9293" s="60"/>
      <c r="F9293" s="60"/>
      <c r="G9293" s="60"/>
      <c r="H9293" s="60"/>
      <c r="I9293" s="60"/>
      <c r="J9293" s="60"/>
      <c r="K9293" s="60"/>
      <c r="L9293" s="60"/>
      <c r="M9293" s="64"/>
      <c r="N9293" s="33"/>
    </row>
    <row r="9294" ht="24" customHeight="1" spans="2:14">
      <c r="B9294" s="33"/>
      <c r="C9294" s="60"/>
      <c r="D9294" s="60"/>
      <c r="E9294" s="60"/>
      <c r="F9294" s="60"/>
      <c r="G9294" s="60"/>
      <c r="H9294" s="60"/>
      <c r="I9294" s="60"/>
      <c r="J9294" s="60"/>
      <c r="K9294" s="60"/>
      <c r="L9294" s="60"/>
      <c r="M9294" s="64"/>
      <c r="N9294" s="33"/>
    </row>
    <row r="9295" ht="24" customHeight="1" spans="2:14">
      <c r="B9295" s="33"/>
      <c r="C9295" s="60"/>
      <c r="D9295" s="60"/>
      <c r="E9295" s="60"/>
      <c r="F9295" s="60"/>
      <c r="G9295" s="60"/>
      <c r="H9295" s="60"/>
      <c r="I9295" s="60"/>
      <c r="J9295" s="60"/>
      <c r="K9295" s="60"/>
      <c r="L9295" s="60"/>
      <c r="M9295" s="64"/>
      <c r="N9295" s="33"/>
    </row>
    <row r="9296" ht="24" customHeight="1" spans="2:14">
      <c r="B9296" s="33"/>
      <c r="C9296" s="60"/>
      <c r="D9296" s="60"/>
      <c r="E9296" s="60"/>
      <c r="F9296" s="60"/>
      <c r="G9296" s="60"/>
      <c r="H9296" s="60"/>
      <c r="I9296" s="60"/>
      <c r="J9296" s="60"/>
      <c r="K9296" s="60"/>
      <c r="L9296" s="60"/>
      <c r="M9296" s="64"/>
      <c r="N9296" s="33"/>
    </row>
    <row r="9297" ht="24" customHeight="1" spans="2:14">
      <c r="B9297" s="33"/>
      <c r="C9297" s="60"/>
      <c r="D9297" s="60"/>
      <c r="E9297" s="60"/>
      <c r="F9297" s="60"/>
      <c r="G9297" s="60"/>
      <c r="H9297" s="60"/>
      <c r="I9297" s="60"/>
      <c r="J9297" s="60"/>
      <c r="K9297" s="60"/>
      <c r="L9297" s="60"/>
      <c r="M9297" s="64"/>
      <c r="N9297" s="33"/>
    </row>
    <row r="9298" ht="24" customHeight="1" spans="2:14">
      <c r="B9298" s="33"/>
      <c r="C9298" s="60"/>
      <c r="D9298" s="60"/>
      <c r="E9298" s="60"/>
      <c r="F9298" s="60"/>
      <c r="G9298" s="60"/>
      <c r="H9298" s="60"/>
      <c r="I9298" s="60"/>
      <c r="J9298" s="60"/>
      <c r="K9298" s="60"/>
      <c r="L9298" s="60"/>
      <c r="M9298" s="64"/>
      <c r="N9298" s="33"/>
    </row>
    <row r="9299" ht="24" customHeight="1" spans="2:14">
      <c r="B9299" s="33"/>
      <c r="C9299" s="60"/>
      <c r="D9299" s="60"/>
      <c r="E9299" s="60"/>
      <c r="F9299" s="60"/>
      <c r="G9299" s="60"/>
      <c r="H9299" s="60"/>
      <c r="I9299" s="60"/>
      <c r="J9299" s="60"/>
      <c r="K9299" s="60"/>
      <c r="L9299" s="60"/>
      <c r="M9299" s="64"/>
      <c r="N9299" s="33"/>
    </row>
    <row r="9300" ht="24" customHeight="1" spans="2:14">
      <c r="B9300" s="33"/>
      <c r="C9300" s="60"/>
      <c r="D9300" s="60"/>
      <c r="E9300" s="60"/>
      <c r="F9300" s="60"/>
      <c r="G9300" s="60"/>
      <c r="H9300" s="60"/>
      <c r="I9300" s="60"/>
      <c r="J9300" s="60"/>
      <c r="K9300" s="60"/>
      <c r="L9300" s="60"/>
      <c r="M9300" s="64"/>
      <c r="N9300" s="33"/>
    </row>
    <row r="9301" ht="24" customHeight="1" spans="2:14">
      <c r="B9301" s="33"/>
      <c r="C9301" s="60"/>
      <c r="D9301" s="60"/>
      <c r="E9301" s="60"/>
      <c r="F9301" s="60"/>
      <c r="G9301" s="60"/>
      <c r="H9301" s="60"/>
      <c r="I9301" s="60"/>
      <c r="J9301" s="60"/>
      <c r="K9301" s="60"/>
      <c r="L9301" s="60"/>
      <c r="M9301" s="64"/>
      <c r="N9301" s="33"/>
    </row>
    <row r="9302" ht="24" customHeight="1" spans="2:14">
      <c r="B9302" s="33"/>
      <c r="C9302" s="60"/>
      <c r="D9302" s="60"/>
      <c r="E9302" s="60"/>
      <c r="F9302" s="60"/>
      <c r="G9302" s="60"/>
      <c r="H9302" s="60"/>
      <c r="I9302" s="60"/>
      <c r="J9302" s="60"/>
      <c r="K9302" s="60"/>
      <c r="L9302" s="60"/>
      <c r="M9302" s="64"/>
      <c r="N9302" s="33"/>
    </row>
    <row r="9303" ht="24" customHeight="1" spans="2:14">
      <c r="B9303" s="33"/>
      <c r="C9303" s="60"/>
      <c r="D9303" s="60"/>
      <c r="E9303" s="60"/>
      <c r="F9303" s="60"/>
      <c r="G9303" s="60"/>
      <c r="H9303" s="60"/>
      <c r="I9303" s="60"/>
      <c r="J9303" s="60"/>
      <c r="K9303" s="60"/>
      <c r="L9303" s="60"/>
      <c r="M9303" s="64"/>
      <c r="N9303" s="33"/>
    </row>
    <row r="9304" ht="24" customHeight="1" spans="2:14">
      <c r="B9304" s="33"/>
      <c r="C9304" s="60"/>
      <c r="D9304" s="60"/>
      <c r="E9304" s="60"/>
      <c r="F9304" s="60"/>
      <c r="G9304" s="60"/>
      <c r="H9304" s="60"/>
      <c r="I9304" s="60"/>
      <c r="J9304" s="60"/>
      <c r="K9304" s="60"/>
      <c r="L9304" s="60"/>
      <c r="M9304" s="64"/>
      <c r="N9304" s="33"/>
    </row>
    <row r="9305" ht="24" customHeight="1" spans="2:14">
      <c r="B9305" s="33"/>
      <c r="C9305" s="60"/>
      <c r="D9305" s="60"/>
      <c r="E9305" s="60"/>
      <c r="F9305" s="60"/>
      <c r="G9305" s="60"/>
      <c r="H9305" s="60"/>
      <c r="I9305" s="60"/>
      <c r="J9305" s="60"/>
      <c r="K9305" s="60"/>
      <c r="L9305" s="60"/>
      <c r="M9305" s="64"/>
      <c r="N9305" s="33"/>
    </row>
    <row r="9306" ht="24" customHeight="1" spans="2:14">
      <c r="B9306" s="33"/>
      <c r="C9306" s="60"/>
      <c r="D9306" s="60"/>
      <c r="E9306" s="60"/>
      <c r="F9306" s="60"/>
      <c r="G9306" s="60"/>
      <c r="H9306" s="60"/>
      <c r="I9306" s="60"/>
      <c r="J9306" s="60"/>
      <c r="K9306" s="60"/>
      <c r="L9306" s="60"/>
      <c r="M9306" s="64"/>
      <c r="N9306" s="33"/>
    </row>
    <row r="9307" ht="24" customHeight="1" spans="2:14">
      <c r="B9307" s="33"/>
      <c r="C9307" s="60"/>
      <c r="D9307" s="60"/>
      <c r="E9307" s="60"/>
      <c r="F9307" s="60"/>
      <c r="G9307" s="60"/>
      <c r="H9307" s="60"/>
      <c r="I9307" s="60"/>
      <c r="J9307" s="60"/>
      <c r="K9307" s="60"/>
      <c r="L9307" s="60"/>
      <c r="M9307" s="64"/>
      <c r="N9307" s="33"/>
    </row>
    <row r="9308" ht="24" customHeight="1" spans="2:14">
      <c r="B9308" s="33"/>
      <c r="C9308" s="60"/>
      <c r="D9308" s="60"/>
      <c r="E9308" s="60"/>
      <c r="F9308" s="60"/>
      <c r="G9308" s="60"/>
      <c r="H9308" s="60"/>
      <c r="I9308" s="60"/>
      <c r="J9308" s="60"/>
      <c r="K9308" s="60"/>
      <c r="L9308" s="60"/>
      <c r="M9308" s="64"/>
      <c r="N9308" s="33"/>
    </row>
    <row r="9309" ht="24" customHeight="1" spans="2:14">
      <c r="B9309" s="33"/>
      <c r="C9309" s="60"/>
      <c r="D9309" s="60"/>
      <c r="E9309" s="60"/>
      <c r="F9309" s="60"/>
      <c r="G9309" s="60"/>
      <c r="H9309" s="60"/>
      <c r="I9309" s="60"/>
      <c r="J9309" s="60"/>
      <c r="K9309" s="60"/>
      <c r="L9309" s="60"/>
      <c r="M9309" s="64"/>
      <c r="N9309" s="33"/>
    </row>
    <row r="9310" ht="24" customHeight="1" spans="2:14">
      <c r="B9310" s="33"/>
      <c r="C9310" s="60"/>
      <c r="D9310" s="60"/>
      <c r="E9310" s="60"/>
      <c r="F9310" s="60"/>
      <c r="G9310" s="60"/>
      <c r="H9310" s="60"/>
      <c r="I9310" s="60"/>
      <c r="J9310" s="60"/>
      <c r="K9310" s="60"/>
      <c r="L9310" s="60"/>
      <c r="M9310" s="64"/>
      <c r="N9310" s="33"/>
    </row>
    <row r="9311" ht="24" customHeight="1" spans="2:14">
      <c r="B9311" s="33"/>
      <c r="C9311" s="60"/>
      <c r="D9311" s="60"/>
      <c r="E9311" s="60"/>
      <c r="F9311" s="60"/>
      <c r="G9311" s="60"/>
      <c r="H9311" s="60"/>
      <c r="I9311" s="60"/>
      <c r="J9311" s="60"/>
      <c r="K9311" s="60"/>
      <c r="L9311" s="60"/>
      <c r="M9311" s="64"/>
      <c r="N9311" s="33"/>
    </row>
    <row r="9312" ht="24" customHeight="1" spans="2:14">
      <c r="B9312" s="33"/>
      <c r="C9312" s="60"/>
      <c r="D9312" s="60"/>
      <c r="E9312" s="60"/>
      <c r="F9312" s="60"/>
      <c r="G9312" s="60"/>
      <c r="H9312" s="60"/>
      <c r="I9312" s="60"/>
      <c r="J9312" s="60"/>
      <c r="K9312" s="60"/>
      <c r="L9312" s="60"/>
      <c r="M9312" s="64"/>
      <c r="N9312" s="33"/>
    </row>
    <row r="9313" ht="24" customHeight="1" spans="2:14">
      <c r="B9313" s="33"/>
      <c r="C9313" s="60"/>
      <c r="D9313" s="60"/>
      <c r="E9313" s="60"/>
      <c r="F9313" s="60"/>
      <c r="G9313" s="60"/>
      <c r="H9313" s="60"/>
      <c r="I9313" s="60"/>
      <c r="J9313" s="60"/>
      <c r="K9313" s="60"/>
      <c r="L9313" s="60"/>
      <c r="M9313" s="64"/>
      <c r="N9313" s="33"/>
    </row>
    <row r="9314" ht="24" customHeight="1" spans="2:14">
      <c r="B9314" s="33"/>
      <c r="C9314" s="60"/>
      <c r="D9314" s="60"/>
      <c r="E9314" s="60"/>
      <c r="F9314" s="60"/>
      <c r="G9314" s="60"/>
      <c r="H9314" s="60"/>
      <c r="I9314" s="60"/>
      <c r="J9314" s="60"/>
      <c r="K9314" s="60"/>
      <c r="L9314" s="60"/>
      <c r="M9314" s="64"/>
      <c r="N9314" s="33"/>
    </row>
    <row r="9315" ht="24" customHeight="1" spans="2:14">
      <c r="B9315" s="33"/>
      <c r="C9315" s="60"/>
      <c r="D9315" s="60"/>
      <c r="E9315" s="60"/>
      <c r="F9315" s="60"/>
      <c r="G9315" s="60"/>
      <c r="H9315" s="60"/>
      <c r="I9315" s="60"/>
      <c r="J9315" s="60"/>
      <c r="K9315" s="60"/>
      <c r="L9315" s="60"/>
      <c r="M9315" s="64"/>
      <c r="N9315" s="33"/>
    </row>
    <row r="9316" ht="24" customHeight="1" spans="2:14">
      <c r="B9316" s="33"/>
      <c r="C9316" s="60"/>
      <c r="D9316" s="60"/>
      <c r="E9316" s="60"/>
      <c r="F9316" s="60"/>
      <c r="G9316" s="60"/>
      <c r="H9316" s="60"/>
      <c r="I9316" s="60"/>
      <c r="J9316" s="60"/>
      <c r="K9316" s="60"/>
      <c r="L9316" s="60"/>
      <c r="M9316" s="64"/>
      <c r="N9316" s="33"/>
    </row>
    <row r="9317" ht="24" customHeight="1" spans="2:14">
      <c r="B9317" s="33"/>
      <c r="C9317" s="60"/>
      <c r="D9317" s="60"/>
      <c r="E9317" s="60"/>
      <c r="F9317" s="60"/>
      <c r="G9317" s="60"/>
      <c r="H9317" s="60"/>
      <c r="I9317" s="60"/>
      <c r="J9317" s="60"/>
      <c r="K9317" s="60"/>
      <c r="L9317" s="60"/>
      <c r="M9317" s="64"/>
      <c r="N9317" s="33"/>
    </row>
    <row r="9318" ht="24" customHeight="1" spans="2:14">
      <c r="B9318" s="33"/>
      <c r="C9318" s="60"/>
      <c r="D9318" s="60"/>
      <c r="E9318" s="60"/>
      <c r="F9318" s="60"/>
      <c r="G9318" s="60"/>
      <c r="H9318" s="60"/>
      <c r="I9318" s="60"/>
      <c r="J9318" s="60"/>
      <c r="K9318" s="60"/>
      <c r="L9318" s="60"/>
      <c r="M9318" s="64"/>
      <c r="N9318" s="33"/>
    </row>
    <row r="9319" ht="24" customHeight="1" spans="2:14">
      <c r="B9319" s="33"/>
      <c r="C9319" s="60"/>
      <c r="D9319" s="60"/>
      <c r="E9319" s="60"/>
      <c r="F9319" s="60"/>
      <c r="G9319" s="60"/>
      <c r="H9319" s="60"/>
      <c r="I9319" s="60"/>
      <c r="J9319" s="60"/>
      <c r="K9319" s="60"/>
      <c r="L9319" s="60"/>
      <c r="M9319" s="64"/>
      <c r="N9319" s="33"/>
    </row>
    <row r="9320" ht="24" customHeight="1" spans="2:14">
      <c r="B9320" s="33"/>
      <c r="C9320" s="60"/>
      <c r="D9320" s="60"/>
      <c r="E9320" s="60"/>
      <c r="F9320" s="60"/>
      <c r="G9320" s="60"/>
      <c r="H9320" s="60"/>
      <c r="I9320" s="60"/>
      <c r="J9320" s="60"/>
      <c r="K9320" s="60"/>
      <c r="L9320" s="60"/>
      <c r="M9320" s="64"/>
      <c r="N9320" s="33"/>
    </row>
    <row r="9321" ht="24" customHeight="1" spans="2:14">
      <c r="B9321" s="33"/>
      <c r="C9321" s="60"/>
      <c r="D9321" s="60"/>
      <c r="E9321" s="60"/>
      <c r="F9321" s="60"/>
      <c r="G9321" s="60"/>
      <c r="H9321" s="60"/>
      <c r="I9321" s="60"/>
      <c r="J9321" s="60"/>
      <c r="K9321" s="60"/>
      <c r="L9321" s="60"/>
      <c r="M9321" s="64"/>
      <c r="N9321" s="33"/>
    </row>
    <row r="9322" ht="24" customHeight="1" spans="2:14">
      <c r="B9322" s="33"/>
      <c r="C9322" s="60"/>
      <c r="D9322" s="60"/>
      <c r="E9322" s="60"/>
      <c r="F9322" s="60"/>
      <c r="G9322" s="60"/>
      <c r="H9322" s="60"/>
      <c r="I9322" s="60"/>
      <c r="J9322" s="60"/>
      <c r="K9322" s="60"/>
      <c r="L9322" s="60"/>
      <c r="M9322" s="64"/>
      <c r="N9322" s="33"/>
    </row>
    <row r="9323" ht="24" customHeight="1" spans="2:14">
      <c r="B9323" s="33"/>
      <c r="C9323" s="60"/>
      <c r="D9323" s="60"/>
      <c r="E9323" s="60"/>
      <c r="F9323" s="60"/>
      <c r="G9323" s="60"/>
      <c r="H9323" s="60"/>
      <c r="I9323" s="60"/>
      <c r="J9323" s="60"/>
      <c r="K9323" s="60"/>
      <c r="L9323" s="60"/>
      <c r="M9323" s="64"/>
      <c r="N9323" s="33"/>
    </row>
    <row r="9324" ht="24" customHeight="1" spans="2:14">
      <c r="B9324" s="33"/>
      <c r="C9324" s="60"/>
      <c r="D9324" s="60"/>
      <c r="E9324" s="60"/>
      <c r="F9324" s="60"/>
      <c r="G9324" s="60"/>
      <c r="H9324" s="60"/>
      <c r="I9324" s="60"/>
      <c r="J9324" s="60"/>
      <c r="K9324" s="60"/>
      <c r="L9324" s="60"/>
      <c r="M9324" s="64"/>
      <c r="N9324" s="33"/>
    </row>
    <row r="9325" ht="24" customHeight="1" spans="2:14">
      <c r="B9325" s="33"/>
      <c r="C9325" s="60"/>
      <c r="D9325" s="60"/>
      <c r="E9325" s="60"/>
      <c r="F9325" s="60"/>
      <c r="G9325" s="60"/>
      <c r="H9325" s="60"/>
      <c r="I9325" s="60"/>
      <c r="J9325" s="60"/>
      <c r="K9325" s="60"/>
      <c r="L9325" s="60"/>
      <c r="M9325" s="64"/>
      <c r="N9325" s="33"/>
    </row>
    <row r="9326" ht="24" customHeight="1" spans="2:14">
      <c r="B9326" s="33"/>
      <c r="C9326" s="60"/>
      <c r="D9326" s="60"/>
      <c r="E9326" s="60"/>
      <c r="F9326" s="60"/>
      <c r="G9326" s="60"/>
      <c r="H9326" s="60"/>
      <c r="I9326" s="60"/>
      <c r="J9326" s="60"/>
      <c r="K9326" s="60"/>
      <c r="L9326" s="60"/>
      <c r="M9326" s="64"/>
      <c r="N9326" s="33"/>
    </row>
    <row r="9327" ht="24" customHeight="1" spans="2:14">
      <c r="B9327" s="33"/>
      <c r="C9327" s="60"/>
      <c r="D9327" s="60"/>
      <c r="E9327" s="60"/>
      <c r="F9327" s="60"/>
      <c r="G9327" s="60"/>
      <c r="H9327" s="60"/>
      <c r="I9327" s="60"/>
      <c r="J9327" s="60"/>
      <c r="K9327" s="60"/>
      <c r="L9327" s="60"/>
      <c r="M9327" s="64"/>
      <c r="N9327" s="33"/>
    </row>
    <row r="9328" ht="24" customHeight="1" spans="2:14">
      <c r="B9328" s="33"/>
      <c r="C9328" s="60"/>
      <c r="D9328" s="60"/>
      <c r="E9328" s="60"/>
      <c r="F9328" s="60"/>
      <c r="G9328" s="60"/>
      <c r="H9328" s="60"/>
      <c r="I9328" s="60"/>
      <c r="J9328" s="60"/>
      <c r="K9328" s="60"/>
      <c r="L9328" s="60"/>
      <c r="M9328" s="64"/>
      <c r="N9328" s="33"/>
    </row>
    <row r="9329" ht="24" customHeight="1" spans="2:14">
      <c r="B9329" s="33"/>
      <c r="C9329" s="60"/>
      <c r="D9329" s="60"/>
      <c r="E9329" s="60"/>
      <c r="F9329" s="60"/>
      <c r="G9329" s="60"/>
      <c r="H9329" s="60"/>
      <c r="I9329" s="60"/>
      <c r="J9329" s="60"/>
      <c r="K9329" s="60"/>
      <c r="L9329" s="60"/>
      <c r="M9329" s="64"/>
      <c r="N9329" s="33"/>
    </row>
    <row r="9330" ht="24" customHeight="1" spans="2:14">
      <c r="B9330" s="33"/>
      <c r="C9330" s="60"/>
      <c r="D9330" s="60"/>
      <c r="E9330" s="60"/>
      <c r="F9330" s="60"/>
      <c r="G9330" s="60"/>
      <c r="H9330" s="60"/>
      <c r="I9330" s="60"/>
      <c r="J9330" s="60"/>
      <c r="K9330" s="60"/>
      <c r="L9330" s="60"/>
      <c r="M9330" s="64"/>
      <c r="N9330" s="33"/>
    </row>
    <row r="9331" ht="24" customHeight="1" spans="2:14">
      <c r="B9331" s="33"/>
      <c r="C9331" s="60"/>
      <c r="D9331" s="60"/>
      <c r="E9331" s="60"/>
      <c r="F9331" s="60"/>
      <c r="G9331" s="60"/>
      <c r="H9331" s="60"/>
      <c r="I9331" s="60"/>
      <c r="J9331" s="60"/>
      <c r="K9331" s="60"/>
      <c r="L9331" s="60"/>
      <c r="M9331" s="64"/>
      <c r="N9331" s="33"/>
    </row>
    <row r="9332" ht="24" customHeight="1" spans="2:14">
      <c r="B9332" s="33"/>
      <c r="C9332" s="60"/>
      <c r="D9332" s="60"/>
      <c r="E9332" s="60"/>
      <c r="F9332" s="60"/>
      <c r="G9332" s="60"/>
      <c r="H9332" s="60"/>
      <c r="I9332" s="60"/>
      <c r="J9332" s="60"/>
      <c r="K9332" s="60"/>
      <c r="L9332" s="60"/>
      <c r="M9332" s="64"/>
      <c r="N9332" s="33"/>
    </row>
    <row r="9333" ht="24" customHeight="1" spans="2:14">
      <c r="B9333" s="33"/>
      <c r="C9333" s="60"/>
      <c r="D9333" s="60"/>
      <c r="E9333" s="60"/>
      <c r="F9333" s="60"/>
      <c r="G9333" s="60"/>
      <c r="H9333" s="60"/>
      <c r="I9333" s="60"/>
      <c r="J9333" s="60"/>
      <c r="K9333" s="60"/>
      <c r="L9333" s="60"/>
      <c r="M9333" s="64"/>
      <c r="N9333" s="33"/>
    </row>
    <row r="9334" ht="24" customHeight="1" spans="2:14">
      <c r="B9334" s="33"/>
      <c r="C9334" s="60"/>
      <c r="D9334" s="60"/>
      <c r="E9334" s="60"/>
      <c r="F9334" s="60"/>
      <c r="G9334" s="60"/>
      <c r="H9334" s="60"/>
      <c r="I9334" s="60"/>
      <c r="J9334" s="60"/>
      <c r="K9334" s="60"/>
      <c r="L9334" s="60"/>
      <c r="M9334" s="64"/>
      <c r="N9334" s="33"/>
    </row>
    <row r="9335" ht="24" customHeight="1" spans="2:14">
      <c r="B9335" s="33"/>
      <c r="C9335" s="60"/>
      <c r="D9335" s="60"/>
      <c r="E9335" s="60"/>
      <c r="F9335" s="60"/>
      <c r="G9335" s="60"/>
      <c r="H9335" s="60"/>
      <c r="I9335" s="60"/>
      <c r="J9335" s="60"/>
      <c r="K9335" s="60"/>
      <c r="L9335" s="60"/>
      <c r="M9335" s="64"/>
      <c r="N9335" s="33"/>
    </row>
    <row r="9336" ht="24" customHeight="1" spans="2:14">
      <c r="B9336" s="33"/>
      <c r="C9336" s="60"/>
      <c r="D9336" s="60"/>
      <c r="E9336" s="60"/>
      <c r="F9336" s="60"/>
      <c r="G9336" s="60"/>
      <c r="H9336" s="60"/>
      <c r="I9336" s="60"/>
      <c r="J9336" s="60"/>
      <c r="K9336" s="60"/>
      <c r="L9336" s="60"/>
      <c r="M9336" s="64"/>
      <c r="N9336" s="33"/>
    </row>
    <row r="9337" ht="24" customHeight="1" spans="2:14">
      <c r="B9337" s="33"/>
      <c r="C9337" s="60"/>
      <c r="D9337" s="60"/>
      <c r="E9337" s="60"/>
      <c r="F9337" s="60"/>
      <c r="G9337" s="60"/>
      <c r="H9337" s="60"/>
      <c r="I9337" s="60"/>
      <c r="J9337" s="60"/>
      <c r="K9337" s="60"/>
      <c r="L9337" s="60"/>
      <c r="M9337" s="64"/>
      <c r="N9337" s="33"/>
    </row>
    <row r="9338" ht="24" customHeight="1" spans="2:14">
      <c r="B9338" s="33"/>
      <c r="C9338" s="60"/>
      <c r="D9338" s="60"/>
      <c r="E9338" s="60"/>
      <c r="F9338" s="60"/>
      <c r="G9338" s="60"/>
      <c r="H9338" s="60"/>
      <c r="I9338" s="60"/>
      <c r="J9338" s="60"/>
      <c r="K9338" s="60"/>
      <c r="L9338" s="60"/>
      <c r="M9338" s="64"/>
      <c r="N9338" s="33"/>
    </row>
    <row r="9339" ht="24" customHeight="1" spans="2:14">
      <c r="B9339" s="33"/>
      <c r="C9339" s="60"/>
      <c r="D9339" s="60"/>
      <c r="E9339" s="60"/>
      <c r="F9339" s="60"/>
      <c r="G9339" s="60"/>
      <c r="H9339" s="60"/>
      <c r="I9339" s="60"/>
      <c r="J9339" s="60"/>
      <c r="K9339" s="60"/>
      <c r="L9339" s="60"/>
      <c r="M9339" s="64"/>
      <c r="N9339" s="33"/>
    </row>
    <row r="9340" ht="24" customHeight="1" spans="2:14">
      <c r="B9340" s="33"/>
      <c r="C9340" s="60"/>
      <c r="D9340" s="60"/>
      <c r="E9340" s="60"/>
      <c r="F9340" s="60"/>
      <c r="G9340" s="60"/>
      <c r="H9340" s="60"/>
      <c r="I9340" s="60"/>
      <c r="J9340" s="60"/>
      <c r="K9340" s="60"/>
      <c r="L9340" s="60"/>
      <c r="M9340" s="64"/>
      <c r="N9340" s="33"/>
    </row>
    <row r="9341" ht="24" customHeight="1" spans="2:14">
      <c r="B9341" s="33"/>
      <c r="C9341" s="60"/>
      <c r="D9341" s="60"/>
      <c r="E9341" s="60"/>
      <c r="F9341" s="60"/>
      <c r="G9341" s="60"/>
      <c r="H9341" s="60"/>
      <c r="I9341" s="60"/>
      <c r="J9341" s="60"/>
      <c r="K9341" s="60"/>
      <c r="L9341" s="60"/>
      <c r="M9341" s="64"/>
      <c r="N9341" s="33"/>
    </row>
    <row r="9342" ht="24" customHeight="1" spans="2:14">
      <c r="B9342" s="33"/>
      <c r="C9342" s="60"/>
      <c r="D9342" s="60"/>
      <c r="E9342" s="60"/>
      <c r="F9342" s="60"/>
      <c r="G9342" s="60"/>
      <c r="H9342" s="60"/>
      <c r="I9342" s="60"/>
      <c r="J9342" s="60"/>
      <c r="K9342" s="60"/>
      <c r="L9342" s="60"/>
      <c r="M9342" s="64"/>
      <c r="N9342" s="33"/>
    </row>
    <row r="9343" ht="24" customHeight="1" spans="2:14">
      <c r="B9343" s="33"/>
      <c r="C9343" s="60"/>
      <c r="D9343" s="60"/>
      <c r="E9343" s="60"/>
      <c r="F9343" s="60"/>
      <c r="G9343" s="60"/>
      <c r="H9343" s="60"/>
      <c r="I9343" s="60"/>
      <c r="J9343" s="60"/>
      <c r="K9343" s="60"/>
      <c r="L9343" s="60"/>
      <c r="M9343" s="64"/>
      <c r="N9343" s="33"/>
    </row>
    <row r="9344" ht="24" customHeight="1" spans="2:14">
      <c r="B9344" s="33"/>
      <c r="C9344" s="60"/>
      <c r="D9344" s="60"/>
      <c r="E9344" s="60"/>
      <c r="F9344" s="60"/>
      <c r="G9344" s="60"/>
      <c r="H9344" s="60"/>
      <c r="I9344" s="60"/>
      <c r="J9344" s="60"/>
      <c r="K9344" s="60"/>
      <c r="L9344" s="60"/>
      <c r="M9344" s="64"/>
      <c r="N9344" s="33"/>
    </row>
    <row r="9345" ht="24" customHeight="1" spans="2:14">
      <c r="B9345" s="33"/>
      <c r="C9345" s="60"/>
      <c r="D9345" s="60"/>
      <c r="E9345" s="60"/>
      <c r="F9345" s="60"/>
      <c r="G9345" s="60"/>
      <c r="H9345" s="60"/>
      <c r="I9345" s="60"/>
      <c r="J9345" s="60"/>
      <c r="K9345" s="60"/>
      <c r="L9345" s="60"/>
      <c r="M9345" s="64"/>
      <c r="N9345" s="33"/>
    </row>
    <row r="9346" ht="24" customHeight="1" spans="2:14">
      <c r="B9346" s="33"/>
      <c r="C9346" s="60"/>
      <c r="D9346" s="60"/>
      <c r="E9346" s="60"/>
      <c r="F9346" s="60"/>
      <c r="G9346" s="60"/>
      <c r="H9346" s="60"/>
      <c r="I9346" s="60"/>
      <c r="J9346" s="60"/>
      <c r="K9346" s="60"/>
      <c r="L9346" s="60"/>
      <c r="M9346" s="64"/>
      <c r="N9346" s="33"/>
    </row>
    <row r="9347" ht="24" customHeight="1" spans="2:14">
      <c r="B9347" s="33"/>
      <c r="C9347" s="60"/>
      <c r="D9347" s="60"/>
      <c r="E9347" s="60"/>
      <c r="F9347" s="60"/>
      <c r="G9347" s="60"/>
      <c r="H9347" s="60"/>
      <c r="I9347" s="60"/>
      <c r="J9347" s="60"/>
      <c r="K9347" s="60"/>
      <c r="L9347" s="60"/>
      <c r="M9347" s="64"/>
      <c r="N9347" s="33"/>
    </row>
    <row r="9348" ht="24" customHeight="1" spans="2:14">
      <c r="B9348" s="33"/>
      <c r="C9348" s="60"/>
      <c r="D9348" s="60"/>
      <c r="E9348" s="60"/>
      <c r="F9348" s="60"/>
      <c r="G9348" s="60"/>
      <c r="H9348" s="60"/>
      <c r="I9348" s="60"/>
      <c r="J9348" s="60"/>
      <c r="K9348" s="60"/>
      <c r="L9348" s="60"/>
      <c r="M9348" s="64"/>
      <c r="N9348" s="33"/>
    </row>
    <row r="9349" ht="24" customHeight="1" spans="2:14">
      <c r="B9349" s="33"/>
      <c r="C9349" s="60"/>
      <c r="D9349" s="60"/>
      <c r="E9349" s="60"/>
      <c r="F9349" s="60"/>
      <c r="G9349" s="60"/>
      <c r="H9349" s="60"/>
      <c r="I9349" s="60"/>
      <c r="J9349" s="60"/>
      <c r="K9349" s="60"/>
      <c r="L9349" s="60"/>
      <c r="M9349" s="64"/>
      <c r="N9349" s="33"/>
    </row>
    <row r="9350" ht="24" customHeight="1" spans="2:14">
      <c r="B9350" s="33"/>
      <c r="C9350" s="60"/>
      <c r="D9350" s="60"/>
      <c r="E9350" s="60"/>
      <c r="F9350" s="60"/>
      <c r="G9350" s="60"/>
      <c r="H9350" s="60"/>
      <c r="I9350" s="60"/>
      <c r="J9350" s="60"/>
      <c r="K9350" s="60"/>
      <c r="L9350" s="60"/>
      <c r="M9350" s="64"/>
      <c r="N9350" s="33"/>
    </row>
    <row r="9351" ht="24" customHeight="1" spans="2:14">
      <c r="B9351" s="33"/>
      <c r="C9351" s="60"/>
      <c r="D9351" s="60"/>
      <c r="E9351" s="60"/>
      <c r="F9351" s="60"/>
      <c r="G9351" s="60"/>
      <c r="H9351" s="60"/>
      <c r="I9351" s="60"/>
      <c r="J9351" s="60"/>
      <c r="K9351" s="60"/>
      <c r="L9351" s="60"/>
      <c r="M9351" s="64"/>
      <c r="N9351" s="33"/>
    </row>
    <row r="9352" ht="24" customHeight="1" spans="2:14">
      <c r="B9352" s="33"/>
      <c r="C9352" s="60"/>
      <c r="D9352" s="60"/>
      <c r="E9352" s="60"/>
      <c r="F9352" s="60"/>
      <c r="G9352" s="60"/>
      <c r="H9352" s="60"/>
      <c r="I9352" s="60"/>
      <c r="J9352" s="60"/>
      <c r="K9352" s="60"/>
      <c r="L9352" s="60"/>
      <c r="M9352" s="64"/>
      <c r="N9352" s="33"/>
    </row>
    <row r="9353" ht="24" customHeight="1" spans="2:14">
      <c r="B9353" s="33"/>
      <c r="C9353" s="60"/>
      <c r="D9353" s="60"/>
      <c r="E9353" s="60"/>
      <c r="F9353" s="60"/>
      <c r="G9353" s="60"/>
      <c r="H9353" s="60"/>
      <c r="I9353" s="60"/>
      <c r="J9353" s="60"/>
      <c r="K9353" s="60"/>
      <c r="L9353" s="60"/>
      <c r="M9353" s="64"/>
      <c r="N9353" s="33"/>
    </row>
    <row r="9354" ht="24" customHeight="1" spans="2:14">
      <c r="B9354" s="33"/>
      <c r="C9354" s="60"/>
      <c r="D9354" s="60"/>
      <c r="E9354" s="60"/>
      <c r="F9354" s="60"/>
      <c r="G9354" s="60"/>
      <c r="H9354" s="60"/>
      <c r="I9354" s="60"/>
      <c r="J9354" s="60"/>
      <c r="K9354" s="60"/>
      <c r="L9354" s="60"/>
      <c r="M9354" s="64"/>
      <c r="N9354" s="33"/>
    </row>
    <row r="9355" ht="24" customHeight="1" spans="2:14">
      <c r="B9355" s="33"/>
      <c r="C9355" s="60"/>
      <c r="D9355" s="60"/>
      <c r="E9355" s="60"/>
      <c r="F9355" s="60"/>
      <c r="G9355" s="60"/>
      <c r="H9355" s="60"/>
      <c r="I9355" s="60"/>
      <c r="J9355" s="60"/>
      <c r="K9355" s="60"/>
      <c r="L9355" s="60"/>
      <c r="M9355" s="64"/>
      <c r="N9355" s="33"/>
    </row>
    <row r="9356" ht="24" customHeight="1" spans="2:14">
      <c r="B9356" s="33"/>
      <c r="C9356" s="60"/>
      <c r="D9356" s="60"/>
      <c r="E9356" s="60"/>
      <c r="F9356" s="60"/>
      <c r="G9356" s="60"/>
      <c r="H9356" s="60"/>
      <c r="I9356" s="60"/>
      <c r="J9356" s="60"/>
      <c r="K9356" s="60"/>
      <c r="L9356" s="60"/>
      <c r="M9356" s="64"/>
      <c r="N9356" s="33"/>
    </row>
    <row r="9357" ht="24" customHeight="1" spans="2:14">
      <c r="B9357" s="33"/>
      <c r="C9357" s="60"/>
      <c r="D9357" s="60"/>
      <c r="E9357" s="60"/>
      <c r="F9357" s="60"/>
      <c r="G9357" s="60"/>
      <c r="H9357" s="60"/>
      <c r="I9357" s="60"/>
      <c r="J9357" s="60"/>
      <c r="K9357" s="60"/>
      <c r="L9357" s="60"/>
      <c r="M9357" s="64"/>
      <c r="N9357" s="33"/>
    </row>
    <row r="9358" ht="24" customHeight="1" spans="2:14">
      <c r="B9358" s="33"/>
      <c r="C9358" s="60"/>
      <c r="D9358" s="60"/>
      <c r="E9358" s="60"/>
      <c r="F9358" s="60"/>
      <c r="G9358" s="60"/>
      <c r="H9358" s="60"/>
      <c r="I9358" s="60"/>
      <c r="J9358" s="60"/>
      <c r="K9358" s="60"/>
      <c r="L9358" s="60"/>
      <c r="M9358" s="64"/>
      <c r="N9358" s="33"/>
    </row>
    <row r="9359" ht="24" customHeight="1" spans="2:14">
      <c r="B9359" s="33"/>
      <c r="C9359" s="60"/>
      <c r="D9359" s="60"/>
      <c r="E9359" s="60"/>
      <c r="F9359" s="60"/>
      <c r="G9359" s="60"/>
      <c r="H9359" s="60"/>
      <c r="I9359" s="60"/>
      <c r="J9359" s="60"/>
      <c r="K9359" s="60"/>
      <c r="L9359" s="60"/>
      <c r="M9359" s="64"/>
      <c r="N9359" s="33"/>
    </row>
    <row r="9360" ht="24" customHeight="1" spans="2:14">
      <c r="B9360" s="33"/>
      <c r="C9360" s="60"/>
      <c r="D9360" s="60"/>
      <c r="E9360" s="60"/>
      <c r="F9360" s="60"/>
      <c r="G9360" s="60"/>
      <c r="H9360" s="60"/>
      <c r="I9360" s="60"/>
      <c r="J9360" s="60"/>
      <c r="K9360" s="60"/>
      <c r="L9360" s="60"/>
      <c r="M9360" s="64"/>
      <c r="N9360" s="33"/>
    </row>
    <row r="9361" ht="24" customHeight="1" spans="2:14">
      <c r="B9361" s="33"/>
      <c r="C9361" s="60"/>
      <c r="D9361" s="60"/>
      <c r="E9361" s="60"/>
      <c r="F9361" s="60"/>
      <c r="G9361" s="60"/>
      <c r="H9361" s="60"/>
      <c r="I9361" s="60"/>
      <c r="J9361" s="60"/>
      <c r="K9361" s="60"/>
      <c r="L9361" s="60"/>
      <c r="M9361" s="64"/>
      <c r="N9361" s="33"/>
    </row>
    <row r="9362" ht="24" customHeight="1" spans="2:14">
      <c r="B9362" s="33"/>
      <c r="C9362" s="60"/>
      <c r="D9362" s="60"/>
      <c r="E9362" s="60"/>
      <c r="F9362" s="60"/>
      <c r="G9362" s="60"/>
      <c r="H9362" s="60"/>
      <c r="I9362" s="60"/>
      <c r="J9362" s="60"/>
      <c r="K9362" s="60"/>
      <c r="L9362" s="60"/>
      <c r="M9362" s="64"/>
      <c r="N9362" s="33"/>
    </row>
    <row r="9363" ht="24" customHeight="1" spans="2:14">
      <c r="B9363" s="33"/>
      <c r="C9363" s="60"/>
      <c r="D9363" s="60"/>
      <c r="E9363" s="60"/>
      <c r="F9363" s="60"/>
      <c r="G9363" s="60"/>
      <c r="H9363" s="60"/>
      <c r="I9363" s="60"/>
      <c r="J9363" s="60"/>
      <c r="K9363" s="60"/>
      <c r="L9363" s="60"/>
      <c r="M9363" s="64"/>
      <c r="N9363" s="33"/>
    </row>
    <row r="9364" ht="24" customHeight="1" spans="2:14">
      <c r="B9364" s="33"/>
      <c r="C9364" s="60"/>
      <c r="D9364" s="60"/>
      <c r="E9364" s="60"/>
      <c r="F9364" s="60"/>
      <c r="G9364" s="60"/>
      <c r="H9364" s="60"/>
      <c r="I9364" s="60"/>
      <c r="J9364" s="60"/>
      <c r="K9364" s="60"/>
      <c r="L9364" s="60"/>
      <c r="M9364" s="64"/>
      <c r="N9364" s="33"/>
    </row>
    <row r="9365" ht="24" customHeight="1" spans="2:14">
      <c r="B9365" s="33"/>
      <c r="C9365" s="60"/>
      <c r="D9365" s="60"/>
      <c r="E9365" s="60"/>
      <c r="F9365" s="60"/>
      <c r="G9365" s="60"/>
      <c r="H9365" s="60"/>
      <c r="I9365" s="60"/>
      <c r="J9365" s="60"/>
      <c r="K9365" s="60"/>
      <c r="L9365" s="60"/>
      <c r="M9365" s="64"/>
      <c r="N9365" s="33"/>
    </row>
    <row r="9366" ht="24" customHeight="1" spans="2:14">
      <c r="B9366" s="33"/>
      <c r="C9366" s="60"/>
      <c r="D9366" s="60"/>
      <c r="E9366" s="60"/>
      <c r="F9366" s="60"/>
      <c r="G9366" s="60"/>
      <c r="H9366" s="60"/>
      <c r="I9366" s="60"/>
      <c r="J9366" s="60"/>
      <c r="K9366" s="60"/>
      <c r="L9366" s="60"/>
      <c r="M9366" s="64"/>
      <c r="N9366" s="33"/>
    </row>
    <row r="9367" ht="24" customHeight="1" spans="2:14">
      <c r="B9367" s="33"/>
      <c r="C9367" s="60"/>
      <c r="D9367" s="60"/>
      <c r="E9367" s="60"/>
      <c r="F9367" s="60"/>
      <c r="G9367" s="60"/>
      <c r="H9367" s="60"/>
      <c r="I9367" s="60"/>
      <c r="J9367" s="60"/>
      <c r="K9367" s="60"/>
      <c r="L9367" s="60"/>
      <c r="M9367" s="64"/>
      <c r="N9367" s="33"/>
    </row>
    <row r="9368" ht="24" customHeight="1" spans="2:14">
      <c r="B9368" s="33"/>
      <c r="C9368" s="60"/>
      <c r="D9368" s="60"/>
      <c r="E9368" s="60"/>
      <c r="F9368" s="60"/>
      <c r="G9368" s="60"/>
      <c r="H9368" s="60"/>
      <c r="I9368" s="60"/>
      <c r="J9368" s="60"/>
      <c r="K9368" s="60"/>
      <c r="L9368" s="60"/>
      <c r="M9368" s="64"/>
      <c r="N9368" s="33"/>
    </row>
    <row r="9369" ht="24" customHeight="1" spans="2:14">
      <c r="B9369" s="33"/>
      <c r="C9369" s="60"/>
      <c r="D9369" s="60"/>
      <c r="E9369" s="60"/>
      <c r="F9369" s="60"/>
      <c r="G9369" s="60"/>
      <c r="H9369" s="60"/>
      <c r="I9369" s="60"/>
      <c r="J9369" s="60"/>
      <c r="K9369" s="60"/>
      <c r="L9369" s="60"/>
      <c r="M9369" s="64"/>
      <c r="N9369" s="33"/>
    </row>
    <row r="9370" ht="24" customHeight="1" spans="2:14">
      <c r="B9370" s="33"/>
      <c r="C9370" s="60"/>
      <c r="D9370" s="60"/>
      <c r="E9370" s="60"/>
      <c r="F9370" s="60"/>
      <c r="G9370" s="60"/>
      <c r="H9370" s="60"/>
      <c r="I9370" s="60"/>
      <c r="J9370" s="60"/>
      <c r="K9370" s="60"/>
      <c r="L9370" s="60"/>
      <c r="M9370" s="64"/>
      <c r="N9370" s="33"/>
    </row>
    <row r="9371" ht="24" customHeight="1" spans="2:14">
      <c r="B9371" s="33"/>
      <c r="C9371" s="60"/>
      <c r="D9371" s="60"/>
      <c r="E9371" s="60"/>
      <c r="F9371" s="60"/>
      <c r="G9371" s="60"/>
      <c r="H9371" s="60"/>
      <c r="I9371" s="60"/>
      <c r="J9371" s="60"/>
      <c r="K9371" s="60"/>
      <c r="L9371" s="60"/>
      <c r="M9371" s="64"/>
      <c r="N9371" s="33"/>
    </row>
    <row r="9372" ht="24" customHeight="1" spans="2:14">
      <c r="B9372" s="33"/>
      <c r="C9372" s="60"/>
      <c r="D9372" s="60"/>
      <c r="E9372" s="60"/>
      <c r="F9372" s="60"/>
      <c r="G9372" s="60"/>
      <c r="H9372" s="60"/>
      <c r="I9372" s="60"/>
      <c r="J9372" s="60"/>
      <c r="K9372" s="60"/>
      <c r="L9372" s="60"/>
      <c r="M9372" s="64"/>
      <c r="N9372" s="33"/>
    </row>
    <row r="9373" ht="24" customHeight="1" spans="2:14">
      <c r="B9373" s="33"/>
      <c r="C9373" s="60"/>
      <c r="D9373" s="60"/>
      <c r="E9373" s="60"/>
      <c r="F9373" s="60"/>
      <c r="G9373" s="60"/>
      <c r="H9373" s="60"/>
      <c r="I9373" s="60"/>
      <c r="J9373" s="60"/>
      <c r="K9373" s="60"/>
      <c r="L9373" s="60"/>
      <c r="M9373" s="64"/>
      <c r="N9373" s="33"/>
    </row>
    <row r="9374" ht="24" customHeight="1" spans="2:14">
      <c r="B9374" s="33"/>
      <c r="C9374" s="60"/>
      <c r="D9374" s="60"/>
      <c r="E9374" s="60"/>
      <c r="F9374" s="60"/>
      <c r="G9374" s="60"/>
      <c r="H9374" s="60"/>
      <c r="I9374" s="60"/>
      <c r="J9374" s="60"/>
      <c r="K9374" s="60"/>
      <c r="L9374" s="60"/>
      <c r="M9374" s="64"/>
      <c r="N9374" s="33"/>
    </row>
    <row r="9375" ht="24" customHeight="1" spans="2:14">
      <c r="B9375" s="33"/>
      <c r="C9375" s="60"/>
      <c r="D9375" s="60"/>
      <c r="E9375" s="60"/>
      <c r="F9375" s="60"/>
      <c r="G9375" s="60"/>
      <c r="H9375" s="60"/>
      <c r="I9375" s="60"/>
      <c r="J9375" s="60"/>
      <c r="K9375" s="60"/>
      <c r="L9375" s="60"/>
      <c r="M9375" s="64"/>
      <c r="N9375" s="33"/>
    </row>
    <row r="9376" ht="24" customHeight="1" spans="2:14">
      <c r="B9376" s="33"/>
      <c r="C9376" s="60"/>
      <c r="D9376" s="60"/>
      <c r="E9376" s="60"/>
      <c r="F9376" s="60"/>
      <c r="G9376" s="60"/>
      <c r="H9376" s="60"/>
      <c r="I9376" s="60"/>
      <c r="J9376" s="60"/>
      <c r="K9376" s="60"/>
      <c r="L9376" s="60"/>
      <c r="M9376" s="64"/>
      <c r="N9376" s="33"/>
    </row>
    <row r="9377" ht="24" customHeight="1" spans="2:14">
      <c r="B9377" s="33"/>
      <c r="C9377" s="60"/>
      <c r="D9377" s="60"/>
      <c r="E9377" s="60"/>
      <c r="F9377" s="60"/>
      <c r="G9377" s="60"/>
      <c r="H9377" s="60"/>
      <c r="I9377" s="60"/>
      <c r="J9377" s="60"/>
      <c r="K9377" s="60"/>
      <c r="L9377" s="60"/>
      <c r="M9377" s="64"/>
      <c r="N9377" s="33"/>
    </row>
    <row r="9378" ht="24" customHeight="1" spans="2:14">
      <c r="B9378" s="33"/>
      <c r="C9378" s="60"/>
      <c r="D9378" s="60"/>
      <c r="E9378" s="60"/>
      <c r="F9378" s="60"/>
      <c r="G9378" s="60"/>
      <c r="H9378" s="60"/>
      <c r="I9378" s="60"/>
      <c r="J9378" s="60"/>
      <c r="K9378" s="60"/>
      <c r="L9378" s="60"/>
      <c r="M9378" s="64"/>
      <c r="N9378" s="33"/>
    </row>
    <row r="9379" ht="24" customHeight="1" spans="2:14">
      <c r="B9379" s="33"/>
      <c r="C9379" s="60"/>
      <c r="D9379" s="60"/>
      <c r="E9379" s="60"/>
      <c r="F9379" s="60"/>
      <c r="G9379" s="60"/>
      <c r="H9379" s="60"/>
      <c r="I9379" s="60"/>
      <c r="J9379" s="60"/>
      <c r="K9379" s="60"/>
      <c r="L9379" s="60"/>
      <c r="M9379" s="64"/>
      <c r="N9379" s="33"/>
    </row>
    <row r="9380" ht="24" customHeight="1" spans="2:14">
      <c r="B9380" s="33"/>
      <c r="C9380" s="60"/>
      <c r="D9380" s="60"/>
      <c r="E9380" s="60"/>
      <c r="F9380" s="60"/>
      <c r="G9380" s="60"/>
      <c r="H9380" s="60"/>
      <c r="I9380" s="60"/>
      <c r="J9380" s="60"/>
      <c r="K9380" s="60"/>
      <c r="L9380" s="60"/>
      <c r="M9380" s="64"/>
      <c r="N9380" s="33"/>
    </row>
    <row r="9381" ht="24" customHeight="1" spans="2:14">
      <c r="B9381" s="33"/>
      <c r="C9381" s="60"/>
      <c r="D9381" s="60"/>
      <c r="E9381" s="60"/>
      <c r="F9381" s="60"/>
      <c r="G9381" s="60"/>
      <c r="H9381" s="60"/>
      <c r="I9381" s="60"/>
      <c r="J9381" s="60"/>
      <c r="K9381" s="60"/>
      <c r="L9381" s="60"/>
      <c r="M9381" s="64"/>
      <c r="N9381" s="33"/>
    </row>
    <row r="9382" ht="24" customHeight="1" spans="2:14">
      <c r="B9382" s="33"/>
      <c r="C9382" s="60"/>
      <c r="D9382" s="60"/>
      <c r="E9382" s="60"/>
      <c r="F9382" s="60"/>
      <c r="G9382" s="60"/>
      <c r="H9382" s="60"/>
      <c r="I9382" s="60"/>
      <c r="J9382" s="60"/>
      <c r="K9382" s="60"/>
      <c r="L9382" s="60"/>
      <c r="M9382" s="64"/>
      <c r="N9382" s="33"/>
    </row>
    <row r="9383" ht="24" customHeight="1" spans="2:14">
      <c r="B9383" s="33"/>
      <c r="C9383" s="60"/>
      <c r="D9383" s="60"/>
      <c r="E9383" s="60"/>
      <c r="F9383" s="60"/>
      <c r="G9383" s="60"/>
      <c r="H9383" s="60"/>
      <c r="I9383" s="60"/>
      <c r="J9383" s="60"/>
      <c r="K9383" s="60"/>
      <c r="L9383" s="60"/>
      <c r="M9383" s="64"/>
      <c r="N9383" s="33"/>
    </row>
    <row r="9384" ht="24" customHeight="1" spans="2:14">
      <c r="B9384" s="33"/>
      <c r="C9384" s="60"/>
      <c r="D9384" s="60"/>
      <c r="E9384" s="60"/>
      <c r="F9384" s="60"/>
      <c r="G9384" s="60"/>
      <c r="H9384" s="60"/>
      <c r="I9384" s="60"/>
      <c r="J9384" s="60"/>
      <c r="K9384" s="60"/>
      <c r="L9384" s="60"/>
      <c r="M9384" s="64"/>
      <c r="N9384" s="33"/>
    </row>
    <row r="9385" ht="24" customHeight="1" spans="2:14">
      <c r="B9385" s="33"/>
      <c r="C9385" s="60"/>
      <c r="D9385" s="60"/>
      <c r="E9385" s="60"/>
      <c r="F9385" s="60"/>
      <c r="G9385" s="60"/>
      <c r="H9385" s="60"/>
      <c r="I9385" s="60"/>
      <c r="J9385" s="60"/>
      <c r="K9385" s="60"/>
      <c r="L9385" s="60"/>
      <c r="M9385" s="64"/>
      <c r="N9385" s="33"/>
    </row>
    <row r="9386" ht="24" customHeight="1" spans="2:14">
      <c r="B9386" s="33"/>
      <c r="C9386" s="60"/>
      <c r="D9386" s="60"/>
      <c r="E9386" s="60"/>
      <c r="F9386" s="60"/>
      <c r="G9386" s="60"/>
      <c r="H9386" s="60"/>
      <c r="I9386" s="60"/>
      <c r="J9386" s="60"/>
      <c r="K9386" s="60"/>
      <c r="L9386" s="60"/>
      <c r="M9386" s="64"/>
      <c r="N9386" s="33"/>
    </row>
    <row r="9387" ht="24" customHeight="1" spans="2:14">
      <c r="B9387" s="33"/>
      <c r="C9387" s="60"/>
      <c r="D9387" s="60"/>
      <c r="E9387" s="60"/>
      <c r="F9387" s="60"/>
      <c r="G9387" s="60"/>
      <c r="H9387" s="60"/>
      <c r="I9387" s="60"/>
      <c r="J9387" s="60"/>
      <c r="K9387" s="60"/>
      <c r="L9387" s="60"/>
      <c r="M9387" s="64"/>
      <c r="N9387" s="33"/>
    </row>
    <row r="9388" ht="24" customHeight="1" spans="2:14">
      <c r="B9388" s="33"/>
      <c r="C9388" s="60"/>
      <c r="D9388" s="60"/>
      <c r="E9388" s="60"/>
      <c r="F9388" s="60"/>
      <c r="G9388" s="60"/>
      <c r="H9388" s="60"/>
      <c r="I9388" s="60"/>
      <c r="J9388" s="60"/>
      <c r="K9388" s="60"/>
      <c r="L9388" s="60"/>
      <c r="M9388" s="64"/>
      <c r="N9388" s="33"/>
    </row>
    <row r="9389" ht="24" customHeight="1" spans="2:14">
      <c r="B9389" s="33"/>
      <c r="C9389" s="60"/>
      <c r="D9389" s="60"/>
      <c r="E9389" s="60"/>
      <c r="F9389" s="60"/>
      <c r="G9389" s="60"/>
      <c r="H9389" s="60"/>
      <c r="I9389" s="60"/>
      <c r="J9389" s="60"/>
      <c r="K9389" s="60"/>
      <c r="L9389" s="60"/>
      <c r="M9389" s="64"/>
      <c r="N9389" s="33"/>
    </row>
    <row r="9390" ht="24" customHeight="1" spans="2:14">
      <c r="B9390" s="33"/>
      <c r="C9390" s="60"/>
      <c r="D9390" s="60"/>
      <c r="E9390" s="60"/>
      <c r="F9390" s="60"/>
      <c r="G9390" s="60"/>
      <c r="H9390" s="60"/>
      <c r="I9390" s="60"/>
      <c r="J9390" s="60"/>
      <c r="K9390" s="60"/>
      <c r="L9390" s="60"/>
      <c r="M9390" s="64"/>
      <c r="N9390" s="33"/>
    </row>
    <row r="9391" ht="24" customHeight="1" spans="2:14">
      <c r="B9391" s="33"/>
      <c r="C9391" s="60"/>
      <c r="D9391" s="60"/>
      <c r="E9391" s="60"/>
      <c r="F9391" s="60"/>
      <c r="G9391" s="60"/>
      <c r="H9391" s="60"/>
      <c r="I9391" s="60"/>
      <c r="J9391" s="60"/>
      <c r="K9391" s="60"/>
      <c r="L9391" s="60"/>
      <c r="M9391" s="64"/>
      <c r="N9391" s="33"/>
    </row>
    <row r="9392" ht="24" customHeight="1" spans="2:14">
      <c r="B9392" s="33"/>
      <c r="C9392" s="60"/>
      <c r="D9392" s="60"/>
      <c r="E9392" s="60"/>
      <c r="F9392" s="60"/>
      <c r="G9392" s="60"/>
      <c r="H9392" s="60"/>
      <c r="I9392" s="60"/>
      <c r="J9392" s="60"/>
      <c r="K9392" s="60"/>
      <c r="L9392" s="60"/>
      <c r="M9392" s="64"/>
      <c r="N9392" s="33"/>
    </row>
    <row r="9393" ht="24" customHeight="1" spans="2:14">
      <c r="B9393" s="33"/>
      <c r="C9393" s="60"/>
      <c r="D9393" s="60"/>
      <c r="E9393" s="60"/>
      <c r="F9393" s="60"/>
      <c r="G9393" s="60"/>
      <c r="H9393" s="60"/>
      <c r="I9393" s="60"/>
      <c r="J9393" s="60"/>
      <c r="K9393" s="60"/>
      <c r="L9393" s="60"/>
      <c r="M9393" s="64"/>
      <c r="N9393" s="33"/>
    </row>
    <row r="9394" ht="24" customHeight="1" spans="2:14">
      <c r="B9394" s="33"/>
      <c r="C9394" s="60"/>
      <c r="D9394" s="60"/>
      <c r="E9394" s="60"/>
      <c r="F9394" s="60"/>
      <c r="G9394" s="60"/>
      <c r="H9394" s="60"/>
      <c r="I9394" s="60"/>
      <c r="J9394" s="60"/>
      <c r="K9394" s="60"/>
      <c r="L9394" s="60"/>
      <c r="M9394" s="64"/>
      <c r="N9394" s="33"/>
    </row>
    <row r="9395" ht="24" customHeight="1" spans="2:14">
      <c r="B9395" s="33"/>
      <c r="C9395" s="60"/>
      <c r="D9395" s="60"/>
      <c r="E9395" s="60"/>
      <c r="F9395" s="60"/>
      <c r="G9395" s="60"/>
      <c r="H9395" s="60"/>
      <c r="I9395" s="60"/>
      <c r="J9395" s="60"/>
      <c r="K9395" s="60"/>
      <c r="L9395" s="60"/>
      <c r="M9395" s="64"/>
      <c r="N9395" s="33"/>
    </row>
    <row r="9396" ht="24" customHeight="1" spans="2:14">
      <c r="B9396" s="33"/>
      <c r="C9396" s="60"/>
      <c r="D9396" s="60"/>
      <c r="E9396" s="60"/>
      <c r="F9396" s="60"/>
      <c r="G9396" s="60"/>
      <c r="H9396" s="60"/>
      <c r="I9396" s="60"/>
      <c r="J9396" s="60"/>
      <c r="K9396" s="60"/>
      <c r="L9396" s="60"/>
      <c r="M9396" s="64"/>
      <c r="N9396" s="33"/>
    </row>
    <row r="9397" ht="24" customHeight="1" spans="2:14">
      <c r="B9397" s="33"/>
      <c r="C9397" s="60"/>
      <c r="D9397" s="60"/>
      <c r="E9397" s="60"/>
      <c r="F9397" s="60"/>
      <c r="G9397" s="60"/>
      <c r="H9397" s="60"/>
      <c r="I9397" s="60"/>
      <c r="J9397" s="60"/>
      <c r="K9397" s="60"/>
      <c r="L9397" s="60"/>
      <c r="M9397" s="64"/>
      <c r="N9397" s="33"/>
    </row>
    <row r="9398" ht="24" customHeight="1" spans="2:14">
      <c r="B9398" s="33"/>
      <c r="C9398" s="60"/>
      <c r="D9398" s="60"/>
      <c r="E9398" s="60"/>
      <c r="F9398" s="60"/>
      <c r="G9398" s="60"/>
      <c r="H9398" s="60"/>
      <c r="I9398" s="60"/>
      <c r="J9398" s="60"/>
      <c r="K9398" s="60"/>
      <c r="L9398" s="60"/>
      <c r="M9398" s="64"/>
      <c r="N9398" s="33"/>
    </row>
    <row r="9399" ht="24" customHeight="1" spans="2:14">
      <c r="B9399" s="33"/>
      <c r="C9399" s="60"/>
      <c r="D9399" s="60"/>
      <c r="E9399" s="60"/>
      <c r="F9399" s="60"/>
      <c r="G9399" s="60"/>
      <c r="H9399" s="60"/>
      <c r="I9399" s="60"/>
      <c r="J9399" s="60"/>
      <c r="K9399" s="60"/>
      <c r="L9399" s="60"/>
      <c r="M9399" s="64"/>
      <c r="N9399" s="33"/>
    </row>
    <row r="9400" ht="24" customHeight="1" spans="2:14">
      <c r="B9400" s="33"/>
      <c r="C9400" s="60"/>
      <c r="D9400" s="60"/>
      <c r="E9400" s="60"/>
      <c r="F9400" s="60"/>
      <c r="G9400" s="60"/>
      <c r="H9400" s="60"/>
      <c r="I9400" s="60"/>
      <c r="J9400" s="60"/>
      <c r="K9400" s="60"/>
      <c r="L9400" s="60"/>
      <c r="M9400" s="64"/>
      <c r="N9400" s="33"/>
    </row>
    <row r="9401" ht="24" customHeight="1" spans="2:14">
      <c r="B9401" s="33"/>
      <c r="C9401" s="60"/>
      <c r="D9401" s="60"/>
      <c r="E9401" s="60"/>
      <c r="F9401" s="60"/>
      <c r="G9401" s="60"/>
      <c r="H9401" s="60"/>
      <c r="I9401" s="60"/>
      <c r="J9401" s="60"/>
      <c r="K9401" s="60"/>
      <c r="L9401" s="60"/>
      <c r="M9401" s="64"/>
      <c r="N9401" s="33"/>
    </row>
    <row r="9402" ht="24" customHeight="1" spans="2:14">
      <c r="B9402" s="33"/>
      <c r="C9402" s="60"/>
      <c r="D9402" s="60"/>
      <c r="E9402" s="60"/>
      <c r="F9402" s="60"/>
      <c r="G9402" s="60"/>
      <c r="H9402" s="60"/>
      <c r="I9402" s="60"/>
      <c r="J9402" s="60"/>
      <c r="K9402" s="60"/>
      <c r="L9402" s="60"/>
      <c r="M9402" s="64"/>
      <c r="N9402" s="33"/>
    </row>
    <row r="9403" ht="24" customHeight="1" spans="2:14">
      <c r="B9403" s="33"/>
      <c r="C9403" s="60"/>
      <c r="D9403" s="60"/>
      <c r="E9403" s="60"/>
      <c r="F9403" s="60"/>
      <c r="G9403" s="60"/>
      <c r="H9403" s="60"/>
      <c r="I9403" s="60"/>
      <c r="J9403" s="60"/>
      <c r="K9403" s="60"/>
      <c r="L9403" s="60"/>
      <c r="M9403" s="64"/>
      <c r="N9403" s="33"/>
    </row>
    <row r="9404" ht="24" customHeight="1" spans="2:14">
      <c r="B9404" s="33"/>
      <c r="C9404" s="60"/>
      <c r="D9404" s="60"/>
      <c r="E9404" s="60"/>
      <c r="F9404" s="60"/>
      <c r="G9404" s="60"/>
      <c r="H9404" s="60"/>
      <c r="I9404" s="60"/>
      <c r="J9404" s="60"/>
      <c r="K9404" s="60"/>
      <c r="L9404" s="60"/>
      <c r="M9404" s="64"/>
      <c r="N9404" s="33"/>
    </row>
    <row r="9405" ht="24" customHeight="1" spans="2:14">
      <c r="B9405" s="33"/>
      <c r="C9405" s="60"/>
      <c r="D9405" s="60"/>
      <c r="E9405" s="60"/>
      <c r="F9405" s="60"/>
      <c r="G9405" s="60"/>
      <c r="H9405" s="60"/>
      <c r="I9405" s="60"/>
      <c r="J9405" s="60"/>
      <c r="K9405" s="60"/>
      <c r="L9405" s="60"/>
      <c r="M9405" s="64"/>
      <c r="N9405" s="33"/>
    </row>
    <row r="9406" ht="24" customHeight="1" spans="2:14">
      <c r="B9406" s="33"/>
      <c r="C9406" s="60"/>
      <c r="D9406" s="60"/>
      <c r="E9406" s="60"/>
      <c r="F9406" s="60"/>
      <c r="G9406" s="60"/>
      <c r="H9406" s="60"/>
      <c r="I9406" s="60"/>
      <c r="J9406" s="60"/>
      <c r="K9406" s="60"/>
      <c r="L9406" s="60"/>
      <c r="M9406" s="64"/>
      <c r="N9406" s="33"/>
    </row>
    <row r="9407" ht="24" customHeight="1" spans="2:14">
      <c r="B9407" s="33"/>
      <c r="C9407" s="60"/>
      <c r="D9407" s="60"/>
      <c r="E9407" s="60"/>
      <c r="F9407" s="60"/>
      <c r="G9407" s="60"/>
      <c r="H9407" s="60"/>
      <c r="I9407" s="60"/>
      <c r="J9407" s="60"/>
      <c r="K9407" s="60"/>
      <c r="L9407" s="60"/>
      <c r="M9407" s="64"/>
      <c r="N9407" s="33"/>
    </row>
    <row r="9408" ht="24" customHeight="1" spans="2:14">
      <c r="B9408" s="33"/>
      <c r="C9408" s="60"/>
      <c r="D9408" s="60"/>
      <c r="E9408" s="60"/>
      <c r="F9408" s="60"/>
      <c r="G9408" s="60"/>
      <c r="H9408" s="60"/>
      <c r="I9408" s="60"/>
      <c r="J9408" s="60"/>
      <c r="K9408" s="60"/>
      <c r="L9408" s="60"/>
      <c r="M9408" s="64"/>
      <c r="N9408" s="33"/>
    </row>
    <row r="9409" ht="24" customHeight="1" spans="2:14">
      <c r="B9409" s="33"/>
      <c r="C9409" s="60"/>
      <c r="D9409" s="60"/>
      <c r="E9409" s="60"/>
      <c r="F9409" s="60"/>
      <c r="G9409" s="60"/>
      <c r="H9409" s="60"/>
      <c r="I9409" s="60"/>
      <c r="J9409" s="60"/>
      <c r="K9409" s="60"/>
      <c r="L9409" s="60"/>
      <c r="M9409" s="64"/>
      <c r="N9409" s="33"/>
    </row>
    <row r="9410" ht="24" customHeight="1" spans="2:14">
      <c r="B9410" s="33"/>
      <c r="C9410" s="60"/>
      <c r="D9410" s="60"/>
      <c r="E9410" s="60"/>
      <c r="F9410" s="60"/>
      <c r="G9410" s="60"/>
      <c r="H9410" s="60"/>
      <c r="I9410" s="60"/>
      <c r="J9410" s="60"/>
      <c r="K9410" s="60"/>
      <c r="L9410" s="60"/>
      <c r="M9410" s="64"/>
      <c r="N9410" s="33"/>
    </row>
    <row r="9411" ht="24" customHeight="1" spans="2:14">
      <c r="B9411" s="33"/>
      <c r="C9411" s="60"/>
      <c r="D9411" s="60"/>
      <c r="E9411" s="60"/>
      <c r="F9411" s="60"/>
      <c r="G9411" s="60"/>
      <c r="H9411" s="60"/>
      <c r="I9411" s="60"/>
      <c r="J9411" s="60"/>
      <c r="K9411" s="60"/>
      <c r="L9411" s="60"/>
      <c r="M9411" s="64"/>
      <c r="N9411" s="33"/>
    </row>
    <row r="9412" ht="24" customHeight="1" spans="2:14">
      <c r="B9412" s="33"/>
      <c r="C9412" s="60"/>
      <c r="D9412" s="60"/>
      <c r="E9412" s="60"/>
      <c r="F9412" s="60"/>
      <c r="G9412" s="60"/>
      <c r="H9412" s="60"/>
      <c r="I9412" s="60"/>
      <c r="J9412" s="60"/>
      <c r="K9412" s="60"/>
      <c r="L9412" s="60"/>
      <c r="M9412" s="64"/>
      <c r="N9412" s="33"/>
    </row>
    <row r="9413" ht="24" customHeight="1" spans="2:14">
      <c r="B9413" s="33"/>
      <c r="C9413" s="60"/>
      <c r="D9413" s="60"/>
      <c r="E9413" s="60"/>
      <c r="F9413" s="60"/>
      <c r="G9413" s="60"/>
      <c r="H9413" s="60"/>
      <c r="I9413" s="60"/>
      <c r="J9413" s="60"/>
      <c r="K9413" s="60"/>
      <c r="L9413" s="60"/>
      <c r="M9413" s="64"/>
      <c r="N9413" s="33"/>
    </row>
    <row r="9414" ht="24" customHeight="1" spans="2:14">
      <c r="B9414" s="33"/>
      <c r="C9414" s="60"/>
      <c r="D9414" s="60"/>
      <c r="E9414" s="60"/>
      <c r="F9414" s="60"/>
      <c r="G9414" s="60"/>
      <c r="H9414" s="60"/>
      <c r="I9414" s="60"/>
      <c r="J9414" s="60"/>
      <c r="K9414" s="60"/>
      <c r="L9414" s="60"/>
      <c r="M9414" s="64"/>
      <c r="N9414" s="33"/>
    </row>
    <row r="9415" ht="24" customHeight="1" spans="2:14">
      <c r="B9415" s="33"/>
      <c r="C9415" s="60"/>
      <c r="D9415" s="60"/>
      <c r="E9415" s="60"/>
      <c r="F9415" s="60"/>
      <c r="G9415" s="60"/>
      <c r="H9415" s="60"/>
      <c r="I9415" s="60"/>
      <c r="J9415" s="60"/>
      <c r="K9415" s="60"/>
      <c r="L9415" s="60"/>
      <c r="M9415" s="64"/>
      <c r="N9415" s="33"/>
    </row>
    <row r="9416" ht="24" customHeight="1" spans="2:14">
      <c r="B9416" s="33"/>
      <c r="C9416" s="60"/>
      <c r="D9416" s="60"/>
      <c r="E9416" s="60"/>
      <c r="F9416" s="60"/>
      <c r="G9416" s="60"/>
      <c r="H9416" s="60"/>
      <c r="I9416" s="60"/>
      <c r="J9416" s="60"/>
      <c r="K9416" s="60"/>
      <c r="L9416" s="60"/>
      <c r="M9416" s="64"/>
      <c r="N9416" s="33"/>
    </row>
    <row r="9417" ht="24" customHeight="1" spans="2:14">
      <c r="B9417" s="33"/>
      <c r="C9417" s="60"/>
      <c r="D9417" s="60"/>
      <c r="E9417" s="60"/>
      <c r="F9417" s="60"/>
      <c r="G9417" s="60"/>
      <c r="H9417" s="60"/>
      <c r="I9417" s="60"/>
      <c r="J9417" s="60"/>
      <c r="K9417" s="60"/>
      <c r="L9417" s="60"/>
      <c r="M9417" s="64"/>
      <c r="N9417" s="33"/>
    </row>
    <row r="9418" ht="24" customHeight="1" spans="2:14">
      <c r="B9418" s="33"/>
      <c r="C9418" s="60"/>
      <c r="D9418" s="60"/>
      <c r="E9418" s="60"/>
      <c r="F9418" s="60"/>
      <c r="G9418" s="60"/>
      <c r="H9418" s="60"/>
      <c r="I9418" s="60"/>
      <c r="J9418" s="60"/>
      <c r="K9418" s="60"/>
      <c r="L9418" s="60"/>
      <c r="M9418" s="64"/>
      <c r="N9418" s="33"/>
    </row>
    <row r="9419" ht="24" customHeight="1" spans="2:14">
      <c r="B9419" s="33"/>
      <c r="C9419" s="60"/>
      <c r="D9419" s="60"/>
      <c r="E9419" s="60"/>
      <c r="F9419" s="60"/>
      <c r="G9419" s="60"/>
      <c r="H9419" s="60"/>
      <c r="I9419" s="60"/>
      <c r="J9419" s="60"/>
      <c r="K9419" s="60"/>
      <c r="L9419" s="60"/>
      <c r="M9419" s="64"/>
      <c r="N9419" s="33"/>
    </row>
    <row r="9420" ht="24" customHeight="1" spans="2:14">
      <c r="B9420" s="33"/>
      <c r="C9420" s="60"/>
      <c r="D9420" s="60"/>
      <c r="E9420" s="60"/>
      <c r="F9420" s="60"/>
      <c r="G9420" s="60"/>
      <c r="H9420" s="60"/>
      <c r="I9420" s="60"/>
      <c r="J9420" s="60"/>
      <c r="K9420" s="60"/>
      <c r="L9420" s="60"/>
      <c r="M9420" s="64"/>
      <c r="N9420" s="33"/>
    </row>
    <row r="9421" ht="24" customHeight="1" spans="2:14">
      <c r="B9421" s="33"/>
      <c r="C9421" s="60"/>
      <c r="D9421" s="60"/>
      <c r="E9421" s="60"/>
      <c r="F9421" s="60"/>
      <c r="G9421" s="60"/>
      <c r="H9421" s="60"/>
      <c r="I9421" s="60"/>
      <c r="J9421" s="60"/>
      <c r="K9421" s="60"/>
      <c r="L9421" s="60"/>
      <c r="M9421" s="64"/>
      <c r="N9421" s="33"/>
    </row>
    <row r="9422" ht="24" customHeight="1" spans="2:14">
      <c r="B9422" s="33"/>
      <c r="C9422" s="60"/>
      <c r="D9422" s="60"/>
      <c r="E9422" s="60"/>
      <c r="F9422" s="60"/>
      <c r="G9422" s="60"/>
      <c r="H9422" s="60"/>
      <c r="I9422" s="60"/>
      <c r="J9422" s="60"/>
      <c r="K9422" s="60"/>
      <c r="L9422" s="60"/>
      <c r="M9422" s="64"/>
      <c r="N9422" s="33"/>
    </row>
    <row r="9423" ht="24" customHeight="1" spans="2:14">
      <c r="B9423" s="33"/>
      <c r="C9423" s="60"/>
      <c r="D9423" s="60"/>
      <c r="E9423" s="60"/>
      <c r="F9423" s="60"/>
      <c r="G9423" s="60"/>
      <c r="H9423" s="60"/>
      <c r="I9423" s="60"/>
      <c r="J9423" s="60"/>
      <c r="K9423" s="60"/>
      <c r="L9423" s="60"/>
      <c r="M9423" s="64"/>
      <c r="N9423" s="33"/>
    </row>
    <row r="9424" ht="24" customHeight="1" spans="2:14">
      <c r="B9424" s="33"/>
      <c r="C9424" s="60"/>
      <c r="D9424" s="60"/>
      <c r="E9424" s="60"/>
      <c r="F9424" s="60"/>
      <c r="G9424" s="60"/>
      <c r="H9424" s="60"/>
      <c r="I9424" s="60"/>
      <c r="J9424" s="60"/>
      <c r="K9424" s="60"/>
      <c r="L9424" s="60"/>
      <c r="M9424" s="64"/>
      <c r="N9424" s="33"/>
    </row>
    <row r="9425" ht="24" customHeight="1" spans="2:14">
      <c r="B9425" s="33"/>
      <c r="C9425" s="60"/>
      <c r="D9425" s="60"/>
      <c r="E9425" s="60"/>
      <c r="F9425" s="60"/>
      <c r="G9425" s="60"/>
      <c r="H9425" s="60"/>
      <c r="I9425" s="60"/>
      <c r="J9425" s="60"/>
      <c r="K9425" s="60"/>
      <c r="L9425" s="60"/>
      <c r="M9425" s="64"/>
      <c r="N9425" s="33"/>
    </row>
    <row r="9426" ht="24" customHeight="1" spans="2:14">
      <c r="B9426" s="33"/>
      <c r="C9426" s="60"/>
      <c r="D9426" s="60"/>
      <c r="E9426" s="60"/>
      <c r="F9426" s="60"/>
      <c r="G9426" s="60"/>
      <c r="H9426" s="60"/>
      <c r="I9426" s="60"/>
      <c r="J9426" s="60"/>
      <c r="K9426" s="60"/>
      <c r="L9426" s="60"/>
      <c r="M9426" s="64"/>
      <c r="N9426" s="33"/>
    </row>
    <row r="9427" ht="24" customHeight="1" spans="2:14">
      <c r="B9427" s="33"/>
      <c r="C9427" s="60"/>
      <c r="D9427" s="60"/>
      <c r="E9427" s="60"/>
      <c r="F9427" s="60"/>
      <c r="G9427" s="60"/>
      <c r="H9427" s="60"/>
      <c r="I9427" s="60"/>
      <c r="J9427" s="60"/>
      <c r="K9427" s="60"/>
      <c r="L9427" s="60"/>
      <c r="M9427" s="64"/>
      <c r="N9427" s="33"/>
    </row>
    <row r="9428" ht="24" customHeight="1" spans="2:14">
      <c r="B9428" s="33"/>
      <c r="C9428" s="60"/>
      <c r="D9428" s="60"/>
      <c r="E9428" s="60"/>
      <c r="F9428" s="60"/>
      <c r="G9428" s="60"/>
      <c r="H9428" s="60"/>
      <c r="I9428" s="60"/>
      <c r="J9428" s="60"/>
      <c r="K9428" s="60"/>
      <c r="L9428" s="60"/>
      <c r="M9428" s="64"/>
      <c r="N9428" s="33"/>
    </row>
    <row r="9429" ht="24" customHeight="1" spans="2:14">
      <c r="B9429" s="33"/>
      <c r="C9429" s="60"/>
      <c r="D9429" s="60"/>
      <c r="E9429" s="60"/>
      <c r="F9429" s="60"/>
      <c r="G9429" s="60"/>
      <c r="H9429" s="60"/>
      <c r="I9429" s="60"/>
      <c r="J9429" s="60"/>
      <c r="K9429" s="60"/>
      <c r="L9429" s="60"/>
      <c r="M9429" s="64"/>
      <c r="N9429" s="33"/>
    </row>
    <row r="9430" ht="24" customHeight="1" spans="2:14">
      <c r="B9430" s="33"/>
      <c r="C9430" s="60"/>
      <c r="D9430" s="60"/>
      <c r="E9430" s="60"/>
      <c r="F9430" s="60"/>
      <c r="G9430" s="60"/>
      <c r="H9430" s="60"/>
      <c r="I9430" s="60"/>
      <c r="J9430" s="60"/>
      <c r="K9430" s="60"/>
      <c r="L9430" s="60"/>
      <c r="M9430" s="64"/>
      <c r="N9430" s="33"/>
    </row>
    <row r="9431" ht="24" customHeight="1" spans="2:14">
      <c r="B9431" s="33"/>
      <c r="C9431" s="60"/>
      <c r="D9431" s="60"/>
      <c r="E9431" s="60"/>
      <c r="F9431" s="60"/>
      <c r="G9431" s="60"/>
      <c r="H9431" s="60"/>
      <c r="I9431" s="60"/>
      <c r="J9431" s="60"/>
      <c r="K9431" s="60"/>
      <c r="L9431" s="60"/>
      <c r="M9431" s="64"/>
      <c r="N9431" s="33"/>
    </row>
    <row r="9432" ht="24" customHeight="1" spans="2:14">
      <c r="B9432" s="33"/>
      <c r="C9432" s="60"/>
      <c r="D9432" s="60"/>
      <c r="E9432" s="60"/>
      <c r="F9432" s="60"/>
      <c r="G9432" s="60"/>
      <c r="H9432" s="60"/>
      <c r="I9432" s="60"/>
      <c r="J9432" s="60"/>
      <c r="K9432" s="60"/>
      <c r="L9432" s="60"/>
      <c r="M9432" s="64"/>
      <c r="N9432" s="33"/>
    </row>
    <row r="9433" ht="24" customHeight="1" spans="2:14">
      <c r="B9433" s="33"/>
      <c r="C9433" s="60"/>
      <c r="D9433" s="60"/>
      <c r="E9433" s="60"/>
      <c r="F9433" s="60"/>
      <c r="G9433" s="60"/>
      <c r="H9433" s="60"/>
      <c r="I9433" s="60"/>
      <c r="J9433" s="60"/>
      <c r="K9433" s="60"/>
      <c r="L9433" s="60"/>
      <c r="M9433" s="64"/>
      <c r="N9433" s="33"/>
    </row>
    <row r="9434" ht="24" customHeight="1" spans="2:14">
      <c r="B9434" s="33"/>
      <c r="C9434" s="60"/>
      <c r="D9434" s="60"/>
      <c r="E9434" s="60"/>
      <c r="F9434" s="60"/>
      <c r="G9434" s="60"/>
      <c r="H9434" s="60"/>
      <c r="I9434" s="60"/>
      <c r="J9434" s="60"/>
      <c r="K9434" s="60"/>
      <c r="L9434" s="60"/>
      <c r="M9434" s="64"/>
      <c r="N9434" s="33"/>
    </row>
    <row r="9435" ht="24" customHeight="1" spans="2:14">
      <c r="B9435" s="33"/>
      <c r="C9435" s="60"/>
      <c r="D9435" s="60"/>
      <c r="E9435" s="60"/>
      <c r="F9435" s="60"/>
      <c r="G9435" s="60"/>
      <c r="H9435" s="60"/>
      <c r="I9435" s="60"/>
      <c r="J9435" s="60"/>
      <c r="K9435" s="60"/>
      <c r="L9435" s="60"/>
      <c r="M9435" s="64"/>
      <c r="N9435" s="33"/>
    </row>
    <row r="9436" ht="24" customHeight="1" spans="2:14">
      <c r="B9436" s="33"/>
      <c r="C9436" s="60"/>
      <c r="D9436" s="60"/>
      <c r="E9436" s="60"/>
      <c r="F9436" s="60"/>
      <c r="G9436" s="60"/>
      <c r="H9436" s="60"/>
      <c r="I9436" s="60"/>
      <c r="J9436" s="60"/>
      <c r="K9436" s="60"/>
      <c r="L9436" s="60"/>
      <c r="M9436" s="64"/>
      <c r="N9436" s="33"/>
    </row>
    <row r="9437" ht="24" customHeight="1" spans="2:14">
      <c r="B9437" s="33"/>
      <c r="C9437" s="60"/>
      <c r="D9437" s="60"/>
      <c r="E9437" s="60"/>
      <c r="F9437" s="60"/>
      <c r="G9437" s="60"/>
      <c r="H9437" s="60"/>
      <c r="I9437" s="60"/>
      <c r="J9437" s="60"/>
      <c r="K9437" s="60"/>
      <c r="L9437" s="60"/>
      <c r="M9437" s="64"/>
      <c r="N9437" s="33"/>
    </row>
    <row r="9438" ht="24" customHeight="1" spans="2:14">
      <c r="B9438" s="33"/>
      <c r="C9438" s="60"/>
      <c r="D9438" s="60"/>
      <c r="E9438" s="60"/>
      <c r="F9438" s="60"/>
      <c r="G9438" s="60"/>
      <c r="H9438" s="60"/>
      <c r="I9438" s="60"/>
      <c r="J9438" s="60"/>
      <c r="K9438" s="60"/>
      <c r="L9438" s="60"/>
      <c r="M9438" s="64"/>
      <c r="N9438" s="33"/>
    </row>
    <row r="9439" ht="24" customHeight="1" spans="2:14">
      <c r="B9439" s="33"/>
      <c r="C9439" s="60"/>
      <c r="D9439" s="60"/>
      <c r="E9439" s="60"/>
      <c r="F9439" s="60"/>
      <c r="G9439" s="60"/>
      <c r="H9439" s="60"/>
      <c r="I9439" s="60"/>
      <c r="J9439" s="60"/>
      <c r="K9439" s="60"/>
      <c r="L9439" s="60"/>
      <c r="M9439" s="64"/>
      <c r="N9439" s="33"/>
    </row>
    <row r="9440" ht="24" customHeight="1" spans="2:14">
      <c r="B9440" s="33"/>
      <c r="C9440" s="60"/>
      <c r="D9440" s="60"/>
      <c r="E9440" s="60"/>
      <c r="F9440" s="60"/>
      <c r="G9440" s="60"/>
      <c r="H9440" s="60"/>
      <c r="I9440" s="60"/>
      <c r="J9440" s="60"/>
      <c r="K9440" s="60"/>
      <c r="L9440" s="60"/>
      <c r="M9440" s="64"/>
      <c r="N9440" s="33"/>
    </row>
    <row r="9441" ht="24" customHeight="1" spans="2:14">
      <c r="B9441" s="33"/>
      <c r="C9441" s="60"/>
      <c r="D9441" s="60"/>
      <c r="E9441" s="60"/>
      <c r="F9441" s="60"/>
      <c r="G9441" s="60"/>
      <c r="H9441" s="60"/>
      <c r="I9441" s="60"/>
      <c r="J9441" s="60"/>
      <c r="K9441" s="60"/>
      <c r="L9441" s="60"/>
      <c r="M9441" s="64"/>
      <c r="N9441" s="33"/>
    </row>
    <row r="9442" ht="24" customHeight="1" spans="2:14">
      <c r="B9442" s="33"/>
      <c r="C9442" s="60"/>
      <c r="D9442" s="60"/>
      <c r="E9442" s="60"/>
      <c r="F9442" s="60"/>
      <c r="G9442" s="60"/>
      <c r="H9442" s="60"/>
      <c r="I9442" s="60"/>
      <c r="J9442" s="60"/>
      <c r="K9442" s="60"/>
      <c r="L9442" s="60"/>
      <c r="M9442" s="64"/>
      <c r="N9442" s="33"/>
    </row>
    <row r="9443" ht="24" customHeight="1" spans="2:14">
      <c r="B9443" s="33"/>
      <c r="C9443" s="60"/>
      <c r="D9443" s="60"/>
      <c r="E9443" s="60"/>
      <c r="F9443" s="60"/>
      <c r="G9443" s="60"/>
      <c r="H9443" s="60"/>
      <c r="I9443" s="60"/>
      <c r="J9443" s="60"/>
      <c r="K9443" s="60"/>
      <c r="L9443" s="60"/>
      <c r="M9443" s="64"/>
      <c r="N9443" s="33"/>
    </row>
    <row r="9444" ht="24" customHeight="1" spans="2:14">
      <c r="B9444" s="33"/>
      <c r="C9444" s="60"/>
      <c r="D9444" s="60"/>
      <c r="E9444" s="60"/>
      <c r="F9444" s="60"/>
      <c r="G9444" s="60"/>
      <c r="H9444" s="60"/>
      <c r="I9444" s="60"/>
      <c r="J9444" s="60"/>
      <c r="K9444" s="60"/>
      <c r="L9444" s="60"/>
      <c r="M9444" s="64"/>
      <c r="N9444" s="33"/>
    </row>
    <row r="9445" ht="24" customHeight="1" spans="2:14">
      <c r="B9445" s="33"/>
      <c r="C9445" s="60"/>
      <c r="D9445" s="60"/>
      <c r="E9445" s="60"/>
      <c r="F9445" s="60"/>
      <c r="G9445" s="60"/>
      <c r="H9445" s="60"/>
      <c r="I9445" s="60"/>
      <c r="J9445" s="60"/>
      <c r="K9445" s="60"/>
      <c r="L9445" s="60"/>
      <c r="M9445" s="64"/>
      <c r="N9445" s="33"/>
    </row>
    <row r="9446" ht="24" customHeight="1" spans="2:14">
      <c r="B9446" s="33"/>
      <c r="C9446" s="60"/>
      <c r="D9446" s="60"/>
      <c r="E9446" s="60"/>
      <c r="F9446" s="60"/>
      <c r="G9446" s="60"/>
      <c r="H9446" s="60"/>
      <c r="I9446" s="60"/>
      <c r="J9446" s="60"/>
      <c r="K9446" s="60"/>
      <c r="L9446" s="60"/>
      <c r="M9446" s="64"/>
      <c r="N9446" s="33"/>
    </row>
    <row r="9447" ht="24" customHeight="1" spans="2:14">
      <c r="B9447" s="33"/>
      <c r="C9447" s="60"/>
      <c r="D9447" s="60"/>
      <c r="E9447" s="60"/>
      <c r="F9447" s="60"/>
      <c r="G9447" s="60"/>
      <c r="H9447" s="60"/>
      <c r="I9447" s="60"/>
      <c r="J9447" s="60"/>
      <c r="K9447" s="60"/>
      <c r="L9447" s="60"/>
      <c r="M9447" s="64"/>
      <c r="N9447" s="33"/>
    </row>
    <row r="9448" ht="24" customHeight="1" spans="2:14">
      <c r="B9448" s="33"/>
      <c r="C9448" s="60"/>
      <c r="D9448" s="60"/>
      <c r="E9448" s="60"/>
      <c r="F9448" s="60"/>
      <c r="G9448" s="60"/>
      <c r="H9448" s="60"/>
      <c r="I9448" s="60"/>
      <c r="J9448" s="60"/>
      <c r="K9448" s="60"/>
      <c r="L9448" s="60"/>
      <c r="M9448" s="64"/>
      <c r="N9448" s="33"/>
    </row>
    <row r="9449" ht="24" customHeight="1" spans="2:14">
      <c r="B9449" s="33"/>
      <c r="C9449" s="60"/>
      <c r="D9449" s="60"/>
      <c r="E9449" s="60"/>
      <c r="F9449" s="60"/>
      <c r="G9449" s="60"/>
      <c r="H9449" s="60"/>
      <c r="I9449" s="60"/>
      <c r="J9449" s="60"/>
      <c r="K9449" s="60"/>
      <c r="L9449" s="60"/>
      <c r="M9449" s="64"/>
      <c r="N9449" s="33"/>
    </row>
    <row r="9450" ht="24" customHeight="1" spans="2:14">
      <c r="B9450" s="33"/>
      <c r="C9450" s="60"/>
      <c r="D9450" s="60"/>
      <c r="E9450" s="60"/>
      <c r="F9450" s="60"/>
      <c r="G9450" s="60"/>
      <c r="H9450" s="60"/>
      <c r="I9450" s="60"/>
      <c r="J9450" s="60"/>
      <c r="K9450" s="60"/>
      <c r="L9450" s="60"/>
      <c r="M9450" s="64"/>
      <c r="N9450" s="33"/>
    </row>
    <row r="9451" ht="24" customHeight="1" spans="2:14">
      <c r="B9451" s="33"/>
      <c r="C9451" s="60"/>
      <c r="D9451" s="60"/>
      <c r="E9451" s="60"/>
      <c r="F9451" s="60"/>
      <c r="G9451" s="60"/>
      <c r="H9451" s="60"/>
      <c r="I9451" s="60"/>
      <c r="J9451" s="60"/>
      <c r="K9451" s="60"/>
      <c r="L9451" s="60"/>
      <c r="M9451" s="64"/>
      <c r="N9451" s="33"/>
    </row>
    <row r="9452" ht="24" customHeight="1" spans="2:14">
      <c r="B9452" s="33"/>
      <c r="C9452" s="60"/>
      <c r="D9452" s="60"/>
      <c r="E9452" s="60"/>
      <c r="F9452" s="60"/>
      <c r="G9452" s="60"/>
      <c r="H9452" s="60"/>
      <c r="I9452" s="60"/>
      <c r="J9452" s="60"/>
      <c r="K9452" s="60"/>
      <c r="L9452" s="60"/>
      <c r="M9452" s="64"/>
      <c r="N9452" s="33"/>
    </row>
    <row r="9453" ht="24" customHeight="1" spans="2:14">
      <c r="B9453" s="33"/>
      <c r="C9453" s="60"/>
      <c r="D9453" s="60"/>
      <c r="E9453" s="60"/>
      <c r="F9453" s="60"/>
      <c r="G9453" s="60"/>
      <c r="H9453" s="60"/>
      <c r="I9453" s="60"/>
      <c r="J9453" s="60"/>
      <c r="K9453" s="60"/>
      <c r="L9453" s="60"/>
      <c r="M9453" s="64"/>
      <c r="N9453" s="33"/>
    </row>
    <row r="9454" ht="24" customHeight="1" spans="2:14">
      <c r="B9454" s="33"/>
      <c r="C9454" s="60"/>
      <c r="D9454" s="60"/>
      <c r="E9454" s="60"/>
      <c r="F9454" s="60"/>
      <c r="G9454" s="60"/>
      <c r="H9454" s="60"/>
      <c r="I9454" s="60"/>
      <c r="J9454" s="60"/>
      <c r="K9454" s="60"/>
      <c r="L9454" s="60"/>
      <c r="M9454" s="64"/>
      <c r="N9454" s="33"/>
    </row>
    <row r="9455" ht="24" customHeight="1" spans="2:14">
      <c r="B9455" s="33"/>
      <c r="C9455" s="60"/>
      <c r="D9455" s="60"/>
      <c r="E9455" s="60"/>
      <c r="F9455" s="60"/>
      <c r="G9455" s="60"/>
      <c r="H9455" s="60"/>
      <c r="I9455" s="60"/>
      <c r="J9455" s="60"/>
      <c r="K9455" s="60"/>
      <c r="L9455" s="60"/>
      <c r="M9455" s="64"/>
      <c r="N9455" s="33"/>
    </row>
    <row r="9456" ht="24" customHeight="1" spans="2:14">
      <c r="B9456" s="33"/>
      <c r="C9456" s="60"/>
      <c r="D9456" s="60"/>
      <c r="E9456" s="60"/>
      <c r="F9456" s="60"/>
      <c r="G9456" s="60"/>
      <c r="H9456" s="60"/>
      <c r="I9456" s="60"/>
      <c r="J9456" s="60"/>
      <c r="K9456" s="60"/>
      <c r="L9456" s="60"/>
      <c r="M9456" s="64"/>
      <c r="N9456" s="33"/>
    </row>
    <row r="9457" ht="24" customHeight="1" spans="2:14">
      <c r="B9457" s="33"/>
      <c r="C9457" s="60"/>
      <c r="D9457" s="60"/>
      <c r="E9457" s="60"/>
      <c r="F9457" s="60"/>
      <c r="G9457" s="60"/>
      <c r="H9457" s="60"/>
      <c r="I9457" s="60"/>
      <c r="J9457" s="60"/>
      <c r="K9457" s="60"/>
      <c r="L9457" s="60"/>
      <c r="M9457" s="64"/>
      <c r="N9457" s="33"/>
    </row>
    <row r="9458" ht="24" customHeight="1" spans="2:14">
      <c r="B9458" s="33"/>
      <c r="C9458" s="60"/>
      <c r="D9458" s="60"/>
      <c r="E9458" s="60"/>
      <c r="F9458" s="60"/>
      <c r="G9458" s="60"/>
      <c r="H9458" s="60"/>
      <c r="I9458" s="60"/>
      <c r="J9458" s="60"/>
      <c r="K9458" s="60"/>
      <c r="L9458" s="60"/>
      <c r="M9458" s="64"/>
      <c r="N9458" s="33"/>
    </row>
    <row r="9459" ht="24" customHeight="1" spans="2:14">
      <c r="B9459" s="33"/>
      <c r="C9459" s="60"/>
      <c r="D9459" s="60"/>
      <c r="E9459" s="60"/>
      <c r="F9459" s="60"/>
      <c r="G9459" s="60"/>
      <c r="H9459" s="60"/>
      <c r="I9459" s="60"/>
      <c r="J9459" s="60"/>
      <c r="K9459" s="60"/>
      <c r="L9459" s="60"/>
      <c r="M9459" s="64"/>
      <c r="N9459" s="33"/>
    </row>
    <row r="9460" ht="24" customHeight="1" spans="2:14">
      <c r="B9460" s="33"/>
      <c r="C9460" s="60"/>
      <c r="D9460" s="60"/>
      <c r="E9460" s="60"/>
      <c r="F9460" s="60"/>
      <c r="G9460" s="60"/>
      <c r="H9460" s="60"/>
      <c r="I9460" s="60"/>
      <c r="J9460" s="60"/>
      <c r="K9460" s="60"/>
      <c r="L9460" s="60"/>
      <c r="M9460" s="64"/>
      <c r="N9460" s="33"/>
    </row>
    <row r="9461" ht="24" customHeight="1" spans="2:14">
      <c r="B9461" s="33"/>
      <c r="C9461" s="60"/>
      <c r="D9461" s="60"/>
      <c r="E9461" s="60"/>
      <c r="F9461" s="60"/>
      <c r="G9461" s="60"/>
      <c r="H9461" s="60"/>
      <c r="I9461" s="60"/>
      <c r="J9461" s="60"/>
      <c r="K9461" s="60"/>
      <c r="L9461" s="60"/>
      <c r="M9461" s="64"/>
      <c r="N9461" s="33"/>
    </row>
    <row r="9462" ht="24" customHeight="1" spans="2:14">
      <c r="B9462" s="33"/>
      <c r="C9462" s="60"/>
      <c r="D9462" s="60"/>
      <c r="E9462" s="60"/>
      <c r="F9462" s="60"/>
      <c r="G9462" s="60"/>
      <c r="H9462" s="60"/>
      <c r="I9462" s="60"/>
      <c r="J9462" s="60"/>
      <c r="K9462" s="60"/>
      <c r="L9462" s="60"/>
      <c r="M9462" s="64"/>
      <c r="N9462" s="33"/>
    </row>
    <row r="9463" ht="24" customHeight="1" spans="2:14">
      <c r="B9463" s="33"/>
      <c r="C9463" s="60"/>
      <c r="D9463" s="60"/>
      <c r="E9463" s="60"/>
      <c r="F9463" s="60"/>
      <c r="G9463" s="60"/>
      <c r="H9463" s="60"/>
      <c r="I9463" s="60"/>
      <c r="J9463" s="60"/>
      <c r="K9463" s="60"/>
      <c r="L9463" s="60"/>
      <c r="M9463" s="64"/>
      <c r="N9463" s="33"/>
    </row>
    <row r="9464" ht="24" customHeight="1" spans="2:14">
      <c r="B9464" s="33"/>
      <c r="C9464" s="60"/>
      <c r="D9464" s="60"/>
      <c r="E9464" s="60"/>
      <c r="F9464" s="60"/>
      <c r="G9464" s="60"/>
      <c r="H9464" s="60"/>
      <c r="I9464" s="60"/>
      <c r="J9464" s="60"/>
      <c r="K9464" s="60"/>
      <c r="L9464" s="60"/>
      <c r="M9464" s="64"/>
      <c r="N9464" s="33"/>
    </row>
    <row r="9465" ht="24" customHeight="1" spans="2:14">
      <c r="B9465" s="33"/>
      <c r="C9465" s="60"/>
      <c r="D9465" s="60"/>
      <c r="E9465" s="60"/>
      <c r="F9465" s="60"/>
      <c r="G9465" s="60"/>
      <c r="H9465" s="60"/>
      <c r="I9465" s="60"/>
      <c r="J9465" s="60"/>
      <c r="K9465" s="60"/>
      <c r="L9465" s="60"/>
      <c r="M9465" s="64"/>
      <c r="N9465" s="33"/>
    </row>
    <row r="9466" ht="24" customHeight="1" spans="2:14">
      <c r="B9466" s="33"/>
      <c r="C9466" s="60"/>
      <c r="D9466" s="60"/>
      <c r="E9466" s="60"/>
      <c r="F9466" s="60"/>
      <c r="G9466" s="60"/>
      <c r="H9466" s="60"/>
      <c r="I9466" s="60"/>
      <c r="J9466" s="60"/>
      <c r="K9466" s="60"/>
      <c r="L9466" s="60"/>
      <c r="M9466" s="64"/>
      <c r="N9466" s="33"/>
    </row>
    <row r="9467" ht="24" customHeight="1" spans="2:14">
      <c r="B9467" s="33"/>
      <c r="C9467" s="60"/>
      <c r="D9467" s="60"/>
      <c r="E9467" s="60"/>
      <c r="F9467" s="60"/>
      <c r="G9467" s="60"/>
      <c r="H9467" s="60"/>
      <c r="I9467" s="60"/>
      <c r="J9467" s="60"/>
      <c r="K9467" s="60"/>
      <c r="L9467" s="60"/>
      <c r="M9467" s="64"/>
      <c r="N9467" s="33"/>
    </row>
    <row r="9468" ht="24" customHeight="1" spans="2:14">
      <c r="B9468" s="33"/>
      <c r="C9468" s="60"/>
      <c r="D9468" s="60"/>
      <c r="E9468" s="60"/>
      <c r="F9468" s="60"/>
      <c r="G9468" s="60"/>
      <c r="H9468" s="60"/>
      <c r="I9468" s="60"/>
      <c r="J9468" s="60"/>
      <c r="K9468" s="60"/>
      <c r="L9468" s="60"/>
      <c r="M9468" s="64"/>
      <c r="N9468" s="33"/>
    </row>
    <row r="9469" ht="24" customHeight="1" spans="2:14">
      <c r="B9469" s="33"/>
      <c r="C9469" s="60"/>
      <c r="D9469" s="60"/>
      <c r="E9469" s="60"/>
      <c r="F9469" s="60"/>
      <c r="G9469" s="60"/>
      <c r="H9469" s="60"/>
      <c r="I9469" s="60"/>
      <c r="J9469" s="60"/>
      <c r="K9469" s="60"/>
      <c r="L9469" s="60"/>
      <c r="M9469" s="64"/>
      <c r="N9469" s="33"/>
    </row>
    <row r="9470" ht="24" customHeight="1" spans="2:14">
      <c r="B9470" s="33"/>
      <c r="C9470" s="60"/>
      <c r="D9470" s="60"/>
      <c r="E9470" s="60"/>
      <c r="F9470" s="60"/>
      <c r="G9470" s="60"/>
      <c r="H9470" s="60"/>
      <c r="I9470" s="60"/>
      <c r="J9470" s="60"/>
      <c r="K9470" s="60"/>
      <c r="L9470" s="60"/>
      <c r="M9470" s="64"/>
      <c r="N9470" s="33"/>
    </row>
    <row r="9471" ht="24" customHeight="1" spans="2:14">
      <c r="B9471" s="33"/>
      <c r="C9471" s="60"/>
      <c r="D9471" s="60"/>
      <c r="E9471" s="60"/>
      <c r="F9471" s="60"/>
      <c r="G9471" s="60"/>
      <c r="H9471" s="60"/>
      <c r="I9471" s="60"/>
      <c r="J9471" s="60"/>
      <c r="K9471" s="60"/>
      <c r="L9471" s="60"/>
      <c r="M9471" s="64"/>
      <c r="N9471" s="33"/>
    </row>
    <row r="9472" ht="24" customHeight="1" spans="2:14">
      <c r="B9472" s="33"/>
      <c r="C9472" s="60"/>
      <c r="D9472" s="60"/>
      <c r="E9472" s="60"/>
      <c r="F9472" s="60"/>
      <c r="G9472" s="60"/>
      <c r="H9472" s="60"/>
      <c r="I9472" s="60"/>
      <c r="J9472" s="60"/>
      <c r="K9472" s="60"/>
      <c r="L9472" s="60"/>
      <c r="M9472" s="64"/>
      <c r="N9472" s="33"/>
    </row>
    <row r="9473" ht="24" customHeight="1" spans="2:14">
      <c r="B9473" s="33"/>
      <c r="C9473" s="60"/>
      <c r="D9473" s="60"/>
      <c r="E9473" s="60"/>
      <c r="F9473" s="60"/>
      <c r="G9473" s="60"/>
      <c r="H9473" s="60"/>
      <c r="I9473" s="60"/>
      <c r="J9473" s="60"/>
      <c r="K9473" s="60"/>
      <c r="L9473" s="60"/>
      <c r="M9473" s="64"/>
      <c r="N9473" s="33"/>
    </row>
    <row r="9474" ht="24" customHeight="1" spans="2:14">
      <c r="B9474" s="33"/>
      <c r="C9474" s="60"/>
      <c r="D9474" s="60"/>
      <c r="E9474" s="60"/>
      <c r="F9474" s="60"/>
      <c r="G9474" s="60"/>
      <c r="H9474" s="60"/>
      <c r="I9474" s="60"/>
      <c r="J9474" s="60"/>
      <c r="K9474" s="60"/>
      <c r="L9474" s="60"/>
      <c r="M9474" s="64"/>
      <c r="N9474" s="33"/>
    </row>
    <row r="9475" ht="24" customHeight="1" spans="2:14">
      <c r="B9475" s="33"/>
      <c r="C9475" s="60"/>
      <c r="D9475" s="60"/>
      <c r="E9475" s="60"/>
      <c r="F9475" s="60"/>
      <c r="G9475" s="60"/>
      <c r="H9475" s="60"/>
      <c r="I9475" s="60"/>
      <c r="J9475" s="60"/>
      <c r="K9475" s="60"/>
      <c r="L9475" s="60"/>
      <c r="M9475" s="64"/>
      <c r="N9475" s="33"/>
    </row>
    <row r="9476" ht="24" customHeight="1" spans="2:14">
      <c r="B9476" s="33"/>
      <c r="C9476" s="60"/>
      <c r="D9476" s="60"/>
      <c r="E9476" s="60"/>
      <c r="F9476" s="60"/>
      <c r="G9476" s="60"/>
      <c r="H9476" s="60"/>
      <c r="I9476" s="60"/>
      <c r="J9476" s="60"/>
      <c r="K9476" s="60"/>
      <c r="L9476" s="60"/>
      <c r="M9476" s="64"/>
      <c r="N9476" s="33"/>
    </row>
    <row r="9477" ht="24" customHeight="1" spans="2:14">
      <c r="B9477" s="33"/>
      <c r="C9477" s="60"/>
      <c r="D9477" s="60"/>
      <c r="E9477" s="60"/>
      <c r="F9477" s="60"/>
      <c r="G9477" s="60"/>
      <c r="H9477" s="60"/>
      <c r="I9477" s="60"/>
      <c r="J9477" s="60"/>
      <c r="K9477" s="60"/>
      <c r="L9477" s="60"/>
      <c r="M9477" s="64"/>
      <c r="N9477" s="33"/>
    </row>
    <row r="9478" ht="24" customHeight="1" spans="2:14">
      <c r="B9478" s="33"/>
      <c r="C9478" s="60"/>
      <c r="D9478" s="60"/>
      <c r="E9478" s="60"/>
      <c r="F9478" s="60"/>
      <c r="G9478" s="60"/>
      <c r="H9478" s="60"/>
      <c r="I9478" s="60"/>
      <c r="J9478" s="60"/>
      <c r="K9478" s="60"/>
      <c r="L9478" s="60"/>
      <c r="M9478" s="64"/>
      <c r="N9478" s="33"/>
    </row>
    <row r="9479" ht="24" customHeight="1" spans="2:14">
      <c r="B9479" s="33"/>
      <c r="C9479" s="60"/>
      <c r="D9479" s="60"/>
      <c r="E9479" s="60"/>
      <c r="F9479" s="60"/>
      <c r="G9479" s="60"/>
      <c r="H9479" s="60"/>
      <c r="I9479" s="60"/>
      <c r="J9479" s="60"/>
      <c r="K9479" s="60"/>
      <c r="L9479" s="60"/>
      <c r="M9479" s="64"/>
      <c r="N9479" s="33"/>
    </row>
    <row r="9480" ht="24" customHeight="1" spans="2:14">
      <c r="B9480" s="33"/>
      <c r="C9480" s="60"/>
      <c r="D9480" s="60"/>
      <c r="E9480" s="60"/>
      <c r="F9480" s="60"/>
      <c r="G9480" s="60"/>
      <c r="H9480" s="60"/>
      <c r="I9480" s="60"/>
      <c r="J9480" s="60"/>
      <c r="K9480" s="60"/>
      <c r="L9480" s="60"/>
      <c r="M9480" s="64"/>
      <c r="N9480" s="33"/>
    </row>
    <row r="9481" ht="24" customHeight="1" spans="2:14">
      <c r="B9481" s="33"/>
      <c r="C9481" s="60"/>
      <c r="D9481" s="60"/>
      <c r="E9481" s="60"/>
      <c r="F9481" s="60"/>
      <c r="G9481" s="60"/>
      <c r="H9481" s="60"/>
      <c r="I9481" s="60"/>
      <c r="J9481" s="60"/>
      <c r="K9481" s="60"/>
      <c r="L9481" s="60"/>
      <c r="M9481" s="64"/>
      <c r="N9481" s="33"/>
    </row>
    <row r="9482" ht="24" customHeight="1" spans="2:14">
      <c r="B9482" s="33"/>
      <c r="C9482" s="60"/>
      <c r="D9482" s="60"/>
      <c r="E9482" s="60"/>
      <c r="F9482" s="60"/>
      <c r="G9482" s="60"/>
      <c r="H9482" s="60"/>
      <c r="I9482" s="60"/>
      <c r="J9482" s="60"/>
      <c r="K9482" s="60"/>
      <c r="L9482" s="60"/>
      <c r="M9482" s="64"/>
      <c r="N9482" s="33"/>
    </row>
    <row r="9483" ht="24" customHeight="1" spans="2:14">
      <c r="B9483" s="33"/>
      <c r="C9483" s="60"/>
      <c r="D9483" s="60"/>
      <c r="E9483" s="60"/>
      <c r="F9483" s="60"/>
      <c r="G9483" s="60"/>
      <c r="H9483" s="60"/>
      <c r="I9483" s="60"/>
      <c r="J9483" s="60"/>
      <c r="K9483" s="60"/>
      <c r="L9483" s="60"/>
      <c r="M9483" s="64"/>
      <c r="N9483" s="33"/>
    </row>
    <row r="9484" ht="24" customHeight="1" spans="2:14">
      <c r="B9484" s="33"/>
      <c r="C9484" s="60"/>
      <c r="D9484" s="60"/>
      <c r="E9484" s="60"/>
      <c r="F9484" s="60"/>
      <c r="G9484" s="60"/>
      <c r="H9484" s="60"/>
      <c r="I9484" s="60"/>
      <c r="J9484" s="60"/>
      <c r="K9484" s="60"/>
      <c r="L9484" s="60"/>
      <c r="M9484" s="64"/>
      <c r="N9484" s="33"/>
    </row>
    <row r="9485" ht="24" customHeight="1" spans="2:14">
      <c r="B9485" s="33"/>
      <c r="C9485" s="60"/>
      <c r="D9485" s="60"/>
      <c r="E9485" s="60"/>
      <c r="F9485" s="60"/>
      <c r="G9485" s="60"/>
      <c r="H9485" s="60"/>
      <c r="I9485" s="60"/>
      <c r="J9485" s="60"/>
      <c r="K9485" s="60"/>
      <c r="L9485" s="60"/>
      <c r="M9485" s="64"/>
      <c r="N9485" s="33"/>
    </row>
    <row r="9486" ht="24" customHeight="1" spans="2:14">
      <c r="B9486" s="33"/>
      <c r="C9486" s="60"/>
      <c r="D9486" s="60"/>
      <c r="E9486" s="60"/>
      <c r="F9486" s="60"/>
      <c r="G9486" s="60"/>
      <c r="H9486" s="60"/>
      <c r="I9486" s="60"/>
      <c r="J9486" s="60"/>
      <c r="K9486" s="60"/>
      <c r="L9486" s="60"/>
      <c r="M9486" s="64"/>
      <c r="N9486" s="33"/>
    </row>
    <row r="9487" ht="24" customHeight="1" spans="2:14">
      <c r="B9487" s="33"/>
      <c r="C9487" s="60"/>
      <c r="D9487" s="60"/>
      <c r="E9487" s="60"/>
      <c r="F9487" s="60"/>
      <c r="G9487" s="60"/>
      <c r="H9487" s="60"/>
      <c r="I9487" s="60"/>
      <c r="J9487" s="60"/>
      <c r="K9487" s="60"/>
      <c r="L9487" s="60"/>
      <c r="M9487" s="64"/>
      <c r="N9487" s="33"/>
    </row>
    <row r="9488" ht="24" customHeight="1" spans="2:14">
      <c r="B9488" s="33"/>
      <c r="C9488" s="60"/>
      <c r="D9488" s="60"/>
      <c r="E9488" s="60"/>
      <c r="F9488" s="60"/>
      <c r="G9488" s="60"/>
      <c r="H9488" s="60"/>
      <c r="I9488" s="60"/>
      <c r="J9488" s="60"/>
      <c r="K9488" s="60"/>
      <c r="L9488" s="60"/>
      <c r="M9488" s="64"/>
      <c r="N9488" s="33"/>
    </row>
    <row r="9489" ht="24" customHeight="1" spans="2:14">
      <c r="B9489" s="33"/>
      <c r="C9489" s="60"/>
      <c r="D9489" s="60"/>
      <c r="E9489" s="60"/>
      <c r="F9489" s="60"/>
      <c r="G9489" s="60"/>
      <c r="H9489" s="60"/>
      <c r="I9489" s="60"/>
      <c r="J9489" s="60"/>
      <c r="K9489" s="60"/>
      <c r="L9489" s="60"/>
      <c r="M9489" s="64"/>
      <c r="N9489" s="33"/>
    </row>
    <row r="9490" ht="24" customHeight="1" spans="2:14">
      <c r="B9490" s="33"/>
      <c r="C9490" s="60"/>
      <c r="D9490" s="60"/>
      <c r="E9490" s="60"/>
      <c r="F9490" s="60"/>
      <c r="G9490" s="60"/>
      <c r="H9490" s="60"/>
      <c r="I9490" s="60"/>
      <c r="J9490" s="60"/>
      <c r="K9490" s="60"/>
      <c r="L9490" s="60"/>
      <c r="M9490" s="64"/>
      <c r="N9490" s="33"/>
    </row>
    <row r="9491" ht="24" customHeight="1" spans="2:14">
      <c r="B9491" s="33"/>
      <c r="C9491" s="60"/>
      <c r="D9491" s="60"/>
      <c r="E9491" s="60"/>
      <c r="F9491" s="60"/>
      <c r="G9491" s="60"/>
      <c r="H9491" s="60"/>
      <c r="I9491" s="60"/>
      <c r="J9491" s="60"/>
      <c r="K9491" s="60"/>
      <c r="L9491" s="60"/>
      <c r="M9491" s="64"/>
      <c r="N9491" s="33"/>
    </row>
    <row r="9492" ht="24" customHeight="1" spans="2:14">
      <c r="B9492" s="33"/>
      <c r="C9492" s="60"/>
      <c r="D9492" s="60"/>
      <c r="E9492" s="60"/>
      <c r="F9492" s="60"/>
      <c r="G9492" s="60"/>
      <c r="H9492" s="60"/>
      <c r="I9492" s="60"/>
      <c r="J9492" s="60"/>
      <c r="K9492" s="60"/>
      <c r="L9492" s="60"/>
      <c r="M9492" s="64"/>
      <c r="N9492" s="33"/>
    </row>
    <row r="9493" ht="24" customHeight="1" spans="2:14">
      <c r="B9493" s="33"/>
      <c r="C9493" s="60"/>
      <c r="D9493" s="60"/>
      <c r="E9493" s="60"/>
      <c r="F9493" s="60"/>
      <c r="G9493" s="60"/>
      <c r="H9493" s="60"/>
      <c r="I9493" s="60"/>
      <c r="J9493" s="60"/>
      <c r="K9493" s="60"/>
      <c r="L9493" s="60"/>
      <c r="M9493" s="64"/>
      <c r="N9493" s="33"/>
    </row>
    <row r="9494" ht="24" customHeight="1" spans="2:14">
      <c r="B9494" s="33"/>
      <c r="C9494" s="60"/>
      <c r="D9494" s="60"/>
      <c r="E9494" s="60"/>
      <c r="F9494" s="60"/>
      <c r="G9494" s="60"/>
      <c r="H9494" s="60"/>
      <c r="I9494" s="60"/>
      <c r="J9494" s="60"/>
      <c r="K9494" s="60"/>
      <c r="L9494" s="60"/>
      <c r="M9494" s="64"/>
      <c r="N9494" s="33"/>
    </row>
    <row r="9495" ht="24" customHeight="1" spans="2:14">
      <c r="B9495" s="33"/>
      <c r="C9495" s="60"/>
      <c r="D9495" s="60"/>
      <c r="E9495" s="60"/>
      <c r="F9495" s="60"/>
      <c r="G9495" s="60"/>
      <c r="H9495" s="60"/>
      <c r="I9495" s="60"/>
      <c r="J9495" s="60"/>
      <c r="K9495" s="60"/>
      <c r="L9495" s="60"/>
      <c r="M9495" s="64"/>
      <c r="N9495" s="33"/>
    </row>
    <row r="9496" ht="24" customHeight="1" spans="2:14">
      <c r="B9496" s="33"/>
      <c r="C9496" s="60"/>
      <c r="D9496" s="60"/>
      <c r="E9496" s="60"/>
      <c r="F9496" s="60"/>
      <c r="G9496" s="60"/>
      <c r="H9496" s="60"/>
      <c r="I9496" s="60"/>
      <c r="J9496" s="60"/>
      <c r="K9496" s="60"/>
      <c r="L9496" s="60"/>
      <c r="M9496" s="64"/>
      <c r="N9496" s="33"/>
    </row>
    <row r="9497" ht="24" customHeight="1" spans="2:14">
      <c r="B9497" s="33"/>
      <c r="C9497" s="60"/>
      <c r="D9497" s="60"/>
      <c r="E9497" s="60"/>
      <c r="F9497" s="60"/>
      <c r="G9497" s="60"/>
      <c r="H9497" s="60"/>
      <c r="I9497" s="60"/>
      <c r="J9497" s="60"/>
      <c r="K9497" s="60"/>
      <c r="L9497" s="60"/>
      <c r="M9497" s="64"/>
      <c r="N9497" s="33"/>
    </row>
    <row r="9498" ht="24" customHeight="1" spans="2:14">
      <c r="B9498" s="33"/>
      <c r="C9498" s="60"/>
      <c r="D9498" s="60"/>
      <c r="E9498" s="60"/>
      <c r="F9498" s="60"/>
      <c r="G9498" s="60"/>
      <c r="H9498" s="60"/>
      <c r="I9498" s="60"/>
      <c r="J9498" s="60"/>
      <c r="K9498" s="60"/>
      <c r="L9498" s="60"/>
      <c r="M9498" s="64"/>
      <c r="N9498" s="33"/>
    </row>
    <row r="9499" ht="24" customHeight="1" spans="2:14">
      <c r="B9499" s="33"/>
      <c r="C9499" s="60"/>
      <c r="D9499" s="60"/>
      <c r="E9499" s="60"/>
      <c r="F9499" s="60"/>
      <c r="G9499" s="60"/>
      <c r="H9499" s="60"/>
      <c r="I9499" s="60"/>
      <c r="J9499" s="60"/>
      <c r="K9499" s="60"/>
      <c r="L9499" s="60"/>
      <c r="M9499" s="64"/>
      <c r="N9499" s="33"/>
    </row>
    <row r="9500" ht="24" customHeight="1" spans="2:14">
      <c r="B9500" s="33"/>
      <c r="C9500" s="60"/>
      <c r="D9500" s="60"/>
      <c r="E9500" s="60"/>
      <c r="F9500" s="60"/>
      <c r="G9500" s="60"/>
      <c r="H9500" s="60"/>
      <c r="I9500" s="60"/>
      <c r="J9500" s="60"/>
      <c r="K9500" s="60"/>
      <c r="L9500" s="60"/>
      <c r="M9500" s="64"/>
      <c r="N9500" s="33"/>
    </row>
    <row r="9501" ht="24" customHeight="1" spans="2:14">
      <c r="B9501" s="33"/>
      <c r="C9501" s="60"/>
      <c r="D9501" s="60"/>
      <c r="E9501" s="60"/>
      <c r="F9501" s="60"/>
      <c r="G9501" s="60"/>
      <c r="H9501" s="60"/>
      <c r="I9501" s="60"/>
      <c r="J9501" s="60"/>
      <c r="K9501" s="60"/>
      <c r="L9501" s="60"/>
      <c r="M9501" s="64"/>
      <c r="N9501" s="33"/>
    </row>
    <row r="9502" ht="24" customHeight="1" spans="2:14">
      <c r="B9502" s="33"/>
      <c r="C9502" s="60"/>
      <c r="D9502" s="60"/>
      <c r="E9502" s="60"/>
      <c r="F9502" s="60"/>
      <c r="G9502" s="60"/>
      <c r="H9502" s="60"/>
      <c r="I9502" s="60"/>
      <c r="J9502" s="60"/>
      <c r="K9502" s="60"/>
      <c r="L9502" s="60"/>
      <c r="M9502" s="64"/>
      <c r="N9502" s="33"/>
    </row>
    <row r="9503" ht="24" customHeight="1" spans="2:14">
      <c r="B9503" s="33"/>
      <c r="C9503" s="60"/>
      <c r="D9503" s="60"/>
      <c r="E9503" s="60"/>
      <c r="F9503" s="60"/>
      <c r="G9503" s="60"/>
      <c r="H9503" s="60"/>
      <c r="I9503" s="60"/>
      <c r="J9503" s="60"/>
      <c r="K9503" s="60"/>
      <c r="L9503" s="60"/>
      <c r="M9503" s="64"/>
      <c r="N9503" s="33"/>
    </row>
    <row r="9504" ht="24" customHeight="1" spans="2:14">
      <c r="B9504" s="33"/>
      <c r="C9504" s="60"/>
      <c r="D9504" s="60"/>
      <c r="E9504" s="60"/>
      <c r="F9504" s="60"/>
      <c r="G9504" s="60"/>
      <c r="H9504" s="60"/>
      <c r="I9504" s="60"/>
      <c r="J9504" s="60"/>
      <c r="K9504" s="60"/>
      <c r="L9504" s="60"/>
      <c r="M9504" s="64"/>
      <c r="N9504" s="33"/>
    </row>
    <row r="9505" ht="24" customHeight="1" spans="2:14">
      <c r="B9505" s="33"/>
      <c r="C9505" s="60"/>
      <c r="D9505" s="60"/>
      <c r="E9505" s="60"/>
      <c r="F9505" s="60"/>
      <c r="G9505" s="60"/>
      <c r="H9505" s="60"/>
      <c r="I9505" s="60"/>
      <c r="J9505" s="60"/>
      <c r="K9505" s="60"/>
      <c r="L9505" s="60"/>
      <c r="M9505" s="64"/>
      <c r="N9505" s="33"/>
    </row>
    <row r="9506" ht="24" customHeight="1" spans="2:14">
      <c r="B9506" s="33"/>
      <c r="C9506" s="60"/>
      <c r="D9506" s="60"/>
      <c r="E9506" s="60"/>
      <c r="F9506" s="60"/>
      <c r="G9506" s="60"/>
      <c r="H9506" s="60"/>
      <c r="I9506" s="60"/>
      <c r="J9506" s="60"/>
      <c r="K9506" s="60"/>
      <c r="L9506" s="60"/>
      <c r="M9506" s="64"/>
      <c r="N9506" s="33"/>
    </row>
    <row r="9507" ht="24" customHeight="1" spans="2:14">
      <c r="B9507" s="33"/>
      <c r="C9507" s="60"/>
      <c r="D9507" s="60"/>
      <c r="E9507" s="60"/>
      <c r="F9507" s="60"/>
      <c r="G9507" s="60"/>
      <c r="H9507" s="60"/>
      <c r="I9507" s="60"/>
      <c r="J9507" s="60"/>
      <c r="K9507" s="60"/>
      <c r="L9507" s="60"/>
      <c r="M9507" s="64"/>
      <c r="N9507" s="33"/>
    </row>
    <row r="9508" ht="24" customHeight="1" spans="2:14">
      <c r="B9508" s="33"/>
      <c r="C9508" s="60"/>
      <c r="D9508" s="60"/>
      <c r="E9508" s="60"/>
      <c r="F9508" s="60"/>
      <c r="G9508" s="60"/>
      <c r="H9508" s="60"/>
      <c r="I9508" s="60"/>
      <c r="J9508" s="60"/>
      <c r="K9508" s="60"/>
      <c r="L9508" s="60"/>
      <c r="M9508" s="64"/>
      <c r="N9508" s="33"/>
    </row>
    <row r="9509" ht="24" customHeight="1" spans="2:14">
      <c r="B9509" s="33"/>
      <c r="C9509" s="60"/>
      <c r="D9509" s="60"/>
      <c r="E9509" s="60"/>
      <c r="F9509" s="60"/>
      <c r="G9509" s="60"/>
      <c r="H9509" s="60"/>
      <c r="I9509" s="60"/>
      <c r="J9509" s="60"/>
      <c r="K9509" s="60"/>
      <c r="L9509" s="60"/>
      <c r="M9509" s="64"/>
      <c r="N9509" s="33"/>
    </row>
    <row r="9510" ht="24" customHeight="1" spans="2:14">
      <c r="B9510" s="33"/>
      <c r="C9510" s="60"/>
      <c r="D9510" s="60"/>
      <c r="E9510" s="60"/>
      <c r="F9510" s="60"/>
      <c r="G9510" s="60"/>
      <c r="H9510" s="60"/>
      <c r="I9510" s="60"/>
      <c r="J9510" s="60"/>
      <c r="K9510" s="60"/>
      <c r="L9510" s="60"/>
      <c r="M9510" s="64"/>
      <c r="N9510" s="33"/>
    </row>
    <row r="9511" ht="24" customHeight="1" spans="2:14">
      <c r="B9511" s="33"/>
      <c r="C9511" s="60"/>
      <c r="D9511" s="60"/>
      <c r="E9511" s="60"/>
      <c r="F9511" s="60"/>
      <c r="G9511" s="60"/>
      <c r="H9511" s="60"/>
      <c r="I9511" s="60"/>
      <c r="J9511" s="60"/>
      <c r="K9511" s="60"/>
      <c r="L9511" s="60"/>
      <c r="M9511" s="64"/>
      <c r="N9511" s="33"/>
    </row>
    <row r="9512" ht="24" customHeight="1" spans="2:14">
      <c r="B9512" s="33"/>
      <c r="C9512" s="60"/>
      <c r="D9512" s="60"/>
      <c r="E9512" s="60"/>
      <c r="F9512" s="60"/>
      <c r="G9512" s="60"/>
      <c r="H9512" s="60"/>
      <c r="I9512" s="60"/>
      <c r="J9512" s="60"/>
      <c r="K9512" s="60"/>
      <c r="L9512" s="60"/>
      <c r="M9512" s="64"/>
      <c r="N9512" s="33"/>
    </row>
    <row r="9513" ht="24" customHeight="1" spans="2:14">
      <c r="B9513" s="33"/>
      <c r="C9513" s="60"/>
      <c r="D9513" s="60"/>
      <c r="E9513" s="60"/>
      <c r="F9513" s="60"/>
      <c r="G9513" s="60"/>
      <c r="H9513" s="60"/>
      <c r="I9513" s="60"/>
      <c r="J9513" s="60"/>
      <c r="K9513" s="60"/>
      <c r="L9513" s="60"/>
      <c r="M9513" s="64"/>
      <c r="N9513" s="33"/>
    </row>
    <row r="9514" ht="24" customHeight="1" spans="2:14">
      <c r="B9514" s="33"/>
      <c r="C9514" s="60"/>
      <c r="D9514" s="60"/>
      <c r="E9514" s="60"/>
      <c r="F9514" s="60"/>
      <c r="G9514" s="60"/>
      <c r="H9514" s="60"/>
      <c r="I9514" s="60"/>
      <c r="J9514" s="60"/>
      <c r="K9514" s="60"/>
      <c r="L9514" s="60"/>
      <c r="M9514" s="64"/>
      <c r="N9514" s="33"/>
    </row>
    <row r="9515" ht="24" customHeight="1" spans="2:14">
      <c r="B9515" s="33"/>
      <c r="C9515" s="60"/>
      <c r="D9515" s="60"/>
      <c r="E9515" s="60"/>
      <c r="F9515" s="60"/>
      <c r="G9515" s="60"/>
      <c r="H9515" s="60"/>
      <c r="I9515" s="60"/>
      <c r="J9515" s="60"/>
      <c r="K9515" s="60"/>
      <c r="L9515" s="60"/>
      <c r="M9515" s="64"/>
      <c r="N9515" s="33"/>
    </row>
    <row r="9516" ht="24" customHeight="1" spans="2:14">
      <c r="B9516" s="33"/>
      <c r="C9516" s="60"/>
      <c r="D9516" s="60"/>
      <c r="E9516" s="60"/>
      <c r="F9516" s="60"/>
      <c r="G9516" s="60"/>
      <c r="H9516" s="60"/>
      <c r="I9516" s="60"/>
      <c r="J9516" s="60"/>
      <c r="K9516" s="60"/>
      <c r="L9516" s="60"/>
      <c r="M9516" s="64"/>
      <c r="N9516" s="33"/>
    </row>
    <row r="9517" ht="24" customHeight="1" spans="2:14">
      <c r="B9517" s="33"/>
      <c r="C9517" s="60"/>
      <c r="D9517" s="60"/>
      <c r="E9517" s="60"/>
      <c r="F9517" s="60"/>
      <c r="G9517" s="60"/>
      <c r="H9517" s="60"/>
      <c r="I9517" s="60"/>
      <c r="J9517" s="60"/>
      <c r="K9517" s="60"/>
      <c r="L9517" s="60"/>
      <c r="M9517" s="64"/>
      <c r="N9517" s="33"/>
    </row>
    <row r="9518" ht="24" customHeight="1" spans="2:14">
      <c r="B9518" s="33"/>
      <c r="C9518" s="60"/>
      <c r="D9518" s="60"/>
      <c r="E9518" s="60"/>
      <c r="F9518" s="60"/>
      <c r="G9518" s="60"/>
      <c r="H9518" s="60"/>
      <c r="I9518" s="60"/>
      <c r="J9518" s="60"/>
      <c r="K9518" s="60"/>
      <c r="L9518" s="60"/>
      <c r="M9518" s="64"/>
      <c r="N9518" s="33"/>
    </row>
    <row r="9519" ht="24" customHeight="1" spans="2:14">
      <c r="B9519" s="33"/>
      <c r="C9519" s="60"/>
      <c r="D9519" s="60"/>
      <c r="E9519" s="60"/>
      <c r="F9519" s="60"/>
      <c r="G9519" s="60"/>
      <c r="H9519" s="60"/>
      <c r="I9519" s="60"/>
      <c r="J9519" s="60"/>
      <c r="K9519" s="60"/>
      <c r="L9519" s="60"/>
      <c r="M9519" s="64"/>
      <c r="N9519" s="33"/>
    </row>
    <row r="9520" ht="24" customHeight="1" spans="2:14">
      <c r="B9520" s="33"/>
      <c r="C9520" s="60"/>
      <c r="D9520" s="60"/>
      <c r="E9520" s="60"/>
      <c r="F9520" s="60"/>
      <c r="G9520" s="60"/>
      <c r="H9520" s="60"/>
      <c r="I9520" s="60"/>
      <c r="J9520" s="60"/>
      <c r="K9520" s="60"/>
      <c r="L9520" s="60"/>
      <c r="M9520" s="64"/>
      <c r="N9520" s="33"/>
    </row>
    <row r="9521" ht="24" customHeight="1" spans="2:14">
      <c r="B9521" s="33"/>
      <c r="C9521" s="60"/>
      <c r="D9521" s="60"/>
      <c r="E9521" s="60"/>
      <c r="F9521" s="60"/>
      <c r="G9521" s="60"/>
      <c r="H9521" s="60"/>
      <c r="I9521" s="60"/>
      <c r="J9521" s="60"/>
      <c r="K9521" s="60"/>
      <c r="L9521" s="60"/>
      <c r="M9521" s="64"/>
      <c r="N9521" s="33"/>
    </row>
    <row r="9522" ht="24" customHeight="1" spans="2:14">
      <c r="B9522" s="33"/>
      <c r="C9522" s="60"/>
      <c r="D9522" s="60"/>
      <c r="E9522" s="60"/>
      <c r="F9522" s="60"/>
      <c r="G9522" s="60"/>
      <c r="H9522" s="60"/>
      <c r="I9522" s="60"/>
      <c r="J9522" s="60"/>
      <c r="K9522" s="60"/>
      <c r="L9522" s="60"/>
      <c r="M9522" s="64"/>
      <c r="N9522" s="33"/>
    </row>
    <row r="9523" ht="24" customHeight="1" spans="2:14">
      <c r="B9523" s="33"/>
      <c r="C9523" s="60"/>
      <c r="D9523" s="60"/>
      <c r="E9523" s="60"/>
      <c r="F9523" s="60"/>
      <c r="G9523" s="60"/>
      <c r="H9523" s="60"/>
      <c r="I9523" s="60"/>
      <c r="J9523" s="60"/>
      <c r="K9523" s="60"/>
      <c r="L9523" s="60"/>
      <c r="M9523" s="64"/>
      <c r="N9523" s="33"/>
    </row>
    <row r="9524" ht="24" customHeight="1" spans="2:14">
      <c r="B9524" s="33"/>
      <c r="C9524" s="60"/>
      <c r="D9524" s="60"/>
      <c r="E9524" s="60"/>
      <c r="F9524" s="60"/>
      <c r="G9524" s="60"/>
      <c r="H9524" s="60"/>
      <c r="I9524" s="60"/>
      <c r="J9524" s="60"/>
      <c r="K9524" s="60"/>
      <c r="L9524" s="60"/>
      <c r="M9524" s="64"/>
      <c r="N9524" s="33"/>
    </row>
    <row r="9525" ht="24" customHeight="1" spans="2:14">
      <c r="B9525" s="33"/>
      <c r="C9525" s="60"/>
      <c r="D9525" s="60"/>
      <c r="E9525" s="60"/>
      <c r="F9525" s="60"/>
      <c r="G9525" s="60"/>
      <c r="H9525" s="60"/>
      <c r="I9525" s="60"/>
      <c r="J9525" s="60"/>
      <c r="K9525" s="60"/>
      <c r="L9525" s="60"/>
      <c r="M9525" s="64"/>
      <c r="N9525" s="33"/>
    </row>
    <row r="9526" ht="24" customHeight="1" spans="2:14">
      <c r="B9526" s="33"/>
      <c r="C9526" s="60"/>
      <c r="D9526" s="60"/>
      <c r="E9526" s="60"/>
      <c r="F9526" s="60"/>
      <c r="G9526" s="60"/>
      <c r="H9526" s="60"/>
      <c r="I9526" s="60"/>
      <c r="J9526" s="60"/>
      <c r="K9526" s="60"/>
      <c r="L9526" s="60"/>
      <c r="M9526" s="64"/>
      <c r="N9526" s="33"/>
    </row>
    <row r="9527" ht="24" customHeight="1" spans="2:14">
      <c r="B9527" s="33"/>
      <c r="C9527" s="60"/>
      <c r="D9527" s="60"/>
      <c r="E9527" s="60"/>
      <c r="F9527" s="60"/>
      <c r="G9527" s="60"/>
      <c r="H9527" s="60"/>
      <c r="I9527" s="60"/>
      <c r="J9527" s="60"/>
      <c r="K9527" s="60"/>
      <c r="L9527" s="60"/>
      <c r="M9527" s="64"/>
      <c r="N9527" s="33"/>
    </row>
    <row r="9528" ht="24" customHeight="1" spans="2:14">
      <c r="B9528" s="33"/>
      <c r="C9528" s="60"/>
      <c r="D9528" s="60"/>
      <c r="E9528" s="60"/>
      <c r="F9528" s="60"/>
      <c r="G9528" s="60"/>
      <c r="H9528" s="60"/>
      <c r="I9528" s="60"/>
      <c r="J9528" s="60"/>
      <c r="K9528" s="60"/>
      <c r="L9528" s="60"/>
      <c r="M9528" s="64"/>
      <c r="N9528" s="33"/>
    </row>
    <row r="9529" ht="24" customHeight="1" spans="2:14">
      <c r="B9529" s="33"/>
      <c r="C9529" s="60"/>
      <c r="D9529" s="60"/>
      <c r="E9529" s="60"/>
      <c r="F9529" s="60"/>
      <c r="G9529" s="60"/>
      <c r="H9529" s="60"/>
      <c r="I9529" s="60"/>
      <c r="J9529" s="60"/>
      <c r="K9529" s="60"/>
      <c r="L9529" s="60"/>
      <c r="M9529" s="64"/>
      <c r="N9529" s="33"/>
    </row>
    <row r="9530" ht="24" customHeight="1" spans="2:14">
      <c r="B9530" s="33"/>
      <c r="C9530" s="60"/>
      <c r="D9530" s="60"/>
      <c r="E9530" s="60"/>
      <c r="F9530" s="60"/>
      <c r="G9530" s="60"/>
      <c r="H9530" s="60"/>
      <c r="I9530" s="60"/>
      <c r="J9530" s="60"/>
      <c r="K9530" s="60"/>
      <c r="L9530" s="60"/>
      <c r="M9530" s="64"/>
      <c r="N9530" s="33"/>
    </row>
    <row r="9531" ht="24" customHeight="1" spans="2:14">
      <c r="B9531" s="33"/>
      <c r="C9531" s="60"/>
      <c r="D9531" s="60"/>
      <c r="E9531" s="60"/>
      <c r="F9531" s="60"/>
      <c r="G9531" s="60"/>
      <c r="H9531" s="60"/>
      <c r="I9531" s="60"/>
      <c r="J9531" s="60"/>
      <c r="K9531" s="60"/>
      <c r="L9531" s="60"/>
      <c r="M9531" s="64"/>
      <c r="N9531" s="33"/>
    </row>
    <row r="9532" ht="24" customHeight="1" spans="2:14">
      <c r="B9532" s="33"/>
      <c r="C9532" s="60"/>
      <c r="D9532" s="60"/>
      <c r="E9532" s="60"/>
      <c r="F9532" s="60"/>
      <c r="G9532" s="60"/>
      <c r="H9532" s="60"/>
      <c r="I9532" s="60"/>
      <c r="J9532" s="60"/>
      <c r="K9532" s="60"/>
      <c r="L9532" s="60"/>
      <c r="M9532" s="64"/>
      <c r="N9532" s="33"/>
    </row>
    <row r="9533" ht="24" customHeight="1" spans="2:14">
      <c r="B9533" s="33"/>
      <c r="C9533" s="60"/>
      <c r="D9533" s="60"/>
      <c r="E9533" s="60"/>
      <c r="F9533" s="60"/>
      <c r="G9533" s="60"/>
      <c r="H9533" s="60"/>
      <c r="I9533" s="60"/>
      <c r="J9533" s="60"/>
      <c r="K9533" s="60"/>
      <c r="L9533" s="60"/>
      <c r="M9533" s="64"/>
      <c r="N9533" s="33"/>
    </row>
    <row r="9534" ht="24" customHeight="1" spans="2:14">
      <c r="B9534" s="33"/>
      <c r="C9534" s="60"/>
      <c r="D9534" s="60"/>
      <c r="E9534" s="60"/>
      <c r="F9534" s="60"/>
      <c r="G9534" s="60"/>
      <c r="H9534" s="60"/>
      <c r="I9534" s="60"/>
      <c r="J9534" s="60"/>
      <c r="K9534" s="60"/>
      <c r="L9534" s="60"/>
      <c r="M9534" s="64"/>
      <c r="N9534" s="33"/>
    </row>
    <row r="9535" ht="24" customHeight="1" spans="2:14">
      <c r="B9535" s="33"/>
      <c r="C9535" s="60"/>
      <c r="D9535" s="60"/>
      <c r="E9535" s="60"/>
      <c r="F9535" s="60"/>
      <c r="G9535" s="60"/>
      <c r="H9535" s="60"/>
      <c r="I9535" s="60"/>
      <c r="J9535" s="60"/>
      <c r="K9535" s="60"/>
      <c r="L9535" s="60"/>
      <c r="M9535" s="64"/>
      <c r="N9535" s="33"/>
    </row>
    <row r="9536" ht="24" customHeight="1" spans="2:14">
      <c r="B9536" s="33"/>
      <c r="C9536" s="60"/>
      <c r="D9536" s="60"/>
      <c r="E9536" s="60"/>
      <c r="F9536" s="60"/>
      <c r="G9536" s="60"/>
      <c r="H9536" s="60"/>
      <c r="I9536" s="60"/>
      <c r="J9536" s="60"/>
      <c r="K9536" s="60"/>
      <c r="L9536" s="60"/>
      <c r="M9536" s="64"/>
      <c r="N9536" s="33"/>
    </row>
    <row r="9537" ht="24" customHeight="1" spans="2:14">
      <c r="B9537" s="33"/>
      <c r="C9537" s="60"/>
      <c r="D9537" s="60"/>
      <c r="E9537" s="60"/>
      <c r="F9537" s="60"/>
      <c r="G9537" s="60"/>
      <c r="H9537" s="60"/>
      <c r="I9537" s="60"/>
      <c r="J9537" s="60"/>
      <c r="K9537" s="60"/>
      <c r="L9537" s="60"/>
      <c r="M9537" s="64"/>
      <c r="N9537" s="33"/>
    </row>
    <row r="9538" ht="24" customHeight="1" spans="2:14">
      <c r="B9538" s="33"/>
      <c r="C9538" s="60"/>
      <c r="D9538" s="60"/>
      <c r="E9538" s="60"/>
      <c r="F9538" s="60"/>
      <c r="G9538" s="60"/>
      <c r="H9538" s="60"/>
      <c r="I9538" s="60"/>
      <c r="J9538" s="60"/>
      <c r="K9538" s="60"/>
      <c r="L9538" s="60"/>
      <c r="M9538" s="64"/>
      <c r="N9538" s="33"/>
    </row>
    <row r="9539" ht="24" customHeight="1" spans="2:14">
      <c r="B9539" s="33"/>
      <c r="C9539" s="60"/>
      <c r="D9539" s="60"/>
      <c r="E9539" s="60"/>
      <c r="F9539" s="60"/>
      <c r="G9539" s="60"/>
      <c r="H9539" s="60"/>
      <c r="I9539" s="60"/>
      <c r="J9539" s="60"/>
      <c r="K9539" s="60"/>
      <c r="L9539" s="60"/>
      <c r="M9539" s="64"/>
      <c r="N9539" s="33"/>
    </row>
    <row r="9540" ht="24" customHeight="1" spans="2:14">
      <c r="B9540" s="33"/>
      <c r="C9540" s="60"/>
      <c r="D9540" s="60"/>
      <c r="E9540" s="60"/>
      <c r="F9540" s="60"/>
      <c r="G9540" s="60"/>
      <c r="H9540" s="60"/>
      <c r="I9540" s="60"/>
      <c r="J9540" s="60"/>
      <c r="K9540" s="60"/>
      <c r="L9540" s="60"/>
      <c r="M9540" s="64"/>
      <c r="N9540" s="33"/>
    </row>
    <row r="9541" ht="24" customHeight="1" spans="2:14">
      <c r="B9541" s="33"/>
      <c r="C9541" s="60"/>
      <c r="D9541" s="60"/>
      <c r="E9541" s="60"/>
      <c r="F9541" s="60"/>
      <c r="G9541" s="60"/>
      <c r="H9541" s="60"/>
      <c r="I9541" s="60"/>
      <c r="J9541" s="60"/>
      <c r="K9541" s="60"/>
      <c r="L9541" s="60"/>
      <c r="M9541" s="64"/>
      <c r="N9541" s="33"/>
    </row>
    <row r="9542" ht="24" customHeight="1" spans="2:14">
      <c r="B9542" s="33"/>
      <c r="C9542" s="60"/>
      <c r="D9542" s="60"/>
      <c r="E9542" s="60"/>
      <c r="F9542" s="60"/>
      <c r="G9542" s="60"/>
      <c r="H9542" s="60"/>
      <c r="I9542" s="60"/>
      <c r="J9542" s="60"/>
      <c r="K9542" s="60"/>
      <c r="L9542" s="60"/>
      <c r="M9542" s="64"/>
      <c r="N9542" s="33"/>
    </row>
    <row r="9543" ht="24" customHeight="1" spans="2:14">
      <c r="B9543" s="33"/>
      <c r="C9543" s="60"/>
      <c r="D9543" s="60"/>
      <c r="E9543" s="60"/>
      <c r="F9543" s="60"/>
      <c r="G9543" s="60"/>
      <c r="H9543" s="60"/>
      <c r="I9543" s="60"/>
      <c r="J9543" s="60"/>
      <c r="K9543" s="60"/>
      <c r="L9543" s="60"/>
      <c r="M9543" s="64"/>
      <c r="N9543" s="33"/>
    </row>
    <row r="9544" ht="24" customHeight="1" spans="2:14">
      <c r="B9544" s="33"/>
      <c r="C9544" s="60"/>
      <c r="D9544" s="60"/>
      <c r="E9544" s="60"/>
      <c r="F9544" s="60"/>
      <c r="G9544" s="60"/>
      <c r="H9544" s="60"/>
      <c r="I9544" s="60"/>
      <c r="J9544" s="60"/>
      <c r="K9544" s="60"/>
      <c r="L9544" s="60"/>
      <c r="M9544" s="64"/>
      <c r="N9544" s="33"/>
    </row>
    <row r="9545" ht="24" customHeight="1" spans="2:14">
      <c r="B9545" s="33"/>
      <c r="C9545" s="60"/>
      <c r="D9545" s="60"/>
      <c r="E9545" s="60"/>
      <c r="F9545" s="60"/>
      <c r="G9545" s="60"/>
      <c r="H9545" s="60"/>
      <c r="I9545" s="60"/>
      <c r="J9545" s="60"/>
      <c r="K9545" s="60"/>
      <c r="L9545" s="60"/>
      <c r="M9545" s="64"/>
      <c r="N9545" s="33"/>
    </row>
    <row r="9546" ht="24" customHeight="1" spans="2:14">
      <c r="B9546" s="33"/>
      <c r="C9546" s="60"/>
      <c r="D9546" s="60"/>
      <c r="E9546" s="60"/>
      <c r="F9546" s="60"/>
      <c r="G9546" s="60"/>
      <c r="H9546" s="60"/>
      <c r="I9546" s="60"/>
      <c r="J9546" s="60"/>
      <c r="K9546" s="60"/>
      <c r="L9546" s="60"/>
      <c r="M9546" s="64"/>
      <c r="N9546" s="33"/>
    </row>
    <row r="9547" ht="24" customHeight="1" spans="2:14">
      <c r="B9547" s="33"/>
      <c r="C9547" s="60"/>
      <c r="D9547" s="60"/>
      <c r="E9547" s="60"/>
      <c r="F9547" s="60"/>
      <c r="G9547" s="60"/>
      <c r="H9547" s="60"/>
      <c r="I9547" s="60"/>
      <c r="J9547" s="60"/>
      <c r="K9547" s="60"/>
      <c r="L9547" s="60"/>
      <c r="M9547" s="64"/>
      <c r="N9547" s="33"/>
    </row>
    <row r="9548" ht="24" customHeight="1" spans="2:14">
      <c r="B9548" s="33"/>
      <c r="C9548" s="60"/>
      <c r="D9548" s="60"/>
      <c r="E9548" s="60"/>
      <c r="F9548" s="60"/>
      <c r="G9548" s="60"/>
      <c r="H9548" s="60"/>
      <c r="I9548" s="60"/>
      <c r="J9548" s="60"/>
      <c r="K9548" s="60"/>
      <c r="L9548" s="60"/>
      <c r="M9548" s="64"/>
      <c r="N9548" s="33"/>
    </row>
    <row r="9549" ht="24" customHeight="1" spans="2:14">
      <c r="B9549" s="33"/>
      <c r="C9549" s="60"/>
      <c r="D9549" s="60"/>
      <c r="E9549" s="60"/>
      <c r="F9549" s="60"/>
      <c r="G9549" s="60"/>
      <c r="H9549" s="60"/>
      <c r="I9549" s="60"/>
      <c r="J9549" s="60"/>
      <c r="K9549" s="60"/>
      <c r="L9549" s="60"/>
      <c r="M9549" s="64"/>
      <c r="N9549" s="33"/>
    </row>
    <row r="9550" ht="24" customHeight="1" spans="2:14">
      <c r="B9550" s="33"/>
      <c r="C9550" s="60"/>
      <c r="D9550" s="60"/>
      <c r="E9550" s="60"/>
      <c r="F9550" s="60"/>
      <c r="G9550" s="60"/>
      <c r="H9550" s="60"/>
      <c r="I9550" s="60"/>
      <c r="J9550" s="60"/>
      <c r="K9550" s="60"/>
      <c r="L9550" s="60"/>
      <c r="M9550" s="64"/>
      <c r="N9550" s="33"/>
    </row>
    <row r="9551" ht="24" customHeight="1" spans="2:14">
      <c r="B9551" s="33"/>
      <c r="C9551" s="60"/>
      <c r="D9551" s="60"/>
      <c r="E9551" s="60"/>
      <c r="F9551" s="60"/>
      <c r="G9551" s="60"/>
      <c r="H9551" s="60"/>
      <c r="I9551" s="60"/>
      <c r="J9551" s="60"/>
      <c r="K9551" s="60"/>
      <c r="L9551" s="60"/>
      <c r="M9551" s="64"/>
      <c r="N9551" s="33"/>
    </row>
    <row r="9552" ht="24" customHeight="1" spans="2:14">
      <c r="B9552" s="33"/>
      <c r="C9552" s="60"/>
      <c r="D9552" s="60"/>
      <c r="E9552" s="60"/>
      <c r="F9552" s="60"/>
      <c r="G9552" s="60"/>
      <c r="H9552" s="60"/>
      <c r="I9552" s="60"/>
      <c r="J9552" s="60"/>
      <c r="K9552" s="60"/>
      <c r="L9552" s="60"/>
      <c r="M9552" s="64"/>
      <c r="N9552" s="33"/>
    </row>
    <row r="9553" ht="24" customHeight="1" spans="2:14">
      <c r="B9553" s="33"/>
      <c r="C9553" s="60"/>
      <c r="D9553" s="60"/>
      <c r="E9553" s="60"/>
      <c r="F9553" s="60"/>
      <c r="G9553" s="60"/>
      <c r="H9553" s="60"/>
      <c r="I9553" s="60"/>
      <c r="J9553" s="60"/>
      <c r="K9553" s="60"/>
      <c r="L9553" s="60"/>
      <c r="M9553" s="64"/>
      <c r="N9553" s="33"/>
    </row>
    <row r="9554" ht="24" customHeight="1" spans="2:14">
      <c r="B9554" s="33"/>
      <c r="C9554" s="60"/>
      <c r="D9554" s="60"/>
      <c r="E9554" s="60"/>
      <c r="F9554" s="60"/>
      <c r="G9554" s="60"/>
      <c r="H9554" s="60"/>
      <c r="I9554" s="60"/>
      <c r="J9554" s="60"/>
      <c r="K9554" s="60"/>
      <c r="L9554" s="60"/>
      <c r="M9554" s="64"/>
      <c r="N9554" s="33"/>
    </row>
    <row r="9555" ht="24" customHeight="1" spans="2:14">
      <c r="B9555" s="33"/>
      <c r="C9555" s="60"/>
      <c r="D9555" s="60"/>
      <c r="E9555" s="60"/>
      <c r="F9555" s="60"/>
      <c r="G9555" s="60"/>
      <c r="H9555" s="60"/>
      <c r="I9555" s="60"/>
      <c r="J9555" s="60"/>
      <c r="K9555" s="60"/>
      <c r="L9555" s="60"/>
      <c r="M9555" s="64"/>
      <c r="N9555" s="33"/>
    </row>
    <row r="9556" ht="24" customHeight="1" spans="2:14">
      <c r="B9556" s="33"/>
      <c r="C9556" s="60"/>
      <c r="D9556" s="60"/>
      <c r="E9556" s="60"/>
      <c r="F9556" s="60"/>
      <c r="G9556" s="60"/>
      <c r="H9556" s="60"/>
      <c r="I9556" s="60"/>
      <c r="J9556" s="60"/>
      <c r="K9556" s="60"/>
      <c r="L9556" s="60"/>
      <c r="M9556" s="64"/>
      <c r="N9556" s="33"/>
    </row>
    <row r="9557" ht="24" customHeight="1" spans="2:14">
      <c r="B9557" s="33"/>
      <c r="C9557" s="60"/>
      <c r="D9557" s="60"/>
      <c r="E9557" s="60"/>
      <c r="F9557" s="60"/>
      <c r="G9557" s="60"/>
      <c r="H9557" s="60"/>
      <c r="I9557" s="60"/>
      <c r="J9557" s="60"/>
      <c r="K9557" s="60"/>
      <c r="L9557" s="60"/>
      <c r="M9557" s="64"/>
      <c r="N9557" s="33"/>
    </row>
    <row r="9558" ht="24" customHeight="1" spans="2:14">
      <c r="B9558" s="33"/>
      <c r="C9558" s="60"/>
      <c r="D9558" s="60"/>
      <c r="E9558" s="60"/>
      <c r="F9558" s="60"/>
      <c r="G9558" s="60"/>
      <c r="H9558" s="60"/>
      <c r="I9558" s="60"/>
      <c r="J9558" s="60"/>
      <c r="K9558" s="60"/>
      <c r="L9558" s="60"/>
      <c r="M9558" s="64"/>
      <c r="N9558" s="33"/>
    </row>
    <row r="9559" ht="24" customHeight="1" spans="2:14">
      <c r="B9559" s="33"/>
      <c r="C9559" s="60"/>
      <c r="D9559" s="60"/>
      <c r="E9559" s="60"/>
      <c r="F9559" s="60"/>
      <c r="G9559" s="60"/>
      <c r="H9559" s="60"/>
      <c r="I9559" s="60"/>
      <c r="J9559" s="60"/>
      <c r="K9559" s="60"/>
      <c r="L9559" s="60"/>
      <c r="M9559" s="64"/>
      <c r="N9559" s="33"/>
    </row>
    <row r="9560" ht="24" customHeight="1" spans="2:14">
      <c r="B9560" s="33"/>
      <c r="C9560" s="60"/>
      <c r="D9560" s="60"/>
      <c r="E9560" s="60"/>
      <c r="F9560" s="60"/>
      <c r="G9560" s="60"/>
      <c r="H9560" s="60"/>
      <c r="I9560" s="60"/>
      <c r="J9560" s="60"/>
      <c r="K9560" s="60"/>
      <c r="L9560" s="60"/>
      <c r="M9560" s="64"/>
      <c r="N9560" s="33"/>
    </row>
    <row r="9561" ht="24" customHeight="1" spans="2:14">
      <c r="B9561" s="33"/>
      <c r="C9561" s="60"/>
      <c r="D9561" s="60"/>
      <c r="E9561" s="60"/>
      <c r="F9561" s="60"/>
      <c r="G9561" s="60"/>
      <c r="H9561" s="60"/>
      <c r="I9561" s="60"/>
      <c r="J9561" s="60"/>
      <c r="K9561" s="60"/>
      <c r="L9561" s="60"/>
      <c r="M9561" s="64"/>
      <c r="N9561" s="33"/>
    </row>
    <row r="9562" ht="24" customHeight="1" spans="2:14">
      <c r="B9562" s="33"/>
      <c r="C9562" s="60"/>
      <c r="D9562" s="60"/>
      <c r="E9562" s="60"/>
      <c r="F9562" s="60"/>
      <c r="G9562" s="60"/>
      <c r="H9562" s="60"/>
      <c r="I9562" s="60"/>
      <c r="J9562" s="60"/>
      <c r="K9562" s="60"/>
      <c r="L9562" s="60"/>
      <c r="M9562" s="64"/>
      <c r="N9562" s="33"/>
    </row>
    <row r="9563" ht="24" customHeight="1" spans="2:14">
      <c r="B9563" s="33"/>
      <c r="C9563" s="60"/>
      <c r="D9563" s="60"/>
      <c r="E9563" s="60"/>
      <c r="F9563" s="60"/>
      <c r="G9563" s="60"/>
      <c r="H9563" s="60"/>
      <c r="I9563" s="60"/>
      <c r="J9563" s="60"/>
      <c r="K9563" s="60"/>
      <c r="L9563" s="60"/>
      <c r="M9563" s="64"/>
      <c r="N9563" s="33"/>
    </row>
    <row r="9564" ht="24" customHeight="1" spans="2:14">
      <c r="B9564" s="33"/>
      <c r="C9564" s="60"/>
      <c r="D9564" s="60"/>
      <c r="E9564" s="60"/>
      <c r="F9564" s="60"/>
      <c r="G9564" s="60"/>
      <c r="H9564" s="60"/>
      <c r="I9564" s="60"/>
      <c r="J9564" s="60"/>
      <c r="K9564" s="60"/>
      <c r="L9564" s="60"/>
      <c r="M9564" s="64"/>
      <c r="N9564" s="33"/>
    </row>
    <row r="9565" ht="24" customHeight="1" spans="2:14">
      <c r="B9565" s="33"/>
      <c r="C9565" s="60"/>
      <c r="D9565" s="60"/>
      <c r="E9565" s="60"/>
      <c r="F9565" s="60"/>
      <c r="G9565" s="60"/>
      <c r="H9565" s="60"/>
      <c r="I9565" s="60"/>
      <c r="J9565" s="60"/>
      <c r="K9565" s="60"/>
      <c r="L9565" s="60"/>
      <c r="M9565" s="64"/>
      <c r="N9565" s="33"/>
    </row>
    <row r="9566" ht="24" customHeight="1" spans="2:14">
      <c r="B9566" s="33"/>
      <c r="C9566" s="60"/>
      <c r="D9566" s="60"/>
      <c r="E9566" s="60"/>
      <c r="F9566" s="60"/>
      <c r="G9566" s="60"/>
      <c r="H9566" s="60"/>
      <c r="I9566" s="60"/>
      <c r="J9566" s="60"/>
      <c r="K9566" s="60"/>
      <c r="L9566" s="60"/>
      <c r="M9566" s="64"/>
      <c r="N9566" s="33"/>
    </row>
    <row r="9567" ht="24" customHeight="1" spans="2:14">
      <c r="B9567" s="33"/>
      <c r="C9567" s="60"/>
      <c r="D9567" s="60"/>
      <c r="E9567" s="60"/>
      <c r="F9567" s="60"/>
      <c r="G9567" s="60"/>
      <c r="H9567" s="60"/>
      <c r="I9567" s="60"/>
      <c r="J9567" s="60"/>
      <c r="K9567" s="60"/>
      <c r="L9567" s="60"/>
      <c r="M9567" s="64"/>
      <c r="N9567" s="33"/>
    </row>
    <row r="9568" ht="24" customHeight="1" spans="2:14">
      <c r="B9568" s="33"/>
      <c r="C9568" s="60"/>
      <c r="D9568" s="60"/>
      <c r="E9568" s="60"/>
      <c r="F9568" s="60"/>
      <c r="G9568" s="60"/>
      <c r="H9568" s="60"/>
      <c r="I9568" s="60"/>
      <c r="J9568" s="60"/>
      <c r="K9568" s="60"/>
      <c r="L9568" s="60"/>
      <c r="M9568" s="64"/>
      <c r="N9568" s="33"/>
    </row>
    <row r="9569" ht="24" customHeight="1" spans="2:14">
      <c r="B9569" s="33"/>
      <c r="C9569" s="60"/>
      <c r="D9569" s="60"/>
      <c r="E9569" s="60"/>
      <c r="F9569" s="60"/>
      <c r="G9569" s="60"/>
      <c r="H9569" s="60"/>
      <c r="I9569" s="60"/>
      <c r="J9569" s="60"/>
      <c r="K9569" s="60"/>
      <c r="L9569" s="60"/>
      <c r="M9569" s="64"/>
      <c r="N9569" s="33"/>
    </row>
    <row r="9570" ht="24" customHeight="1" spans="2:14">
      <c r="B9570" s="33"/>
      <c r="C9570" s="60"/>
      <c r="D9570" s="60"/>
      <c r="E9570" s="60"/>
      <c r="F9570" s="60"/>
      <c r="G9570" s="60"/>
      <c r="H9570" s="60"/>
      <c r="I9570" s="60"/>
      <c r="J9570" s="60"/>
      <c r="K9570" s="60"/>
      <c r="L9570" s="60"/>
      <c r="M9570" s="64"/>
      <c r="N9570" s="33"/>
    </row>
    <row r="9571" ht="24" customHeight="1" spans="2:14">
      <c r="B9571" s="33"/>
      <c r="C9571" s="60"/>
      <c r="D9571" s="60"/>
      <c r="E9571" s="60"/>
      <c r="F9571" s="60"/>
      <c r="G9571" s="60"/>
      <c r="H9571" s="60"/>
      <c r="I9571" s="60"/>
      <c r="J9571" s="60"/>
      <c r="K9571" s="60"/>
      <c r="L9571" s="60"/>
      <c r="M9571" s="64"/>
      <c r="N9571" s="33"/>
    </row>
    <row r="9572" ht="24" customHeight="1" spans="2:14">
      <c r="B9572" s="33"/>
      <c r="C9572" s="60"/>
      <c r="D9572" s="60"/>
      <c r="E9572" s="60"/>
      <c r="F9572" s="60"/>
      <c r="G9572" s="60"/>
      <c r="H9572" s="60"/>
      <c r="I9572" s="60"/>
      <c r="J9572" s="60"/>
      <c r="K9572" s="60"/>
      <c r="L9572" s="60"/>
      <c r="M9572" s="64"/>
      <c r="N9572" s="33"/>
    </row>
    <row r="9573" ht="24" customHeight="1" spans="2:14">
      <c r="B9573" s="33"/>
      <c r="C9573" s="60"/>
      <c r="D9573" s="60"/>
      <c r="E9573" s="60"/>
      <c r="F9573" s="60"/>
      <c r="G9573" s="60"/>
      <c r="H9573" s="60"/>
      <c r="I9573" s="60"/>
      <c r="J9573" s="60"/>
      <c r="K9573" s="60"/>
      <c r="L9573" s="60"/>
      <c r="M9573" s="64"/>
      <c r="N9573" s="33"/>
    </row>
    <row r="9574" ht="24" customHeight="1" spans="2:14">
      <c r="B9574" s="33"/>
      <c r="C9574" s="60"/>
      <c r="D9574" s="60"/>
      <c r="E9574" s="60"/>
      <c r="F9574" s="60"/>
      <c r="G9574" s="60"/>
      <c r="H9574" s="60"/>
      <c r="I9574" s="60"/>
      <c r="J9574" s="60"/>
      <c r="K9574" s="60"/>
      <c r="L9574" s="60"/>
      <c r="M9574" s="64"/>
      <c r="N9574" s="33"/>
    </row>
    <row r="9575" ht="24" customHeight="1" spans="2:14">
      <c r="B9575" s="33"/>
      <c r="C9575" s="60"/>
      <c r="D9575" s="60"/>
      <c r="E9575" s="60"/>
      <c r="F9575" s="60"/>
      <c r="G9575" s="60"/>
      <c r="H9575" s="60"/>
      <c r="I9575" s="60"/>
      <c r="J9575" s="60"/>
      <c r="K9575" s="60"/>
      <c r="L9575" s="60"/>
      <c r="M9575" s="64"/>
      <c r="N9575" s="33"/>
    </row>
    <row r="9576" ht="24" customHeight="1" spans="2:14">
      <c r="B9576" s="33"/>
      <c r="C9576" s="60"/>
      <c r="D9576" s="60"/>
      <c r="E9576" s="60"/>
      <c r="F9576" s="60"/>
      <c r="G9576" s="60"/>
      <c r="H9576" s="60"/>
      <c r="I9576" s="60"/>
      <c r="J9576" s="60"/>
      <c r="K9576" s="60"/>
      <c r="L9576" s="60"/>
      <c r="M9576" s="64"/>
      <c r="N9576" s="33"/>
    </row>
    <row r="9577" ht="24" customHeight="1" spans="2:14">
      <c r="B9577" s="33"/>
      <c r="C9577" s="60"/>
      <c r="D9577" s="60"/>
      <c r="E9577" s="60"/>
      <c r="F9577" s="60"/>
      <c r="G9577" s="60"/>
      <c r="H9577" s="60"/>
      <c r="I9577" s="60"/>
      <c r="J9577" s="60"/>
      <c r="K9577" s="60"/>
      <c r="L9577" s="60"/>
      <c r="M9577" s="64"/>
      <c r="N9577" s="33"/>
    </row>
    <row r="9578" ht="24" customHeight="1" spans="2:14">
      <c r="B9578" s="33"/>
      <c r="C9578" s="60"/>
      <c r="D9578" s="60"/>
      <c r="E9578" s="60"/>
      <c r="F9578" s="60"/>
      <c r="G9578" s="60"/>
      <c r="H9578" s="60"/>
      <c r="I9578" s="60"/>
      <c r="J9578" s="60"/>
      <c r="K9578" s="60"/>
      <c r="L9578" s="60"/>
      <c r="M9578" s="64"/>
      <c r="N9578" s="33"/>
    </row>
    <row r="9579" ht="24" customHeight="1" spans="2:14">
      <c r="B9579" s="33"/>
      <c r="C9579" s="60"/>
      <c r="D9579" s="60"/>
      <c r="E9579" s="60"/>
      <c r="F9579" s="60"/>
      <c r="G9579" s="60"/>
      <c r="H9579" s="60"/>
      <c r="I9579" s="60"/>
      <c r="J9579" s="60"/>
      <c r="K9579" s="60"/>
      <c r="L9579" s="60"/>
      <c r="M9579" s="64"/>
      <c r="N9579" s="33"/>
    </row>
    <row r="9580" ht="24" customHeight="1" spans="2:14">
      <c r="B9580" s="33"/>
      <c r="C9580" s="60"/>
      <c r="D9580" s="60"/>
      <c r="E9580" s="60"/>
      <c r="F9580" s="60"/>
      <c r="G9580" s="60"/>
      <c r="H9580" s="60"/>
      <c r="I9580" s="60"/>
      <c r="J9580" s="60"/>
      <c r="K9580" s="60"/>
      <c r="L9580" s="60"/>
      <c r="M9580" s="64"/>
      <c r="N9580" s="33"/>
    </row>
    <row r="9581" ht="24" customHeight="1" spans="2:14">
      <c r="B9581" s="33"/>
      <c r="C9581" s="60"/>
      <c r="D9581" s="60"/>
      <c r="E9581" s="60"/>
      <c r="F9581" s="60"/>
      <c r="G9581" s="60"/>
      <c r="H9581" s="60"/>
      <c r="I9581" s="60"/>
      <c r="J9581" s="60"/>
      <c r="K9581" s="60"/>
      <c r="L9581" s="60"/>
      <c r="M9581" s="64"/>
      <c r="N9581" s="33"/>
    </row>
    <row r="9582" ht="24" customHeight="1" spans="2:14">
      <c r="B9582" s="33"/>
      <c r="C9582" s="60"/>
      <c r="D9582" s="60"/>
      <c r="E9582" s="60"/>
      <c r="F9582" s="60"/>
      <c r="G9582" s="60"/>
      <c r="H9582" s="60"/>
      <c r="I9582" s="60"/>
      <c r="J9582" s="60"/>
      <c r="K9582" s="60"/>
      <c r="L9582" s="60"/>
      <c r="M9582" s="64"/>
      <c r="N9582" s="33"/>
    </row>
    <row r="9583" ht="24" customHeight="1" spans="2:14">
      <c r="B9583" s="33"/>
      <c r="C9583" s="60"/>
      <c r="D9583" s="60"/>
      <c r="E9583" s="60"/>
      <c r="F9583" s="60"/>
      <c r="G9583" s="60"/>
      <c r="H9583" s="60"/>
      <c r="I9583" s="60"/>
      <c r="J9583" s="60"/>
      <c r="K9583" s="60"/>
      <c r="L9583" s="60"/>
      <c r="M9583" s="64"/>
      <c r="N9583" s="33"/>
    </row>
    <row r="9584" ht="24" customHeight="1" spans="2:14">
      <c r="B9584" s="33"/>
      <c r="C9584" s="60"/>
      <c r="D9584" s="60"/>
      <c r="E9584" s="60"/>
      <c r="F9584" s="60"/>
      <c r="G9584" s="60"/>
      <c r="H9584" s="60"/>
      <c r="I9584" s="60"/>
      <c r="J9584" s="60"/>
      <c r="K9584" s="60"/>
      <c r="L9584" s="60"/>
      <c r="M9584" s="64"/>
      <c r="N9584" s="33"/>
    </row>
    <row r="9585" ht="24" customHeight="1" spans="2:14">
      <c r="B9585" s="33"/>
      <c r="C9585" s="60"/>
      <c r="D9585" s="60"/>
      <c r="E9585" s="60"/>
      <c r="F9585" s="60"/>
      <c r="G9585" s="60"/>
      <c r="H9585" s="60"/>
      <c r="I9585" s="60"/>
      <c r="J9585" s="60"/>
      <c r="K9585" s="60"/>
      <c r="L9585" s="60"/>
      <c r="M9585" s="64"/>
      <c r="N9585" s="33"/>
    </row>
    <row r="9586" ht="24" customHeight="1" spans="2:14">
      <c r="B9586" s="33"/>
      <c r="C9586" s="60"/>
      <c r="D9586" s="60"/>
      <c r="E9586" s="60"/>
      <c r="F9586" s="60"/>
      <c r="G9586" s="60"/>
      <c r="H9586" s="60"/>
      <c r="I9586" s="60"/>
      <c r="J9586" s="60"/>
      <c r="K9586" s="60"/>
      <c r="L9586" s="60"/>
      <c r="M9586" s="64"/>
      <c r="N9586" s="33"/>
    </row>
    <row r="9587" ht="24" customHeight="1" spans="2:14">
      <c r="B9587" s="33"/>
      <c r="C9587" s="60"/>
      <c r="D9587" s="60"/>
      <c r="E9587" s="60"/>
      <c r="F9587" s="60"/>
      <c r="G9587" s="60"/>
      <c r="H9587" s="60"/>
      <c r="I9587" s="60"/>
      <c r="J9587" s="60"/>
      <c r="K9587" s="60"/>
      <c r="L9587" s="60"/>
      <c r="M9587" s="64"/>
      <c r="N9587" s="33"/>
    </row>
    <row r="9588" ht="24" customHeight="1" spans="2:14">
      <c r="B9588" s="33"/>
      <c r="C9588" s="60"/>
      <c r="D9588" s="60"/>
      <c r="E9588" s="60"/>
      <c r="F9588" s="60"/>
      <c r="G9588" s="60"/>
      <c r="H9588" s="60"/>
      <c r="I9588" s="60"/>
      <c r="J9588" s="60"/>
      <c r="K9588" s="60"/>
      <c r="L9588" s="60"/>
      <c r="M9588" s="64"/>
      <c r="N9588" s="33"/>
    </row>
    <row r="9589" ht="24" customHeight="1" spans="2:14">
      <c r="B9589" s="33"/>
      <c r="C9589" s="60"/>
      <c r="D9589" s="60"/>
      <c r="E9589" s="60"/>
      <c r="F9589" s="60"/>
      <c r="G9589" s="60"/>
      <c r="H9589" s="60"/>
      <c r="I9589" s="60"/>
      <c r="J9589" s="60"/>
      <c r="K9589" s="60"/>
      <c r="L9589" s="60"/>
      <c r="M9589" s="64"/>
      <c r="N9589" s="33"/>
    </row>
    <row r="9590" ht="24" customHeight="1" spans="2:14">
      <c r="B9590" s="33"/>
      <c r="C9590" s="60"/>
      <c r="D9590" s="60"/>
      <c r="E9590" s="60"/>
      <c r="F9590" s="60"/>
      <c r="G9590" s="60"/>
      <c r="H9590" s="60"/>
      <c r="I9590" s="60"/>
      <c r="J9590" s="60"/>
      <c r="K9590" s="60"/>
      <c r="L9590" s="60"/>
      <c r="M9590" s="64"/>
      <c r="N9590" s="33"/>
    </row>
    <row r="9591" ht="24" customHeight="1" spans="2:14">
      <c r="B9591" s="33"/>
      <c r="C9591" s="60"/>
      <c r="D9591" s="60"/>
      <c r="E9591" s="60"/>
      <c r="F9591" s="60"/>
      <c r="G9591" s="60"/>
      <c r="H9591" s="60"/>
      <c r="I9591" s="60"/>
      <c r="J9591" s="60"/>
      <c r="K9591" s="60"/>
      <c r="L9591" s="60"/>
      <c r="M9591" s="64"/>
      <c r="N9591" s="33"/>
    </row>
    <row r="9592" ht="24" customHeight="1" spans="2:14">
      <c r="B9592" s="33"/>
      <c r="C9592" s="60"/>
      <c r="D9592" s="60"/>
      <c r="E9592" s="60"/>
      <c r="F9592" s="60"/>
      <c r="G9592" s="60"/>
      <c r="H9592" s="60"/>
      <c r="I9592" s="60"/>
      <c r="J9592" s="60"/>
      <c r="K9592" s="60"/>
      <c r="L9592" s="60"/>
      <c r="M9592" s="64"/>
      <c r="N9592" s="33"/>
    </row>
    <row r="9593" ht="24" customHeight="1" spans="2:14">
      <c r="B9593" s="33"/>
      <c r="C9593" s="60"/>
      <c r="D9593" s="60"/>
      <c r="E9593" s="60"/>
      <c r="F9593" s="60"/>
      <c r="G9593" s="60"/>
      <c r="H9593" s="60"/>
      <c r="I9593" s="60"/>
      <c r="J9593" s="60"/>
      <c r="K9593" s="60"/>
      <c r="L9593" s="60"/>
      <c r="M9593" s="64"/>
      <c r="N9593" s="33"/>
    </row>
    <row r="9594" ht="24" customHeight="1" spans="2:14">
      <c r="B9594" s="33"/>
      <c r="C9594" s="60"/>
      <c r="D9594" s="60"/>
      <c r="E9594" s="60"/>
      <c r="F9594" s="60"/>
      <c r="G9594" s="60"/>
      <c r="H9594" s="60"/>
      <c r="I9594" s="60"/>
      <c r="J9594" s="60"/>
      <c r="K9594" s="60"/>
      <c r="L9594" s="60"/>
      <c r="M9594" s="64"/>
      <c r="N9594" s="33"/>
    </row>
    <row r="9595" ht="24" customHeight="1" spans="2:14">
      <c r="B9595" s="33"/>
      <c r="C9595" s="60"/>
      <c r="D9595" s="60"/>
      <c r="E9595" s="60"/>
      <c r="F9595" s="60"/>
      <c r="G9595" s="60"/>
      <c r="H9595" s="60"/>
      <c r="I9595" s="60"/>
      <c r="J9595" s="60"/>
      <c r="K9595" s="60"/>
      <c r="L9595" s="60"/>
      <c r="M9595" s="64"/>
      <c r="N9595" s="33"/>
    </row>
    <row r="9596" ht="24" customHeight="1" spans="2:14">
      <c r="B9596" s="33"/>
      <c r="C9596" s="60"/>
      <c r="D9596" s="60"/>
      <c r="E9596" s="60"/>
      <c r="F9596" s="60"/>
      <c r="G9596" s="60"/>
      <c r="H9596" s="60"/>
      <c r="I9596" s="60"/>
      <c r="J9596" s="60"/>
      <c r="K9596" s="60"/>
      <c r="L9596" s="60"/>
      <c r="M9596" s="64"/>
      <c r="N9596" s="33"/>
    </row>
    <row r="9597" ht="24" customHeight="1" spans="2:14">
      <c r="B9597" s="33"/>
      <c r="C9597" s="60"/>
      <c r="D9597" s="60"/>
      <c r="E9597" s="60"/>
      <c r="F9597" s="60"/>
      <c r="G9597" s="60"/>
      <c r="H9597" s="60"/>
      <c r="I9597" s="60"/>
      <c r="J9597" s="60"/>
      <c r="K9597" s="60"/>
      <c r="L9597" s="60"/>
      <c r="M9597" s="64"/>
      <c r="N9597" s="33"/>
    </row>
    <row r="9598" ht="24" customHeight="1" spans="2:14">
      <c r="B9598" s="33"/>
      <c r="C9598" s="60"/>
      <c r="D9598" s="60"/>
      <c r="E9598" s="60"/>
      <c r="F9598" s="60"/>
      <c r="G9598" s="60"/>
      <c r="H9598" s="60"/>
      <c r="I9598" s="60"/>
      <c r="J9598" s="60"/>
      <c r="K9598" s="60"/>
      <c r="L9598" s="60"/>
      <c r="M9598" s="64"/>
      <c r="N9598" s="33"/>
    </row>
    <row r="9599" ht="24" customHeight="1" spans="2:14">
      <c r="B9599" s="33"/>
      <c r="C9599" s="60"/>
      <c r="D9599" s="60"/>
      <c r="E9599" s="60"/>
      <c r="F9599" s="60"/>
      <c r="G9599" s="60"/>
      <c r="H9599" s="60"/>
      <c r="I9599" s="60"/>
      <c r="J9599" s="60"/>
      <c r="K9599" s="60"/>
      <c r="L9599" s="60"/>
      <c r="M9599" s="64"/>
      <c r="N9599" s="33"/>
    </row>
    <row r="9600" ht="24" customHeight="1" spans="2:14">
      <c r="B9600" s="33"/>
      <c r="C9600" s="60"/>
      <c r="D9600" s="60"/>
      <c r="E9600" s="60"/>
      <c r="F9600" s="60"/>
      <c r="G9600" s="60"/>
      <c r="H9600" s="60"/>
      <c r="I9600" s="60"/>
      <c r="J9600" s="60"/>
      <c r="K9600" s="60"/>
      <c r="L9600" s="60"/>
      <c r="M9600" s="64"/>
      <c r="N9600" s="33"/>
    </row>
    <row r="9601" ht="24" customHeight="1" spans="2:14">
      <c r="B9601" s="33"/>
      <c r="C9601" s="60"/>
      <c r="D9601" s="60"/>
      <c r="E9601" s="60"/>
      <c r="F9601" s="60"/>
      <c r="G9601" s="60"/>
      <c r="H9601" s="60"/>
      <c r="I9601" s="60"/>
      <c r="J9601" s="60"/>
      <c r="K9601" s="60"/>
      <c r="L9601" s="60"/>
      <c r="M9601" s="64"/>
      <c r="N9601" s="33"/>
    </row>
    <row r="9602" ht="24" customHeight="1" spans="2:14">
      <c r="B9602" s="33"/>
      <c r="C9602" s="60"/>
      <c r="D9602" s="60"/>
      <c r="E9602" s="60"/>
      <c r="F9602" s="60"/>
      <c r="G9602" s="60"/>
      <c r="H9602" s="60"/>
      <c r="I9602" s="60"/>
      <c r="J9602" s="60"/>
      <c r="K9602" s="60"/>
      <c r="L9602" s="60"/>
      <c r="M9602" s="64"/>
      <c r="N9602" s="33"/>
    </row>
    <row r="9603" ht="24" customHeight="1" spans="2:14">
      <c r="B9603" s="33"/>
      <c r="C9603" s="60"/>
      <c r="D9603" s="60"/>
      <c r="E9603" s="60"/>
      <c r="F9603" s="60"/>
      <c r="G9603" s="60"/>
      <c r="H9603" s="60"/>
      <c r="I9603" s="60"/>
      <c r="J9603" s="60"/>
      <c r="K9603" s="60"/>
      <c r="L9603" s="60"/>
      <c r="M9603" s="64"/>
      <c r="N9603" s="33"/>
    </row>
    <row r="9604" ht="24" customHeight="1" spans="2:14">
      <c r="B9604" s="33"/>
      <c r="C9604" s="60"/>
      <c r="D9604" s="60"/>
      <c r="E9604" s="60"/>
      <c r="F9604" s="60"/>
      <c r="G9604" s="60"/>
      <c r="H9604" s="60"/>
      <c r="I9604" s="60"/>
      <c r="J9604" s="60"/>
      <c r="K9604" s="60"/>
      <c r="L9604" s="60"/>
      <c r="M9604" s="64"/>
      <c r="N9604" s="33"/>
    </row>
    <row r="9605" ht="24" customHeight="1" spans="2:14">
      <c r="B9605" s="33"/>
      <c r="C9605" s="60"/>
      <c r="D9605" s="60"/>
      <c r="E9605" s="60"/>
      <c r="F9605" s="60"/>
      <c r="G9605" s="60"/>
      <c r="H9605" s="60"/>
      <c r="I9605" s="60"/>
      <c r="J9605" s="60"/>
      <c r="K9605" s="60"/>
      <c r="L9605" s="60"/>
      <c r="M9605" s="64"/>
      <c r="N9605" s="33"/>
    </row>
    <row r="9606" ht="24" customHeight="1" spans="2:14">
      <c r="B9606" s="33"/>
      <c r="C9606" s="60"/>
      <c r="D9606" s="60"/>
      <c r="E9606" s="60"/>
      <c r="F9606" s="60"/>
      <c r="G9606" s="60"/>
      <c r="H9606" s="60"/>
      <c r="I9606" s="60"/>
      <c r="J9606" s="60"/>
      <c r="K9606" s="60"/>
      <c r="L9606" s="60"/>
      <c r="M9606" s="64"/>
      <c r="N9606" s="33"/>
    </row>
    <row r="9607" ht="24" customHeight="1" spans="2:14">
      <c r="B9607" s="33"/>
      <c r="C9607" s="60"/>
      <c r="D9607" s="60"/>
      <c r="E9607" s="60"/>
      <c r="F9607" s="60"/>
      <c r="G9607" s="60"/>
      <c r="H9607" s="60"/>
      <c r="I9607" s="60"/>
      <c r="J9607" s="60"/>
      <c r="K9607" s="60"/>
      <c r="L9607" s="60"/>
      <c r="M9607" s="64"/>
      <c r="N9607" s="33"/>
    </row>
    <row r="9608" ht="24" customHeight="1" spans="2:14">
      <c r="B9608" s="33"/>
      <c r="C9608" s="60"/>
      <c r="D9608" s="60"/>
      <c r="E9608" s="60"/>
      <c r="F9608" s="60"/>
      <c r="G9608" s="60"/>
      <c r="H9608" s="60"/>
      <c r="I9608" s="60"/>
      <c r="J9608" s="60"/>
      <c r="K9608" s="60"/>
      <c r="L9608" s="60"/>
      <c r="M9608" s="64"/>
      <c r="N9608" s="33"/>
    </row>
    <row r="9609" ht="24" customHeight="1" spans="2:14">
      <c r="B9609" s="33"/>
      <c r="C9609" s="60"/>
      <c r="D9609" s="60"/>
      <c r="E9609" s="60"/>
      <c r="F9609" s="60"/>
      <c r="G9609" s="60"/>
      <c r="H9609" s="60"/>
      <c r="I9609" s="60"/>
      <c r="J9609" s="60"/>
      <c r="K9609" s="60"/>
      <c r="L9609" s="60"/>
      <c r="M9609" s="64"/>
      <c r="N9609" s="33"/>
    </row>
    <row r="9610" ht="24" customHeight="1" spans="2:14">
      <c r="B9610" s="33"/>
      <c r="C9610" s="60"/>
      <c r="D9610" s="60"/>
      <c r="E9610" s="60"/>
      <c r="F9610" s="60"/>
      <c r="G9610" s="60"/>
      <c r="H9610" s="60"/>
      <c r="I9610" s="60"/>
      <c r="J9610" s="60"/>
      <c r="K9610" s="60"/>
      <c r="L9610" s="60"/>
      <c r="M9610" s="64"/>
      <c r="N9610" s="33"/>
    </row>
    <row r="9611" ht="24" customHeight="1" spans="2:14">
      <c r="B9611" s="33"/>
      <c r="C9611" s="60"/>
      <c r="D9611" s="60"/>
      <c r="E9611" s="60"/>
      <c r="F9611" s="60"/>
      <c r="G9611" s="60"/>
      <c r="H9611" s="60"/>
      <c r="I9611" s="60"/>
      <c r="J9611" s="60"/>
      <c r="K9611" s="60"/>
      <c r="L9611" s="60"/>
      <c r="M9611" s="64"/>
      <c r="N9611" s="33"/>
    </row>
    <row r="9612" ht="24" customHeight="1" spans="2:14">
      <c r="B9612" s="33"/>
      <c r="C9612" s="60"/>
      <c r="D9612" s="60"/>
      <c r="E9612" s="60"/>
      <c r="F9612" s="60"/>
      <c r="G9612" s="60"/>
      <c r="H9612" s="60"/>
      <c r="I9612" s="60"/>
      <c r="J9612" s="60"/>
      <c r="K9612" s="60"/>
      <c r="L9612" s="60"/>
      <c r="M9612" s="64"/>
      <c r="N9612" s="33"/>
    </row>
    <row r="9613" ht="24" customHeight="1" spans="2:14">
      <c r="B9613" s="33"/>
      <c r="C9613" s="60"/>
      <c r="D9613" s="60"/>
      <c r="E9613" s="60"/>
      <c r="F9613" s="60"/>
      <c r="G9613" s="60"/>
      <c r="H9613" s="60"/>
      <c r="I9613" s="60"/>
      <c r="J9613" s="60"/>
      <c r="K9613" s="60"/>
      <c r="L9613" s="60"/>
      <c r="M9613" s="64"/>
      <c r="N9613" s="33"/>
    </row>
    <row r="9614" ht="24" customHeight="1" spans="2:14">
      <c r="B9614" s="33"/>
      <c r="C9614" s="60"/>
      <c r="D9614" s="60"/>
      <c r="E9614" s="60"/>
      <c r="F9614" s="60"/>
      <c r="G9614" s="60"/>
      <c r="H9614" s="60"/>
      <c r="I9614" s="60"/>
      <c r="J9614" s="60"/>
      <c r="K9614" s="60"/>
      <c r="L9614" s="60"/>
      <c r="M9614" s="64"/>
      <c r="N9614" s="33"/>
    </row>
    <row r="9615" ht="24" customHeight="1" spans="2:14">
      <c r="B9615" s="33"/>
      <c r="C9615" s="60"/>
      <c r="D9615" s="60"/>
      <c r="E9615" s="60"/>
      <c r="F9615" s="60"/>
      <c r="G9615" s="60"/>
      <c r="H9615" s="60"/>
      <c r="I9615" s="60"/>
      <c r="J9615" s="60"/>
      <c r="K9615" s="60"/>
      <c r="L9615" s="60"/>
      <c r="M9615" s="64"/>
      <c r="N9615" s="33"/>
    </row>
    <row r="9616" ht="24" customHeight="1" spans="2:14">
      <c r="B9616" s="33"/>
      <c r="C9616" s="60"/>
      <c r="D9616" s="60"/>
      <c r="E9616" s="60"/>
      <c r="F9616" s="60"/>
      <c r="G9616" s="60"/>
      <c r="H9616" s="60"/>
      <c r="I9616" s="60"/>
      <c r="J9616" s="60"/>
      <c r="K9616" s="60"/>
      <c r="L9616" s="60"/>
      <c r="M9616" s="64"/>
      <c r="N9616" s="33"/>
    </row>
    <row r="9617" ht="24" customHeight="1" spans="2:14">
      <c r="B9617" s="33"/>
      <c r="C9617" s="60"/>
      <c r="D9617" s="60"/>
      <c r="E9617" s="60"/>
      <c r="F9617" s="60"/>
      <c r="G9617" s="60"/>
      <c r="H9617" s="60"/>
      <c r="I9617" s="60"/>
      <c r="J9617" s="60"/>
      <c r="K9617" s="60"/>
      <c r="L9617" s="60"/>
      <c r="M9617" s="64"/>
      <c r="N9617" s="33"/>
    </row>
    <row r="9618" ht="24" customHeight="1" spans="2:14">
      <c r="B9618" s="33"/>
      <c r="C9618" s="60"/>
      <c r="D9618" s="60"/>
      <c r="E9618" s="60"/>
      <c r="F9618" s="60"/>
      <c r="G9618" s="60"/>
      <c r="H9618" s="60"/>
      <c r="I9618" s="60"/>
      <c r="J9618" s="60"/>
      <c r="K9618" s="60"/>
      <c r="L9618" s="60"/>
      <c r="M9618" s="64"/>
      <c r="N9618" s="33"/>
    </row>
    <row r="9619" ht="24" customHeight="1" spans="2:14">
      <c r="B9619" s="33"/>
      <c r="C9619" s="60"/>
      <c r="D9619" s="60"/>
      <c r="E9619" s="60"/>
      <c r="F9619" s="60"/>
      <c r="G9619" s="60"/>
      <c r="H9619" s="60"/>
      <c r="I9619" s="60"/>
      <c r="J9619" s="60"/>
      <c r="K9619" s="60"/>
      <c r="L9619" s="60"/>
      <c r="M9619" s="64"/>
      <c r="N9619" s="33"/>
    </row>
    <row r="9620" ht="24" customHeight="1" spans="2:14">
      <c r="B9620" s="33"/>
      <c r="C9620" s="60"/>
      <c r="D9620" s="60"/>
      <c r="E9620" s="60"/>
      <c r="F9620" s="60"/>
      <c r="G9620" s="60"/>
      <c r="H9620" s="60"/>
      <c r="I9620" s="60"/>
      <c r="J9620" s="60"/>
      <c r="K9620" s="60"/>
      <c r="L9620" s="60"/>
      <c r="M9620" s="64"/>
      <c r="N9620" s="33"/>
    </row>
    <row r="9621" ht="24" customHeight="1" spans="2:14">
      <c r="B9621" s="33"/>
      <c r="C9621" s="60"/>
      <c r="D9621" s="60"/>
      <c r="E9621" s="60"/>
      <c r="F9621" s="60"/>
      <c r="G9621" s="60"/>
      <c r="H9621" s="60"/>
      <c r="I9621" s="60"/>
      <c r="J9621" s="60"/>
      <c r="K9621" s="60"/>
      <c r="L9621" s="60"/>
      <c r="M9621" s="64"/>
      <c r="N9621" s="33"/>
    </row>
    <row r="9622" ht="24" customHeight="1" spans="2:14">
      <c r="B9622" s="33"/>
      <c r="C9622" s="60"/>
      <c r="D9622" s="60"/>
      <c r="E9622" s="60"/>
      <c r="F9622" s="60"/>
      <c r="G9622" s="60"/>
      <c r="H9622" s="60"/>
      <c r="I9622" s="60"/>
      <c r="J9622" s="60"/>
      <c r="K9622" s="60"/>
      <c r="L9622" s="60"/>
      <c r="M9622" s="64"/>
      <c r="N9622" s="33"/>
    </row>
    <row r="9623" ht="24" customHeight="1" spans="2:14">
      <c r="B9623" s="33"/>
      <c r="C9623" s="60"/>
      <c r="D9623" s="60"/>
      <c r="E9623" s="60"/>
      <c r="F9623" s="60"/>
      <c r="G9623" s="60"/>
      <c r="H9623" s="60"/>
      <c r="I9623" s="60"/>
      <c r="J9623" s="60"/>
      <c r="K9623" s="60"/>
      <c r="L9623" s="60"/>
      <c r="M9623" s="64"/>
      <c r="N9623" s="33"/>
    </row>
    <row r="9624" ht="24" customHeight="1" spans="2:14">
      <c r="B9624" s="33"/>
      <c r="C9624" s="60"/>
      <c r="D9624" s="60"/>
      <c r="E9624" s="60"/>
      <c r="F9624" s="60"/>
      <c r="G9624" s="60"/>
      <c r="H9624" s="60"/>
      <c r="I9624" s="60"/>
      <c r="J9624" s="60"/>
      <c r="K9624" s="60"/>
      <c r="L9624" s="60"/>
      <c r="M9624" s="64"/>
      <c r="N9624" s="33"/>
    </row>
    <row r="9625" ht="24" customHeight="1" spans="2:14">
      <c r="B9625" s="33"/>
      <c r="C9625" s="60"/>
      <c r="D9625" s="60"/>
      <c r="E9625" s="60"/>
      <c r="F9625" s="60"/>
      <c r="G9625" s="60"/>
      <c r="H9625" s="60"/>
      <c r="I9625" s="60"/>
      <c r="J9625" s="60"/>
      <c r="K9625" s="60"/>
      <c r="L9625" s="60"/>
      <c r="M9625" s="64"/>
      <c r="N9625" s="33"/>
    </row>
    <row r="9626" ht="24" customHeight="1" spans="2:14">
      <c r="B9626" s="33"/>
      <c r="C9626" s="60"/>
      <c r="D9626" s="60"/>
      <c r="E9626" s="60"/>
      <c r="F9626" s="60"/>
      <c r="G9626" s="60"/>
      <c r="H9626" s="60"/>
      <c r="I9626" s="60"/>
      <c r="J9626" s="60"/>
      <c r="K9626" s="60"/>
      <c r="L9626" s="60"/>
      <c r="M9626" s="64"/>
      <c r="N9626" s="33"/>
    </row>
    <row r="9627" ht="24" customHeight="1" spans="2:14">
      <c r="B9627" s="33"/>
      <c r="C9627" s="60"/>
      <c r="D9627" s="60"/>
      <c r="E9627" s="60"/>
      <c r="F9627" s="60"/>
      <c r="G9627" s="60"/>
      <c r="H9627" s="60"/>
      <c r="I9627" s="60"/>
      <c r="J9627" s="60"/>
      <c r="K9627" s="60"/>
      <c r="L9627" s="60"/>
      <c r="M9627" s="64"/>
      <c r="N9627" s="33"/>
    </row>
    <row r="9628" ht="24" customHeight="1" spans="2:14">
      <c r="B9628" s="33"/>
      <c r="C9628" s="60"/>
      <c r="D9628" s="60"/>
      <c r="E9628" s="60"/>
      <c r="F9628" s="60"/>
      <c r="G9628" s="60"/>
      <c r="H9628" s="60"/>
      <c r="I9628" s="60"/>
      <c r="J9628" s="60"/>
      <c r="K9628" s="60"/>
      <c r="L9628" s="60"/>
      <c r="M9628" s="64"/>
      <c r="N9628" s="33"/>
    </row>
    <row r="9629" ht="24" customHeight="1" spans="2:14">
      <c r="B9629" s="33"/>
      <c r="C9629" s="60"/>
      <c r="D9629" s="60"/>
      <c r="E9629" s="60"/>
      <c r="F9629" s="60"/>
      <c r="G9629" s="60"/>
      <c r="H9629" s="60"/>
      <c r="I9629" s="60"/>
      <c r="J9629" s="60"/>
      <c r="K9629" s="60"/>
      <c r="L9629" s="60"/>
      <c r="M9629" s="64"/>
      <c r="N9629" s="33"/>
    </row>
    <row r="9630" ht="24" customHeight="1" spans="2:14">
      <c r="B9630" s="33"/>
      <c r="C9630" s="60"/>
      <c r="D9630" s="60"/>
      <c r="E9630" s="60"/>
      <c r="F9630" s="60"/>
      <c r="G9630" s="60"/>
      <c r="H9630" s="60"/>
      <c r="I9630" s="60"/>
      <c r="J9630" s="60"/>
      <c r="K9630" s="60"/>
      <c r="L9630" s="60"/>
      <c r="M9630" s="64"/>
      <c r="N9630" s="33"/>
    </row>
    <row r="9631" ht="24" customHeight="1" spans="2:14">
      <c r="B9631" s="33"/>
      <c r="C9631" s="60"/>
      <c r="D9631" s="60"/>
      <c r="E9631" s="60"/>
      <c r="F9631" s="60"/>
      <c r="G9631" s="60"/>
      <c r="H9631" s="60"/>
      <c r="I9631" s="60"/>
      <c r="J9631" s="60"/>
      <c r="K9631" s="60"/>
      <c r="L9631" s="60"/>
      <c r="M9631" s="64"/>
      <c r="N9631" s="33"/>
    </row>
    <row r="9632" ht="24" customHeight="1" spans="2:14">
      <c r="B9632" s="33"/>
      <c r="C9632" s="60"/>
      <c r="D9632" s="60"/>
      <c r="E9632" s="60"/>
      <c r="F9632" s="60"/>
      <c r="G9632" s="60"/>
      <c r="H9632" s="60"/>
      <c r="I9632" s="60"/>
      <c r="J9632" s="60"/>
      <c r="K9632" s="60"/>
      <c r="L9632" s="60"/>
      <c r="M9632" s="64"/>
      <c r="N9632" s="33"/>
    </row>
    <row r="9633" ht="24" customHeight="1" spans="2:14">
      <c r="B9633" s="33"/>
      <c r="C9633" s="60"/>
      <c r="D9633" s="60"/>
      <c r="E9633" s="60"/>
      <c r="F9633" s="60"/>
      <c r="G9633" s="60"/>
      <c r="H9633" s="60"/>
      <c r="I9633" s="60"/>
      <c r="J9633" s="60"/>
      <c r="K9633" s="60"/>
      <c r="L9633" s="60"/>
      <c r="M9633" s="64"/>
      <c r="N9633" s="33"/>
    </row>
    <row r="9634" ht="24" customHeight="1" spans="2:14">
      <c r="B9634" s="33"/>
      <c r="C9634" s="60"/>
      <c r="D9634" s="60"/>
      <c r="E9634" s="60"/>
      <c r="F9634" s="60"/>
      <c r="G9634" s="60"/>
      <c r="H9634" s="60"/>
      <c r="I9634" s="60"/>
      <c r="J9634" s="60"/>
      <c r="K9634" s="60"/>
      <c r="L9634" s="60"/>
      <c r="M9634" s="64"/>
      <c r="N9634" s="33"/>
    </row>
    <row r="9635" ht="24" customHeight="1" spans="2:14">
      <c r="B9635" s="33"/>
      <c r="C9635" s="60"/>
      <c r="D9635" s="60"/>
      <c r="E9635" s="60"/>
      <c r="F9635" s="60"/>
      <c r="G9635" s="60"/>
      <c r="H9635" s="60"/>
      <c r="I9635" s="60"/>
      <c r="J9635" s="60"/>
      <c r="K9635" s="60"/>
      <c r="L9635" s="60"/>
      <c r="M9635" s="64"/>
      <c r="N9635" s="33"/>
    </row>
    <row r="9636" ht="24" customHeight="1" spans="2:14">
      <c r="B9636" s="33"/>
      <c r="C9636" s="60"/>
      <c r="D9636" s="60"/>
      <c r="E9636" s="60"/>
      <c r="F9636" s="60"/>
      <c r="G9636" s="60"/>
      <c r="H9636" s="60"/>
      <c r="I9636" s="60"/>
      <c r="J9636" s="60"/>
      <c r="K9636" s="60"/>
      <c r="L9636" s="60"/>
      <c r="M9636" s="64"/>
      <c r="N9636" s="33"/>
    </row>
    <row r="9637" ht="24" customHeight="1" spans="2:14">
      <c r="B9637" s="33"/>
      <c r="C9637" s="60"/>
      <c r="D9637" s="60"/>
      <c r="E9637" s="60"/>
      <c r="F9637" s="60"/>
      <c r="G9637" s="60"/>
      <c r="H9637" s="60"/>
      <c r="I9637" s="60"/>
      <c r="J9637" s="60"/>
      <c r="K9637" s="60"/>
      <c r="L9637" s="60"/>
      <c r="M9637" s="64"/>
      <c r="N9637" s="33"/>
    </row>
    <row r="9638" ht="24" customHeight="1" spans="2:14">
      <c r="B9638" s="33"/>
      <c r="C9638" s="60"/>
      <c r="D9638" s="60"/>
      <c r="E9638" s="60"/>
      <c r="F9638" s="60"/>
      <c r="G9638" s="60"/>
      <c r="H9638" s="60"/>
      <c r="I9638" s="60"/>
      <c r="J9638" s="60"/>
      <c r="K9638" s="60"/>
      <c r="L9638" s="60"/>
      <c r="M9638" s="64"/>
      <c r="N9638" s="33"/>
    </row>
    <row r="9639" ht="24" customHeight="1" spans="2:14">
      <c r="B9639" s="33"/>
      <c r="C9639" s="60"/>
      <c r="D9639" s="60"/>
      <c r="E9639" s="60"/>
      <c r="F9639" s="60"/>
      <c r="G9639" s="60"/>
      <c r="H9639" s="60"/>
      <c r="I9639" s="60"/>
      <c r="J9639" s="60"/>
      <c r="K9639" s="60"/>
      <c r="L9639" s="60"/>
      <c r="M9639" s="64"/>
      <c r="N9639" s="33"/>
    </row>
    <row r="9640" ht="24" customHeight="1" spans="2:14">
      <c r="B9640" s="33"/>
      <c r="C9640" s="60"/>
      <c r="D9640" s="60"/>
      <c r="E9640" s="60"/>
      <c r="F9640" s="60"/>
      <c r="G9640" s="60"/>
      <c r="H9640" s="60"/>
      <c r="I9640" s="60"/>
      <c r="J9640" s="60"/>
      <c r="K9640" s="60"/>
      <c r="L9640" s="60"/>
      <c r="M9640" s="64"/>
      <c r="N9640" s="33"/>
    </row>
    <row r="9641" ht="24" customHeight="1" spans="2:14">
      <c r="B9641" s="33"/>
      <c r="C9641" s="60"/>
      <c r="D9641" s="60"/>
      <c r="E9641" s="60"/>
      <c r="F9641" s="60"/>
      <c r="G9641" s="60"/>
      <c r="H9641" s="60"/>
      <c r="I9641" s="60"/>
      <c r="J9641" s="60"/>
      <c r="K9641" s="60"/>
      <c r="L9641" s="60"/>
      <c r="M9641" s="64"/>
      <c r="N9641" s="33"/>
    </row>
    <row r="9642" ht="24" customHeight="1" spans="2:14">
      <c r="B9642" s="33"/>
      <c r="C9642" s="60"/>
      <c r="D9642" s="60"/>
      <c r="E9642" s="60"/>
      <c r="F9642" s="60"/>
      <c r="G9642" s="60"/>
      <c r="H9642" s="60"/>
      <c r="I9642" s="60"/>
      <c r="J9642" s="60"/>
      <c r="K9642" s="60"/>
      <c r="L9642" s="60"/>
      <c r="M9642" s="64"/>
      <c r="N9642" s="33"/>
    </row>
    <row r="9643" ht="24" customHeight="1" spans="2:14">
      <c r="B9643" s="33"/>
      <c r="C9643" s="60"/>
      <c r="D9643" s="60"/>
      <c r="E9643" s="60"/>
      <c r="F9643" s="60"/>
      <c r="G9643" s="60"/>
      <c r="H9643" s="60"/>
      <c r="I9643" s="60"/>
      <c r="J9643" s="60"/>
      <c r="K9643" s="60"/>
      <c r="L9643" s="60"/>
      <c r="M9643" s="64"/>
      <c r="N9643" s="33"/>
    </row>
    <row r="9644" ht="24" customHeight="1" spans="2:14">
      <c r="B9644" s="33"/>
      <c r="C9644" s="60"/>
      <c r="D9644" s="60"/>
      <c r="E9644" s="60"/>
      <c r="F9644" s="60"/>
      <c r="G9644" s="60"/>
      <c r="H9644" s="60"/>
      <c r="I9644" s="60"/>
      <c r="J9644" s="60"/>
      <c r="K9644" s="60"/>
      <c r="L9644" s="60"/>
      <c r="M9644" s="64"/>
      <c r="N9644" s="33"/>
    </row>
    <row r="9645" ht="24" customHeight="1" spans="2:14">
      <c r="B9645" s="33"/>
      <c r="C9645" s="60"/>
      <c r="D9645" s="60"/>
      <c r="E9645" s="60"/>
      <c r="F9645" s="60"/>
      <c r="G9645" s="60"/>
      <c r="H9645" s="60"/>
      <c r="I9645" s="60"/>
      <c r="J9645" s="60"/>
      <c r="K9645" s="60"/>
      <c r="L9645" s="60"/>
      <c r="M9645" s="64"/>
      <c r="N9645" s="33"/>
    </row>
    <row r="9646" ht="24" customHeight="1" spans="2:14">
      <c r="B9646" s="33"/>
      <c r="C9646" s="60"/>
      <c r="D9646" s="60"/>
      <c r="E9646" s="60"/>
      <c r="F9646" s="60"/>
      <c r="G9646" s="60"/>
      <c r="H9646" s="60"/>
      <c r="I9646" s="60"/>
      <c r="J9646" s="60"/>
      <c r="K9646" s="60"/>
      <c r="L9646" s="60"/>
      <c r="M9646" s="64"/>
      <c r="N9646" s="33"/>
    </row>
    <row r="9647" ht="24" customHeight="1" spans="2:14">
      <c r="B9647" s="33"/>
      <c r="C9647" s="60"/>
      <c r="D9647" s="60"/>
      <c r="E9647" s="60"/>
      <c r="F9647" s="60"/>
      <c r="G9647" s="60"/>
      <c r="H9647" s="60"/>
      <c r="I9647" s="60"/>
      <c r="J9647" s="60"/>
      <c r="K9647" s="60"/>
      <c r="L9647" s="60"/>
      <c r="M9647" s="64"/>
      <c r="N9647" s="33"/>
    </row>
    <row r="9648" ht="24" customHeight="1" spans="2:14">
      <c r="B9648" s="33"/>
      <c r="C9648" s="60"/>
      <c r="D9648" s="60"/>
      <c r="E9648" s="60"/>
      <c r="F9648" s="60"/>
      <c r="G9648" s="60"/>
      <c r="H9648" s="60"/>
      <c r="I9648" s="60"/>
      <c r="J9648" s="60"/>
      <c r="K9648" s="60"/>
      <c r="L9648" s="60"/>
      <c r="M9648" s="64"/>
      <c r="N9648" s="33"/>
    </row>
    <row r="9649" ht="24" customHeight="1" spans="2:14">
      <c r="B9649" s="33"/>
      <c r="C9649" s="60"/>
      <c r="D9649" s="60"/>
      <c r="E9649" s="60"/>
      <c r="F9649" s="60"/>
      <c r="G9649" s="60"/>
      <c r="H9649" s="60"/>
      <c r="I9649" s="60"/>
      <c r="J9649" s="60"/>
      <c r="K9649" s="60"/>
      <c r="L9649" s="60"/>
      <c r="M9649" s="64"/>
      <c r="N9649" s="33"/>
    </row>
    <row r="9650" ht="24" customHeight="1" spans="2:14">
      <c r="B9650" s="33"/>
      <c r="C9650" s="60"/>
      <c r="D9650" s="60"/>
      <c r="E9650" s="60"/>
      <c r="F9650" s="60"/>
      <c r="G9650" s="60"/>
      <c r="H9650" s="60"/>
      <c r="I9650" s="60"/>
      <c r="J9650" s="60"/>
      <c r="K9650" s="60"/>
      <c r="L9650" s="60"/>
      <c r="M9650" s="64"/>
      <c r="N9650" s="33"/>
    </row>
    <row r="9651" ht="24" customHeight="1" spans="2:14">
      <c r="B9651" s="33"/>
      <c r="C9651" s="60"/>
      <c r="D9651" s="60"/>
      <c r="E9651" s="60"/>
      <c r="F9651" s="60"/>
      <c r="G9651" s="60"/>
      <c r="H9651" s="60"/>
      <c r="I9651" s="60"/>
      <c r="J9651" s="60"/>
      <c r="K9651" s="60"/>
      <c r="L9651" s="60"/>
      <c r="M9651" s="64"/>
      <c r="N9651" s="33"/>
    </row>
    <row r="9652" ht="24" customHeight="1" spans="2:14">
      <c r="B9652" s="33"/>
      <c r="C9652" s="60"/>
      <c r="D9652" s="60"/>
      <c r="E9652" s="60"/>
      <c r="F9652" s="60"/>
      <c r="G9652" s="60"/>
      <c r="H9652" s="60"/>
      <c r="I9652" s="60"/>
      <c r="J9652" s="60"/>
      <c r="K9652" s="60"/>
      <c r="L9652" s="60"/>
      <c r="M9652" s="64"/>
      <c r="N9652" s="33"/>
    </row>
    <row r="9653" ht="24" customHeight="1" spans="2:14">
      <c r="B9653" s="33"/>
      <c r="C9653" s="60"/>
      <c r="D9653" s="60"/>
      <c r="E9653" s="60"/>
      <c r="F9653" s="60"/>
      <c r="G9653" s="60"/>
      <c r="H9653" s="60"/>
      <c r="I9653" s="60"/>
      <c r="J9653" s="60"/>
      <c r="K9653" s="60"/>
      <c r="L9653" s="60"/>
      <c r="M9653" s="64"/>
      <c r="N9653" s="33"/>
    </row>
    <row r="9654" ht="24" customHeight="1" spans="2:14">
      <c r="B9654" s="33"/>
      <c r="C9654" s="60"/>
      <c r="D9654" s="60"/>
      <c r="E9654" s="60"/>
      <c r="F9654" s="60"/>
      <c r="G9654" s="60"/>
      <c r="H9654" s="60"/>
      <c r="I9654" s="60"/>
      <c r="J9654" s="60"/>
      <c r="K9654" s="60"/>
      <c r="L9654" s="60"/>
      <c r="M9654" s="64"/>
      <c r="N9654" s="33"/>
    </row>
    <row r="9655" ht="24" customHeight="1" spans="2:14">
      <c r="B9655" s="33"/>
      <c r="C9655" s="60"/>
      <c r="D9655" s="60"/>
      <c r="E9655" s="60"/>
      <c r="F9655" s="60"/>
      <c r="G9655" s="60"/>
      <c r="H9655" s="60"/>
      <c r="I9655" s="60"/>
      <c r="J9655" s="60"/>
      <c r="K9655" s="60"/>
      <c r="L9655" s="60"/>
      <c r="M9655" s="64"/>
      <c r="N9655" s="33"/>
    </row>
    <row r="9656" ht="24" customHeight="1" spans="2:14">
      <c r="B9656" s="33"/>
      <c r="C9656" s="60"/>
      <c r="D9656" s="60"/>
      <c r="E9656" s="60"/>
      <c r="F9656" s="60"/>
      <c r="G9656" s="60"/>
      <c r="H9656" s="60"/>
      <c r="I9656" s="60"/>
      <c r="J9656" s="60"/>
      <c r="K9656" s="60"/>
      <c r="L9656" s="60"/>
      <c r="M9656" s="64"/>
      <c r="N9656" s="33"/>
    </row>
    <row r="9657" ht="24" customHeight="1" spans="2:14">
      <c r="B9657" s="33"/>
      <c r="C9657" s="60"/>
      <c r="D9657" s="60"/>
      <c r="E9657" s="60"/>
      <c r="F9657" s="60"/>
      <c r="G9657" s="60"/>
      <c r="H9657" s="60"/>
      <c r="I9657" s="60"/>
      <c r="J9657" s="60"/>
      <c r="K9657" s="60"/>
      <c r="L9657" s="60"/>
      <c r="M9657" s="64"/>
      <c r="N9657" s="33"/>
    </row>
    <row r="9658" ht="24" customHeight="1" spans="2:14">
      <c r="B9658" s="33"/>
      <c r="C9658" s="60"/>
      <c r="D9658" s="60"/>
      <c r="E9658" s="60"/>
      <c r="F9658" s="60"/>
      <c r="G9658" s="60"/>
      <c r="H9658" s="60"/>
      <c r="I9658" s="60"/>
      <c r="J9658" s="60"/>
      <c r="K9658" s="60"/>
      <c r="L9658" s="60"/>
      <c r="M9658" s="64"/>
      <c r="N9658" s="33"/>
    </row>
    <row r="9659" ht="24" customHeight="1" spans="2:14">
      <c r="B9659" s="33"/>
      <c r="C9659" s="60"/>
      <c r="D9659" s="60"/>
      <c r="E9659" s="60"/>
      <c r="F9659" s="60"/>
      <c r="G9659" s="60"/>
      <c r="H9659" s="60"/>
      <c r="I9659" s="60"/>
      <c r="J9659" s="60"/>
      <c r="K9659" s="60"/>
      <c r="L9659" s="60"/>
      <c r="M9659" s="64"/>
      <c r="N9659" s="33"/>
    </row>
    <row r="9660" ht="24" customHeight="1" spans="2:14">
      <c r="B9660" s="33"/>
      <c r="C9660" s="60"/>
      <c r="D9660" s="60"/>
      <c r="E9660" s="60"/>
      <c r="F9660" s="60"/>
      <c r="G9660" s="60"/>
      <c r="H9660" s="60"/>
      <c r="I9660" s="60"/>
      <c r="J9660" s="60"/>
      <c r="K9660" s="60"/>
      <c r="L9660" s="60"/>
      <c r="M9660" s="64"/>
      <c r="N9660" s="33"/>
    </row>
    <row r="9661" ht="24" customHeight="1" spans="2:14">
      <c r="B9661" s="33"/>
      <c r="C9661" s="60"/>
      <c r="D9661" s="60"/>
      <c r="E9661" s="60"/>
      <c r="F9661" s="60"/>
      <c r="G9661" s="60"/>
      <c r="H9661" s="60"/>
      <c r="I9661" s="60"/>
      <c r="J9661" s="60"/>
      <c r="K9661" s="60"/>
      <c r="L9661" s="60"/>
      <c r="M9661" s="64"/>
      <c r="N9661" s="33"/>
    </row>
    <row r="9662" ht="24" customHeight="1" spans="2:14">
      <c r="B9662" s="33"/>
      <c r="C9662" s="60"/>
      <c r="D9662" s="60"/>
      <c r="E9662" s="60"/>
      <c r="F9662" s="60"/>
      <c r="G9662" s="60"/>
      <c r="H9662" s="60"/>
      <c r="I9662" s="60"/>
      <c r="J9662" s="60"/>
      <c r="K9662" s="60"/>
      <c r="L9662" s="60"/>
      <c r="M9662" s="64"/>
      <c r="N9662" s="33"/>
    </row>
    <row r="9663" ht="24" customHeight="1" spans="2:14">
      <c r="B9663" s="33"/>
      <c r="C9663" s="60"/>
      <c r="D9663" s="60"/>
      <c r="E9663" s="60"/>
      <c r="F9663" s="60"/>
      <c r="G9663" s="60"/>
      <c r="H9663" s="60"/>
      <c r="I9663" s="60"/>
      <c r="J9663" s="60"/>
      <c r="K9663" s="60"/>
      <c r="L9663" s="60"/>
      <c r="M9663" s="64"/>
      <c r="N9663" s="33"/>
    </row>
    <row r="9664" ht="24" customHeight="1" spans="2:14">
      <c r="B9664" s="33"/>
      <c r="C9664" s="60"/>
      <c r="D9664" s="60"/>
      <c r="E9664" s="60"/>
      <c r="F9664" s="60"/>
      <c r="G9664" s="60"/>
      <c r="H9664" s="60"/>
      <c r="I9664" s="60"/>
      <c r="J9664" s="60"/>
      <c r="K9664" s="60"/>
      <c r="L9664" s="60"/>
      <c r="M9664" s="64"/>
      <c r="N9664" s="33"/>
    </row>
    <row r="9665" ht="24" customHeight="1" spans="2:14">
      <c r="B9665" s="33"/>
      <c r="C9665" s="60"/>
      <c r="D9665" s="60"/>
      <c r="E9665" s="60"/>
      <c r="F9665" s="60"/>
      <c r="G9665" s="60"/>
      <c r="H9665" s="60"/>
      <c r="I9665" s="60"/>
      <c r="J9665" s="60"/>
      <c r="K9665" s="60"/>
      <c r="L9665" s="60"/>
      <c r="M9665" s="64"/>
      <c r="N9665" s="33"/>
    </row>
    <row r="9666" ht="24" customHeight="1" spans="2:14">
      <c r="B9666" s="33"/>
      <c r="C9666" s="60"/>
      <c r="D9666" s="60"/>
      <c r="E9666" s="60"/>
      <c r="F9666" s="60"/>
      <c r="G9666" s="60"/>
      <c r="H9666" s="60"/>
      <c r="I9666" s="60"/>
      <c r="J9666" s="60"/>
      <c r="K9666" s="60"/>
      <c r="L9666" s="60"/>
      <c r="M9666" s="64"/>
      <c r="N9666" s="33"/>
    </row>
    <row r="9667" ht="24" customHeight="1" spans="2:14">
      <c r="B9667" s="33"/>
      <c r="C9667" s="60"/>
      <c r="D9667" s="60"/>
      <c r="E9667" s="60"/>
      <c r="F9667" s="60"/>
      <c r="G9667" s="60"/>
      <c r="H9667" s="60"/>
      <c r="I9667" s="60"/>
      <c r="J9667" s="60"/>
      <c r="K9667" s="60"/>
      <c r="L9667" s="60"/>
      <c r="M9667" s="64"/>
      <c r="N9667" s="33"/>
    </row>
    <row r="9668" ht="24" customHeight="1" spans="2:14">
      <c r="B9668" s="33"/>
      <c r="C9668" s="60"/>
      <c r="D9668" s="60"/>
      <c r="E9668" s="60"/>
      <c r="F9668" s="60"/>
      <c r="G9668" s="60"/>
      <c r="H9668" s="60"/>
      <c r="I9668" s="60"/>
      <c r="J9668" s="60"/>
      <c r="K9668" s="60"/>
      <c r="L9668" s="60"/>
      <c r="M9668" s="64"/>
      <c r="N9668" s="33"/>
    </row>
    <row r="9669" ht="24" customHeight="1" spans="2:14">
      <c r="B9669" s="33"/>
      <c r="C9669" s="60"/>
      <c r="D9669" s="60"/>
      <c r="E9669" s="60"/>
      <c r="F9669" s="60"/>
      <c r="G9669" s="60"/>
      <c r="H9669" s="60"/>
      <c r="I9669" s="60"/>
      <c r="J9669" s="60"/>
      <c r="K9669" s="60"/>
      <c r="L9669" s="60"/>
      <c r="M9669" s="64"/>
      <c r="N9669" s="33"/>
    </row>
    <row r="9670" ht="24" customHeight="1" spans="2:14">
      <c r="B9670" s="33"/>
      <c r="C9670" s="60"/>
      <c r="D9670" s="60"/>
      <c r="E9670" s="60"/>
      <c r="F9670" s="60"/>
      <c r="G9670" s="60"/>
      <c r="H9670" s="60"/>
      <c r="I9670" s="60"/>
      <c r="J9670" s="60"/>
      <c r="K9670" s="60"/>
      <c r="L9670" s="60"/>
      <c r="M9670" s="64"/>
      <c r="N9670" s="33"/>
    </row>
    <row r="9671" ht="24" customHeight="1" spans="2:14">
      <c r="B9671" s="33"/>
      <c r="C9671" s="60"/>
      <c r="D9671" s="60"/>
      <c r="E9671" s="60"/>
      <c r="F9671" s="60"/>
      <c r="G9671" s="60"/>
      <c r="H9671" s="60"/>
      <c r="I9671" s="60"/>
      <c r="J9671" s="60"/>
      <c r="K9671" s="60"/>
      <c r="L9671" s="60"/>
      <c r="M9671" s="64"/>
      <c r="N9671" s="33"/>
    </row>
    <row r="9672" ht="24" customHeight="1" spans="2:14">
      <c r="B9672" s="33"/>
      <c r="C9672" s="60"/>
      <c r="D9672" s="60"/>
      <c r="E9672" s="60"/>
      <c r="F9672" s="60"/>
      <c r="G9672" s="60"/>
      <c r="H9672" s="60"/>
      <c r="I9672" s="60"/>
      <c r="J9672" s="60"/>
      <c r="K9672" s="60"/>
      <c r="L9672" s="60"/>
      <c r="M9672" s="64"/>
      <c r="N9672" s="33"/>
    </row>
    <row r="9673" ht="24" customHeight="1" spans="2:14">
      <c r="B9673" s="33"/>
      <c r="C9673" s="60"/>
      <c r="D9673" s="60"/>
      <c r="E9673" s="60"/>
      <c r="F9673" s="60"/>
      <c r="G9673" s="60"/>
      <c r="H9673" s="60"/>
      <c r="I9673" s="60"/>
      <c r="J9673" s="60"/>
      <c r="K9673" s="60"/>
      <c r="L9673" s="60"/>
      <c r="M9673" s="64"/>
      <c r="N9673" s="33"/>
    </row>
    <row r="9674" ht="24" customHeight="1" spans="2:14">
      <c r="B9674" s="33"/>
      <c r="C9674" s="60"/>
      <c r="D9674" s="60"/>
      <c r="E9674" s="60"/>
      <c r="F9674" s="60"/>
      <c r="G9674" s="60"/>
      <c r="H9674" s="60"/>
      <c r="I9674" s="60"/>
      <c r="J9674" s="60"/>
      <c r="K9674" s="60"/>
      <c r="L9674" s="60"/>
      <c r="M9674" s="64"/>
      <c r="N9674" s="33"/>
    </row>
    <row r="9675" ht="24" customHeight="1" spans="2:14">
      <c r="B9675" s="33"/>
      <c r="C9675" s="60"/>
      <c r="D9675" s="60"/>
      <c r="E9675" s="60"/>
      <c r="F9675" s="60"/>
      <c r="G9675" s="60"/>
      <c r="H9675" s="60"/>
      <c r="I9675" s="60"/>
      <c r="J9675" s="60"/>
      <c r="K9675" s="60"/>
      <c r="L9675" s="60"/>
      <c r="M9675" s="64"/>
      <c r="N9675" s="33"/>
    </row>
    <row r="9676" ht="24" customHeight="1" spans="2:14">
      <c r="B9676" s="33"/>
      <c r="C9676" s="60"/>
      <c r="D9676" s="60"/>
      <c r="E9676" s="60"/>
      <c r="F9676" s="60"/>
      <c r="G9676" s="60"/>
      <c r="H9676" s="60"/>
      <c r="I9676" s="60"/>
      <c r="J9676" s="60"/>
      <c r="K9676" s="60"/>
      <c r="L9676" s="60"/>
      <c r="M9676" s="64"/>
      <c r="N9676" s="33"/>
    </row>
    <row r="9677" ht="24" customHeight="1" spans="2:14">
      <c r="B9677" s="33"/>
      <c r="C9677" s="60"/>
      <c r="D9677" s="60"/>
      <c r="E9677" s="60"/>
      <c r="F9677" s="60"/>
      <c r="G9677" s="60"/>
      <c r="H9677" s="60"/>
      <c r="I9677" s="60"/>
      <c r="J9677" s="60"/>
      <c r="K9677" s="60"/>
      <c r="L9677" s="60"/>
      <c r="M9677" s="64"/>
      <c r="N9677" s="33"/>
    </row>
    <row r="9678" ht="24" customHeight="1" spans="2:14">
      <c r="B9678" s="33"/>
      <c r="C9678" s="60"/>
      <c r="D9678" s="60"/>
      <c r="E9678" s="60"/>
      <c r="F9678" s="60"/>
      <c r="G9678" s="60"/>
      <c r="H9678" s="60"/>
      <c r="I9678" s="60"/>
      <c r="J9678" s="60"/>
      <c r="K9678" s="60"/>
      <c r="L9678" s="60"/>
      <c r="M9678" s="64"/>
      <c r="N9678" s="33"/>
    </row>
    <row r="9679" ht="24" customHeight="1" spans="2:14">
      <c r="B9679" s="33"/>
      <c r="C9679" s="60"/>
      <c r="D9679" s="60"/>
      <c r="E9679" s="60"/>
      <c r="F9679" s="60"/>
      <c r="G9679" s="60"/>
      <c r="H9679" s="60"/>
      <c r="I9679" s="60"/>
      <c r="J9679" s="60"/>
      <c r="K9679" s="60"/>
      <c r="L9679" s="60"/>
      <c r="M9679" s="64"/>
      <c r="N9679" s="33"/>
    </row>
    <row r="9680" ht="24" customHeight="1" spans="2:14">
      <c r="B9680" s="33"/>
      <c r="C9680" s="60"/>
      <c r="D9680" s="60"/>
      <c r="E9680" s="60"/>
      <c r="F9680" s="60"/>
      <c r="G9680" s="60"/>
      <c r="H9680" s="60"/>
      <c r="I9680" s="60"/>
      <c r="J9680" s="60"/>
      <c r="K9680" s="60"/>
      <c r="L9680" s="60"/>
      <c r="M9680" s="64"/>
      <c r="N9680" s="33"/>
    </row>
    <row r="9681" ht="24" customHeight="1" spans="2:14">
      <c r="B9681" s="33"/>
      <c r="C9681" s="60"/>
      <c r="D9681" s="60"/>
      <c r="E9681" s="60"/>
      <c r="F9681" s="60"/>
      <c r="G9681" s="60"/>
      <c r="H9681" s="60"/>
      <c r="I9681" s="60"/>
      <c r="J9681" s="60"/>
      <c r="K9681" s="60"/>
      <c r="L9681" s="60"/>
      <c r="M9681" s="64"/>
      <c r="N9681" s="33"/>
    </row>
    <row r="9682" ht="24" customHeight="1" spans="2:14">
      <c r="B9682" s="33"/>
      <c r="C9682" s="60"/>
      <c r="D9682" s="60"/>
      <c r="E9682" s="60"/>
      <c r="F9682" s="60"/>
      <c r="G9682" s="60"/>
      <c r="H9682" s="60"/>
      <c r="I9682" s="60"/>
      <c r="J9682" s="60"/>
      <c r="K9682" s="60"/>
      <c r="L9682" s="60"/>
      <c r="M9682" s="64"/>
      <c r="N9682" s="33"/>
    </row>
    <row r="9683" ht="24" customHeight="1" spans="2:14">
      <c r="B9683" s="33"/>
      <c r="C9683" s="60"/>
      <c r="D9683" s="60"/>
      <c r="E9683" s="60"/>
      <c r="F9683" s="60"/>
      <c r="G9683" s="60"/>
      <c r="H9683" s="60"/>
      <c r="I9683" s="60"/>
      <c r="J9683" s="60"/>
      <c r="K9683" s="60"/>
      <c r="L9683" s="60"/>
      <c r="M9683" s="64"/>
      <c r="N9683" s="33"/>
    </row>
    <row r="9684" ht="24" customHeight="1" spans="2:14">
      <c r="B9684" s="33"/>
      <c r="C9684" s="60"/>
      <c r="D9684" s="60"/>
      <c r="E9684" s="60"/>
      <c r="F9684" s="60"/>
      <c r="G9684" s="60"/>
      <c r="H9684" s="60"/>
      <c r="I9684" s="60"/>
      <c r="J9684" s="60"/>
      <c r="K9684" s="60"/>
      <c r="L9684" s="60"/>
      <c r="M9684" s="64"/>
      <c r="N9684" s="33"/>
    </row>
    <row r="9685" ht="24" customHeight="1" spans="2:14">
      <c r="B9685" s="33"/>
      <c r="C9685" s="60"/>
      <c r="D9685" s="60"/>
      <c r="E9685" s="60"/>
      <c r="F9685" s="60"/>
      <c r="G9685" s="60"/>
      <c r="H9685" s="60"/>
      <c r="I9685" s="60"/>
      <c r="J9685" s="60"/>
      <c r="K9685" s="60"/>
      <c r="L9685" s="60"/>
      <c r="M9685" s="64"/>
      <c r="N9685" s="33"/>
    </row>
    <row r="9686" ht="24" customHeight="1" spans="2:14">
      <c r="B9686" s="33"/>
      <c r="C9686" s="60"/>
      <c r="D9686" s="60"/>
      <c r="E9686" s="60"/>
      <c r="F9686" s="60"/>
      <c r="G9686" s="60"/>
      <c r="H9686" s="60"/>
      <c r="I9686" s="60"/>
      <c r="J9686" s="60"/>
      <c r="K9686" s="60"/>
      <c r="L9686" s="60"/>
      <c r="M9686" s="64"/>
      <c r="N9686" s="33"/>
    </row>
    <row r="9687" ht="24" customHeight="1" spans="2:14">
      <c r="B9687" s="33"/>
      <c r="C9687" s="60"/>
      <c r="D9687" s="60"/>
      <c r="E9687" s="60"/>
      <c r="F9687" s="60"/>
      <c r="G9687" s="60"/>
      <c r="H9687" s="60"/>
      <c r="I9687" s="60"/>
      <c r="J9687" s="60"/>
      <c r="K9687" s="60"/>
      <c r="L9687" s="60"/>
      <c r="M9687" s="64"/>
      <c r="N9687" s="33"/>
    </row>
    <row r="9688" ht="24" customHeight="1" spans="2:14">
      <c r="B9688" s="33"/>
      <c r="C9688" s="60"/>
      <c r="D9688" s="60"/>
      <c r="E9688" s="60"/>
      <c r="F9688" s="60"/>
      <c r="G9688" s="60"/>
      <c r="H9688" s="60"/>
      <c r="I9688" s="60"/>
      <c r="J9688" s="60"/>
      <c r="K9688" s="60"/>
      <c r="L9688" s="60"/>
      <c r="M9688" s="64"/>
      <c r="N9688" s="33"/>
    </row>
    <row r="9689" ht="24" customHeight="1" spans="2:14">
      <c r="B9689" s="33"/>
      <c r="C9689" s="60"/>
      <c r="D9689" s="60"/>
      <c r="E9689" s="60"/>
      <c r="F9689" s="60"/>
      <c r="G9689" s="60"/>
      <c r="H9689" s="60"/>
      <c r="I9689" s="60"/>
      <c r="J9689" s="60"/>
      <c r="K9689" s="60"/>
      <c r="L9689" s="60"/>
      <c r="M9689" s="64"/>
      <c r="N9689" s="33"/>
    </row>
    <row r="9690" ht="24" customHeight="1" spans="2:14">
      <c r="B9690" s="33"/>
      <c r="C9690" s="60"/>
      <c r="D9690" s="60"/>
      <c r="E9690" s="60"/>
      <c r="F9690" s="60"/>
      <c r="G9690" s="60"/>
      <c r="H9690" s="60"/>
      <c r="I9690" s="60"/>
      <c r="J9690" s="60"/>
      <c r="K9690" s="60"/>
      <c r="L9690" s="60"/>
      <c r="M9690" s="64"/>
      <c r="N9690" s="33"/>
    </row>
    <row r="9691" ht="24" customHeight="1" spans="2:14">
      <c r="B9691" s="33"/>
      <c r="C9691" s="60"/>
      <c r="D9691" s="60"/>
      <c r="E9691" s="60"/>
      <c r="F9691" s="60"/>
      <c r="G9691" s="60"/>
      <c r="H9691" s="60"/>
      <c r="I9691" s="60"/>
      <c r="J9691" s="60"/>
      <c r="K9691" s="60"/>
      <c r="L9691" s="60"/>
      <c r="M9691" s="64"/>
      <c r="N9691" s="33"/>
    </row>
    <row r="9692" ht="24" customHeight="1" spans="2:14">
      <c r="B9692" s="33"/>
      <c r="C9692" s="60"/>
      <c r="D9692" s="60"/>
      <c r="E9692" s="60"/>
      <c r="F9692" s="60"/>
      <c r="G9692" s="60"/>
      <c r="H9692" s="60"/>
      <c r="I9692" s="60"/>
      <c r="J9692" s="60"/>
      <c r="K9692" s="60"/>
      <c r="L9692" s="60"/>
      <c r="M9692" s="64"/>
      <c r="N9692" s="33"/>
    </row>
    <row r="9693" ht="24" customHeight="1" spans="2:14">
      <c r="B9693" s="33"/>
      <c r="C9693" s="60"/>
      <c r="D9693" s="60"/>
      <c r="E9693" s="60"/>
      <c r="F9693" s="60"/>
      <c r="G9693" s="60"/>
      <c r="H9693" s="60"/>
      <c r="I9693" s="60"/>
      <c r="J9693" s="60"/>
      <c r="K9693" s="60"/>
      <c r="L9693" s="60"/>
      <c r="M9693" s="64"/>
      <c r="N9693" s="33"/>
    </row>
    <row r="9694" ht="24" customHeight="1" spans="2:14">
      <c r="B9694" s="33"/>
      <c r="C9694" s="60"/>
      <c r="D9694" s="60"/>
      <c r="E9694" s="60"/>
      <c r="F9694" s="60"/>
      <c r="G9694" s="60"/>
      <c r="H9694" s="60"/>
      <c r="I9694" s="60"/>
      <c r="J9694" s="60"/>
      <c r="K9694" s="60"/>
      <c r="L9694" s="60"/>
      <c r="M9694" s="64"/>
      <c r="N9694" s="33"/>
    </row>
    <row r="9695" ht="24" customHeight="1" spans="2:14">
      <c r="B9695" s="33"/>
      <c r="C9695" s="60"/>
      <c r="D9695" s="60"/>
      <c r="E9695" s="60"/>
      <c r="F9695" s="60"/>
      <c r="G9695" s="60"/>
      <c r="H9695" s="60"/>
      <c r="I9695" s="60"/>
      <c r="J9695" s="60"/>
      <c r="K9695" s="60"/>
      <c r="L9695" s="60"/>
      <c r="M9695" s="64"/>
      <c r="N9695" s="33"/>
    </row>
    <row r="9696" ht="24" customHeight="1" spans="2:14">
      <c r="B9696" s="33"/>
      <c r="C9696" s="60"/>
      <c r="D9696" s="60"/>
      <c r="E9696" s="60"/>
      <c r="F9696" s="60"/>
      <c r="G9696" s="60"/>
      <c r="H9696" s="60"/>
      <c r="I9696" s="60"/>
      <c r="J9696" s="60"/>
      <c r="K9696" s="60"/>
      <c r="L9696" s="60"/>
      <c r="M9696" s="64"/>
      <c r="N9696" s="33"/>
    </row>
    <row r="9697" ht="24" customHeight="1" spans="2:14">
      <c r="B9697" s="33"/>
      <c r="C9697" s="60"/>
      <c r="D9697" s="60"/>
      <c r="E9697" s="60"/>
      <c r="F9697" s="60"/>
      <c r="G9697" s="60"/>
      <c r="H9697" s="60"/>
      <c r="I9697" s="60"/>
      <c r="J9697" s="60"/>
      <c r="K9697" s="60"/>
      <c r="L9697" s="60"/>
      <c r="M9697" s="64"/>
      <c r="N9697" s="33"/>
    </row>
    <row r="9698" ht="24" customHeight="1" spans="2:14">
      <c r="B9698" s="33"/>
      <c r="C9698" s="60"/>
      <c r="D9698" s="60"/>
      <c r="E9698" s="60"/>
      <c r="F9698" s="60"/>
      <c r="G9698" s="60"/>
      <c r="H9698" s="60"/>
      <c r="I9698" s="60"/>
      <c r="J9698" s="60"/>
      <c r="K9698" s="60"/>
      <c r="L9698" s="60"/>
      <c r="M9698" s="64"/>
      <c r="N9698" s="33"/>
    </row>
    <row r="9699" ht="24" customHeight="1" spans="2:14">
      <c r="B9699" s="33"/>
      <c r="C9699" s="60"/>
      <c r="D9699" s="60"/>
      <c r="E9699" s="60"/>
      <c r="F9699" s="60"/>
      <c r="G9699" s="60"/>
      <c r="H9699" s="60"/>
      <c r="I9699" s="60"/>
      <c r="J9699" s="60"/>
      <c r="K9699" s="60"/>
      <c r="L9699" s="60"/>
      <c r="M9699" s="64"/>
      <c r="N9699" s="33"/>
    </row>
    <row r="9700" ht="24" customHeight="1" spans="2:14">
      <c r="B9700" s="33"/>
      <c r="C9700" s="60"/>
      <c r="D9700" s="60"/>
      <c r="E9700" s="60"/>
      <c r="F9700" s="60"/>
      <c r="G9700" s="60"/>
      <c r="H9700" s="60"/>
      <c r="I9700" s="60"/>
      <c r="J9700" s="60"/>
      <c r="K9700" s="60"/>
      <c r="L9700" s="60"/>
      <c r="M9700" s="64"/>
      <c r="N9700" s="33"/>
    </row>
    <row r="9701" ht="24" customHeight="1" spans="2:14">
      <c r="B9701" s="33"/>
      <c r="C9701" s="60"/>
      <c r="D9701" s="60"/>
      <c r="E9701" s="60"/>
      <c r="F9701" s="60"/>
      <c r="G9701" s="60"/>
      <c r="H9701" s="60"/>
      <c r="I9701" s="60"/>
      <c r="J9701" s="60"/>
      <c r="K9701" s="60"/>
      <c r="L9701" s="60"/>
      <c r="M9701" s="64"/>
      <c r="N9701" s="33"/>
    </row>
    <row r="9702" ht="24" customHeight="1" spans="2:14">
      <c r="B9702" s="33"/>
      <c r="C9702" s="60"/>
      <c r="D9702" s="60"/>
      <c r="E9702" s="60"/>
      <c r="F9702" s="60"/>
      <c r="G9702" s="60"/>
      <c r="H9702" s="60"/>
      <c r="I9702" s="60"/>
      <c r="J9702" s="60"/>
      <c r="K9702" s="60"/>
      <c r="L9702" s="60"/>
      <c r="M9702" s="64"/>
      <c r="N9702" s="33"/>
    </row>
    <row r="9703" ht="24" customHeight="1" spans="2:14">
      <c r="B9703" s="33"/>
      <c r="C9703" s="60"/>
      <c r="D9703" s="60"/>
      <c r="E9703" s="60"/>
      <c r="F9703" s="60"/>
      <c r="G9703" s="60"/>
      <c r="H9703" s="60"/>
      <c r="I9703" s="60"/>
      <c r="J9703" s="60"/>
      <c r="K9703" s="60"/>
      <c r="L9703" s="60"/>
      <c r="M9703" s="64"/>
      <c r="N9703" s="33"/>
    </row>
    <row r="9704" ht="24" customHeight="1" spans="2:14">
      <c r="B9704" s="33"/>
      <c r="C9704" s="60"/>
      <c r="D9704" s="60"/>
      <c r="E9704" s="60"/>
      <c r="F9704" s="60"/>
      <c r="G9704" s="60"/>
      <c r="H9704" s="60"/>
      <c r="I9704" s="60"/>
      <c r="J9704" s="60"/>
      <c r="K9704" s="60"/>
      <c r="L9704" s="60"/>
      <c r="M9704" s="64"/>
      <c r="N9704" s="33"/>
    </row>
    <row r="9705" ht="24" customHeight="1" spans="2:14">
      <c r="B9705" s="33"/>
      <c r="C9705" s="60"/>
      <c r="D9705" s="60"/>
      <c r="E9705" s="60"/>
      <c r="F9705" s="60"/>
      <c r="G9705" s="60"/>
      <c r="H9705" s="60"/>
      <c r="I9705" s="60"/>
      <c r="J9705" s="60"/>
      <c r="K9705" s="60"/>
      <c r="L9705" s="60"/>
      <c r="M9705" s="64"/>
      <c r="N9705" s="33"/>
    </row>
    <row r="9706" ht="24" customHeight="1" spans="2:14">
      <c r="B9706" s="33"/>
      <c r="C9706" s="60"/>
      <c r="D9706" s="60"/>
      <c r="E9706" s="60"/>
      <c r="F9706" s="60"/>
      <c r="G9706" s="60"/>
      <c r="H9706" s="60"/>
      <c r="I9706" s="60"/>
      <c r="J9706" s="60"/>
      <c r="K9706" s="60"/>
      <c r="L9706" s="60"/>
      <c r="M9706" s="64"/>
      <c r="N9706" s="33"/>
    </row>
    <row r="9707" ht="24" customHeight="1" spans="2:14">
      <c r="B9707" s="33"/>
      <c r="C9707" s="60"/>
      <c r="D9707" s="60"/>
      <c r="E9707" s="60"/>
      <c r="F9707" s="60"/>
      <c r="G9707" s="60"/>
      <c r="H9707" s="60"/>
      <c r="I9707" s="60"/>
      <c r="J9707" s="60"/>
      <c r="K9707" s="60"/>
      <c r="L9707" s="60"/>
      <c r="M9707" s="64"/>
      <c r="N9707" s="33"/>
    </row>
    <row r="9708" ht="24" customHeight="1" spans="2:14">
      <c r="B9708" s="33"/>
      <c r="C9708" s="60"/>
      <c r="D9708" s="60"/>
      <c r="E9708" s="60"/>
      <c r="F9708" s="60"/>
      <c r="G9708" s="60"/>
      <c r="H9708" s="60"/>
      <c r="I9708" s="60"/>
      <c r="J9708" s="60"/>
      <c r="K9708" s="60"/>
      <c r="L9708" s="60"/>
      <c r="M9708" s="64"/>
      <c r="N9708" s="33"/>
    </row>
    <row r="9709" ht="24" customHeight="1" spans="2:14">
      <c r="B9709" s="33"/>
      <c r="C9709" s="60"/>
      <c r="D9709" s="60"/>
      <c r="E9709" s="60"/>
      <c r="F9709" s="60"/>
      <c r="G9709" s="60"/>
      <c r="H9709" s="60"/>
      <c r="I9709" s="60"/>
      <c r="J9709" s="60"/>
      <c r="K9709" s="60"/>
      <c r="L9709" s="60"/>
      <c r="M9709" s="64"/>
      <c r="N9709" s="33"/>
    </row>
    <row r="9710" ht="24" customHeight="1" spans="2:14">
      <c r="B9710" s="33"/>
      <c r="C9710" s="60"/>
      <c r="D9710" s="60"/>
      <c r="E9710" s="60"/>
      <c r="F9710" s="60"/>
      <c r="G9710" s="60"/>
      <c r="H9710" s="60"/>
      <c r="I9710" s="60"/>
      <c r="J9710" s="60"/>
      <c r="K9710" s="60"/>
      <c r="L9710" s="60"/>
      <c r="M9710" s="64"/>
      <c r="N9710" s="33"/>
    </row>
    <row r="9711" ht="24" customHeight="1" spans="2:14">
      <c r="B9711" s="33"/>
      <c r="C9711" s="60"/>
      <c r="D9711" s="60"/>
      <c r="E9711" s="60"/>
      <c r="F9711" s="60"/>
      <c r="G9711" s="60"/>
      <c r="H9711" s="60"/>
      <c r="I9711" s="60"/>
      <c r="J9711" s="60"/>
      <c r="K9711" s="60"/>
      <c r="L9711" s="60"/>
      <c r="M9711" s="64"/>
      <c r="N9711" s="33"/>
    </row>
    <row r="9712" ht="24" customHeight="1" spans="2:14">
      <c r="B9712" s="33"/>
      <c r="C9712" s="60"/>
      <c r="D9712" s="60"/>
      <c r="E9712" s="60"/>
      <c r="F9712" s="60"/>
      <c r="G9712" s="60"/>
      <c r="H9712" s="60"/>
      <c r="I9712" s="60"/>
      <c r="J9712" s="60"/>
      <c r="K9712" s="60"/>
      <c r="L9712" s="60"/>
      <c r="M9712" s="64"/>
      <c r="N9712" s="33"/>
    </row>
    <row r="9713" ht="24" customHeight="1" spans="2:14">
      <c r="B9713" s="33"/>
      <c r="C9713" s="60"/>
      <c r="D9713" s="60"/>
      <c r="E9713" s="60"/>
      <c r="F9713" s="60"/>
      <c r="G9713" s="60"/>
      <c r="H9713" s="60"/>
      <c r="I9713" s="60"/>
      <c r="J9713" s="60"/>
      <c r="K9713" s="60"/>
      <c r="L9713" s="60"/>
      <c r="M9713" s="64"/>
      <c r="N9713" s="33"/>
    </row>
    <row r="9714" ht="24" customHeight="1" spans="2:14">
      <c r="B9714" s="33"/>
      <c r="C9714" s="60"/>
      <c r="D9714" s="60"/>
      <c r="E9714" s="60"/>
      <c r="F9714" s="60"/>
      <c r="G9714" s="60"/>
      <c r="H9714" s="60"/>
      <c r="I9714" s="60"/>
      <c r="J9714" s="60"/>
      <c r="K9714" s="60"/>
      <c r="L9714" s="60"/>
      <c r="M9714" s="64"/>
      <c r="N9714" s="33"/>
    </row>
    <row r="9715" ht="24" customHeight="1" spans="2:14">
      <c r="B9715" s="33"/>
      <c r="C9715" s="60"/>
      <c r="D9715" s="60"/>
      <c r="E9715" s="60"/>
      <c r="F9715" s="60"/>
      <c r="G9715" s="60"/>
      <c r="H9715" s="60"/>
      <c r="I9715" s="60"/>
      <c r="J9715" s="60"/>
      <c r="K9715" s="60"/>
      <c r="L9715" s="60"/>
      <c r="M9715" s="64"/>
      <c r="N9715" s="33"/>
    </row>
    <row r="9716" ht="24" customHeight="1" spans="2:14">
      <c r="B9716" s="33"/>
      <c r="C9716" s="60"/>
      <c r="D9716" s="60"/>
      <c r="E9716" s="60"/>
      <c r="F9716" s="60"/>
      <c r="G9716" s="60"/>
      <c r="H9716" s="60"/>
      <c r="I9716" s="60"/>
      <c r="J9716" s="60"/>
      <c r="K9716" s="60"/>
      <c r="L9716" s="60"/>
      <c r="M9716" s="64"/>
      <c r="N9716" s="33"/>
    </row>
    <row r="9717" ht="24" customHeight="1" spans="2:14">
      <c r="B9717" s="33"/>
      <c r="C9717" s="60"/>
      <c r="D9717" s="60"/>
      <c r="E9717" s="60"/>
      <c r="F9717" s="60"/>
      <c r="G9717" s="60"/>
      <c r="H9717" s="60"/>
      <c r="I9717" s="60"/>
      <c r="J9717" s="60"/>
      <c r="K9717" s="60"/>
      <c r="L9717" s="60"/>
      <c r="M9717" s="64"/>
      <c r="N9717" s="33"/>
    </row>
    <row r="9718" ht="24" customHeight="1" spans="2:14">
      <c r="B9718" s="33"/>
      <c r="C9718" s="60"/>
      <c r="D9718" s="60"/>
      <c r="E9718" s="60"/>
      <c r="F9718" s="60"/>
      <c r="G9718" s="60"/>
      <c r="H9718" s="60"/>
      <c r="I9718" s="60"/>
      <c r="J9718" s="60"/>
      <c r="K9718" s="60"/>
      <c r="L9718" s="60"/>
      <c r="M9718" s="64"/>
      <c r="N9718" s="33"/>
    </row>
    <row r="9719" ht="24" customHeight="1" spans="2:14">
      <c r="B9719" s="33"/>
      <c r="C9719" s="60"/>
      <c r="D9719" s="60"/>
      <c r="E9719" s="60"/>
      <c r="F9719" s="60"/>
      <c r="G9719" s="60"/>
      <c r="H9719" s="60"/>
      <c r="I9719" s="60"/>
      <c r="J9719" s="60"/>
      <c r="K9719" s="60"/>
      <c r="L9719" s="60"/>
      <c r="M9719" s="64"/>
      <c r="N9719" s="33"/>
    </row>
    <row r="9720" ht="24" customHeight="1" spans="2:14">
      <c r="B9720" s="33"/>
      <c r="C9720" s="60"/>
      <c r="D9720" s="60"/>
      <c r="E9720" s="60"/>
      <c r="F9720" s="60"/>
      <c r="G9720" s="60"/>
      <c r="H9720" s="60"/>
      <c r="I9720" s="60"/>
      <c r="J9720" s="60"/>
      <c r="K9720" s="60"/>
      <c r="L9720" s="60"/>
      <c r="M9720" s="64"/>
      <c r="N9720" s="33"/>
    </row>
    <row r="9721" ht="24" customHeight="1" spans="2:14">
      <c r="B9721" s="33"/>
      <c r="C9721" s="60"/>
      <c r="D9721" s="60"/>
      <c r="E9721" s="60"/>
      <c r="F9721" s="60"/>
      <c r="G9721" s="60"/>
      <c r="H9721" s="60"/>
      <c r="I9721" s="60"/>
      <c r="J9721" s="60"/>
      <c r="K9721" s="60"/>
      <c r="L9721" s="60"/>
      <c r="M9721" s="64"/>
      <c r="N9721" s="33"/>
    </row>
    <row r="9722" ht="24" customHeight="1" spans="2:14">
      <c r="B9722" s="33"/>
      <c r="C9722" s="60"/>
      <c r="D9722" s="60"/>
      <c r="E9722" s="60"/>
      <c r="F9722" s="60"/>
      <c r="G9722" s="60"/>
      <c r="H9722" s="60"/>
      <c r="I9722" s="60"/>
      <c r="J9722" s="60"/>
      <c r="K9722" s="60"/>
      <c r="L9722" s="60"/>
      <c r="M9722" s="64"/>
      <c r="N9722" s="33"/>
    </row>
    <row r="9723" ht="24" customHeight="1" spans="2:14">
      <c r="B9723" s="33"/>
      <c r="C9723" s="60"/>
      <c r="D9723" s="60"/>
      <c r="E9723" s="60"/>
      <c r="F9723" s="60"/>
      <c r="G9723" s="60"/>
      <c r="H9723" s="60"/>
      <c r="I9723" s="60"/>
      <c r="J9723" s="60"/>
      <c r="K9723" s="60"/>
      <c r="L9723" s="60"/>
      <c r="M9723" s="64"/>
      <c r="N9723" s="33"/>
    </row>
    <row r="9724" ht="24" customHeight="1" spans="2:14">
      <c r="B9724" s="33"/>
      <c r="C9724" s="60"/>
      <c r="D9724" s="60"/>
      <c r="E9724" s="60"/>
      <c r="F9724" s="60"/>
      <c r="G9724" s="60"/>
      <c r="H9724" s="60"/>
      <c r="I9724" s="60"/>
      <c r="J9724" s="60"/>
      <c r="K9724" s="60"/>
      <c r="L9724" s="60"/>
      <c r="M9724" s="64"/>
      <c r="N9724" s="33"/>
    </row>
    <row r="9725" ht="24" customHeight="1" spans="2:14">
      <c r="B9725" s="33"/>
      <c r="C9725" s="60"/>
      <c r="D9725" s="60"/>
      <c r="E9725" s="60"/>
      <c r="F9725" s="60"/>
      <c r="G9725" s="60"/>
      <c r="H9725" s="60"/>
      <c r="I9725" s="60"/>
      <c r="J9725" s="60"/>
      <c r="K9725" s="60"/>
      <c r="L9725" s="60"/>
      <c r="M9725" s="64"/>
      <c r="N9725" s="33"/>
    </row>
    <row r="9726" ht="24" customHeight="1" spans="2:14">
      <c r="B9726" s="33"/>
      <c r="C9726" s="60"/>
      <c r="D9726" s="60"/>
      <c r="E9726" s="60"/>
      <c r="F9726" s="60"/>
      <c r="G9726" s="60"/>
      <c r="H9726" s="60"/>
      <c r="I9726" s="60"/>
      <c r="J9726" s="60"/>
      <c r="K9726" s="60"/>
      <c r="L9726" s="60"/>
      <c r="M9726" s="64"/>
      <c r="N9726" s="33"/>
    </row>
    <row r="9727" ht="24" customHeight="1" spans="2:14">
      <c r="B9727" s="33"/>
      <c r="C9727" s="60"/>
      <c r="D9727" s="60"/>
      <c r="E9727" s="60"/>
      <c r="F9727" s="60"/>
      <c r="G9727" s="60"/>
      <c r="H9727" s="60"/>
      <c r="I9727" s="60"/>
      <c r="J9727" s="60"/>
      <c r="K9727" s="60"/>
      <c r="L9727" s="60"/>
      <c r="M9727" s="64"/>
      <c r="N9727" s="33"/>
    </row>
    <row r="9728" ht="24" customHeight="1" spans="2:14">
      <c r="B9728" s="33"/>
      <c r="C9728" s="60"/>
      <c r="D9728" s="60"/>
      <c r="E9728" s="60"/>
      <c r="F9728" s="60"/>
      <c r="G9728" s="60"/>
      <c r="H9728" s="60"/>
      <c r="I9728" s="60"/>
      <c r="J9728" s="60"/>
      <c r="K9728" s="60"/>
      <c r="L9728" s="60"/>
      <c r="M9728" s="64"/>
      <c r="N9728" s="33"/>
    </row>
    <row r="9729" ht="24" customHeight="1" spans="2:14">
      <c r="B9729" s="33"/>
      <c r="C9729" s="60"/>
      <c r="D9729" s="60"/>
      <c r="E9729" s="60"/>
      <c r="F9729" s="60"/>
      <c r="G9729" s="60"/>
      <c r="H9729" s="60"/>
      <c r="I9729" s="60"/>
      <c r="J9729" s="60"/>
      <c r="K9729" s="60"/>
      <c r="L9729" s="60"/>
      <c r="M9729" s="64"/>
      <c r="N9729" s="33"/>
    </row>
    <row r="9730" ht="24" customHeight="1" spans="2:14">
      <c r="B9730" s="33"/>
      <c r="C9730" s="60"/>
      <c r="D9730" s="60"/>
      <c r="E9730" s="60"/>
      <c r="F9730" s="60"/>
      <c r="G9730" s="60"/>
      <c r="H9730" s="60"/>
      <c r="I9730" s="60"/>
      <c r="J9730" s="60"/>
      <c r="K9730" s="60"/>
      <c r="L9730" s="60"/>
      <c r="M9730" s="64"/>
      <c r="N9730" s="33"/>
    </row>
    <row r="9731" ht="24" customHeight="1" spans="2:14">
      <c r="B9731" s="33"/>
      <c r="C9731" s="60"/>
      <c r="D9731" s="60"/>
      <c r="E9731" s="60"/>
      <c r="F9731" s="60"/>
      <c r="G9731" s="60"/>
      <c r="H9731" s="60"/>
      <c r="I9731" s="60"/>
      <c r="J9731" s="60"/>
      <c r="K9731" s="60"/>
      <c r="L9731" s="60"/>
      <c r="M9731" s="64"/>
      <c r="N9731" s="33"/>
    </row>
    <row r="9732" ht="24" customHeight="1" spans="2:14">
      <c r="B9732" s="33"/>
      <c r="C9732" s="60"/>
      <c r="D9732" s="60"/>
      <c r="E9732" s="60"/>
      <c r="F9732" s="60"/>
      <c r="G9732" s="60"/>
      <c r="H9732" s="60"/>
      <c r="I9732" s="60"/>
      <c r="J9732" s="60"/>
      <c r="K9732" s="60"/>
      <c r="L9732" s="60"/>
      <c r="M9732" s="64"/>
      <c r="N9732" s="33"/>
    </row>
    <row r="9733" ht="24" customHeight="1" spans="2:14">
      <c r="B9733" s="33"/>
      <c r="C9733" s="60"/>
      <c r="D9733" s="60"/>
      <c r="E9733" s="60"/>
      <c r="F9733" s="60"/>
      <c r="G9733" s="60"/>
      <c r="H9733" s="60"/>
      <c r="I9733" s="60"/>
      <c r="J9733" s="60"/>
      <c r="K9733" s="60"/>
      <c r="L9733" s="60"/>
      <c r="M9733" s="64"/>
      <c r="N9733" s="33"/>
    </row>
    <row r="9734" ht="24" customHeight="1" spans="2:14">
      <c r="B9734" s="33"/>
      <c r="C9734" s="60"/>
      <c r="D9734" s="60"/>
      <c r="E9734" s="60"/>
      <c r="F9734" s="60"/>
      <c r="G9734" s="60"/>
      <c r="H9734" s="60"/>
      <c r="I9734" s="60"/>
      <c r="J9734" s="60"/>
      <c r="K9734" s="60"/>
      <c r="L9734" s="60"/>
      <c r="M9734" s="64"/>
      <c r="N9734" s="33"/>
    </row>
    <row r="9735" ht="24" customHeight="1" spans="2:14">
      <c r="B9735" s="33"/>
      <c r="C9735" s="60"/>
      <c r="D9735" s="60"/>
      <c r="E9735" s="60"/>
      <c r="F9735" s="60"/>
      <c r="G9735" s="60"/>
      <c r="H9735" s="60"/>
      <c r="I9735" s="60"/>
      <c r="J9735" s="60"/>
      <c r="K9735" s="60"/>
      <c r="L9735" s="60"/>
      <c r="M9735" s="64"/>
      <c r="N9735" s="33"/>
    </row>
    <row r="9736" ht="24" customHeight="1" spans="2:14">
      <c r="B9736" s="33"/>
      <c r="C9736" s="60"/>
      <c r="D9736" s="60"/>
      <c r="E9736" s="60"/>
      <c r="F9736" s="60"/>
      <c r="G9736" s="60"/>
      <c r="H9736" s="60"/>
      <c r="I9736" s="60"/>
      <c r="J9736" s="60"/>
      <c r="K9736" s="60"/>
      <c r="L9736" s="60"/>
      <c r="M9736" s="64"/>
      <c r="N9736" s="33"/>
    </row>
    <row r="9737" ht="24" customHeight="1" spans="2:14">
      <c r="B9737" s="33"/>
      <c r="C9737" s="60"/>
      <c r="D9737" s="60"/>
      <c r="E9737" s="60"/>
      <c r="F9737" s="60"/>
      <c r="G9737" s="60"/>
      <c r="H9737" s="60"/>
      <c r="I9737" s="60"/>
      <c r="J9737" s="60"/>
      <c r="K9737" s="60"/>
      <c r="L9737" s="60"/>
      <c r="M9737" s="64"/>
      <c r="N9737" s="33"/>
    </row>
    <row r="9738" ht="24" customHeight="1" spans="2:14">
      <c r="B9738" s="33"/>
      <c r="C9738" s="60"/>
      <c r="D9738" s="60"/>
      <c r="E9738" s="60"/>
      <c r="F9738" s="60"/>
      <c r="G9738" s="60"/>
      <c r="H9738" s="60"/>
      <c r="I9738" s="60"/>
      <c r="J9738" s="60"/>
      <c r="K9738" s="60"/>
      <c r="L9738" s="60"/>
      <c r="M9738" s="64"/>
      <c r="N9738" s="33"/>
    </row>
    <row r="9739" ht="24" customHeight="1" spans="2:14">
      <c r="B9739" s="33"/>
      <c r="C9739" s="60"/>
      <c r="D9739" s="60"/>
      <c r="E9739" s="60"/>
      <c r="F9739" s="60"/>
      <c r="G9739" s="60"/>
      <c r="H9739" s="60"/>
      <c r="I9739" s="60"/>
      <c r="J9739" s="60"/>
      <c r="K9739" s="60"/>
      <c r="L9739" s="60"/>
      <c r="M9739" s="64"/>
      <c r="N9739" s="33"/>
    </row>
    <row r="9740" ht="24" customHeight="1" spans="2:14">
      <c r="B9740" s="33"/>
      <c r="C9740" s="60"/>
      <c r="D9740" s="60"/>
      <c r="E9740" s="60"/>
      <c r="F9740" s="60"/>
      <c r="G9740" s="60"/>
      <c r="H9740" s="60"/>
      <c r="I9740" s="60"/>
      <c r="J9740" s="60"/>
      <c r="K9740" s="60"/>
      <c r="L9740" s="60"/>
      <c r="M9740" s="64"/>
      <c r="N9740" s="33"/>
    </row>
    <row r="9741" ht="24" customHeight="1" spans="2:14">
      <c r="B9741" s="33"/>
      <c r="C9741" s="60"/>
      <c r="D9741" s="60"/>
      <c r="E9741" s="60"/>
      <c r="F9741" s="60"/>
      <c r="G9741" s="60"/>
      <c r="H9741" s="60"/>
      <c r="I9741" s="60"/>
      <c r="J9741" s="60"/>
      <c r="K9741" s="60"/>
      <c r="L9741" s="60"/>
      <c r="M9741" s="64"/>
      <c r="N9741" s="33"/>
    </row>
    <row r="9742" ht="24" customHeight="1" spans="2:14">
      <c r="B9742" s="33"/>
      <c r="C9742" s="60"/>
      <c r="D9742" s="60"/>
      <c r="E9742" s="60"/>
      <c r="F9742" s="60"/>
      <c r="G9742" s="60"/>
      <c r="H9742" s="60"/>
      <c r="I9742" s="60"/>
      <c r="J9742" s="60"/>
      <c r="K9742" s="60"/>
      <c r="L9742" s="60"/>
      <c r="M9742" s="64"/>
      <c r="N9742" s="33"/>
    </row>
    <row r="9743" ht="24" customHeight="1" spans="2:14">
      <c r="B9743" s="33"/>
      <c r="C9743" s="60"/>
      <c r="D9743" s="60"/>
      <c r="E9743" s="60"/>
      <c r="F9743" s="60"/>
      <c r="G9743" s="60"/>
      <c r="H9743" s="60"/>
      <c r="I9743" s="60"/>
      <c r="J9743" s="60"/>
      <c r="K9743" s="60"/>
      <c r="L9743" s="60"/>
      <c r="M9743" s="64"/>
      <c r="N9743" s="33"/>
    </row>
    <row r="9744" ht="24" customHeight="1" spans="2:14">
      <c r="B9744" s="33"/>
      <c r="C9744" s="60"/>
      <c r="D9744" s="60"/>
      <c r="E9744" s="60"/>
      <c r="F9744" s="60"/>
      <c r="G9744" s="60"/>
      <c r="H9744" s="60"/>
      <c r="I9744" s="60"/>
      <c r="J9744" s="60"/>
      <c r="K9744" s="60"/>
      <c r="L9744" s="60"/>
      <c r="M9744" s="64"/>
      <c r="N9744" s="33"/>
    </row>
    <row r="9745" ht="24" customHeight="1" spans="2:14">
      <c r="B9745" s="33"/>
      <c r="C9745" s="60"/>
      <c r="D9745" s="60"/>
      <c r="E9745" s="60"/>
      <c r="F9745" s="60"/>
      <c r="G9745" s="60"/>
      <c r="H9745" s="60"/>
      <c r="I9745" s="60"/>
      <c r="J9745" s="60"/>
      <c r="K9745" s="60"/>
      <c r="L9745" s="60"/>
      <c r="M9745" s="64"/>
      <c r="N9745" s="33"/>
    </row>
    <row r="9746" ht="24" customHeight="1" spans="2:14">
      <c r="B9746" s="33"/>
      <c r="C9746" s="60"/>
      <c r="D9746" s="60"/>
      <c r="E9746" s="60"/>
      <c r="F9746" s="60"/>
      <c r="G9746" s="60"/>
      <c r="H9746" s="60"/>
      <c r="I9746" s="60"/>
      <c r="J9746" s="60"/>
      <c r="K9746" s="60"/>
      <c r="L9746" s="60"/>
      <c r="M9746" s="64"/>
      <c r="N9746" s="33"/>
    </row>
    <row r="9747" ht="24" customHeight="1" spans="2:14">
      <c r="B9747" s="33"/>
      <c r="C9747" s="60"/>
      <c r="D9747" s="60"/>
      <c r="E9747" s="60"/>
      <c r="F9747" s="60"/>
      <c r="G9747" s="60"/>
      <c r="H9747" s="60"/>
      <c r="I9747" s="60"/>
      <c r="J9747" s="60"/>
      <c r="K9747" s="60"/>
      <c r="L9747" s="60"/>
      <c r="M9747" s="64"/>
      <c r="N9747" s="33"/>
    </row>
    <row r="9748" ht="24" customHeight="1" spans="2:14">
      <c r="B9748" s="33"/>
      <c r="C9748" s="60"/>
      <c r="D9748" s="60"/>
      <c r="E9748" s="60"/>
      <c r="F9748" s="60"/>
      <c r="G9748" s="60"/>
      <c r="H9748" s="60"/>
      <c r="I9748" s="60"/>
      <c r="J9748" s="60"/>
      <c r="K9748" s="60"/>
      <c r="L9748" s="60"/>
      <c r="M9748" s="64"/>
      <c r="N9748" s="33"/>
    </row>
    <row r="9749" ht="24" customHeight="1" spans="2:14">
      <c r="B9749" s="33"/>
      <c r="C9749" s="60"/>
      <c r="D9749" s="60"/>
      <c r="E9749" s="60"/>
      <c r="F9749" s="60"/>
      <c r="G9749" s="60"/>
      <c r="H9749" s="60"/>
      <c r="I9749" s="60"/>
      <c r="J9749" s="60"/>
      <c r="K9749" s="60"/>
      <c r="L9749" s="60"/>
      <c r="M9749" s="64"/>
      <c r="N9749" s="33"/>
    </row>
    <row r="9750" ht="24" customHeight="1" spans="2:14">
      <c r="B9750" s="33"/>
      <c r="C9750" s="60"/>
      <c r="D9750" s="60"/>
      <c r="E9750" s="60"/>
      <c r="F9750" s="60"/>
      <c r="G9750" s="60"/>
      <c r="H9750" s="60"/>
      <c r="I9750" s="60"/>
      <c r="J9750" s="60"/>
      <c r="K9750" s="60"/>
      <c r="L9750" s="60"/>
      <c r="M9750" s="64"/>
      <c r="N9750" s="33"/>
    </row>
    <row r="9751" ht="24" customHeight="1" spans="2:14">
      <c r="B9751" s="33"/>
      <c r="C9751" s="60"/>
      <c r="D9751" s="60"/>
      <c r="E9751" s="60"/>
      <c r="F9751" s="60"/>
      <c r="G9751" s="60"/>
      <c r="H9751" s="60"/>
      <c r="I9751" s="60"/>
      <c r="J9751" s="60"/>
      <c r="K9751" s="60"/>
      <c r="L9751" s="60"/>
      <c r="M9751" s="64"/>
      <c r="N9751" s="33"/>
    </row>
    <row r="9752" ht="24" customHeight="1" spans="2:14">
      <c r="B9752" s="33"/>
      <c r="C9752" s="60"/>
      <c r="D9752" s="60"/>
      <c r="E9752" s="60"/>
      <c r="F9752" s="60"/>
      <c r="G9752" s="60"/>
      <c r="H9752" s="60"/>
      <c r="I9752" s="60"/>
      <c r="J9752" s="60"/>
      <c r="K9752" s="60"/>
      <c r="L9752" s="60"/>
      <c r="M9752" s="64"/>
      <c r="N9752" s="33"/>
    </row>
    <row r="9753" ht="24" customHeight="1" spans="2:14">
      <c r="B9753" s="33"/>
      <c r="C9753" s="60"/>
      <c r="D9753" s="60"/>
      <c r="E9753" s="60"/>
      <c r="F9753" s="60"/>
      <c r="G9753" s="60"/>
      <c r="H9753" s="60"/>
      <c r="I9753" s="60"/>
      <c r="J9753" s="60"/>
      <c r="K9753" s="60"/>
      <c r="L9753" s="60"/>
      <c r="M9753" s="64"/>
      <c r="N9753" s="33"/>
    </row>
    <row r="9754" ht="24" customHeight="1" spans="2:14">
      <c r="B9754" s="33"/>
      <c r="C9754" s="60"/>
      <c r="D9754" s="60"/>
      <c r="E9754" s="60"/>
      <c r="F9754" s="60"/>
      <c r="G9754" s="60"/>
      <c r="H9754" s="60"/>
      <c r="I9754" s="60"/>
      <c r="J9754" s="60"/>
      <c r="K9754" s="60"/>
      <c r="L9754" s="60"/>
      <c r="M9754" s="64"/>
      <c r="N9754" s="33"/>
    </row>
    <row r="9755" ht="24" customHeight="1" spans="2:14">
      <c r="B9755" s="33"/>
      <c r="C9755" s="60"/>
      <c r="D9755" s="60"/>
      <c r="E9755" s="60"/>
      <c r="F9755" s="60"/>
      <c r="G9755" s="60"/>
      <c r="H9755" s="60"/>
      <c r="I9755" s="60"/>
      <c r="J9755" s="60"/>
      <c r="K9755" s="60"/>
      <c r="L9755" s="60"/>
      <c r="M9755" s="64"/>
      <c r="N9755" s="33"/>
    </row>
    <row r="9756" ht="24" customHeight="1" spans="2:14">
      <c r="B9756" s="33"/>
      <c r="C9756" s="60"/>
      <c r="D9756" s="60"/>
      <c r="E9756" s="60"/>
      <c r="F9756" s="60"/>
      <c r="G9756" s="60"/>
      <c r="H9756" s="60"/>
      <c r="I9756" s="60"/>
      <c r="J9756" s="60"/>
      <c r="K9756" s="60"/>
      <c r="L9756" s="60"/>
      <c r="M9756" s="64"/>
      <c r="N9756" s="33"/>
    </row>
    <row r="9757" ht="24" customHeight="1" spans="2:14">
      <c r="B9757" s="33"/>
      <c r="C9757" s="60"/>
      <c r="D9757" s="60"/>
      <c r="E9757" s="60"/>
      <c r="F9757" s="60"/>
      <c r="G9757" s="60"/>
      <c r="H9757" s="60"/>
      <c r="I9757" s="60"/>
      <c r="J9757" s="60"/>
      <c r="K9757" s="60"/>
      <c r="L9757" s="60"/>
      <c r="M9757" s="64"/>
      <c r="N9757" s="33"/>
    </row>
    <row r="9758" ht="24" customHeight="1" spans="2:14">
      <c r="B9758" s="33"/>
      <c r="C9758" s="60"/>
      <c r="D9758" s="60"/>
      <c r="E9758" s="60"/>
      <c r="F9758" s="60"/>
      <c r="G9758" s="60"/>
      <c r="H9758" s="60"/>
      <c r="I9758" s="60"/>
      <c r="J9758" s="60"/>
      <c r="K9758" s="60"/>
      <c r="L9758" s="60"/>
      <c r="M9758" s="64"/>
      <c r="N9758" s="33"/>
    </row>
    <row r="9759" ht="24" customHeight="1" spans="2:14">
      <c r="B9759" s="33"/>
      <c r="C9759" s="60"/>
      <c r="D9759" s="60"/>
      <c r="E9759" s="60"/>
      <c r="F9759" s="60"/>
      <c r="G9759" s="60"/>
      <c r="H9759" s="60"/>
      <c r="I9759" s="60"/>
      <c r="J9759" s="60"/>
      <c r="K9759" s="60"/>
      <c r="L9759" s="60"/>
      <c r="M9759" s="64"/>
      <c r="N9759" s="33"/>
    </row>
    <row r="9760" ht="24" customHeight="1" spans="2:14">
      <c r="B9760" s="33"/>
      <c r="C9760" s="60"/>
      <c r="D9760" s="60"/>
      <c r="E9760" s="60"/>
      <c r="F9760" s="60"/>
      <c r="G9760" s="60"/>
      <c r="H9760" s="60"/>
      <c r="I9760" s="60"/>
      <c r="J9760" s="60"/>
      <c r="K9760" s="60"/>
      <c r="L9760" s="60"/>
      <c r="M9760" s="64"/>
      <c r="N9760" s="33"/>
    </row>
    <row r="9761" ht="24" customHeight="1" spans="2:14">
      <c r="B9761" s="33"/>
      <c r="C9761" s="60"/>
      <c r="D9761" s="60"/>
      <c r="E9761" s="60"/>
      <c r="F9761" s="60"/>
      <c r="G9761" s="60"/>
      <c r="H9761" s="60"/>
      <c r="I9761" s="60"/>
      <c r="J9761" s="60"/>
      <c r="K9761" s="60"/>
      <c r="L9761" s="60"/>
      <c r="M9761" s="64"/>
      <c r="N9761" s="33"/>
    </row>
    <row r="9762" ht="24" customHeight="1" spans="2:14">
      <c r="B9762" s="33"/>
      <c r="C9762" s="60"/>
      <c r="D9762" s="60"/>
      <c r="E9762" s="60"/>
      <c r="F9762" s="60"/>
      <c r="G9762" s="60"/>
      <c r="H9762" s="60"/>
      <c r="I9762" s="60"/>
      <c r="J9762" s="60"/>
      <c r="K9762" s="60"/>
      <c r="L9762" s="60"/>
      <c r="M9762" s="64"/>
      <c r="N9762" s="33"/>
    </row>
    <row r="9763" ht="24" customHeight="1" spans="2:14">
      <c r="B9763" s="33"/>
      <c r="C9763" s="60"/>
      <c r="D9763" s="60"/>
      <c r="E9763" s="60"/>
      <c r="F9763" s="60"/>
      <c r="G9763" s="60"/>
      <c r="H9763" s="60"/>
      <c r="I9763" s="60"/>
      <c r="J9763" s="60"/>
      <c r="K9763" s="60"/>
      <c r="L9763" s="60"/>
      <c r="M9763" s="64"/>
      <c r="N9763" s="33"/>
    </row>
    <row r="9764" ht="24" customHeight="1" spans="2:14">
      <c r="B9764" s="33"/>
      <c r="C9764" s="60"/>
      <c r="D9764" s="60"/>
      <c r="E9764" s="60"/>
      <c r="F9764" s="60"/>
      <c r="G9764" s="60"/>
      <c r="H9764" s="60"/>
      <c r="I9764" s="60"/>
      <c r="J9764" s="60"/>
      <c r="K9764" s="60"/>
      <c r="L9764" s="60"/>
      <c r="M9764" s="64"/>
      <c r="N9764" s="33"/>
    </row>
    <row r="9765" ht="24" customHeight="1" spans="2:14">
      <c r="B9765" s="33"/>
      <c r="C9765" s="60"/>
      <c r="D9765" s="60"/>
      <c r="E9765" s="60"/>
      <c r="F9765" s="60"/>
      <c r="G9765" s="60"/>
      <c r="H9765" s="60"/>
      <c r="I9765" s="60"/>
      <c r="J9765" s="60"/>
      <c r="K9765" s="60"/>
      <c r="L9765" s="60"/>
      <c r="M9765" s="64"/>
      <c r="N9765" s="33"/>
    </row>
    <row r="9766" ht="24" customHeight="1" spans="2:14">
      <c r="B9766" s="33"/>
      <c r="C9766" s="60"/>
      <c r="D9766" s="60"/>
      <c r="E9766" s="60"/>
      <c r="F9766" s="60"/>
      <c r="G9766" s="60"/>
      <c r="H9766" s="60"/>
      <c r="I9766" s="60"/>
      <c r="J9766" s="60"/>
      <c r="K9766" s="60"/>
      <c r="L9766" s="60"/>
      <c r="M9766" s="64"/>
      <c r="N9766" s="33"/>
    </row>
    <row r="9767" ht="24" customHeight="1" spans="2:14">
      <c r="B9767" s="33"/>
      <c r="C9767" s="60"/>
      <c r="D9767" s="60"/>
      <c r="E9767" s="60"/>
      <c r="F9767" s="60"/>
      <c r="G9767" s="60"/>
      <c r="H9767" s="60"/>
      <c r="I9767" s="60"/>
      <c r="J9767" s="60"/>
      <c r="K9767" s="60"/>
      <c r="L9767" s="60"/>
      <c r="M9767" s="64"/>
      <c r="N9767" s="33"/>
    </row>
    <row r="9768" ht="24" customHeight="1" spans="2:14">
      <c r="B9768" s="33"/>
      <c r="C9768" s="60"/>
      <c r="D9768" s="60"/>
      <c r="E9768" s="60"/>
      <c r="F9768" s="60"/>
      <c r="G9768" s="60"/>
      <c r="H9768" s="60"/>
      <c r="I9768" s="60"/>
      <c r="J9768" s="60"/>
      <c r="K9768" s="60"/>
      <c r="L9768" s="60"/>
      <c r="M9768" s="64"/>
      <c r="N9768" s="33"/>
    </row>
    <row r="9769" ht="24" customHeight="1" spans="2:14">
      <c r="B9769" s="33"/>
      <c r="C9769" s="60"/>
      <c r="D9769" s="60"/>
      <c r="E9769" s="60"/>
      <c r="F9769" s="60"/>
      <c r="G9769" s="60"/>
      <c r="H9769" s="60"/>
      <c r="I9769" s="60"/>
      <c r="J9769" s="60"/>
      <c r="K9769" s="60"/>
      <c r="L9769" s="60"/>
      <c r="M9769" s="64"/>
      <c r="N9769" s="33"/>
    </row>
    <row r="9770" ht="24" customHeight="1" spans="2:14">
      <c r="B9770" s="33"/>
      <c r="C9770" s="60"/>
      <c r="D9770" s="60"/>
      <c r="E9770" s="60"/>
      <c r="F9770" s="60"/>
      <c r="G9770" s="60"/>
      <c r="H9770" s="60"/>
      <c r="I9770" s="60"/>
      <c r="J9770" s="60"/>
      <c r="K9770" s="60"/>
      <c r="L9770" s="60"/>
      <c r="M9770" s="64"/>
      <c r="N9770" s="33"/>
    </row>
    <row r="9771" ht="24" customHeight="1" spans="2:14">
      <c r="B9771" s="33"/>
      <c r="C9771" s="60"/>
      <c r="D9771" s="60"/>
      <c r="E9771" s="60"/>
      <c r="F9771" s="60"/>
      <c r="G9771" s="60"/>
      <c r="H9771" s="60"/>
      <c r="I9771" s="60"/>
      <c r="J9771" s="60"/>
      <c r="K9771" s="60"/>
      <c r="L9771" s="60"/>
      <c r="M9771" s="64"/>
      <c r="N9771" s="33"/>
    </row>
    <row r="9772" ht="24" customHeight="1" spans="2:14">
      <c r="B9772" s="33"/>
      <c r="C9772" s="60"/>
      <c r="D9772" s="60"/>
      <c r="E9772" s="60"/>
      <c r="F9772" s="60"/>
      <c r="G9772" s="60"/>
      <c r="H9772" s="60"/>
      <c r="I9772" s="60"/>
      <c r="J9772" s="60"/>
      <c r="K9772" s="60"/>
      <c r="L9772" s="60"/>
      <c r="M9772" s="64"/>
      <c r="N9772" s="33"/>
    </row>
    <row r="9773" ht="24" customHeight="1" spans="2:14">
      <c r="B9773" s="33"/>
      <c r="C9773" s="60"/>
      <c r="D9773" s="60"/>
      <c r="E9773" s="60"/>
      <c r="F9773" s="60"/>
      <c r="G9773" s="60"/>
      <c r="H9773" s="60"/>
      <c r="I9773" s="60"/>
      <c r="J9773" s="60"/>
      <c r="K9773" s="60"/>
      <c r="L9773" s="60"/>
      <c r="M9773" s="64"/>
      <c r="N9773" s="33"/>
    </row>
    <row r="9774" ht="24" customHeight="1" spans="2:14">
      <c r="B9774" s="33"/>
      <c r="C9774" s="60"/>
      <c r="D9774" s="60"/>
      <c r="E9774" s="60"/>
      <c r="F9774" s="60"/>
      <c r="G9774" s="60"/>
      <c r="H9774" s="60"/>
      <c r="I9774" s="60"/>
      <c r="J9774" s="60"/>
      <c r="K9774" s="60"/>
      <c r="L9774" s="60"/>
      <c r="M9774" s="64"/>
      <c r="N9774" s="33"/>
    </row>
    <row r="9775" ht="24" customHeight="1" spans="2:14">
      <c r="B9775" s="33"/>
      <c r="C9775" s="60"/>
      <c r="D9775" s="60"/>
      <c r="E9775" s="60"/>
      <c r="F9775" s="60"/>
      <c r="G9775" s="60"/>
      <c r="H9775" s="60"/>
      <c r="I9775" s="60"/>
      <c r="J9775" s="60"/>
      <c r="K9775" s="60"/>
      <c r="L9775" s="60"/>
      <c r="M9775" s="64"/>
      <c r="N9775" s="33"/>
    </row>
    <row r="9776" ht="24" customHeight="1" spans="2:14">
      <c r="B9776" s="33"/>
      <c r="C9776" s="60"/>
      <c r="D9776" s="60"/>
      <c r="E9776" s="60"/>
      <c r="F9776" s="60"/>
      <c r="G9776" s="60"/>
      <c r="H9776" s="60"/>
      <c r="I9776" s="60"/>
      <c r="J9776" s="60"/>
      <c r="K9776" s="60"/>
      <c r="L9776" s="60"/>
      <c r="M9776" s="64"/>
      <c r="N9776" s="33"/>
    </row>
    <row r="9777" ht="24" customHeight="1" spans="2:14">
      <c r="B9777" s="33"/>
      <c r="C9777" s="60"/>
      <c r="D9777" s="60"/>
      <c r="E9777" s="60"/>
      <c r="F9777" s="60"/>
      <c r="G9777" s="60"/>
      <c r="H9777" s="60"/>
      <c r="I9777" s="60"/>
      <c r="J9777" s="60"/>
      <c r="K9777" s="60"/>
      <c r="L9777" s="60"/>
      <c r="M9777" s="64"/>
      <c r="N9777" s="33"/>
    </row>
    <row r="9778" ht="24" customHeight="1" spans="2:14">
      <c r="B9778" s="33"/>
      <c r="C9778" s="60"/>
      <c r="D9778" s="60"/>
      <c r="E9778" s="60"/>
      <c r="F9778" s="60"/>
      <c r="G9778" s="60"/>
      <c r="H9778" s="60"/>
      <c r="I9778" s="60"/>
      <c r="J9778" s="60"/>
      <c r="K9778" s="60"/>
      <c r="L9778" s="60"/>
      <c r="M9778" s="64"/>
      <c r="N9778" s="33"/>
    </row>
    <row r="9779" ht="24" customHeight="1" spans="2:14">
      <c r="B9779" s="33"/>
      <c r="C9779" s="60"/>
      <c r="D9779" s="60"/>
      <c r="E9779" s="60"/>
      <c r="F9779" s="60"/>
      <c r="G9779" s="60"/>
      <c r="H9779" s="60"/>
      <c r="I9779" s="60"/>
      <c r="J9779" s="60"/>
      <c r="K9779" s="60"/>
      <c r="L9779" s="60"/>
      <c r="M9779" s="64"/>
      <c r="N9779" s="33"/>
    </row>
    <row r="9780" ht="24" customHeight="1" spans="2:14">
      <c r="B9780" s="33"/>
      <c r="C9780" s="60"/>
      <c r="D9780" s="60"/>
      <c r="E9780" s="60"/>
      <c r="F9780" s="60"/>
      <c r="G9780" s="60"/>
      <c r="H9780" s="60"/>
      <c r="I9780" s="60"/>
      <c r="J9780" s="60"/>
      <c r="K9780" s="60"/>
      <c r="L9780" s="60"/>
      <c r="M9780" s="64"/>
      <c r="N9780" s="33"/>
    </row>
    <row r="9781" ht="24" customHeight="1" spans="2:14">
      <c r="B9781" s="33"/>
      <c r="C9781" s="60"/>
      <c r="D9781" s="60"/>
      <c r="E9781" s="60"/>
      <c r="F9781" s="60"/>
      <c r="G9781" s="60"/>
      <c r="H9781" s="60"/>
      <c r="I9781" s="60"/>
      <c r="J9781" s="60"/>
      <c r="K9781" s="60"/>
      <c r="L9781" s="60"/>
      <c r="M9781" s="64"/>
      <c r="N9781" s="33"/>
    </row>
    <row r="9782" ht="24" customHeight="1" spans="2:14">
      <c r="B9782" s="33"/>
      <c r="C9782" s="60"/>
      <c r="D9782" s="60"/>
      <c r="E9782" s="60"/>
      <c r="F9782" s="60"/>
      <c r="G9782" s="60"/>
      <c r="H9782" s="60"/>
      <c r="I9782" s="60"/>
      <c r="J9782" s="60"/>
      <c r="K9782" s="60"/>
      <c r="L9782" s="60"/>
      <c r="M9782" s="64"/>
      <c r="N9782" s="33"/>
    </row>
    <row r="9783" ht="24" customHeight="1" spans="2:14">
      <c r="B9783" s="33"/>
      <c r="C9783" s="60"/>
      <c r="D9783" s="60"/>
      <c r="E9783" s="60"/>
      <c r="F9783" s="60"/>
      <c r="G9783" s="60"/>
      <c r="H9783" s="60"/>
      <c r="I9783" s="60"/>
      <c r="J9783" s="60"/>
      <c r="K9783" s="60"/>
      <c r="L9783" s="60"/>
      <c r="M9783" s="64"/>
      <c r="N9783" s="33"/>
    </row>
    <row r="9784" ht="24" customHeight="1" spans="2:14">
      <c r="B9784" s="33"/>
      <c r="C9784" s="60"/>
      <c r="D9784" s="60"/>
      <c r="E9784" s="60"/>
      <c r="F9784" s="60"/>
      <c r="G9784" s="60"/>
      <c r="H9784" s="60"/>
      <c r="I9784" s="60"/>
      <c r="J9784" s="60"/>
      <c r="K9784" s="60"/>
      <c r="L9784" s="60"/>
      <c r="M9784" s="64"/>
      <c r="N9784" s="33"/>
    </row>
    <row r="9785" ht="24" customHeight="1" spans="2:14">
      <c r="B9785" s="33"/>
      <c r="C9785" s="60"/>
      <c r="D9785" s="60"/>
      <c r="E9785" s="60"/>
      <c r="F9785" s="60"/>
      <c r="G9785" s="60"/>
      <c r="H9785" s="60"/>
      <c r="I9785" s="60"/>
      <c r="J9785" s="60"/>
      <c r="K9785" s="60"/>
      <c r="L9785" s="60"/>
      <c r="M9785" s="64"/>
      <c r="N9785" s="33"/>
    </row>
    <row r="9786" ht="24" customHeight="1" spans="2:14">
      <c r="B9786" s="33"/>
      <c r="C9786" s="60"/>
      <c r="D9786" s="60"/>
      <c r="E9786" s="60"/>
      <c r="F9786" s="60"/>
      <c r="G9786" s="60"/>
      <c r="H9786" s="60"/>
      <c r="I9786" s="60"/>
      <c r="J9786" s="60"/>
      <c r="K9786" s="60"/>
      <c r="L9786" s="60"/>
      <c r="M9786" s="64"/>
      <c r="N9786" s="33"/>
    </row>
    <row r="9787" ht="24" customHeight="1" spans="2:14">
      <c r="B9787" s="33"/>
      <c r="C9787" s="60"/>
      <c r="D9787" s="60"/>
      <c r="E9787" s="60"/>
      <c r="F9787" s="60"/>
      <c r="G9787" s="60"/>
      <c r="H9787" s="60"/>
      <c r="I9787" s="60"/>
      <c r="J9787" s="60"/>
      <c r="K9787" s="60"/>
      <c r="L9787" s="60"/>
      <c r="M9787" s="64"/>
      <c r="N9787" s="33"/>
    </row>
    <row r="9788" ht="24" customHeight="1" spans="2:14">
      <c r="B9788" s="33"/>
      <c r="C9788" s="60"/>
      <c r="D9788" s="60"/>
      <c r="E9788" s="60"/>
      <c r="F9788" s="60"/>
      <c r="G9788" s="60"/>
      <c r="H9788" s="60"/>
      <c r="I9788" s="60"/>
      <c r="J9788" s="60"/>
      <c r="K9788" s="60"/>
      <c r="L9788" s="60"/>
      <c r="M9788" s="64"/>
      <c r="N9788" s="33"/>
    </row>
    <row r="9789" ht="24" customHeight="1" spans="2:14">
      <c r="B9789" s="33"/>
      <c r="C9789" s="60"/>
      <c r="D9789" s="60"/>
      <c r="E9789" s="60"/>
      <c r="F9789" s="60"/>
      <c r="G9789" s="60"/>
      <c r="H9789" s="60"/>
      <c r="I9789" s="60"/>
      <c r="J9789" s="60"/>
      <c r="K9789" s="60"/>
      <c r="L9789" s="60"/>
      <c r="M9789" s="64"/>
      <c r="N9789" s="33"/>
    </row>
    <row r="9790" ht="24" customHeight="1" spans="2:14">
      <c r="B9790" s="33"/>
      <c r="C9790" s="60"/>
      <c r="D9790" s="60"/>
      <c r="E9790" s="60"/>
      <c r="F9790" s="60"/>
      <c r="G9790" s="60"/>
      <c r="H9790" s="60"/>
      <c r="I9790" s="60"/>
      <c r="J9790" s="60"/>
      <c r="K9790" s="60"/>
      <c r="L9790" s="60"/>
      <c r="M9790" s="64"/>
      <c r="N9790" s="33"/>
    </row>
    <row r="9791" ht="24" customHeight="1" spans="2:14">
      <c r="B9791" s="33"/>
      <c r="C9791" s="60"/>
      <c r="D9791" s="60"/>
      <c r="E9791" s="60"/>
      <c r="F9791" s="60"/>
      <c r="G9791" s="60"/>
      <c r="H9791" s="60"/>
      <c r="I9791" s="60"/>
      <c r="J9791" s="60"/>
      <c r="K9791" s="60"/>
      <c r="L9791" s="60"/>
      <c r="M9791" s="64"/>
      <c r="N9791" s="33"/>
    </row>
    <row r="9792" ht="24" customHeight="1" spans="2:14">
      <c r="B9792" s="33"/>
      <c r="C9792" s="60"/>
      <c r="D9792" s="60"/>
      <c r="E9792" s="60"/>
      <c r="F9792" s="60"/>
      <c r="G9792" s="60"/>
      <c r="H9792" s="60"/>
      <c r="I9792" s="60"/>
      <c r="J9792" s="60"/>
      <c r="K9792" s="60"/>
      <c r="L9792" s="60"/>
      <c r="M9792" s="64"/>
      <c r="N9792" s="33"/>
    </row>
    <row r="9793" ht="24" customHeight="1" spans="2:14">
      <c r="B9793" s="33"/>
      <c r="C9793" s="60"/>
      <c r="D9793" s="60"/>
      <c r="E9793" s="60"/>
      <c r="F9793" s="60"/>
      <c r="G9793" s="60"/>
      <c r="H9793" s="60"/>
      <c r="I9793" s="60"/>
      <c r="J9793" s="60"/>
      <c r="K9793" s="60"/>
      <c r="L9793" s="60"/>
      <c r="M9793" s="64"/>
      <c r="N9793" s="33"/>
    </row>
    <row r="9794" ht="24" customHeight="1" spans="2:14">
      <c r="B9794" s="33"/>
      <c r="C9794" s="60"/>
      <c r="D9794" s="60"/>
      <c r="E9794" s="60"/>
      <c r="F9794" s="60"/>
      <c r="G9794" s="60"/>
      <c r="H9794" s="60"/>
      <c r="I9794" s="60"/>
      <c r="J9794" s="60"/>
      <c r="K9794" s="60"/>
      <c r="L9794" s="60"/>
      <c r="M9794" s="64"/>
      <c r="N9794" s="33"/>
    </row>
    <row r="9795" ht="24" customHeight="1" spans="2:14">
      <c r="B9795" s="33"/>
      <c r="C9795" s="60"/>
      <c r="D9795" s="60"/>
      <c r="E9795" s="60"/>
      <c r="F9795" s="60"/>
      <c r="G9795" s="60"/>
      <c r="H9795" s="60"/>
      <c r="I9795" s="60"/>
      <c r="J9795" s="60"/>
      <c r="K9795" s="60"/>
      <c r="L9795" s="60"/>
      <c r="M9795" s="64"/>
      <c r="N9795" s="33"/>
    </row>
    <row r="9796" ht="24" customHeight="1" spans="2:14">
      <c r="B9796" s="33"/>
      <c r="C9796" s="60"/>
      <c r="D9796" s="60"/>
      <c r="E9796" s="60"/>
      <c r="F9796" s="60"/>
      <c r="G9796" s="60"/>
      <c r="H9796" s="60"/>
      <c r="I9796" s="60"/>
      <c r="J9796" s="60"/>
      <c r="K9796" s="60"/>
      <c r="L9796" s="60"/>
      <c r="M9796" s="64"/>
      <c r="N9796" s="33"/>
    </row>
    <row r="9797" ht="24" customHeight="1" spans="2:14">
      <c r="B9797" s="33"/>
      <c r="C9797" s="60"/>
      <c r="D9797" s="60"/>
      <c r="E9797" s="60"/>
      <c r="F9797" s="60"/>
      <c r="G9797" s="60"/>
      <c r="H9797" s="60"/>
      <c r="I9797" s="60"/>
      <c r="J9797" s="60"/>
      <c r="K9797" s="60"/>
      <c r="L9797" s="60"/>
      <c r="M9797" s="64"/>
      <c r="N9797" s="33"/>
    </row>
    <row r="9798" ht="24" customHeight="1" spans="2:14">
      <c r="B9798" s="33"/>
      <c r="C9798" s="60"/>
      <c r="D9798" s="60"/>
      <c r="E9798" s="60"/>
      <c r="F9798" s="60"/>
      <c r="G9798" s="60"/>
      <c r="H9798" s="60"/>
      <c r="I9798" s="60"/>
      <c r="J9798" s="60"/>
      <c r="K9798" s="60"/>
      <c r="L9798" s="60"/>
      <c r="M9798" s="64"/>
      <c r="N9798" s="33"/>
    </row>
    <row r="9799" ht="24" customHeight="1" spans="2:14">
      <c r="B9799" s="33"/>
      <c r="C9799" s="60"/>
      <c r="D9799" s="60"/>
      <c r="E9799" s="60"/>
      <c r="F9799" s="60"/>
      <c r="G9799" s="60"/>
      <c r="H9799" s="60"/>
      <c r="I9799" s="60"/>
      <c r="J9799" s="60"/>
      <c r="K9799" s="60"/>
      <c r="L9799" s="60"/>
      <c r="M9799" s="64"/>
      <c r="N9799" s="33"/>
    </row>
    <row r="9800" ht="24" customHeight="1" spans="2:14">
      <c r="B9800" s="33"/>
      <c r="C9800" s="60"/>
      <c r="D9800" s="60"/>
      <c r="E9800" s="60"/>
      <c r="F9800" s="60"/>
      <c r="G9800" s="60"/>
      <c r="H9800" s="60"/>
      <c r="I9800" s="60"/>
      <c r="J9800" s="60"/>
      <c r="K9800" s="60"/>
      <c r="L9800" s="60"/>
      <c r="M9800" s="64"/>
      <c r="N9800" s="33"/>
    </row>
    <row r="9801" ht="24" customHeight="1" spans="2:14">
      <c r="B9801" s="33"/>
      <c r="C9801" s="60"/>
      <c r="D9801" s="60"/>
      <c r="E9801" s="60"/>
      <c r="F9801" s="60"/>
      <c r="G9801" s="60"/>
      <c r="H9801" s="60"/>
      <c r="I9801" s="60"/>
      <c r="J9801" s="60"/>
      <c r="K9801" s="60"/>
      <c r="L9801" s="60"/>
      <c r="M9801" s="64"/>
      <c r="N9801" s="33"/>
    </row>
    <row r="9802" ht="24" customHeight="1" spans="2:14">
      <c r="B9802" s="33"/>
      <c r="C9802" s="60"/>
      <c r="D9802" s="60"/>
      <c r="E9802" s="60"/>
      <c r="F9802" s="60"/>
      <c r="G9802" s="60"/>
      <c r="H9802" s="60"/>
      <c r="I9802" s="60"/>
      <c r="J9802" s="60"/>
      <c r="K9802" s="60"/>
      <c r="L9802" s="60"/>
      <c r="M9802" s="64"/>
      <c r="N9802" s="33"/>
    </row>
    <row r="9803" ht="24" customHeight="1" spans="2:14">
      <c r="B9803" s="33"/>
      <c r="C9803" s="60"/>
      <c r="D9803" s="60"/>
      <c r="E9803" s="60"/>
      <c r="F9803" s="60"/>
      <c r="G9803" s="60"/>
      <c r="H9803" s="60"/>
      <c r="I9803" s="60"/>
      <c r="J9803" s="60"/>
      <c r="K9803" s="60"/>
      <c r="L9803" s="60"/>
      <c r="M9803" s="64"/>
      <c r="N9803" s="33"/>
    </row>
    <row r="9804" ht="24" customHeight="1" spans="2:14">
      <c r="B9804" s="33"/>
      <c r="C9804" s="60"/>
      <c r="D9804" s="60"/>
      <c r="E9804" s="60"/>
      <c r="F9804" s="60"/>
      <c r="G9804" s="60"/>
      <c r="H9804" s="60"/>
      <c r="I9804" s="60"/>
      <c r="J9804" s="60"/>
      <c r="K9804" s="60"/>
      <c r="L9804" s="60"/>
      <c r="M9804" s="64"/>
      <c r="N9804" s="33"/>
    </row>
    <row r="9805" ht="24" customHeight="1" spans="2:14">
      <c r="B9805" s="33"/>
      <c r="C9805" s="60"/>
      <c r="D9805" s="60"/>
      <c r="E9805" s="60"/>
      <c r="F9805" s="60"/>
      <c r="G9805" s="60"/>
      <c r="H9805" s="60"/>
      <c r="I9805" s="60"/>
      <c r="J9805" s="60"/>
      <c r="K9805" s="60"/>
      <c r="L9805" s="60"/>
      <c r="M9805" s="64"/>
      <c r="N9805" s="33"/>
    </row>
    <row r="9806" ht="24" customHeight="1" spans="2:14">
      <c r="B9806" s="33"/>
      <c r="C9806" s="60"/>
      <c r="D9806" s="60"/>
      <c r="E9806" s="60"/>
      <c r="F9806" s="60"/>
      <c r="G9806" s="60"/>
      <c r="H9806" s="60"/>
      <c r="I9806" s="60"/>
      <c r="J9806" s="60"/>
      <c r="K9806" s="60"/>
      <c r="L9806" s="60"/>
      <c r="M9806" s="64"/>
      <c r="N9806" s="33"/>
    </row>
    <row r="9807" ht="24" customHeight="1" spans="2:14">
      <c r="B9807" s="33"/>
      <c r="C9807" s="60"/>
      <c r="D9807" s="60"/>
      <c r="E9807" s="60"/>
      <c r="F9807" s="60"/>
      <c r="G9807" s="60"/>
      <c r="H9807" s="60"/>
      <c r="I9807" s="60"/>
      <c r="J9807" s="60"/>
      <c r="K9807" s="60"/>
      <c r="L9807" s="60"/>
      <c r="M9807" s="64"/>
      <c r="N9807" s="33"/>
    </row>
    <row r="9808" ht="24" customHeight="1" spans="2:14">
      <c r="B9808" s="33"/>
      <c r="C9808" s="60"/>
      <c r="D9808" s="60"/>
      <c r="E9808" s="60"/>
      <c r="F9808" s="60"/>
      <c r="G9808" s="60"/>
      <c r="H9808" s="60"/>
      <c r="I9808" s="60"/>
      <c r="J9808" s="60"/>
      <c r="K9808" s="60"/>
      <c r="L9808" s="60"/>
      <c r="M9808" s="64"/>
      <c r="N9808" s="33"/>
    </row>
    <row r="9809" ht="24" customHeight="1" spans="2:14">
      <c r="B9809" s="33"/>
      <c r="C9809" s="60"/>
      <c r="D9809" s="60"/>
      <c r="E9809" s="60"/>
      <c r="F9809" s="60"/>
      <c r="G9809" s="60"/>
      <c r="H9809" s="60"/>
      <c r="I9809" s="60"/>
      <c r="J9809" s="60"/>
      <c r="K9809" s="60"/>
      <c r="L9809" s="60"/>
      <c r="M9809" s="64"/>
      <c r="N9809" s="33"/>
    </row>
    <row r="9810" ht="24" customHeight="1" spans="2:14">
      <c r="B9810" s="33"/>
      <c r="C9810" s="60"/>
      <c r="D9810" s="60"/>
      <c r="E9810" s="60"/>
      <c r="F9810" s="60"/>
      <c r="G9810" s="60"/>
      <c r="H9810" s="60"/>
      <c r="I9810" s="60"/>
      <c r="J9810" s="60"/>
      <c r="K9810" s="60"/>
      <c r="L9810" s="60"/>
      <c r="M9810" s="64"/>
      <c r="N9810" s="33"/>
    </row>
    <row r="9811" ht="24" customHeight="1" spans="2:14">
      <c r="B9811" s="33"/>
      <c r="C9811" s="60"/>
      <c r="D9811" s="60"/>
      <c r="E9811" s="60"/>
      <c r="F9811" s="60"/>
      <c r="G9811" s="60"/>
      <c r="H9811" s="60"/>
      <c r="I9811" s="60"/>
      <c r="J9811" s="60"/>
      <c r="K9811" s="60"/>
      <c r="L9811" s="60"/>
      <c r="M9811" s="64"/>
      <c r="N9811" s="33"/>
    </row>
    <row r="9812" ht="24" customHeight="1" spans="2:14">
      <c r="B9812" s="33"/>
      <c r="C9812" s="60"/>
      <c r="D9812" s="60"/>
      <c r="E9812" s="60"/>
      <c r="F9812" s="60"/>
      <c r="G9812" s="60"/>
      <c r="H9812" s="60"/>
      <c r="I9812" s="60"/>
      <c r="J9812" s="60"/>
      <c r="K9812" s="60"/>
      <c r="L9812" s="60"/>
      <c r="M9812" s="64"/>
      <c r="N9812" s="33"/>
    </row>
    <row r="9813" ht="24" customHeight="1" spans="2:14">
      <c r="B9813" s="33"/>
      <c r="C9813" s="60"/>
      <c r="D9813" s="60"/>
      <c r="E9813" s="60"/>
      <c r="F9813" s="60"/>
      <c r="G9813" s="60"/>
      <c r="H9813" s="60"/>
      <c r="I9813" s="60"/>
      <c r="J9813" s="60"/>
      <c r="K9813" s="60"/>
      <c r="L9813" s="60"/>
      <c r="M9813" s="64"/>
      <c r="N9813" s="33"/>
    </row>
    <row r="9814" ht="24" customHeight="1" spans="2:14">
      <c r="B9814" s="33"/>
      <c r="C9814" s="60"/>
      <c r="D9814" s="60"/>
      <c r="E9814" s="60"/>
      <c r="F9814" s="60"/>
      <c r="G9814" s="60"/>
      <c r="H9814" s="60"/>
      <c r="I9814" s="60"/>
      <c r="J9814" s="60"/>
      <c r="K9814" s="60"/>
      <c r="L9814" s="60"/>
      <c r="M9814" s="64"/>
      <c r="N9814" s="33"/>
    </row>
    <row r="9815" ht="24" customHeight="1" spans="2:14">
      <c r="B9815" s="33"/>
      <c r="C9815" s="60"/>
      <c r="D9815" s="60"/>
      <c r="E9815" s="60"/>
      <c r="F9815" s="60"/>
      <c r="G9815" s="60"/>
      <c r="H9815" s="60"/>
      <c r="I9815" s="60"/>
      <c r="J9815" s="60"/>
      <c r="K9815" s="60"/>
      <c r="L9815" s="60"/>
      <c r="M9815" s="64"/>
      <c r="N9815" s="33"/>
    </row>
    <row r="9816" ht="24" customHeight="1" spans="2:14">
      <c r="B9816" s="33"/>
      <c r="C9816" s="60"/>
      <c r="D9816" s="60"/>
      <c r="E9816" s="60"/>
      <c r="F9816" s="60"/>
      <c r="G9816" s="60"/>
      <c r="H9816" s="60"/>
      <c r="I9816" s="60"/>
      <c r="J9816" s="60"/>
      <c r="K9816" s="60"/>
      <c r="L9816" s="60"/>
      <c r="M9816" s="64"/>
      <c r="N9816" s="33"/>
    </row>
    <row r="9817" ht="24" customHeight="1" spans="2:14">
      <c r="B9817" s="33"/>
      <c r="C9817" s="60"/>
      <c r="D9817" s="60"/>
      <c r="E9817" s="60"/>
      <c r="F9817" s="60"/>
      <c r="G9817" s="60"/>
      <c r="H9817" s="60"/>
      <c r="I9817" s="60"/>
      <c r="J9817" s="60"/>
      <c r="K9817" s="60"/>
      <c r="L9817" s="60"/>
      <c r="M9817" s="64"/>
      <c r="N9817" s="33"/>
    </row>
    <row r="9818" ht="24" customHeight="1" spans="2:14">
      <c r="B9818" s="33"/>
      <c r="C9818" s="60"/>
      <c r="D9818" s="60"/>
      <c r="E9818" s="60"/>
      <c r="F9818" s="60"/>
      <c r="G9818" s="60"/>
      <c r="H9818" s="60"/>
      <c r="I9818" s="60"/>
      <c r="J9818" s="60"/>
      <c r="K9818" s="60"/>
      <c r="L9818" s="60"/>
      <c r="M9818" s="64"/>
      <c r="N9818" s="33"/>
    </row>
    <row r="9819" ht="24" customHeight="1" spans="2:14">
      <c r="B9819" s="33"/>
      <c r="C9819" s="60"/>
      <c r="D9819" s="60"/>
      <c r="E9819" s="60"/>
      <c r="F9819" s="60"/>
      <c r="G9819" s="60"/>
      <c r="H9819" s="60"/>
      <c r="I9819" s="60"/>
      <c r="J9819" s="60"/>
      <c r="K9819" s="60"/>
      <c r="L9819" s="60"/>
      <c r="M9819" s="64"/>
      <c r="N9819" s="33"/>
    </row>
    <row r="9820" ht="24" customHeight="1" spans="2:14">
      <c r="B9820" s="33"/>
      <c r="C9820" s="60"/>
      <c r="D9820" s="60"/>
      <c r="E9820" s="60"/>
      <c r="F9820" s="60"/>
      <c r="G9820" s="60"/>
      <c r="H9820" s="60"/>
      <c r="I9820" s="60"/>
      <c r="J9820" s="60"/>
      <c r="K9820" s="60"/>
      <c r="L9820" s="60"/>
      <c r="M9820" s="64"/>
      <c r="N9820" s="33"/>
    </row>
    <row r="9821" ht="24" customHeight="1" spans="2:14">
      <c r="B9821" s="33"/>
      <c r="C9821" s="60"/>
      <c r="D9821" s="60"/>
      <c r="E9821" s="60"/>
      <c r="F9821" s="60"/>
      <c r="G9821" s="60"/>
      <c r="H9821" s="60"/>
      <c r="I9821" s="60"/>
      <c r="J9821" s="60"/>
      <c r="K9821" s="60"/>
      <c r="L9821" s="60"/>
      <c r="M9821" s="64"/>
      <c r="N9821" s="33"/>
    </row>
    <row r="9822" ht="24" customHeight="1" spans="2:14">
      <c r="B9822" s="33"/>
      <c r="C9822" s="60"/>
      <c r="D9822" s="60"/>
      <c r="E9822" s="60"/>
      <c r="F9822" s="60"/>
      <c r="G9822" s="60"/>
      <c r="H9822" s="60"/>
      <c r="I9822" s="60"/>
      <c r="J9822" s="60"/>
      <c r="K9822" s="60"/>
      <c r="L9822" s="60"/>
      <c r="M9822" s="64"/>
      <c r="N9822" s="33"/>
    </row>
    <row r="9823" ht="24" customHeight="1" spans="2:14">
      <c r="B9823" s="33"/>
      <c r="C9823" s="60"/>
      <c r="D9823" s="60"/>
      <c r="E9823" s="60"/>
      <c r="F9823" s="60"/>
      <c r="G9823" s="60"/>
      <c r="H9823" s="60"/>
      <c r="I9823" s="60"/>
      <c r="J9823" s="60"/>
      <c r="K9823" s="60"/>
      <c r="L9823" s="60"/>
      <c r="M9823" s="64"/>
      <c r="N9823" s="33"/>
    </row>
    <row r="9824" ht="24" customHeight="1" spans="2:14">
      <c r="B9824" s="33"/>
      <c r="C9824" s="60"/>
      <c r="D9824" s="60"/>
      <c r="E9824" s="60"/>
      <c r="F9824" s="60"/>
      <c r="G9824" s="60"/>
      <c r="H9824" s="60"/>
      <c r="I9824" s="60"/>
      <c r="J9824" s="60"/>
      <c r="K9824" s="60"/>
      <c r="L9824" s="60"/>
      <c r="M9824" s="64"/>
      <c r="N9824" s="33"/>
    </row>
    <row r="9825" ht="24" customHeight="1" spans="2:14">
      <c r="B9825" s="33"/>
      <c r="C9825" s="60"/>
      <c r="D9825" s="60"/>
      <c r="E9825" s="60"/>
      <c r="F9825" s="60"/>
      <c r="G9825" s="60"/>
      <c r="H9825" s="60"/>
      <c r="I9825" s="60"/>
      <c r="J9825" s="60"/>
      <c r="K9825" s="60"/>
      <c r="L9825" s="60"/>
      <c r="M9825" s="64"/>
      <c r="N9825" s="33"/>
    </row>
    <row r="9826" ht="24" customHeight="1" spans="2:14">
      <c r="B9826" s="33"/>
      <c r="C9826" s="60"/>
      <c r="D9826" s="60"/>
      <c r="E9826" s="60"/>
      <c r="F9826" s="60"/>
      <c r="G9826" s="60"/>
      <c r="H9826" s="60"/>
      <c r="I9826" s="60"/>
      <c r="J9826" s="60"/>
      <c r="K9826" s="60"/>
      <c r="L9826" s="60"/>
      <c r="M9826" s="64"/>
      <c r="N9826" s="33"/>
    </row>
    <row r="9827" ht="24" customHeight="1" spans="2:14">
      <c r="B9827" s="33"/>
      <c r="C9827" s="60"/>
      <c r="D9827" s="60"/>
      <c r="E9827" s="60"/>
      <c r="F9827" s="60"/>
      <c r="G9827" s="60"/>
      <c r="H9827" s="60"/>
      <c r="I9827" s="60"/>
      <c r="J9827" s="60"/>
      <c r="K9827" s="60"/>
      <c r="L9827" s="60"/>
      <c r="M9827" s="64"/>
      <c r="N9827" s="33"/>
    </row>
    <row r="9828" ht="24" customHeight="1" spans="2:14">
      <c r="B9828" s="33"/>
      <c r="C9828" s="60"/>
      <c r="D9828" s="60"/>
      <c r="E9828" s="60"/>
      <c r="F9828" s="60"/>
      <c r="G9828" s="60"/>
      <c r="H9828" s="60"/>
      <c r="I9828" s="60"/>
      <c r="J9828" s="60"/>
      <c r="K9828" s="60"/>
      <c r="L9828" s="60"/>
      <c r="M9828" s="64"/>
      <c r="N9828" s="33"/>
    </row>
    <row r="9829" ht="24" customHeight="1" spans="2:14">
      <c r="B9829" s="33"/>
      <c r="C9829" s="60"/>
      <c r="D9829" s="60"/>
      <c r="E9829" s="60"/>
      <c r="F9829" s="60"/>
      <c r="G9829" s="60"/>
      <c r="H9829" s="60"/>
      <c r="I9829" s="60"/>
      <c r="J9829" s="60"/>
      <c r="K9829" s="60"/>
      <c r="L9829" s="60"/>
      <c r="M9829" s="64"/>
      <c r="N9829" s="33"/>
    </row>
    <row r="9830" ht="24" customHeight="1" spans="2:14">
      <c r="B9830" s="33"/>
      <c r="C9830" s="60"/>
      <c r="D9830" s="60"/>
      <c r="E9830" s="60"/>
      <c r="F9830" s="60"/>
      <c r="G9830" s="60"/>
      <c r="H9830" s="60"/>
      <c r="I9830" s="60"/>
      <c r="J9830" s="60"/>
      <c r="K9830" s="60"/>
      <c r="L9830" s="60"/>
      <c r="M9830" s="64"/>
      <c r="N9830" s="33"/>
    </row>
    <row r="9831" ht="24" customHeight="1" spans="2:14">
      <c r="B9831" s="33"/>
      <c r="C9831" s="60"/>
      <c r="D9831" s="60"/>
      <c r="E9831" s="60"/>
      <c r="F9831" s="60"/>
      <c r="G9831" s="60"/>
      <c r="H9831" s="60"/>
      <c r="I9831" s="60"/>
      <c r="J9831" s="60"/>
      <c r="K9831" s="60"/>
      <c r="L9831" s="60"/>
      <c r="M9831" s="64"/>
      <c r="N9831" s="33"/>
    </row>
    <row r="9832" ht="24" customHeight="1" spans="2:14">
      <c r="B9832" s="33"/>
      <c r="C9832" s="60"/>
      <c r="D9832" s="60"/>
      <c r="E9832" s="60"/>
      <c r="F9832" s="60"/>
      <c r="G9832" s="60"/>
      <c r="H9832" s="60"/>
      <c r="I9832" s="60"/>
      <c r="J9832" s="60"/>
      <c r="K9832" s="60"/>
      <c r="L9832" s="60"/>
      <c r="M9832" s="64"/>
      <c r="N9832" s="33"/>
    </row>
    <row r="9833" ht="24" customHeight="1" spans="2:14">
      <c r="B9833" s="33"/>
      <c r="C9833" s="60"/>
      <c r="D9833" s="60"/>
      <c r="E9833" s="60"/>
      <c r="F9833" s="60"/>
      <c r="G9833" s="60"/>
      <c r="H9833" s="60"/>
      <c r="I9833" s="60"/>
      <c r="J9833" s="60"/>
      <c r="K9833" s="60"/>
      <c r="L9833" s="60"/>
      <c r="M9833" s="64"/>
      <c r="N9833" s="33"/>
    </row>
    <row r="9834" ht="24" customHeight="1" spans="2:14">
      <c r="B9834" s="33"/>
      <c r="C9834" s="60"/>
      <c r="D9834" s="60"/>
      <c r="E9834" s="60"/>
      <c r="F9834" s="60"/>
      <c r="G9834" s="60"/>
      <c r="H9834" s="60"/>
      <c r="I9834" s="60"/>
      <c r="J9834" s="60"/>
      <c r="K9834" s="60"/>
      <c r="L9834" s="60"/>
      <c r="M9834" s="64"/>
      <c r="N9834" s="33"/>
    </row>
    <row r="9835" ht="24" customHeight="1" spans="2:14">
      <c r="B9835" s="33"/>
      <c r="C9835" s="60"/>
      <c r="D9835" s="60"/>
      <c r="E9835" s="60"/>
      <c r="F9835" s="60"/>
      <c r="G9835" s="60"/>
      <c r="H9835" s="60"/>
      <c r="I9835" s="60"/>
      <c r="J9835" s="60"/>
      <c r="K9835" s="60"/>
      <c r="L9835" s="60"/>
      <c r="M9835" s="64"/>
      <c r="N9835" s="33"/>
    </row>
    <row r="9836" ht="24" customHeight="1" spans="2:14">
      <c r="B9836" s="33"/>
      <c r="C9836" s="60"/>
      <c r="D9836" s="60"/>
      <c r="E9836" s="60"/>
      <c r="F9836" s="60"/>
      <c r="G9836" s="60"/>
      <c r="H9836" s="60"/>
      <c r="I9836" s="60"/>
      <c r="J9836" s="60"/>
      <c r="K9836" s="60"/>
      <c r="L9836" s="60"/>
      <c r="M9836" s="64"/>
      <c r="N9836" s="33"/>
    </row>
    <row r="9837" ht="24" customHeight="1" spans="2:14">
      <c r="B9837" s="33"/>
      <c r="C9837" s="60"/>
      <c r="D9837" s="60"/>
      <c r="E9837" s="60"/>
      <c r="F9837" s="60"/>
      <c r="G9837" s="60"/>
      <c r="H9837" s="60"/>
      <c r="I9837" s="60"/>
      <c r="J9837" s="60"/>
      <c r="K9837" s="60"/>
      <c r="L9837" s="60"/>
      <c r="M9837" s="64"/>
      <c r="N9837" s="33"/>
    </row>
    <row r="9838" ht="24" customHeight="1" spans="2:14">
      <c r="B9838" s="33"/>
      <c r="C9838" s="60"/>
      <c r="D9838" s="60"/>
      <c r="E9838" s="60"/>
      <c r="F9838" s="60"/>
      <c r="G9838" s="60"/>
      <c r="H9838" s="60"/>
      <c r="I9838" s="60"/>
      <c r="J9838" s="60"/>
      <c r="K9838" s="60"/>
      <c r="L9838" s="60"/>
      <c r="M9838" s="64"/>
      <c r="N9838" s="33"/>
    </row>
    <row r="9839" ht="24" customHeight="1" spans="2:14">
      <c r="B9839" s="33"/>
      <c r="C9839" s="60"/>
      <c r="D9839" s="60"/>
      <c r="E9839" s="60"/>
      <c r="F9839" s="60"/>
      <c r="G9839" s="60"/>
      <c r="H9839" s="60"/>
      <c r="I9839" s="60"/>
      <c r="J9839" s="60"/>
      <c r="K9839" s="60"/>
      <c r="L9839" s="60"/>
      <c r="M9839" s="64"/>
      <c r="N9839" s="33"/>
    </row>
    <row r="9840" ht="24" customHeight="1" spans="2:14">
      <c r="B9840" s="33"/>
      <c r="C9840" s="60"/>
      <c r="D9840" s="60"/>
      <c r="E9840" s="60"/>
      <c r="F9840" s="60"/>
      <c r="G9840" s="60"/>
      <c r="H9840" s="60"/>
      <c r="I9840" s="60"/>
      <c r="J9840" s="60"/>
      <c r="K9840" s="60"/>
      <c r="L9840" s="60"/>
      <c r="M9840" s="64"/>
      <c r="N9840" s="33"/>
    </row>
    <row r="9841" ht="24" customHeight="1" spans="2:14">
      <c r="B9841" s="33"/>
      <c r="C9841" s="60"/>
      <c r="D9841" s="60"/>
      <c r="E9841" s="60"/>
      <c r="F9841" s="60"/>
      <c r="G9841" s="60"/>
      <c r="H9841" s="60"/>
      <c r="I9841" s="60"/>
      <c r="J9841" s="60"/>
      <c r="K9841" s="60"/>
      <c r="L9841" s="60"/>
      <c r="M9841" s="64"/>
      <c r="N9841" s="33"/>
    </row>
    <row r="9842" ht="24" customHeight="1" spans="2:14">
      <c r="B9842" s="33"/>
      <c r="C9842" s="60"/>
      <c r="D9842" s="60"/>
      <c r="E9842" s="60"/>
      <c r="F9842" s="60"/>
      <c r="G9842" s="60"/>
      <c r="H9842" s="60"/>
      <c r="I9842" s="60"/>
      <c r="J9842" s="60"/>
      <c r="K9842" s="60"/>
      <c r="L9842" s="60"/>
      <c r="M9842" s="64"/>
      <c r="N9842" s="33"/>
    </row>
    <row r="9843" ht="24" customHeight="1" spans="2:14">
      <c r="B9843" s="33"/>
      <c r="C9843" s="60"/>
      <c r="D9843" s="60"/>
      <c r="E9843" s="60"/>
      <c r="F9843" s="60"/>
      <c r="G9843" s="60"/>
      <c r="H9843" s="60"/>
      <c r="I9843" s="60"/>
      <c r="J9843" s="60"/>
      <c r="K9843" s="60"/>
      <c r="L9843" s="60"/>
      <c r="M9843" s="64"/>
      <c r="N9843" s="33"/>
    </row>
    <row r="9844" ht="24" customHeight="1" spans="2:14">
      <c r="B9844" s="33"/>
      <c r="C9844" s="60"/>
      <c r="D9844" s="60"/>
      <c r="E9844" s="60"/>
      <c r="F9844" s="60"/>
      <c r="G9844" s="60"/>
      <c r="H9844" s="60"/>
      <c r="I9844" s="60"/>
      <c r="J9844" s="60"/>
      <c r="K9844" s="60"/>
      <c r="L9844" s="60"/>
      <c r="M9844" s="64"/>
      <c r="N9844" s="33"/>
    </row>
    <row r="9845" ht="24" customHeight="1" spans="2:14">
      <c r="B9845" s="33"/>
      <c r="C9845" s="60"/>
      <c r="D9845" s="60"/>
      <c r="E9845" s="60"/>
      <c r="F9845" s="60"/>
      <c r="G9845" s="60"/>
      <c r="H9845" s="60"/>
      <c r="I9845" s="60"/>
      <c r="J9845" s="60"/>
      <c r="K9845" s="60"/>
      <c r="L9845" s="60"/>
      <c r="M9845" s="64"/>
      <c r="N9845" s="33"/>
    </row>
    <row r="9846" ht="24" customHeight="1" spans="2:14">
      <c r="B9846" s="33"/>
      <c r="C9846" s="60"/>
      <c r="D9846" s="60"/>
      <c r="E9846" s="60"/>
      <c r="F9846" s="60"/>
      <c r="G9846" s="60"/>
      <c r="H9846" s="60"/>
      <c r="I9846" s="60"/>
      <c r="J9846" s="60"/>
      <c r="K9846" s="60"/>
      <c r="L9846" s="60"/>
      <c r="M9846" s="64"/>
      <c r="N9846" s="33"/>
    </row>
    <row r="9847" ht="24" customHeight="1" spans="2:14">
      <c r="B9847" s="33"/>
      <c r="C9847" s="60"/>
      <c r="D9847" s="60"/>
      <c r="E9847" s="60"/>
      <c r="F9847" s="60"/>
      <c r="G9847" s="60"/>
      <c r="H9847" s="60"/>
      <c r="I9847" s="60"/>
      <c r="J9847" s="60"/>
      <c r="K9847" s="60"/>
      <c r="L9847" s="60"/>
      <c r="M9847" s="64"/>
      <c r="N9847" s="33"/>
    </row>
    <row r="9848" ht="24" customHeight="1" spans="2:14">
      <c r="B9848" s="33"/>
      <c r="C9848" s="60"/>
      <c r="D9848" s="60"/>
      <c r="E9848" s="60"/>
      <c r="F9848" s="60"/>
      <c r="G9848" s="60"/>
      <c r="H9848" s="60"/>
      <c r="I9848" s="60"/>
      <c r="J9848" s="60"/>
      <c r="K9848" s="60"/>
      <c r="L9848" s="60"/>
      <c r="M9848" s="64"/>
      <c r="N9848" s="33"/>
    </row>
    <row r="9849" ht="24" customHeight="1" spans="2:14">
      <c r="B9849" s="33"/>
      <c r="C9849" s="60"/>
      <c r="D9849" s="60"/>
      <c r="E9849" s="60"/>
      <c r="F9849" s="60"/>
      <c r="G9849" s="60"/>
      <c r="H9849" s="60"/>
      <c r="I9849" s="60"/>
      <c r="J9849" s="60"/>
      <c r="K9849" s="60"/>
      <c r="L9849" s="60"/>
      <c r="M9849" s="64"/>
      <c r="N9849" s="33"/>
    </row>
    <row r="9850" ht="24" customHeight="1" spans="2:14">
      <c r="B9850" s="33"/>
      <c r="C9850" s="60"/>
      <c r="D9850" s="60"/>
      <c r="E9850" s="60"/>
      <c r="F9850" s="60"/>
      <c r="G9850" s="60"/>
      <c r="H9850" s="60"/>
      <c r="I9850" s="60"/>
      <c r="J9850" s="60"/>
      <c r="K9850" s="60"/>
      <c r="L9850" s="60"/>
      <c r="M9850" s="64"/>
      <c r="N9850" s="33"/>
    </row>
    <row r="9851" ht="24" customHeight="1" spans="2:14">
      <c r="B9851" s="33"/>
      <c r="C9851" s="60"/>
      <c r="D9851" s="60"/>
      <c r="E9851" s="60"/>
      <c r="F9851" s="60"/>
      <c r="G9851" s="60"/>
      <c r="H9851" s="60"/>
      <c r="I9851" s="60"/>
      <c r="J9851" s="60"/>
      <c r="K9851" s="60"/>
      <c r="L9851" s="60"/>
      <c r="M9851" s="64"/>
      <c r="N9851" s="33"/>
    </row>
    <row r="9852" ht="24" customHeight="1" spans="2:14">
      <c r="B9852" s="33"/>
      <c r="C9852" s="60"/>
      <c r="D9852" s="60"/>
      <c r="E9852" s="60"/>
      <c r="F9852" s="60"/>
      <c r="G9852" s="60"/>
      <c r="H9852" s="60"/>
      <c r="I9852" s="60"/>
      <c r="J9852" s="60"/>
      <c r="K9852" s="60"/>
      <c r="L9852" s="60"/>
      <c r="M9852" s="64"/>
      <c r="N9852" s="33"/>
    </row>
    <row r="9853" ht="24" customHeight="1" spans="2:14">
      <c r="B9853" s="33"/>
      <c r="C9853" s="60"/>
      <c r="D9853" s="60"/>
      <c r="E9853" s="60"/>
      <c r="F9853" s="60"/>
      <c r="G9853" s="60"/>
      <c r="H9853" s="60"/>
      <c r="I9853" s="60"/>
      <c r="J9853" s="60"/>
      <c r="K9853" s="60"/>
      <c r="L9853" s="60"/>
      <c r="M9853" s="64"/>
      <c r="N9853" s="33"/>
    </row>
    <row r="9854" ht="24" customHeight="1" spans="2:14">
      <c r="B9854" s="33"/>
      <c r="C9854" s="60"/>
      <c r="D9854" s="60"/>
      <c r="E9854" s="60"/>
      <c r="F9854" s="60"/>
      <c r="G9854" s="60"/>
      <c r="H9854" s="60"/>
      <c r="I9854" s="60"/>
      <c r="J9854" s="60"/>
      <c r="K9854" s="60"/>
      <c r="L9854" s="60"/>
      <c r="M9854" s="64"/>
      <c r="N9854" s="33"/>
    </row>
    <row r="9855" ht="24" customHeight="1" spans="2:14">
      <c r="B9855" s="33"/>
      <c r="C9855" s="60"/>
      <c r="D9855" s="60"/>
      <c r="E9855" s="60"/>
      <c r="F9855" s="60"/>
      <c r="G9855" s="60"/>
      <c r="H9855" s="60"/>
      <c r="I9855" s="60"/>
      <c r="J9855" s="60"/>
      <c r="K9855" s="60"/>
      <c r="L9855" s="60"/>
      <c r="M9855" s="64"/>
      <c r="N9855" s="33"/>
    </row>
    <row r="9856" ht="24" customHeight="1" spans="2:14">
      <c r="B9856" s="33"/>
      <c r="C9856" s="60"/>
      <c r="D9856" s="60"/>
      <c r="E9856" s="60"/>
      <c r="F9856" s="60"/>
      <c r="G9856" s="60"/>
      <c r="H9856" s="60"/>
      <c r="I9856" s="60"/>
      <c r="J9856" s="60"/>
      <c r="K9856" s="60"/>
      <c r="L9856" s="60"/>
      <c r="M9856" s="64"/>
      <c r="N9856" s="33"/>
    </row>
    <row r="9857" ht="24" customHeight="1" spans="2:14">
      <c r="B9857" s="33"/>
      <c r="C9857" s="60"/>
      <c r="D9857" s="60"/>
      <c r="E9857" s="60"/>
      <c r="F9857" s="60"/>
      <c r="G9857" s="60"/>
      <c r="H9857" s="60"/>
      <c r="I9857" s="60"/>
      <c r="J9857" s="60"/>
      <c r="K9857" s="60"/>
      <c r="L9857" s="60"/>
      <c r="M9857" s="64"/>
      <c r="N9857" s="33"/>
    </row>
    <row r="9858" ht="24" customHeight="1" spans="2:14">
      <c r="B9858" s="33"/>
      <c r="C9858" s="60"/>
      <c r="D9858" s="60"/>
      <c r="E9858" s="60"/>
      <c r="F9858" s="60"/>
      <c r="G9858" s="60"/>
      <c r="H9858" s="60"/>
      <c r="I9858" s="60"/>
      <c r="J9858" s="60"/>
      <c r="K9858" s="60"/>
      <c r="L9858" s="60"/>
      <c r="M9858" s="64"/>
      <c r="N9858" s="33"/>
    </row>
    <row r="9859" ht="24" customHeight="1" spans="2:14">
      <c r="B9859" s="33"/>
      <c r="C9859" s="60"/>
      <c r="D9859" s="60"/>
      <c r="E9859" s="60"/>
      <c r="F9859" s="60"/>
      <c r="G9859" s="60"/>
      <c r="H9859" s="60"/>
      <c r="I9859" s="60"/>
      <c r="J9859" s="60"/>
      <c r="K9859" s="60"/>
      <c r="L9859" s="60"/>
      <c r="M9859" s="64"/>
      <c r="N9859" s="33"/>
    </row>
    <row r="9860" ht="24" customHeight="1" spans="2:14">
      <c r="B9860" s="33"/>
      <c r="C9860" s="60"/>
      <c r="D9860" s="60"/>
      <c r="E9860" s="60"/>
      <c r="F9860" s="60"/>
      <c r="G9860" s="60"/>
      <c r="H9860" s="60"/>
      <c r="I9860" s="60"/>
      <c r="J9860" s="60"/>
      <c r="K9860" s="60"/>
      <c r="L9860" s="60"/>
      <c r="M9860" s="64"/>
      <c r="N9860" s="33"/>
    </row>
    <row r="9861" ht="24" customHeight="1" spans="2:14">
      <c r="B9861" s="33"/>
      <c r="C9861" s="60"/>
      <c r="D9861" s="60"/>
      <c r="E9861" s="60"/>
      <c r="F9861" s="60"/>
      <c r="G9861" s="60"/>
      <c r="H9861" s="60"/>
      <c r="I9861" s="60"/>
      <c r="J9861" s="60"/>
      <c r="K9861" s="60"/>
      <c r="L9861" s="60"/>
      <c r="M9861" s="64"/>
      <c r="N9861" s="33"/>
    </row>
    <row r="9862" ht="24" customHeight="1" spans="2:14">
      <c r="B9862" s="33"/>
      <c r="C9862" s="60"/>
      <c r="D9862" s="60"/>
      <c r="E9862" s="60"/>
      <c r="F9862" s="60"/>
      <c r="G9862" s="60"/>
      <c r="H9862" s="60"/>
      <c r="I9862" s="60"/>
      <c r="J9862" s="60"/>
      <c r="K9862" s="60"/>
      <c r="L9862" s="60"/>
      <c r="M9862" s="64"/>
      <c r="N9862" s="33"/>
    </row>
    <row r="9863" ht="24" customHeight="1" spans="2:14">
      <c r="B9863" s="33"/>
      <c r="C9863" s="60"/>
      <c r="D9863" s="60"/>
      <c r="E9863" s="60"/>
      <c r="F9863" s="60"/>
      <c r="G9863" s="60"/>
      <c r="H9863" s="60"/>
      <c r="I9863" s="60"/>
      <c r="J9863" s="60"/>
      <c r="K9863" s="60"/>
      <c r="L9863" s="60"/>
      <c r="M9863" s="64"/>
      <c r="N9863" s="33"/>
    </row>
    <row r="9864" ht="24" customHeight="1" spans="2:14">
      <c r="B9864" s="33"/>
      <c r="C9864" s="60"/>
      <c r="D9864" s="60"/>
      <c r="E9864" s="60"/>
      <c r="F9864" s="60"/>
      <c r="G9864" s="60"/>
      <c r="H9864" s="60"/>
      <c r="I9864" s="60"/>
      <c r="J9864" s="60"/>
      <c r="K9864" s="60"/>
      <c r="L9864" s="60"/>
      <c r="M9864" s="64"/>
      <c r="N9864" s="33"/>
    </row>
    <row r="9865" ht="24" customHeight="1" spans="2:14">
      <c r="B9865" s="33"/>
      <c r="C9865" s="60"/>
      <c r="D9865" s="60"/>
      <c r="E9865" s="60"/>
      <c r="F9865" s="60"/>
      <c r="G9865" s="60"/>
      <c r="H9865" s="60"/>
      <c r="I9865" s="60"/>
      <c r="J9865" s="60"/>
      <c r="K9865" s="60"/>
      <c r="L9865" s="60"/>
      <c r="M9865" s="64"/>
      <c r="N9865" s="33"/>
    </row>
    <row r="9866" ht="24" customHeight="1" spans="2:14">
      <c r="B9866" s="33"/>
      <c r="C9866" s="60"/>
      <c r="D9866" s="60"/>
      <c r="E9866" s="60"/>
      <c r="F9866" s="60"/>
      <c r="G9866" s="60"/>
      <c r="H9866" s="60"/>
      <c r="I9866" s="60"/>
      <c r="J9866" s="60"/>
      <c r="K9866" s="60"/>
      <c r="L9866" s="60"/>
      <c r="M9866" s="64"/>
      <c r="N9866" s="33"/>
    </row>
    <row r="9867" ht="24" customHeight="1" spans="2:14">
      <c r="B9867" s="33"/>
      <c r="C9867" s="60"/>
      <c r="D9867" s="60"/>
      <c r="E9867" s="60"/>
      <c r="F9867" s="60"/>
      <c r="G9867" s="60"/>
      <c r="H9867" s="60"/>
      <c r="I9867" s="60"/>
      <c r="J9867" s="60"/>
      <c r="K9867" s="60"/>
      <c r="L9867" s="60"/>
      <c r="M9867" s="64"/>
      <c r="N9867" s="33"/>
    </row>
    <row r="9868" ht="24" customHeight="1" spans="2:14">
      <c r="B9868" s="33"/>
      <c r="C9868" s="60"/>
      <c r="D9868" s="60"/>
      <c r="E9868" s="60"/>
      <c r="F9868" s="60"/>
      <c r="G9868" s="60"/>
      <c r="H9868" s="60"/>
      <c r="I9868" s="60"/>
      <c r="J9868" s="60"/>
      <c r="K9868" s="60"/>
      <c r="L9868" s="60"/>
      <c r="M9868" s="64"/>
      <c r="N9868" s="33"/>
    </row>
    <row r="9869" ht="24" customHeight="1" spans="2:14">
      <c r="B9869" s="33"/>
      <c r="C9869" s="60"/>
      <c r="D9869" s="60"/>
      <c r="E9869" s="60"/>
      <c r="F9869" s="60"/>
      <c r="G9869" s="60"/>
      <c r="H9869" s="60"/>
      <c r="I9869" s="60"/>
      <c r="J9869" s="60"/>
      <c r="K9869" s="60"/>
      <c r="L9869" s="60"/>
      <c r="M9869" s="64"/>
      <c r="N9869" s="33"/>
    </row>
    <row r="9870" ht="24" customHeight="1" spans="2:14">
      <c r="B9870" s="33"/>
      <c r="C9870" s="60"/>
      <c r="D9870" s="60"/>
      <c r="E9870" s="60"/>
      <c r="F9870" s="60"/>
      <c r="G9870" s="60"/>
      <c r="H9870" s="60"/>
      <c r="I9870" s="60"/>
      <c r="J9870" s="60"/>
      <c r="K9870" s="60"/>
      <c r="L9870" s="60"/>
      <c r="M9870" s="64"/>
      <c r="N9870" s="33"/>
    </row>
    <row r="9871" ht="24" customHeight="1" spans="2:14">
      <c r="B9871" s="33"/>
      <c r="C9871" s="60"/>
      <c r="D9871" s="60"/>
      <c r="E9871" s="60"/>
      <c r="F9871" s="60"/>
      <c r="G9871" s="60"/>
      <c r="H9871" s="60"/>
      <c r="I9871" s="60"/>
      <c r="J9871" s="60"/>
      <c r="K9871" s="60"/>
      <c r="L9871" s="60"/>
      <c r="M9871" s="64"/>
      <c r="N9871" s="33"/>
    </row>
    <row r="9872" ht="24" customHeight="1" spans="2:14">
      <c r="B9872" s="33"/>
      <c r="C9872" s="60"/>
      <c r="D9872" s="60"/>
      <c r="E9872" s="60"/>
      <c r="F9872" s="60"/>
      <c r="G9872" s="60"/>
      <c r="H9872" s="60"/>
      <c r="I9872" s="60"/>
      <c r="J9872" s="60"/>
      <c r="K9872" s="60"/>
      <c r="L9872" s="60"/>
      <c r="M9872" s="64"/>
      <c r="N9872" s="33"/>
    </row>
    <row r="9873" ht="24" customHeight="1" spans="2:14">
      <c r="B9873" s="33"/>
      <c r="C9873" s="60"/>
      <c r="D9873" s="60"/>
      <c r="E9873" s="60"/>
      <c r="F9873" s="60"/>
      <c r="G9873" s="60"/>
      <c r="H9873" s="60"/>
      <c r="I9873" s="60"/>
      <c r="J9873" s="60"/>
      <c r="K9873" s="60"/>
      <c r="L9873" s="60"/>
      <c r="M9873" s="64"/>
      <c r="N9873" s="33"/>
    </row>
    <row r="9874" ht="24" customHeight="1" spans="2:14">
      <c r="B9874" s="33"/>
      <c r="C9874" s="60"/>
      <c r="D9874" s="60"/>
      <c r="E9874" s="60"/>
      <c r="F9874" s="60"/>
      <c r="G9874" s="60"/>
      <c r="H9874" s="60"/>
      <c r="I9874" s="60"/>
      <c r="J9874" s="60"/>
      <c r="K9874" s="60"/>
      <c r="L9874" s="60"/>
      <c r="M9874" s="64"/>
      <c r="N9874" s="33"/>
    </row>
    <row r="9875" ht="24" customHeight="1" spans="2:14">
      <c r="B9875" s="33"/>
      <c r="C9875" s="60"/>
      <c r="D9875" s="60"/>
      <c r="E9875" s="60"/>
      <c r="F9875" s="60"/>
      <c r="G9875" s="60"/>
      <c r="H9875" s="60"/>
      <c r="I9875" s="60"/>
      <c r="J9875" s="60"/>
      <c r="K9875" s="60"/>
      <c r="L9875" s="60"/>
      <c r="M9875" s="64"/>
      <c r="N9875" s="33"/>
    </row>
    <row r="9876" ht="24" customHeight="1" spans="2:14">
      <c r="B9876" s="33"/>
      <c r="C9876" s="60"/>
      <c r="D9876" s="60"/>
      <c r="E9876" s="60"/>
      <c r="F9876" s="60"/>
      <c r="G9876" s="60"/>
      <c r="H9876" s="60"/>
      <c r="I9876" s="60"/>
      <c r="J9876" s="60"/>
      <c r="K9876" s="60"/>
      <c r="L9876" s="60"/>
      <c r="M9876" s="64"/>
      <c r="N9876" s="33"/>
    </row>
    <row r="9877" ht="24" customHeight="1" spans="2:14">
      <c r="B9877" s="33"/>
      <c r="C9877" s="60"/>
      <c r="D9877" s="60"/>
      <c r="E9877" s="60"/>
      <c r="F9877" s="60"/>
      <c r="G9877" s="60"/>
      <c r="H9877" s="60"/>
      <c r="I9877" s="60"/>
      <c r="J9877" s="60"/>
      <c r="K9877" s="60"/>
      <c r="L9877" s="60"/>
      <c r="M9877" s="64"/>
      <c r="N9877" s="33"/>
    </row>
    <row r="9878" ht="24" customHeight="1" spans="2:14">
      <c r="B9878" s="33"/>
      <c r="C9878" s="60"/>
      <c r="D9878" s="60"/>
      <c r="E9878" s="60"/>
      <c r="F9878" s="60"/>
      <c r="G9878" s="60"/>
      <c r="H9878" s="60"/>
      <c r="I9878" s="60"/>
      <c r="J9878" s="60"/>
      <c r="K9878" s="60"/>
      <c r="L9878" s="60"/>
      <c r="M9878" s="64"/>
      <c r="N9878" s="33"/>
    </row>
    <row r="9879" ht="24" customHeight="1" spans="2:14">
      <c r="B9879" s="33"/>
      <c r="C9879" s="60"/>
      <c r="D9879" s="60"/>
      <c r="E9879" s="60"/>
      <c r="F9879" s="60"/>
      <c r="G9879" s="60"/>
      <c r="H9879" s="60"/>
      <c r="I9879" s="60"/>
      <c r="J9879" s="60"/>
      <c r="K9879" s="60"/>
      <c r="L9879" s="60"/>
      <c r="M9879" s="64"/>
      <c r="N9879" s="33"/>
    </row>
    <row r="9880" ht="24" customHeight="1" spans="2:14">
      <c r="B9880" s="33"/>
      <c r="C9880" s="60"/>
      <c r="D9880" s="60"/>
      <c r="E9880" s="60"/>
      <c r="F9880" s="60"/>
      <c r="G9880" s="60"/>
      <c r="H9880" s="60"/>
      <c r="I9880" s="60"/>
      <c r="J9880" s="60"/>
      <c r="K9880" s="60"/>
      <c r="L9880" s="60"/>
      <c r="M9880" s="64"/>
      <c r="N9880" s="33"/>
    </row>
    <row r="9881" ht="24" customHeight="1" spans="2:14">
      <c r="B9881" s="33"/>
      <c r="C9881" s="60"/>
      <c r="D9881" s="60"/>
      <c r="E9881" s="60"/>
      <c r="F9881" s="60"/>
      <c r="G9881" s="60"/>
      <c r="H9881" s="60"/>
      <c r="I9881" s="60"/>
      <c r="J9881" s="60"/>
      <c r="K9881" s="60"/>
      <c r="L9881" s="60"/>
      <c r="M9881" s="64"/>
      <c r="N9881" s="33"/>
    </row>
    <row r="9882" ht="24" customHeight="1" spans="2:14">
      <c r="B9882" s="33"/>
      <c r="C9882" s="60"/>
      <c r="D9882" s="60"/>
      <c r="E9882" s="60"/>
      <c r="F9882" s="60"/>
      <c r="G9882" s="60"/>
      <c r="H9882" s="60"/>
      <c r="I9882" s="60"/>
      <c r="J9882" s="60"/>
      <c r="K9882" s="60"/>
      <c r="L9882" s="60"/>
      <c r="M9882" s="64"/>
      <c r="N9882" s="33"/>
    </row>
    <row r="9883" ht="24" customHeight="1" spans="2:14">
      <c r="B9883" s="33"/>
      <c r="C9883" s="60"/>
      <c r="D9883" s="60"/>
      <c r="E9883" s="60"/>
      <c r="F9883" s="60"/>
      <c r="G9883" s="60"/>
      <c r="H9883" s="60"/>
      <c r="I9883" s="60"/>
      <c r="J9883" s="60"/>
      <c r="K9883" s="60"/>
      <c r="L9883" s="60"/>
      <c r="M9883" s="64"/>
      <c r="N9883" s="33"/>
    </row>
    <row r="9884" ht="24" customHeight="1" spans="2:14">
      <c r="B9884" s="33"/>
      <c r="C9884" s="60"/>
      <c r="D9884" s="60"/>
      <c r="E9884" s="60"/>
      <c r="F9884" s="60"/>
      <c r="G9884" s="60"/>
      <c r="H9884" s="60"/>
      <c r="I9884" s="60"/>
      <c r="J9884" s="60"/>
      <c r="K9884" s="60"/>
      <c r="L9884" s="60"/>
      <c r="M9884" s="64"/>
      <c r="N9884" s="33"/>
    </row>
    <row r="9885" ht="24" customHeight="1" spans="2:14">
      <c r="B9885" s="33"/>
      <c r="C9885" s="60"/>
      <c r="D9885" s="60"/>
      <c r="E9885" s="60"/>
      <c r="F9885" s="60"/>
      <c r="G9885" s="60"/>
      <c r="H9885" s="60"/>
      <c r="I9885" s="60"/>
      <c r="J9885" s="60"/>
      <c r="K9885" s="60"/>
      <c r="L9885" s="60"/>
      <c r="M9885" s="64"/>
      <c r="N9885" s="33"/>
    </row>
    <row r="9886" ht="24" customHeight="1" spans="2:14">
      <c r="B9886" s="33"/>
      <c r="C9886" s="60"/>
      <c r="D9886" s="60"/>
      <c r="E9886" s="60"/>
      <c r="F9886" s="60"/>
      <c r="G9886" s="60"/>
      <c r="H9886" s="60"/>
      <c r="I9886" s="60"/>
      <c r="J9886" s="60"/>
      <c r="K9886" s="60"/>
      <c r="L9886" s="60"/>
      <c r="M9886" s="64"/>
      <c r="N9886" s="33"/>
    </row>
    <row r="9887" ht="24" customHeight="1" spans="2:14">
      <c r="B9887" s="33"/>
      <c r="C9887" s="60"/>
      <c r="D9887" s="60"/>
      <c r="E9887" s="60"/>
      <c r="F9887" s="60"/>
      <c r="G9887" s="60"/>
      <c r="H9887" s="60"/>
      <c r="I9887" s="60"/>
      <c r="J9887" s="60"/>
      <c r="K9887" s="60"/>
      <c r="L9887" s="60"/>
      <c r="M9887" s="64"/>
      <c r="N9887" s="33"/>
    </row>
    <row r="9888" ht="24" customHeight="1" spans="2:14">
      <c r="B9888" s="33"/>
      <c r="C9888" s="60"/>
      <c r="D9888" s="60"/>
      <c r="E9888" s="60"/>
      <c r="F9888" s="60"/>
      <c r="G9888" s="60"/>
      <c r="H9888" s="60"/>
      <c r="I9888" s="60"/>
      <c r="J9888" s="60"/>
      <c r="K9888" s="60"/>
      <c r="L9888" s="60"/>
      <c r="M9888" s="64"/>
      <c r="N9888" s="33"/>
    </row>
    <row r="9889" ht="24" customHeight="1" spans="2:14">
      <c r="B9889" s="33"/>
      <c r="C9889" s="60"/>
      <c r="D9889" s="60"/>
      <c r="E9889" s="60"/>
      <c r="F9889" s="60"/>
      <c r="G9889" s="60"/>
      <c r="H9889" s="60"/>
      <c r="I9889" s="60"/>
      <c r="J9889" s="60"/>
      <c r="K9889" s="60"/>
      <c r="L9889" s="60"/>
      <c r="M9889" s="64"/>
      <c r="N9889" s="33"/>
    </row>
    <row r="9890" ht="24" customHeight="1" spans="2:14">
      <c r="B9890" s="33"/>
      <c r="C9890" s="60"/>
      <c r="D9890" s="60"/>
      <c r="E9890" s="60"/>
      <c r="F9890" s="60"/>
      <c r="G9890" s="60"/>
      <c r="H9890" s="60"/>
      <c r="I9890" s="60"/>
      <c r="J9890" s="60"/>
      <c r="K9890" s="60"/>
      <c r="L9890" s="60"/>
      <c r="M9890" s="64"/>
      <c r="N9890" s="33"/>
    </row>
    <row r="9891" ht="24" customHeight="1" spans="2:14">
      <c r="B9891" s="33"/>
      <c r="C9891" s="60"/>
      <c r="D9891" s="60"/>
      <c r="E9891" s="60"/>
      <c r="F9891" s="60"/>
      <c r="G9891" s="60"/>
      <c r="H9891" s="60"/>
      <c r="I9891" s="60"/>
      <c r="J9891" s="60"/>
      <c r="K9891" s="60"/>
      <c r="L9891" s="60"/>
      <c r="M9891" s="64"/>
      <c r="N9891" s="33"/>
    </row>
    <row r="9892" ht="24" customHeight="1" spans="2:14">
      <c r="B9892" s="33"/>
      <c r="C9892" s="60"/>
      <c r="D9892" s="60"/>
      <c r="E9892" s="60"/>
      <c r="F9892" s="60"/>
      <c r="G9892" s="60"/>
      <c r="H9892" s="60"/>
      <c r="I9892" s="60"/>
      <c r="J9892" s="60"/>
      <c r="K9892" s="60"/>
      <c r="L9892" s="60"/>
      <c r="M9892" s="64"/>
      <c r="N9892" s="33"/>
    </row>
    <row r="9893" ht="24" customHeight="1" spans="2:14">
      <c r="B9893" s="33"/>
      <c r="C9893" s="60"/>
      <c r="D9893" s="60"/>
      <c r="E9893" s="60"/>
      <c r="F9893" s="60"/>
      <c r="G9893" s="60"/>
      <c r="H9893" s="60"/>
      <c r="I9893" s="60"/>
      <c r="J9893" s="60"/>
      <c r="K9893" s="60"/>
      <c r="L9893" s="60"/>
      <c r="M9893" s="64"/>
      <c r="N9893" s="33"/>
    </row>
    <row r="9894" ht="24" customHeight="1" spans="2:14">
      <c r="B9894" s="33"/>
      <c r="C9894" s="60"/>
      <c r="D9894" s="60"/>
      <c r="E9894" s="60"/>
      <c r="F9894" s="60"/>
      <c r="G9894" s="60"/>
      <c r="H9894" s="60"/>
      <c r="I9894" s="60"/>
      <c r="J9894" s="60"/>
      <c r="K9894" s="60"/>
      <c r="L9894" s="60"/>
      <c r="M9894" s="64"/>
      <c r="N9894" s="33"/>
    </row>
    <row r="9895" ht="24" customHeight="1" spans="2:14">
      <c r="B9895" s="33"/>
      <c r="C9895" s="60"/>
      <c r="D9895" s="60"/>
      <c r="E9895" s="60"/>
      <c r="F9895" s="60"/>
      <c r="G9895" s="60"/>
      <c r="H9895" s="60"/>
      <c r="I9895" s="60"/>
      <c r="J9895" s="60"/>
      <c r="K9895" s="60"/>
      <c r="L9895" s="60"/>
      <c r="M9895" s="64"/>
      <c r="N9895" s="33"/>
    </row>
    <row r="9896" ht="24" customHeight="1" spans="2:14">
      <c r="B9896" s="33"/>
      <c r="C9896" s="60"/>
      <c r="D9896" s="60"/>
      <c r="E9896" s="60"/>
      <c r="F9896" s="60"/>
      <c r="G9896" s="60"/>
      <c r="H9896" s="60"/>
      <c r="I9896" s="60"/>
      <c r="J9896" s="60"/>
      <c r="K9896" s="60"/>
      <c r="L9896" s="60"/>
      <c r="M9896" s="64"/>
      <c r="N9896" s="33"/>
    </row>
    <row r="9897" ht="24" customHeight="1" spans="2:14">
      <c r="B9897" s="33"/>
      <c r="C9897" s="60"/>
      <c r="D9897" s="60"/>
      <c r="E9897" s="60"/>
      <c r="F9897" s="60"/>
      <c r="G9897" s="60"/>
      <c r="H9897" s="60"/>
      <c r="I9897" s="60"/>
      <c r="J9897" s="60"/>
      <c r="K9897" s="60"/>
      <c r="L9897" s="60"/>
      <c r="M9897" s="64"/>
      <c r="N9897" s="33"/>
    </row>
    <row r="9898" ht="24" customHeight="1" spans="2:14">
      <c r="B9898" s="33"/>
      <c r="C9898" s="60"/>
      <c r="D9898" s="60"/>
      <c r="E9898" s="60"/>
      <c r="F9898" s="60"/>
      <c r="G9898" s="60"/>
      <c r="H9898" s="60"/>
      <c r="I9898" s="60"/>
      <c r="J9898" s="60"/>
      <c r="K9898" s="60"/>
      <c r="L9898" s="60"/>
      <c r="M9898" s="64"/>
      <c r="N9898" s="33"/>
    </row>
    <row r="9899" ht="24" customHeight="1" spans="2:14">
      <c r="B9899" s="33"/>
      <c r="C9899" s="60"/>
      <c r="D9899" s="60"/>
      <c r="E9899" s="60"/>
      <c r="F9899" s="60"/>
      <c r="G9899" s="60"/>
      <c r="H9899" s="60"/>
      <c r="I9899" s="60"/>
      <c r="J9899" s="60"/>
      <c r="K9899" s="60"/>
      <c r="L9899" s="60"/>
      <c r="M9899" s="64"/>
      <c r="N9899" s="33"/>
    </row>
    <row r="9900" ht="24" customHeight="1" spans="2:14">
      <c r="B9900" s="33"/>
      <c r="C9900" s="60"/>
      <c r="D9900" s="60"/>
      <c r="E9900" s="60"/>
      <c r="F9900" s="60"/>
      <c r="G9900" s="60"/>
      <c r="H9900" s="60"/>
      <c r="I9900" s="60"/>
      <c r="J9900" s="60"/>
      <c r="K9900" s="60"/>
      <c r="L9900" s="60"/>
      <c r="M9900" s="64"/>
      <c r="N9900" s="33"/>
    </row>
    <row r="9901" ht="24" customHeight="1" spans="2:14">
      <c r="B9901" s="33"/>
      <c r="C9901" s="60"/>
      <c r="D9901" s="60"/>
      <c r="E9901" s="60"/>
      <c r="F9901" s="60"/>
      <c r="G9901" s="60"/>
      <c r="H9901" s="60"/>
      <c r="I9901" s="60"/>
      <c r="J9901" s="60"/>
      <c r="K9901" s="60"/>
      <c r="L9901" s="60"/>
      <c r="M9901" s="64"/>
      <c r="N9901" s="33"/>
    </row>
    <row r="9902" ht="24" customHeight="1" spans="2:14">
      <c r="B9902" s="33"/>
      <c r="C9902" s="60"/>
      <c r="D9902" s="60"/>
      <c r="E9902" s="60"/>
      <c r="F9902" s="60"/>
      <c r="G9902" s="60"/>
      <c r="H9902" s="60"/>
      <c r="I9902" s="60"/>
      <c r="J9902" s="60"/>
      <c r="K9902" s="60"/>
      <c r="L9902" s="60"/>
      <c r="M9902" s="64"/>
      <c r="N9902" s="33"/>
    </row>
    <row r="9903" ht="24" customHeight="1" spans="2:14">
      <c r="B9903" s="33"/>
      <c r="C9903" s="60"/>
      <c r="D9903" s="60"/>
      <c r="E9903" s="60"/>
      <c r="F9903" s="60"/>
      <c r="G9903" s="60"/>
      <c r="H9903" s="60"/>
      <c r="I9903" s="60"/>
      <c r="J9903" s="60"/>
      <c r="K9903" s="60"/>
      <c r="L9903" s="60"/>
      <c r="M9903" s="64"/>
      <c r="N9903" s="33"/>
    </row>
    <row r="9904" ht="24" customHeight="1" spans="2:14">
      <c r="B9904" s="33"/>
      <c r="C9904" s="60"/>
      <c r="D9904" s="60"/>
      <c r="E9904" s="60"/>
      <c r="F9904" s="60"/>
      <c r="G9904" s="60"/>
      <c r="H9904" s="60"/>
      <c r="I9904" s="60"/>
      <c r="J9904" s="60"/>
      <c r="K9904" s="60"/>
      <c r="L9904" s="60"/>
      <c r="M9904" s="64"/>
      <c r="N9904" s="33"/>
    </row>
    <row r="9905" ht="24" customHeight="1" spans="2:14">
      <c r="B9905" s="33"/>
      <c r="C9905" s="60"/>
      <c r="D9905" s="60"/>
      <c r="E9905" s="60"/>
      <c r="F9905" s="60"/>
      <c r="G9905" s="60"/>
      <c r="H9905" s="60"/>
      <c r="I9905" s="60"/>
      <c r="J9905" s="60"/>
      <c r="K9905" s="60"/>
      <c r="L9905" s="60"/>
      <c r="M9905" s="64"/>
      <c r="N9905" s="33"/>
    </row>
    <row r="9906" ht="24" customHeight="1" spans="2:14">
      <c r="B9906" s="33"/>
      <c r="C9906" s="60"/>
      <c r="D9906" s="60"/>
      <c r="E9906" s="60"/>
      <c r="F9906" s="60"/>
      <c r="G9906" s="60"/>
      <c r="H9906" s="60"/>
      <c r="I9906" s="60"/>
      <c r="J9906" s="60"/>
      <c r="K9906" s="60"/>
      <c r="L9906" s="60"/>
      <c r="M9906" s="64"/>
      <c r="N9906" s="33"/>
    </row>
    <row r="9907" ht="24" customHeight="1" spans="2:14">
      <c r="B9907" s="33"/>
      <c r="C9907" s="60"/>
      <c r="D9907" s="60"/>
      <c r="E9907" s="60"/>
      <c r="F9907" s="60"/>
      <c r="G9907" s="60"/>
      <c r="H9907" s="60"/>
      <c r="I9907" s="60"/>
      <c r="J9907" s="60"/>
      <c r="K9907" s="60"/>
      <c r="L9907" s="60"/>
      <c r="M9907" s="64"/>
      <c r="N9907" s="33"/>
    </row>
    <row r="9908" ht="24" customHeight="1" spans="2:14">
      <c r="B9908" s="33"/>
      <c r="C9908" s="60"/>
      <c r="D9908" s="60"/>
      <c r="E9908" s="60"/>
      <c r="F9908" s="60"/>
      <c r="G9908" s="60"/>
      <c r="H9908" s="60"/>
      <c r="I9908" s="60"/>
      <c r="J9908" s="60"/>
      <c r="K9908" s="60"/>
      <c r="L9908" s="60"/>
      <c r="M9908" s="64"/>
      <c r="N9908" s="33"/>
    </row>
    <row r="9909" ht="24" customHeight="1" spans="2:14">
      <c r="B9909" s="33"/>
      <c r="C9909" s="60"/>
      <c r="D9909" s="60"/>
      <c r="E9909" s="60"/>
      <c r="F9909" s="60"/>
      <c r="G9909" s="60"/>
      <c r="H9909" s="60"/>
      <c r="I9909" s="60"/>
      <c r="J9909" s="60"/>
      <c r="K9909" s="60"/>
      <c r="L9909" s="60"/>
      <c r="M9909" s="64"/>
      <c r="N9909" s="33"/>
    </row>
    <row r="9910" ht="24" customHeight="1" spans="2:14">
      <c r="B9910" s="33"/>
      <c r="C9910" s="60"/>
      <c r="D9910" s="60"/>
      <c r="E9910" s="60"/>
      <c r="F9910" s="60"/>
      <c r="G9910" s="60"/>
      <c r="H9910" s="60"/>
      <c r="I9910" s="60"/>
      <c r="J9910" s="60"/>
      <c r="K9910" s="60"/>
      <c r="L9910" s="60"/>
      <c r="M9910" s="64"/>
      <c r="N9910" s="33"/>
    </row>
    <row r="9911" ht="24" customHeight="1" spans="2:14">
      <c r="B9911" s="33"/>
      <c r="C9911" s="60"/>
      <c r="D9911" s="60"/>
      <c r="E9911" s="60"/>
      <c r="F9911" s="60"/>
      <c r="G9911" s="60"/>
      <c r="H9911" s="60"/>
      <c r="I9911" s="60"/>
      <c r="J9911" s="60"/>
      <c r="K9911" s="60"/>
      <c r="L9911" s="60"/>
      <c r="M9911" s="64"/>
      <c r="N9911" s="33"/>
    </row>
    <row r="9912" ht="24" customHeight="1" spans="2:14">
      <c r="B9912" s="33"/>
      <c r="C9912" s="60"/>
      <c r="D9912" s="60"/>
      <c r="E9912" s="60"/>
      <c r="F9912" s="60"/>
      <c r="G9912" s="60"/>
      <c r="H9912" s="60"/>
      <c r="I9912" s="60"/>
      <c r="J9912" s="60"/>
      <c r="K9912" s="60"/>
      <c r="L9912" s="60"/>
      <c r="M9912" s="64"/>
      <c r="N9912" s="33"/>
    </row>
    <row r="9913" ht="24" customHeight="1" spans="2:14">
      <c r="B9913" s="33"/>
      <c r="C9913" s="60"/>
      <c r="D9913" s="60"/>
      <c r="E9913" s="60"/>
      <c r="F9913" s="60"/>
      <c r="G9913" s="60"/>
      <c r="H9913" s="60"/>
      <c r="I9913" s="60"/>
      <c r="J9913" s="60"/>
      <c r="K9913" s="60"/>
      <c r="L9913" s="60"/>
      <c r="M9913" s="64"/>
      <c r="N9913" s="33"/>
    </row>
    <row r="9914" ht="24" customHeight="1" spans="2:14">
      <c r="B9914" s="33"/>
      <c r="C9914" s="60"/>
      <c r="D9914" s="60"/>
      <c r="E9914" s="60"/>
      <c r="F9914" s="60"/>
      <c r="G9914" s="60"/>
      <c r="H9914" s="60"/>
      <c r="I9914" s="60"/>
      <c r="J9914" s="60"/>
      <c r="K9914" s="60"/>
      <c r="L9914" s="60"/>
      <c r="M9914" s="64"/>
      <c r="N9914" s="33"/>
    </row>
    <row r="9915" ht="24" customHeight="1" spans="2:14">
      <c r="B9915" s="33"/>
      <c r="C9915" s="60"/>
      <c r="D9915" s="60"/>
      <c r="E9915" s="60"/>
      <c r="F9915" s="60"/>
      <c r="G9915" s="60"/>
      <c r="H9915" s="60"/>
      <c r="I9915" s="60"/>
      <c r="J9915" s="60"/>
      <c r="K9915" s="60"/>
      <c r="L9915" s="60"/>
      <c r="M9915" s="64"/>
      <c r="N9915" s="33"/>
    </row>
    <row r="9916" ht="24" customHeight="1" spans="2:14">
      <c r="B9916" s="33"/>
      <c r="C9916" s="60"/>
      <c r="D9916" s="60"/>
      <c r="E9916" s="60"/>
      <c r="F9916" s="60"/>
      <c r="G9916" s="60"/>
      <c r="H9916" s="60"/>
      <c r="I9916" s="60"/>
      <c r="J9916" s="60"/>
      <c r="K9916" s="60"/>
      <c r="L9916" s="60"/>
      <c r="M9916" s="64"/>
      <c r="N9916" s="33"/>
    </row>
    <row r="9917" ht="24" customHeight="1" spans="2:14">
      <c r="B9917" s="33"/>
      <c r="C9917" s="60"/>
      <c r="D9917" s="60"/>
      <c r="E9917" s="60"/>
      <c r="F9917" s="60"/>
      <c r="G9917" s="60"/>
      <c r="H9917" s="60"/>
      <c r="I9917" s="60"/>
      <c r="J9917" s="60"/>
      <c r="K9917" s="60"/>
      <c r="L9917" s="60"/>
      <c r="M9917" s="64"/>
      <c r="N9917" s="33"/>
    </row>
    <row r="9918" ht="24" customHeight="1" spans="2:14">
      <c r="B9918" s="33"/>
      <c r="C9918" s="60"/>
      <c r="D9918" s="60"/>
      <c r="E9918" s="60"/>
      <c r="F9918" s="60"/>
      <c r="G9918" s="60"/>
      <c r="H9918" s="60"/>
      <c r="I9918" s="60"/>
      <c r="J9918" s="60"/>
      <c r="K9918" s="60"/>
      <c r="L9918" s="60"/>
      <c r="M9918" s="64"/>
      <c r="N9918" s="33"/>
    </row>
    <row r="9919" ht="24" customHeight="1" spans="2:14">
      <c r="B9919" s="33"/>
      <c r="C9919" s="60"/>
      <c r="D9919" s="60"/>
      <c r="E9919" s="60"/>
      <c r="F9919" s="60"/>
      <c r="G9919" s="60"/>
      <c r="H9919" s="60"/>
      <c r="I9919" s="60"/>
      <c r="J9919" s="60"/>
      <c r="K9919" s="60"/>
      <c r="L9919" s="60"/>
      <c r="M9919" s="64"/>
      <c r="N9919" s="33"/>
    </row>
    <row r="9920" ht="24" customHeight="1" spans="2:14">
      <c r="B9920" s="33"/>
      <c r="C9920" s="60"/>
      <c r="D9920" s="60"/>
      <c r="E9920" s="60"/>
      <c r="F9920" s="60"/>
      <c r="G9920" s="60"/>
      <c r="H9920" s="60"/>
      <c r="I9920" s="60"/>
      <c r="J9920" s="60"/>
      <c r="K9920" s="60"/>
      <c r="L9920" s="60"/>
      <c r="M9920" s="64"/>
      <c r="N9920" s="33"/>
    </row>
    <row r="9921" ht="24" customHeight="1" spans="2:14">
      <c r="B9921" s="33"/>
      <c r="C9921" s="60"/>
      <c r="D9921" s="60"/>
      <c r="E9921" s="60"/>
      <c r="F9921" s="60"/>
      <c r="G9921" s="60"/>
      <c r="H9921" s="60"/>
      <c r="I9921" s="60"/>
      <c r="J9921" s="60"/>
      <c r="K9921" s="60"/>
      <c r="L9921" s="60"/>
      <c r="M9921" s="64"/>
      <c r="N9921" s="33"/>
    </row>
    <row r="9922" ht="24" customHeight="1" spans="2:14">
      <c r="B9922" s="33"/>
      <c r="C9922" s="60"/>
      <c r="D9922" s="60"/>
      <c r="E9922" s="60"/>
      <c r="F9922" s="60"/>
      <c r="G9922" s="60"/>
      <c r="H9922" s="60"/>
      <c r="I9922" s="60"/>
      <c r="J9922" s="60"/>
      <c r="K9922" s="60"/>
      <c r="L9922" s="60"/>
      <c r="M9922" s="64"/>
      <c r="N9922" s="33"/>
    </row>
    <row r="9923" ht="24" customHeight="1" spans="2:14">
      <c r="B9923" s="33"/>
      <c r="C9923" s="60"/>
      <c r="D9923" s="60"/>
      <c r="E9923" s="60"/>
      <c r="F9923" s="60"/>
      <c r="G9923" s="60"/>
      <c r="H9923" s="60"/>
      <c r="I9923" s="60"/>
      <c r="J9923" s="60"/>
      <c r="K9923" s="60"/>
      <c r="L9923" s="60"/>
      <c r="M9923" s="64"/>
      <c r="N9923" s="33"/>
    </row>
    <row r="9924" ht="24" customHeight="1" spans="2:14">
      <c r="B9924" s="33"/>
      <c r="C9924" s="60"/>
      <c r="D9924" s="60"/>
      <c r="E9924" s="60"/>
      <c r="F9924" s="60"/>
      <c r="G9924" s="60"/>
      <c r="H9924" s="60"/>
      <c r="I9924" s="60"/>
      <c r="J9924" s="60"/>
      <c r="K9924" s="60"/>
      <c r="L9924" s="60"/>
      <c r="M9924" s="64"/>
      <c r="N9924" s="33"/>
    </row>
    <row r="9925" ht="24" customHeight="1" spans="2:14">
      <c r="B9925" s="33"/>
      <c r="C9925" s="60"/>
      <c r="D9925" s="60"/>
      <c r="E9925" s="60"/>
      <c r="F9925" s="60"/>
      <c r="G9925" s="60"/>
      <c r="H9925" s="60"/>
      <c r="I9925" s="60"/>
      <c r="J9925" s="60"/>
      <c r="K9925" s="60"/>
      <c r="L9925" s="60"/>
      <c r="M9925" s="64"/>
      <c r="N9925" s="33"/>
    </row>
    <row r="9926" ht="24" customHeight="1" spans="2:14">
      <c r="B9926" s="33"/>
      <c r="C9926" s="60"/>
      <c r="D9926" s="60"/>
      <c r="E9926" s="60"/>
      <c r="F9926" s="60"/>
      <c r="G9926" s="60"/>
      <c r="H9926" s="60"/>
      <c r="I9926" s="60"/>
      <c r="J9926" s="60"/>
      <c r="K9926" s="60"/>
      <c r="L9926" s="60"/>
      <c r="M9926" s="64"/>
      <c r="N9926" s="33"/>
    </row>
    <row r="9927" ht="24" customHeight="1" spans="2:14">
      <c r="B9927" s="33"/>
      <c r="C9927" s="60"/>
      <c r="D9927" s="60"/>
      <c r="E9927" s="60"/>
      <c r="F9927" s="60"/>
      <c r="G9927" s="60"/>
      <c r="H9927" s="60"/>
      <c r="I9927" s="60"/>
      <c r="J9927" s="60"/>
      <c r="K9927" s="60"/>
      <c r="L9927" s="60"/>
      <c r="M9927" s="64"/>
      <c r="N9927" s="33"/>
    </row>
    <row r="9928" ht="24" customHeight="1" spans="2:14">
      <c r="B9928" s="33"/>
      <c r="C9928" s="60"/>
      <c r="D9928" s="60"/>
      <c r="E9928" s="60"/>
      <c r="F9928" s="60"/>
      <c r="G9928" s="60"/>
      <c r="H9928" s="60"/>
      <c r="I9928" s="60"/>
      <c r="J9928" s="60"/>
      <c r="K9928" s="60"/>
      <c r="L9928" s="60"/>
      <c r="M9928" s="64"/>
      <c r="N9928" s="33"/>
    </row>
    <row r="9929" ht="24" customHeight="1" spans="2:14">
      <c r="B9929" s="33"/>
      <c r="C9929" s="60"/>
      <c r="D9929" s="60"/>
      <c r="E9929" s="60"/>
      <c r="F9929" s="60"/>
      <c r="G9929" s="60"/>
      <c r="H9929" s="60"/>
      <c r="I9929" s="60"/>
      <c r="J9929" s="60"/>
      <c r="K9929" s="60"/>
      <c r="L9929" s="60"/>
      <c r="M9929" s="64"/>
      <c r="N9929" s="33"/>
    </row>
    <row r="9930" ht="24" customHeight="1" spans="2:14">
      <c r="B9930" s="33"/>
      <c r="C9930" s="60"/>
      <c r="D9930" s="60"/>
      <c r="E9930" s="60"/>
      <c r="F9930" s="60"/>
      <c r="G9930" s="60"/>
      <c r="H9930" s="60"/>
      <c r="I9930" s="60"/>
      <c r="J9930" s="60"/>
      <c r="K9930" s="60"/>
      <c r="L9930" s="60"/>
      <c r="M9930" s="64"/>
      <c r="N9930" s="33"/>
    </row>
    <row r="9931" ht="24" customHeight="1" spans="2:14">
      <c r="B9931" s="33"/>
      <c r="C9931" s="60"/>
      <c r="D9931" s="60"/>
      <c r="E9931" s="60"/>
      <c r="F9931" s="60"/>
      <c r="G9931" s="60"/>
      <c r="H9931" s="60"/>
      <c r="I9931" s="60"/>
      <c r="J9931" s="60"/>
      <c r="K9931" s="60"/>
      <c r="L9931" s="60"/>
      <c r="M9931" s="64"/>
      <c r="N9931" s="33"/>
    </row>
    <row r="9932" ht="24" customHeight="1" spans="2:14">
      <c r="B9932" s="33"/>
      <c r="C9932" s="60"/>
      <c r="D9932" s="60"/>
      <c r="E9932" s="60"/>
      <c r="F9932" s="60"/>
      <c r="G9932" s="60"/>
      <c r="H9932" s="60"/>
      <c r="I9932" s="60"/>
      <c r="J9932" s="60"/>
      <c r="K9932" s="60"/>
      <c r="L9932" s="60"/>
      <c r="M9932" s="64"/>
      <c r="N9932" s="33"/>
    </row>
    <row r="9933" ht="24" customHeight="1" spans="2:14">
      <c r="B9933" s="33"/>
      <c r="C9933" s="60"/>
      <c r="D9933" s="60"/>
      <c r="E9933" s="60"/>
      <c r="F9933" s="60"/>
      <c r="G9933" s="60"/>
      <c r="H9933" s="60"/>
      <c r="I9933" s="60"/>
      <c r="J9933" s="60"/>
      <c r="K9933" s="60"/>
      <c r="L9933" s="60"/>
      <c r="M9933" s="64"/>
      <c r="N9933" s="33"/>
    </row>
    <row r="9934" ht="24" customHeight="1" spans="2:14">
      <c r="B9934" s="33"/>
      <c r="C9934" s="60"/>
      <c r="D9934" s="60"/>
      <c r="E9934" s="60"/>
      <c r="F9934" s="60"/>
      <c r="G9934" s="60"/>
      <c r="H9934" s="60"/>
      <c r="I9934" s="60"/>
      <c r="J9934" s="60"/>
      <c r="K9934" s="60"/>
      <c r="L9934" s="60"/>
      <c r="M9934" s="64"/>
      <c r="N9934" s="33"/>
    </row>
    <row r="9935" ht="24" customHeight="1" spans="2:14">
      <c r="B9935" s="33"/>
      <c r="C9935" s="60"/>
      <c r="D9935" s="60"/>
      <c r="E9935" s="60"/>
      <c r="F9935" s="60"/>
      <c r="G9935" s="60"/>
      <c r="H9935" s="60"/>
      <c r="I9935" s="60"/>
      <c r="J9935" s="60"/>
      <c r="K9935" s="60"/>
      <c r="L9935" s="60"/>
      <c r="M9935" s="64"/>
      <c r="N9935" s="33"/>
    </row>
    <row r="9936" ht="24" customHeight="1" spans="2:14">
      <c r="B9936" s="33"/>
      <c r="C9936" s="60"/>
      <c r="D9936" s="60"/>
      <c r="E9936" s="60"/>
      <c r="F9936" s="60"/>
      <c r="G9936" s="60"/>
      <c r="H9936" s="60"/>
      <c r="I9936" s="60"/>
      <c r="J9936" s="60"/>
      <c r="K9936" s="60"/>
      <c r="L9936" s="60"/>
      <c r="M9936" s="64"/>
      <c r="N9936" s="33"/>
    </row>
    <row r="9937" ht="24" customHeight="1" spans="2:14">
      <c r="B9937" s="33"/>
      <c r="C9937" s="60"/>
      <c r="D9937" s="60"/>
      <c r="E9937" s="60"/>
      <c r="F9937" s="60"/>
      <c r="G9937" s="60"/>
      <c r="H9937" s="60"/>
      <c r="I9937" s="60"/>
      <c r="J9937" s="60"/>
      <c r="K9937" s="60"/>
      <c r="L9937" s="60"/>
      <c r="M9937" s="64"/>
      <c r="N9937" s="33"/>
    </row>
    <row r="9938" ht="24" customHeight="1" spans="2:14">
      <c r="B9938" s="33"/>
      <c r="C9938" s="60"/>
      <c r="D9938" s="60"/>
      <c r="E9938" s="60"/>
      <c r="F9938" s="60"/>
      <c r="G9938" s="60"/>
      <c r="H9938" s="60"/>
      <c r="I9938" s="60"/>
      <c r="J9938" s="60"/>
      <c r="K9938" s="60"/>
      <c r="L9938" s="60"/>
      <c r="M9938" s="64"/>
      <c r="N9938" s="33"/>
    </row>
    <row r="9939" ht="24" customHeight="1" spans="2:14">
      <c r="B9939" s="33"/>
      <c r="C9939" s="60"/>
      <c r="D9939" s="60"/>
      <c r="E9939" s="60"/>
      <c r="F9939" s="60"/>
      <c r="G9939" s="60"/>
      <c r="H9939" s="60"/>
      <c r="I9939" s="60"/>
      <c r="J9939" s="60"/>
      <c r="K9939" s="60"/>
      <c r="L9939" s="60"/>
      <c r="M9939" s="64"/>
      <c r="N9939" s="33"/>
    </row>
    <row r="9940" ht="24" customHeight="1" spans="2:14">
      <c r="B9940" s="33"/>
      <c r="C9940" s="60"/>
      <c r="D9940" s="60"/>
      <c r="E9940" s="60"/>
      <c r="F9940" s="60"/>
      <c r="G9940" s="60"/>
      <c r="H9940" s="60"/>
      <c r="I9940" s="60"/>
      <c r="J9940" s="60"/>
      <c r="K9940" s="60"/>
      <c r="L9940" s="60"/>
      <c r="M9940" s="64"/>
      <c r="N9940" s="33"/>
    </row>
    <row r="9941" ht="24" customHeight="1" spans="2:14">
      <c r="B9941" s="33"/>
      <c r="C9941" s="60"/>
      <c r="D9941" s="60"/>
      <c r="E9941" s="60"/>
      <c r="F9941" s="60"/>
      <c r="G9941" s="60"/>
      <c r="H9941" s="60"/>
      <c r="I9941" s="60"/>
      <c r="J9941" s="60"/>
      <c r="K9941" s="60"/>
      <c r="L9941" s="60"/>
      <c r="M9941" s="64"/>
      <c r="N9941" s="33"/>
    </row>
    <row r="9942" ht="24" customHeight="1" spans="2:14">
      <c r="B9942" s="33"/>
      <c r="C9942" s="60"/>
      <c r="D9942" s="60"/>
      <c r="E9942" s="60"/>
      <c r="F9942" s="60"/>
      <c r="G9942" s="60"/>
      <c r="H9942" s="60"/>
      <c r="I9942" s="60"/>
      <c r="J9942" s="60"/>
      <c r="K9942" s="60"/>
      <c r="L9942" s="60"/>
      <c r="M9942" s="64"/>
      <c r="N9942" s="33"/>
    </row>
    <row r="9943" ht="24" customHeight="1" spans="2:14">
      <c r="B9943" s="33"/>
      <c r="C9943" s="60"/>
      <c r="D9943" s="60"/>
      <c r="E9943" s="60"/>
      <c r="F9943" s="60"/>
      <c r="G9943" s="60"/>
      <c r="H9943" s="60"/>
      <c r="I9943" s="60"/>
      <c r="J9943" s="60"/>
      <c r="K9943" s="60"/>
      <c r="L9943" s="60"/>
      <c r="M9943" s="64"/>
      <c r="N9943" s="33"/>
    </row>
    <row r="9944" ht="24" customHeight="1" spans="2:14">
      <c r="B9944" s="33"/>
      <c r="C9944" s="60"/>
      <c r="D9944" s="60"/>
      <c r="E9944" s="60"/>
      <c r="F9944" s="60"/>
      <c r="G9944" s="60"/>
      <c r="H9944" s="60"/>
      <c r="I9944" s="60"/>
      <c r="J9944" s="60"/>
      <c r="K9944" s="60"/>
      <c r="L9944" s="60"/>
      <c r="M9944" s="64"/>
      <c r="N9944" s="33"/>
    </row>
    <row r="9945" ht="24" customHeight="1" spans="2:14">
      <c r="B9945" s="33"/>
      <c r="C9945" s="60"/>
      <c r="D9945" s="60"/>
      <c r="E9945" s="60"/>
      <c r="F9945" s="60"/>
      <c r="G9945" s="60"/>
      <c r="H9945" s="60"/>
      <c r="I9945" s="60"/>
      <c r="J9945" s="60"/>
      <c r="K9945" s="60"/>
      <c r="L9945" s="60"/>
      <c r="M9945" s="64"/>
      <c r="N9945" s="33"/>
    </row>
    <row r="9946" ht="24" customHeight="1" spans="2:14">
      <c r="B9946" s="33"/>
      <c r="C9946" s="60"/>
      <c r="D9946" s="60"/>
      <c r="E9946" s="60"/>
      <c r="F9946" s="60"/>
      <c r="G9946" s="60"/>
      <c r="H9946" s="60"/>
      <c r="I9946" s="60"/>
      <c r="J9946" s="60"/>
      <c r="K9946" s="60"/>
      <c r="L9946" s="60"/>
      <c r="M9946" s="64"/>
      <c r="N9946" s="33"/>
    </row>
    <row r="9947" ht="24" customHeight="1" spans="2:14">
      <c r="B9947" s="33"/>
      <c r="C9947" s="60"/>
      <c r="D9947" s="60"/>
      <c r="E9947" s="60"/>
      <c r="F9947" s="60"/>
      <c r="G9947" s="60"/>
      <c r="H9947" s="60"/>
      <c r="I9947" s="60"/>
      <c r="J9947" s="60"/>
      <c r="K9947" s="60"/>
      <c r="L9947" s="60"/>
      <c r="M9947" s="64"/>
      <c r="N9947" s="33"/>
    </row>
    <row r="9948" ht="24" customHeight="1" spans="2:14">
      <c r="B9948" s="33"/>
      <c r="C9948" s="60"/>
      <c r="D9948" s="60"/>
      <c r="E9948" s="60"/>
      <c r="F9948" s="60"/>
      <c r="G9948" s="60"/>
      <c r="H9948" s="60"/>
      <c r="I9948" s="60"/>
      <c r="J9948" s="60"/>
      <c r="K9948" s="60"/>
      <c r="L9948" s="60"/>
      <c r="M9948" s="64"/>
      <c r="N9948" s="33"/>
    </row>
    <row r="9949" ht="24" customHeight="1" spans="2:14">
      <c r="B9949" s="33"/>
      <c r="C9949" s="60"/>
      <c r="D9949" s="60"/>
      <c r="E9949" s="60"/>
      <c r="F9949" s="60"/>
      <c r="G9949" s="60"/>
      <c r="H9949" s="60"/>
      <c r="I9949" s="60"/>
      <c r="J9949" s="60"/>
      <c r="K9949" s="60"/>
      <c r="L9949" s="60"/>
      <c r="M9949" s="64"/>
      <c r="N9949" s="33"/>
    </row>
    <row r="9950" ht="24" customHeight="1" spans="2:14">
      <c r="B9950" s="33"/>
      <c r="C9950" s="60"/>
      <c r="D9950" s="60"/>
      <c r="E9950" s="60"/>
      <c r="F9950" s="60"/>
      <c r="G9950" s="60"/>
      <c r="H9950" s="60"/>
      <c r="I9950" s="60"/>
      <c r="J9950" s="60"/>
      <c r="K9950" s="60"/>
      <c r="L9950" s="60"/>
      <c r="M9950" s="64"/>
      <c r="N9950" s="33"/>
    </row>
    <row r="9951" ht="24" customHeight="1" spans="2:14">
      <c r="B9951" s="33"/>
      <c r="C9951" s="60"/>
      <c r="D9951" s="60"/>
      <c r="E9951" s="60"/>
      <c r="F9951" s="60"/>
      <c r="G9951" s="60"/>
      <c r="H9951" s="60"/>
      <c r="I9951" s="60"/>
      <c r="J9951" s="60"/>
      <c r="K9951" s="60"/>
      <c r="L9951" s="60"/>
      <c r="M9951" s="64"/>
      <c r="N9951" s="33"/>
    </row>
    <row r="9952" ht="24" customHeight="1" spans="2:14">
      <c r="B9952" s="33"/>
      <c r="C9952" s="60"/>
      <c r="D9952" s="60"/>
      <c r="E9952" s="60"/>
      <c r="F9952" s="60"/>
      <c r="G9952" s="60"/>
      <c r="H9952" s="60"/>
      <c r="I9952" s="60"/>
      <c r="J9952" s="60"/>
      <c r="K9952" s="60"/>
      <c r="L9952" s="60"/>
      <c r="M9952" s="64"/>
      <c r="N9952" s="33"/>
    </row>
    <row r="9953" ht="24" customHeight="1" spans="2:14">
      <c r="B9953" s="33"/>
      <c r="C9953" s="60"/>
      <c r="D9953" s="60"/>
      <c r="E9953" s="60"/>
      <c r="F9953" s="60"/>
      <c r="G9953" s="60"/>
      <c r="H9953" s="60"/>
      <c r="I9953" s="60"/>
      <c r="J9953" s="60"/>
      <c r="K9953" s="60"/>
      <c r="L9953" s="60"/>
      <c r="M9953" s="64"/>
      <c r="N9953" s="33"/>
    </row>
    <row r="9954" ht="24" customHeight="1" spans="2:14">
      <c r="B9954" s="33"/>
      <c r="C9954" s="60"/>
      <c r="D9954" s="60"/>
      <c r="E9954" s="60"/>
      <c r="F9954" s="60"/>
      <c r="G9954" s="60"/>
      <c r="H9954" s="60"/>
      <c r="I9954" s="60"/>
      <c r="J9954" s="60"/>
      <c r="K9954" s="60"/>
      <c r="L9954" s="60"/>
      <c r="M9954" s="64"/>
      <c r="N9954" s="33"/>
    </row>
    <row r="9955" ht="24" customHeight="1" spans="2:14">
      <c r="B9955" s="33"/>
      <c r="C9955" s="60"/>
      <c r="D9955" s="60"/>
      <c r="E9955" s="60"/>
      <c r="F9955" s="60"/>
      <c r="G9955" s="60"/>
      <c r="H9955" s="60"/>
      <c r="I9955" s="60"/>
      <c r="J9955" s="60"/>
      <c r="K9955" s="60"/>
      <c r="L9955" s="60"/>
      <c r="M9955" s="64"/>
      <c r="N9955" s="33"/>
    </row>
    <row r="9956" ht="24" customHeight="1" spans="2:14">
      <c r="B9956" s="33"/>
      <c r="C9956" s="60"/>
      <c r="D9956" s="60"/>
      <c r="E9956" s="60"/>
      <c r="F9956" s="60"/>
      <c r="G9956" s="60"/>
      <c r="H9956" s="60"/>
      <c r="I9956" s="60"/>
      <c r="J9956" s="60"/>
      <c r="K9956" s="60"/>
      <c r="L9956" s="60"/>
      <c r="M9956" s="64"/>
      <c r="N9956" s="33"/>
    </row>
    <row r="9957" ht="24" customHeight="1" spans="2:14">
      <c r="B9957" s="33"/>
      <c r="C9957" s="60"/>
      <c r="D9957" s="60"/>
      <c r="E9957" s="60"/>
      <c r="F9957" s="60"/>
      <c r="G9957" s="60"/>
      <c r="H9957" s="60"/>
      <c r="I9957" s="60"/>
      <c r="J9957" s="60"/>
      <c r="K9957" s="60"/>
      <c r="L9957" s="60"/>
      <c r="M9957" s="64"/>
      <c r="N9957" s="33"/>
    </row>
    <row r="9958" ht="24" customHeight="1" spans="2:14">
      <c r="B9958" s="33"/>
      <c r="C9958" s="60"/>
      <c r="D9958" s="60"/>
      <c r="E9958" s="60"/>
      <c r="F9958" s="60"/>
      <c r="G9958" s="60"/>
      <c r="H9958" s="60"/>
      <c r="I9958" s="60"/>
      <c r="J9958" s="60"/>
      <c r="K9958" s="60"/>
      <c r="L9958" s="60"/>
      <c r="M9958" s="64"/>
      <c r="N9958" s="33"/>
    </row>
    <row r="9959" ht="24" customHeight="1" spans="2:14">
      <c r="B9959" s="33"/>
      <c r="C9959" s="60"/>
      <c r="D9959" s="60"/>
      <c r="E9959" s="60"/>
      <c r="F9959" s="60"/>
      <c r="G9959" s="60"/>
      <c r="H9959" s="60"/>
      <c r="I9959" s="60"/>
      <c r="J9959" s="60"/>
      <c r="K9959" s="60"/>
      <c r="L9959" s="60"/>
      <c r="M9959" s="64"/>
      <c r="N9959" s="33"/>
    </row>
    <row r="9960" ht="24" customHeight="1" spans="2:14">
      <c r="B9960" s="33"/>
      <c r="C9960" s="60"/>
      <c r="D9960" s="60"/>
      <c r="E9960" s="60"/>
      <c r="F9960" s="60"/>
      <c r="G9960" s="60"/>
      <c r="H9960" s="60"/>
      <c r="I9960" s="60"/>
      <c r="J9960" s="60"/>
      <c r="K9960" s="60"/>
      <c r="L9960" s="60"/>
      <c r="M9960" s="64"/>
      <c r="N9960" s="33"/>
    </row>
    <row r="9961" ht="24" customHeight="1" spans="2:14">
      <c r="B9961" s="33"/>
      <c r="C9961" s="60"/>
      <c r="D9961" s="60"/>
      <c r="E9961" s="60"/>
      <c r="F9961" s="60"/>
      <c r="G9961" s="60"/>
      <c r="H9961" s="60"/>
      <c r="I9961" s="60"/>
      <c r="J9961" s="60"/>
      <c r="K9961" s="60"/>
      <c r="L9961" s="60"/>
      <c r="M9961" s="64"/>
      <c r="N9961" s="33"/>
    </row>
    <row r="9962" ht="24" customHeight="1" spans="2:14">
      <c r="B9962" s="33"/>
      <c r="C9962" s="60"/>
      <c r="D9962" s="60"/>
      <c r="E9962" s="60"/>
      <c r="F9962" s="60"/>
      <c r="G9962" s="60"/>
      <c r="H9962" s="60"/>
      <c r="I9962" s="60"/>
      <c r="J9962" s="60"/>
      <c r="K9962" s="60"/>
      <c r="L9962" s="60"/>
      <c r="M9962" s="64"/>
      <c r="N9962" s="33"/>
    </row>
    <row r="9963" ht="24" customHeight="1" spans="2:14">
      <c r="B9963" s="33"/>
      <c r="C9963" s="60"/>
      <c r="D9963" s="60"/>
      <c r="E9963" s="60"/>
      <c r="F9963" s="60"/>
      <c r="G9963" s="60"/>
      <c r="H9963" s="60"/>
      <c r="I9963" s="60"/>
      <c r="J9963" s="60"/>
      <c r="K9963" s="60"/>
      <c r="L9963" s="60"/>
      <c r="M9963" s="64"/>
      <c r="N9963" s="33"/>
    </row>
    <row r="9964" ht="24" customHeight="1" spans="2:14">
      <c r="B9964" s="33"/>
      <c r="C9964" s="60"/>
      <c r="D9964" s="60"/>
      <c r="E9964" s="60"/>
      <c r="F9964" s="60"/>
      <c r="G9964" s="60"/>
      <c r="H9964" s="60"/>
      <c r="I9964" s="60"/>
      <c r="J9964" s="60"/>
      <c r="K9964" s="60"/>
      <c r="L9964" s="60"/>
      <c r="M9964" s="64"/>
      <c r="N9964" s="33"/>
    </row>
    <row r="9965" ht="24" customHeight="1" spans="2:14">
      <c r="B9965" s="33"/>
      <c r="C9965" s="60"/>
      <c r="D9965" s="60"/>
      <c r="E9965" s="60"/>
      <c r="F9965" s="60"/>
      <c r="G9965" s="60"/>
      <c r="H9965" s="60"/>
      <c r="I9965" s="60"/>
      <c r="J9965" s="60"/>
      <c r="K9965" s="60"/>
      <c r="L9965" s="60"/>
      <c r="M9965" s="64"/>
      <c r="N9965" s="33"/>
    </row>
    <row r="9966" ht="24" customHeight="1" spans="2:14">
      <c r="B9966" s="33"/>
      <c r="C9966" s="60"/>
      <c r="D9966" s="60"/>
      <c r="E9966" s="60"/>
      <c r="F9966" s="60"/>
      <c r="G9966" s="60"/>
      <c r="H9966" s="60"/>
      <c r="I9966" s="60"/>
      <c r="J9966" s="60"/>
      <c r="K9966" s="60"/>
      <c r="L9966" s="60"/>
      <c r="M9966" s="64"/>
      <c r="N9966" s="33"/>
    </row>
    <row r="9967" ht="24" customHeight="1" spans="2:14">
      <c r="B9967" s="33"/>
      <c r="C9967" s="60"/>
      <c r="D9967" s="60"/>
      <c r="E9967" s="60"/>
      <c r="F9967" s="60"/>
      <c r="G9967" s="60"/>
      <c r="H9967" s="60"/>
      <c r="I9967" s="60"/>
      <c r="J9967" s="60"/>
      <c r="K9967" s="60"/>
      <c r="L9967" s="60"/>
      <c r="M9967" s="64"/>
      <c r="N9967" s="33"/>
    </row>
    <row r="9968" ht="24" customHeight="1" spans="2:14">
      <c r="B9968" s="33"/>
      <c r="C9968" s="60"/>
      <c r="D9968" s="60"/>
      <c r="E9968" s="60"/>
      <c r="F9968" s="60"/>
      <c r="G9968" s="60"/>
      <c r="H9968" s="60"/>
      <c r="I9968" s="60"/>
      <c r="J9968" s="60"/>
      <c r="K9968" s="60"/>
      <c r="L9968" s="60"/>
      <c r="M9968" s="64"/>
      <c r="N9968" s="33"/>
    </row>
    <row r="9969" ht="24" customHeight="1" spans="2:14">
      <c r="B9969" s="33"/>
      <c r="C9969" s="60"/>
      <c r="D9969" s="60"/>
      <c r="E9969" s="60"/>
      <c r="F9969" s="60"/>
      <c r="G9969" s="60"/>
      <c r="H9969" s="60"/>
      <c r="I9969" s="60"/>
      <c r="J9969" s="60"/>
      <c r="K9969" s="60"/>
      <c r="L9969" s="60"/>
      <c r="M9969" s="64"/>
      <c r="N9969" s="33"/>
    </row>
    <row r="9970" ht="24" customHeight="1" spans="2:14">
      <c r="B9970" s="33"/>
      <c r="C9970" s="60"/>
      <c r="D9970" s="60"/>
      <c r="E9970" s="60"/>
      <c r="F9970" s="60"/>
      <c r="G9970" s="60"/>
      <c r="H9970" s="60"/>
      <c r="I9970" s="60"/>
      <c r="J9970" s="60"/>
      <c r="K9970" s="60"/>
      <c r="L9970" s="60"/>
      <c r="M9970" s="64"/>
      <c r="N9970" s="33"/>
    </row>
    <row r="9971" ht="24" customHeight="1" spans="2:14">
      <c r="B9971" s="33"/>
      <c r="C9971" s="60"/>
      <c r="D9971" s="60"/>
      <c r="E9971" s="60"/>
      <c r="F9971" s="60"/>
      <c r="G9971" s="60"/>
      <c r="H9971" s="60"/>
      <c r="I9971" s="60"/>
      <c r="J9971" s="60"/>
      <c r="K9971" s="60"/>
      <c r="L9971" s="60"/>
      <c r="M9971" s="64"/>
      <c r="N9971" s="33"/>
    </row>
    <row r="9972" ht="24" customHeight="1" spans="2:14">
      <c r="B9972" s="33"/>
      <c r="C9972" s="60"/>
      <c r="D9972" s="60"/>
      <c r="E9972" s="60"/>
      <c r="F9972" s="60"/>
      <c r="G9972" s="60"/>
      <c r="H9972" s="60"/>
      <c r="I9972" s="60"/>
      <c r="J9972" s="60"/>
      <c r="K9972" s="60"/>
      <c r="L9972" s="60"/>
      <c r="M9972" s="64"/>
      <c r="N9972" s="33"/>
    </row>
    <row r="9973" ht="24" customHeight="1" spans="2:14">
      <c r="B9973" s="33"/>
      <c r="C9973" s="60"/>
      <c r="D9973" s="60"/>
      <c r="E9973" s="60"/>
      <c r="F9973" s="60"/>
      <c r="G9973" s="60"/>
      <c r="H9973" s="60"/>
      <c r="I9973" s="60"/>
      <c r="J9973" s="60"/>
      <c r="K9973" s="60"/>
      <c r="L9973" s="60"/>
      <c r="M9973" s="64"/>
      <c r="N9973" s="33"/>
    </row>
    <row r="9974" ht="24" customHeight="1" spans="2:14">
      <c r="B9974" s="33"/>
      <c r="C9974" s="60"/>
      <c r="D9974" s="60"/>
      <c r="E9974" s="60"/>
      <c r="F9974" s="60"/>
      <c r="G9974" s="60"/>
      <c r="H9974" s="60"/>
      <c r="I9974" s="60"/>
      <c r="J9974" s="60"/>
      <c r="K9974" s="60"/>
      <c r="L9974" s="60"/>
      <c r="M9974" s="64"/>
      <c r="N9974" s="33"/>
    </row>
    <row r="9975" ht="24" customHeight="1" spans="2:14">
      <c r="B9975" s="33"/>
      <c r="C9975" s="60"/>
      <c r="D9975" s="60"/>
      <c r="E9975" s="60"/>
      <c r="F9975" s="60"/>
      <c r="G9975" s="60"/>
      <c r="H9975" s="60"/>
      <c r="I9975" s="60"/>
      <c r="J9975" s="60"/>
      <c r="K9975" s="60"/>
      <c r="L9975" s="60"/>
      <c r="M9975" s="64"/>
      <c r="N9975" s="33"/>
    </row>
    <row r="9976" ht="24" customHeight="1" spans="2:14">
      <c r="B9976" s="33"/>
      <c r="C9976" s="60"/>
      <c r="D9976" s="60"/>
      <c r="E9976" s="60"/>
      <c r="F9976" s="60"/>
      <c r="G9976" s="60"/>
      <c r="H9976" s="60"/>
      <c r="I9976" s="60"/>
      <c r="J9976" s="60"/>
      <c r="K9976" s="60"/>
      <c r="L9976" s="60"/>
      <c r="M9976" s="64"/>
      <c r="N9976" s="33"/>
    </row>
    <row r="9977" ht="24" customHeight="1" spans="2:14">
      <c r="B9977" s="33"/>
      <c r="C9977" s="60"/>
      <c r="D9977" s="60"/>
      <c r="E9977" s="60"/>
      <c r="F9977" s="60"/>
      <c r="G9977" s="60"/>
      <c r="H9977" s="60"/>
      <c r="I9977" s="60"/>
      <c r="J9977" s="60"/>
      <c r="K9977" s="60"/>
      <c r="L9977" s="60"/>
      <c r="M9977" s="64"/>
      <c r="N9977" s="33"/>
    </row>
    <row r="9978" ht="24" customHeight="1" spans="2:14">
      <c r="B9978" s="33"/>
      <c r="C9978" s="60"/>
      <c r="D9978" s="60"/>
      <c r="E9978" s="60"/>
      <c r="F9978" s="60"/>
      <c r="G9978" s="60"/>
      <c r="H9978" s="60"/>
      <c r="I9978" s="60"/>
      <c r="J9978" s="60"/>
      <c r="K9978" s="60"/>
      <c r="L9978" s="60"/>
      <c r="M9978" s="64"/>
      <c r="N9978" s="33"/>
    </row>
    <row r="9979" ht="24" customHeight="1" spans="2:14">
      <c r="B9979" s="33"/>
      <c r="C9979" s="60"/>
      <c r="D9979" s="60"/>
      <c r="E9979" s="60"/>
      <c r="F9979" s="60"/>
      <c r="G9979" s="60"/>
      <c r="H9979" s="60"/>
      <c r="I9979" s="60"/>
      <c r="J9979" s="60"/>
      <c r="K9979" s="60"/>
      <c r="L9979" s="60"/>
      <c r="M9979" s="64"/>
      <c r="N9979" s="33"/>
    </row>
    <row r="9980" ht="24" customHeight="1" spans="2:14">
      <c r="B9980" s="33"/>
      <c r="C9980" s="60"/>
      <c r="D9980" s="60"/>
      <c r="E9980" s="60"/>
      <c r="F9980" s="60"/>
      <c r="G9980" s="60"/>
      <c r="H9980" s="60"/>
      <c r="I9980" s="60"/>
      <c r="J9980" s="60"/>
      <c r="K9980" s="60"/>
      <c r="L9980" s="60"/>
      <c r="M9980" s="64"/>
      <c r="N9980" s="33"/>
    </row>
    <row r="9981" ht="24" customHeight="1" spans="2:14">
      <c r="B9981" s="33"/>
      <c r="C9981" s="60"/>
      <c r="D9981" s="60"/>
      <c r="E9981" s="60"/>
      <c r="F9981" s="60"/>
      <c r="G9981" s="60"/>
      <c r="H9981" s="60"/>
      <c r="I9981" s="60"/>
      <c r="J9981" s="60"/>
      <c r="K9981" s="60"/>
      <c r="L9981" s="60"/>
      <c r="M9981" s="64"/>
      <c r="N9981" s="33"/>
    </row>
    <row r="9982" ht="24" customHeight="1" spans="2:14">
      <c r="B9982" s="33"/>
      <c r="C9982" s="60"/>
      <c r="D9982" s="60"/>
      <c r="E9982" s="60"/>
      <c r="F9982" s="60"/>
      <c r="G9982" s="60"/>
      <c r="H9982" s="60"/>
      <c r="I9982" s="60"/>
      <c r="J9982" s="60"/>
      <c r="K9982" s="60"/>
      <c r="L9982" s="60"/>
      <c r="M9982" s="64"/>
      <c r="N9982" s="33"/>
    </row>
    <row r="9983" ht="24" customHeight="1" spans="2:14">
      <c r="B9983" s="33"/>
      <c r="C9983" s="60"/>
      <c r="D9983" s="60"/>
      <c r="E9983" s="60"/>
      <c r="F9983" s="60"/>
      <c r="G9983" s="60"/>
      <c r="H9983" s="60"/>
      <c r="I9983" s="60"/>
      <c r="J9983" s="60"/>
      <c r="K9983" s="60"/>
      <c r="L9983" s="60"/>
      <c r="M9983" s="64"/>
      <c r="N9983" s="33"/>
    </row>
    <row r="9984" ht="24" customHeight="1" spans="2:14">
      <c r="B9984" s="33"/>
      <c r="C9984" s="60"/>
      <c r="D9984" s="60"/>
      <c r="E9984" s="60"/>
      <c r="F9984" s="60"/>
      <c r="G9984" s="60"/>
      <c r="H9984" s="60"/>
      <c r="I9984" s="60"/>
      <c r="J9984" s="60"/>
      <c r="K9984" s="60"/>
      <c r="L9984" s="60"/>
      <c r="M9984" s="64"/>
      <c r="N9984" s="33"/>
    </row>
    <row r="9985" ht="24" customHeight="1" spans="2:14">
      <c r="B9985" s="33"/>
      <c r="C9985" s="60"/>
      <c r="D9985" s="60"/>
      <c r="E9985" s="60"/>
      <c r="F9985" s="60"/>
      <c r="G9985" s="60"/>
      <c r="H9985" s="60"/>
      <c r="I9985" s="60"/>
      <c r="J9985" s="60"/>
      <c r="K9985" s="60"/>
      <c r="L9985" s="60"/>
      <c r="M9985" s="64"/>
      <c r="N9985" s="33"/>
    </row>
    <row r="9986" ht="24" customHeight="1" spans="2:14">
      <c r="B9986" s="33"/>
      <c r="C9986" s="60"/>
      <c r="D9986" s="60"/>
      <c r="E9986" s="60"/>
      <c r="F9986" s="60"/>
      <c r="G9986" s="60"/>
      <c r="H9986" s="60"/>
      <c r="I9986" s="60"/>
      <c r="J9986" s="60"/>
      <c r="K9986" s="60"/>
      <c r="L9986" s="60"/>
      <c r="M9986" s="64"/>
      <c r="N9986" s="33"/>
    </row>
    <row r="9987" ht="24" customHeight="1" spans="2:14">
      <c r="B9987" s="33"/>
      <c r="C9987" s="60"/>
      <c r="D9987" s="60"/>
      <c r="E9987" s="60"/>
      <c r="F9987" s="60"/>
      <c r="G9987" s="60"/>
      <c r="H9987" s="60"/>
      <c r="I9987" s="60"/>
      <c r="J9987" s="60"/>
      <c r="K9987" s="60"/>
      <c r="L9987" s="60"/>
      <c r="M9987" s="64"/>
      <c r="N9987" s="33"/>
    </row>
    <row r="9988" ht="24" customHeight="1" spans="2:14">
      <c r="B9988" s="33"/>
      <c r="C9988" s="60"/>
      <c r="D9988" s="60"/>
      <c r="E9988" s="60"/>
      <c r="F9988" s="60"/>
      <c r="G9988" s="60"/>
      <c r="H9988" s="60"/>
      <c r="I9988" s="60"/>
      <c r="J9988" s="60"/>
      <c r="K9988" s="60"/>
      <c r="L9988" s="60"/>
      <c r="M9988" s="64"/>
      <c r="N9988" s="33"/>
    </row>
    <row r="9989" ht="24" customHeight="1" spans="2:14">
      <c r="B9989" s="33"/>
      <c r="C9989" s="60"/>
      <c r="D9989" s="60"/>
      <c r="E9989" s="60"/>
      <c r="F9989" s="60"/>
      <c r="G9989" s="60"/>
      <c r="H9989" s="60"/>
      <c r="I9989" s="60"/>
      <c r="J9989" s="60"/>
      <c r="K9989" s="60"/>
      <c r="L9989" s="60"/>
      <c r="M9989" s="64"/>
      <c r="N9989" s="33"/>
    </row>
    <row r="9990" ht="24" customHeight="1" spans="2:14">
      <c r="B9990" s="33"/>
      <c r="C9990" s="60"/>
      <c r="D9990" s="60"/>
      <c r="E9990" s="60"/>
      <c r="F9990" s="60"/>
      <c r="G9990" s="60"/>
      <c r="H9990" s="60"/>
      <c r="I9990" s="60"/>
      <c r="J9990" s="60"/>
      <c r="K9990" s="60"/>
      <c r="L9990" s="60"/>
      <c r="M9990" s="64"/>
      <c r="N9990" s="33"/>
    </row>
    <row r="9991" ht="24" customHeight="1" spans="2:14">
      <c r="B9991" s="33"/>
      <c r="C9991" s="60"/>
      <c r="D9991" s="60"/>
      <c r="E9991" s="60"/>
      <c r="F9991" s="60"/>
      <c r="G9991" s="60"/>
      <c r="H9991" s="60"/>
      <c r="I9991" s="60"/>
      <c r="J9991" s="60"/>
      <c r="K9991" s="60"/>
      <c r="L9991" s="60"/>
      <c r="M9991" s="64"/>
      <c r="N9991" s="33"/>
    </row>
    <row r="9992" ht="24" customHeight="1" spans="2:14">
      <c r="B9992" s="33"/>
      <c r="C9992" s="60"/>
      <c r="D9992" s="60"/>
      <c r="E9992" s="60"/>
      <c r="F9992" s="60"/>
      <c r="G9992" s="60"/>
      <c r="H9992" s="60"/>
      <c r="I9992" s="60"/>
      <c r="J9992" s="60"/>
      <c r="K9992" s="60"/>
      <c r="L9992" s="60"/>
      <c r="M9992" s="64"/>
      <c r="N9992" s="33"/>
    </row>
    <row r="9993" ht="24" customHeight="1" spans="2:14">
      <c r="B9993" s="33"/>
      <c r="C9993" s="60"/>
      <c r="D9993" s="60"/>
      <c r="E9993" s="60"/>
      <c r="F9993" s="60"/>
      <c r="G9993" s="60"/>
      <c r="H9993" s="60"/>
      <c r="I9993" s="60"/>
      <c r="J9993" s="60"/>
      <c r="K9993" s="60"/>
      <c r="L9993" s="60"/>
      <c r="M9993" s="64"/>
      <c r="N9993" s="33"/>
    </row>
    <row r="9994" ht="24" customHeight="1" spans="2:14">
      <c r="B9994" s="33"/>
      <c r="C9994" s="60"/>
      <c r="D9994" s="60"/>
      <c r="E9994" s="60"/>
      <c r="F9994" s="60"/>
      <c r="G9994" s="60"/>
      <c r="H9994" s="60"/>
      <c r="I9994" s="60"/>
      <c r="J9994" s="60"/>
      <c r="K9994" s="60"/>
      <c r="L9994" s="60"/>
      <c r="M9994" s="64"/>
      <c r="N9994" s="33"/>
    </row>
    <row r="9995" ht="24" customHeight="1" spans="2:14">
      <c r="B9995" s="33"/>
      <c r="C9995" s="60"/>
      <c r="D9995" s="60"/>
      <c r="E9995" s="60"/>
      <c r="F9995" s="60"/>
      <c r="G9995" s="60"/>
      <c r="H9995" s="60"/>
      <c r="I9995" s="60"/>
      <c r="J9995" s="60"/>
      <c r="K9995" s="60"/>
      <c r="L9995" s="60"/>
      <c r="M9995" s="64"/>
      <c r="N9995" s="33"/>
    </row>
    <row r="9996" ht="24" customHeight="1" spans="2:14">
      <c r="B9996" s="33"/>
      <c r="C9996" s="60"/>
      <c r="D9996" s="60"/>
      <c r="E9996" s="60"/>
      <c r="F9996" s="60"/>
      <c r="G9996" s="60"/>
      <c r="H9996" s="60"/>
      <c r="I9996" s="60"/>
      <c r="J9996" s="60"/>
      <c r="K9996" s="60"/>
      <c r="L9996" s="60"/>
      <c r="M9996" s="64"/>
      <c r="N9996" s="33"/>
    </row>
    <row r="9997" ht="24" customHeight="1" spans="2:14">
      <c r="B9997" s="33"/>
      <c r="C9997" s="60"/>
      <c r="D9997" s="60"/>
      <c r="E9997" s="60"/>
      <c r="F9997" s="60"/>
      <c r="G9997" s="60"/>
      <c r="H9997" s="60"/>
      <c r="I9997" s="60"/>
      <c r="J9997" s="60"/>
      <c r="K9997" s="60"/>
      <c r="L9997" s="60"/>
      <c r="M9997" s="64"/>
      <c r="N9997" s="33"/>
    </row>
    <row r="9998" ht="24" customHeight="1" spans="2:14">
      <c r="B9998" s="33"/>
      <c r="C9998" s="60"/>
      <c r="D9998" s="60"/>
      <c r="E9998" s="60"/>
      <c r="F9998" s="60"/>
      <c r="G9998" s="60"/>
      <c r="H9998" s="60"/>
      <c r="I9998" s="60"/>
      <c r="J9998" s="60"/>
      <c r="K9998" s="60"/>
      <c r="L9998" s="60"/>
      <c r="M9998" s="64"/>
      <c r="N9998" s="33"/>
    </row>
    <row r="9999" ht="24" customHeight="1" spans="2:14">
      <c r="B9999" s="33"/>
      <c r="C9999" s="60"/>
      <c r="D9999" s="60"/>
      <c r="E9999" s="60"/>
      <c r="F9999" s="60"/>
      <c r="G9999" s="60"/>
      <c r="H9999" s="60"/>
      <c r="I9999" s="60"/>
      <c r="J9999" s="60"/>
      <c r="K9999" s="60"/>
      <c r="L9999" s="60"/>
      <c r="M9999" s="64"/>
      <c r="N9999" s="33"/>
    </row>
    <row r="10000" ht="24" customHeight="1" spans="2:14">
      <c r="B10000" s="33"/>
      <c r="C10000" s="60"/>
      <c r="D10000" s="60"/>
      <c r="E10000" s="60"/>
      <c r="F10000" s="60"/>
      <c r="G10000" s="60"/>
      <c r="H10000" s="60"/>
      <c r="I10000" s="60"/>
      <c r="J10000" s="60"/>
      <c r="K10000" s="60"/>
      <c r="L10000" s="60"/>
      <c r="M10000" s="64"/>
      <c r="N10000" s="33"/>
    </row>
    <row r="10001" ht="24" customHeight="1" spans="2:14">
      <c r="B10001" s="33"/>
      <c r="C10001" s="60"/>
      <c r="D10001" s="60"/>
      <c r="E10001" s="60"/>
      <c r="F10001" s="60"/>
      <c r="G10001" s="60"/>
      <c r="H10001" s="60"/>
      <c r="I10001" s="60"/>
      <c r="J10001" s="60"/>
      <c r="K10001" s="60"/>
      <c r="L10001" s="60"/>
      <c r="M10001" s="65"/>
      <c r="N10001" s="33"/>
    </row>
    <row r="10002" spans="2:14">
      <c r="B10002" s="7"/>
      <c r="C10002" s="7"/>
      <c r="D10002" s="7"/>
      <c r="E10002" s="7"/>
      <c r="F10002" s="7"/>
      <c r="G10002" s="7"/>
      <c r="H10002" s="7"/>
      <c r="I10002" s="7"/>
      <c r="J10002" s="7"/>
      <c r="K10002" s="7"/>
      <c r="L10002" s="7"/>
      <c r="M10002" s="66"/>
      <c r="N10002" s="67"/>
    </row>
  </sheetData>
  <pageMargins left="0.75" right="0.75" top="1" bottom="1" header="0.5" footer="0.5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1:P36"/>
  <sheetViews>
    <sheetView workbookViewId="0">
      <selection activeCell="D5" sqref="D5"/>
    </sheetView>
  </sheetViews>
  <sheetFormatPr defaultColWidth="9" defaultRowHeight="13.5"/>
  <cols>
    <col min="1" max="2" width="3.625" style="2" customWidth="1"/>
    <col min="3" max="3" width="19.125" style="2" customWidth="1"/>
    <col min="4" max="4" width="14.625" style="2" customWidth="1"/>
    <col min="5" max="7" width="3.625" style="2" customWidth="1"/>
    <col min="8" max="9" width="24.625" style="2" customWidth="1"/>
    <col min="10" max="12" width="3.625" style="2" customWidth="1"/>
    <col min="13" max="14" width="10.625" style="2" customWidth="1"/>
    <col min="15" max="15" width="29.625" style="2" customWidth="1"/>
    <col min="16" max="16" width="3.625" style="2" customWidth="1"/>
    <col min="17" max="16382" width="9" style="2"/>
    <col min="16383" max="16384" width="9" style="4"/>
  </cols>
  <sheetData>
    <row r="1" s="1" customFormat="1" ht="57" customHeight="1"/>
    <row r="2" s="2" customFormat="1" ht="9.95" customHeight="1"/>
    <row r="3" s="2" customFormat="1" ht="39.95" customHeight="1" spans="2:16">
      <c r="B3" s="36"/>
      <c r="C3" s="26" t="s">
        <v>471</v>
      </c>
      <c r="D3" s="26"/>
      <c r="E3" s="7"/>
      <c r="G3" s="7"/>
      <c r="H3" s="26" t="s">
        <v>472</v>
      </c>
      <c r="I3" s="7"/>
      <c r="J3" s="7"/>
      <c r="L3" s="7"/>
      <c r="M3" s="26" t="s">
        <v>473</v>
      </c>
      <c r="N3" s="7"/>
      <c r="O3" s="7"/>
      <c r="P3" s="7"/>
    </row>
    <row r="4" s="2" customFormat="1" ht="24" customHeight="1" spans="2:16">
      <c r="B4" s="27"/>
      <c r="C4" s="37" t="s">
        <v>474</v>
      </c>
      <c r="D4" s="38">
        <v>7</v>
      </c>
      <c r="E4" s="27"/>
      <c r="F4" s="39"/>
      <c r="G4" s="27"/>
      <c r="H4" s="28" t="s">
        <v>199</v>
      </c>
      <c r="I4" s="28" t="s">
        <v>206</v>
      </c>
      <c r="J4" s="27"/>
      <c r="L4" s="27"/>
      <c r="M4" s="27"/>
      <c r="N4" s="27"/>
      <c r="O4" s="27"/>
      <c r="P4" s="7"/>
    </row>
    <row r="5" s="2" customFormat="1" ht="24" customHeight="1" spans="2:16">
      <c r="B5" s="32"/>
      <c r="C5" s="40"/>
      <c r="D5" s="27"/>
      <c r="E5" s="32"/>
      <c r="F5" s="41"/>
      <c r="G5" s="27"/>
      <c r="H5" s="29" t="s">
        <v>102</v>
      </c>
      <c r="I5" s="29" t="s">
        <v>475</v>
      </c>
      <c r="J5" s="32"/>
      <c r="L5" s="27"/>
      <c r="M5" s="32"/>
      <c r="N5" s="32"/>
      <c r="O5" s="32"/>
      <c r="P5" s="7"/>
    </row>
    <row r="6" s="2" customFormat="1" ht="24" customHeight="1" spans="2:16">
      <c r="B6" s="33"/>
      <c r="C6" s="37" t="s">
        <v>476</v>
      </c>
      <c r="D6" s="42" t="s">
        <v>477</v>
      </c>
      <c r="E6" s="33"/>
      <c r="F6" s="43"/>
      <c r="G6" s="27"/>
      <c r="H6" s="29" t="s">
        <v>165</v>
      </c>
      <c r="I6" s="29" t="s">
        <v>478</v>
      </c>
      <c r="J6" s="33"/>
      <c r="L6" s="27"/>
      <c r="M6" s="56" t="s">
        <v>479</v>
      </c>
      <c r="N6" s="56"/>
      <c r="O6" s="56"/>
      <c r="P6" s="7"/>
    </row>
    <row r="7" s="2" customFormat="1" ht="24" customHeight="1" spans="2:16">
      <c r="B7" s="33"/>
      <c r="C7" s="44"/>
      <c r="D7" s="45"/>
      <c r="E7" s="33"/>
      <c r="F7" s="43"/>
      <c r="G7" s="27"/>
      <c r="H7" s="29" t="s">
        <v>78</v>
      </c>
      <c r="I7" s="29" t="s">
        <v>480</v>
      </c>
      <c r="J7" s="33"/>
      <c r="L7" s="27"/>
      <c r="M7" s="56"/>
      <c r="N7" s="56"/>
      <c r="O7" s="56"/>
      <c r="P7" s="7"/>
    </row>
    <row r="8" s="2" customFormat="1" ht="24" customHeight="1" spans="2:16">
      <c r="B8" s="46"/>
      <c r="C8" s="37" t="s">
        <v>481</v>
      </c>
      <c r="D8" s="47" t="s">
        <v>477</v>
      </c>
      <c r="E8" s="46"/>
      <c r="F8" s="48"/>
      <c r="G8" s="27"/>
      <c r="H8" s="29" t="s">
        <v>129</v>
      </c>
      <c r="I8" s="29" t="s">
        <v>482</v>
      </c>
      <c r="J8" s="46"/>
      <c r="L8" s="27"/>
      <c r="M8" s="56"/>
      <c r="N8" s="56"/>
      <c r="O8" s="56"/>
      <c r="P8" s="7"/>
    </row>
    <row r="9" s="2" customFormat="1" ht="24" customHeight="1" spans="2:16">
      <c r="B9" s="27"/>
      <c r="C9" s="37"/>
      <c r="D9" s="45"/>
      <c r="E9" s="27"/>
      <c r="F9" s="39"/>
      <c r="G9" s="27"/>
      <c r="H9" s="29" t="s">
        <v>13</v>
      </c>
      <c r="I9" s="29" t="s">
        <v>483</v>
      </c>
      <c r="J9" s="27"/>
      <c r="L9" s="27"/>
      <c r="M9" s="27"/>
      <c r="N9" s="27"/>
      <c r="O9" s="27"/>
      <c r="P9" s="7"/>
    </row>
    <row r="10" s="2" customFormat="1" ht="24" customHeight="1" spans="2:16">
      <c r="B10" s="27"/>
      <c r="C10" s="37" t="s">
        <v>484</v>
      </c>
      <c r="D10" s="49" t="s">
        <v>477</v>
      </c>
      <c r="E10" s="27"/>
      <c r="F10" s="39"/>
      <c r="G10" s="27"/>
      <c r="H10" s="29" t="s">
        <v>55</v>
      </c>
      <c r="I10" s="29" t="s">
        <v>485</v>
      </c>
      <c r="J10" s="27"/>
      <c r="L10" s="27"/>
      <c r="M10" s="27"/>
      <c r="N10" s="27"/>
      <c r="O10" s="27"/>
      <c r="P10" s="7"/>
    </row>
    <row r="11" s="2" customFormat="1" ht="24" customHeight="1" spans="2:10">
      <c r="B11" s="32"/>
      <c r="C11" s="32"/>
      <c r="D11" s="27"/>
      <c r="E11" s="32"/>
      <c r="F11" s="41"/>
      <c r="G11" s="27"/>
      <c r="H11" s="29" t="s">
        <v>138</v>
      </c>
      <c r="I11" s="29" t="s">
        <v>486</v>
      </c>
      <c r="J11" s="32"/>
    </row>
    <row r="12" s="2" customFormat="1" ht="24" customHeight="1" spans="2:10">
      <c r="B12" s="33"/>
      <c r="C12" s="37" t="s">
        <v>487</v>
      </c>
      <c r="D12" s="38">
        <v>30</v>
      </c>
      <c r="E12" s="33"/>
      <c r="F12" s="43"/>
      <c r="G12" s="27"/>
      <c r="H12" s="29" t="s">
        <v>178</v>
      </c>
      <c r="I12" s="29" t="s">
        <v>488</v>
      </c>
      <c r="J12" s="33"/>
    </row>
    <row r="13" s="2" customFormat="1" ht="24" customHeight="1" spans="2:10">
      <c r="B13" s="33"/>
      <c r="C13" s="33"/>
      <c r="D13" s="27"/>
      <c r="E13" s="33"/>
      <c r="F13" s="43"/>
      <c r="G13" s="27"/>
      <c r="H13" s="29"/>
      <c r="I13" s="29" t="s">
        <v>489</v>
      </c>
      <c r="J13" s="33"/>
    </row>
    <row r="14" s="2" customFormat="1" ht="24" customHeight="1" spans="2:10">
      <c r="B14" s="46"/>
      <c r="C14" s="46"/>
      <c r="D14" s="27"/>
      <c r="E14" s="46"/>
      <c r="F14" s="48"/>
      <c r="G14" s="27"/>
      <c r="H14" s="29"/>
      <c r="I14" s="29"/>
      <c r="J14" s="46"/>
    </row>
    <row r="15" s="2" customFormat="1" ht="24" customHeight="1" spans="2:10">
      <c r="B15" s="27"/>
      <c r="C15" s="27"/>
      <c r="D15" s="27"/>
      <c r="E15" s="27"/>
      <c r="F15" s="39"/>
      <c r="G15" s="27"/>
      <c r="H15" s="50"/>
      <c r="I15" s="50"/>
      <c r="J15" s="27"/>
    </row>
    <row r="16" ht="24" customHeight="1" spans="2:10">
      <c r="B16" s="27"/>
      <c r="C16" s="27"/>
      <c r="D16" s="27"/>
      <c r="E16" s="27"/>
      <c r="F16" s="39"/>
      <c r="G16" s="27"/>
      <c r="H16" s="51"/>
      <c r="I16" s="51"/>
      <c r="J16" s="27"/>
    </row>
    <row r="17" s="2" customFormat="1" ht="24" customHeight="1" spans="2:10">
      <c r="B17" s="52"/>
      <c r="C17" s="27"/>
      <c r="D17" s="27"/>
      <c r="E17" s="27"/>
      <c r="F17" s="39"/>
      <c r="G17" s="27"/>
      <c r="H17" s="51"/>
      <c r="I17" s="51"/>
      <c r="J17" s="27"/>
    </row>
    <row r="18" s="2" customFormat="1" ht="24" customHeight="1" spans="2:10">
      <c r="B18" s="27"/>
      <c r="C18" s="27"/>
      <c r="D18" s="27"/>
      <c r="E18" s="27"/>
      <c r="F18" s="39"/>
      <c r="G18" s="27"/>
      <c r="H18" s="51"/>
      <c r="I18" s="51"/>
      <c r="J18" s="27"/>
    </row>
    <row r="19" s="2" customFormat="1" ht="24" customHeight="1" spans="2:10">
      <c r="B19" s="32"/>
      <c r="C19" s="32"/>
      <c r="D19" s="27"/>
      <c r="E19" s="32"/>
      <c r="F19" s="41"/>
      <c r="G19" s="27"/>
      <c r="H19" s="51"/>
      <c r="I19" s="51"/>
      <c r="J19" s="32"/>
    </row>
    <row r="20" s="2" customFormat="1" ht="24" customHeight="1" spans="2:10">
      <c r="B20" s="32"/>
      <c r="C20" s="32"/>
      <c r="D20" s="27"/>
      <c r="E20" s="32"/>
      <c r="F20" s="41"/>
      <c r="G20" s="27"/>
      <c r="H20" s="51"/>
      <c r="I20" s="51"/>
      <c r="J20" s="32"/>
    </row>
    <row r="21" s="2" customFormat="1" ht="24" customHeight="1" spans="2:10">
      <c r="B21" s="32"/>
      <c r="C21" s="32"/>
      <c r="D21" s="27"/>
      <c r="E21" s="32"/>
      <c r="F21" s="41"/>
      <c r="G21" s="27"/>
      <c r="H21" s="51"/>
      <c r="I21" s="51"/>
      <c r="J21" s="32"/>
    </row>
    <row r="22" s="2" customFormat="1" ht="24" customHeight="1" spans="2:10">
      <c r="B22" s="32"/>
      <c r="C22" s="32"/>
      <c r="D22" s="27"/>
      <c r="E22" s="32"/>
      <c r="F22" s="41"/>
      <c r="G22" s="27"/>
      <c r="H22" s="51"/>
      <c r="I22" s="51"/>
      <c r="J22" s="32"/>
    </row>
    <row r="23" s="2" customFormat="1" ht="24" customHeight="1" spans="2:10">
      <c r="B23" s="32"/>
      <c r="C23" s="32"/>
      <c r="D23" s="27"/>
      <c r="E23" s="32"/>
      <c r="F23" s="41"/>
      <c r="G23" s="27"/>
      <c r="H23" s="51"/>
      <c r="I23" s="51"/>
      <c r="J23" s="32"/>
    </row>
    <row r="24" s="2" customFormat="1" ht="24" customHeight="1" spans="2:10">
      <c r="B24" s="32"/>
      <c r="C24" s="32"/>
      <c r="D24" s="27"/>
      <c r="E24" s="32"/>
      <c r="F24" s="41"/>
      <c r="G24" s="27"/>
      <c r="H24" s="51"/>
      <c r="I24" s="51"/>
      <c r="J24" s="32"/>
    </row>
    <row r="25" s="2" customFormat="1" ht="24" customHeight="1" spans="2:10">
      <c r="B25" s="33"/>
      <c r="C25" s="33"/>
      <c r="D25" s="27"/>
      <c r="E25" s="33"/>
      <c r="F25" s="43"/>
      <c r="G25" s="27"/>
      <c r="H25" s="51"/>
      <c r="I25" s="51"/>
      <c r="J25" s="33"/>
    </row>
    <row r="26" s="2" customFormat="1" ht="24" customHeight="1" spans="2:10">
      <c r="B26" s="33"/>
      <c r="C26" s="33"/>
      <c r="D26" s="27"/>
      <c r="E26" s="33"/>
      <c r="F26" s="43"/>
      <c r="G26" s="27"/>
      <c r="H26" s="51"/>
      <c r="I26" s="51"/>
      <c r="J26" s="33"/>
    </row>
    <row r="27" s="2" customFormat="1" ht="24" customHeight="1" spans="2:10">
      <c r="B27" s="46"/>
      <c r="C27" s="46"/>
      <c r="D27" s="27"/>
      <c r="E27" s="46"/>
      <c r="F27" s="48"/>
      <c r="G27" s="27"/>
      <c r="H27" s="51"/>
      <c r="I27" s="51"/>
      <c r="J27" s="46"/>
    </row>
    <row r="28" s="2" customFormat="1" ht="24" customHeight="1" spans="2:10">
      <c r="B28" s="27"/>
      <c r="C28" s="27"/>
      <c r="D28" s="27"/>
      <c r="E28" s="27"/>
      <c r="F28" s="39"/>
      <c r="G28" s="27"/>
      <c r="H28" s="51"/>
      <c r="I28" s="51"/>
      <c r="J28" s="27"/>
    </row>
    <row r="29" s="2" customFormat="1" ht="24" customHeight="1" spans="2:10">
      <c r="B29" s="27"/>
      <c r="C29" s="27"/>
      <c r="D29" s="27"/>
      <c r="E29" s="27"/>
      <c r="F29" s="39"/>
      <c r="G29" s="27"/>
      <c r="H29" s="51"/>
      <c r="I29" s="51"/>
      <c r="J29" s="27"/>
    </row>
    <row r="30" s="2" customFormat="1" ht="24" customHeight="1" spans="2:10">
      <c r="B30" s="32"/>
      <c r="C30" s="32"/>
      <c r="D30" s="27"/>
      <c r="E30" s="32"/>
      <c r="F30" s="41"/>
      <c r="G30" s="27"/>
      <c r="H30" s="51"/>
      <c r="I30" s="51"/>
      <c r="J30" s="32"/>
    </row>
    <row r="31" s="2" customFormat="1" ht="24" customHeight="1" spans="2:10">
      <c r="B31" s="33"/>
      <c r="C31" s="33"/>
      <c r="D31" s="27"/>
      <c r="E31" s="33"/>
      <c r="F31" s="43"/>
      <c r="G31" s="27"/>
      <c r="H31" s="51"/>
      <c r="I31" s="51"/>
      <c r="J31" s="33"/>
    </row>
    <row r="32" s="2" customFormat="1" ht="24" customHeight="1" spans="2:10">
      <c r="B32" s="33"/>
      <c r="C32" s="33"/>
      <c r="D32" s="27"/>
      <c r="E32" s="33"/>
      <c r="F32" s="43"/>
      <c r="G32" s="27"/>
      <c r="H32" s="33"/>
      <c r="I32" s="33"/>
      <c r="J32" s="33"/>
    </row>
    <row r="33" s="2" customFormat="1" ht="24" customHeight="1" spans="2:10">
      <c r="B33" s="53"/>
      <c r="C33" s="54"/>
      <c r="D33" s="55"/>
      <c r="E33" s="53"/>
      <c r="F33" s="54"/>
      <c r="G33" s="55"/>
      <c r="H33" s="53"/>
      <c r="I33" s="54"/>
      <c r="J33" s="54"/>
    </row>
    <row r="34" s="2" customFormat="1" ht="6" customHeight="1" spans="2:11">
      <c r="B34" s="55"/>
      <c r="C34" s="55"/>
      <c r="D34" s="55"/>
      <c r="E34" s="55"/>
      <c r="F34" s="55"/>
      <c r="G34" s="55"/>
      <c r="H34" s="55"/>
      <c r="I34" s="55"/>
      <c r="J34" s="55"/>
      <c r="K34" s="55"/>
    </row>
    <row r="35" spans="2:11">
      <c r="B35" s="55"/>
      <c r="C35" s="55"/>
      <c r="D35" s="55"/>
      <c r="E35" s="55"/>
      <c r="F35" s="55"/>
      <c r="G35" s="55"/>
      <c r="H35" s="55"/>
      <c r="I35" s="55"/>
      <c r="J35" s="55"/>
      <c r="K35" s="55"/>
    </row>
    <row r="36" spans="2:12"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</row>
  </sheetData>
  <mergeCells count="1">
    <mergeCell ref="M6:O8"/>
  </mergeCells>
  <dataValidations count="2">
    <dataValidation type="whole" operator="between" allowBlank="1" showInputMessage="1" showErrorMessage="1" promptTitle="列表卡片列数" prompt="请输入4~20之间的整数" sqref="D4">
      <formula1>4</formula1>
      <formula2>20</formula2>
    </dataValidation>
    <dataValidation type="whole" operator="between" allowBlank="1" showInputMessage="1" showErrorMessage="1" promptTitle="即将到期提醒天数" prompt="请输入1~90之间的整数" sqref="D12">
      <formula1>1</formula1>
      <formula2>90</formula2>
    </dataValidation>
  </dataValidations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B1:V18"/>
  <sheetViews>
    <sheetView workbookViewId="0">
      <pane ySplit="1" topLeftCell="A2" activePane="bottomLeft" state="frozen"/>
      <selection/>
      <selection pane="bottomLeft" activeCell="K41" sqref="K41"/>
    </sheetView>
  </sheetViews>
  <sheetFormatPr defaultColWidth="9" defaultRowHeight="13.5"/>
  <cols>
    <col min="1" max="1" width="3.625" style="2" customWidth="1"/>
    <col min="2" max="2" width="2.625" style="2" customWidth="1"/>
    <col min="3" max="3" width="14.625" style="2" customWidth="1"/>
    <col min="4" max="4" width="21.25" style="2" customWidth="1"/>
    <col min="5" max="5" width="11.25" style="2" customWidth="1"/>
    <col min="6" max="8" width="3.625" style="2" customWidth="1"/>
    <col min="9" max="9" width="21.875" style="2" customWidth="1"/>
    <col min="10" max="10" width="10.625" style="2" customWidth="1"/>
    <col min="11" max="13" width="3.625" style="2" customWidth="1"/>
    <col min="14" max="14" width="15" style="2" customWidth="1"/>
    <col min="15" max="16" width="12.625" style="2" customWidth="1"/>
    <col min="17" max="17" width="3.625" style="2" customWidth="1"/>
    <col min="18" max="18" width="2.625" style="2" customWidth="1"/>
    <col min="19" max="19" width="3.625" style="2" customWidth="1"/>
    <col min="20" max="20" width="16.25" style="2" customWidth="1"/>
    <col min="21" max="21" width="12.375" style="2"/>
    <col min="22" max="22" width="3.625" style="2" customWidth="1"/>
    <col min="23" max="23" width="21.125" style="2" customWidth="1"/>
    <col min="24" max="25" width="9" style="2"/>
    <col min="26" max="26" width="14.125" style="2"/>
    <col min="27" max="16381" width="9" style="2"/>
  </cols>
  <sheetData>
    <row r="1" s="1" customFormat="1" ht="57" customHeight="1"/>
    <row r="2" s="2" customFormat="1" ht="12.95" customHeight="1"/>
    <row r="3" s="2" customFormat="1" ht="39.95" customHeight="1" spans="2:22">
      <c r="B3" s="7"/>
      <c r="C3" s="26" t="s">
        <v>6</v>
      </c>
      <c r="D3" s="7"/>
      <c r="E3" s="7"/>
      <c r="F3" s="7"/>
      <c r="H3" s="7"/>
      <c r="I3" s="26" t="s">
        <v>5</v>
      </c>
      <c r="J3" s="7"/>
      <c r="K3" s="7"/>
      <c r="M3" s="7"/>
      <c r="N3" s="26" t="s">
        <v>8</v>
      </c>
      <c r="O3" s="7"/>
      <c r="P3" s="7"/>
      <c r="Q3" s="7"/>
      <c r="S3" s="7"/>
      <c r="T3" s="26" t="s">
        <v>8</v>
      </c>
      <c r="U3" s="7"/>
      <c r="V3" s="7"/>
    </row>
    <row r="4" ht="24" customHeight="1" spans="2:22">
      <c r="B4" s="27"/>
      <c r="C4" s="28" t="s">
        <v>490</v>
      </c>
      <c r="D4" s="28" t="s">
        <v>491</v>
      </c>
      <c r="E4" s="28" t="s">
        <v>492</v>
      </c>
      <c r="F4" s="27"/>
      <c r="H4" s="27"/>
      <c r="I4" s="28" t="s">
        <v>493</v>
      </c>
      <c r="J4" s="28" t="s">
        <v>492</v>
      </c>
      <c r="K4" s="27"/>
      <c r="M4" s="27"/>
      <c r="N4" s="28" t="s">
        <v>494</v>
      </c>
      <c r="O4" s="28" t="s">
        <v>492</v>
      </c>
      <c r="P4" s="28" t="s">
        <v>495</v>
      </c>
      <c r="Q4" s="27"/>
      <c r="S4" s="27"/>
      <c r="T4" s="28" t="s">
        <v>496</v>
      </c>
      <c r="U4" s="28" t="s">
        <v>492</v>
      </c>
      <c r="V4" s="27"/>
    </row>
    <row r="5" ht="24" customHeight="1" spans="2:22">
      <c r="B5" s="27"/>
      <c r="C5" s="29" t="s">
        <v>212</v>
      </c>
      <c r="D5" s="30" t="str">
        <f>C5&amp;"数量："&amp;E5</f>
        <v>空闲数量：67</v>
      </c>
      <c r="E5" s="31">
        <f>COUNTIFS(房源明细!O:O,C5)</f>
        <v>67</v>
      </c>
      <c r="F5" s="32"/>
      <c r="H5" s="27"/>
      <c r="I5" s="29">
        <f ca="1">TODAY()-12+ROW()</f>
        <v>44692</v>
      </c>
      <c r="J5" s="31">
        <f ca="1">SUMIFS(交易流水!I:I,交易流水!C:C,I5)</f>
        <v>0</v>
      </c>
      <c r="K5" s="32"/>
      <c r="M5" s="27"/>
      <c r="N5" s="35">
        <f ca="1" t="shared" ref="N5:N10" si="0">EOMONTH(TODAY(),-7+ROW(A1))+1</f>
        <v>44531</v>
      </c>
      <c r="O5" s="31">
        <f ca="1">COUNTIFS(客户管理!C:C,"&gt;="&amp;N5,客户管理!C:C,"&lt;"&amp;EDATE(N5,1))</f>
        <v>0</v>
      </c>
      <c r="P5" s="31">
        <f ca="1" t="shared" ref="P5:P10" si="1">IF(MAX($O$5:$O$10)=O5,O5,NA())</f>
        <v>0</v>
      </c>
      <c r="Q5" s="32"/>
      <c r="S5" s="27"/>
      <c r="T5" s="29" t="s">
        <v>138</v>
      </c>
      <c r="U5" s="31">
        <v>15</v>
      </c>
      <c r="V5" s="32"/>
    </row>
    <row r="6" ht="24" customHeight="1" spans="2:22">
      <c r="B6" s="27"/>
      <c r="C6" s="29" t="s">
        <v>497</v>
      </c>
      <c r="D6" s="30" t="str">
        <f>C6&amp;"数量："&amp;E6</f>
        <v>即将到期数量：0</v>
      </c>
      <c r="E6" s="31">
        <f>COUNTIFS(房源明细!O:O,C6)</f>
        <v>0</v>
      </c>
      <c r="F6" s="33"/>
      <c r="H6" s="27"/>
      <c r="I6" s="29">
        <f ca="1" t="shared" ref="I6:I14" si="2">TODAY()-12+ROW()</f>
        <v>44693</v>
      </c>
      <c r="J6" s="31">
        <f ca="1">SUMIFS(交易流水!I:I,交易流水!C:C,I6)</f>
        <v>0</v>
      </c>
      <c r="K6" s="33"/>
      <c r="M6" s="27"/>
      <c r="N6" s="35">
        <f ca="1" t="shared" si="0"/>
        <v>44562</v>
      </c>
      <c r="O6" s="31">
        <f ca="1">COUNTIFS(客户管理!C:C,"&gt;="&amp;N6,客户管理!C:C,"&lt;"&amp;EDATE(N6,1))</f>
        <v>0</v>
      </c>
      <c r="P6" s="31">
        <f ca="1" t="shared" si="1"/>
        <v>0</v>
      </c>
      <c r="Q6" s="33"/>
      <c r="S6" s="27"/>
      <c r="T6" s="29" t="s">
        <v>102</v>
      </c>
      <c r="U6" s="31">
        <v>14</v>
      </c>
      <c r="V6" s="33"/>
    </row>
    <row r="7" ht="24" customHeight="1" spans="2:22">
      <c r="B7" s="27"/>
      <c r="C7" s="29" t="s">
        <v>498</v>
      </c>
      <c r="D7" s="30" t="str">
        <f>C7&amp;"数量："&amp;E7</f>
        <v>已租数量：0</v>
      </c>
      <c r="E7" s="31">
        <f>COUNTIFS(房源明细!O:O,C7)</f>
        <v>0</v>
      </c>
      <c r="F7" s="33"/>
      <c r="H7" s="27"/>
      <c r="I7" s="29">
        <f ca="1" t="shared" si="2"/>
        <v>44694</v>
      </c>
      <c r="J7" s="31">
        <f ca="1">SUMIFS(交易流水!I:I,交易流水!C:C,I7)</f>
        <v>0</v>
      </c>
      <c r="K7" s="33"/>
      <c r="M7" s="27"/>
      <c r="N7" s="35">
        <f ca="1" t="shared" si="0"/>
        <v>44593</v>
      </c>
      <c r="O7" s="31">
        <f ca="1">COUNTIFS(客户管理!C:C,"&gt;="&amp;N7,客户管理!C:C,"&lt;"&amp;EDATE(N7,1))</f>
        <v>0</v>
      </c>
      <c r="P7" s="31">
        <f ca="1" t="shared" si="1"/>
        <v>0</v>
      </c>
      <c r="Q7" s="33"/>
      <c r="S7" s="27"/>
      <c r="T7" s="29" t="s">
        <v>13</v>
      </c>
      <c r="U7" s="31">
        <v>9</v>
      </c>
      <c r="V7" s="33"/>
    </row>
    <row r="8" ht="24" customHeight="1" spans="2:22">
      <c r="B8" s="27"/>
      <c r="C8" s="29" t="s">
        <v>7</v>
      </c>
      <c r="D8" s="30"/>
      <c r="E8" s="34">
        <f>IFERROR((E7+E6)/SUM(E5:E7),"-")</f>
        <v>0</v>
      </c>
      <c r="F8" s="33"/>
      <c r="H8" s="27"/>
      <c r="I8" s="29">
        <f ca="1" t="shared" si="2"/>
        <v>44695</v>
      </c>
      <c r="J8" s="31">
        <f ca="1">SUMIFS(交易流水!I:I,交易流水!C:C,I8)</f>
        <v>0</v>
      </c>
      <c r="K8" s="33"/>
      <c r="M8" s="27"/>
      <c r="N8" s="35">
        <f ca="1" t="shared" si="0"/>
        <v>44621</v>
      </c>
      <c r="O8" s="31">
        <f ca="1">COUNTIFS(客户管理!C:C,"&gt;="&amp;N8,客户管理!C:C,"&lt;"&amp;EDATE(N8,1))</f>
        <v>0</v>
      </c>
      <c r="P8" s="31">
        <f ca="1" t="shared" si="1"/>
        <v>0</v>
      </c>
      <c r="Q8" s="33"/>
      <c r="S8" s="27"/>
      <c r="T8" s="29" t="s">
        <v>55</v>
      </c>
      <c r="U8" s="31">
        <v>8</v>
      </c>
      <c r="V8" s="33"/>
    </row>
    <row r="9" ht="24" customHeight="1" spans="2:22">
      <c r="B9" s="27"/>
      <c r="C9" s="33"/>
      <c r="D9" s="33"/>
      <c r="E9" s="33"/>
      <c r="F9" s="33"/>
      <c r="H9" s="27"/>
      <c r="I9" s="29">
        <f ca="1" t="shared" si="2"/>
        <v>44696</v>
      </c>
      <c r="J9" s="31">
        <f ca="1">SUMIFS(交易流水!I:I,交易流水!C:C,I9)</f>
        <v>0</v>
      </c>
      <c r="K9" s="33"/>
      <c r="M9" s="27"/>
      <c r="N9" s="35">
        <f ca="1" t="shared" si="0"/>
        <v>44652</v>
      </c>
      <c r="O9" s="31">
        <f ca="1">COUNTIFS(客户管理!C:C,"&gt;="&amp;N9,客户管理!C:C,"&lt;"&amp;EDATE(N9,1))</f>
        <v>0</v>
      </c>
      <c r="P9" s="31">
        <f ca="1" t="shared" si="1"/>
        <v>0</v>
      </c>
      <c r="Q9" s="33"/>
      <c r="S9" s="27"/>
      <c r="T9" s="29" t="s">
        <v>78</v>
      </c>
      <c r="U9" s="31">
        <v>8</v>
      </c>
      <c r="V9" s="33"/>
    </row>
    <row r="10" ht="24" customHeight="1" spans="8:22">
      <c r="H10" s="27"/>
      <c r="I10" s="29">
        <f ca="1" t="shared" si="2"/>
        <v>44697</v>
      </c>
      <c r="J10" s="31">
        <f ca="1">SUMIFS(交易流水!I:I,交易流水!C:C,I10)</f>
        <v>0</v>
      </c>
      <c r="K10" s="33"/>
      <c r="M10" s="27"/>
      <c r="N10" s="35">
        <f ca="1" t="shared" si="0"/>
        <v>44682</v>
      </c>
      <c r="O10" s="31">
        <f ca="1">COUNTIFS(客户管理!C:C,"&gt;="&amp;N10,客户管理!C:C,"&lt;"&amp;EDATE(N10,1))</f>
        <v>0</v>
      </c>
      <c r="P10" s="31">
        <f ca="1" t="shared" si="1"/>
        <v>0</v>
      </c>
      <c r="Q10" s="33"/>
      <c r="S10" s="27"/>
      <c r="T10" s="33"/>
      <c r="U10" s="33"/>
      <c r="V10" s="33"/>
    </row>
    <row r="11" s="2" customFormat="1" ht="24" customHeight="1" spans="8:17">
      <c r="H11" s="27"/>
      <c r="I11" s="29">
        <f ca="1" t="shared" si="2"/>
        <v>44698</v>
      </c>
      <c r="J11" s="31">
        <f ca="1">SUMIFS(交易流水!I:I,交易流水!C:C,I11)</f>
        <v>0</v>
      </c>
      <c r="K11" s="33"/>
      <c r="M11" s="27"/>
      <c r="N11" s="33"/>
      <c r="O11" s="33"/>
      <c r="P11" s="33"/>
      <c r="Q11" s="33"/>
    </row>
    <row r="12" ht="24" customHeight="1" spans="8:17">
      <c r="H12" s="27"/>
      <c r="I12" s="29">
        <f ca="1" t="shared" si="2"/>
        <v>44699</v>
      </c>
      <c r="J12" s="31">
        <f ca="1">SUMIFS(交易流水!I:I,交易流水!C:C,I12)</f>
        <v>0</v>
      </c>
      <c r="K12" s="33"/>
      <c r="M12" s="27"/>
      <c r="N12" s="28" t="s">
        <v>499</v>
      </c>
      <c r="O12" s="28" t="s">
        <v>492</v>
      </c>
      <c r="P12" s="33"/>
      <c r="Q12" s="33"/>
    </row>
    <row r="13" ht="24" customHeight="1" spans="8:17">
      <c r="H13" s="27"/>
      <c r="I13" s="29">
        <f ca="1" t="shared" si="2"/>
        <v>44700</v>
      </c>
      <c r="J13" s="31">
        <f ca="1">SUMIFS(交易流水!I:I,交易流水!C:C,I13)</f>
        <v>0</v>
      </c>
      <c r="K13" s="33"/>
      <c r="M13" s="27"/>
      <c r="N13" s="29">
        <f ca="1">INDEX(N5:N10,MATCH(O13,O5:O10,0))</f>
        <v>44531</v>
      </c>
      <c r="O13" s="31">
        <f ca="1">MAX(O5:O10)</f>
        <v>0</v>
      </c>
      <c r="P13" s="33"/>
      <c r="Q13" s="33"/>
    </row>
    <row r="14" ht="24" customHeight="1" spans="8:17">
      <c r="H14" s="27"/>
      <c r="I14" s="29">
        <f ca="1" t="shared" si="2"/>
        <v>44701</v>
      </c>
      <c r="J14" s="31">
        <f ca="1">SUMIFS(交易流水!I:I,交易流水!C:C,I14)</f>
        <v>0</v>
      </c>
      <c r="K14" s="33"/>
      <c r="M14" s="27"/>
      <c r="N14" s="33"/>
      <c r="O14" s="33"/>
      <c r="P14" s="33"/>
      <c r="Q14" s="33"/>
    </row>
    <row r="15" ht="24" customHeight="1" spans="8:11">
      <c r="H15" s="27"/>
      <c r="I15" s="33"/>
      <c r="J15" s="33"/>
      <c r="K15" s="33"/>
    </row>
    <row r="16" ht="24" customHeight="1" spans="8:11">
      <c r="H16" s="27"/>
      <c r="I16" s="28" t="s">
        <v>499</v>
      </c>
      <c r="J16" s="28" t="s">
        <v>492</v>
      </c>
      <c r="K16" s="33"/>
    </row>
    <row r="17" ht="24" customHeight="1" spans="8:11">
      <c r="H17" s="27"/>
      <c r="I17" s="29">
        <f ca="1">INDEX(I5:I14,MATCH(J17,J5:J14,0))</f>
        <v>44692</v>
      </c>
      <c r="J17" s="31">
        <f ca="1">MAX(J5:J14)</f>
        <v>0</v>
      </c>
      <c r="K17" s="33"/>
    </row>
    <row r="18" ht="14.25" spans="8:11">
      <c r="H18" s="27"/>
      <c r="I18" s="33"/>
      <c r="J18" s="33"/>
      <c r="K18" s="33"/>
    </row>
  </sheetData>
  <pageMargins left="0.75" right="0.75" top="1" bottom="1" header="0.5" footer="0.5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N42"/>
  <sheetViews>
    <sheetView showGridLines="0" topLeftCell="A22" workbookViewId="0">
      <selection activeCell="S18" sqref="S18"/>
    </sheetView>
  </sheetViews>
  <sheetFormatPr defaultColWidth="8.89166666666667" defaultRowHeight="13.5"/>
  <sheetData>
    <row r="1" spans="1:9">
      <c r="A1" s="25"/>
      <c r="B1" s="25"/>
      <c r="C1" s="25"/>
      <c r="D1" s="25"/>
      <c r="E1" s="25"/>
      <c r="F1" s="25"/>
      <c r="G1" s="25"/>
      <c r="H1" s="25"/>
      <c r="I1" s="25"/>
    </row>
    <row r="2" spans="1:9">
      <c r="A2" s="25"/>
      <c r="B2" s="25"/>
      <c r="C2" s="25"/>
      <c r="D2" s="25"/>
      <c r="E2" s="25"/>
      <c r="F2" s="25"/>
      <c r="G2" s="25"/>
      <c r="H2" s="25"/>
      <c r="I2" s="25"/>
    </row>
    <row r="3" spans="1:21">
      <c r="A3" s="25"/>
      <c r="B3" s="25"/>
      <c r="C3" s="25"/>
      <c r="D3" s="25"/>
      <c r="E3" s="25"/>
      <c r="F3" s="25"/>
      <c r="G3" s="25"/>
      <c r="H3" s="25"/>
      <c r="I3" s="25"/>
      <c r="M3" s="25"/>
      <c r="N3" s="25"/>
      <c r="O3" s="25"/>
      <c r="P3" s="25"/>
      <c r="Q3" s="25"/>
      <c r="R3" s="25"/>
      <c r="S3" s="25"/>
      <c r="T3" s="25"/>
      <c r="U3" s="25"/>
    </row>
    <row r="4" spans="1:21">
      <c r="A4" s="25"/>
      <c r="B4" s="25"/>
      <c r="C4" s="25"/>
      <c r="D4" s="25"/>
      <c r="E4" s="25"/>
      <c r="F4" s="25"/>
      <c r="G4" s="25"/>
      <c r="H4" s="25"/>
      <c r="I4" s="25"/>
      <c r="M4" s="25"/>
      <c r="N4" s="25"/>
      <c r="O4" s="25"/>
      <c r="P4" s="25"/>
      <c r="Q4" s="25"/>
      <c r="R4" s="25"/>
      <c r="S4" s="25"/>
      <c r="T4" s="25"/>
      <c r="U4" s="25"/>
    </row>
    <row r="5" spans="1:21">
      <c r="A5" s="25"/>
      <c r="B5" s="25"/>
      <c r="C5" s="25"/>
      <c r="D5" s="25"/>
      <c r="E5" s="25"/>
      <c r="F5" s="25"/>
      <c r="G5" s="25"/>
      <c r="H5" s="25"/>
      <c r="I5" s="25"/>
      <c r="M5" s="25"/>
      <c r="N5" s="25"/>
      <c r="O5" s="25"/>
      <c r="P5" s="25"/>
      <c r="Q5" s="25"/>
      <c r="R5" s="25"/>
      <c r="S5" s="25"/>
      <c r="T5" s="25"/>
      <c r="U5" s="25"/>
    </row>
    <row r="6" spans="1:21">
      <c r="A6" s="25"/>
      <c r="B6" s="25"/>
      <c r="C6" s="25"/>
      <c r="D6" s="25"/>
      <c r="E6" s="25"/>
      <c r="F6" s="25"/>
      <c r="G6" s="25"/>
      <c r="H6" s="25"/>
      <c r="I6" s="25"/>
      <c r="M6" s="25"/>
      <c r="N6" s="25"/>
      <c r="O6" s="25"/>
      <c r="P6" s="25"/>
      <c r="Q6" s="25"/>
      <c r="R6" s="25"/>
      <c r="S6" s="25"/>
      <c r="T6" s="25"/>
      <c r="U6" s="25"/>
    </row>
    <row r="7" spans="1:21">
      <c r="A7" s="25"/>
      <c r="B7" s="25"/>
      <c r="C7" s="25"/>
      <c r="D7" s="25"/>
      <c r="E7" s="25"/>
      <c r="F7" s="25"/>
      <c r="G7" s="25"/>
      <c r="H7" s="25"/>
      <c r="I7" s="25"/>
      <c r="M7" s="25"/>
      <c r="N7" s="25"/>
      <c r="O7" s="25"/>
      <c r="P7" s="25"/>
      <c r="Q7" s="25"/>
      <c r="R7" s="25"/>
      <c r="S7" s="25"/>
      <c r="T7" s="25"/>
      <c r="U7" s="25"/>
    </row>
    <row r="8" spans="1:21">
      <c r="A8" s="25"/>
      <c r="B8" s="25"/>
      <c r="C8" s="25"/>
      <c r="D8" s="25"/>
      <c r="E8" s="25"/>
      <c r="F8" s="25"/>
      <c r="G8" s="25"/>
      <c r="H8" s="25"/>
      <c r="I8" s="25"/>
      <c r="M8" s="25"/>
      <c r="N8" s="25"/>
      <c r="O8" s="25"/>
      <c r="P8" s="25"/>
      <c r="Q8" s="25"/>
      <c r="R8" s="25"/>
      <c r="S8" s="25"/>
      <c r="T8" s="25"/>
      <c r="U8" s="25"/>
    </row>
    <row r="9" spans="1:21">
      <c r="A9" s="25"/>
      <c r="B9" s="25"/>
      <c r="C9" s="25"/>
      <c r="D9" s="25"/>
      <c r="E9" s="25"/>
      <c r="F9" s="25"/>
      <c r="G9" s="25"/>
      <c r="H9" s="25"/>
      <c r="I9" s="25"/>
      <c r="M9" s="25"/>
      <c r="N9" s="25"/>
      <c r="O9" s="25"/>
      <c r="P9" s="25"/>
      <c r="Q9" s="25"/>
      <c r="R9" s="25"/>
      <c r="S9" s="25"/>
      <c r="T9" s="25"/>
      <c r="U9" s="25"/>
    </row>
    <row r="10" spans="1:21">
      <c r="A10" s="25"/>
      <c r="B10" s="25"/>
      <c r="C10" s="25"/>
      <c r="D10" s="25"/>
      <c r="E10" s="25"/>
      <c r="F10" s="25"/>
      <c r="G10" s="25"/>
      <c r="H10" s="25"/>
      <c r="I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>
      <c r="A11" s="25"/>
      <c r="B11" s="25"/>
      <c r="C11" s="25"/>
      <c r="D11" s="25"/>
      <c r="E11" s="25"/>
      <c r="F11" s="25"/>
      <c r="G11" s="25"/>
      <c r="H11" s="25"/>
      <c r="I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>
      <c r="A12" s="25"/>
      <c r="B12" s="25"/>
      <c r="C12" s="25"/>
      <c r="D12" s="25"/>
      <c r="E12" s="25"/>
      <c r="F12" s="25"/>
      <c r="G12" s="25"/>
      <c r="H12" s="25"/>
      <c r="I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>
      <c r="A13" s="25"/>
      <c r="B13" s="25"/>
      <c r="C13" s="25"/>
      <c r="D13" s="25"/>
      <c r="E13" s="25"/>
      <c r="F13" s="25"/>
      <c r="G13" s="25"/>
      <c r="H13" s="25"/>
      <c r="I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>
      <c r="A14" s="25"/>
      <c r="B14" s="25"/>
      <c r="C14" s="25"/>
      <c r="D14" s="25"/>
      <c r="E14" s="25"/>
      <c r="F14" s="25"/>
      <c r="G14" s="25"/>
      <c r="H14" s="25"/>
      <c r="I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40">
      <c r="A15" s="25"/>
      <c r="B15" s="25"/>
      <c r="C15" s="25"/>
      <c r="D15" s="25"/>
      <c r="E15" s="25"/>
      <c r="F15" s="25"/>
      <c r="G15" s="25"/>
      <c r="H15" s="25"/>
      <c r="I15" s="25"/>
      <c r="M15" s="25"/>
      <c r="N15" s="25"/>
      <c r="O15" s="25"/>
      <c r="P15" s="25"/>
      <c r="Q15" s="25"/>
      <c r="R15" s="25"/>
      <c r="S15" s="25"/>
      <c r="T15" s="25"/>
      <c r="U15" s="25"/>
      <c r="AF15" s="25"/>
      <c r="AG15" s="25"/>
      <c r="AH15" s="25"/>
      <c r="AI15" s="25"/>
      <c r="AJ15" s="25"/>
      <c r="AK15" s="25"/>
      <c r="AL15" s="25"/>
      <c r="AM15" s="25"/>
      <c r="AN15" s="25"/>
    </row>
    <row r="16" spans="1:40">
      <c r="A16" s="25"/>
      <c r="B16" s="25"/>
      <c r="C16" s="25"/>
      <c r="D16" s="25"/>
      <c r="E16" s="25"/>
      <c r="F16" s="25"/>
      <c r="G16" s="25"/>
      <c r="H16" s="25"/>
      <c r="I16" s="25"/>
      <c r="M16" s="25"/>
      <c r="N16" s="25"/>
      <c r="O16" s="25"/>
      <c r="P16" s="25"/>
      <c r="Q16" s="25"/>
      <c r="R16" s="25"/>
      <c r="S16" s="25"/>
      <c r="T16" s="25"/>
      <c r="U16" s="25"/>
      <c r="AF16" s="25"/>
      <c r="AG16" s="25"/>
      <c r="AH16" s="25"/>
      <c r="AI16" s="25"/>
      <c r="AJ16" s="25"/>
      <c r="AK16" s="25"/>
      <c r="AL16" s="25"/>
      <c r="AM16" s="25"/>
      <c r="AN16" s="25"/>
    </row>
    <row r="17" spans="1:40">
      <c r="A17" s="25"/>
      <c r="B17" s="25"/>
      <c r="C17" s="25"/>
      <c r="D17" s="25"/>
      <c r="E17" s="25"/>
      <c r="F17" s="25"/>
      <c r="G17" s="25"/>
      <c r="H17" s="25"/>
      <c r="I17" s="25"/>
      <c r="M17" s="25"/>
      <c r="N17" s="25"/>
      <c r="O17" s="25"/>
      <c r="P17" s="25"/>
      <c r="Q17" s="25"/>
      <c r="R17" s="25"/>
      <c r="S17" s="25"/>
      <c r="T17" s="25"/>
      <c r="U17" s="25"/>
      <c r="AF17" s="25"/>
      <c r="AG17" s="25"/>
      <c r="AH17" s="25"/>
      <c r="AI17" s="25"/>
      <c r="AJ17" s="25"/>
      <c r="AK17" s="25"/>
      <c r="AL17" s="25"/>
      <c r="AM17" s="25"/>
      <c r="AN17" s="25"/>
    </row>
    <row r="18" spans="1:40">
      <c r="A18" s="25"/>
      <c r="B18" s="25"/>
      <c r="C18" s="25"/>
      <c r="D18" s="25"/>
      <c r="E18" s="25"/>
      <c r="F18" s="25"/>
      <c r="G18" s="25"/>
      <c r="H18" s="25"/>
      <c r="I18" s="25"/>
      <c r="M18" s="25"/>
      <c r="N18" s="25"/>
      <c r="O18" s="25"/>
      <c r="P18" s="25"/>
      <c r="Q18" s="25"/>
      <c r="R18" s="25"/>
      <c r="S18" s="25"/>
      <c r="T18" s="25"/>
      <c r="U18" s="25"/>
      <c r="AF18" s="25"/>
      <c r="AG18" s="25"/>
      <c r="AH18" s="25"/>
      <c r="AI18" s="25"/>
      <c r="AJ18" s="25"/>
      <c r="AK18" s="25"/>
      <c r="AL18" s="25"/>
      <c r="AM18" s="25"/>
      <c r="AN18" s="25"/>
    </row>
    <row r="19" spans="1:40">
      <c r="A19" s="25"/>
      <c r="B19" s="25"/>
      <c r="C19" s="25"/>
      <c r="D19" s="25"/>
      <c r="E19" s="25"/>
      <c r="F19" s="25"/>
      <c r="G19" s="25"/>
      <c r="H19" s="25"/>
      <c r="I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AF19" s="25"/>
      <c r="AG19" s="25"/>
      <c r="AH19" s="25"/>
      <c r="AI19" s="25"/>
      <c r="AJ19" s="25"/>
      <c r="AK19" s="25"/>
      <c r="AL19" s="25"/>
      <c r="AM19" s="25"/>
      <c r="AN19" s="25"/>
    </row>
    <row r="20" spans="1:40">
      <c r="A20" s="25"/>
      <c r="B20" s="25"/>
      <c r="C20" s="25"/>
      <c r="D20" s="25"/>
      <c r="E20" s="25"/>
      <c r="F20" s="25"/>
      <c r="G20" s="25"/>
      <c r="H20" s="25"/>
      <c r="I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AF20" s="25"/>
      <c r="AG20" s="25"/>
      <c r="AH20" s="25"/>
      <c r="AI20" s="25"/>
      <c r="AJ20" s="25"/>
      <c r="AK20" s="25"/>
      <c r="AL20" s="25"/>
      <c r="AM20" s="25"/>
      <c r="AN20" s="25"/>
    </row>
    <row r="21" spans="1:40">
      <c r="A21" s="25"/>
      <c r="B21" s="25"/>
      <c r="C21" s="25"/>
      <c r="D21" s="25"/>
      <c r="E21" s="25"/>
      <c r="F21" s="25"/>
      <c r="G21" s="25"/>
      <c r="H21" s="25"/>
      <c r="I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AF21" s="25"/>
      <c r="AG21" s="25"/>
      <c r="AH21" s="25"/>
      <c r="AI21" s="25"/>
      <c r="AJ21" s="25"/>
      <c r="AK21" s="25"/>
      <c r="AL21" s="25"/>
      <c r="AM21" s="25"/>
      <c r="AN21" s="25"/>
    </row>
    <row r="22" spans="1:40">
      <c r="A22" s="25"/>
      <c r="B22" s="25"/>
      <c r="C22" s="25"/>
      <c r="D22" s="25"/>
      <c r="E22" s="25"/>
      <c r="F22" s="25"/>
      <c r="G22" s="25"/>
      <c r="H22" s="25"/>
      <c r="I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AF22" s="25"/>
      <c r="AG22" s="25"/>
      <c r="AH22" s="25"/>
      <c r="AI22" s="25"/>
      <c r="AJ22" s="25"/>
      <c r="AK22" s="25"/>
      <c r="AL22" s="25"/>
      <c r="AM22" s="25"/>
      <c r="AN22" s="25"/>
    </row>
    <row r="23" spans="1:40">
      <c r="A23" s="25"/>
      <c r="B23" s="25"/>
      <c r="C23" s="25"/>
      <c r="D23" s="25"/>
      <c r="E23" s="25"/>
      <c r="F23" s="25"/>
      <c r="G23" s="25"/>
      <c r="H23" s="25"/>
      <c r="I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AF23" s="25"/>
      <c r="AG23" s="25"/>
      <c r="AH23" s="25"/>
      <c r="AI23" s="25"/>
      <c r="AJ23" s="25"/>
      <c r="AK23" s="25"/>
      <c r="AL23" s="25"/>
      <c r="AM23" s="25"/>
      <c r="AN23" s="25"/>
    </row>
    <row r="24" spans="1:40">
      <c r="A24" s="25"/>
      <c r="B24" s="25"/>
      <c r="C24" s="25"/>
      <c r="D24" s="25"/>
      <c r="E24" s="25"/>
      <c r="F24" s="25"/>
      <c r="G24" s="25"/>
      <c r="H24" s="25"/>
      <c r="I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AF24" s="25"/>
      <c r="AG24" s="25"/>
      <c r="AH24" s="25"/>
      <c r="AI24" s="25"/>
      <c r="AJ24" s="25"/>
      <c r="AK24" s="25"/>
      <c r="AL24" s="25"/>
      <c r="AM24" s="25"/>
      <c r="AN24" s="25"/>
    </row>
    <row r="25" spans="1:40">
      <c r="A25" s="25"/>
      <c r="B25" s="25"/>
      <c r="C25" s="25"/>
      <c r="D25" s="25"/>
      <c r="E25" s="25"/>
      <c r="F25" s="25"/>
      <c r="G25" s="25"/>
      <c r="H25" s="25"/>
      <c r="I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AF25" s="25"/>
      <c r="AG25" s="25"/>
      <c r="AH25" s="25"/>
      <c r="AI25" s="25"/>
      <c r="AJ25" s="25"/>
      <c r="AK25" s="25"/>
      <c r="AL25" s="25"/>
      <c r="AM25" s="25"/>
      <c r="AN25" s="25"/>
    </row>
    <row r="26" spans="1:40">
      <c r="A26" s="25"/>
      <c r="B26" s="25"/>
      <c r="C26" s="25"/>
      <c r="D26" s="25"/>
      <c r="E26" s="25"/>
      <c r="F26" s="25"/>
      <c r="G26" s="25"/>
      <c r="H26" s="25"/>
      <c r="I26" s="25"/>
      <c r="M26" s="25"/>
      <c r="N26" s="25"/>
      <c r="O26" s="25"/>
      <c r="P26" s="25"/>
      <c r="Q26" s="25"/>
      <c r="R26" s="25"/>
      <c r="S26" s="25"/>
      <c r="T26" s="25"/>
      <c r="U26" s="25"/>
      <c r="AF26" s="25"/>
      <c r="AG26" s="25"/>
      <c r="AH26" s="25"/>
      <c r="AI26" s="25"/>
      <c r="AJ26" s="25"/>
      <c r="AK26" s="25"/>
      <c r="AL26" s="25"/>
      <c r="AM26" s="25"/>
      <c r="AN26" s="25"/>
    </row>
    <row r="27" spans="1:40">
      <c r="A27" s="25"/>
      <c r="B27" s="25"/>
      <c r="C27" s="25"/>
      <c r="D27" s="25"/>
      <c r="E27" s="25"/>
      <c r="F27" s="25"/>
      <c r="G27" s="25"/>
      <c r="H27" s="25"/>
      <c r="I27" s="25"/>
      <c r="M27" s="25"/>
      <c r="N27" s="25"/>
      <c r="O27" s="25"/>
      <c r="P27" s="25"/>
      <c r="Q27" s="25"/>
      <c r="R27" s="25"/>
      <c r="S27" s="25"/>
      <c r="T27" s="25"/>
      <c r="U27" s="25"/>
      <c r="AF27" s="25"/>
      <c r="AG27" s="25"/>
      <c r="AH27" s="25"/>
      <c r="AI27" s="25"/>
      <c r="AJ27" s="25"/>
      <c r="AK27" s="25"/>
      <c r="AL27" s="25"/>
      <c r="AM27" s="25"/>
      <c r="AN27" s="25"/>
    </row>
    <row r="28" spans="1:40">
      <c r="A28" s="25"/>
      <c r="B28" s="25"/>
      <c r="C28" s="25"/>
      <c r="D28" s="25"/>
      <c r="E28" s="25"/>
      <c r="F28" s="25"/>
      <c r="G28" s="25"/>
      <c r="H28" s="25"/>
      <c r="I28" s="25"/>
      <c r="M28" s="25"/>
      <c r="N28" s="25"/>
      <c r="O28" s="25"/>
      <c r="P28" s="25"/>
      <c r="Q28" s="25"/>
      <c r="R28" s="25"/>
      <c r="S28" s="25"/>
      <c r="T28" s="25"/>
      <c r="U28" s="25"/>
      <c r="AF28" s="25"/>
      <c r="AG28" s="25"/>
      <c r="AH28" s="25"/>
      <c r="AI28" s="25"/>
      <c r="AJ28" s="25"/>
      <c r="AK28" s="25"/>
      <c r="AL28" s="25"/>
      <c r="AM28" s="25"/>
      <c r="AN28" s="25"/>
    </row>
    <row r="29" spans="1:40">
      <c r="A29" s="25"/>
      <c r="B29" s="25"/>
      <c r="C29" s="25"/>
      <c r="D29" s="25"/>
      <c r="E29" s="25"/>
      <c r="F29" s="25"/>
      <c r="G29" s="25"/>
      <c r="H29" s="25"/>
      <c r="I29" s="25"/>
      <c r="M29" s="25"/>
      <c r="N29" s="25"/>
      <c r="O29" s="25"/>
      <c r="P29" s="25"/>
      <c r="Q29" s="25"/>
      <c r="R29" s="25"/>
      <c r="S29" s="25"/>
      <c r="T29" s="25"/>
      <c r="U29" s="25"/>
      <c r="AF29" s="25"/>
      <c r="AG29" s="25"/>
      <c r="AH29" s="25"/>
      <c r="AI29" s="25"/>
      <c r="AJ29" s="25"/>
      <c r="AK29" s="25"/>
      <c r="AL29" s="25"/>
      <c r="AM29" s="25"/>
      <c r="AN29" s="25"/>
    </row>
    <row r="30" spans="1:40">
      <c r="A30" s="25"/>
      <c r="B30" s="25"/>
      <c r="C30" s="25"/>
      <c r="D30" s="25"/>
      <c r="E30" s="25"/>
      <c r="F30" s="25"/>
      <c r="G30" s="25"/>
      <c r="H30" s="25"/>
      <c r="I30" s="25"/>
      <c r="M30" s="25"/>
      <c r="N30" s="25"/>
      <c r="O30" s="25"/>
      <c r="P30" s="25"/>
      <c r="Q30" s="25"/>
      <c r="R30" s="25"/>
      <c r="S30" s="25"/>
      <c r="T30" s="25"/>
      <c r="U30" s="25"/>
      <c r="AF30" s="25"/>
      <c r="AG30" s="25"/>
      <c r="AH30" s="25"/>
      <c r="AI30" s="25"/>
      <c r="AJ30" s="25"/>
      <c r="AK30" s="25"/>
      <c r="AL30" s="25"/>
      <c r="AM30" s="25"/>
      <c r="AN30" s="25"/>
    </row>
    <row r="31" spans="1:40">
      <c r="A31" s="25"/>
      <c r="B31" s="25"/>
      <c r="C31" s="25"/>
      <c r="D31" s="25"/>
      <c r="E31" s="25"/>
      <c r="F31" s="25"/>
      <c r="G31" s="25"/>
      <c r="H31" s="25"/>
      <c r="I31" s="25"/>
      <c r="M31" s="25"/>
      <c r="N31" s="25"/>
      <c r="O31" s="25"/>
      <c r="P31" s="25"/>
      <c r="Q31" s="25"/>
      <c r="R31" s="25"/>
      <c r="S31" s="25"/>
      <c r="T31" s="25"/>
      <c r="U31" s="25"/>
      <c r="AF31" s="25"/>
      <c r="AG31" s="25"/>
      <c r="AH31" s="25"/>
      <c r="AI31" s="25"/>
      <c r="AJ31" s="25"/>
      <c r="AK31" s="25"/>
      <c r="AL31" s="25"/>
      <c r="AM31" s="25"/>
      <c r="AN31" s="25"/>
    </row>
    <row r="32" spans="1:40">
      <c r="A32" s="25"/>
      <c r="B32" s="25"/>
      <c r="C32" s="25"/>
      <c r="D32" s="25"/>
      <c r="E32" s="25"/>
      <c r="F32" s="25"/>
      <c r="G32" s="25"/>
      <c r="H32" s="25"/>
      <c r="I32" s="25"/>
      <c r="M32" s="25"/>
      <c r="N32" s="25"/>
      <c r="O32" s="25"/>
      <c r="P32" s="25"/>
      <c r="Q32" s="25"/>
      <c r="R32" s="25"/>
      <c r="S32" s="25"/>
      <c r="T32" s="25"/>
      <c r="U32" s="25"/>
      <c r="AF32" s="25"/>
      <c r="AG32" s="25"/>
      <c r="AH32" s="25"/>
      <c r="AI32" s="25"/>
      <c r="AJ32" s="25"/>
      <c r="AK32" s="25"/>
      <c r="AL32" s="25"/>
      <c r="AM32" s="25"/>
      <c r="AN32" s="25"/>
    </row>
    <row r="33" spans="1:40">
      <c r="A33" s="25"/>
      <c r="B33" s="25"/>
      <c r="C33" s="25"/>
      <c r="D33" s="25"/>
      <c r="E33" s="25"/>
      <c r="F33" s="25"/>
      <c r="G33" s="25"/>
      <c r="H33" s="25"/>
      <c r="I33" s="25"/>
      <c r="M33" s="25"/>
      <c r="N33" s="25"/>
      <c r="O33" s="25"/>
      <c r="P33" s="25"/>
      <c r="Q33" s="25"/>
      <c r="R33" s="25"/>
      <c r="S33" s="25"/>
      <c r="T33" s="25"/>
      <c r="U33" s="25"/>
      <c r="AF33" s="25"/>
      <c r="AG33" s="25"/>
      <c r="AH33" s="25"/>
      <c r="AI33" s="25"/>
      <c r="AJ33" s="25"/>
      <c r="AK33" s="25"/>
      <c r="AL33" s="25"/>
      <c r="AM33" s="25"/>
      <c r="AN33" s="25"/>
    </row>
    <row r="34" spans="1:40">
      <c r="A34" s="25"/>
      <c r="B34" s="25"/>
      <c r="C34" s="25"/>
      <c r="D34" s="25"/>
      <c r="E34" s="25"/>
      <c r="F34" s="25"/>
      <c r="G34" s="25"/>
      <c r="H34" s="25"/>
      <c r="I34" s="25"/>
      <c r="M34" s="25"/>
      <c r="N34" s="25"/>
      <c r="O34" s="25"/>
      <c r="P34" s="25"/>
      <c r="Q34" s="25"/>
      <c r="R34" s="25"/>
      <c r="S34" s="25"/>
      <c r="T34" s="25"/>
      <c r="U34" s="25"/>
      <c r="AF34" s="25"/>
      <c r="AG34" s="25"/>
      <c r="AH34" s="25"/>
      <c r="AI34" s="25"/>
      <c r="AJ34" s="25"/>
      <c r="AK34" s="25"/>
      <c r="AL34" s="25"/>
      <c r="AM34" s="25"/>
      <c r="AN34" s="25"/>
    </row>
    <row r="35" spans="1:40">
      <c r="A35" s="25"/>
      <c r="B35" s="25"/>
      <c r="C35" s="25"/>
      <c r="D35" s="25"/>
      <c r="E35" s="25"/>
      <c r="F35" s="25"/>
      <c r="G35" s="25"/>
      <c r="H35" s="25"/>
      <c r="I35" s="25"/>
      <c r="M35" s="25"/>
      <c r="N35" s="25"/>
      <c r="O35" s="25"/>
      <c r="P35" s="25"/>
      <c r="Q35" s="25"/>
      <c r="R35" s="25"/>
      <c r="S35" s="25"/>
      <c r="T35" s="25"/>
      <c r="U35" s="25"/>
      <c r="AF35" s="25"/>
      <c r="AG35" s="25"/>
      <c r="AH35" s="25"/>
      <c r="AI35" s="25"/>
      <c r="AJ35" s="25"/>
      <c r="AK35" s="25"/>
      <c r="AL35" s="25"/>
      <c r="AM35" s="25"/>
      <c r="AN35" s="25"/>
    </row>
    <row r="36" spans="1:40">
      <c r="A36" s="25"/>
      <c r="B36" s="25"/>
      <c r="C36" s="25"/>
      <c r="D36" s="25"/>
      <c r="E36" s="25"/>
      <c r="F36" s="25"/>
      <c r="G36" s="25"/>
      <c r="H36" s="25"/>
      <c r="I36" s="25"/>
      <c r="M36" s="25"/>
      <c r="N36" s="25"/>
      <c r="O36" s="25"/>
      <c r="P36" s="25"/>
      <c r="Q36" s="25"/>
      <c r="R36" s="25"/>
      <c r="S36" s="25"/>
      <c r="T36" s="25"/>
      <c r="U36" s="25"/>
      <c r="AF36" s="25"/>
      <c r="AG36" s="25"/>
      <c r="AH36" s="25"/>
      <c r="AI36" s="25"/>
      <c r="AJ36" s="25"/>
      <c r="AK36" s="25"/>
      <c r="AL36" s="25"/>
      <c r="AM36" s="25"/>
      <c r="AN36" s="25"/>
    </row>
    <row r="37" spans="1:40">
      <c r="A37" s="25"/>
      <c r="B37" s="25"/>
      <c r="C37" s="25"/>
      <c r="D37" s="25"/>
      <c r="E37" s="25"/>
      <c r="F37" s="25"/>
      <c r="G37" s="25"/>
      <c r="H37" s="25"/>
      <c r="I37" s="25"/>
      <c r="M37" s="25"/>
      <c r="N37" s="25"/>
      <c r="O37" s="25"/>
      <c r="P37" s="25"/>
      <c r="Q37" s="25"/>
      <c r="R37" s="25"/>
      <c r="S37" s="25"/>
      <c r="T37" s="25"/>
      <c r="U37" s="25"/>
      <c r="AF37" s="25"/>
      <c r="AG37" s="25"/>
      <c r="AH37" s="25"/>
      <c r="AI37" s="25"/>
      <c r="AJ37" s="25"/>
      <c r="AK37" s="25"/>
      <c r="AL37" s="25"/>
      <c r="AM37" s="25"/>
      <c r="AN37" s="25"/>
    </row>
    <row r="38" spans="1:40">
      <c r="A38" s="25"/>
      <c r="B38" s="25"/>
      <c r="C38" s="25"/>
      <c r="D38" s="25"/>
      <c r="E38" s="25"/>
      <c r="F38" s="25"/>
      <c r="G38" s="25"/>
      <c r="H38" s="25"/>
      <c r="I38" s="25"/>
      <c r="M38" s="25"/>
      <c r="N38" s="25"/>
      <c r="O38" s="25"/>
      <c r="P38" s="25"/>
      <c r="Q38" s="25"/>
      <c r="R38" s="25"/>
      <c r="S38" s="25"/>
      <c r="T38" s="25"/>
      <c r="U38" s="25"/>
      <c r="AF38" s="25"/>
      <c r="AG38" s="25"/>
      <c r="AH38" s="25"/>
      <c r="AI38" s="25"/>
      <c r="AJ38" s="25"/>
      <c r="AK38" s="25"/>
      <c r="AL38" s="25"/>
      <c r="AM38" s="25"/>
      <c r="AN38" s="25"/>
    </row>
    <row r="39" spans="1:40">
      <c r="A39" s="25"/>
      <c r="B39" s="25"/>
      <c r="C39" s="25"/>
      <c r="D39" s="25"/>
      <c r="E39" s="25"/>
      <c r="F39" s="25"/>
      <c r="G39" s="25"/>
      <c r="H39" s="25"/>
      <c r="I39" s="25"/>
      <c r="M39" s="25"/>
      <c r="N39" s="25"/>
      <c r="O39" s="25"/>
      <c r="P39" s="25"/>
      <c r="Q39" s="25"/>
      <c r="R39" s="25"/>
      <c r="S39" s="25"/>
      <c r="T39" s="25"/>
      <c r="U39" s="25"/>
      <c r="AF39" s="25"/>
      <c r="AG39" s="25"/>
      <c r="AH39" s="25"/>
      <c r="AI39" s="25"/>
      <c r="AJ39" s="25"/>
      <c r="AK39" s="25"/>
      <c r="AL39" s="25"/>
      <c r="AM39" s="25"/>
      <c r="AN39" s="25"/>
    </row>
    <row r="40" spans="1:40">
      <c r="A40" s="25"/>
      <c r="B40" s="25"/>
      <c r="C40" s="25"/>
      <c r="D40" s="25"/>
      <c r="E40" s="25"/>
      <c r="F40" s="25"/>
      <c r="G40" s="25"/>
      <c r="H40" s="25"/>
      <c r="I40" s="25"/>
      <c r="M40" s="25"/>
      <c r="N40" s="25"/>
      <c r="O40" s="25"/>
      <c r="P40" s="25"/>
      <c r="Q40" s="25"/>
      <c r="R40" s="25"/>
      <c r="S40" s="25"/>
      <c r="T40" s="25"/>
      <c r="U40" s="25"/>
      <c r="AF40" s="25"/>
      <c r="AG40" s="25"/>
      <c r="AH40" s="25"/>
      <c r="AI40" s="25"/>
      <c r="AJ40" s="25"/>
      <c r="AK40" s="25"/>
      <c r="AL40" s="25"/>
      <c r="AM40" s="25"/>
      <c r="AN40" s="25"/>
    </row>
    <row r="41" spans="1:1">
      <c r="A41" s="25"/>
    </row>
    <row r="42" spans="1:1">
      <c r="A42" s="25"/>
    </row>
  </sheetData>
  <sheetProtection formatCells="0" insertHyperlinks="0" autoFilter="0"/>
  <pageMargins left="0.75" right="0.75" top="1" bottom="1" header="0.5" footer="0.5"/>
  <pageSetup paperSize="9" orientation="portrait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DP24"/>
  <sheetViews>
    <sheetView workbookViewId="0">
      <pane ySplit="4" topLeftCell="A5" activePane="bottomLeft" state="frozen"/>
      <selection/>
      <selection pane="bottomLeft" activeCell="G14" sqref="G14"/>
    </sheetView>
  </sheetViews>
  <sheetFormatPr defaultColWidth="9" defaultRowHeight="22.5"/>
  <cols>
    <col min="1" max="1" width="3.625" style="3" customWidth="1"/>
    <col min="2" max="2" width="10" style="2" customWidth="1"/>
    <col min="3" max="3" width="15.625" style="2" customWidth="1"/>
    <col min="4" max="4" width="5.625" style="2" customWidth="1"/>
    <col min="5" max="5" width="3.625" style="2" customWidth="1"/>
    <col min="6" max="6" width="10" style="2" customWidth="1"/>
    <col min="7" max="7" width="15.625" style="2" customWidth="1"/>
    <col min="8" max="8" width="5.625" style="2" customWidth="1"/>
    <col min="9" max="9" width="3.625" style="2" customWidth="1"/>
    <col min="10" max="10" width="10" style="2" customWidth="1"/>
    <col min="11" max="11" width="15.625" style="2" customWidth="1"/>
    <col min="12" max="12" width="5.625" style="2" customWidth="1"/>
    <col min="13" max="13" width="3.625" style="2" customWidth="1"/>
    <col min="14" max="14" width="10" style="2" customWidth="1"/>
    <col min="15" max="15" width="15.625" style="2" customWidth="1"/>
    <col min="16" max="16" width="5.625" style="2" customWidth="1"/>
    <col min="17" max="17" width="3.625" style="2" customWidth="1"/>
    <col min="18" max="18" width="10" style="2" customWidth="1"/>
    <col min="19" max="19" width="15.625" style="2" customWidth="1"/>
    <col min="20" max="20" width="5.625" style="2" customWidth="1"/>
    <col min="21" max="21" width="3.625" style="2" customWidth="1"/>
    <col min="22" max="16342" width="9" style="2"/>
    <col min="16343" max="16384" width="9" style="4"/>
  </cols>
  <sheetData>
    <row r="1" s="1" customFormat="1" ht="57" customHeight="1" spans="1:1">
      <c r="A1" s="5"/>
    </row>
    <row r="2" s="2" customFormat="1" ht="12.95" customHeight="1" spans="1:1">
      <c r="A2" s="3"/>
    </row>
    <row r="3" s="2" customFormat="1" ht="39.95" customHeight="1" spans="1:40">
      <c r="A3" s="3"/>
      <c r="B3" s="6" t="s">
        <v>500</v>
      </c>
      <c r="C3" s="6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="2" customFormat="1" ht="18" customHeight="1" spans="1:1">
      <c r="A4" s="3"/>
    </row>
    <row r="5" s="2" customFormat="1" spans="1:2">
      <c r="A5" s="8" t="s">
        <v>12</v>
      </c>
      <c r="B5" s="9" t="s">
        <v>501</v>
      </c>
    </row>
    <row r="6" s="2" customFormat="1" ht="33" customHeight="1" spans="1:4">
      <c r="A6" s="10"/>
      <c r="B6" s="11" t="s">
        <v>477</v>
      </c>
      <c r="C6" s="12"/>
      <c r="D6" s="12"/>
    </row>
    <row r="7" s="2" customFormat="1" ht="20.1" customHeight="1" spans="1:5">
      <c r="A7" s="8"/>
      <c r="B7" s="13" t="s">
        <v>20</v>
      </c>
      <c r="C7" s="14" t="s">
        <v>502</v>
      </c>
      <c r="D7" s="14"/>
      <c r="E7" s="15"/>
    </row>
    <row r="8" s="2" customFormat="1" ht="20.1" customHeight="1" spans="1:5">
      <c r="A8" s="8"/>
      <c r="B8" s="13" t="s">
        <v>25</v>
      </c>
      <c r="C8" s="14" t="s">
        <v>503</v>
      </c>
      <c r="D8" s="16"/>
      <c r="E8" s="15"/>
    </row>
    <row r="9" s="2" customFormat="1" ht="20.1" customHeight="1" spans="1:5">
      <c r="A9" s="8"/>
      <c r="B9" s="17" t="s">
        <v>39</v>
      </c>
      <c r="C9" s="18" t="s">
        <v>504</v>
      </c>
      <c r="D9" s="19" t="s">
        <v>41</v>
      </c>
      <c r="E9" s="15"/>
    </row>
    <row r="10" s="2" customFormat="1" ht="6" customHeight="1" spans="1:4">
      <c r="A10" s="8"/>
      <c r="B10" s="20"/>
      <c r="C10" s="20"/>
      <c r="D10" s="20"/>
    </row>
    <row r="11" s="2" customFormat="1" ht="5.1" customHeight="1" spans="1:1">
      <c r="A11" s="8"/>
    </row>
    <row r="12" s="2" customFormat="1" ht="33" customHeight="1" spans="1:4">
      <c r="A12" s="8"/>
      <c r="B12" s="21" t="s">
        <v>477</v>
      </c>
      <c r="C12" s="22"/>
      <c r="D12" s="22"/>
    </row>
    <row r="13" s="2" customFormat="1" ht="20.1" customHeight="1" spans="1:5">
      <c r="A13" s="8"/>
      <c r="B13" s="13" t="s">
        <v>20</v>
      </c>
      <c r="C13" s="14" t="s">
        <v>502</v>
      </c>
      <c r="D13" s="14"/>
      <c r="E13" s="15"/>
    </row>
    <row r="14" s="2" customFormat="1" ht="20.1" customHeight="1" spans="1:5">
      <c r="A14" s="8"/>
      <c r="B14" s="13" t="s">
        <v>25</v>
      </c>
      <c r="C14" s="14" t="s">
        <v>503</v>
      </c>
      <c r="D14" s="16"/>
      <c r="E14" s="15"/>
    </row>
    <row r="15" s="2" customFormat="1" ht="20.1" customHeight="1" spans="1:5">
      <c r="A15" s="8"/>
      <c r="B15" s="17" t="s">
        <v>39</v>
      </c>
      <c r="C15" s="18" t="s">
        <v>504</v>
      </c>
      <c r="D15" s="19" t="s">
        <v>41</v>
      </c>
      <c r="E15" s="15"/>
    </row>
    <row r="16" s="2" customFormat="1" ht="6" customHeight="1" spans="1:4">
      <c r="A16" s="8"/>
      <c r="B16" s="20"/>
      <c r="C16" s="20"/>
      <c r="D16" s="20"/>
    </row>
    <row r="17" s="2" customFormat="1" ht="15" customHeight="1" spans="1:1">
      <c r="A17" s="8"/>
    </row>
    <row r="18" s="2" customFormat="1" ht="33" customHeight="1" spans="1:4">
      <c r="A18" s="8"/>
      <c r="B18" s="23" t="s">
        <v>477</v>
      </c>
      <c r="C18" s="24"/>
      <c r="D18" s="24"/>
    </row>
    <row r="19" s="2" customFormat="1" ht="20.1" customHeight="1" spans="1:5">
      <c r="A19" s="8"/>
      <c r="B19" s="13" t="s">
        <v>20</v>
      </c>
      <c r="C19" s="14" t="s">
        <v>502</v>
      </c>
      <c r="D19" s="14"/>
      <c r="E19" s="15"/>
    </row>
    <row r="20" s="2" customFormat="1" ht="20.1" customHeight="1" spans="1:5">
      <c r="A20" s="8"/>
      <c r="B20" s="13" t="s">
        <v>25</v>
      </c>
      <c r="C20" s="14" t="s">
        <v>503</v>
      </c>
      <c r="D20" s="16"/>
      <c r="E20" s="15"/>
    </row>
    <row r="21" s="2" customFormat="1" ht="20.1" customHeight="1" spans="1:5">
      <c r="A21" s="8"/>
      <c r="B21" s="17" t="s">
        <v>39</v>
      </c>
      <c r="C21" s="18" t="s">
        <v>504</v>
      </c>
      <c r="D21" s="19" t="s">
        <v>41</v>
      </c>
      <c r="E21" s="15"/>
    </row>
    <row r="22" s="2" customFormat="1" ht="6" customHeight="1" spans="1:4">
      <c r="A22" s="8"/>
      <c r="B22" s="20"/>
      <c r="C22" s="20"/>
      <c r="D22" s="20"/>
    </row>
    <row r="23" ht="15" customHeight="1" spans="1:1">
      <c r="A23" s="8"/>
    </row>
    <row r="24" s="2" customFormat="1" ht="15" customHeight="1" spans="1:16344">
      <c r="A24" s="3"/>
      <c r="XDO24" s="4"/>
      <c r="XDP24" s="4"/>
    </row>
  </sheetData>
  <mergeCells count="4">
    <mergeCell ref="B3:C3"/>
    <mergeCell ref="B6:D6"/>
    <mergeCell ref="B12:D12"/>
    <mergeCell ref="B18:D18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分析看板</vt:lpstr>
      <vt:lpstr>房源列表</vt:lpstr>
      <vt:lpstr>添加房源</vt:lpstr>
      <vt:lpstr>房源明细</vt:lpstr>
      <vt:lpstr>添加交易</vt:lpstr>
      <vt:lpstr>客户管理</vt:lpstr>
      <vt:lpstr>交易流水</vt:lpstr>
      <vt:lpstr>参数设置</vt:lpstr>
      <vt:lpstr>看板数据</vt:lpstr>
      <vt:lpstr>版权说明页</vt:lpstr>
      <vt:lpstr>房源模板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反正我也没差</cp:lastModifiedBy>
  <dcterms:created xsi:type="dcterms:W3CDTF">2021-11-03T13:51:00Z</dcterms:created>
  <dcterms:modified xsi:type="dcterms:W3CDTF">2022-05-18T10:04:14Z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2CB148F302624E5A8DCA7FBBBFA79A9E</vt:lpwstr>
  </property>
  <property fmtid="{D5CDD505-2E9C-101B-9397-08002B2CF9AE}" pid="3" name="KSOProductBuildVer">
    <vt:lpwstr>2052-11.8.6.8556</vt:lpwstr>
  </property>
  <property fmtid="{D5CDD505-2E9C-101B-9397-08002B2CF9AE}" pid="4" name="KSOReadingLayout">
    <vt:bool>false</vt:bool>
  </property>
</Properties>
</file>